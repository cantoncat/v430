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2" activeTab="2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25" r:id="rId5"/>
    <sheet name="Nodes" sheetId="19" r:id="rId6"/>
    <sheet name="On-Ramps" sheetId="20" r:id="rId7"/>
    <sheet name="Off-Ramp" sheetId="22" r:id="rId8"/>
    <sheet name="OD" sheetId="26" r:id="rId9"/>
    <sheet name="PRD_Conf" sheetId="15" r:id="rId10"/>
    <sheet name="Route_Parts_Conf" sheetId="24" r:id="rId11"/>
    <sheet name="Aggregated_Data" sheetId="2" r:id="rId12"/>
    <sheet name="IC_Miles" sheetId="3" r:id="rId13"/>
    <sheet name="Input_Conf" sheetId="5" r:id="rId14"/>
    <sheet name="Route_Decisions_Conf" sheetId="6" r:id="rId15"/>
    <sheet name="Comp_Conf" sheetId="7" r:id="rId16"/>
    <sheet name="Incidents_Conf" sheetId="9" r:id="rId17"/>
    <sheet name="DC_Conf" sheetId="10" r:id="rId18"/>
    <sheet name="FCD_Conf" sheetId="11" r:id="rId19"/>
    <sheet name="VSL_Conf" sheetId="13" r:id="rId20"/>
    <sheet name="RM_Conf" sheetId="14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6" i="24" l="1"/>
  <c r="N20" i="26"/>
  <c r="L20" i="26"/>
  <c r="K20" i="26"/>
  <c r="J20" i="26"/>
  <c r="I20" i="26"/>
  <c r="H20" i="26"/>
  <c r="G20" i="26"/>
  <c r="F20" i="26"/>
  <c r="D20" i="26"/>
  <c r="N25" i="26"/>
  <c r="L25" i="26"/>
  <c r="L24" i="26"/>
  <c r="K25" i="26"/>
  <c r="K24" i="26"/>
  <c r="K23" i="26"/>
  <c r="J25" i="26"/>
  <c r="J24" i="26"/>
  <c r="J23" i="26"/>
  <c r="J22" i="26"/>
  <c r="I25" i="26"/>
  <c r="I24" i="26"/>
  <c r="I23" i="26"/>
  <c r="I22" i="26"/>
  <c r="I21" i="26"/>
  <c r="H26" i="26"/>
  <c r="G26" i="26"/>
  <c r="G25" i="26"/>
  <c r="G24" i="26"/>
  <c r="G23" i="26"/>
  <c r="F26" i="26"/>
  <c r="F25" i="26"/>
  <c r="F24" i="26"/>
  <c r="F23" i="26"/>
  <c r="F22" i="26"/>
  <c r="D26" i="26"/>
  <c r="D25" i="26"/>
  <c r="D24" i="26"/>
  <c r="D23" i="26"/>
  <c r="D22" i="26"/>
  <c r="D21" i="26"/>
  <c r="B20" i="26"/>
  <c r="T33" i="15" l="1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8" i="15"/>
  <c r="T17" i="15"/>
  <c r="T16" i="15"/>
  <c r="T15" i="15"/>
  <c r="T14" i="15"/>
  <c r="T13" i="15"/>
  <c r="T12" i="15"/>
  <c r="T11" i="15"/>
  <c r="T10" i="15"/>
  <c r="T9" i="15"/>
  <c r="T8" i="15"/>
  <c r="T7" i="15"/>
  <c r="H27" i="24"/>
  <c r="H30" i="24"/>
  <c r="T6" i="15"/>
  <c r="T5" i="15"/>
  <c r="T4" i="15"/>
  <c r="T3" i="15"/>
  <c r="H105" i="24"/>
  <c r="H103" i="24"/>
  <c r="H101" i="24"/>
  <c r="H98" i="24"/>
  <c r="H96" i="24"/>
  <c r="H93" i="24"/>
  <c r="H90" i="24"/>
  <c r="H88" i="24"/>
  <c r="H85" i="24"/>
  <c r="H81" i="24"/>
  <c r="H78" i="24"/>
  <c r="H75" i="24"/>
  <c r="H71" i="24"/>
  <c r="H65" i="24"/>
  <c r="H59" i="24"/>
  <c r="H56" i="24"/>
  <c r="H54" i="24"/>
  <c r="H52" i="24"/>
  <c r="H50" i="24"/>
  <c r="H46" i="24"/>
  <c r="H44" i="24"/>
  <c r="H41" i="24"/>
  <c r="H38" i="24"/>
  <c r="H35" i="24"/>
  <c r="H23" i="24"/>
  <c r="H18" i="24"/>
  <c r="H13" i="24"/>
  <c r="H8" i="24"/>
  <c r="BD5" i="20" l="1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T5" i="20"/>
  <c r="U5" i="20"/>
  <c r="V5" i="20"/>
  <c r="W5" i="20"/>
  <c r="X5" i="20"/>
  <c r="Y5" i="20"/>
  <c r="Z5" i="20"/>
  <c r="AA5" i="20"/>
  <c r="AB5" i="20"/>
  <c r="T6" i="20"/>
  <c r="U6" i="20"/>
  <c r="V6" i="20"/>
  <c r="W6" i="20"/>
  <c r="X6" i="20"/>
  <c r="Y6" i="20"/>
  <c r="Z6" i="20"/>
  <c r="AA6" i="20"/>
  <c r="AB6" i="20"/>
  <c r="T7" i="20"/>
  <c r="U7" i="20"/>
  <c r="V7" i="20"/>
  <c r="W7" i="20"/>
  <c r="X7" i="20"/>
  <c r="Y7" i="20"/>
  <c r="Z7" i="20"/>
  <c r="AA7" i="20"/>
  <c r="AB7" i="20"/>
  <c r="T8" i="20"/>
  <c r="U8" i="20"/>
  <c r="V8" i="20"/>
  <c r="W8" i="20"/>
  <c r="X8" i="20"/>
  <c r="Y8" i="20"/>
  <c r="Z8" i="20"/>
  <c r="AA8" i="20"/>
  <c r="AB8" i="20"/>
  <c r="T9" i="20"/>
  <c r="U9" i="20"/>
  <c r="V9" i="20"/>
  <c r="W9" i="20"/>
  <c r="X9" i="20"/>
  <c r="Y9" i="20"/>
  <c r="Z9" i="20"/>
  <c r="AA9" i="20"/>
  <c r="AB9" i="20"/>
  <c r="T10" i="20"/>
  <c r="U10" i="20"/>
  <c r="V10" i="20"/>
  <c r="W10" i="20"/>
  <c r="X10" i="20"/>
  <c r="Y10" i="20"/>
  <c r="Z10" i="20"/>
  <c r="AA10" i="20"/>
  <c r="AB10" i="20"/>
  <c r="T11" i="20"/>
  <c r="U11" i="20"/>
  <c r="V11" i="20"/>
  <c r="W11" i="20"/>
  <c r="X11" i="20"/>
  <c r="Y11" i="20"/>
  <c r="Z11" i="20"/>
  <c r="AA11" i="20"/>
  <c r="AB11" i="20"/>
  <c r="T12" i="20"/>
  <c r="U12" i="20"/>
  <c r="V12" i="20"/>
  <c r="W12" i="20"/>
  <c r="X12" i="20"/>
  <c r="Y12" i="20"/>
  <c r="Z12" i="20"/>
  <c r="AA12" i="20"/>
  <c r="AB12" i="20"/>
  <c r="T13" i="20"/>
  <c r="U13" i="20"/>
  <c r="V13" i="20"/>
  <c r="W13" i="20"/>
  <c r="X13" i="20"/>
  <c r="Y13" i="20"/>
  <c r="Z13" i="20"/>
  <c r="AA13" i="20"/>
  <c r="AB13" i="20"/>
  <c r="T14" i="20"/>
  <c r="U14" i="20"/>
  <c r="V14" i="20"/>
  <c r="W14" i="20"/>
  <c r="X14" i="20"/>
  <c r="Y14" i="20"/>
  <c r="Z14" i="20"/>
  <c r="AA14" i="20"/>
  <c r="AB14" i="20"/>
  <c r="T15" i="20"/>
  <c r="U15" i="20"/>
  <c r="V15" i="20"/>
  <c r="W15" i="20"/>
  <c r="X15" i="20"/>
  <c r="Y15" i="20"/>
  <c r="Z15" i="20"/>
  <c r="AA15" i="20"/>
  <c r="AB15" i="20"/>
  <c r="T16" i="20"/>
  <c r="U16" i="20"/>
  <c r="V16" i="20"/>
  <c r="W16" i="20"/>
  <c r="X16" i="20"/>
  <c r="Y16" i="20"/>
  <c r="Z16" i="20"/>
  <c r="AA16" i="20"/>
  <c r="AB16" i="20"/>
  <c r="T17" i="20"/>
  <c r="U17" i="20"/>
  <c r="V17" i="20"/>
  <c r="W17" i="20"/>
  <c r="X17" i="20"/>
  <c r="Y17" i="20"/>
  <c r="Z17" i="20"/>
  <c r="AA17" i="20"/>
  <c r="AB17" i="20"/>
  <c r="T18" i="20"/>
  <c r="U18" i="20"/>
  <c r="V18" i="20"/>
  <c r="W18" i="20"/>
  <c r="X18" i="20"/>
  <c r="Y18" i="20"/>
  <c r="Z18" i="20"/>
  <c r="AA18" i="20"/>
  <c r="AB18" i="20"/>
  <c r="T19" i="20"/>
  <c r="U19" i="20"/>
  <c r="V19" i="20"/>
  <c r="W19" i="20"/>
  <c r="X19" i="20"/>
  <c r="Y19" i="20"/>
  <c r="Z19" i="20"/>
  <c r="AA19" i="20"/>
  <c r="AB19" i="20"/>
  <c r="T20" i="20"/>
  <c r="U20" i="20"/>
  <c r="V20" i="20"/>
  <c r="W20" i="20"/>
  <c r="X20" i="20"/>
  <c r="Y20" i="20"/>
  <c r="Z20" i="20"/>
  <c r="AA20" i="20"/>
  <c r="AB20" i="20"/>
  <c r="T21" i="20"/>
  <c r="U21" i="20"/>
  <c r="V21" i="20"/>
  <c r="W21" i="20"/>
  <c r="X21" i="20"/>
  <c r="Y21" i="20"/>
  <c r="Z21" i="20"/>
  <c r="AA21" i="20"/>
  <c r="AB21" i="20"/>
  <c r="T22" i="20"/>
  <c r="U22" i="20"/>
  <c r="V22" i="20"/>
  <c r="W22" i="20"/>
  <c r="X22" i="20"/>
  <c r="Y22" i="20"/>
  <c r="Z22" i="20"/>
  <c r="AA22" i="20"/>
  <c r="AB22" i="20"/>
  <c r="T23" i="20"/>
  <c r="U23" i="20"/>
  <c r="V23" i="20"/>
  <c r="W23" i="20"/>
  <c r="X23" i="20"/>
  <c r="Y23" i="20"/>
  <c r="Z23" i="20"/>
  <c r="AA23" i="20"/>
  <c r="AB23" i="20"/>
  <c r="T24" i="20"/>
  <c r="U24" i="20"/>
  <c r="V24" i="20"/>
  <c r="W24" i="20"/>
  <c r="X24" i="20"/>
  <c r="Y24" i="20"/>
  <c r="Z24" i="20"/>
  <c r="AA24" i="20"/>
  <c r="AB24" i="20"/>
  <c r="T25" i="20"/>
  <c r="U25" i="20"/>
  <c r="V25" i="20"/>
  <c r="W25" i="20"/>
  <c r="X25" i="20"/>
  <c r="Y25" i="20"/>
  <c r="Z25" i="20"/>
  <c r="AA25" i="20"/>
  <c r="AB25" i="20"/>
  <c r="T26" i="20"/>
  <c r="U26" i="20"/>
  <c r="V26" i="20"/>
  <c r="W26" i="20"/>
  <c r="X26" i="20"/>
  <c r="Y26" i="20"/>
  <c r="Z26" i="20"/>
  <c r="AA26" i="20"/>
  <c r="AB26" i="20"/>
  <c r="T27" i="20"/>
  <c r="U27" i="20"/>
  <c r="V27" i="20"/>
  <c r="W27" i="20"/>
  <c r="X27" i="20"/>
  <c r="Y27" i="20"/>
  <c r="Z27" i="20"/>
  <c r="AA27" i="20"/>
  <c r="AB27" i="20"/>
  <c r="T28" i="20"/>
  <c r="U28" i="20"/>
  <c r="V28" i="20"/>
  <c r="W28" i="20"/>
  <c r="X28" i="20"/>
  <c r="Y28" i="20"/>
  <c r="Z28" i="20"/>
  <c r="AA28" i="20"/>
  <c r="AB28" i="20"/>
  <c r="T29" i="20"/>
  <c r="U29" i="20"/>
  <c r="V29" i="20"/>
  <c r="W29" i="20"/>
  <c r="X29" i="20"/>
  <c r="Y29" i="20"/>
  <c r="Z29" i="20"/>
  <c r="AA29" i="20"/>
  <c r="AB29" i="20"/>
  <c r="T30" i="20"/>
  <c r="U30" i="20"/>
  <c r="V30" i="20"/>
  <c r="W30" i="20"/>
  <c r="X30" i="20"/>
  <c r="Y30" i="20"/>
  <c r="Z30" i="20"/>
  <c r="AA30" i="20"/>
  <c r="AB30" i="20"/>
  <c r="T31" i="20"/>
  <c r="U31" i="20"/>
  <c r="V31" i="20"/>
  <c r="W31" i="20"/>
  <c r="X31" i="20"/>
  <c r="Y31" i="20"/>
  <c r="Z31" i="20"/>
  <c r="AA31" i="20"/>
  <c r="AB31" i="20"/>
  <c r="T32" i="20"/>
  <c r="U32" i="20"/>
  <c r="V32" i="20"/>
  <c r="W32" i="20"/>
  <c r="X32" i="20"/>
  <c r="Y32" i="20"/>
  <c r="Z32" i="20"/>
  <c r="AA32" i="20"/>
  <c r="AB32" i="20"/>
  <c r="T33" i="20"/>
  <c r="U33" i="20"/>
  <c r="V33" i="20"/>
  <c r="W33" i="20"/>
  <c r="X33" i="20"/>
  <c r="Y33" i="20"/>
  <c r="Z33" i="20"/>
  <c r="AA33" i="20"/>
  <c r="AB33" i="20"/>
  <c r="T34" i="20"/>
  <c r="U34" i="20"/>
  <c r="V34" i="20"/>
  <c r="W34" i="20"/>
  <c r="X34" i="20"/>
  <c r="Y34" i="20"/>
  <c r="Z34" i="20"/>
  <c r="AA34" i="20"/>
  <c r="AB34" i="20"/>
  <c r="T35" i="20"/>
  <c r="U35" i="20"/>
  <c r="V35" i="20"/>
  <c r="W35" i="20"/>
  <c r="X35" i="20"/>
  <c r="Y35" i="20"/>
  <c r="Z35" i="20"/>
  <c r="AA35" i="20"/>
  <c r="AB35" i="20"/>
  <c r="T36" i="20"/>
  <c r="U36" i="20"/>
  <c r="V36" i="20"/>
  <c r="W36" i="20"/>
  <c r="X36" i="20"/>
  <c r="Y36" i="20"/>
  <c r="Z36" i="20"/>
  <c r="AA36" i="20"/>
  <c r="AB36" i="20"/>
  <c r="T37" i="20"/>
  <c r="U37" i="20"/>
  <c r="V37" i="20"/>
  <c r="W37" i="20"/>
  <c r="X37" i="20"/>
  <c r="Y37" i="20"/>
  <c r="Z37" i="20"/>
  <c r="AA37" i="20"/>
  <c r="AB37" i="20"/>
  <c r="T38" i="20"/>
  <c r="U38" i="20"/>
  <c r="V38" i="20"/>
  <c r="W38" i="20"/>
  <c r="X38" i="20"/>
  <c r="Y38" i="20"/>
  <c r="Z38" i="20"/>
  <c r="AA38" i="20"/>
  <c r="AB38" i="20"/>
  <c r="T39" i="20"/>
  <c r="U39" i="20"/>
  <c r="V39" i="20"/>
  <c r="W39" i="20"/>
  <c r="X39" i="20"/>
  <c r="Y39" i="20"/>
  <c r="Z39" i="20"/>
  <c r="AA39" i="20"/>
  <c r="AB39" i="20"/>
  <c r="T40" i="20"/>
  <c r="U40" i="20"/>
  <c r="V40" i="20"/>
  <c r="W40" i="20"/>
  <c r="X40" i="20"/>
  <c r="Y40" i="20"/>
  <c r="Z40" i="20"/>
  <c r="AA40" i="20"/>
  <c r="AB40" i="20"/>
  <c r="T41" i="20"/>
  <c r="U41" i="20"/>
  <c r="V41" i="20"/>
  <c r="W41" i="20"/>
  <c r="X41" i="20"/>
  <c r="Y41" i="20"/>
  <c r="Z41" i="20"/>
  <c r="AA41" i="20"/>
  <c r="AB41" i="20"/>
  <c r="T42" i="20"/>
  <c r="U42" i="20"/>
  <c r="V42" i="20"/>
  <c r="W42" i="20"/>
  <c r="X42" i="20"/>
  <c r="Y42" i="20"/>
  <c r="Z42" i="20"/>
  <c r="AA42" i="20"/>
  <c r="AB42" i="20"/>
  <c r="T43" i="20"/>
  <c r="U43" i="20"/>
  <c r="V43" i="20"/>
  <c r="W43" i="20"/>
  <c r="X43" i="20"/>
  <c r="Y43" i="20"/>
  <c r="Z43" i="20"/>
  <c r="AA43" i="20"/>
  <c r="AB43" i="20"/>
  <c r="T44" i="20"/>
  <c r="U44" i="20"/>
  <c r="V44" i="20"/>
  <c r="W44" i="20"/>
  <c r="X44" i="20"/>
  <c r="Y44" i="20"/>
  <c r="Z44" i="20"/>
  <c r="AA44" i="20"/>
  <c r="AB44" i="20"/>
  <c r="T45" i="20"/>
  <c r="U45" i="20"/>
  <c r="V45" i="20"/>
  <c r="W45" i="20"/>
  <c r="X45" i="20"/>
  <c r="Y45" i="20"/>
  <c r="Z45" i="20"/>
  <c r="AA45" i="20"/>
  <c r="AB45" i="20"/>
  <c r="T46" i="20"/>
  <c r="U46" i="20"/>
  <c r="V46" i="20"/>
  <c r="W46" i="20"/>
  <c r="X46" i="20"/>
  <c r="Y46" i="20"/>
  <c r="Z46" i="20"/>
  <c r="AA46" i="20"/>
  <c r="AB46" i="20"/>
  <c r="T47" i="20"/>
  <c r="U47" i="20"/>
  <c r="V47" i="20"/>
  <c r="W47" i="20"/>
  <c r="X47" i="20"/>
  <c r="Y47" i="20"/>
  <c r="Z47" i="20"/>
  <c r="AA47" i="20"/>
  <c r="AB47" i="20"/>
  <c r="T48" i="20"/>
  <c r="U48" i="20"/>
  <c r="V48" i="20"/>
  <c r="W48" i="20"/>
  <c r="X48" i="20"/>
  <c r="Y48" i="20"/>
  <c r="Z48" i="20"/>
  <c r="AA48" i="20"/>
  <c r="AB48" i="20"/>
  <c r="T49" i="20"/>
  <c r="U49" i="20"/>
  <c r="V49" i="20"/>
  <c r="W49" i="20"/>
  <c r="X49" i="20"/>
  <c r="Y49" i="20"/>
  <c r="Z49" i="20"/>
  <c r="AA49" i="20"/>
  <c r="AB49" i="20"/>
  <c r="T50" i="20"/>
  <c r="U50" i="20"/>
  <c r="V50" i="20"/>
  <c r="W50" i="20"/>
  <c r="X50" i="20"/>
  <c r="Y50" i="20"/>
  <c r="Z50" i="20"/>
  <c r="AA50" i="20"/>
  <c r="AB50" i="20"/>
  <c r="T51" i="20"/>
  <c r="U51" i="20"/>
  <c r="V51" i="20"/>
  <c r="W51" i="20"/>
  <c r="X51" i="20"/>
  <c r="Y51" i="20"/>
  <c r="Z51" i="20"/>
  <c r="AA51" i="20"/>
  <c r="AB51" i="20"/>
  <c r="T52" i="20"/>
  <c r="U52" i="20"/>
  <c r="V52" i="20"/>
  <c r="W52" i="20"/>
  <c r="X52" i="20"/>
  <c r="Y52" i="20"/>
  <c r="Z52" i="20"/>
  <c r="AA52" i="20"/>
  <c r="AB52" i="20"/>
  <c r="T53" i="20"/>
  <c r="U53" i="20"/>
  <c r="V53" i="20"/>
  <c r="W53" i="20"/>
  <c r="X53" i="20"/>
  <c r="Y53" i="20"/>
  <c r="Z53" i="20"/>
  <c r="AA53" i="20"/>
  <c r="AB53" i="20"/>
  <c r="T54" i="20"/>
  <c r="U54" i="20"/>
  <c r="V54" i="20"/>
  <c r="W54" i="20"/>
  <c r="X54" i="20"/>
  <c r="Y54" i="20"/>
  <c r="Z54" i="20"/>
  <c r="AA54" i="20"/>
  <c r="AB54" i="20"/>
  <c r="T55" i="20"/>
  <c r="U55" i="20"/>
  <c r="V55" i="20"/>
  <c r="W55" i="20"/>
  <c r="X55" i="20"/>
  <c r="Y55" i="20"/>
  <c r="Z55" i="20"/>
  <c r="AA55" i="20"/>
  <c r="AB55" i="20"/>
  <c r="T56" i="20"/>
  <c r="U56" i="20"/>
  <c r="V56" i="20"/>
  <c r="W56" i="20"/>
  <c r="X56" i="20"/>
  <c r="Y56" i="20"/>
  <c r="Z56" i="20"/>
  <c r="AA56" i="20"/>
  <c r="AB56" i="20"/>
  <c r="T57" i="20"/>
  <c r="U57" i="20"/>
  <c r="V57" i="20"/>
  <c r="W57" i="20"/>
  <c r="X57" i="20"/>
  <c r="Y57" i="20"/>
  <c r="Z57" i="20"/>
  <c r="AA57" i="20"/>
  <c r="AB57" i="20"/>
  <c r="T58" i="20"/>
  <c r="U58" i="20"/>
  <c r="V58" i="20"/>
  <c r="W58" i="20"/>
  <c r="X58" i="20"/>
  <c r="Y58" i="20"/>
  <c r="Z58" i="20"/>
  <c r="AA58" i="20"/>
  <c r="AB58" i="20"/>
  <c r="T59" i="20"/>
  <c r="U59" i="20"/>
  <c r="V59" i="20"/>
  <c r="W59" i="20"/>
  <c r="X59" i="20"/>
  <c r="Y59" i="20"/>
  <c r="Z59" i="20"/>
  <c r="AA59" i="20"/>
  <c r="AB59" i="20"/>
  <c r="T60" i="20"/>
  <c r="U60" i="20"/>
  <c r="V60" i="20"/>
  <c r="W60" i="20"/>
  <c r="X60" i="20"/>
  <c r="Y60" i="20"/>
  <c r="Z60" i="20"/>
  <c r="AA60" i="20"/>
  <c r="AB60" i="20"/>
  <c r="T61" i="20"/>
  <c r="U61" i="20"/>
  <c r="V61" i="20"/>
  <c r="W61" i="20"/>
  <c r="X61" i="20"/>
  <c r="Y61" i="20"/>
  <c r="Z61" i="20"/>
  <c r="AA61" i="20"/>
  <c r="AB61" i="20"/>
  <c r="T62" i="20"/>
  <c r="U62" i="20"/>
  <c r="V62" i="20"/>
  <c r="W62" i="20"/>
  <c r="X62" i="20"/>
  <c r="Y62" i="20"/>
  <c r="Z62" i="20"/>
  <c r="AA62" i="20"/>
  <c r="AB62" i="20"/>
  <c r="T63" i="20"/>
  <c r="U63" i="20"/>
  <c r="V63" i="20"/>
  <c r="W63" i="20"/>
  <c r="X63" i="20"/>
  <c r="Y63" i="20"/>
  <c r="Z63" i="20"/>
  <c r="AA63" i="20"/>
  <c r="AB63" i="20"/>
  <c r="T64" i="20"/>
  <c r="U64" i="20"/>
  <c r="V64" i="20"/>
  <c r="W64" i="20"/>
  <c r="X64" i="20"/>
  <c r="Y64" i="20"/>
  <c r="Z64" i="20"/>
  <c r="AA64" i="20"/>
  <c r="AB64" i="20"/>
  <c r="T65" i="20"/>
  <c r="U65" i="20"/>
  <c r="V65" i="20"/>
  <c r="W65" i="20"/>
  <c r="X65" i="20"/>
  <c r="Y65" i="20"/>
  <c r="Z65" i="20"/>
  <c r="AA65" i="20"/>
  <c r="AB65" i="20"/>
  <c r="T66" i="20"/>
  <c r="U66" i="20"/>
  <c r="V66" i="20"/>
  <c r="W66" i="20"/>
  <c r="X66" i="20"/>
  <c r="Y66" i="20"/>
  <c r="Z66" i="20"/>
  <c r="AA66" i="20"/>
  <c r="AB66" i="20"/>
  <c r="T67" i="20"/>
  <c r="U67" i="20"/>
  <c r="V67" i="20"/>
  <c r="W67" i="20"/>
  <c r="X67" i="20"/>
  <c r="Y67" i="20"/>
  <c r="Z67" i="20"/>
  <c r="AA67" i="20"/>
  <c r="AB67" i="20"/>
  <c r="T68" i="20"/>
  <c r="U68" i="20"/>
  <c r="V68" i="20"/>
  <c r="W68" i="20"/>
  <c r="X68" i="20"/>
  <c r="Y68" i="20"/>
  <c r="Z68" i="20"/>
  <c r="AA68" i="20"/>
  <c r="AB68" i="20"/>
  <c r="T69" i="20"/>
  <c r="U69" i="20"/>
  <c r="V69" i="20"/>
  <c r="W69" i="20"/>
  <c r="X69" i="20"/>
  <c r="Y69" i="20"/>
  <c r="Z69" i="20"/>
  <c r="AA69" i="20"/>
  <c r="AB69" i="20"/>
  <c r="T70" i="20"/>
  <c r="U70" i="20"/>
  <c r="V70" i="20"/>
  <c r="W70" i="20"/>
  <c r="X70" i="20"/>
  <c r="Y70" i="20"/>
  <c r="Z70" i="20"/>
  <c r="AA70" i="20"/>
  <c r="AB70" i="20"/>
  <c r="T71" i="20"/>
  <c r="U71" i="20"/>
  <c r="V71" i="20"/>
  <c r="W71" i="20"/>
  <c r="X71" i="20"/>
  <c r="Y71" i="20"/>
  <c r="Z71" i="20"/>
  <c r="AA71" i="20"/>
  <c r="AB71" i="20"/>
  <c r="T72" i="20"/>
  <c r="U72" i="20"/>
  <c r="V72" i="20"/>
  <c r="W72" i="20"/>
  <c r="X72" i="20"/>
  <c r="Y72" i="20"/>
  <c r="Z72" i="20"/>
  <c r="AA72" i="20"/>
  <c r="AB72" i="20"/>
  <c r="T73" i="20"/>
  <c r="U73" i="20"/>
  <c r="V73" i="20"/>
  <c r="W73" i="20"/>
  <c r="X73" i="20"/>
  <c r="Y73" i="20"/>
  <c r="Z73" i="20"/>
  <c r="AA73" i="20"/>
  <c r="AB73" i="20"/>
  <c r="T74" i="20"/>
  <c r="U74" i="20"/>
  <c r="V74" i="20"/>
  <c r="W74" i="20"/>
  <c r="X74" i="20"/>
  <c r="Y74" i="20"/>
  <c r="Z74" i="20"/>
  <c r="AA74" i="20"/>
  <c r="AB74" i="20"/>
  <c r="T75" i="20"/>
  <c r="U75" i="20"/>
  <c r="V75" i="20"/>
  <c r="W75" i="20"/>
  <c r="X75" i="20"/>
  <c r="Y75" i="20"/>
  <c r="Z75" i="20"/>
  <c r="AA75" i="20"/>
  <c r="AB75" i="20"/>
  <c r="T76" i="20"/>
  <c r="U76" i="20"/>
  <c r="V76" i="20"/>
  <c r="W76" i="20"/>
  <c r="X76" i="20"/>
  <c r="Y76" i="20"/>
  <c r="Z76" i="20"/>
  <c r="AA76" i="20"/>
  <c r="AB76" i="20"/>
  <c r="T77" i="20"/>
  <c r="U77" i="20"/>
  <c r="V77" i="20"/>
  <c r="W77" i="20"/>
  <c r="X77" i="20"/>
  <c r="Y77" i="20"/>
  <c r="Z77" i="20"/>
  <c r="AA77" i="20"/>
  <c r="AB77" i="20"/>
  <c r="T78" i="20"/>
  <c r="U78" i="20"/>
  <c r="V78" i="20"/>
  <c r="W78" i="20"/>
  <c r="X78" i="20"/>
  <c r="Y78" i="20"/>
  <c r="Z78" i="20"/>
  <c r="AA78" i="20"/>
  <c r="AB78" i="20"/>
  <c r="T79" i="20"/>
  <c r="U79" i="20"/>
  <c r="V79" i="20"/>
  <c r="W79" i="20"/>
  <c r="X79" i="20"/>
  <c r="Y79" i="20"/>
  <c r="Z79" i="20"/>
  <c r="AA79" i="20"/>
  <c r="AB79" i="20"/>
  <c r="T80" i="20"/>
  <c r="U80" i="20"/>
  <c r="V80" i="20"/>
  <c r="W80" i="20"/>
  <c r="X80" i="20"/>
  <c r="Y80" i="20"/>
  <c r="Z80" i="20"/>
  <c r="AA80" i="20"/>
  <c r="AB80" i="20"/>
  <c r="T81" i="20"/>
  <c r="U81" i="20"/>
  <c r="V81" i="20"/>
  <c r="W81" i="20"/>
  <c r="X81" i="20"/>
  <c r="Y81" i="20"/>
  <c r="Z81" i="20"/>
  <c r="AA81" i="20"/>
  <c r="AB81" i="20"/>
  <c r="T82" i="20"/>
  <c r="U82" i="20"/>
  <c r="V82" i="20"/>
  <c r="W82" i="20"/>
  <c r="X82" i="20"/>
  <c r="Y82" i="20"/>
  <c r="Z82" i="20"/>
  <c r="AA82" i="20"/>
  <c r="AB82" i="20"/>
  <c r="T83" i="20"/>
  <c r="U83" i="20"/>
  <c r="V83" i="20"/>
  <c r="W83" i="20"/>
  <c r="X83" i="20"/>
  <c r="Y83" i="20"/>
  <c r="Z83" i="20"/>
  <c r="AA83" i="20"/>
  <c r="AB83" i="20"/>
  <c r="T84" i="20"/>
  <c r="U84" i="20"/>
  <c r="V84" i="20"/>
  <c r="W84" i="20"/>
  <c r="X84" i="20"/>
  <c r="Y84" i="20"/>
  <c r="Z84" i="20"/>
  <c r="AA84" i="20"/>
  <c r="AB84" i="20"/>
  <c r="T85" i="20"/>
  <c r="U85" i="20"/>
  <c r="V85" i="20"/>
  <c r="W85" i="20"/>
  <c r="X85" i="20"/>
  <c r="Y85" i="20"/>
  <c r="Z85" i="20"/>
  <c r="AA85" i="20"/>
  <c r="AB85" i="20"/>
  <c r="T86" i="20"/>
  <c r="U86" i="20"/>
  <c r="V86" i="20"/>
  <c r="W86" i="20"/>
  <c r="X86" i="20"/>
  <c r="Y86" i="20"/>
  <c r="Z86" i="20"/>
  <c r="AA86" i="20"/>
  <c r="AB86" i="20"/>
  <c r="T87" i="20"/>
  <c r="U87" i="20"/>
  <c r="V87" i="20"/>
  <c r="W87" i="20"/>
  <c r="X87" i="20"/>
  <c r="Y87" i="20"/>
  <c r="Z87" i="20"/>
  <c r="AA87" i="20"/>
  <c r="AB87" i="20"/>
  <c r="T88" i="20"/>
  <c r="U88" i="20"/>
  <c r="V88" i="20"/>
  <c r="W88" i="20"/>
  <c r="X88" i="20"/>
  <c r="Y88" i="20"/>
  <c r="Z88" i="20"/>
  <c r="AA88" i="20"/>
  <c r="AB88" i="20"/>
  <c r="T89" i="20"/>
  <c r="U89" i="20"/>
  <c r="V89" i="20"/>
  <c r="W89" i="20"/>
  <c r="X89" i="20"/>
  <c r="Y89" i="20"/>
  <c r="Z89" i="20"/>
  <c r="AA89" i="20"/>
  <c r="AB89" i="20"/>
  <c r="T90" i="20"/>
  <c r="U90" i="20"/>
  <c r="V90" i="20"/>
  <c r="W90" i="20"/>
  <c r="X90" i="20"/>
  <c r="Y90" i="20"/>
  <c r="Z90" i="20"/>
  <c r="AA90" i="20"/>
  <c r="AB90" i="20"/>
  <c r="T91" i="20"/>
  <c r="U91" i="20"/>
  <c r="V91" i="20"/>
  <c r="W91" i="20"/>
  <c r="X91" i="20"/>
  <c r="Y91" i="20"/>
  <c r="Z91" i="20"/>
  <c r="AA91" i="20"/>
  <c r="AB91" i="20"/>
  <c r="T92" i="20"/>
  <c r="U92" i="20"/>
  <c r="V92" i="20"/>
  <c r="W92" i="20"/>
  <c r="X92" i="20"/>
  <c r="Y92" i="20"/>
  <c r="Z92" i="20"/>
  <c r="AA92" i="20"/>
  <c r="AB92" i="20"/>
  <c r="T93" i="20"/>
  <c r="U93" i="20"/>
  <c r="V93" i="20"/>
  <c r="W93" i="20"/>
  <c r="X93" i="20"/>
  <c r="Y93" i="20"/>
  <c r="Z93" i="20"/>
  <c r="AA93" i="20"/>
  <c r="AB93" i="20"/>
  <c r="T94" i="20"/>
  <c r="U94" i="20"/>
  <c r="V94" i="20"/>
  <c r="W94" i="20"/>
  <c r="X94" i="20"/>
  <c r="Y94" i="20"/>
  <c r="Z94" i="20"/>
  <c r="AA94" i="20"/>
  <c r="AB94" i="20"/>
  <c r="T95" i="20"/>
  <c r="U95" i="20"/>
  <c r="V95" i="20"/>
  <c r="W95" i="20"/>
  <c r="X95" i="20"/>
  <c r="Y95" i="20"/>
  <c r="Z95" i="20"/>
  <c r="AA95" i="20"/>
  <c r="AB95" i="20"/>
  <c r="T96" i="20"/>
  <c r="U96" i="20"/>
  <c r="V96" i="20"/>
  <c r="W96" i="20"/>
  <c r="X96" i="20"/>
  <c r="Y96" i="20"/>
  <c r="Z96" i="20"/>
  <c r="AA96" i="20"/>
  <c r="AB96" i="20"/>
  <c r="T97" i="20"/>
  <c r="U97" i="20"/>
  <c r="V97" i="20"/>
  <c r="W97" i="20"/>
  <c r="X97" i="20"/>
  <c r="Y97" i="20"/>
  <c r="Z97" i="20"/>
  <c r="AA97" i="20"/>
  <c r="AB97" i="20"/>
  <c r="T98" i="20"/>
  <c r="U98" i="20"/>
  <c r="V98" i="20"/>
  <c r="W98" i="20"/>
  <c r="X98" i="20"/>
  <c r="Y98" i="20"/>
  <c r="Z98" i="20"/>
  <c r="AA98" i="20"/>
  <c r="AB98" i="20"/>
  <c r="T99" i="20"/>
  <c r="U99" i="20"/>
  <c r="V99" i="20"/>
  <c r="W99" i="20"/>
  <c r="X99" i="20"/>
  <c r="Y99" i="20"/>
  <c r="Z99" i="20"/>
  <c r="AA99" i="20"/>
  <c r="AB99" i="20"/>
  <c r="T100" i="20"/>
  <c r="U100" i="20"/>
  <c r="V100" i="20"/>
  <c r="W100" i="20"/>
  <c r="X100" i="20"/>
  <c r="Y100" i="20"/>
  <c r="Z100" i="20"/>
  <c r="AA100" i="20"/>
  <c r="AB100" i="20"/>
  <c r="T101" i="20"/>
  <c r="U101" i="20"/>
  <c r="V101" i="20"/>
  <c r="W101" i="20"/>
  <c r="X101" i="20"/>
  <c r="Y101" i="20"/>
  <c r="Z101" i="20"/>
  <c r="AA101" i="20"/>
  <c r="AB101" i="20"/>
  <c r="T102" i="20"/>
  <c r="U102" i="20"/>
  <c r="V102" i="20"/>
  <c r="W102" i="20"/>
  <c r="X102" i="20"/>
  <c r="Y102" i="20"/>
  <c r="Z102" i="20"/>
  <c r="AA102" i="20"/>
  <c r="AB102" i="20"/>
  <c r="T103" i="20"/>
  <c r="U103" i="20"/>
  <c r="V103" i="20"/>
  <c r="W103" i="20"/>
  <c r="X103" i="20"/>
  <c r="Y103" i="20"/>
  <c r="Z103" i="20"/>
  <c r="AA103" i="20"/>
  <c r="AB103" i="20"/>
  <c r="T104" i="20"/>
  <c r="U104" i="20"/>
  <c r="V104" i="20"/>
  <c r="W104" i="20"/>
  <c r="X104" i="20"/>
  <c r="Y104" i="20"/>
  <c r="Z104" i="20"/>
  <c r="AA104" i="20"/>
  <c r="AB104" i="20"/>
  <c r="T105" i="20"/>
  <c r="U105" i="20"/>
  <c r="V105" i="20"/>
  <c r="W105" i="20"/>
  <c r="X105" i="20"/>
  <c r="Y105" i="20"/>
  <c r="Z105" i="20"/>
  <c r="AA105" i="20"/>
  <c r="AB105" i="20"/>
  <c r="T106" i="20"/>
  <c r="U106" i="20"/>
  <c r="V106" i="20"/>
  <c r="W106" i="20"/>
  <c r="X106" i="20"/>
  <c r="Y106" i="20"/>
  <c r="Z106" i="20"/>
  <c r="AA106" i="20"/>
  <c r="AB106" i="20"/>
  <c r="T107" i="20"/>
  <c r="U107" i="20"/>
  <c r="V107" i="20"/>
  <c r="W107" i="20"/>
  <c r="X107" i="20"/>
  <c r="Y107" i="20"/>
  <c r="Z107" i="20"/>
  <c r="AA107" i="20"/>
  <c r="AB107" i="20"/>
  <c r="T108" i="20"/>
  <c r="U108" i="20"/>
  <c r="V108" i="20"/>
  <c r="W108" i="20"/>
  <c r="X108" i="20"/>
  <c r="Y108" i="20"/>
  <c r="Z108" i="20"/>
  <c r="AA108" i="20"/>
  <c r="AB108" i="20"/>
  <c r="T109" i="20"/>
  <c r="U109" i="20"/>
  <c r="V109" i="20"/>
  <c r="W109" i="20"/>
  <c r="X109" i="20"/>
  <c r="Y109" i="20"/>
  <c r="Z109" i="20"/>
  <c r="AA109" i="20"/>
  <c r="AB109" i="20"/>
  <c r="T110" i="20"/>
  <c r="U110" i="20"/>
  <c r="V110" i="20"/>
  <c r="W110" i="20"/>
  <c r="X110" i="20"/>
  <c r="Y110" i="20"/>
  <c r="Z110" i="20"/>
  <c r="AA110" i="20"/>
  <c r="AB110" i="20"/>
  <c r="T111" i="20"/>
  <c r="U111" i="20"/>
  <c r="V111" i="20"/>
  <c r="W111" i="20"/>
  <c r="X111" i="20"/>
  <c r="Y111" i="20"/>
  <c r="Z111" i="20"/>
  <c r="AA111" i="20"/>
  <c r="AB111" i="20"/>
  <c r="T112" i="20"/>
  <c r="U112" i="20"/>
  <c r="V112" i="20"/>
  <c r="W112" i="20"/>
  <c r="X112" i="20"/>
  <c r="Y112" i="20"/>
  <c r="Z112" i="20"/>
  <c r="AA112" i="20"/>
  <c r="AB112" i="20"/>
  <c r="T113" i="20"/>
  <c r="U113" i="20"/>
  <c r="V113" i="20"/>
  <c r="W113" i="20"/>
  <c r="X113" i="20"/>
  <c r="Y113" i="20"/>
  <c r="Z113" i="20"/>
  <c r="AA113" i="20"/>
  <c r="AB113" i="20"/>
  <c r="T114" i="20"/>
  <c r="U114" i="20"/>
  <c r="V114" i="20"/>
  <c r="W114" i="20"/>
  <c r="X114" i="20"/>
  <c r="Y114" i="20"/>
  <c r="Z114" i="20"/>
  <c r="AA114" i="20"/>
  <c r="AB114" i="20"/>
  <c r="T115" i="20"/>
  <c r="U115" i="20"/>
  <c r="V115" i="20"/>
  <c r="W115" i="20"/>
  <c r="X115" i="20"/>
  <c r="Y115" i="20"/>
  <c r="Z115" i="20"/>
  <c r="AA115" i="20"/>
  <c r="AB115" i="20"/>
  <c r="T116" i="20"/>
  <c r="U116" i="20"/>
  <c r="V116" i="20"/>
  <c r="W116" i="20"/>
  <c r="X116" i="20"/>
  <c r="Y116" i="20"/>
  <c r="Z116" i="20"/>
  <c r="AA116" i="20"/>
  <c r="AB116" i="20"/>
  <c r="T117" i="20"/>
  <c r="U117" i="20"/>
  <c r="V117" i="20"/>
  <c r="W117" i="20"/>
  <c r="X117" i="20"/>
  <c r="Y117" i="20"/>
  <c r="Z117" i="20"/>
  <c r="AA117" i="20"/>
  <c r="AB117" i="20"/>
  <c r="T118" i="20"/>
  <c r="U118" i="20"/>
  <c r="V118" i="20"/>
  <c r="W118" i="20"/>
  <c r="X118" i="20"/>
  <c r="Y118" i="20"/>
  <c r="Z118" i="20"/>
  <c r="AA118" i="20"/>
  <c r="AB118" i="20"/>
  <c r="T119" i="20"/>
  <c r="U119" i="20"/>
  <c r="V119" i="20"/>
  <c r="W119" i="20"/>
  <c r="X119" i="20"/>
  <c r="Y119" i="20"/>
  <c r="Z119" i="20"/>
  <c r="AA119" i="20"/>
  <c r="AB119" i="20"/>
  <c r="T120" i="20"/>
  <c r="U120" i="20"/>
  <c r="V120" i="20"/>
  <c r="W120" i="20"/>
  <c r="X120" i="20"/>
  <c r="Y120" i="20"/>
  <c r="Z120" i="20"/>
  <c r="AA120" i="20"/>
  <c r="AB120" i="20"/>
  <c r="T121" i="20"/>
  <c r="U121" i="20"/>
  <c r="V121" i="20"/>
  <c r="W121" i="20"/>
  <c r="X121" i="20"/>
  <c r="Y121" i="20"/>
  <c r="Z121" i="20"/>
  <c r="AA121" i="20"/>
  <c r="AB121" i="20"/>
  <c r="T122" i="20"/>
  <c r="U122" i="20"/>
  <c r="V122" i="20"/>
  <c r="W122" i="20"/>
  <c r="X122" i="20"/>
  <c r="Y122" i="20"/>
  <c r="Z122" i="20"/>
  <c r="AA122" i="20"/>
  <c r="AB122" i="20"/>
  <c r="T123" i="20"/>
  <c r="U123" i="20"/>
  <c r="V123" i="20"/>
  <c r="W123" i="20"/>
  <c r="X123" i="20"/>
  <c r="Y123" i="20"/>
  <c r="Z123" i="20"/>
  <c r="AA123" i="20"/>
  <c r="AB123" i="20"/>
  <c r="T124" i="20"/>
  <c r="U124" i="20"/>
  <c r="V124" i="20"/>
  <c r="W124" i="20"/>
  <c r="X124" i="20"/>
  <c r="Y124" i="20"/>
  <c r="Z124" i="20"/>
  <c r="AA124" i="20"/>
  <c r="AB124" i="20"/>
  <c r="T125" i="20"/>
  <c r="U125" i="20"/>
  <c r="V125" i="20"/>
  <c r="W125" i="20"/>
  <c r="X125" i="20"/>
  <c r="Y125" i="20"/>
  <c r="Z125" i="20"/>
  <c r="AA125" i="20"/>
  <c r="AB125" i="20"/>
  <c r="T126" i="20"/>
  <c r="U126" i="20"/>
  <c r="V126" i="20"/>
  <c r="W126" i="20"/>
  <c r="X126" i="20"/>
  <c r="Y126" i="20"/>
  <c r="Z126" i="20"/>
  <c r="AA126" i="20"/>
  <c r="AB126" i="20"/>
  <c r="T127" i="20"/>
  <c r="U127" i="20"/>
  <c r="V127" i="20"/>
  <c r="W127" i="20"/>
  <c r="X127" i="20"/>
  <c r="Y127" i="20"/>
  <c r="Z127" i="20"/>
  <c r="AA127" i="20"/>
  <c r="AB127" i="20"/>
  <c r="T128" i="20"/>
  <c r="U128" i="20"/>
  <c r="V128" i="20"/>
  <c r="W128" i="20"/>
  <c r="X128" i="20"/>
  <c r="Y128" i="20"/>
  <c r="Z128" i="20"/>
  <c r="AA128" i="20"/>
  <c r="AB128" i="20"/>
  <c r="T129" i="20"/>
  <c r="U129" i="20"/>
  <c r="V129" i="20"/>
  <c r="W129" i="20"/>
  <c r="X129" i="20"/>
  <c r="Y129" i="20"/>
  <c r="Z129" i="20"/>
  <c r="AA129" i="20"/>
  <c r="AB129" i="20"/>
  <c r="T130" i="20"/>
  <c r="U130" i="20"/>
  <c r="V130" i="20"/>
  <c r="W130" i="20"/>
  <c r="X130" i="20"/>
  <c r="Y130" i="20"/>
  <c r="Z130" i="20"/>
  <c r="AA130" i="20"/>
  <c r="AB130" i="20"/>
  <c r="T131" i="20"/>
  <c r="U131" i="20"/>
  <c r="V131" i="20"/>
  <c r="W131" i="20"/>
  <c r="X131" i="20"/>
  <c r="Y131" i="20"/>
  <c r="Z131" i="20"/>
  <c r="AA131" i="20"/>
  <c r="AB131" i="20"/>
  <c r="T132" i="20"/>
  <c r="U132" i="20"/>
  <c r="V132" i="20"/>
  <c r="W132" i="20"/>
  <c r="X132" i="20"/>
  <c r="Y132" i="20"/>
  <c r="Z132" i="20"/>
  <c r="AA132" i="20"/>
  <c r="AB132" i="20"/>
  <c r="T133" i="20"/>
  <c r="U133" i="20"/>
  <c r="V133" i="20"/>
  <c r="W133" i="20"/>
  <c r="X133" i="20"/>
  <c r="Y133" i="20"/>
  <c r="Z133" i="20"/>
  <c r="AA133" i="20"/>
  <c r="AB133" i="20"/>
  <c r="T134" i="20"/>
  <c r="U134" i="20"/>
  <c r="V134" i="20"/>
  <c r="W134" i="20"/>
  <c r="X134" i="20"/>
  <c r="Y134" i="20"/>
  <c r="Z134" i="20"/>
  <c r="AA134" i="20"/>
  <c r="AB134" i="20"/>
  <c r="T135" i="20"/>
  <c r="U135" i="20"/>
  <c r="V135" i="20"/>
  <c r="W135" i="20"/>
  <c r="X135" i="20"/>
  <c r="Y135" i="20"/>
  <c r="Z135" i="20"/>
  <c r="AA135" i="20"/>
  <c r="AB135" i="20"/>
  <c r="T136" i="20"/>
  <c r="U136" i="20"/>
  <c r="V136" i="20"/>
  <c r="W136" i="20"/>
  <c r="X136" i="20"/>
  <c r="Y136" i="20"/>
  <c r="Z136" i="20"/>
  <c r="AA136" i="20"/>
  <c r="AB136" i="20"/>
  <c r="T137" i="20"/>
  <c r="U137" i="20"/>
  <c r="V137" i="20"/>
  <c r="W137" i="20"/>
  <c r="X137" i="20"/>
  <c r="Y137" i="20"/>
  <c r="Z137" i="20"/>
  <c r="AA137" i="20"/>
  <c r="AB137" i="20"/>
  <c r="T138" i="20"/>
  <c r="U138" i="20"/>
  <c r="V138" i="20"/>
  <c r="W138" i="20"/>
  <c r="X138" i="20"/>
  <c r="Y138" i="20"/>
  <c r="Z138" i="20"/>
  <c r="AA138" i="20"/>
  <c r="AB138" i="20"/>
  <c r="T139" i="20"/>
  <c r="U139" i="20"/>
  <c r="V139" i="20"/>
  <c r="W139" i="20"/>
  <c r="X139" i="20"/>
  <c r="Y139" i="20"/>
  <c r="Z139" i="20"/>
  <c r="AA139" i="20"/>
  <c r="AB139" i="20"/>
  <c r="T140" i="20"/>
  <c r="U140" i="20"/>
  <c r="V140" i="20"/>
  <c r="W140" i="20"/>
  <c r="X140" i="20"/>
  <c r="Y140" i="20"/>
  <c r="Z140" i="20"/>
  <c r="AA140" i="20"/>
  <c r="AB140" i="20"/>
  <c r="T141" i="20"/>
  <c r="U141" i="20"/>
  <c r="V141" i="20"/>
  <c r="W141" i="20"/>
  <c r="X141" i="20"/>
  <c r="Y141" i="20"/>
  <c r="Z141" i="20"/>
  <c r="AA141" i="20"/>
  <c r="AB141" i="20"/>
  <c r="T142" i="20"/>
  <c r="U142" i="20"/>
  <c r="V142" i="20"/>
  <c r="W142" i="20"/>
  <c r="X142" i="20"/>
  <c r="Y142" i="20"/>
  <c r="Z142" i="20"/>
  <c r="AA142" i="20"/>
  <c r="AB142" i="20"/>
  <c r="T143" i="20"/>
  <c r="U143" i="20"/>
  <c r="V143" i="20"/>
  <c r="W143" i="20"/>
  <c r="X143" i="20"/>
  <c r="Y143" i="20"/>
  <c r="Z143" i="20"/>
  <c r="AA143" i="20"/>
  <c r="AB143" i="20"/>
  <c r="T144" i="20"/>
  <c r="U144" i="20"/>
  <c r="V144" i="20"/>
  <c r="W144" i="20"/>
  <c r="X144" i="20"/>
  <c r="Y144" i="20"/>
  <c r="Z144" i="20"/>
  <c r="AA144" i="20"/>
  <c r="AB144" i="20"/>
  <c r="T145" i="20"/>
  <c r="U145" i="20"/>
  <c r="V145" i="20"/>
  <c r="W145" i="20"/>
  <c r="X145" i="20"/>
  <c r="Y145" i="20"/>
  <c r="Z145" i="20"/>
  <c r="AA145" i="20"/>
  <c r="AB145" i="20"/>
  <c r="T146" i="20"/>
  <c r="U146" i="20"/>
  <c r="V146" i="20"/>
  <c r="W146" i="20"/>
  <c r="X146" i="20"/>
  <c r="Y146" i="20"/>
  <c r="Z146" i="20"/>
  <c r="AA146" i="20"/>
  <c r="AB146" i="20"/>
  <c r="T147" i="20"/>
  <c r="U147" i="20"/>
  <c r="V147" i="20"/>
  <c r="W147" i="20"/>
  <c r="X147" i="20"/>
  <c r="Y147" i="20"/>
  <c r="Z147" i="20"/>
  <c r="AA147" i="20"/>
  <c r="AB147" i="20"/>
  <c r="T148" i="20"/>
  <c r="U148" i="20"/>
  <c r="V148" i="20"/>
  <c r="W148" i="20"/>
  <c r="X148" i="20"/>
  <c r="Y148" i="20"/>
  <c r="Z148" i="20"/>
  <c r="AA148" i="20"/>
  <c r="AB148" i="20"/>
  <c r="T149" i="20"/>
  <c r="U149" i="20"/>
  <c r="V149" i="20"/>
  <c r="W149" i="20"/>
  <c r="X149" i="20"/>
  <c r="Y149" i="20"/>
  <c r="Z149" i="20"/>
  <c r="AA149" i="20"/>
  <c r="AB149" i="20"/>
  <c r="T150" i="20"/>
  <c r="U150" i="20"/>
  <c r="V150" i="20"/>
  <c r="W150" i="20"/>
  <c r="X150" i="20"/>
  <c r="Y150" i="20"/>
  <c r="Z150" i="20"/>
  <c r="AA150" i="20"/>
  <c r="AB150" i="20"/>
  <c r="T151" i="20"/>
  <c r="U151" i="20"/>
  <c r="V151" i="20"/>
  <c r="W151" i="20"/>
  <c r="X151" i="20"/>
  <c r="Y151" i="20"/>
  <c r="Z151" i="20"/>
  <c r="AA151" i="20"/>
  <c r="AB151" i="20"/>
  <c r="T152" i="20"/>
  <c r="U152" i="20"/>
  <c r="V152" i="20"/>
  <c r="W152" i="20"/>
  <c r="X152" i="20"/>
  <c r="Y152" i="20"/>
  <c r="Z152" i="20"/>
  <c r="AA152" i="20"/>
  <c r="AB152" i="20"/>
  <c r="T153" i="20"/>
  <c r="U153" i="20"/>
  <c r="V153" i="20"/>
  <c r="W153" i="20"/>
  <c r="X153" i="20"/>
  <c r="Y153" i="20"/>
  <c r="Z153" i="20"/>
  <c r="AA153" i="20"/>
  <c r="AB153" i="20"/>
  <c r="T154" i="20"/>
  <c r="U154" i="20"/>
  <c r="V154" i="20"/>
  <c r="W154" i="20"/>
  <c r="X154" i="20"/>
  <c r="Y154" i="20"/>
  <c r="Z154" i="20"/>
  <c r="AA154" i="20"/>
  <c r="AB154" i="20"/>
  <c r="T155" i="20"/>
  <c r="U155" i="20"/>
  <c r="V155" i="20"/>
  <c r="W155" i="20"/>
  <c r="X155" i="20"/>
  <c r="Y155" i="20"/>
  <c r="Z155" i="20"/>
  <c r="AA155" i="20"/>
  <c r="AB155" i="20"/>
  <c r="T156" i="20"/>
  <c r="U156" i="20"/>
  <c r="V156" i="20"/>
  <c r="W156" i="20"/>
  <c r="X156" i="20"/>
  <c r="Y156" i="20"/>
  <c r="Z156" i="20"/>
  <c r="AA156" i="20"/>
  <c r="AB156" i="20"/>
  <c r="T157" i="20"/>
  <c r="U157" i="20"/>
  <c r="V157" i="20"/>
  <c r="W157" i="20"/>
  <c r="X157" i="20"/>
  <c r="Y157" i="20"/>
  <c r="Z157" i="20"/>
  <c r="AA157" i="20"/>
  <c r="AB157" i="20"/>
  <c r="T158" i="20"/>
  <c r="U158" i="20"/>
  <c r="V158" i="20"/>
  <c r="W158" i="20"/>
  <c r="X158" i="20"/>
  <c r="Y158" i="20"/>
  <c r="Z158" i="20"/>
  <c r="AA158" i="20"/>
  <c r="AB158" i="20"/>
  <c r="T159" i="20"/>
  <c r="U159" i="20"/>
  <c r="V159" i="20"/>
  <c r="W159" i="20"/>
  <c r="X159" i="20"/>
  <c r="Y159" i="20"/>
  <c r="Z159" i="20"/>
  <c r="AA159" i="20"/>
  <c r="AB159" i="20"/>
  <c r="T160" i="20"/>
  <c r="U160" i="20"/>
  <c r="V160" i="20"/>
  <c r="W160" i="20"/>
  <c r="X160" i="20"/>
  <c r="Y160" i="20"/>
  <c r="Z160" i="20"/>
  <c r="AA160" i="20"/>
  <c r="AB160" i="20"/>
  <c r="T161" i="20"/>
  <c r="U161" i="20"/>
  <c r="V161" i="20"/>
  <c r="W161" i="20"/>
  <c r="X161" i="20"/>
  <c r="Y161" i="20"/>
  <c r="Z161" i="20"/>
  <c r="AA161" i="20"/>
  <c r="AB161" i="20"/>
  <c r="T162" i="20"/>
  <c r="U162" i="20"/>
  <c r="V162" i="20"/>
  <c r="W162" i="20"/>
  <c r="X162" i="20"/>
  <c r="Y162" i="20"/>
  <c r="Z162" i="20"/>
  <c r="AA162" i="20"/>
  <c r="AB162" i="20"/>
  <c r="T163" i="20"/>
  <c r="U163" i="20"/>
  <c r="V163" i="20"/>
  <c r="W163" i="20"/>
  <c r="X163" i="20"/>
  <c r="Y163" i="20"/>
  <c r="Z163" i="20"/>
  <c r="AA163" i="20"/>
  <c r="AB163" i="20"/>
  <c r="T164" i="20"/>
  <c r="U164" i="20"/>
  <c r="V164" i="20"/>
  <c r="W164" i="20"/>
  <c r="X164" i="20"/>
  <c r="Y164" i="20"/>
  <c r="Z164" i="20"/>
  <c r="AA164" i="20"/>
  <c r="AB164" i="20"/>
  <c r="T165" i="20"/>
  <c r="U165" i="20"/>
  <c r="V165" i="20"/>
  <c r="W165" i="20"/>
  <c r="X165" i="20"/>
  <c r="Y165" i="20"/>
  <c r="Z165" i="20"/>
  <c r="AA165" i="20"/>
  <c r="AB165" i="20"/>
  <c r="T166" i="20"/>
  <c r="U166" i="20"/>
  <c r="V166" i="20"/>
  <c r="W166" i="20"/>
  <c r="X166" i="20"/>
  <c r="Y166" i="20"/>
  <c r="Z166" i="20"/>
  <c r="AA166" i="20"/>
  <c r="AB166" i="20"/>
  <c r="T167" i="20"/>
  <c r="U167" i="20"/>
  <c r="V167" i="20"/>
  <c r="W167" i="20"/>
  <c r="X167" i="20"/>
  <c r="Y167" i="20"/>
  <c r="Z167" i="20"/>
  <c r="AA167" i="20"/>
  <c r="AB167" i="20"/>
  <c r="T168" i="20"/>
  <c r="U168" i="20"/>
  <c r="V168" i="20"/>
  <c r="W168" i="20"/>
  <c r="X168" i="20"/>
  <c r="Y168" i="20"/>
  <c r="Z168" i="20"/>
  <c r="AA168" i="20"/>
  <c r="AB168" i="20"/>
  <c r="T169" i="20"/>
  <c r="U169" i="20"/>
  <c r="V169" i="20"/>
  <c r="W169" i="20"/>
  <c r="X169" i="20"/>
  <c r="Y169" i="20"/>
  <c r="Z169" i="20"/>
  <c r="AA169" i="20"/>
  <c r="AB169" i="20"/>
  <c r="T170" i="20"/>
  <c r="U170" i="20"/>
  <c r="V170" i="20"/>
  <c r="W170" i="20"/>
  <c r="X170" i="20"/>
  <c r="Y170" i="20"/>
  <c r="Z170" i="20"/>
  <c r="AA170" i="20"/>
  <c r="AB170" i="20"/>
  <c r="T171" i="20"/>
  <c r="U171" i="20"/>
  <c r="V171" i="20"/>
  <c r="W171" i="20"/>
  <c r="X171" i="20"/>
  <c r="Y171" i="20"/>
  <c r="Z171" i="20"/>
  <c r="AA171" i="20"/>
  <c r="AB171" i="20"/>
  <c r="T172" i="20"/>
  <c r="U172" i="20"/>
  <c r="V172" i="20"/>
  <c r="W172" i="20"/>
  <c r="X172" i="20"/>
  <c r="Y172" i="20"/>
  <c r="Z172" i="20"/>
  <c r="AA172" i="20"/>
  <c r="AB172" i="20"/>
  <c r="T173" i="20"/>
  <c r="U173" i="20"/>
  <c r="V173" i="20"/>
  <c r="W173" i="20"/>
  <c r="X173" i="20"/>
  <c r="Y173" i="20"/>
  <c r="Z173" i="20"/>
  <c r="AA173" i="20"/>
  <c r="AB173" i="20"/>
  <c r="T174" i="20"/>
  <c r="U174" i="20"/>
  <c r="V174" i="20"/>
  <c r="W174" i="20"/>
  <c r="X174" i="20"/>
  <c r="Y174" i="20"/>
  <c r="Z174" i="20"/>
  <c r="AA174" i="20"/>
  <c r="AB174" i="20"/>
  <c r="T175" i="20"/>
  <c r="U175" i="20"/>
  <c r="V175" i="20"/>
  <c r="W175" i="20"/>
  <c r="X175" i="20"/>
  <c r="Y175" i="20"/>
  <c r="Z175" i="20"/>
  <c r="AA175" i="20"/>
  <c r="AB175" i="20"/>
  <c r="T176" i="20"/>
  <c r="U176" i="20"/>
  <c r="V176" i="20"/>
  <c r="W176" i="20"/>
  <c r="X176" i="20"/>
  <c r="Y176" i="20"/>
  <c r="Z176" i="20"/>
  <c r="AA176" i="20"/>
  <c r="AB176" i="20"/>
  <c r="T177" i="20"/>
  <c r="U177" i="20"/>
  <c r="V177" i="20"/>
  <c r="W177" i="20"/>
  <c r="X177" i="20"/>
  <c r="Y177" i="20"/>
  <c r="Z177" i="20"/>
  <c r="AA177" i="20"/>
  <c r="AB177" i="20"/>
  <c r="T178" i="20"/>
  <c r="U178" i="20"/>
  <c r="V178" i="20"/>
  <c r="W178" i="20"/>
  <c r="X178" i="20"/>
  <c r="Y178" i="20"/>
  <c r="Z178" i="20"/>
  <c r="AA178" i="20"/>
  <c r="AB178" i="20"/>
  <c r="T179" i="20"/>
  <c r="U179" i="20"/>
  <c r="V179" i="20"/>
  <c r="W179" i="20"/>
  <c r="X179" i="20"/>
  <c r="Y179" i="20"/>
  <c r="Z179" i="20"/>
  <c r="AA179" i="20"/>
  <c r="AB179" i="20"/>
  <c r="T180" i="20"/>
  <c r="U180" i="20"/>
  <c r="V180" i="20"/>
  <c r="W180" i="20"/>
  <c r="X180" i="20"/>
  <c r="Y180" i="20"/>
  <c r="Z180" i="20"/>
  <c r="AA180" i="20"/>
  <c r="AB180" i="20"/>
  <c r="T181" i="20"/>
  <c r="U181" i="20"/>
  <c r="V181" i="20"/>
  <c r="W181" i="20"/>
  <c r="X181" i="20"/>
  <c r="Y181" i="20"/>
  <c r="Z181" i="20"/>
  <c r="AA181" i="20"/>
  <c r="AB181" i="20"/>
  <c r="T182" i="20"/>
  <c r="U182" i="20"/>
  <c r="V182" i="20"/>
  <c r="W182" i="20"/>
  <c r="X182" i="20"/>
  <c r="Y182" i="20"/>
  <c r="Z182" i="20"/>
  <c r="AA182" i="20"/>
  <c r="AB182" i="20"/>
  <c r="U4" i="20"/>
  <c r="V4" i="20"/>
  <c r="W4" i="20"/>
  <c r="X4" i="20"/>
  <c r="Y4" i="20"/>
  <c r="Z4" i="20"/>
  <c r="AA4" i="20"/>
  <c r="AB4" i="20"/>
  <c r="T4" i="20"/>
  <c r="AB3" i="20"/>
  <c r="V3" i="20"/>
  <c r="W3" i="20"/>
  <c r="X3" i="20"/>
  <c r="Y3" i="20"/>
  <c r="Z3" i="20"/>
  <c r="AA3" i="20"/>
  <c r="U3" i="20"/>
  <c r="T3" i="20"/>
  <c r="BA3" i="19"/>
  <c r="AT3" i="19"/>
  <c r="AU3" i="19"/>
  <c r="AV3" i="19"/>
  <c r="AW3" i="19"/>
  <c r="AX3" i="19"/>
  <c r="AY3" i="19"/>
  <c r="AS3" i="19"/>
  <c r="AQ3" i="19"/>
  <c r="AO3" i="19"/>
  <c r="B18" i="26"/>
  <c r="M19" i="26"/>
  <c r="K19" i="26"/>
  <c r="J19" i="26"/>
  <c r="I19" i="26"/>
  <c r="H19" i="26"/>
  <c r="G19" i="26"/>
  <c r="F19" i="26"/>
  <c r="E19" i="26"/>
  <c r="C19" i="26"/>
  <c r="K18" i="26"/>
  <c r="J18" i="26"/>
  <c r="I18" i="26"/>
  <c r="H18" i="26"/>
  <c r="G18" i="26"/>
  <c r="F18" i="26"/>
  <c r="D18" i="26"/>
  <c r="N18" i="26"/>
  <c r="L18" i="26"/>
  <c r="EL183" i="25" l="1"/>
  <c r="EM51" i="25"/>
  <c r="EN51" i="25"/>
  <c r="EO51" i="25"/>
  <c r="EP51" i="25"/>
  <c r="EQ51" i="25"/>
  <c r="ER51" i="25"/>
  <c r="ES51" i="25"/>
  <c r="ET51" i="25"/>
  <c r="EU51" i="25"/>
  <c r="EV51" i="25"/>
  <c r="EW51" i="25"/>
  <c r="EX51" i="25"/>
  <c r="EY51" i="25"/>
  <c r="EZ51" i="25"/>
  <c r="FA51" i="25"/>
  <c r="FB51" i="25"/>
  <c r="FC51" i="25"/>
  <c r="FD51" i="25"/>
  <c r="FE51" i="25"/>
  <c r="EM63" i="25"/>
  <c r="EN63" i="25"/>
  <c r="EO63" i="25"/>
  <c r="EP63" i="25"/>
  <c r="EQ63" i="25"/>
  <c r="ER63" i="25"/>
  <c r="ES63" i="25"/>
  <c r="ET63" i="25"/>
  <c r="EU63" i="25"/>
  <c r="EV63" i="25"/>
  <c r="EW63" i="25"/>
  <c r="EX63" i="25"/>
  <c r="EY63" i="25"/>
  <c r="EZ63" i="25"/>
  <c r="FA63" i="25"/>
  <c r="FB63" i="25"/>
  <c r="FC63" i="25"/>
  <c r="FD63" i="25"/>
  <c r="FE63" i="25"/>
  <c r="EM75" i="25"/>
  <c r="EN75" i="25"/>
  <c r="EO75" i="25"/>
  <c r="EP75" i="25"/>
  <c r="EQ75" i="25"/>
  <c r="ER75" i="25"/>
  <c r="ES75" i="25"/>
  <c r="ET75" i="25"/>
  <c r="EU75" i="25"/>
  <c r="EV75" i="25"/>
  <c r="EW75" i="25"/>
  <c r="EX75" i="25"/>
  <c r="EY75" i="25"/>
  <c r="EZ75" i="25"/>
  <c r="FA75" i="25"/>
  <c r="FB75" i="25"/>
  <c r="FC75" i="25"/>
  <c r="FD75" i="25"/>
  <c r="FE75" i="25"/>
  <c r="EM87" i="25"/>
  <c r="EN87" i="25"/>
  <c r="EO87" i="25"/>
  <c r="EP87" i="25"/>
  <c r="EQ87" i="25"/>
  <c r="ER87" i="25"/>
  <c r="ES87" i="25"/>
  <c r="ET87" i="25"/>
  <c r="EU87" i="25"/>
  <c r="EV87" i="25"/>
  <c r="EW87" i="25"/>
  <c r="EX87" i="25"/>
  <c r="EY87" i="25"/>
  <c r="EZ87" i="25"/>
  <c r="FA87" i="25"/>
  <c r="FB87" i="25"/>
  <c r="FC87" i="25"/>
  <c r="FD87" i="25"/>
  <c r="FE87" i="25"/>
  <c r="EM99" i="25"/>
  <c r="EN99" i="25"/>
  <c r="EO99" i="25"/>
  <c r="EP99" i="25"/>
  <c r="EQ99" i="25"/>
  <c r="ER99" i="25"/>
  <c r="ES99" i="25"/>
  <c r="ET99" i="25"/>
  <c r="EU99" i="25"/>
  <c r="EV99" i="25"/>
  <c r="EW99" i="25"/>
  <c r="EX99" i="25"/>
  <c r="EY99" i="25"/>
  <c r="EZ99" i="25"/>
  <c r="FA99" i="25"/>
  <c r="FB99" i="25"/>
  <c r="FC99" i="25"/>
  <c r="FD99" i="25"/>
  <c r="FE99" i="25"/>
  <c r="EM111" i="25"/>
  <c r="EN111" i="25"/>
  <c r="EO111" i="25"/>
  <c r="EP111" i="25"/>
  <c r="EQ111" i="25"/>
  <c r="ER111" i="25"/>
  <c r="ES111" i="25"/>
  <c r="ET111" i="25"/>
  <c r="EU111" i="25"/>
  <c r="EV111" i="25"/>
  <c r="EW111" i="25"/>
  <c r="EX111" i="25"/>
  <c r="EY111" i="25"/>
  <c r="EZ111" i="25"/>
  <c r="FA111" i="25"/>
  <c r="FB111" i="25"/>
  <c r="FC111" i="25"/>
  <c r="FD111" i="25"/>
  <c r="FE111" i="25"/>
  <c r="EM123" i="25"/>
  <c r="EN123" i="25"/>
  <c r="EO123" i="25"/>
  <c r="EP123" i="25"/>
  <c r="EQ123" i="25"/>
  <c r="ER123" i="25"/>
  <c r="ES123" i="25"/>
  <c r="ET123" i="25"/>
  <c r="EU123" i="25"/>
  <c r="EV123" i="25"/>
  <c r="EW123" i="25"/>
  <c r="EX123" i="25"/>
  <c r="EY123" i="25"/>
  <c r="EZ123" i="25"/>
  <c r="FA123" i="25"/>
  <c r="FB123" i="25"/>
  <c r="FC123" i="25"/>
  <c r="FD123" i="25"/>
  <c r="FE123" i="25"/>
  <c r="EM135" i="25"/>
  <c r="EN135" i="25"/>
  <c r="EO135" i="25"/>
  <c r="EP135" i="25"/>
  <c r="EQ135" i="25"/>
  <c r="ER135" i="25"/>
  <c r="ES135" i="25"/>
  <c r="ET135" i="25"/>
  <c r="EU135" i="25"/>
  <c r="EV135" i="25"/>
  <c r="EW135" i="25"/>
  <c r="EX135" i="25"/>
  <c r="EY135" i="25"/>
  <c r="EZ135" i="25"/>
  <c r="FA135" i="25"/>
  <c r="FB135" i="25"/>
  <c r="FC135" i="25"/>
  <c r="FD135" i="25"/>
  <c r="FE135" i="25"/>
  <c r="EM147" i="25"/>
  <c r="EN147" i="25"/>
  <c r="EO147" i="25"/>
  <c r="EP147" i="25"/>
  <c r="EQ147" i="25"/>
  <c r="ER147" i="25"/>
  <c r="ES147" i="25"/>
  <c r="ET147" i="25"/>
  <c r="EU147" i="25"/>
  <c r="EV147" i="25"/>
  <c r="EW147" i="25"/>
  <c r="EX147" i="25"/>
  <c r="EY147" i="25"/>
  <c r="EZ147" i="25"/>
  <c r="FA147" i="25"/>
  <c r="FB147" i="25"/>
  <c r="FC147" i="25"/>
  <c r="FD147" i="25"/>
  <c r="FE147" i="25"/>
  <c r="EM159" i="25"/>
  <c r="EN159" i="25"/>
  <c r="EO159" i="25"/>
  <c r="EP159" i="25"/>
  <c r="EQ159" i="25"/>
  <c r="ER159" i="25"/>
  <c r="ES159" i="25"/>
  <c r="ET159" i="25"/>
  <c r="EU159" i="25"/>
  <c r="EV159" i="25"/>
  <c r="EW159" i="25"/>
  <c r="EX159" i="25"/>
  <c r="EY159" i="25"/>
  <c r="EZ159" i="25"/>
  <c r="FA159" i="25"/>
  <c r="FB159" i="25"/>
  <c r="FC159" i="25"/>
  <c r="FD159" i="25"/>
  <c r="FE159" i="25"/>
  <c r="EM171" i="25"/>
  <c r="EN171" i="25"/>
  <c r="EO171" i="25"/>
  <c r="EP171" i="25"/>
  <c r="EQ171" i="25"/>
  <c r="ER171" i="25"/>
  <c r="ES171" i="25"/>
  <c r="ET171" i="25"/>
  <c r="EU171" i="25"/>
  <c r="EV171" i="25"/>
  <c r="EW171" i="25"/>
  <c r="EX171" i="25"/>
  <c r="EY171" i="25"/>
  <c r="EZ171" i="25"/>
  <c r="FA171" i="25"/>
  <c r="FB171" i="25"/>
  <c r="FC171" i="25"/>
  <c r="FD171" i="25"/>
  <c r="FE171" i="25"/>
  <c r="EL171" i="25"/>
  <c r="EL159" i="25"/>
  <c r="EL147" i="25"/>
  <c r="EL135" i="25"/>
  <c r="EL123" i="25"/>
  <c r="EL111" i="25"/>
  <c r="EL99" i="25"/>
  <c r="EL87" i="25"/>
  <c r="EL75" i="25"/>
  <c r="EL63" i="25"/>
  <c r="EL51" i="25"/>
  <c r="EM39" i="25"/>
  <c r="EN39" i="25"/>
  <c r="EO39" i="25"/>
  <c r="EP39" i="25"/>
  <c r="EQ39" i="25"/>
  <c r="ER39" i="25"/>
  <c r="ES39" i="25"/>
  <c r="ET39" i="25"/>
  <c r="EU39" i="25"/>
  <c r="EV39" i="25"/>
  <c r="EW39" i="25"/>
  <c r="EX39" i="25"/>
  <c r="EY39" i="25"/>
  <c r="EZ39" i="25"/>
  <c r="FA39" i="25"/>
  <c r="FB39" i="25"/>
  <c r="FC39" i="25"/>
  <c r="FD39" i="25"/>
  <c r="FE39" i="25"/>
  <c r="EL39" i="25"/>
  <c r="EM27" i="25"/>
  <c r="EN27" i="25"/>
  <c r="EO27" i="25"/>
  <c r="EP27" i="25"/>
  <c r="EQ27" i="25"/>
  <c r="ER27" i="25"/>
  <c r="ES27" i="25"/>
  <c r="ET27" i="25"/>
  <c r="EU27" i="25"/>
  <c r="EV27" i="25"/>
  <c r="EW27" i="25"/>
  <c r="EX27" i="25"/>
  <c r="EY27" i="25"/>
  <c r="EZ27" i="25"/>
  <c r="FA27" i="25"/>
  <c r="FB27" i="25"/>
  <c r="FC27" i="25"/>
  <c r="FD27" i="25"/>
  <c r="FE27" i="25"/>
  <c r="EL27" i="25"/>
  <c r="EM15" i="25"/>
  <c r="EN15" i="25"/>
  <c r="EO15" i="25"/>
  <c r="EP15" i="25"/>
  <c r="EQ15" i="25"/>
  <c r="ER15" i="25"/>
  <c r="ES15" i="25"/>
  <c r="ET15" i="25"/>
  <c r="EU15" i="25"/>
  <c r="EV15" i="25"/>
  <c r="EW15" i="25"/>
  <c r="EX15" i="25"/>
  <c r="EY15" i="25"/>
  <c r="EZ15" i="25"/>
  <c r="FA15" i="25"/>
  <c r="FB15" i="25"/>
  <c r="FC15" i="25"/>
  <c r="FD15" i="25"/>
  <c r="FE15" i="25"/>
  <c r="EL15" i="25"/>
  <c r="I203" i="25" l="1"/>
  <c r="H203" i="25"/>
  <c r="AY4" i="20" l="1"/>
  <c r="AZ4" i="20"/>
  <c r="BA4" i="20"/>
  <c r="BB4" i="20"/>
  <c r="BC4" i="20"/>
  <c r="AW4" i="20"/>
  <c r="AV4" i="20"/>
  <c r="AU4" i="20"/>
  <c r="BC3" i="20"/>
  <c r="BB3" i="20"/>
  <c r="BA3" i="20"/>
  <c r="AZ3" i="20"/>
  <c r="AY3" i="20"/>
  <c r="AX3" i="20"/>
  <c r="AW3" i="20"/>
  <c r="AV3" i="20"/>
  <c r="AU3" i="20"/>
  <c r="CA4" i="19"/>
  <c r="CA3" i="19"/>
  <c r="BY4" i="19"/>
  <c r="BY3" i="19"/>
  <c r="BX4" i="19"/>
  <c r="BX3" i="19"/>
  <c r="BQ4" i="19"/>
  <c r="BW4" i="19"/>
  <c r="BW3" i="19"/>
  <c r="BV3" i="19"/>
  <c r="BU4" i="19"/>
  <c r="BU3" i="19"/>
  <c r="BT3" i="19"/>
  <c r="BS4" i="19"/>
  <c r="BS3" i="19"/>
  <c r="BQ3" i="19"/>
  <c r="BO4" i="19"/>
  <c r="BO5" i="19"/>
  <c r="BO3" i="19"/>
  <c r="AP4" i="25" s="1"/>
  <c r="AA3" i="19"/>
  <c r="Y3" i="19"/>
  <c r="Q3" i="19"/>
  <c r="O3" i="19"/>
  <c r="BI5" i="25"/>
  <c r="BD4" i="25"/>
  <c r="BD5" i="25" s="1"/>
  <c r="AZ4" i="25"/>
  <c r="AQ4" i="25"/>
  <c r="BI4" i="25"/>
  <c r="AS4" i="25"/>
  <c r="BC4" i="25"/>
  <c r="BF4" i="25"/>
  <c r="BH4" i="25"/>
  <c r="B4" i="25"/>
  <c r="O4" i="19" s="1"/>
  <c r="C198" i="25"/>
  <c r="D198" i="25"/>
  <c r="E198" i="25"/>
  <c r="F198" i="25"/>
  <c r="G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8" i="25"/>
  <c r="AE4" i="25"/>
  <c r="AF4" i="25"/>
  <c r="V4" i="25"/>
  <c r="W4" i="25"/>
  <c r="X4" i="25"/>
  <c r="Y4" i="25"/>
  <c r="Z4" i="25"/>
  <c r="AA4" i="25"/>
  <c r="AG4" i="25"/>
  <c r="AH4" i="25"/>
  <c r="AI4" i="25"/>
  <c r="AJ4" i="25"/>
  <c r="AK4" i="25"/>
  <c r="AL4" i="25"/>
  <c r="AM4" i="25"/>
  <c r="AN4" i="25"/>
  <c r="AO4" i="25"/>
  <c r="E4" i="25"/>
  <c r="DR173" i="25"/>
  <c r="DS173" i="25"/>
  <c r="DT173" i="25"/>
  <c r="DU173" i="25"/>
  <c r="DV173" i="25"/>
  <c r="DW173" i="25"/>
  <c r="DX173" i="25"/>
  <c r="DY173" i="25"/>
  <c r="DZ173" i="25"/>
  <c r="EA173" i="25"/>
  <c r="EB173" i="25"/>
  <c r="EC173" i="25"/>
  <c r="ED173" i="25"/>
  <c r="EE173" i="25"/>
  <c r="EF173" i="25"/>
  <c r="EG173" i="25"/>
  <c r="EH173" i="25"/>
  <c r="EI173" i="25"/>
  <c r="EJ173" i="25"/>
  <c r="EK173" i="25"/>
  <c r="DR174" i="25"/>
  <c r="DS174" i="25"/>
  <c r="DT174" i="25"/>
  <c r="DU174" i="25"/>
  <c r="DV174" i="25"/>
  <c r="DW174" i="25"/>
  <c r="DX174" i="25"/>
  <c r="DY174" i="25"/>
  <c r="DZ174" i="25"/>
  <c r="EA174" i="25"/>
  <c r="EB174" i="25"/>
  <c r="EC174" i="25"/>
  <c r="ED174" i="25"/>
  <c r="EE174" i="25"/>
  <c r="EF174" i="25"/>
  <c r="EG174" i="25"/>
  <c r="EH174" i="25"/>
  <c r="EI174" i="25"/>
  <c r="EJ174" i="25"/>
  <c r="EK174" i="25"/>
  <c r="DR175" i="25"/>
  <c r="DS175" i="25"/>
  <c r="DT175" i="25"/>
  <c r="DU175" i="25"/>
  <c r="DV175" i="25"/>
  <c r="DW175" i="25"/>
  <c r="DX175" i="25"/>
  <c r="DY175" i="25"/>
  <c r="DZ175" i="25"/>
  <c r="EA175" i="25"/>
  <c r="EB175" i="25"/>
  <c r="EC175" i="25"/>
  <c r="ED175" i="25"/>
  <c r="EE175" i="25"/>
  <c r="EF175" i="25"/>
  <c r="EG175" i="25"/>
  <c r="EH175" i="25"/>
  <c r="EI175" i="25"/>
  <c r="EJ175" i="25"/>
  <c r="EK175" i="25"/>
  <c r="DR176" i="25"/>
  <c r="DS176" i="25"/>
  <c r="DT176" i="25"/>
  <c r="DU176" i="25"/>
  <c r="DV176" i="25"/>
  <c r="DW176" i="25"/>
  <c r="DX176" i="25"/>
  <c r="DY176" i="25"/>
  <c r="DZ176" i="25"/>
  <c r="EA176" i="25"/>
  <c r="EB176" i="25"/>
  <c r="EC176" i="25"/>
  <c r="ED176" i="25"/>
  <c r="EE176" i="25"/>
  <c r="EF176" i="25"/>
  <c r="EG176" i="25"/>
  <c r="EH176" i="25"/>
  <c r="EI176" i="25"/>
  <c r="EJ176" i="25"/>
  <c r="EK176" i="25"/>
  <c r="DR177" i="25"/>
  <c r="DS177" i="25"/>
  <c r="DT177" i="25"/>
  <c r="DU177" i="25"/>
  <c r="DV177" i="25"/>
  <c r="DW177" i="25"/>
  <c r="DX177" i="25"/>
  <c r="DY177" i="25"/>
  <c r="DZ177" i="25"/>
  <c r="EA177" i="25"/>
  <c r="EB177" i="25"/>
  <c r="EC177" i="25"/>
  <c r="ED177" i="25"/>
  <c r="EE177" i="25"/>
  <c r="EF177" i="25"/>
  <c r="EG177" i="25"/>
  <c r="EH177" i="25"/>
  <c r="EI177" i="25"/>
  <c r="EJ177" i="25"/>
  <c r="EK177" i="25"/>
  <c r="DR178" i="25"/>
  <c r="DS178" i="25"/>
  <c r="DT178" i="25"/>
  <c r="DU178" i="25"/>
  <c r="DV178" i="25"/>
  <c r="DW178" i="25"/>
  <c r="DX178" i="25"/>
  <c r="DY178" i="25"/>
  <c r="DZ178" i="25"/>
  <c r="EA178" i="25"/>
  <c r="EB178" i="25"/>
  <c r="EC178" i="25"/>
  <c r="ED178" i="25"/>
  <c r="EE178" i="25"/>
  <c r="EF178" i="25"/>
  <c r="EG178" i="25"/>
  <c r="EH178" i="25"/>
  <c r="EI178" i="25"/>
  <c r="EJ178" i="25"/>
  <c r="EK178" i="25"/>
  <c r="DR179" i="25"/>
  <c r="DS179" i="25"/>
  <c r="DT179" i="25"/>
  <c r="DU179" i="25"/>
  <c r="DV179" i="25"/>
  <c r="DW179" i="25"/>
  <c r="DX179" i="25"/>
  <c r="DY179" i="25"/>
  <c r="DZ179" i="25"/>
  <c r="EA179" i="25"/>
  <c r="EB179" i="25"/>
  <c r="EC179" i="25"/>
  <c r="ED179" i="25"/>
  <c r="EE179" i="25"/>
  <c r="EF179" i="25"/>
  <c r="EG179" i="25"/>
  <c r="EH179" i="25"/>
  <c r="EI179" i="25"/>
  <c r="EJ179" i="25"/>
  <c r="EK179" i="25"/>
  <c r="DR180" i="25"/>
  <c r="DS180" i="25"/>
  <c r="DT180" i="25"/>
  <c r="DU180" i="25"/>
  <c r="DV180" i="25"/>
  <c r="DW180" i="25"/>
  <c r="DX180" i="25"/>
  <c r="DY180" i="25"/>
  <c r="DZ180" i="25"/>
  <c r="EA180" i="25"/>
  <c r="EB180" i="25"/>
  <c r="EC180" i="25"/>
  <c r="ED180" i="25"/>
  <c r="EE180" i="25"/>
  <c r="EF180" i="25"/>
  <c r="EG180" i="25"/>
  <c r="EH180" i="25"/>
  <c r="EI180" i="25"/>
  <c r="EJ180" i="25"/>
  <c r="EK180" i="25"/>
  <c r="DR181" i="25"/>
  <c r="DS181" i="25"/>
  <c r="DT181" i="25"/>
  <c r="DU181" i="25"/>
  <c r="DV181" i="25"/>
  <c r="DW181" i="25"/>
  <c r="DX181" i="25"/>
  <c r="DY181" i="25"/>
  <c r="DZ181" i="25"/>
  <c r="EA181" i="25"/>
  <c r="EB181" i="25"/>
  <c r="EC181" i="25"/>
  <c r="ED181" i="25"/>
  <c r="EE181" i="25"/>
  <c r="EF181" i="25"/>
  <c r="EG181" i="25"/>
  <c r="EH181" i="25"/>
  <c r="EI181" i="25"/>
  <c r="EJ181" i="25"/>
  <c r="EK181" i="25"/>
  <c r="DR182" i="25"/>
  <c r="DS182" i="25"/>
  <c r="DT182" i="25"/>
  <c r="DU182" i="25"/>
  <c r="DV182" i="25"/>
  <c r="DW182" i="25"/>
  <c r="DX182" i="25"/>
  <c r="DY182" i="25"/>
  <c r="DZ182" i="25"/>
  <c r="EA182" i="25"/>
  <c r="EB182" i="25"/>
  <c r="EC182" i="25"/>
  <c r="ED182" i="25"/>
  <c r="EE182" i="25"/>
  <c r="EF182" i="25"/>
  <c r="EG182" i="25"/>
  <c r="EH182" i="25"/>
  <c r="EI182" i="25"/>
  <c r="EJ182" i="25"/>
  <c r="EK182" i="25"/>
  <c r="DS172" i="25"/>
  <c r="DT172" i="25"/>
  <c r="DU172" i="25"/>
  <c r="DV172" i="25"/>
  <c r="DW172" i="25"/>
  <c r="DX172" i="25"/>
  <c r="DY172" i="25"/>
  <c r="DZ172" i="25"/>
  <c r="EA172" i="25"/>
  <c r="EB172" i="25"/>
  <c r="EC172" i="25"/>
  <c r="ED172" i="25"/>
  <c r="EE172" i="25"/>
  <c r="EF172" i="25"/>
  <c r="EG172" i="25"/>
  <c r="EH172" i="25"/>
  <c r="EI172" i="25"/>
  <c r="EJ172" i="25"/>
  <c r="EK172" i="25"/>
  <c r="DR172" i="25"/>
  <c r="DR161" i="25"/>
  <c r="DS161" i="25"/>
  <c r="DT161" i="25"/>
  <c r="DU161" i="25"/>
  <c r="DV161" i="25"/>
  <c r="DW161" i="25"/>
  <c r="DX161" i="25"/>
  <c r="DY161" i="25"/>
  <c r="DZ161" i="25"/>
  <c r="EA161" i="25"/>
  <c r="EB161" i="25"/>
  <c r="EC161" i="25"/>
  <c r="ED161" i="25"/>
  <c r="EE161" i="25"/>
  <c r="EF161" i="25"/>
  <c r="EG161" i="25"/>
  <c r="EH161" i="25"/>
  <c r="EI161" i="25"/>
  <c r="EJ161" i="25"/>
  <c r="EK161" i="25"/>
  <c r="DR162" i="25"/>
  <c r="DS162" i="25"/>
  <c r="DT162" i="25"/>
  <c r="DU162" i="25"/>
  <c r="DV162" i="25"/>
  <c r="DW162" i="25"/>
  <c r="DX162" i="25"/>
  <c r="DY162" i="25"/>
  <c r="DZ162" i="25"/>
  <c r="EA162" i="25"/>
  <c r="EB162" i="25"/>
  <c r="EC162" i="25"/>
  <c r="ED162" i="25"/>
  <c r="EE162" i="25"/>
  <c r="EF162" i="25"/>
  <c r="EG162" i="25"/>
  <c r="EH162" i="25"/>
  <c r="EI162" i="25"/>
  <c r="EJ162" i="25"/>
  <c r="EK162" i="25"/>
  <c r="DR163" i="25"/>
  <c r="DS163" i="25"/>
  <c r="DT163" i="25"/>
  <c r="DU163" i="25"/>
  <c r="DV163" i="25"/>
  <c r="DW163" i="25"/>
  <c r="DX163" i="25"/>
  <c r="DY163" i="25"/>
  <c r="DZ163" i="25"/>
  <c r="EA163" i="25"/>
  <c r="EB163" i="25"/>
  <c r="EC163" i="25"/>
  <c r="ED163" i="25"/>
  <c r="EE163" i="25"/>
  <c r="EF163" i="25"/>
  <c r="EG163" i="25"/>
  <c r="EH163" i="25"/>
  <c r="EI163" i="25"/>
  <c r="EJ163" i="25"/>
  <c r="EK163" i="25"/>
  <c r="DR164" i="25"/>
  <c r="DS164" i="25"/>
  <c r="DT164" i="25"/>
  <c r="DU164" i="25"/>
  <c r="DV164" i="25"/>
  <c r="DW164" i="25"/>
  <c r="DX164" i="25"/>
  <c r="DY164" i="25"/>
  <c r="DZ164" i="25"/>
  <c r="EA164" i="25"/>
  <c r="EB164" i="25"/>
  <c r="EC164" i="25"/>
  <c r="ED164" i="25"/>
  <c r="EE164" i="25"/>
  <c r="EF164" i="25"/>
  <c r="EG164" i="25"/>
  <c r="EH164" i="25"/>
  <c r="EI164" i="25"/>
  <c r="EJ164" i="25"/>
  <c r="EK164" i="25"/>
  <c r="DR165" i="25"/>
  <c r="DS165" i="25"/>
  <c r="DT165" i="25"/>
  <c r="DU165" i="25"/>
  <c r="DV165" i="25"/>
  <c r="DW165" i="25"/>
  <c r="DX165" i="25"/>
  <c r="DY165" i="25"/>
  <c r="DZ165" i="25"/>
  <c r="EA165" i="25"/>
  <c r="EB165" i="25"/>
  <c r="EC165" i="25"/>
  <c r="ED165" i="25"/>
  <c r="EE165" i="25"/>
  <c r="EF165" i="25"/>
  <c r="EG165" i="25"/>
  <c r="EH165" i="25"/>
  <c r="EI165" i="25"/>
  <c r="EJ165" i="25"/>
  <c r="EK165" i="25"/>
  <c r="DR166" i="25"/>
  <c r="DS166" i="25"/>
  <c r="DT166" i="25"/>
  <c r="DU166" i="25"/>
  <c r="DV166" i="25"/>
  <c r="DW166" i="25"/>
  <c r="DX166" i="25"/>
  <c r="DY166" i="25"/>
  <c r="DZ166" i="25"/>
  <c r="EA166" i="25"/>
  <c r="EB166" i="25"/>
  <c r="EC166" i="25"/>
  <c r="ED166" i="25"/>
  <c r="EE166" i="25"/>
  <c r="EF166" i="25"/>
  <c r="EG166" i="25"/>
  <c r="EH166" i="25"/>
  <c r="EI166" i="25"/>
  <c r="EJ166" i="25"/>
  <c r="EK166" i="25"/>
  <c r="DR167" i="25"/>
  <c r="DS167" i="25"/>
  <c r="DT167" i="25"/>
  <c r="DU167" i="25"/>
  <c r="DV167" i="25"/>
  <c r="DW167" i="25"/>
  <c r="DX167" i="25"/>
  <c r="DY167" i="25"/>
  <c r="DZ167" i="25"/>
  <c r="EA167" i="25"/>
  <c r="EB167" i="25"/>
  <c r="EC167" i="25"/>
  <c r="ED167" i="25"/>
  <c r="EE167" i="25"/>
  <c r="EF167" i="25"/>
  <c r="EG167" i="25"/>
  <c r="EH167" i="25"/>
  <c r="EI167" i="25"/>
  <c r="EJ167" i="25"/>
  <c r="EK167" i="25"/>
  <c r="DR168" i="25"/>
  <c r="DS168" i="25"/>
  <c r="DT168" i="25"/>
  <c r="DU168" i="25"/>
  <c r="DV168" i="25"/>
  <c r="DW168" i="25"/>
  <c r="DX168" i="25"/>
  <c r="DY168" i="25"/>
  <c r="DZ168" i="25"/>
  <c r="EA168" i="25"/>
  <c r="EB168" i="25"/>
  <c r="EC168" i="25"/>
  <c r="ED168" i="25"/>
  <c r="EE168" i="25"/>
  <c r="EF168" i="25"/>
  <c r="EG168" i="25"/>
  <c r="EH168" i="25"/>
  <c r="EI168" i="25"/>
  <c r="EJ168" i="25"/>
  <c r="EK168" i="25"/>
  <c r="DR169" i="25"/>
  <c r="DS169" i="25"/>
  <c r="DT169" i="25"/>
  <c r="DU169" i="25"/>
  <c r="DV169" i="25"/>
  <c r="DW169" i="25"/>
  <c r="DX169" i="25"/>
  <c r="DY169" i="25"/>
  <c r="DZ169" i="25"/>
  <c r="EA169" i="25"/>
  <c r="EB169" i="25"/>
  <c r="EC169" i="25"/>
  <c r="ED169" i="25"/>
  <c r="EE169" i="25"/>
  <c r="EF169" i="25"/>
  <c r="EG169" i="25"/>
  <c r="EH169" i="25"/>
  <c r="EI169" i="25"/>
  <c r="EJ169" i="25"/>
  <c r="EK169" i="25"/>
  <c r="DR170" i="25"/>
  <c r="DS170" i="25"/>
  <c r="DT170" i="25"/>
  <c r="DU170" i="25"/>
  <c r="DV170" i="25"/>
  <c r="DW170" i="25"/>
  <c r="DX170" i="25"/>
  <c r="DY170" i="25"/>
  <c r="DZ170" i="25"/>
  <c r="EA170" i="25"/>
  <c r="EB170" i="25"/>
  <c r="EC170" i="25"/>
  <c r="ED170" i="25"/>
  <c r="EE170" i="25"/>
  <c r="EF170" i="25"/>
  <c r="EG170" i="25"/>
  <c r="EH170" i="25"/>
  <c r="EI170" i="25"/>
  <c r="EJ170" i="25"/>
  <c r="EK170" i="25"/>
  <c r="DS160" i="25"/>
  <c r="DT160" i="25"/>
  <c r="DU160" i="25"/>
  <c r="DV160" i="25"/>
  <c r="DW160" i="25"/>
  <c r="DX160" i="25"/>
  <c r="DY160" i="25"/>
  <c r="DZ160" i="25"/>
  <c r="EA160" i="25"/>
  <c r="EB160" i="25"/>
  <c r="EC160" i="25"/>
  <c r="ED160" i="25"/>
  <c r="EE160" i="25"/>
  <c r="EF160" i="25"/>
  <c r="EG160" i="25"/>
  <c r="EH160" i="25"/>
  <c r="EI160" i="25"/>
  <c r="EJ160" i="25"/>
  <c r="EK160" i="25"/>
  <c r="DR160" i="25"/>
  <c r="DR149" i="25"/>
  <c r="DS149" i="25"/>
  <c r="DT149" i="25"/>
  <c r="DU149" i="25"/>
  <c r="DV149" i="25"/>
  <c r="DW149" i="25"/>
  <c r="DX149" i="25"/>
  <c r="DY149" i="25"/>
  <c r="DZ149" i="25"/>
  <c r="EA149" i="25"/>
  <c r="EB149" i="25"/>
  <c r="EC149" i="25"/>
  <c r="ED149" i="25"/>
  <c r="EE149" i="25"/>
  <c r="EF149" i="25"/>
  <c r="EG149" i="25"/>
  <c r="EH149" i="25"/>
  <c r="EI149" i="25"/>
  <c r="EJ149" i="25"/>
  <c r="EK149" i="25"/>
  <c r="DR150" i="25"/>
  <c r="DS150" i="25"/>
  <c r="DT150" i="25"/>
  <c r="DU150" i="25"/>
  <c r="DV150" i="25"/>
  <c r="DW150" i="25"/>
  <c r="DX150" i="25"/>
  <c r="DY150" i="25"/>
  <c r="DZ150" i="25"/>
  <c r="EA150" i="25"/>
  <c r="EB150" i="25"/>
  <c r="EC150" i="25"/>
  <c r="ED150" i="25"/>
  <c r="EE150" i="25"/>
  <c r="EF150" i="25"/>
  <c r="EG150" i="25"/>
  <c r="EH150" i="25"/>
  <c r="EI150" i="25"/>
  <c r="EJ150" i="25"/>
  <c r="EK150" i="25"/>
  <c r="DR151" i="25"/>
  <c r="DS151" i="25"/>
  <c r="DT151" i="25"/>
  <c r="DU151" i="25"/>
  <c r="DV151" i="25"/>
  <c r="DW151" i="25"/>
  <c r="DX151" i="25"/>
  <c r="DY151" i="25"/>
  <c r="DZ151" i="25"/>
  <c r="EA151" i="25"/>
  <c r="EB151" i="25"/>
  <c r="EC151" i="25"/>
  <c r="ED151" i="25"/>
  <c r="EE151" i="25"/>
  <c r="EF151" i="25"/>
  <c r="EG151" i="25"/>
  <c r="EH151" i="25"/>
  <c r="EI151" i="25"/>
  <c r="EJ151" i="25"/>
  <c r="EK151" i="25"/>
  <c r="DR152" i="25"/>
  <c r="DS152" i="25"/>
  <c r="DT152" i="25"/>
  <c r="DU152" i="25"/>
  <c r="DV152" i="25"/>
  <c r="DW152" i="25"/>
  <c r="DX152" i="25"/>
  <c r="DY152" i="25"/>
  <c r="DZ152" i="25"/>
  <c r="EA152" i="25"/>
  <c r="EB152" i="25"/>
  <c r="EC152" i="25"/>
  <c r="ED152" i="25"/>
  <c r="EE152" i="25"/>
  <c r="EF152" i="25"/>
  <c r="EG152" i="25"/>
  <c r="EH152" i="25"/>
  <c r="EI152" i="25"/>
  <c r="EJ152" i="25"/>
  <c r="EK152" i="25"/>
  <c r="DR153" i="25"/>
  <c r="DS153" i="25"/>
  <c r="DT153" i="25"/>
  <c r="DU153" i="25"/>
  <c r="DV153" i="25"/>
  <c r="DW153" i="25"/>
  <c r="DX153" i="25"/>
  <c r="DY153" i="25"/>
  <c r="DZ153" i="25"/>
  <c r="EA153" i="25"/>
  <c r="EB153" i="25"/>
  <c r="EC153" i="25"/>
  <c r="ED153" i="25"/>
  <c r="EE153" i="25"/>
  <c r="EF153" i="25"/>
  <c r="EG153" i="25"/>
  <c r="EH153" i="25"/>
  <c r="EI153" i="25"/>
  <c r="EJ153" i="25"/>
  <c r="EK153" i="25"/>
  <c r="DR154" i="25"/>
  <c r="DS154" i="25"/>
  <c r="DT154" i="25"/>
  <c r="DU154" i="25"/>
  <c r="DV154" i="25"/>
  <c r="DW154" i="25"/>
  <c r="DX154" i="25"/>
  <c r="DY154" i="25"/>
  <c r="DZ154" i="25"/>
  <c r="EA154" i="25"/>
  <c r="EB154" i="25"/>
  <c r="EC154" i="25"/>
  <c r="ED154" i="25"/>
  <c r="EE154" i="25"/>
  <c r="EF154" i="25"/>
  <c r="EG154" i="25"/>
  <c r="EH154" i="25"/>
  <c r="EI154" i="25"/>
  <c r="EJ154" i="25"/>
  <c r="EK154" i="25"/>
  <c r="DR155" i="25"/>
  <c r="DS155" i="25"/>
  <c r="DT155" i="25"/>
  <c r="DU155" i="25"/>
  <c r="DV155" i="25"/>
  <c r="DW155" i="25"/>
  <c r="DX155" i="25"/>
  <c r="DY155" i="25"/>
  <c r="DZ155" i="25"/>
  <c r="EA155" i="25"/>
  <c r="EB155" i="25"/>
  <c r="EC155" i="25"/>
  <c r="ED155" i="25"/>
  <c r="EE155" i="25"/>
  <c r="EF155" i="25"/>
  <c r="EG155" i="25"/>
  <c r="EH155" i="25"/>
  <c r="EI155" i="25"/>
  <c r="EJ155" i="25"/>
  <c r="EK155" i="25"/>
  <c r="DR156" i="25"/>
  <c r="DS156" i="25"/>
  <c r="DT156" i="25"/>
  <c r="DU156" i="25"/>
  <c r="DV156" i="25"/>
  <c r="DW156" i="25"/>
  <c r="DX156" i="25"/>
  <c r="DY156" i="25"/>
  <c r="DZ156" i="25"/>
  <c r="EA156" i="25"/>
  <c r="EB156" i="25"/>
  <c r="EC156" i="25"/>
  <c r="ED156" i="25"/>
  <c r="EE156" i="25"/>
  <c r="EF156" i="25"/>
  <c r="EG156" i="25"/>
  <c r="EH156" i="25"/>
  <c r="EI156" i="25"/>
  <c r="EJ156" i="25"/>
  <c r="EK156" i="25"/>
  <c r="DR157" i="25"/>
  <c r="DS157" i="25"/>
  <c r="DT157" i="25"/>
  <c r="DU157" i="25"/>
  <c r="DV157" i="25"/>
  <c r="DW157" i="25"/>
  <c r="DX157" i="25"/>
  <c r="DY157" i="25"/>
  <c r="DZ157" i="25"/>
  <c r="EA157" i="25"/>
  <c r="EB157" i="25"/>
  <c r="EC157" i="25"/>
  <c r="ED157" i="25"/>
  <c r="EE157" i="25"/>
  <c r="EF157" i="25"/>
  <c r="EG157" i="25"/>
  <c r="EH157" i="25"/>
  <c r="EI157" i="25"/>
  <c r="EJ157" i="25"/>
  <c r="EK157" i="25"/>
  <c r="DR158" i="25"/>
  <c r="DS158" i="25"/>
  <c r="DT158" i="25"/>
  <c r="DU158" i="25"/>
  <c r="DV158" i="25"/>
  <c r="DW158" i="25"/>
  <c r="DX158" i="25"/>
  <c r="DY158" i="25"/>
  <c r="DZ158" i="25"/>
  <c r="EA158" i="25"/>
  <c r="EB158" i="25"/>
  <c r="EC158" i="25"/>
  <c r="ED158" i="25"/>
  <c r="EE158" i="25"/>
  <c r="EF158" i="25"/>
  <c r="EG158" i="25"/>
  <c r="EH158" i="25"/>
  <c r="EI158" i="25"/>
  <c r="EJ158" i="25"/>
  <c r="EK158" i="25"/>
  <c r="DS148" i="25"/>
  <c r="DT148" i="25"/>
  <c r="DU148" i="25"/>
  <c r="DV148" i="25"/>
  <c r="DW148" i="25"/>
  <c r="DX148" i="25"/>
  <c r="DY148" i="25"/>
  <c r="DZ148" i="25"/>
  <c r="EA148" i="25"/>
  <c r="EB148" i="25"/>
  <c r="EC148" i="25"/>
  <c r="ED148" i="25"/>
  <c r="EE148" i="25"/>
  <c r="EF148" i="25"/>
  <c r="EG148" i="25"/>
  <c r="EH148" i="25"/>
  <c r="EI148" i="25"/>
  <c r="EJ148" i="25"/>
  <c r="EK148" i="25"/>
  <c r="DR148" i="25"/>
  <c r="DR137" i="25"/>
  <c r="DS137" i="25"/>
  <c r="DT137" i="25"/>
  <c r="DU137" i="25"/>
  <c r="DV137" i="25"/>
  <c r="DW137" i="25"/>
  <c r="DX137" i="25"/>
  <c r="DY137" i="25"/>
  <c r="DZ137" i="25"/>
  <c r="EA137" i="25"/>
  <c r="EB137" i="25"/>
  <c r="EC137" i="25"/>
  <c r="ED137" i="25"/>
  <c r="EE137" i="25"/>
  <c r="EF137" i="25"/>
  <c r="EG137" i="25"/>
  <c r="EH137" i="25"/>
  <c r="EI137" i="25"/>
  <c r="EJ137" i="25"/>
  <c r="EK137" i="25"/>
  <c r="DR138" i="25"/>
  <c r="DS138" i="25"/>
  <c r="DT138" i="25"/>
  <c r="DU138" i="25"/>
  <c r="DV138" i="25"/>
  <c r="DW138" i="25"/>
  <c r="DX138" i="25"/>
  <c r="DY138" i="25"/>
  <c r="DZ138" i="25"/>
  <c r="EA138" i="25"/>
  <c r="EB138" i="25"/>
  <c r="EC138" i="25"/>
  <c r="ED138" i="25"/>
  <c r="EE138" i="25"/>
  <c r="EF138" i="25"/>
  <c r="EG138" i="25"/>
  <c r="EH138" i="25"/>
  <c r="EI138" i="25"/>
  <c r="EJ138" i="25"/>
  <c r="EK138" i="25"/>
  <c r="DR139" i="25"/>
  <c r="DS139" i="25"/>
  <c r="DT139" i="25"/>
  <c r="DU139" i="25"/>
  <c r="DV139" i="25"/>
  <c r="DW139" i="25"/>
  <c r="DX139" i="25"/>
  <c r="DY139" i="25"/>
  <c r="DZ139" i="25"/>
  <c r="EA139" i="25"/>
  <c r="EB139" i="25"/>
  <c r="EC139" i="25"/>
  <c r="ED139" i="25"/>
  <c r="EE139" i="25"/>
  <c r="EF139" i="25"/>
  <c r="EG139" i="25"/>
  <c r="EH139" i="25"/>
  <c r="EI139" i="25"/>
  <c r="EJ139" i="25"/>
  <c r="EK139" i="25"/>
  <c r="DR140" i="25"/>
  <c r="DS140" i="25"/>
  <c r="DT140" i="25"/>
  <c r="DU140" i="25"/>
  <c r="DV140" i="25"/>
  <c r="DW140" i="25"/>
  <c r="DX140" i="25"/>
  <c r="DY140" i="25"/>
  <c r="DZ140" i="25"/>
  <c r="EA140" i="25"/>
  <c r="EB140" i="25"/>
  <c r="EC140" i="25"/>
  <c r="ED140" i="25"/>
  <c r="EE140" i="25"/>
  <c r="EF140" i="25"/>
  <c r="EG140" i="25"/>
  <c r="EH140" i="25"/>
  <c r="EI140" i="25"/>
  <c r="EJ140" i="25"/>
  <c r="EK140" i="25"/>
  <c r="DR141" i="25"/>
  <c r="DS141" i="25"/>
  <c r="DT141" i="25"/>
  <c r="DU141" i="25"/>
  <c r="DV141" i="25"/>
  <c r="DW141" i="25"/>
  <c r="DX141" i="25"/>
  <c r="DY141" i="25"/>
  <c r="DZ141" i="25"/>
  <c r="EA141" i="25"/>
  <c r="EB141" i="25"/>
  <c r="EC141" i="25"/>
  <c r="ED141" i="25"/>
  <c r="EE141" i="25"/>
  <c r="EF141" i="25"/>
  <c r="EG141" i="25"/>
  <c r="EH141" i="25"/>
  <c r="EI141" i="25"/>
  <c r="EJ141" i="25"/>
  <c r="EK141" i="25"/>
  <c r="DR142" i="25"/>
  <c r="DS142" i="25"/>
  <c r="DT142" i="25"/>
  <c r="DU142" i="25"/>
  <c r="DV142" i="25"/>
  <c r="DW142" i="25"/>
  <c r="DX142" i="25"/>
  <c r="DY142" i="25"/>
  <c r="DZ142" i="25"/>
  <c r="EA142" i="25"/>
  <c r="EB142" i="25"/>
  <c r="EC142" i="25"/>
  <c r="ED142" i="25"/>
  <c r="EE142" i="25"/>
  <c r="EF142" i="25"/>
  <c r="EG142" i="25"/>
  <c r="EH142" i="25"/>
  <c r="EI142" i="25"/>
  <c r="EJ142" i="25"/>
  <c r="EK142" i="25"/>
  <c r="DR143" i="25"/>
  <c r="DS143" i="25"/>
  <c r="DT143" i="25"/>
  <c r="DU143" i="25"/>
  <c r="DV143" i="25"/>
  <c r="DW143" i="25"/>
  <c r="DX143" i="25"/>
  <c r="DY143" i="25"/>
  <c r="DZ143" i="25"/>
  <c r="EA143" i="25"/>
  <c r="EB143" i="25"/>
  <c r="EC143" i="25"/>
  <c r="ED143" i="25"/>
  <c r="EE143" i="25"/>
  <c r="EF143" i="25"/>
  <c r="EG143" i="25"/>
  <c r="EH143" i="25"/>
  <c r="EI143" i="25"/>
  <c r="EJ143" i="25"/>
  <c r="EK143" i="25"/>
  <c r="DR144" i="25"/>
  <c r="DS144" i="25"/>
  <c r="DT144" i="25"/>
  <c r="DU144" i="25"/>
  <c r="DV144" i="25"/>
  <c r="DW144" i="25"/>
  <c r="DX144" i="25"/>
  <c r="DY144" i="25"/>
  <c r="DZ144" i="25"/>
  <c r="EA144" i="25"/>
  <c r="EB144" i="25"/>
  <c r="EC144" i="25"/>
  <c r="ED144" i="25"/>
  <c r="EE144" i="25"/>
  <c r="EF144" i="25"/>
  <c r="EG144" i="25"/>
  <c r="EH144" i="25"/>
  <c r="EI144" i="25"/>
  <c r="EJ144" i="25"/>
  <c r="EK144" i="25"/>
  <c r="DR145" i="25"/>
  <c r="DS145" i="25"/>
  <c r="DT145" i="25"/>
  <c r="DU145" i="25"/>
  <c r="DV145" i="25"/>
  <c r="DW145" i="25"/>
  <c r="DX145" i="25"/>
  <c r="DY145" i="25"/>
  <c r="DZ145" i="25"/>
  <c r="EA145" i="25"/>
  <c r="EB145" i="25"/>
  <c r="EC145" i="25"/>
  <c r="ED145" i="25"/>
  <c r="EE145" i="25"/>
  <c r="EF145" i="25"/>
  <c r="EG145" i="25"/>
  <c r="EH145" i="25"/>
  <c r="EI145" i="25"/>
  <c r="EJ145" i="25"/>
  <c r="EK145" i="25"/>
  <c r="DR146" i="25"/>
  <c r="DS146" i="25"/>
  <c r="DT146" i="25"/>
  <c r="DU146" i="25"/>
  <c r="DV146" i="25"/>
  <c r="DW146" i="25"/>
  <c r="DX146" i="25"/>
  <c r="DY146" i="25"/>
  <c r="DZ146" i="25"/>
  <c r="EA146" i="25"/>
  <c r="EB146" i="25"/>
  <c r="EC146" i="25"/>
  <c r="ED146" i="25"/>
  <c r="EE146" i="25"/>
  <c r="EF146" i="25"/>
  <c r="EG146" i="25"/>
  <c r="EH146" i="25"/>
  <c r="EI146" i="25"/>
  <c r="EJ146" i="25"/>
  <c r="EK146" i="25"/>
  <c r="DS136" i="25"/>
  <c r="DT136" i="25"/>
  <c r="DU136" i="25"/>
  <c r="DV136" i="25"/>
  <c r="DW136" i="25"/>
  <c r="DX136" i="25"/>
  <c r="DY136" i="25"/>
  <c r="DZ136" i="25"/>
  <c r="EA136" i="25"/>
  <c r="EB136" i="25"/>
  <c r="EC136" i="25"/>
  <c r="ED136" i="25"/>
  <c r="EE136" i="25"/>
  <c r="EF136" i="25"/>
  <c r="EG136" i="25"/>
  <c r="EH136" i="25"/>
  <c r="EI136" i="25"/>
  <c r="EJ136" i="25"/>
  <c r="EK136" i="25"/>
  <c r="DR136" i="25"/>
  <c r="DR125" i="25"/>
  <c r="DS125" i="25"/>
  <c r="DT125" i="25"/>
  <c r="DU125" i="25"/>
  <c r="DV125" i="25"/>
  <c r="DW125" i="25"/>
  <c r="DX125" i="25"/>
  <c r="DY125" i="25"/>
  <c r="DZ125" i="25"/>
  <c r="EA125" i="25"/>
  <c r="EB125" i="25"/>
  <c r="EC125" i="25"/>
  <c r="ED125" i="25"/>
  <c r="EE125" i="25"/>
  <c r="EF125" i="25"/>
  <c r="EG125" i="25"/>
  <c r="EH125" i="25"/>
  <c r="EI125" i="25"/>
  <c r="EJ125" i="25"/>
  <c r="EK125" i="25"/>
  <c r="DR126" i="25"/>
  <c r="DS126" i="25"/>
  <c r="DT126" i="25"/>
  <c r="DU126" i="25"/>
  <c r="DV126" i="25"/>
  <c r="DW126" i="25"/>
  <c r="DX126" i="25"/>
  <c r="DY126" i="25"/>
  <c r="DZ126" i="25"/>
  <c r="EA126" i="25"/>
  <c r="EB126" i="25"/>
  <c r="EC126" i="25"/>
  <c r="ED126" i="25"/>
  <c r="EE126" i="25"/>
  <c r="EF126" i="25"/>
  <c r="EG126" i="25"/>
  <c r="EH126" i="25"/>
  <c r="EI126" i="25"/>
  <c r="EJ126" i="25"/>
  <c r="EK126" i="25"/>
  <c r="DR127" i="25"/>
  <c r="DS127" i="25"/>
  <c r="DT127" i="25"/>
  <c r="DU127" i="25"/>
  <c r="DV127" i="25"/>
  <c r="DW127" i="25"/>
  <c r="DX127" i="25"/>
  <c r="DY127" i="25"/>
  <c r="DZ127" i="25"/>
  <c r="EA127" i="25"/>
  <c r="EB127" i="25"/>
  <c r="EC127" i="25"/>
  <c r="ED127" i="25"/>
  <c r="EE127" i="25"/>
  <c r="EF127" i="25"/>
  <c r="EG127" i="25"/>
  <c r="EH127" i="25"/>
  <c r="EI127" i="25"/>
  <c r="EJ127" i="25"/>
  <c r="EK127" i="25"/>
  <c r="DR128" i="25"/>
  <c r="DS128" i="25"/>
  <c r="DT128" i="25"/>
  <c r="DU128" i="25"/>
  <c r="DV128" i="25"/>
  <c r="DW128" i="25"/>
  <c r="DX128" i="25"/>
  <c r="DY128" i="25"/>
  <c r="DZ128" i="25"/>
  <c r="EA128" i="25"/>
  <c r="EB128" i="25"/>
  <c r="EC128" i="25"/>
  <c r="ED128" i="25"/>
  <c r="EE128" i="25"/>
  <c r="EF128" i="25"/>
  <c r="EG128" i="25"/>
  <c r="EH128" i="25"/>
  <c r="EI128" i="25"/>
  <c r="EJ128" i="25"/>
  <c r="EK128" i="25"/>
  <c r="DR129" i="25"/>
  <c r="DS129" i="25"/>
  <c r="DT129" i="25"/>
  <c r="DU129" i="25"/>
  <c r="DV129" i="25"/>
  <c r="DW129" i="25"/>
  <c r="DX129" i="25"/>
  <c r="DY129" i="25"/>
  <c r="DZ129" i="25"/>
  <c r="EA129" i="25"/>
  <c r="EB129" i="25"/>
  <c r="EC129" i="25"/>
  <c r="ED129" i="25"/>
  <c r="EE129" i="25"/>
  <c r="EF129" i="25"/>
  <c r="EG129" i="25"/>
  <c r="EH129" i="25"/>
  <c r="EI129" i="25"/>
  <c r="EJ129" i="25"/>
  <c r="EK129" i="25"/>
  <c r="DR130" i="25"/>
  <c r="DS130" i="25"/>
  <c r="DT130" i="25"/>
  <c r="DU130" i="25"/>
  <c r="DV130" i="25"/>
  <c r="DW130" i="25"/>
  <c r="DX130" i="25"/>
  <c r="DY130" i="25"/>
  <c r="DZ130" i="25"/>
  <c r="EA130" i="25"/>
  <c r="EB130" i="25"/>
  <c r="EC130" i="25"/>
  <c r="ED130" i="25"/>
  <c r="EE130" i="25"/>
  <c r="EF130" i="25"/>
  <c r="EG130" i="25"/>
  <c r="EH130" i="25"/>
  <c r="EI130" i="25"/>
  <c r="EJ130" i="25"/>
  <c r="EK130" i="25"/>
  <c r="DR131" i="25"/>
  <c r="DS131" i="25"/>
  <c r="DT131" i="25"/>
  <c r="DU131" i="25"/>
  <c r="DV131" i="25"/>
  <c r="DW131" i="25"/>
  <c r="DX131" i="25"/>
  <c r="DY131" i="25"/>
  <c r="DZ131" i="25"/>
  <c r="EA131" i="25"/>
  <c r="EB131" i="25"/>
  <c r="EC131" i="25"/>
  <c r="ED131" i="25"/>
  <c r="EE131" i="25"/>
  <c r="EF131" i="25"/>
  <c r="EG131" i="25"/>
  <c r="EH131" i="25"/>
  <c r="EI131" i="25"/>
  <c r="EJ131" i="25"/>
  <c r="EK131" i="25"/>
  <c r="DR132" i="25"/>
  <c r="DS132" i="25"/>
  <c r="DT132" i="25"/>
  <c r="DU132" i="25"/>
  <c r="DV132" i="25"/>
  <c r="DW132" i="25"/>
  <c r="DX132" i="25"/>
  <c r="DY132" i="25"/>
  <c r="DZ132" i="25"/>
  <c r="EA132" i="25"/>
  <c r="EB132" i="25"/>
  <c r="EC132" i="25"/>
  <c r="ED132" i="25"/>
  <c r="EE132" i="25"/>
  <c r="EF132" i="25"/>
  <c r="EG132" i="25"/>
  <c r="EH132" i="25"/>
  <c r="EI132" i="25"/>
  <c r="EJ132" i="25"/>
  <c r="EK132" i="25"/>
  <c r="DR133" i="25"/>
  <c r="DS133" i="25"/>
  <c r="DT133" i="25"/>
  <c r="DU133" i="25"/>
  <c r="DV133" i="25"/>
  <c r="DW133" i="25"/>
  <c r="DX133" i="25"/>
  <c r="DY133" i="25"/>
  <c r="DZ133" i="25"/>
  <c r="EA133" i="25"/>
  <c r="EB133" i="25"/>
  <c r="EC133" i="25"/>
  <c r="ED133" i="25"/>
  <c r="EE133" i="25"/>
  <c r="EF133" i="25"/>
  <c r="EG133" i="25"/>
  <c r="EH133" i="25"/>
  <c r="EI133" i="25"/>
  <c r="EJ133" i="25"/>
  <c r="EK133" i="25"/>
  <c r="DR134" i="25"/>
  <c r="DS134" i="25"/>
  <c r="DT134" i="25"/>
  <c r="DU134" i="25"/>
  <c r="DV134" i="25"/>
  <c r="DW134" i="25"/>
  <c r="DX134" i="25"/>
  <c r="DY134" i="25"/>
  <c r="DZ134" i="25"/>
  <c r="EA134" i="25"/>
  <c r="EB134" i="25"/>
  <c r="EC134" i="25"/>
  <c r="ED134" i="25"/>
  <c r="EE134" i="25"/>
  <c r="EF134" i="25"/>
  <c r="EG134" i="25"/>
  <c r="EH134" i="25"/>
  <c r="EI134" i="25"/>
  <c r="EJ134" i="25"/>
  <c r="EK134" i="25"/>
  <c r="DS124" i="25"/>
  <c r="DT124" i="25"/>
  <c r="DU124" i="25"/>
  <c r="DV124" i="25"/>
  <c r="DW124" i="25"/>
  <c r="DX124" i="25"/>
  <c r="DY124" i="25"/>
  <c r="DZ124" i="25"/>
  <c r="EA124" i="25"/>
  <c r="EB124" i="25"/>
  <c r="EC124" i="25"/>
  <c r="ED124" i="25"/>
  <c r="EE124" i="25"/>
  <c r="EF124" i="25"/>
  <c r="EG124" i="25"/>
  <c r="EH124" i="25"/>
  <c r="EI124" i="25"/>
  <c r="EJ124" i="25"/>
  <c r="EK124" i="25"/>
  <c r="DR124" i="25"/>
  <c r="DR113" i="25"/>
  <c r="DS113" i="25"/>
  <c r="DT113" i="25"/>
  <c r="DU113" i="25"/>
  <c r="DV113" i="25"/>
  <c r="DW113" i="25"/>
  <c r="DX113" i="25"/>
  <c r="DY113" i="25"/>
  <c r="DZ113" i="25"/>
  <c r="EA113" i="25"/>
  <c r="EB113" i="25"/>
  <c r="EC113" i="25"/>
  <c r="ED113" i="25"/>
  <c r="EE113" i="25"/>
  <c r="EF113" i="25"/>
  <c r="EG113" i="25"/>
  <c r="EH113" i="25"/>
  <c r="EI113" i="25"/>
  <c r="EJ113" i="25"/>
  <c r="EK113" i="25"/>
  <c r="DR114" i="25"/>
  <c r="DS114" i="25"/>
  <c r="DT114" i="25"/>
  <c r="DU114" i="25"/>
  <c r="DV114" i="25"/>
  <c r="DW114" i="25"/>
  <c r="DX114" i="25"/>
  <c r="DY114" i="25"/>
  <c r="DZ114" i="25"/>
  <c r="EA114" i="25"/>
  <c r="EB114" i="25"/>
  <c r="EC114" i="25"/>
  <c r="ED114" i="25"/>
  <c r="EE114" i="25"/>
  <c r="EF114" i="25"/>
  <c r="EG114" i="25"/>
  <c r="EH114" i="25"/>
  <c r="EI114" i="25"/>
  <c r="EJ114" i="25"/>
  <c r="EK114" i="25"/>
  <c r="DR115" i="25"/>
  <c r="DS115" i="25"/>
  <c r="DT115" i="25"/>
  <c r="DU115" i="25"/>
  <c r="DV115" i="25"/>
  <c r="DW115" i="25"/>
  <c r="DX115" i="25"/>
  <c r="DY115" i="25"/>
  <c r="DZ115" i="25"/>
  <c r="EA115" i="25"/>
  <c r="EB115" i="25"/>
  <c r="EC115" i="25"/>
  <c r="ED115" i="25"/>
  <c r="EE115" i="25"/>
  <c r="EF115" i="25"/>
  <c r="EG115" i="25"/>
  <c r="EH115" i="25"/>
  <c r="EI115" i="25"/>
  <c r="EJ115" i="25"/>
  <c r="EK115" i="25"/>
  <c r="DR116" i="25"/>
  <c r="DS116" i="25"/>
  <c r="DT116" i="25"/>
  <c r="DU116" i="25"/>
  <c r="DV116" i="25"/>
  <c r="DW116" i="25"/>
  <c r="DX116" i="25"/>
  <c r="DY116" i="25"/>
  <c r="DZ116" i="25"/>
  <c r="EA116" i="25"/>
  <c r="EB116" i="25"/>
  <c r="EC116" i="25"/>
  <c r="ED116" i="25"/>
  <c r="EE116" i="25"/>
  <c r="EF116" i="25"/>
  <c r="EG116" i="25"/>
  <c r="EH116" i="25"/>
  <c r="EI116" i="25"/>
  <c r="EJ116" i="25"/>
  <c r="EK116" i="25"/>
  <c r="DR117" i="25"/>
  <c r="DS117" i="25"/>
  <c r="DT117" i="25"/>
  <c r="DU117" i="25"/>
  <c r="DV117" i="25"/>
  <c r="DW117" i="25"/>
  <c r="DX117" i="25"/>
  <c r="DY117" i="25"/>
  <c r="DZ117" i="25"/>
  <c r="EA117" i="25"/>
  <c r="EB117" i="25"/>
  <c r="EC117" i="25"/>
  <c r="ED117" i="25"/>
  <c r="EE117" i="25"/>
  <c r="EF117" i="25"/>
  <c r="EG117" i="25"/>
  <c r="EH117" i="25"/>
  <c r="EI117" i="25"/>
  <c r="EJ117" i="25"/>
  <c r="EK117" i="25"/>
  <c r="DR118" i="25"/>
  <c r="DS118" i="25"/>
  <c r="DT118" i="25"/>
  <c r="DU118" i="25"/>
  <c r="DV118" i="25"/>
  <c r="DW118" i="25"/>
  <c r="DX118" i="25"/>
  <c r="DY118" i="25"/>
  <c r="DZ118" i="25"/>
  <c r="EA118" i="25"/>
  <c r="EB118" i="25"/>
  <c r="EC118" i="25"/>
  <c r="ED118" i="25"/>
  <c r="EE118" i="25"/>
  <c r="EF118" i="25"/>
  <c r="EG118" i="25"/>
  <c r="EH118" i="25"/>
  <c r="EI118" i="25"/>
  <c r="EJ118" i="25"/>
  <c r="EK118" i="25"/>
  <c r="DR119" i="25"/>
  <c r="DS119" i="25"/>
  <c r="DT119" i="25"/>
  <c r="DU119" i="25"/>
  <c r="DV119" i="25"/>
  <c r="DW119" i="25"/>
  <c r="DX119" i="25"/>
  <c r="DY119" i="25"/>
  <c r="DZ119" i="25"/>
  <c r="EA119" i="25"/>
  <c r="EB119" i="25"/>
  <c r="EC119" i="25"/>
  <c r="ED119" i="25"/>
  <c r="EE119" i="25"/>
  <c r="EF119" i="25"/>
  <c r="EG119" i="25"/>
  <c r="EH119" i="25"/>
  <c r="EI119" i="25"/>
  <c r="EJ119" i="25"/>
  <c r="EK119" i="25"/>
  <c r="DR120" i="25"/>
  <c r="DS120" i="25"/>
  <c r="DT120" i="25"/>
  <c r="DU120" i="25"/>
  <c r="DV120" i="25"/>
  <c r="DW120" i="25"/>
  <c r="DX120" i="25"/>
  <c r="DY120" i="25"/>
  <c r="DZ120" i="25"/>
  <c r="EA120" i="25"/>
  <c r="EB120" i="25"/>
  <c r="EC120" i="25"/>
  <c r="ED120" i="25"/>
  <c r="EE120" i="25"/>
  <c r="EF120" i="25"/>
  <c r="EG120" i="25"/>
  <c r="EH120" i="25"/>
  <c r="EI120" i="25"/>
  <c r="EJ120" i="25"/>
  <c r="EK120" i="25"/>
  <c r="DR121" i="25"/>
  <c r="DS121" i="25"/>
  <c r="DT121" i="25"/>
  <c r="DU121" i="25"/>
  <c r="DV121" i="25"/>
  <c r="DW121" i="25"/>
  <c r="DX121" i="25"/>
  <c r="DY121" i="25"/>
  <c r="DZ121" i="25"/>
  <c r="EA121" i="25"/>
  <c r="EB121" i="25"/>
  <c r="EC121" i="25"/>
  <c r="ED121" i="25"/>
  <c r="EE121" i="25"/>
  <c r="EF121" i="25"/>
  <c r="EG121" i="25"/>
  <c r="EH121" i="25"/>
  <c r="EI121" i="25"/>
  <c r="EJ121" i="25"/>
  <c r="EK121" i="25"/>
  <c r="DR122" i="25"/>
  <c r="DS122" i="25"/>
  <c r="DT122" i="25"/>
  <c r="DU122" i="25"/>
  <c r="DV122" i="25"/>
  <c r="DW122" i="25"/>
  <c r="DX122" i="25"/>
  <c r="DY122" i="25"/>
  <c r="DZ122" i="25"/>
  <c r="EA122" i="25"/>
  <c r="EB122" i="25"/>
  <c r="EC122" i="25"/>
  <c r="ED122" i="25"/>
  <c r="EE122" i="25"/>
  <c r="EF122" i="25"/>
  <c r="EG122" i="25"/>
  <c r="EH122" i="25"/>
  <c r="EI122" i="25"/>
  <c r="EJ122" i="25"/>
  <c r="EK122" i="25"/>
  <c r="DS112" i="25"/>
  <c r="DT112" i="25"/>
  <c r="DU112" i="25"/>
  <c r="DV112" i="25"/>
  <c r="DW112" i="25"/>
  <c r="DX112" i="25"/>
  <c r="DY112" i="25"/>
  <c r="DZ112" i="25"/>
  <c r="EA112" i="25"/>
  <c r="EB112" i="25"/>
  <c r="EC112" i="25"/>
  <c r="ED112" i="25"/>
  <c r="EE112" i="25"/>
  <c r="EF112" i="25"/>
  <c r="EG112" i="25"/>
  <c r="EH112" i="25"/>
  <c r="EI112" i="25"/>
  <c r="EJ112" i="25"/>
  <c r="EK112" i="25"/>
  <c r="DR112" i="25"/>
  <c r="DR101" i="25"/>
  <c r="DS101" i="25"/>
  <c r="DT101" i="25"/>
  <c r="DU101" i="25"/>
  <c r="DV101" i="25"/>
  <c r="DW101" i="25"/>
  <c r="DX101" i="25"/>
  <c r="DY101" i="25"/>
  <c r="DZ101" i="25"/>
  <c r="EA101" i="25"/>
  <c r="EB101" i="25"/>
  <c r="EC101" i="25"/>
  <c r="ED101" i="25"/>
  <c r="EE101" i="25"/>
  <c r="EF101" i="25"/>
  <c r="EG101" i="25"/>
  <c r="EH101" i="25"/>
  <c r="EI101" i="25"/>
  <c r="EJ101" i="25"/>
  <c r="EK101" i="25"/>
  <c r="DR102" i="25"/>
  <c r="DS102" i="25"/>
  <c r="DT102" i="25"/>
  <c r="DU102" i="25"/>
  <c r="DV102" i="25"/>
  <c r="DW102" i="25"/>
  <c r="DX102" i="25"/>
  <c r="DY102" i="25"/>
  <c r="DZ102" i="25"/>
  <c r="EA102" i="25"/>
  <c r="EB102" i="25"/>
  <c r="EC102" i="25"/>
  <c r="ED102" i="25"/>
  <c r="EE102" i="25"/>
  <c r="EF102" i="25"/>
  <c r="EG102" i="25"/>
  <c r="EH102" i="25"/>
  <c r="EI102" i="25"/>
  <c r="EJ102" i="25"/>
  <c r="EK102" i="25"/>
  <c r="DR103" i="25"/>
  <c r="DS103" i="25"/>
  <c r="DT103" i="25"/>
  <c r="DU103" i="25"/>
  <c r="DV103" i="25"/>
  <c r="DW103" i="25"/>
  <c r="DX103" i="25"/>
  <c r="DY103" i="25"/>
  <c r="DZ103" i="25"/>
  <c r="EA103" i="25"/>
  <c r="EB103" i="25"/>
  <c r="EC103" i="25"/>
  <c r="ED103" i="25"/>
  <c r="EE103" i="25"/>
  <c r="EF103" i="25"/>
  <c r="EG103" i="25"/>
  <c r="EH103" i="25"/>
  <c r="EI103" i="25"/>
  <c r="EJ103" i="25"/>
  <c r="EK103" i="25"/>
  <c r="DR104" i="25"/>
  <c r="DS104" i="25"/>
  <c r="DT104" i="25"/>
  <c r="DU104" i="25"/>
  <c r="DV104" i="25"/>
  <c r="DW104" i="25"/>
  <c r="DX104" i="25"/>
  <c r="DY104" i="25"/>
  <c r="DZ104" i="25"/>
  <c r="EA104" i="25"/>
  <c r="EB104" i="25"/>
  <c r="EC104" i="25"/>
  <c r="ED104" i="25"/>
  <c r="EE104" i="25"/>
  <c r="EF104" i="25"/>
  <c r="EG104" i="25"/>
  <c r="EH104" i="25"/>
  <c r="EI104" i="25"/>
  <c r="EJ104" i="25"/>
  <c r="EK104" i="25"/>
  <c r="DR105" i="25"/>
  <c r="DS105" i="25"/>
  <c r="DT105" i="25"/>
  <c r="DU105" i="25"/>
  <c r="DV105" i="25"/>
  <c r="DW105" i="25"/>
  <c r="DX105" i="25"/>
  <c r="DY105" i="25"/>
  <c r="DZ105" i="25"/>
  <c r="EA105" i="25"/>
  <c r="EB105" i="25"/>
  <c r="EC105" i="25"/>
  <c r="ED105" i="25"/>
  <c r="EE105" i="25"/>
  <c r="EF105" i="25"/>
  <c r="EG105" i="25"/>
  <c r="EH105" i="25"/>
  <c r="EI105" i="25"/>
  <c r="EJ105" i="25"/>
  <c r="EK105" i="25"/>
  <c r="DR106" i="25"/>
  <c r="DS106" i="25"/>
  <c r="DT106" i="25"/>
  <c r="DU106" i="25"/>
  <c r="DV106" i="25"/>
  <c r="DW106" i="25"/>
  <c r="DX106" i="25"/>
  <c r="DY106" i="25"/>
  <c r="DZ106" i="25"/>
  <c r="EA106" i="25"/>
  <c r="EB106" i="25"/>
  <c r="EC106" i="25"/>
  <c r="ED106" i="25"/>
  <c r="EE106" i="25"/>
  <c r="EF106" i="25"/>
  <c r="EG106" i="25"/>
  <c r="EH106" i="25"/>
  <c r="EI106" i="25"/>
  <c r="EJ106" i="25"/>
  <c r="EK106" i="25"/>
  <c r="DR107" i="25"/>
  <c r="DS107" i="25"/>
  <c r="DT107" i="25"/>
  <c r="DU107" i="25"/>
  <c r="DV107" i="25"/>
  <c r="DW107" i="25"/>
  <c r="DX107" i="25"/>
  <c r="DY107" i="25"/>
  <c r="DZ107" i="25"/>
  <c r="EA107" i="25"/>
  <c r="EB107" i="25"/>
  <c r="EC107" i="25"/>
  <c r="ED107" i="25"/>
  <c r="EE107" i="25"/>
  <c r="EF107" i="25"/>
  <c r="EG107" i="25"/>
  <c r="EH107" i="25"/>
  <c r="EI107" i="25"/>
  <c r="EJ107" i="25"/>
  <c r="EK107" i="25"/>
  <c r="DR108" i="25"/>
  <c r="DS108" i="25"/>
  <c r="DT108" i="25"/>
  <c r="DU108" i="25"/>
  <c r="DV108" i="25"/>
  <c r="DW108" i="25"/>
  <c r="DX108" i="25"/>
  <c r="DY108" i="25"/>
  <c r="DZ108" i="25"/>
  <c r="EA108" i="25"/>
  <c r="EB108" i="25"/>
  <c r="EC108" i="25"/>
  <c r="ED108" i="25"/>
  <c r="EE108" i="25"/>
  <c r="EF108" i="25"/>
  <c r="EG108" i="25"/>
  <c r="EH108" i="25"/>
  <c r="EI108" i="25"/>
  <c r="EJ108" i="25"/>
  <c r="EK108" i="25"/>
  <c r="DR109" i="25"/>
  <c r="DS109" i="25"/>
  <c r="DT109" i="25"/>
  <c r="DU109" i="25"/>
  <c r="DV109" i="25"/>
  <c r="DW109" i="25"/>
  <c r="DX109" i="25"/>
  <c r="DY109" i="25"/>
  <c r="DZ109" i="25"/>
  <c r="EA109" i="25"/>
  <c r="EB109" i="25"/>
  <c r="EC109" i="25"/>
  <c r="ED109" i="25"/>
  <c r="EE109" i="25"/>
  <c r="EF109" i="25"/>
  <c r="EG109" i="25"/>
  <c r="EH109" i="25"/>
  <c r="EI109" i="25"/>
  <c r="EJ109" i="25"/>
  <c r="EK109" i="25"/>
  <c r="DR110" i="25"/>
  <c r="DS110" i="25"/>
  <c r="DT110" i="25"/>
  <c r="DU110" i="25"/>
  <c r="DV110" i="25"/>
  <c r="DW110" i="25"/>
  <c r="DX110" i="25"/>
  <c r="DY110" i="25"/>
  <c r="DZ110" i="25"/>
  <c r="EA110" i="25"/>
  <c r="EB110" i="25"/>
  <c r="EC110" i="25"/>
  <c r="ED110" i="25"/>
  <c r="EE110" i="25"/>
  <c r="EF110" i="25"/>
  <c r="EG110" i="25"/>
  <c r="EH110" i="25"/>
  <c r="EI110" i="25"/>
  <c r="EJ110" i="25"/>
  <c r="EK110" i="25"/>
  <c r="DS100" i="25"/>
  <c r="DT100" i="25"/>
  <c r="DU100" i="25"/>
  <c r="DV100" i="25"/>
  <c r="DW100" i="25"/>
  <c r="DX100" i="25"/>
  <c r="DY100" i="25"/>
  <c r="DZ100" i="25"/>
  <c r="EA100" i="25"/>
  <c r="EB100" i="25"/>
  <c r="EC100" i="25"/>
  <c r="ED100" i="25"/>
  <c r="EE100" i="25"/>
  <c r="EF100" i="25"/>
  <c r="EG100" i="25"/>
  <c r="EH100" i="25"/>
  <c r="EI100" i="25"/>
  <c r="EJ100" i="25"/>
  <c r="EK100" i="25"/>
  <c r="DR100" i="25"/>
  <c r="DR89" i="25"/>
  <c r="DS89" i="25"/>
  <c r="DT89" i="25"/>
  <c r="DU89" i="25"/>
  <c r="DV89" i="25"/>
  <c r="DW89" i="25"/>
  <c r="DX89" i="25"/>
  <c r="DY89" i="25"/>
  <c r="DZ89" i="25"/>
  <c r="EA89" i="25"/>
  <c r="EB89" i="25"/>
  <c r="EC89" i="25"/>
  <c r="ED89" i="25"/>
  <c r="EE89" i="25"/>
  <c r="EF89" i="25"/>
  <c r="EG89" i="25"/>
  <c r="EH89" i="25"/>
  <c r="EI89" i="25"/>
  <c r="EJ89" i="25"/>
  <c r="EK89" i="25"/>
  <c r="DR90" i="25"/>
  <c r="DS90" i="25"/>
  <c r="DT90" i="25"/>
  <c r="DU90" i="25"/>
  <c r="DV90" i="25"/>
  <c r="DW90" i="25"/>
  <c r="DX90" i="25"/>
  <c r="DY90" i="25"/>
  <c r="DZ90" i="25"/>
  <c r="EA90" i="25"/>
  <c r="EB90" i="25"/>
  <c r="EC90" i="25"/>
  <c r="ED90" i="25"/>
  <c r="EE90" i="25"/>
  <c r="EF90" i="25"/>
  <c r="EG90" i="25"/>
  <c r="EH90" i="25"/>
  <c r="EI90" i="25"/>
  <c r="EJ90" i="25"/>
  <c r="EK90" i="25"/>
  <c r="DR91" i="25"/>
  <c r="DS91" i="25"/>
  <c r="DT91" i="25"/>
  <c r="DU91" i="25"/>
  <c r="DV91" i="25"/>
  <c r="DW91" i="25"/>
  <c r="DX91" i="25"/>
  <c r="DY91" i="25"/>
  <c r="DZ91" i="25"/>
  <c r="EA91" i="25"/>
  <c r="EB91" i="25"/>
  <c r="EC91" i="25"/>
  <c r="ED91" i="25"/>
  <c r="EE91" i="25"/>
  <c r="EF91" i="25"/>
  <c r="EG91" i="25"/>
  <c r="EH91" i="25"/>
  <c r="EI91" i="25"/>
  <c r="EJ91" i="25"/>
  <c r="EK91" i="25"/>
  <c r="DR92" i="25"/>
  <c r="DS92" i="25"/>
  <c r="DT92" i="25"/>
  <c r="DU92" i="25"/>
  <c r="DV92" i="25"/>
  <c r="DW92" i="25"/>
  <c r="DX92" i="25"/>
  <c r="DY92" i="25"/>
  <c r="DZ92" i="25"/>
  <c r="EA92" i="25"/>
  <c r="EB92" i="25"/>
  <c r="EC92" i="25"/>
  <c r="ED92" i="25"/>
  <c r="EE92" i="25"/>
  <c r="EF92" i="25"/>
  <c r="EG92" i="25"/>
  <c r="EH92" i="25"/>
  <c r="EI92" i="25"/>
  <c r="EJ92" i="25"/>
  <c r="EK92" i="25"/>
  <c r="DR93" i="25"/>
  <c r="DS93" i="25"/>
  <c r="DT93" i="25"/>
  <c r="DU93" i="25"/>
  <c r="DV93" i="25"/>
  <c r="DW93" i="25"/>
  <c r="DX93" i="25"/>
  <c r="DY93" i="25"/>
  <c r="DZ93" i="25"/>
  <c r="EA93" i="25"/>
  <c r="EB93" i="25"/>
  <c r="EC93" i="25"/>
  <c r="ED93" i="25"/>
  <c r="EE93" i="25"/>
  <c r="EF93" i="25"/>
  <c r="EG93" i="25"/>
  <c r="EH93" i="25"/>
  <c r="EI93" i="25"/>
  <c r="EJ93" i="25"/>
  <c r="EK93" i="25"/>
  <c r="DR94" i="25"/>
  <c r="DS94" i="25"/>
  <c r="DT94" i="25"/>
  <c r="DU94" i="25"/>
  <c r="DV94" i="25"/>
  <c r="DW94" i="25"/>
  <c r="DX94" i="25"/>
  <c r="DY94" i="25"/>
  <c r="DZ94" i="25"/>
  <c r="EA94" i="25"/>
  <c r="EB94" i="25"/>
  <c r="EC94" i="25"/>
  <c r="ED94" i="25"/>
  <c r="EE94" i="25"/>
  <c r="EF94" i="25"/>
  <c r="EG94" i="25"/>
  <c r="EH94" i="25"/>
  <c r="EI94" i="25"/>
  <c r="EJ94" i="25"/>
  <c r="EK94" i="25"/>
  <c r="DR95" i="25"/>
  <c r="DS95" i="25"/>
  <c r="DT95" i="25"/>
  <c r="DU95" i="25"/>
  <c r="DV95" i="25"/>
  <c r="DW95" i="25"/>
  <c r="DX95" i="25"/>
  <c r="DY95" i="25"/>
  <c r="DZ95" i="25"/>
  <c r="EA95" i="25"/>
  <c r="EB95" i="25"/>
  <c r="EC95" i="25"/>
  <c r="ED95" i="25"/>
  <c r="EE95" i="25"/>
  <c r="EF95" i="25"/>
  <c r="EG95" i="25"/>
  <c r="EH95" i="25"/>
  <c r="EI95" i="25"/>
  <c r="EJ95" i="25"/>
  <c r="EK95" i="25"/>
  <c r="DR96" i="25"/>
  <c r="DS96" i="25"/>
  <c r="DT96" i="25"/>
  <c r="DU96" i="25"/>
  <c r="DV96" i="25"/>
  <c r="DW96" i="25"/>
  <c r="DX96" i="25"/>
  <c r="DY96" i="25"/>
  <c r="DZ96" i="25"/>
  <c r="EA96" i="25"/>
  <c r="EB96" i="25"/>
  <c r="EC96" i="25"/>
  <c r="ED96" i="25"/>
  <c r="EE96" i="25"/>
  <c r="EF96" i="25"/>
  <c r="EG96" i="25"/>
  <c r="EH96" i="25"/>
  <c r="EI96" i="25"/>
  <c r="EJ96" i="25"/>
  <c r="EK96" i="25"/>
  <c r="DR97" i="25"/>
  <c r="DS97" i="25"/>
  <c r="DT97" i="25"/>
  <c r="DU97" i="25"/>
  <c r="DV97" i="25"/>
  <c r="DW97" i="25"/>
  <c r="DX97" i="25"/>
  <c r="DY97" i="25"/>
  <c r="DZ97" i="25"/>
  <c r="EA97" i="25"/>
  <c r="EB97" i="25"/>
  <c r="EC97" i="25"/>
  <c r="ED97" i="25"/>
  <c r="EE97" i="25"/>
  <c r="EF97" i="25"/>
  <c r="EG97" i="25"/>
  <c r="EH97" i="25"/>
  <c r="EI97" i="25"/>
  <c r="EJ97" i="25"/>
  <c r="EK97" i="25"/>
  <c r="DR98" i="25"/>
  <c r="DS98" i="25"/>
  <c r="DT98" i="25"/>
  <c r="DU98" i="25"/>
  <c r="DV98" i="25"/>
  <c r="DW98" i="25"/>
  <c r="DX98" i="25"/>
  <c r="DY98" i="25"/>
  <c r="DZ98" i="25"/>
  <c r="EA98" i="25"/>
  <c r="EB98" i="25"/>
  <c r="EC98" i="25"/>
  <c r="ED98" i="25"/>
  <c r="EE98" i="25"/>
  <c r="EF98" i="25"/>
  <c r="EG98" i="25"/>
  <c r="EH98" i="25"/>
  <c r="EI98" i="25"/>
  <c r="EJ98" i="25"/>
  <c r="EK98" i="25"/>
  <c r="DS88" i="25"/>
  <c r="DT88" i="25"/>
  <c r="DU88" i="25"/>
  <c r="DV88" i="25"/>
  <c r="DW88" i="25"/>
  <c r="DX88" i="25"/>
  <c r="DY88" i="25"/>
  <c r="DZ88" i="25"/>
  <c r="EA88" i="25"/>
  <c r="EB88" i="25"/>
  <c r="EC88" i="25"/>
  <c r="ED88" i="25"/>
  <c r="EE88" i="25"/>
  <c r="EF88" i="25"/>
  <c r="EG88" i="25"/>
  <c r="EH88" i="25"/>
  <c r="EI88" i="25"/>
  <c r="EJ88" i="25"/>
  <c r="EK88" i="25"/>
  <c r="DR88" i="25"/>
  <c r="DR77" i="25"/>
  <c r="DS77" i="25"/>
  <c r="DT77" i="25"/>
  <c r="DU77" i="25"/>
  <c r="DV77" i="25"/>
  <c r="DW77" i="25"/>
  <c r="DX77" i="25"/>
  <c r="DY77" i="25"/>
  <c r="DZ77" i="25"/>
  <c r="EA77" i="25"/>
  <c r="EB77" i="25"/>
  <c r="EC77" i="25"/>
  <c r="ED77" i="25"/>
  <c r="EE77" i="25"/>
  <c r="EF77" i="25"/>
  <c r="EG77" i="25"/>
  <c r="EH77" i="25"/>
  <c r="EI77" i="25"/>
  <c r="EJ77" i="25"/>
  <c r="EK77" i="25"/>
  <c r="DR78" i="25"/>
  <c r="DS78" i="25"/>
  <c r="DT78" i="25"/>
  <c r="DU78" i="25"/>
  <c r="DV78" i="25"/>
  <c r="DW78" i="25"/>
  <c r="DX78" i="25"/>
  <c r="DY78" i="25"/>
  <c r="DZ78" i="25"/>
  <c r="EA78" i="25"/>
  <c r="EB78" i="25"/>
  <c r="EC78" i="25"/>
  <c r="ED78" i="25"/>
  <c r="EE78" i="25"/>
  <c r="EF78" i="25"/>
  <c r="EG78" i="25"/>
  <c r="EH78" i="25"/>
  <c r="EI78" i="25"/>
  <c r="EJ78" i="25"/>
  <c r="EK78" i="25"/>
  <c r="DR79" i="25"/>
  <c r="DS79" i="25"/>
  <c r="DT79" i="25"/>
  <c r="DU79" i="25"/>
  <c r="DV79" i="25"/>
  <c r="DW79" i="25"/>
  <c r="DX79" i="25"/>
  <c r="DY79" i="25"/>
  <c r="DZ79" i="25"/>
  <c r="EA79" i="25"/>
  <c r="EB79" i="25"/>
  <c r="EC79" i="25"/>
  <c r="ED79" i="25"/>
  <c r="EE79" i="25"/>
  <c r="EF79" i="25"/>
  <c r="EG79" i="25"/>
  <c r="EH79" i="25"/>
  <c r="EI79" i="25"/>
  <c r="EJ79" i="25"/>
  <c r="EK79" i="25"/>
  <c r="DR80" i="25"/>
  <c r="DS80" i="25"/>
  <c r="DT80" i="25"/>
  <c r="DU80" i="25"/>
  <c r="DV80" i="25"/>
  <c r="DW80" i="25"/>
  <c r="DX80" i="25"/>
  <c r="DY80" i="25"/>
  <c r="DZ80" i="25"/>
  <c r="EA80" i="25"/>
  <c r="EB80" i="25"/>
  <c r="EC80" i="25"/>
  <c r="ED80" i="25"/>
  <c r="EE80" i="25"/>
  <c r="EF80" i="25"/>
  <c r="EG80" i="25"/>
  <c r="EH80" i="25"/>
  <c r="EI80" i="25"/>
  <c r="EJ80" i="25"/>
  <c r="EK80" i="25"/>
  <c r="DR81" i="25"/>
  <c r="DS81" i="25"/>
  <c r="DT81" i="25"/>
  <c r="DU81" i="25"/>
  <c r="DV81" i="25"/>
  <c r="DW81" i="25"/>
  <c r="DX81" i="25"/>
  <c r="DY81" i="25"/>
  <c r="DZ81" i="25"/>
  <c r="EA81" i="25"/>
  <c r="EB81" i="25"/>
  <c r="EC81" i="25"/>
  <c r="ED81" i="25"/>
  <c r="EE81" i="25"/>
  <c r="EF81" i="25"/>
  <c r="EG81" i="25"/>
  <c r="EH81" i="25"/>
  <c r="EI81" i="25"/>
  <c r="EJ81" i="25"/>
  <c r="EK81" i="25"/>
  <c r="DR82" i="25"/>
  <c r="DS82" i="25"/>
  <c r="DT82" i="25"/>
  <c r="DU82" i="25"/>
  <c r="DV82" i="25"/>
  <c r="DW82" i="25"/>
  <c r="DX82" i="25"/>
  <c r="DY82" i="25"/>
  <c r="DZ82" i="25"/>
  <c r="EA82" i="25"/>
  <c r="EB82" i="25"/>
  <c r="EC82" i="25"/>
  <c r="ED82" i="25"/>
  <c r="EE82" i="25"/>
  <c r="EF82" i="25"/>
  <c r="EG82" i="25"/>
  <c r="EH82" i="25"/>
  <c r="EI82" i="25"/>
  <c r="EJ82" i="25"/>
  <c r="EK82" i="25"/>
  <c r="DR83" i="25"/>
  <c r="DS83" i="25"/>
  <c r="DT83" i="25"/>
  <c r="DU83" i="25"/>
  <c r="DV83" i="25"/>
  <c r="DW83" i="25"/>
  <c r="DX83" i="25"/>
  <c r="DY83" i="25"/>
  <c r="DZ83" i="25"/>
  <c r="EA83" i="25"/>
  <c r="EB83" i="25"/>
  <c r="EC83" i="25"/>
  <c r="ED83" i="25"/>
  <c r="EE83" i="25"/>
  <c r="EF83" i="25"/>
  <c r="EG83" i="25"/>
  <c r="EH83" i="25"/>
  <c r="EI83" i="25"/>
  <c r="EJ83" i="25"/>
  <c r="EK83" i="25"/>
  <c r="DR84" i="25"/>
  <c r="DS84" i="25"/>
  <c r="DT84" i="25"/>
  <c r="DU84" i="25"/>
  <c r="DV84" i="25"/>
  <c r="DW84" i="25"/>
  <c r="DX84" i="25"/>
  <c r="DY84" i="25"/>
  <c r="DZ84" i="25"/>
  <c r="EA84" i="25"/>
  <c r="EB84" i="25"/>
  <c r="EC84" i="25"/>
  <c r="ED84" i="25"/>
  <c r="EE84" i="25"/>
  <c r="EF84" i="25"/>
  <c r="EG84" i="25"/>
  <c r="EH84" i="25"/>
  <c r="EI84" i="25"/>
  <c r="EJ84" i="25"/>
  <c r="EK84" i="25"/>
  <c r="DR85" i="25"/>
  <c r="DS85" i="25"/>
  <c r="DT85" i="25"/>
  <c r="DU85" i="25"/>
  <c r="DV85" i="25"/>
  <c r="DW85" i="25"/>
  <c r="DX85" i="25"/>
  <c r="DY85" i="25"/>
  <c r="DZ85" i="25"/>
  <c r="EA85" i="25"/>
  <c r="EB85" i="25"/>
  <c r="EC85" i="25"/>
  <c r="ED85" i="25"/>
  <c r="EE85" i="25"/>
  <c r="EF85" i="25"/>
  <c r="EG85" i="25"/>
  <c r="EH85" i="25"/>
  <c r="EI85" i="25"/>
  <c r="EJ85" i="25"/>
  <c r="EK85" i="25"/>
  <c r="DR86" i="25"/>
  <c r="DS86" i="25"/>
  <c r="DT86" i="25"/>
  <c r="DU86" i="25"/>
  <c r="DV86" i="25"/>
  <c r="DW86" i="25"/>
  <c r="DX86" i="25"/>
  <c r="DY86" i="25"/>
  <c r="DZ86" i="25"/>
  <c r="EA86" i="25"/>
  <c r="EB86" i="25"/>
  <c r="EC86" i="25"/>
  <c r="ED86" i="25"/>
  <c r="EE86" i="25"/>
  <c r="EF86" i="25"/>
  <c r="EG86" i="25"/>
  <c r="EH86" i="25"/>
  <c r="EI86" i="25"/>
  <c r="EJ86" i="25"/>
  <c r="EK86" i="25"/>
  <c r="DS76" i="25"/>
  <c r="DT76" i="25"/>
  <c r="DU76" i="25"/>
  <c r="DV76" i="25"/>
  <c r="DW76" i="25"/>
  <c r="DX76" i="25"/>
  <c r="DY76" i="25"/>
  <c r="DZ76" i="25"/>
  <c r="EA76" i="25"/>
  <c r="EB76" i="25"/>
  <c r="EC76" i="25"/>
  <c r="ED76" i="25"/>
  <c r="EE76" i="25"/>
  <c r="EF76" i="25"/>
  <c r="EG76" i="25"/>
  <c r="EH76" i="25"/>
  <c r="EI76" i="25"/>
  <c r="EJ76" i="25"/>
  <c r="EK76" i="25"/>
  <c r="DR76" i="25"/>
  <c r="DR65" i="25"/>
  <c r="DS65" i="25"/>
  <c r="DT65" i="25"/>
  <c r="DU65" i="25"/>
  <c r="DV65" i="25"/>
  <c r="DW65" i="25"/>
  <c r="DX65" i="25"/>
  <c r="DY65" i="25"/>
  <c r="DZ65" i="25"/>
  <c r="EA65" i="25"/>
  <c r="EB65" i="25"/>
  <c r="EC65" i="25"/>
  <c r="ED65" i="25"/>
  <c r="EE65" i="25"/>
  <c r="EF65" i="25"/>
  <c r="EG65" i="25"/>
  <c r="EH65" i="25"/>
  <c r="EI65" i="25"/>
  <c r="EJ65" i="25"/>
  <c r="EK65" i="25"/>
  <c r="DR66" i="25"/>
  <c r="DS66" i="25"/>
  <c r="DT66" i="25"/>
  <c r="DU66" i="25"/>
  <c r="DV66" i="25"/>
  <c r="DW66" i="25"/>
  <c r="DX66" i="25"/>
  <c r="DY66" i="25"/>
  <c r="DZ66" i="25"/>
  <c r="EA66" i="25"/>
  <c r="EB66" i="25"/>
  <c r="EC66" i="25"/>
  <c r="ED66" i="25"/>
  <c r="EE66" i="25"/>
  <c r="EF66" i="25"/>
  <c r="EG66" i="25"/>
  <c r="EH66" i="25"/>
  <c r="EI66" i="25"/>
  <c r="EJ66" i="25"/>
  <c r="EK66" i="25"/>
  <c r="DR67" i="25"/>
  <c r="DS67" i="25"/>
  <c r="DT67" i="25"/>
  <c r="DU67" i="25"/>
  <c r="DV67" i="25"/>
  <c r="DW67" i="25"/>
  <c r="DX67" i="25"/>
  <c r="DY67" i="25"/>
  <c r="DZ67" i="25"/>
  <c r="EA67" i="25"/>
  <c r="EB67" i="25"/>
  <c r="EC67" i="25"/>
  <c r="ED67" i="25"/>
  <c r="EE67" i="25"/>
  <c r="EF67" i="25"/>
  <c r="EG67" i="25"/>
  <c r="EH67" i="25"/>
  <c r="EI67" i="25"/>
  <c r="EJ67" i="25"/>
  <c r="EK67" i="25"/>
  <c r="DR68" i="25"/>
  <c r="DS68" i="25"/>
  <c r="DT68" i="25"/>
  <c r="DU68" i="25"/>
  <c r="DV68" i="25"/>
  <c r="DW68" i="25"/>
  <c r="DX68" i="25"/>
  <c r="DY68" i="25"/>
  <c r="DZ68" i="25"/>
  <c r="EA68" i="25"/>
  <c r="EB68" i="25"/>
  <c r="EC68" i="25"/>
  <c r="ED68" i="25"/>
  <c r="EE68" i="25"/>
  <c r="EF68" i="25"/>
  <c r="EG68" i="25"/>
  <c r="EH68" i="25"/>
  <c r="EI68" i="25"/>
  <c r="EJ68" i="25"/>
  <c r="EK68" i="25"/>
  <c r="DR69" i="25"/>
  <c r="DS69" i="25"/>
  <c r="DT69" i="25"/>
  <c r="DU69" i="25"/>
  <c r="DV69" i="25"/>
  <c r="DW69" i="25"/>
  <c r="DX69" i="25"/>
  <c r="DY69" i="25"/>
  <c r="DZ69" i="25"/>
  <c r="EA69" i="25"/>
  <c r="EB69" i="25"/>
  <c r="EC69" i="25"/>
  <c r="ED69" i="25"/>
  <c r="EE69" i="25"/>
  <c r="EF69" i="25"/>
  <c r="EG69" i="25"/>
  <c r="EH69" i="25"/>
  <c r="EI69" i="25"/>
  <c r="EJ69" i="25"/>
  <c r="EK69" i="25"/>
  <c r="DR70" i="25"/>
  <c r="DS70" i="25"/>
  <c r="DT70" i="25"/>
  <c r="DU70" i="25"/>
  <c r="DV70" i="25"/>
  <c r="DW70" i="25"/>
  <c r="DX70" i="25"/>
  <c r="DY70" i="25"/>
  <c r="DZ70" i="25"/>
  <c r="EA70" i="25"/>
  <c r="EB70" i="25"/>
  <c r="EC70" i="25"/>
  <c r="ED70" i="25"/>
  <c r="EE70" i="25"/>
  <c r="EF70" i="25"/>
  <c r="EG70" i="25"/>
  <c r="EH70" i="25"/>
  <c r="EI70" i="25"/>
  <c r="EJ70" i="25"/>
  <c r="EK70" i="25"/>
  <c r="DR71" i="25"/>
  <c r="DS71" i="25"/>
  <c r="DT71" i="25"/>
  <c r="DU71" i="25"/>
  <c r="DV71" i="25"/>
  <c r="DW71" i="25"/>
  <c r="DX71" i="25"/>
  <c r="DY71" i="25"/>
  <c r="DZ71" i="25"/>
  <c r="EA71" i="25"/>
  <c r="EB71" i="25"/>
  <c r="EC71" i="25"/>
  <c r="ED71" i="25"/>
  <c r="EE71" i="25"/>
  <c r="EF71" i="25"/>
  <c r="EG71" i="25"/>
  <c r="EH71" i="25"/>
  <c r="EI71" i="25"/>
  <c r="EJ71" i="25"/>
  <c r="EK71" i="25"/>
  <c r="DR72" i="25"/>
  <c r="DS72" i="25"/>
  <c r="DT72" i="25"/>
  <c r="DU72" i="25"/>
  <c r="DV72" i="25"/>
  <c r="DW72" i="25"/>
  <c r="DX72" i="25"/>
  <c r="DY72" i="25"/>
  <c r="DZ72" i="25"/>
  <c r="EA72" i="25"/>
  <c r="EB72" i="25"/>
  <c r="EC72" i="25"/>
  <c r="ED72" i="25"/>
  <c r="EE72" i="25"/>
  <c r="EF72" i="25"/>
  <c r="EG72" i="25"/>
  <c r="EH72" i="25"/>
  <c r="EI72" i="25"/>
  <c r="EJ72" i="25"/>
  <c r="EK72" i="25"/>
  <c r="DR73" i="25"/>
  <c r="DS73" i="25"/>
  <c r="DT73" i="25"/>
  <c r="DU73" i="25"/>
  <c r="DV73" i="25"/>
  <c r="DW73" i="25"/>
  <c r="DX73" i="25"/>
  <c r="DY73" i="25"/>
  <c r="DZ73" i="25"/>
  <c r="EA73" i="25"/>
  <c r="EB73" i="25"/>
  <c r="EC73" i="25"/>
  <c r="ED73" i="25"/>
  <c r="EE73" i="25"/>
  <c r="EF73" i="25"/>
  <c r="EG73" i="25"/>
  <c r="EH73" i="25"/>
  <c r="EI73" i="25"/>
  <c r="EJ73" i="25"/>
  <c r="EK73" i="25"/>
  <c r="DR74" i="25"/>
  <c r="DS74" i="25"/>
  <c r="DT74" i="25"/>
  <c r="DU74" i="25"/>
  <c r="DV74" i="25"/>
  <c r="DW74" i="25"/>
  <c r="DX74" i="25"/>
  <c r="DY74" i="25"/>
  <c r="DZ74" i="25"/>
  <c r="EA74" i="25"/>
  <c r="EB74" i="25"/>
  <c r="EC74" i="25"/>
  <c r="ED74" i="25"/>
  <c r="EE74" i="25"/>
  <c r="EF74" i="25"/>
  <c r="EG74" i="25"/>
  <c r="EH74" i="25"/>
  <c r="EI74" i="25"/>
  <c r="EJ74" i="25"/>
  <c r="EK74" i="25"/>
  <c r="DS64" i="25"/>
  <c r="DT64" i="25"/>
  <c r="DU64" i="25"/>
  <c r="DV64" i="25"/>
  <c r="DW64" i="25"/>
  <c r="DX64" i="25"/>
  <c r="DY64" i="25"/>
  <c r="DZ64" i="25"/>
  <c r="EA64" i="25"/>
  <c r="EB64" i="25"/>
  <c r="EC64" i="25"/>
  <c r="ED64" i="25"/>
  <c r="EE64" i="25"/>
  <c r="EF64" i="25"/>
  <c r="EG64" i="25"/>
  <c r="EH64" i="25"/>
  <c r="EI64" i="25"/>
  <c r="EJ64" i="25"/>
  <c r="EK64" i="25"/>
  <c r="DR64" i="25"/>
  <c r="DR53" i="25"/>
  <c r="DS53" i="25"/>
  <c r="DT53" i="25"/>
  <c r="DU53" i="25"/>
  <c r="DV53" i="25"/>
  <c r="DW53" i="25"/>
  <c r="DX53" i="25"/>
  <c r="DY53" i="25"/>
  <c r="DZ53" i="25"/>
  <c r="EA53" i="25"/>
  <c r="EB53" i="25"/>
  <c r="EC53" i="25"/>
  <c r="ED53" i="25"/>
  <c r="EE53" i="25"/>
  <c r="EF53" i="25"/>
  <c r="EG53" i="25"/>
  <c r="EH53" i="25"/>
  <c r="EI53" i="25"/>
  <c r="EJ53" i="25"/>
  <c r="EK53" i="25"/>
  <c r="DR54" i="25"/>
  <c r="DS54" i="25"/>
  <c r="DT54" i="25"/>
  <c r="DU54" i="25"/>
  <c r="DV54" i="25"/>
  <c r="DW54" i="25"/>
  <c r="DX54" i="25"/>
  <c r="DY54" i="25"/>
  <c r="DZ54" i="25"/>
  <c r="EA54" i="25"/>
  <c r="EB54" i="25"/>
  <c r="EC54" i="25"/>
  <c r="ED54" i="25"/>
  <c r="EE54" i="25"/>
  <c r="EF54" i="25"/>
  <c r="EG54" i="25"/>
  <c r="EH54" i="25"/>
  <c r="EI54" i="25"/>
  <c r="EJ54" i="25"/>
  <c r="EK54" i="25"/>
  <c r="DR55" i="25"/>
  <c r="DS55" i="25"/>
  <c r="DT55" i="25"/>
  <c r="DU55" i="25"/>
  <c r="DV55" i="25"/>
  <c r="DW55" i="25"/>
  <c r="DX55" i="25"/>
  <c r="DY55" i="25"/>
  <c r="DZ55" i="25"/>
  <c r="EA55" i="25"/>
  <c r="EB55" i="25"/>
  <c r="EC55" i="25"/>
  <c r="ED55" i="25"/>
  <c r="EE55" i="25"/>
  <c r="EF55" i="25"/>
  <c r="EG55" i="25"/>
  <c r="EH55" i="25"/>
  <c r="EI55" i="25"/>
  <c r="EJ55" i="25"/>
  <c r="EK55" i="25"/>
  <c r="DR56" i="25"/>
  <c r="DS56" i="25"/>
  <c r="DT56" i="25"/>
  <c r="DU56" i="25"/>
  <c r="DV56" i="25"/>
  <c r="DW56" i="25"/>
  <c r="DX56" i="25"/>
  <c r="DY56" i="25"/>
  <c r="DZ56" i="25"/>
  <c r="EA56" i="25"/>
  <c r="EB56" i="25"/>
  <c r="EC56" i="25"/>
  <c r="ED56" i="25"/>
  <c r="EE56" i="25"/>
  <c r="EF56" i="25"/>
  <c r="EG56" i="25"/>
  <c r="EH56" i="25"/>
  <c r="EI56" i="25"/>
  <c r="EJ56" i="25"/>
  <c r="EK56" i="25"/>
  <c r="DR57" i="25"/>
  <c r="DS57" i="25"/>
  <c r="DT57" i="25"/>
  <c r="DU57" i="25"/>
  <c r="DV57" i="25"/>
  <c r="DW57" i="25"/>
  <c r="DX57" i="25"/>
  <c r="DY57" i="25"/>
  <c r="DZ57" i="25"/>
  <c r="EA57" i="25"/>
  <c r="EB57" i="25"/>
  <c r="EC57" i="25"/>
  <c r="ED57" i="25"/>
  <c r="EE57" i="25"/>
  <c r="EF57" i="25"/>
  <c r="EG57" i="25"/>
  <c r="EH57" i="25"/>
  <c r="EI57" i="25"/>
  <c r="EJ57" i="25"/>
  <c r="EK57" i="25"/>
  <c r="DR58" i="25"/>
  <c r="DS58" i="25"/>
  <c r="DT58" i="25"/>
  <c r="DU58" i="25"/>
  <c r="DV58" i="25"/>
  <c r="DW58" i="25"/>
  <c r="DX58" i="25"/>
  <c r="DY58" i="25"/>
  <c r="DZ58" i="25"/>
  <c r="EA58" i="25"/>
  <c r="EB58" i="25"/>
  <c r="EC58" i="25"/>
  <c r="ED58" i="25"/>
  <c r="EE58" i="25"/>
  <c r="EF58" i="25"/>
  <c r="EG58" i="25"/>
  <c r="EH58" i="25"/>
  <c r="EI58" i="25"/>
  <c r="EJ58" i="25"/>
  <c r="EK58" i="25"/>
  <c r="DR59" i="25"/>
  <c r="DS59" i="25"/>
  <c r="DT59" i="25"/>
  <c r="DU59" i="25"/>
  <c r="DV59" i="25"/>
  <c r="DW59" i="25"/>
  <c r="DX59" i="25"/>
  <c r="DY59" i="25"/>
  <c r="DZ59" i="25"/>
  <c r="EA59" i="25"/>
  <c r="EB59" i="25"/>
  <c r="EC59" i="25"/>
  <c r="ED59" i="25"/>
  <c r="EE59" i="25"/>
  <c r="EF59" i="25"/>
  <c r="EG59" i="25"/>
  <c r="EH59" i="25"/>
  <c r="EI59" i="25"/>
  <c r="EJ59" i="25"/>
  <c r="EK59" i="25"/>
  <c r="DR60" i="25"/>
  <c r="DS60" i="25"/>
  <c r="DT60" i="25"/>
  <c r="DU60" i="25"/>
  <c r="DV60" i="25"/>
  <c r="DW60" i="25"/>
  <c r="DX60" i="25"/>
  <c r="DY60" i="25"/>
  <c r="DZ60" i="25"/>
  <c r="EA60" i="25"/>
  <c r="EB60" i="25"/>
  <c r="EC60" i="25"/>
  <c r="ED60" i="25"/>
  <c r="EE60" i="25"/>
  <c r="EF60" i="25"/>
  <c r="EG60" i="25"/>
  <c r="EH60" i="25"/>
  <c r="EI60" i="25"/>
  <c r="EJ60" i="25"/>
  <c r="EK60" i="25"/>
  <c r="DR61" i="25"/>
  <c r="DS61" i="25"/>
  <c r="DT61" i="25"/>
  <c r="DU61" i="25"/>
  <c r="DV61" i="25"/>
  <c r="DW61" i="25"/>
  <c r="DX61" i="25"/>
  <c r="DY61" i="25"/>
  <c r="DZ61" i="25"/>
  <c r="EA61" i="25"/>
  <c r="EB61" i="25"/>
  <c r="EC61" i="25"/>
  <c r="ED61" i="25"/>
  <c r="EE61" i="25"/>
  <c r="EF61" i="25"/>
  <c r="EG61" i="25"/>
  <c r="EH61" i="25"/>
  <c r="EI61" i="25"/>
  <c r="EJ61" i="25"/>
  <c r="EK61" i="25"/>
  <c r="DR62" i="25"/>
  <c r="DS62" i="25"/>
  <c r="DT62" i="25"/>
  <c r="DU62" i="25"/>
  <c r="DV62" i="25"/>
  <c r="DW62" i="25"/>
  <c r="DX62" i="25"/>
  <c r="DY62" i="25"/>
  <c r="DZ62" i="25"/>
  <c r="EA62" i="25"/>
  <c r="EB62" i="25"/>
  <c r="EC62" i="25"/>
  <c r="ED62" i="25"/>
  <c r="EE62" i="25"/>
  <c r="EF62" i="25"/>
  <c r="EG62" i="25"/>
  <c r="EH62" i="25"/>
  <c r="EI62" i="25"/>
  <c r="EJ62" i="25"/>
  <c r="EK62" i="25"/>
  <c r="DS52" i="25"/>
  <c r="DT52" i="25"/>
  <c r="DU52" i="25"/>
  <c r="DV52" i="25"/>
  <c r="DW52" i="25"/>
  <c r="DX52" i="25"/>
  <c r="DY52" i="25"/>
  <c r="DZ52" i="25"/>
  <c r="EA52" i="25"/>
  <c r="EB52" i="25"/>
  <c r="EC52" i="25"/>
  <c r="ED52" i="25"/>
  <c r="EE52" i="25"/>
  <c r="EF52" i="25"/>
  <c r="EG52" i="25"/>
  <c r="EH52" i="25"/>
  <c r="EI52" i="25"/>
  <c r="EJ52" i="25"/>
  <c r="EK52" i="25"/>
  <c r="DR52" i="25"/>
  <c r="DR41" i="25"/>
  <c r="DS41" i="25"/>
  <c r="DT41" i="25"/>
  <c r="DU41" i="25"/>
  <c r="DV41" i="25"/>
  <c r="DW41" i="25"/>
  <c r="DX41" i="25"/>
  <c r="DY41" i="25"/>
  <c r="DZ41" i="25"/>
  <c r="EA41" i="25"/>
  <c r="EB41" i="25"/>
  <c r="EC41" i="25"/>
  <c r="ED41" i="25"/>
  <c r="EE41" i="25"/>
  <c r="EF41" i="25"/>
  <c r="EG41" i="25"/>
  <c r="EH41" i="25"/>
  <c r="EI41" i="25"/>
  <c r="EJ41" i="25"/>
  <c r="EK41" i="25"/>
  <c r="DR42" i="25"/>
  <c r="DS42" i="25"/>
  <c r="DT42" i="25"/>
  <c r="DU42" i="25"/>
  <c r="DV42" i="25"/>
  <c r="DW42" i="25"/>
  <c r="DX42" i="25"/>
  <c r="DY42" i="25"/>
  <c r="DZ42" i="25"/>
  <c r="EA42" i="25"/>
  <c r="EB42" i="25"/>
  <c r="EC42" i="25"/>
  <c r="ED42" i="25"/>
  <c r="EE42" i="25"/>
  <c r="EF42" i="25"/>
  <c r="EG42" i="25"/>
  <c r="EH42" i="25"/>
  <c r="EI42" i="25"/>
  <c r="EJ42" i="25"/>
  <c r="EK42" i="25"/>
  <c r="DR43" i="25"/>
  <c r="DS43" i="25"/>
  <c r="DT43" i="25"/>
  <c r="DU43" i="25"/>
  <c r="DV43" i="25"/>
  <c r="DW43" i="25"/>
  <c r="DX43" i="25"/>
  <c r="DY43" i="25"/>
  <c r="DZ43" i="25"/>
  <c r="EA43" i="25"/>
  <c r="EB43" i="25"/>
  <c r="EC43" i="25"/>
  <c r="ED43" i="25"/>
  <c r="EE43" i="25"/>
  <c r="EF43" i="25"/>
  <c r="EG43" i="25"/>
  <c r="EH43" i="25"/>
  <c r="EI43" i="25"/>
  <c r="EJ43" i="25"/>
  <c r="EK43" i="25"/>
  <c r="DR44" i="25"/>
  <c r="DS44" i="25"/>
  <c r="DT44" i="25"/>
  <c r="DU44" i="25"/>
  <c r="DV44" i="25"/>
  <c r="DW44" i="25"/>
  <c r="DX44" i="25"/>
  <c r="DY44" i="25"/>
  <c r="DZ44" i="25"/>
  <c r="EA44" i="25"/>
  <c r="EB44" i="25"/>
  <c r="EC44" i="25"/>
  <c r="ED44" i="25"/>
  <c r="EE44" i="25"/>
  <c r="EF44" i="25"/>
  <c r="EG44" i="25"/>
  <c r="EH44" i="25"/>
  <c r="EI44" i="25"/>
  <c r="EJ44" i="25"/>
  <c r="EK44" i="25"/>
  <c r="DR45" i="25"/>
  <c r="DS45" i="25"/>
  <c r="DT45" i="25"/>
  <c r="DU45" i="25"/>
  <c r="DV45" i="25"/>
  <c r="DW45" i="25"/>
  <c r="DX45" i="25"/>
  <c r="DY45" i="25"/>
  <c r="DZ45" i="25"/>
  <c r="EA45" i="25"/>
  <c r="EB45" i="25"/>
  <c r="EC45" i="25"/>
  <c r="ED45" i="25"/>
  <c r="EE45" i="25"/>
  <c r="EF45" i="25"/>
  <c r="EG45" i="25"/>
  <c r="EH45" i="25"/>
  <c r="EI45" i="25"/>
  <c r="EJ45" i="25"/>
  <c r="EK45" i="25"/>
  <c r="DR46" i="25"/>
  <c r="DS46" i="25"/>
  <c r="DT46" i="25"/>
  <c r="DU46" i="25"/>
  <c r="DV46" i="25"/>
  <c r="DW46" i="25"/>
  <c r="DX46" i="25"/>
  <c r="DY46" i="25"/>
  <c r="DZ46" i="25"/>
  <c r="EA46" i="25"/>
  <c r="EB46" i="25"/>
  <c r="EC46" i="25"/>
  <c r="ED46" i="25"/>
  <c r="EE46" i="25"/>
  <c r="EF46" i="25"/>
  <c r="EG46" i="25"/>
  <c r="EH46" i="25"/>
  <c r="EI46" i="25"/>
  <c r="EJ46" i="25"/>
  <c r="EK46" i="25"/>
  <c r="DR47" i="25"/>
  <c r="DS47" i="25"/>
  <c r="DT47" i="25"/>
  <c r="DU47" i="25"/>
  <c r="DV47" i="25"/>
  <c r="DW47" i="25"/>
  <c r="DX47" i="25"/>
  <c r="DY47" i="25"/>
  <c r="DZ47" i="25"/>
  <c r="EA47" i="25"/>
  <c r="EB47" i="25"/>
  <c r="EC47" i="25"/>
  <c r="ED47" i="25"/>
  <c r="EE47" i="25"/>
  <c r="EF47" i="25"/>
  <c r="EG47" i="25"/>
  <c r="EH47" i="25"/>
  <c r="EI47" i="25"/>
  <c r="EJ47" i="25"/>
  <c r="EK47" i="25"/>
  <c r="DR48" i="25"/>
  <c r="DS48" i="25"/>
  <c r="DT48" i="25"/>
  <c r="DU48" i="25"/>
  <c r="DV48" i="25"/>
  <c r="DW48" i="25"/>
  <c r="DX48" i="25"/>
  <c r="DY48" i="25"/>
  <c r="DZ48" i="25"/>
  <c r="EA48" i="25"/>
  <c r="EB48" i="25"/>
  <c r="EC48" i="25"/>
  <c r="ED48" i="25"/>
  <c r="EE48" i="25"/>
  <c r="EF48" i="25"/>
  <c r="EG48" i="25"/>
  <c r="EH48" i="25"/>
  <c r="EI48" i="25"/>
  <c r="EJ48" i="25"/>
  <c r="EK48" i="25"/>
  <c r="DR49" i="25"/>
  <c r="DS49" i="25"/>
  <c r="DT49" i="25"/>
  <c r="DU49" i="25"/>
  <c r="DV49" i="25"/>
  <c r="DW49" i="25"/>
  <c r="DX49" i="25"/>
  <c r="DY49" i="25"/>
  <c r="DZ49" i="25"/>
  <c r="EA49" i="25"/>
  <c r="EB49" i="25"/>
  <c r="EC49" i="25"/>
  <c r="ED49" i="25"/>
  <c r="EE49" i="25"/>
  <c r="EF49" i="25"/>
  <c r="EG49" i="25"/>
  <c r="EH49" i="25"/>
  <c r="EI49" i="25"/>
  <c r="EJ49" i="25"/>
  <c r="EK49" i="25"/>
  <c r="DR50" i="25"/>
  <c r="DS50" i="25"/>
  <c r="DT50" i="25"/>
  <c r="DU50" i="25"/>
  <c r="DV50" i="25"/>
  <c r="DW50" i="25"/>
  <c r="DX50" i="25"/>
  <c r="DY50" i="25"/>
  <c r="DZ50" i="25"/>
  <c r="EA50" i="25"/>
  <c r="EB50" i="25"/>
  <c r="EC50" i="25"/>
  <c r="ED50" i="25"/>
  <c r="EE50" i="25"/>
  <c r="EF50" i="25"/>
  <c r="EG50" i="25"/>
  <c r="EH50" i="25"/>
  <c r="EI50" i="25"/>
  <c r="EJ50" i="25"/>
  <c r="EK50" i="25"/>
  <c r="DS40" i="25"/>
  <c r="DT40" i="25"/>
  <c r="DU40" i="25"/>
  <c r="DV40" i="25"/>
  <c r="DW40" i="25"/>
  <c r="DX40" i="25"/>
  <c r="DY40" i="25"/>
  <c r="DZ40" i="25"/>
  <c r="EA40" i="25"/>
  <c r="EB40" i="25"/>
  <c r="EC40" i="25"/>
  <c r="ED40" i="25"/>
  <c r="EE40" i="25"/>
  <c r="EF40" i="25"/>
  <c r="EG40" i="25"/>
  <c r="EH40" i="25"/>
  <c r="EI40" i="25"/>
  <c r="EJ40" i="25"/>
  <c r="EK40" i="25"/>
  <c r="DR40" i="25"/>
  <c r="DR29" i="25"/>
  <c r="DS29" i="25"/>
  <c r="DT29" i="25"/>
  <c r="DU29" i="25"/>
  <c r="DV29" i="25"/>
  <c r="DW29" i="25"/>
  <c r="DX29" i="25"/>
  <c r="DY29" i="25"/>
  <c r="DZ29" i="25"/>
  <c r="EA29" i="25"/>
  <c r="EB29" i="25"/>
  <c r="EC29" i="25"/>
  <c r="ED29" i="25"/>
  <c r="EE29" i="25"/>
  <c r="EF29" i="25"/>
  <c r="EG29" i="25"/>
  <c r="EH29" i="25"/>
  <c r="EI29" i="25"/>
  <c r="EJ29" i="25"/>
  <c r="EK29" i="25"/>
  <c r="DR30" i="25"/>
  <c r="DS30" i="25"/>
  <c r="DT30" i="25"/>
  <c r="DU30" i="25"/>
  <c r="DV30" i="25"/>
  <c r="DW30" i="25"/>
  <c r="DX30" i="25"/>
  <c r="DY30" i="25"/>
  <c r="DZ30" i="25"/>
  <c r="EA30" i="25"/>
  <c r="EB30" i="25"/>
  <c r="EC30" i="25"/>
  <c r="ED30" i="25"/>
  <c r="EE30" i="25"/>
  <c r="EF30" i="25"/>
  <c r="EG30" i="25"/>
  <c r="EH30" i="25"/>
  <c r="EI30" i="25"/>
  <c r="EJ30" i="25"/>
  <c r="EK30" i="25"/>
  <c r="DR31" i="25"/>
  <c r="DS31" i="25"/>
  <c r="DT31" i="25"/>
  <c r="DU31" i="25"/>
  <c r="DV31" i="25"/>
  <c r="DW31" i="25"/>
  <c r="DX31" i="25"/>
  <c r="DY31" i="25"/>
  <c r="DZ31" i="25"/>
  <c r="EA31" i="25"/>
  <c r="EB31" i="25"/>
  <c r="EC31" i="25"/>
  <c r="ED31" i="25"/>
  <c r="EE31" i="25"/>
  <c r="EF31" i="25"/>
  <c r="EG31" i="25"/>
  <c r="EH31" i="25"/>
  <c r="EI31" i="25"/>
  <c r="EJ31" i="25"/>
  <c r="EK31" i="25"/>
  <c r="DR32" i="25"/>
  <c r="DS32" i="25"/>
  <c r="DT32" i="25"/>
  <c r="DU32" i="25"/>
  <c r="DV32" i="25"/>
  <c r="DW32" i="25"/>
  <c r="DX32" i="25"/>
  <c r="DY32" i="25"/>
  <c r="DZ32" i="25"/>
  <c r="EA32" i="25"/>
  <c r="EB32" i="25"/>
  <c r="EC32" i="25"/>
  <c r="ED32" i="25"/>
  <c r="EE32" i="25"/>
  <c r="EF32" i="25"/>
  <c r="EG32" i="25"/>
  <c r="EH32" i="25"/>
  <c r="EI32" i="25"/>
  <c r="EJ32" i="25"/>
  <c r="EK32" i="25"/>
  <c r="DR33" i="25"/>
  <c r="DS33" i="25"/>
  <c r="DT33" i="25"/>
  <c r="DU33" i="25"/>
  <c r="DV33" i="25"/>
  <c r="DW33" i="25"/>
  <c r="DX33" i="25"/>
  <c r="DY33" i="25"/>
  <c r="DZ33" i="25"/>
  <c r="EA33" i="25"/>
  <c r="EB33" i="25"/>
  <c r="EC33" i="25"/>
  <c r="ED33" i="25"/>
  <c r="EE33" i="25"/>
  <c r="EF33" i="25"/>
  <c r="EG33" i="25"/>
  <c r="EH33" i="25"/>
  <c r="EI33" i="25"/>
  <c r="EJ33" i="25"/>
  <c r="EK33" i="25"/>
  <c r="DR34" i="25"/>
  <c r="DS34" i="25"/>
  <c r="DT34" i="25"/>
  <c r="DU34" i="25"/>
  <c r="DV34" i="25"/>
  <c r="DW34" i="25"/>
  <c r="DX34" i="25"/>
  <c r="DY34" i="25"/>
  <c r="DZ34" i="25"/>
  <c r="EA34" i="25"/>
  <c r="EB34" i="25"/>
  <c r="EC34" i="25"/>
  <c r="ED34" i="25"/>
  <c r="EE34" i="25"/>
  <c r="EF34" i="25"/>
  <c r="EG34" i="25"/>
  <c r="EH34" i="25"/>
  <c r="EI34" i="25"/>
  <c r="EJ34" i="25"/>
  <c r="EK34" i="25"/>
  <c r="DR35" i="25"/>
  <c r="DS35" i="25"/>
  <c r="DT35" i="25"/>
  <c r="DU35" i="25"/>
  <c r="DV35" i="25"/>
  <c r="DW35" i="25"/>
  <c r="DX35" i="25"/>
  <c r="DY35" i="25"/>
  <c r="DZ35" i="25"/>
  <c r="EA35" i="25"/>
  <c r="EB35" i="25"/>
  <c r="EC35" i="25"/>
  <c r="ED35" i="25"/>
  <c r="EE35" i="25"/>
  <c r="EF35" i="25"/>
  <c r="EG35" i="25"/>
  <c r="EH35" i="25"/>
  <c r="EI35" i="25"/>
  <c r="EJ35" i="25"/>
  <c r="EK35" i="25"/>
  <c r="DR36" i="25"/>
  <c r="DS36" i="25"/>
  <c r="DT36" i="25"/>
  <c r="DU36" i="25"/>
  <c r="DV36" i="25"/>
  <c r="DW36" i="25"/>
  <c r="DX36" i="25"/>
  <c r="DY36" i="25"/>
  <c r="DZ36" i="25"/>
  <c r="EA36" i="25"/>
  <c r="EB36" i="25"/>
  <c r="EC36" i="25"/>
  <c r="ED36" i="25"/>
  <c r="EE36" i="25"/>
  <c r="EF36" i="25"/>
  <c r="EG36" i="25"/>
  <c r="EH36" i="25"/>
  <c r="EI36" i="25"/>
  <c r="EJ36" i="25"/>
  <c r="EK36" i="25"/>
  <c r="DR37" i="25"/>
  <c r="DS37" i="25"/>
  <c r="DT37" i="25"/>
  <c r="DU37" i="25"/>
  <c r="DV37" i="25"/>
  <c r="DW37" i="25"/>
  <c r="DX37" i="25"/>
  <c r="DY37" i="25"/>
  <c r="DZ37" i="25"/>
  <c r="EA37" i="25"/>
  <c r="EB37" i="25"/>
  <c r="EC37" i="25"/>
  <c r="ED37" i="25"/>
  <c r="EE37" i="25"/>
  <c r="EF37" i="25"/>
  <c r="EG37" i="25"/>
  <c r="EH37" i="25"/>
  <c r="EI37" i="25"/>
  <c r="EJ37" i="25"/>
  <c r="EK37" i="25"/>
  <c r="DR38" i="25"/>
  <c r="DS38" i="25"/>
  <c r="DT38" i="25"/>
  <c r="DU38" i="25"/>
  <c r="DV38" i="25"/>
  <c r="DW38" i="25"/>
  <c r="DX38" i="25"/>
  <c r="DY38" i="25"/>
  <c r="DZ38" i="25"/>
  <c r="EA38" i="25"/>
  <c r="EB38" i="25"/>
  <c r="EC38" i="25"/>
  <c r="ED38" i="25"/>
  <c r="EE38" i="25"/>
  <c r="EF38" i="25"/>
  <c r="EG38" i="25"/>
  <c r="EH38" i="25"/>
  <c r="EI38" i="25"/>
  <c r="EJ38" i="25"/>
  <c r="EK38" i="25"/>
  <c r="DS28" i="25"/>
  <c r="DT28" i="25"/>
  <c r="DU28" i="25"/>
  <c r="DV28" i="25"/>
  <c r="DW28" i="25"/>
  <c r="DX28" i="25"/>
  <c r="DY28" i="25"/>
  <c r="DZ28" i="25"/>
  <c r="EA28" i="25"/>
  <c r="EB28" i="25"/>
  <c r="EC28" i="25"/>
  <c r="ED28" i="25"/>
  <c r="EE28" i="25"/>
  <c r="EF28" i="25"/>
  <c r="EG28" i="25"/>
  <c r="EH28" i="25"/>
  <c r="EI28" i="25"/>
  <c r="EJ28" i="25"/>
  <c r="EK28" i="25"/>
  <c r="DR28" i="25"/>
  <c r="DR17" i="25"/>
  <c r="DS17" i="25"/>
  <c r="DT17" i="25"/>
  <c r="DU17" i="25"/>
  <c r="DV17" i="25"/>
  <c r="DW17" i="25"/>
  <c r="DX17" i="25"/>
  <c r="DY17" i="25"/>
  <c r="DZ17" i="25"/>
  <c r="EA17" i="25"/>
  <c r="EB17" i="25"/>
  <c r="EC17" i="25"/>
  <c r="ED17" i="25"/>
  <c r="EE17" i="25"/>
  <c r="EF17" i="25"/>
  <c r="EG17" i="25"/>
  <c r="EH17" i="25"/>
  <c r="EI17" i="25"/>
  <c r="EJ17" i="25"/>
  <c r="EK17" i="25"/>
  <c r="DR18" i="25"/>
  <c r="DS18" i="25"/>
  <c r="DT18" i="25"/>
  <c r="DU18" i="25"/>
  <c r="DV18" i="25"/>
  <c r="DW18" i="25"/>
  <c r="DX18" i="25"/>
  <c r="DY18" i="25"/>
  <c r="DZ18" i="25"/>
  <c r="EA18" i="25"/>
  <c r="EB18" i="25"/>
  <c r="EC18" i="25"/>
  <c r="ED18" i="25"/>
  <c r="EE18" i="25"/>
  <c r="EF18" i="25"/>
  <c r="EG18" i="25"/>
  <c r="EH18" i="25"/>
  <c r="EI18" i="25"/>
  <c r="EJ18" i="25"/>
  <c r="EK18" i="25"/>
  <c r="DR19" i="25"/>
  <c r="DS19" i="25"/>
  <c r="DT19" i="25"/>
  <c r="DU19" i="25"/>
  <c r="DV19" i="25"/>
  <c r="DW19" i="25"/>
  <c r="DX19" i="25"/>
  <c r="DY19" i="25"/>
  <c r="DZ19" i="25"/>
  <c r="EA19" i="25"/>
  <c r="EB19" i="25"/>
  <c r="EC19" i="25"/>
  <c r="ED19" i="25"/>
  <c r="EE19" i="25"/>
  <c r="EF19" i="25"/>
  <c r="EG19" i="25"/>
  <c r="EH19" i="25"/>
  <c r="EI19" i="25"/>
  <c r="EJ19" i="25"/>
  <c r="EK19" i="25"/>
  <c r="DR20" i="25"/>
  <c r="DS20" i="25"/>
  <c r="DT20" i="25"/>
  <c r="DU20" i="25"/>
  <c r="DV20" i="25"/>
  <c r="DW20" i="25"/>
  <c r="DX20" i="25"/>
  <c r="DY20" i="25"/>
  <c r="DZ20" i="25"/>
  <c r="EA20" i="25"/>
  <c r="EB20" i="25"/>
  <c r="EC20" i="25"/>
  <c r="ED20" i="25"/>
  <c r="EE20" i="25"/>
  <c r="EF20" i="25"/>
  <c r="EG20" i="25"/>
  <c r="EH20" i="25"/>
  <c r="EI20" i="25"/>
  <c r="EJ20" i="25"/>
  <c r="EK20" i="25"/>
  <c r="DR21" i="25"/>
  <c r="DS21" i="25"/>
  <c r="DT21" i="25"/>
  <c r="DU21" i="25"/>
  <c r="DV21" i="25"/>
  <c r="DW21" i="25"/>
  <c r="DX21" i="25"/>
  <c r="DY21" i="25"/>
  <c r="DZ21" i="25"/>
  <c r="EA21" i="25"/>
  <c r="EB21" i="25"/>
  <c r="EC21" i="25"/>
  <c r="ED21" i="25"/>
  <c r="EE21" i="25"/>
  <c r="EF21" i="25"/>
  <c r="EG21" i="25"/>
  <c r="EH21" i="25"/>
  <c r="EI21" i="25"/>
  <c r="EJ21" i="25"/>
  <c r="EK21" i="25"/>
  <c r="DR22" i="25"/>
  <c r="DS22" i="25"/>
  <c r="DT22" i="25"/>
  <c r="DU22" i="25"/>
  <c r="DV22" i="25"/>
  <c r="DW22" i="25"/>
  <c r="DX22" i="25"/>
  <c r="DY22" i="25"/>
  <c r="DZ22" i="25"/>
  <c r="EA22" i="25"/>
  <c r="EB22" i="25"/>
  <c r="EC22" i="25"/>
  <c r="ED22" i="25"/>
  <c r="EE22" i="25"/>
  <c r="EF22" i="25"/>
  <c r="EG22" i="25"/>
  <c r="EH22" i="25"/>
  <c r="EI22" i="25"/>
  <c r="EJ22" i="25"/>
  <c r="EK22" i="25"/>
  <c r="DR23" i="25"/>
  <c r="DS23" i="25"/>
  <c r="DT23" i="25"/>
  <c r="DU23" i="25"/>
  <c r="DV23" i="25"/>
  <c r="DW23" i="25"/>
  <c r="DX23" i="25"/>
  <c r="DY23" i="25"/>
  <c r="DZ23" i="25"/>
  <c r="EA23" i="25"/>
  <c r="EB23" i="25"/>
  <c r="EC23" i="25"/>
  <c r="ED23" i="25"/>
  <c r="EE23" i="25"/>
  <c r="EF23" i="25"/>
  <c r="EG23" i="25"/>
  <c r="EH23" i="25"/>
  <c r="EI23" i="25"/>
  <c r="EJ23" i="25"/>
  <c r="EK23" i="25"/>
  <c r="DR24" i="25"/>
  <c r="DS24" i="25"/>
  <c r="DT24" i="25"/>
  <c r="DU24" i="25"/>
  <c r="DV24" i="25"/>
  <c r="DW24" i="25"/>
  <c r="DX24" i="25"/>
  <c r="DY24" i="25"/>
  <c r="DZ24" i="25"/>
  <c r="EA24" i="25"/>
  <c r="EB24" i="25"/>
  <c r="EC24" i="25"/>
  <c r="ED24" i="25"/>
  <c r="EE24" i="25"/>
  <c r="EF24" i="25"/>
  <c r="EG24" i="25"/>
  <c r="EH24" i="25"/>
  <c r="EI24" i="25"/>
  <c r="EJ24" i="25"/>
  <c r="EK24" i="25"/>
  <c r="DR25" i="25"/>
  <c r="DS25" i="25"/>
  <c r="DT25" i="25"/>
  <c r="DU25" i="25"/>
  <c r="DV25" i="25"/>
  <c r="DW25" i="25"/>
  <c r="DX25" i="25"/>
  <c r="DY25" i="25"/>
  <c r="DZ25" i="25"/>
  <c r="EA25" i="25"/>
  <c r="EB25" i="25"/>
  <c r="EC25" i="25"/>
  <c r="ED25" i="25"/>
  <c r="EE25" i="25"/>
  <c r="EF25" i="25"/>
  <c r="EG25" i="25"/>
  <c r="EH25" i="25"/>
  <c r="EI25" i="25"/>
  <c r="EJ25" i="25"/>
  <c r="EK25" i="25"/>
  <c r="DR26" i="25"/>
  <c r="DS26" i="25"/>
  <c r="DT26" i="25"/>
  <c r="DU26" i="25"/>
  <c r="DV26" i="25"/>
  <c r="DW26" i="25"/>
  <c r="DX26" i="25"/>
  <c r="DY26" i="25"/>
  <c r="DZ26" i="25"/>
  <c r="EA26" i="25"/>
  <c r="EB26" i="25"/>
  <c r="EC26" i="25"/>
  <c r="ED26" i="25"/>
  <c r="EE26" i="25"/>
  <c r="EF26" i="25"/>
  <c r="EG26" i="25"/>
  <c r="EH26" i="25"/>
  <c r="EI26" i="25"/>
  <c r="EJ26" i="25"/>
  <c r="EK26" i="25"/>
  <c r="DS16" i="25"/>
  <c r="DT16" i="25"/>
  <c r="DU16" i="25"/>
  <c r="DV16" i="25"/>
  <c r="DW16" i="25"/>
  <c r="DX16" i="25"/>
  <c r="DY16" i="25"/>
  <c r="DZ16" i="25"/>
  <c r="EA16" i="25"/>
  <c r="EB16" i="25"/>
  <c r="EC16" i="25"/>
  <c r="ED16" i="25"/>
  <c r="EE16" i="25"/>
  <c r="EF16" i="25"/>
  <c r="EG16" i="25"/>
  <c r="EH16" i="25"/>
  <c r="EI16" i="25"/>
  <c r="EJ16" i="25"/>
  <c r="EK16" i="25"/>
  <c r="DR16" i="25"/>
  <c r="DR5" i="25"/>
  <c r="DS5" i="25"/>
  <c r="DT5" i="25"/>
  <c r="DU5" i="25"/>
  <c r="DV5" i="25"/>
  <c r="DW5" i="25"/>
  <c r="DX5" i="25"/>
  <c r="DY5" i="25"/>
  <c r="DZ5" i="25"/>
  <c r="EA5" i="25"/>
  <c r="EB5" i="25"/>
  <c r="EC5" i="25"/>
  <c r="ED5" i="25"/>
  <c r="EE5" i="25"/>
  <c r="EF5" i="25"/>
  <c r="EG5" i="25"/>
  <c r="EH5" i="25"/>
  <c r="EI5" i="25"/>
  <c r="EJ5" i="25"/>
  <c r="EK5" i="25"/>
  <c r="DR6" i="25"/>
  <c r="DS6" i="25"/>
  <c r="DT6" i="25"/>
  <c r="DU6" i="25"/>
  <c r="DV6" i="25"/>
  <c r="DW6" i="25"/>
  <c r="DX6" i="25"/>
  <c r="DY6" i="25"/>
  <c r="DZ6" i="25"/>
  <c r="EA6" i="25"/>
  <c r="EB6" i="25"/>
  <c r="EC6" i="25"/>
  <c r="ED6" i="25"/>
  <c r="EE6" i="25"/>
  <c r="EF6" i="25"/>
  <c r="EG6" i="25"/>
  <c r="EH6" i="25"/>
  <c r="EI6" i="25"/>
  <c r="EJ6" i="25"/>
  <c r="EK6" i="25"/>
  <c r="DR7" i="25"/>
  <c r="DS7" i="25"/>
  <c r="DT7" i="25"/>
  <c r="DU7" i="25"/>
  <c r="DV7" i="25"/>
  <c r="DW7" i="25"/>
  <c r="DX7" i="25"/>
  <c r="DY7" i="25"/>
  <c r="DZ7" i="25"/>
  <c r="EA7" i="25"/>
  <c r="EB7" i="25"/>
  <c r="EC7" i="25"/>
  <c r="ED7" i="25"/>
  <c r="EE7" i="25"/>
  <c r="EF7" i="25"/>
  <c r="EG7" i="25"/>
  <c r="EH7" i="25"/>
  <c r="EI7" i="25"/>
  <c r="EJ7" i="25"/>
  <c r="EK7" i="25"/>
  <c r="DR8" i="25"/>
  <c r="DS8" i="25"/>
  <c r="DT8" i="25"/>
  <c r="DU8" i="25"/>
  <c r="DV8" i="25"/>
  <c r="DW8" i="25"/>
  <c r="DX8" i="25"/>
  <c r="DY8" i="25"/>
  <c r="DZ8" i="25"/>
  <c r="EA8" i="25"/>
  <c r="EB8" i="25"/>
  <c r="EC8" i="25"/>
  <c r="ED8" i="25"/>
  <c r="EE8" i="25"/>
  <c r="EF8" i="25"/>
  <c r="EG8" i="25"/>
  <c r="EH8" i="25"/>
  <c r="EI8" i="25"/>
  <c r="EJ8" i="25"/>
  <c r="EK8" i="25"/>
  <c r="DR9" i="25"/>
  <c r="DS9" i="25"/>
  <c r="DT9" i="25"/>
  <c r="DU9" i="25"/>
  <c r="DV9" i="25"/>
  <c r="DW9" i="25"/>
  <c r="DX9" i="25"/>
  <c r="DY9" i="25"/>
  <c r="DZ9" i="25"/>
  <c r="EA9" i="25"/>
  <c r="EB9" i="25"/>
  <c r="EC9" i="25"/>
  <c r="ED9" i="25"/>
  <c r="EE9" i="25"/>
  <c r="EF9" i="25"/>
  <c r="EG9" i="25"/>
  <c r="EH9" i="25"/>
  <c r="EI9" i="25"/>
  <c r="EJ9" i="25"/>
  <c r="EK9" i="25"/>
  <c r="DR10" i="25"/>
  <c r="DS10" i="25"/>
  <c r="DT10" i="25"/>
  <c r="DU10" i="25"/>
  <c r="DV10" i="25"/>
  <c r="DW10" i="25"/>
  <c r="DX10" i="25"/>
  <c r="DY10" i="25"/>
  <c r="DZ10" i="25"/>
  <c r="EA10" i="25"/>
  <c r="EB10" i="25"/>
  <c r="EC10" i="25"/>
  <c r="ED10" i="25"/>
  <c r="EE10" i="25"/>
  <c r="EF10" i="25"/>
  <c r="EG10" i="25"/>
  <c r="EH10" i="25"/>
  <c r="EI10" i="25"/>
  <c r="EJ10" i="25"/>
  <c r="EK10" i="25"/>
  <c r="DR11" i="25"/>
  <c r="DS11" i="25"/>
  <c r="DT11" i="25"/>
  <c r="DU11" i="25"/>
  <c r="DV11" i="25"/>
  <c r="DW11" i="25"/>
  <c r="DX11" i="25"/>
  <c r="DY11" i="25"/>
  <c r="DZ11" i="25"/>
  <c r="EA11" i="25"/>
  <c r="EB11" i="25"/>
  <c r="EC11" i="25"/>
  <c r="ED11" i="25"/>
  <c r="EE11" i="25"/>
  <c r="EF11" i="25"/>
  <c r="EG11" i="25"/>
  <c r="EH11" i="25"/>
  <c r="EI11" i="25"/>
  <c r="EJ11" i="25"/>
  <c r="EK11" i="25"/>
  <c r="DR12" i="25"/>
  <c r="DS12" i="25"/>
  <c r="DT12" i="25"/>
  <c r="DU12" i="25"/>
  <c r="DV12" i="25"/>
  <c r="DW12" i="25"/>
  <c r="DX12" i="25"/>
  <c r="DY12" i="25"/>
  <c r="DZ12" i="25"/>
  <c r="EA12" i="25"/>
  <c r="EB12" i="25"/>
  <c r="EC12" i="25"/>
  <c r="ED12" i="25"/>
  <c r="EE12" i="25"/>
  <c r="EF12" i="25"/>
  <c r="EG12" i="25"/>
  <c r="EH12" i="25"/>
  <c r="EI12" i="25"/>
  <c r="EJ12" i="25"/>
  <c r="EK12" i="25"/>
  <c r="DR13" i="25"/>
  <c r="DS13" i="25"/>
  <c r="DT13" i="25"/>
  <c r="DU13" i="25"/>
  <c r="DV13" i="25"/>
  <c r="DW13" i="25"/>
  <c r="DX13" i="25"/>
  <c r="DY13" i="25"/>
  <c r="DZ13" i="25"/>
  <c r="EA13" i="25"/>
  <c r="EB13" i="25"/>
  <c r="EC13" i="25"/>
  <c r="ED13" i="25"/>
  <c r="EE13" i="25"/>
  <c r="EF13" i="25"/>
  <c r="EG13" i="25"/>
  <c r="EH13" i="25"/>
  <c r="EI13" i="25"/>
  <c r="EJ13" i="25"/>
  <c r="EK13" i="25"/>
  <c r="DR14" i="25"/>
  <c r="DS14" i="25"/>
  <c r="DT14" i="25"/>
  <c r="DU14" i="25"/>
  <c r="DV14" i="25"/>
  <c r="DW14" i="25"/>
  <c r="DX14" i="25"/>
  <c r="DY14" i="25"/>
  <c r="DZ14" i="25"/>
  <c r="EA14" i="25"/>
  <c r="EB14" i="25"/>
  <c r="EC14" i="25"/>
  <c r="ED14" i="25"/>
  <c r="EE14" i="25"/>
  <c r="EF14" i="25"/>
  <c r="EG14" i="25"/>
  <c r="EH14" i="25"/>
  <c r="EI14" i="25"/>
  <c r="EJ14" i="25"/>
  <c r="EK14" i="25"/>
  <c r="DS4" i="25"/>
  <c r="DT4" i="25"/>
  <c r="DU4" i="25"/>
  <c r="DV4" i="25"/>
  <c r="DW4" i="25"/>
  <c r="DX4" i="25"/>
  <c r="DY4" i="25"/>
  <c r="DZ4" i="25"/>
  <c r="EA4" i="25"/>
  <c r="EB4" i="25"/>
  <c r="EC4" i="25"/>
  <c r="ED4" i="25"/>
  <c r="EE4" i="25"/>
  <c r="EF4" i="25"/>
  <c r="EG4" i="25"/>
  <c r="EH4" i="25"/>
  <c r="EI4" i="25"/>
  <c r="EJ4" i="25"/>
  <c r="EK4" i="25"/>
  <c r="DR4" i="25"/>
  <c r="W3" i="25"/>
  <c r="X3" i="25"/>
  <c r="Y3" i="25"/>
  <c r="Z3" i="25"/>
  <c r="AA3" i="25"/>
  <c r="AB3" i="25"/>
  <c r="H3" i="25" s="1"/>
  <c r="AC3" i="25"/>
  <c r="I198" i="25" s="1"/>
  <c r="AD3" i="25"/>
  <c r="AE3" i="25"/>
  <c r="AF3" i="25"/>
  <c r="AG3" i="25"/>
  <c r="AH3" i="25"/>
  <c r="AI3" i="25"/>
  <c r="AJ3" i="25"/>
  <c r="AK3" i="25"/>
  <c r="AL3" i="25"/>
  <c r="AM3" i="25"/>
  <c r="AN3" i="25"/>
  <c r="AO3" i="25"/>
  <c r="V3" i="25"/>
  <c r="C4" i="25"/>
  <c r="L4" i="25"/>
  <c r="O4" i="25"/>
  <c r="P4" i="25"/>
  <c r="AJ5" i="25" s="1"/>
  <c r="T4" i="25"/>
  <c r="U4" i="25"/>
  <c r="AO5" i="25" s="1"/>
  <c r="C3" i="25"/>
  <c r="D3" i="25"/>
  <c r="E3" i="25"/>
  <c r="F3" i="25"/>
  <c r="G3" i="25"/>
  <c r="I3" i="25"/>
  <c r="AD4" i="25" s="1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AX4" i="20" l="1"/>
  <c r="BT4" i="19"/>
  <c r="AC4" i="25"/>
  <c r="AW4" i="25"/>
  <c r="H198" i="25"/>
  <c r="AB4" i="25"/>
  <c r="P5" i="25"/>
  <c r="AF5" i="25"/>
  <c r="R4" i="25"/>
  <c r="V5" i="25"/>
  <c r="W5" i="25"/>
  <c r="U5" i="25"/>
  <c r="L3" i="20"/>
  <c r="M3" i="20"/>
  <c r="N3" i="20"/>
  <c r="O3" i="20"/>
  <c r="P3" i="20"/>
  <c r="Q3" i="20"/>
  <c r="R3" i="20"/>
  <c r="S3" i="20"/>
  <c r="K3" i="20"/>
  <c r="AV4" i="25" l="1"/>
  <c r="H4" i="25" s="1"/>
  <c r="I4" i="25"/>
  <c r="AQ5" i="25"/>
  <c r="C5" i="25" s="1"/>
  <c r="AP5" i="25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AC5" i="25" l="1"/>
  <c r="B5" i="25"/>
  <c r="W6" i="25" s="1"/>
  <c r="M4" i="22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AW5" i="25" l="1"/>
  <c r="I5" i="25" s="1"/>
  <c r="BO6" i="19"/>
  <c r="V6" i="25"/>
  <c r="O5" i="19"/>
  <c r="A198" i="25"/>
  <c r="AP6" i="25" l="1"/>
  <c r="B6" i="25" s="1"/>
  <c r="BM182" i="20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V7" i="25" l="1"/>
  <c r="O6" i="19"/>
  <c r="AP7" i="25"/>
  <c r="B7" i="25" l="1"/>
  <c r="V8" i="25" l="1"/>
  <c r="O7" i="19"/>
  <c r="D3" i="19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E3" i="20"/>
  <c r="AH3" i="20"/>
  <c r="AI3" i="20"/>
  <c r="AM3" i="20"/>
  <c r="AD3" i="20" s="1"/>
  <c r="AN3" i="20"/>
  <c r="AO3" i="20"/>
  <c r="AF3" i="20" s="1"/>
  <c r="AP3" i="20"/>
  <c r="AQ3" i="20"/>
  <c r="AR3" i="20"/>
  <c r="AS3" i="20"/>
  <c r="AT3" i="20"/>
  <c r="AL3" i="20"/>
  <c r="BM3" i="19" s="1"/>
  <c r="BG4" i="25" s="1"/>
  <c r="S4" i="25" s="1"/>
  <c r="AJ3" i="20"/>
  <c r="AN5" i="25" l="1"/>
  <c r="AA4" i="19"/>
  <c r="AM5" i="25"/>
  <c r="BC5" i="20" s="1"/>
  <c r="R4" i="20"/>
  <c r="AS4" i="20" s="1"/>
  <c r="AJ4" i="20" s="1"/>
  <c r="BK3" i="19"/>
  <c r="BE4" i="25" s="1"/>
  <c r="X3" i="19"/>
  <c r="BJ3" i="19"/>
  <c r="BB4" i="25" s="1"/>
  <c r="N4" i="25" s="1"/>
  <c r="AI5" i="25" s="1"/>
  <c r="BC5" i="25" s="1"/>
  <c r="O5" i="25" s="1"/>
  <c r="AJ6" i="25" s="1"/>
  <c r="W3" i="19"/>
  <c r="J3" i="19" s="1"/>
  <c r="P4" i="20"/>
  <c r="V3" i="19"/>
  <c r="BI3" i="19"/>
  <c r="BA4" i="25" s="1"/>
  <c r="N4" i="20"/>
  <c r="BY4" i="20" s="1"/>
  <c r="T3" i="19"/>
  <c r="BG3" i="19"/>
  <c r="AX4" i="25" s="1"/>
  <c r="M4" i="20"/>
  <c r="AN4" i="20" s="1"/>
  <c r="AE4" i="20" s="1"/>
  <c r="BF3" i="19"/>
  <c r="S3" i="19"/>
  <c r="L4" i="20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AQ4" i="20"/>
  <c r="AH4" i="20" s="1"/>
  <c r="CA4" i="20"/>
  <c r="G3" i="19"/>
  <c r="F3" i="19"/>
  <c r="I3" i="19"/>
  <c r="K3" i="19"/>
  <c r="AM4" i="20"/>
  <c r="AD4" i="20" s="1"/>
  <c r="BW4" i="20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P5" i="20"/>
  <c r="CA5" i="20" s="1"/>
  <c r="AK3" i="20"/>
  <c r="Z3" i="19" s="1"/>
  <c r="AG3" i="20"/>
  <c r="AC3" i="20"/>
  <c r="AO4" i="20" l="1"/>
  <c r="AF4" i="20" s="1"/>
  <c r="CC4" i="20"/>
  <c r="BX4" i="20"/>
  <c r="BH5" i="25"/>
  <c r="T5" i="25" s="1"/>
  <c r="AO6" i="25" s="1"/>
  <c r="BI6" i="25" s="1"/>
  <c r="U6" i="25" s="1"/>
  <c r="CA5" i="19"/>
  <c r="BK4" i="19"/>
  <c r="X4" i="19"/>
  <c r="Q4" i="25"/>
  <c r="M4" i="25"/>
  <c r="V4" i="19"/>
  <c r="BI4" i="19"/>
  <c r="BH3" i="19"/>
  <c r="U3" i="19"/>
  <c r="T4" i="19"/>
  <c r="BG4" i="19"/>
  <c r="J4" i="25"/>
  <c r="AY4" i="25"/>
  <c r="K4" i="25" s="1"/>
  <c r="AU4" i="25"/>
  <c r="G4" i="25" s="1"/>
  <c r="AB5" i="25" s="1"/>
  <c r="AV5" i="25" s="1"/>
  <c r="H5" i="25" s="1"/>
  <c r="AC6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H3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M5" i="20"/>
  <c r="BX5" i="20" s="1"/>
  <c r="L5" i="20"/>
  <c r="BW5" i="20" s="1"/>
  <c r="AQ5" i="20"/>
  <c r="AH5" i="20" s="1"/>
  <c r="R5" i="20"/>
  <c r="CC5" i="20" s="1"/>
  <c r="Y4" i="19" l="1"/>
  <c r="AK5" i="25"/>
  <c r="BB5" i="20" s="1"/>
  <c r="AL5" i="25"/>
  <c r="BJ4" i="19"/>
  <c r="AI4" i="19"/>
  <c r="I4" i="19" s="1"/>
  <c r="V5" i="19"/>
  <c r="BI5" i="19"/>
  <c r="W4" i="19"/>
  <c r="AJ4" i="19" s="1"/>
  <c r="J4" i="19" s="1"/>
  <c r="AG5" i="25"/>
  <c r="AZ5" i="20" s="1"/>
  <c r="AH5" i="25"/>
  <c r="BA5" i="20" s="1"/>
  <c r="AD5" i="25"/>
  <c r="AX5" i="20" s="1"/>
  <c r="AE5" i="25"/>
  <c r="AY5" i="20" s="1"/>
  <c r="AW6" i="25"/>
  <c r="I6" i="25" s="1"/>
  <c r="S4" i="19"/>
  <c r="AF4" i="19" s="1"/>
  <c r="F4" i="19" s="1"/>
  <c r="BF4" i="19"/>
  <c r="Z5" i="25"/>
  <c r="AA5" i="25"/>
  <c r="AW5" i="20" s="1"/>
  <c r="D4" i="25"/>
  <c r="Y7" i="22"/>
  <c r="AM5" i="20"/>
  <c r="AD5" i="20" s="1"/>
  <c r="L6" i="20" s="1"/>
  <c r="BW6" i="20" s="1"/>
  <c r="AT4" i="20"/>
  <c r="AK4" i="20" s="1"/>
  <c r="CD4" i="20"/>
  <c r="AP4" i="20"/>
  <c r="AG4" i="20" s="1"/>
  <c r="O5" i="20" s="1"/>
  <c r="BZ5" i="20" s="1"/>
  <c r="BZ4" i="20"/>
  <c r="AL4" i="20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L4" i="19"/>
  <c r="AN4" i="19"/>
  <c r="AS5" i="20"/>
  <c r="AJ5" i="20" s="1"/>
  <c r="X5" i="19" s="1"/>
  <c r="AN5" i="20"/>
  <c r="AE5" i="20" s="1"/>
  <c r="AG4" i="19"/>
  <c r="G4" i="19" s="1"/>
  <c r="P6" i="20"/>
  <c r="CA6" i="20" s="1"/>
  <c r="AR5" i="20"/>
  <c r="AI5" i="20" s="1"/>
  <c r="AK4" i="19"/>
  <c r="K4" i="19" s="1"/>
  <c r="E4" i="19"/>
  <c r="AO5" i="20"/>
  <c r="AF5" i="20" s="1"/>
  <c r="I3" i="12" l="1"/>
  <c r="AT5" i="25"/>
  <c r="F5" i="25" s="1"/>
  <c r="S5" i="19" s="1"/>
  <c r="AV5" i="20"/>
  <c r="AY5" i="25"/>
  <c r="S5" i="20"/>
  <c r="CD5" i="20" s="1"/>
  <c r="Z4" i="19"/>
  <c r="BF5" i="25"/>
  <c r="R5" i="25" s="1"/>
  <c r="BY5" i="19"/>
  <c r="BX5" i="19"/>
  <c r="BD6" i="25" s="1"/>
  <c r="P6" i="25" s="1"/>
  <c r="BE5" i="25"/>
  <c r="Q5" i="25" s="1"/>
  <c r="Y5" i="19" s="1"/>
  <c r="BW5" i="19"/>
  <c r="BB5" i="25"/>
  <c r="BV5" i="19"/>
  <c r="AZ6" i="25" s="1"/>
  <c r="BA5" i="25"/>
  <c r="U4" i="19"/>
  <c r="AH4" i="19" s="1"/>
  <c r="H4" i="19" s="1"/>
  <c r="BG5" i="19"/>
  <c r="T5" i="19"/>
  <c r="BT5" i="19"/>
  <c r="AX5" i="25"/>
  <c r="J5" i="25" s="1"/>
  <c r="BS5" i="19"/>
  <c r="AU5" i="25"/>
  <c r="BF5" i="19"/>
  <c r="K5" i="25"/>
  <c r="AC4" i="20"/>
  <c r="BM4" i="19"/>
  <c r="BG5" i="25" s="1"/>
  <c r="Q4" i="19"/>
  <c r="Y5" i="25"/>
  <c r="X5" i="25"/>
  <c r="AU5" i="20" s="1"/>
  <c r="Y8" i="22"/>
  <c r="M4" i="19"/>
  <c r="N4" i="19"/>
  <c r="X5" i="22"/>
  <c r="L4" i="19"/>
  <c r="V5" i="22"/>
  <c r="K5" i="20"/>
  <c r="BV5" i="20" s="1"/>
  <c r="BH4" i="19"/>
  <c r="AD4" i="19"/>
  <c r="D4" i="19" s="1"/>
  <c r="AP5" i="20"/>
  <c r="AG5" i="20" s="1"/>
  <c r="M6" i="20"/>
  <c r="BX6" i="20" s="1"/>
  <c r="AM6" i="20"/>
  <c r="AD6" i="20" s="1"/>
  <c r="L7" i="20" s="1"/>
  <c r="BW7" i="20" s="1"/>
  <c r="N6" i="20"/>
  <c r="BY6" i="20" s="1"/>
  <c r="Q6" i="20"/>
  <c r="CB6" i="20" s="1"/>
  <c r="AQ6" i="20"/>
  <c r="AH6" i="20" s="1"/>
  <c r="P7" i="20" s="1"/>
  <c r="CA7" i="20" s="1"/>
  <c r="R6" i="20"/>
  <c r="CC6" i="20" s="1"/>
  <c r="AT5" i="20" l="1"/>
  <c r="AK5" i="20" s="1"/>
  <c r="S6" i="20" s="1"/>
  <c r="CD6" i="20" s="1"/>
  <c r="AL6" i="25"/>
  <c r="AK6" i="25"/>
  <c r="BF6" i="25"/>
  <c r="L6" i="25"/>
  <c r="M5" i="25"/>
  <c r="N5" i="25"/>
  <c r="U5" i="19"/>
  <c r="AE6" i="25"/>
  <c r="AD6" i="25"/>
  <c r="G5" i="25"/>
  <c r="S5" i="25"/>
  <c r="BQ5" i="19"/>
  <c r="AS5" i="25"/>
  <c r="AQ6" i="25"/>
  <c r="AR5" i="25"/>
  <c r="P4" i="19"/>
  <c r="C4" i="19" s="1"/>
  <c r="BC4" i="19"/>
  <c r="BU5" i="19"/>
  <c r="Y9" i="22"/>
  <c r="AF5" i="19"/>
  <c r="F5" i="19" s="1"/>
  <c r="AL5" i="20"/>
  <c r="BH5" i="19"/>
  <c r="AI5" i="19"/>
  <c r="I5" i="19" s="1"/>
  <c r="S5" i="22" s="1"/>
  <c r="AL5" i="19"/>
  <c r="L5" i="19" s="1"/>
  <c r="T5" i="22" s="1"/>
  <c r="O6" i="20"/>
  <c r="AQ7" i="20"/>
  <c r="AH7" i="20" s="1"/>
  <c r="AH5" i="19"/>
  <c r="H5" i="19" s="1"/>
  <c r="R5" i="22" s="1"/>
  <c r="AN6" i="20"/>
  <c r="AE6" i="20" s="1"/>
  <c r="AO6" i="20"/>
  <c r="AF6" i="20" s="1"/>
  <c r="AM7" i="20"/>
  <c r="AD7" i="20" s="1"/>
  <c r="AG5" i="19"/>
  <c r="G5" i="19" s="1"/>
  <c r="AS6" i="20"/>
  <c r="AJ6" i="20" s="1"/>
  <c r="X6" i="19" s="1"/>
  <c r="AK5" i="19"/>
  <c r="K5" i="19" s="1"/>
  <c r="AR6" i="20"/>
  <c r="AI6" i="20" s="1"/>
  <c r="AT6" i="20" l="1"/>
  <c r="AK6" i="20" s="1"/>
  <c r="Z5" i="19"/>
  <c r="M5" i="19" s="1"/>
  <c r="AX6" i="25"/>
  <c r="J6" i="25" s="1"/>
  <c r="AD7" i="25" s="1"/>
  <c r="AX7" i="20" s="1"/>
  <c r="BX6" i="19"/>
  <c r="BB6" i="20"/>
  <c r="BT6" i="19"/>
  <c r="AX6" i="20"/>
  <c r="AY6" i="25"/>
  <c r="K6" i="25" s="1"/>
  <c r="AY6" i="20"/>
  <c r="BY6" i="19"/>
  <c r="R6" i="25"/>
  <c r="BJ5" i="19"/>
  <c r="W5" i="19"/>
  <c r="AJ5" i="19" s="1"/>
  <c r="J5" i="19" s="1"/>
  <c r="AG6" i="25"/>
  <c r="AZ6" i="20" s="1"/>
  <c r="AI6" i="25"/>
  <c r="AH6" i="25"/>
  <c r="BA6" i="20" s="1"/>
  <c r="BI6" i="19"/>
  <c r="V6" i="19"/>
  <c r="AF7" i="25"/>
  <c r="BG6" i="19"/>
  <c r="T6" i="19"/>
  <c r="AB6" i="25"/>
  <c r="AA6" i="25"/>
  <c r="AW6" i="20" s="1"/>
  <c r="D5" i="25"/>
  <c r="C6" i="25"/>
  <c r="E5" i="25"/>
  <c r="BM5" i="19"/>
  <c r="BK5" i="19"/>
  <c r="BE6" i="25" s="1"/>
  <c r="AM6" i="25"/>
  <c r="BC6" i="20" s="1"/>
  <c r="AN6" i="25"/>
  <c r="AA5" i="19"/>
  <c r="AN5" i="19" s="1"/>
  <c r="N5" i="19" s="1"/>
  <c r="U5" i="22" s="1"/>
  <c r="Y10" i="22"/>
  <c r="V6" i="22"/>
  <c r="AC5" i="20"/>
  <c r="AP6" i="20"/>
  <c r="AG6" i="20" s="1"/>
  <c r="O7" i="20" s="1"/>
  <c r="BZ7" i="20" s="1"/>
  <c r="BZ6" i="20"/>
  <c r="M7" i="20"/>
  <c r="BX7" i="20" s="1"/>
  <c r="P8" i="20"/>
  <c r="CA8" i="20" s="1"/>
  <c r="S7" i="20"/>
  <c r="CD7" i="20" s="1"/>
  <c r="L8" i="20"/>
  <c r="BW8" i="20" s="1"/>
  <c r="Q7" i="20"/>
  <c r="CB7" i="20" s="1"/>
  <c r="N7" i="20"/>
  <c r="BY7" i="20" s="1"/>
  <c r="R7" i="20"/>
  <c r="CC7" i="20" s="1"/>
  <c r="Z6" i="19" l="1"/>
  <c r="M6" i="19" s="1"/>
  <c r="X6" i="22"/>
  <c r="BU6" i="19" s="1"/>
  <c r="AX7" i="25" s="1"/>
  <c r="J7" i="25" s="1"/>
  <c r="AE7" i="25"/>
  <c r="AY7" i="20" s="1"/>
  <c r="BT7" i="19"/>
  <c r="BC6" i="25"/>
  <c r="O6" i="25" s="1"/>
  <c r="BV6" i="19"/>
  <c r="AZ7" i="25" s="1"/>
  <c r="BA6" i="25"/>
  <c r="M6" i="25" s="1"/>
  <c r="BW6" i="19"/>
  <c r="BB6" i="25"/>
  <c r="U6" i="19"/>
  <c r="AH6" i="19" s="1"/>
  <c r="H6" i="19" s="1"/>
  <c r="R6" i="22" s="1"/>
  <c r="BS6" i="19"/>
  <c r="AU6" i="25"/>
  <c r="G6" i="25" s="1"/>
  <c r="AV6" i="25"/>
  <c r="H6" i="25" s="1"/>
  <c r="Q6" i="25"/>
  <c r="K6" i="20"/>
  <c r="BV6" i="20" s="1"/>
  <c r="BC5" i="19"/>
  <c r="P5" i="19"/>
  <c r="W7" i="25"/>
  <c r="CA6" i="19"/>
  <c r="BH6" i="25"/>
  <c r="BG6" i="25"/>
  <c r="S6" i="25" s="1"/>
  <c r="BE5" i="19"/>
  <c r="R5" i="19"/>
  <c r="E5" i="19" s="1"/>
  <c r="O5" i="22" s="1"/>
  <c r="Z6" i="25"/>
  <c r="AV6" i="20" s="1"/>
  <c r="Y6" i="25"/>
  <c r="Q5" i="19"/>
  <c r="X6" i="25"/>
  <c r="AU6" i="20" s="1"/>
  <c r="Y11" i="22"/>
  <c r="AL6" i="20"/>
  <c r="AC6" i="20" s="1"/>
  <c r="BC6" i="19" s="1"/>
  <c r="AG6" i="19"/>
  <c r="G6" i="19" s="1"/>
  <c r="AK6" i="19"/>
  <c r="K6" i="19" s="1"/>
  <c r="BH6" i="19"/>
  <c r="AI6" i="19"/>
  <c r="I6" i="19" s="1"/>
  <c r="S6" i="22" s="1"/>
  <c r="AD5" i="19"/>
  <c r="D5" i="19" s="1"/>
  <c r="N5" i="22" s="1"/>
  <c r="AQ8" i="20"/>
  <c r="AH8" i="20" s="1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BJ6" i="19" l="1"/>
  <c r="W6" i="19"/>
  <c r="AJ6" i="19" s="1"/>
  <c r="J6" i="19" s="1"/>
  <c r="AG7" i="25"/>
  <c r="AZ7" i="20" s="1"/>
  <c r="L7" i="25"/>
  <c r="AJ7" i="25"/>
  <c r="N6" i="25"/>
  <c r="AH7" i="25" s="1"/>
  <c r="BA7" i="25"/>
  <c r="AC7" i="25"/>
  <c r="AB7" i="25"/>
  <c r="AV7" i="25" s="1"/>
  <c r="H7" i="25" s="1"/>
  <c r="BO7" i="19"/>
  <c r="AP8" i="25" s="1"/>
  <c r="B8" i="25" s="1"/>
  <c r="AQ7" i="25"/>
  <c r="T6" i="25"/>
  <c r="P6" i="19"/>
  <c r="AR6" i="25"/>
  <c r="D6" i="25" s="1"/>
  <c r="Q6" i="19" s="1"/>
  <c r="BQ6" i="19"/>
  <c r="AS6" i="25"/>
  <c r="AA6" i="19"/>
  <c r="AN6" i="19" s="1"/>
  <c r="BK6" i="19"/>
  <c r="BM6" i="19"/>
  <c r="AT6" i="25"/>
  <c r="F6" i="25" s="1"/>
  <c r="AM7" i="25"/>
  <c r="BC7" i="20" s="1"/>
  <c r="Y6" i="19"/>
  <c r="AL6" i="19" s="1"/>
  <c r="AK7" i="25"/>
  <c r="BB7" i="20" s="1"/>
  <c r="AL7" i="25"/>
  <c r="U7" i="19"/>
  <c r="Y12" i="22"/>
  <c r="M8" i="20"/>
  <c r="BX8" i="20" s="1"/>
  <c r="S8" i="20"/>
  <c r="CD8" i="20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BB7" i="25" l="1"/>
  <c r="N7" i="25" s="1"/>
  <c r="AH8" i="25" s="1"/>
  <c r="BA8" i="20" s="1"/>
  <c r="BA7" i="20"/>
  <c r="AI7" i="25"/>
  <c r="BW7" i="19"/>
  <c r="BD7" i="25"/>
  <c r="P7" i="25" s="1"/>
  <c r="X7" i="19" s="1"/>
  <c r="AK7" i="19" s="1"/>
  <c r="K7" i="19" s="1"/>
  <c r="BV7" i="19"/>
  <c r="M7" i="25"/>
  <c r="AG8" i="25" s="1"/>
  <c r="BC7" i="25"/>
  <c r="O7" i="25" s="1"/>
  <c r="BI7" i="19"/>
  <c r="V7" i="19"/>
  <c r="AI7" i="19" s="1"/>
  <c r="I7" i="19" s="1"/>
  <c r="S7" i="22" s="1"/>
  <c r="AF8" i="25"/>
  <c r="AW7" i="25"/>
  <c r="C7" i="25"/>
  <c r="BG7" i="25"/>
  <c r="S7" i="25" s="1"/>
  <c r="L6" i="19"/>
  <c r="T6" i="22" s="1"/>
  <c r="V7" i="22"/>
  <c r="BF7" i="25"/>
  <c r="BY7" i="19"/>
  <c r="S6" i="19"/>
  <c r="AF6" i="19" s="1"/>
  <c r="F6" i="19" s="1"/>
  <c r="BF6" i="19"/>
  <c r="AY7" i="25" s="1"/>
  <c r="K7" i="25" s="1"/>
  <c r="AE8" i="25" s="1"/>
  <c r="AY8" i="20" s="1"/>
  <c r="AA7" i="25"/>
  <c r="AW7" i="20" s="1"/>
  <c r="O8" i="19"/>
  <c r="V9" i="25"/>
  <c r="BX7" i="19"/>
  <c r="BE7" i="25"/>
  <c r="E6" i="25"/>
  <c r="X7" i="25"/>
  <c r="AU7" i="20" s="1"/>
  <c r="AO7" i="25"/>
  <c r="AN7" i="25"/>
  <c r="Y13" i="22"/>
  <c r="N6" i="19"/>
  <c r="U6" i="22" s="1"/>
  <c r="X7" i="22"/>
  <c r="BU7" i="19" s="1"/>
  <c r="BH7" i="19"/>
  <c r="AH7" i="19"/>
  <c r="H7" i="19" s="1"/>
  <c r="R7" i="22" s="1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AI8" i="25" l="1"/>
  <c r="BC8" i="25" s="1"/>
  <c r="O8" i="25" s="1"/>
  <c r="BA8" i="25"/>
  <c r="M8" i="25" s="1"/>
  <c r="AZ8" i="20"/>
  <c r="BW8" i="19"/>
  <c r="AZ8" i="25"/>
  <c r="AJ8" i="25"/>
  <c r="BD8" i="25" s="1"/>
  <c r="BV8" i="19"/>
  <c r="BJ7" i="19"/>
  <c r="BB8" i="25" s="1"/>
  <c r="W7" i="19"/>
  <c r="AJ7" i="19" s="1"/>
  <c r="J7" i="19" s="1"/>
  <c r="I7" i="25"/>
  <c r="R7" i="25"/>
  <c r="BI7" i="25"/>
  <c r="Q7" i="25"/>
  <c r="CA7" i="19"/>
  <c r="BH7" i="25"/>
  <c r="R6" i="19"/>
  <c r="E6" i="19" s="1"/>
  <c r="O6" i="22" s="1"/>
  <c r="BE6" i="19"/>
  <c r="Y7" i="25"/>
  <c r="BK7" i="19"/>
  <c r="AA7" i="19"/>
  <c r="BM7" i="19"/>
  <c r="AR7" i="25"/>
  <c r="D7" i="25" s="1"/>
  <c r="Z7" i="25"/>
  <c r="AV7" i="20" s="1"/>
  <c r="W8" i="25"/>
  <c r="BS7" i="19"/>
  <c r="AU7" i="25"/>
  <c r="G7" i="25" s="1"/>
  <c r="AM8" i="25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BG8" i="25" l="1"/>
  <c r="BC8" i="20"/>
  <c r="N8" i="25"/>
  <c r="P8" i="25"/>
  <c r="X8" i="19" s="1"/>
  <c r="AK8" i="19" s="1"/>
  <c r="K8" i="19" s="1"/>
  <c r="L8" i="25"/>
  <c r="BJ8" i="19"/>
  <c r="W8" i="19"/>
  <c r="T7" i="19"/>
  <c r="AG7" i="19" s="1"/>
  <c r="G7" i="19" s="1"/>
  <c r="BG7" i="19"/>
  <c r="AD8" i="25"/>
  <c r="AX8" i="20" s="1"/>
  <c r="AC8" i="25"/>
  <c r="AW8" i="25" s="1"/>
  <c r="I8" i="25" s="1"/>
  <c r="Q7" i="19"/>
  <c r="X8" i="25"/>
  <c r="AU8" i="20" s="1"/>
  <c r="P7" i="19"/>
  <c r="BQ7" i="19"/>
  <c r="AS7" i="25"/>
  <c r="Y7" i="19"/>
  <c r="AL7" i="19" s="1"/>
  <c r="AK8" i="25"/>
  <c r="BB8" i="20" s="1"/>
  <c r="AB8" i="25"/>
  <c r="BC7" i="19"/>
  <c r="AR8" i="25" s="1"/>
  <c r="Z7" i="19"/>
  <c r="M7" i="19" s="1"/>
  <c r="AL8" i="25"/>
  <c r="BO8" i="19"/>
  <c r="AP9" i="25" s="1"/>
  <c r="AQ8" i="25"/>
  <c r="S8" i="25"/>
  <c r="AT7" i="25"/>
  <c r="T7" i="25"/>
  <c r="AN8" i="25" s="1"/>
  <c r="BH8" i="25" s="1"/>
  <c r="U7" i="25"/>
  <c r="AO8" i="25" s="1"/>
  <c r="BI8" i="25" s="1"/>
  <c r="Y15" i="22"/>
  <c r="AN7" i="19"/>
  <c r="N7" i="19" s="1"/>
  <c r="U7" i="22" s="1"/>
  <c r="AM10" i="20"/>
  <c r="AD10" i="20" s="1"/>
  <c r="L11" i="20" s="1"/>
  <c r="BW11" i="20" s="1"/>
  <c r="BW10" i="20"/>
  <c r="AJ8" i="19"/>
  <c r="J8" i="19" s="1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J9" i="25" l="1"/>
  <c r="BI8" i="19"/>
  <c r="V8" i="19"/>
  <c r="AI8" i="19" s="1"/>
  <c r="I8" i="19" s="1"/>
  <c r="S8" i="22" s="1"/>
  <c r="AF9" i="25"/>
  <c r="AG9" i="25"/>
  <c r="AZ9" i="20" s="1"/>
  <c r="AI9" i="25"/>
  <c r="AH9" i="25"/>
  <c r="BA9" i="20" s="1"/>
  <c r="T8" i="19"/>
  <c r="BG8" i="19"/>
  <c r="BT8" i="19"/>
  <c r="AX8" i="25"/>
  <c r="J8" i="25" s="1"/>
  <c r="U8" i="19" s="1"/>
  <c r="U8" i="25"/>
  <c r="D8" i="25"/>
  <c r="Q8" i="19" s="1"/>
  <c r="T8" i="25"/>
  <c r="CA8" i="19"/>
  <c r="AN9" i="25"/>
  <c r="BX8" i="19"/>
  <c r="BE8" i="25"/>
  <c r="BD9" i="25"/>
  <c r="P9" i="25" s="1"/>
  <c r="X9" i="19" s="1"/>
  <c r="B9" i="25"/>
  <c r="L7" i="19"/>
  <c r="T7" i="22" s="1"/>
  <c r="V8" i="22"/>
  <c r="C8" i="25"/>
  <c r="X9" i="25" s="1"/>
  <c r="AU9" i="20" s="1"/>
  <c r="AV8" i="25"/>
  <c r="H8" i="25" s="1"/>
  <c r="AC9" i="25" s="1"/>
  <c r="AW9" i="25" s="1"/>
  <c r="F7" i="25"/>
  <c r="BK8" i="19"/>
  <c r="AA8" i="19"/>
  <c r="BM8" i="19"/>
  <c r="BY8" i="19"/>
  <c r="BF8" i="25"/>
  <c r="E7" i="25"/>
  <c r="Y16" i="22"/>
  <c r="X8" i="22"/>
  <c r="AM11" i="20"/>
  <c r="AD11" i="20" s="1"/>
  <c r="L12" i="20" s="1"/>
  <c r="BW12" i="20" s="1"/>
  <c r="AN8" i="19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AZ9" i="25" l="1"/>
  <c r="BW9" i="19"/>
  <c r="BB9" i="25"/>
  <c r="BV9" i="19"/>
  <c r="BA9" i="25"/>
  <c r="M9" i="25" s="1"/>
  <c r="BC9" i="25"/>
  <c r="AD9" i="25"/>
  <c r="CA9" i="19"/>
  <c r="Q8" i="25"/>
  <c r="BF7" i="19"/>
  <c r="AY8" i="25" s="1"/>
  <c r="S7" i="19"/>
  <c r="AA8" i="25"/>
  <c r="AW8" i="20" s="1"/>
  <c r="Z8" i="25"/>
  <c r="AV8" i="20" s="1"/>
  <c r="BH9" i="25"/>
  <c r="BE7" i="19"/>
  <c r="R7" i="19"/>
  <c r="Y8" i="25"/>
  <c r="R8" i="25"/>
  <c r="BC8" i="19"/>
  <c r="P8" i="19"/>
  <c r="W9" i="25"/>
  <c r="O9" i="19"/>
  <c r="V10" i="25"/>
  <c r="AO9" i="25"/>
  <c r="BU8" i="19"/>
  <c r="AX9" i="25" s="1"/>
  <c r="J9" i="25" s="1"/>
  <c r="I9" i="25"/>
  <c r="Y17" i="22"/>
  <c r="N8" i="19"/>
  <c r="U8" i="22" s="1"/>
  <c r="X9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T9" i="19" l="1"/>
  <c r="AX9" i="20"/>
  <c r="BJ9" i="19"/>
  <c r="W9" i="19"/>
  <c r="O9" i="25"/>
  <c r="N9" i="25"/>
  <c r="AH10" i="25" s="1"/>
  <c r="L9" i="25"/>
  <c r="BI9" i="25"/>
  <c r="U9" i="25" s="1"/>
  <c r="BO9" i="19"/>
  <c r="AP10" i="25" s="1"/>
  <c r="B10" i="25" s="1"/>
  <c r="AQ9" i="25"/>
  <c r="AM9" i="25"/>
  <c r="BC9" i="20" s="1"/>
  <c r="Z8" i="19"/>
  <c r="M8" i="19" s="1"/>
  <c r="AL9" i="25"/>
  <c r="K8" i="25"/>
  <c r="AE9" i="25" s="1"/>
  <c r="AY9" i="20" s="1"/>
  <c r="BQ8" i="19"/>
  <c r="AR9" i="25" s="1"/>
  <c r="D9" i="25" s="1"/>
  <c r="AS8" i="25"/>
  <c r="T9" i="25"/>
  <c r="AT8" i="25"/>
  <c r="BS8" i="19"/>
  <c r="AU8" i="25"/>
  <c r="Y8" i="19"/>
  <c r="AK9" i="25"/>
  <c r="BB9" i="20" s="1"/>
  <c r="U9" i="19"/>
  <c r="T9" i="19"/>
  <c r="BG9" i="19"/>
  <c r="AD10" i="25"/>
  <c r="Y18" i="22"/>
  <c r="AK9" i="19"/>
  <c r="K9" i="19" s="1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BT10" i="19" l="1"/>
  <c r="AX10" i="20"/>
  <c r="BB10" i="25"/>
  <c r="N10" i="25" s="1"/>
  <c r="BA10" i="20"/>
  <c r="AJ10" i="25"/>
  <c r="AI10" i="25"/>
  <c r="BC10" i="25" s="1"/>
  <c r="BI9" i="19"/>
  <c r="V9" i="19"/>
  <c r="AF10" i="25"/>
  <c r="BW10" i="19"/>
  <c r="AG10" i="25"/>
  <c r="AZ10" i="20" s="1"/>
  <c r="O10" i="19"/>
  <c r="V11" i="25"/>
  <c r="Q9" i="19"/>
  <c r="BX9" i="19"/>
  <c r="BD10" i="25" s="1"/>
  <c r="BE9" i="25"/>
  <c r="Q9" i="25" s="1"/>
  <c r="Y9" i="19" s="1"/>
  <c r="AL9" i="19" s="1"/>
  <c r="L9" i="19" s="1"/>
  <c r="T9" i="22" s="1"/>
  <c r="E8" i="25"/>
  <c r="AL8" i="19"/>
  <c r="V9" i="22" s="1"/>
  <c r="BY9" i="19"/>
  <c r="BF9" i="25"/>
  <c r="C9" i="25"/>
  <c r="AO10" i="25"/>
  <c r="BI10" i="25" s="1"/>
  <c r="F8" i="25"/>
  <c r="G8" i="25"/>
  <c r="BG9" i="25"/>
  <c r="S9" i="25" s="1"/>
  <c r="AN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O10" i="25" l="1"/>
  <c r="AI11" i="25" s="1"/>
  <c r="BC11" i="25" s="1"/>
  <c r="O11" i="25" s="1"/>
  <c r="AZ10" i="25"/>
  <c r="L10" i="25" s="1"/>
  <c r="BV10" i="19"/>
  <c r="BA10" i="25"/>
  <c r="CA10" i="19"/>
  <c r="BH10" i="25"/>
  <c r="U10" i="25"/>
  <c r="R9" i="25"/>
  <c r="AB9" i="25"/>
  <c r="AA9" i="25"/>
  <c r="AW9" i="20" s="1"/>
  <c r="BE8" i="19"/>
  <c r="R8" i="19"/>
  <c r="Y9" i="25"/>
  <c r="P10" i="25"/>
  <c r="BM9" i="19"/>
  <c r="BK9" i="19"/>
  <c r="AA9" i="19"/>
  <c r="AN9" i="19" s="1"/>
  <c r="BC9" i="19"/>
  <c r="P9" i="19"/>
  <c r="W10" i="25"/>
  <c r="X10" i="25"/>
  <c r="AU10" i="20" s="1"/>
  <c r="BU9" i="19"/>
  <c r="AX10" i="25" s="1"/>
  <c r="J10" i="25" s="1"/>
  <c r="U10" i="19" s="1"/>
  <c r="V10" i="22"/>
  <c r="AM10" i="25"/>
  <c r="BC10" i="20" s="1"/>
  <c r="BF8" i="19"/>
  <c r="AY9" i="25" s="1"/>
  <c r="K9" i="25" s="1"/>
  <c r="AE10" i="25" s="1"/>
  <c r="AY10" i="20" s="1"/>
  <c r="S8" i="19"/>
  <c r="Z9" i="25"/>
  <c r="AV9" i="20" s="1"/>
  <c r="L8" i="19"/>
  <c r="T8" i="22" s="1"/>
  <c r="AK10" i="25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BE10" i="25" l="1"/>
  <c r="Q10" i="25" s="1"/>
  <c r="Y10" i="19" s="1"/>
  <c r="BB10" i="20"/>
  <c r="BG10" i="25"/>
  <c r="S10" i="25" s="1"/>
  <c r="BI10" i="19"/>
  <c r="V10" i="19"/>
  <c r="M10" i="25"/>
  <c r="BJ10" i="19" s="1"/>
  <c r="AF11" i="25"/>
  <c r="BO10" i="19"/>
  <c r="AP11" i="25" s="1"/>
  <c r="AQ10" i="25"/>
  <c r="N9" i="19"/>
  <c r="U9" i="22" s="1"/>
  <c r="X10" i="22"/>
  <c r="BU10" i="19" s="1"/>
  <c r="X10" i="19"/>
  <c r="AJ11" i="25"/>
  <c r="Z9" i="19"/>
  <c r="M9" i="19" s="1"/>
  <c r="AL10" i="25"/>
  <c r="BX10" i="19"/>
  <c r="AA10" i="19"/>
  <c r="BK10" i="19"/>
  <c r="AT9" i="25"/>
  <c r="F9" i="25" s="1"/>
  <c r="BS9" i="19"/>
  <c r="AU9" i="25"/>
  <c r="T10" i="25"/>
  <c r="BQ9" i="19"/>
  <c r="AR10" i="25" s="1"/>
  <c r="D10" i="25" s="1"/>
  <c r="AS9" i="25"/>
  <c r="AV9" i="25"/>
  <c r="H9" i="25" s="1"/>
  <c r="Y21" i="22"/>
  <c r="AN10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BM10" i="19" s="1"/>
  <c r="AL10" i="19" l="1"/>
  <c r="V11" i="22" s="1"/>
  <c r="W10" i="19"/>
  <c r="AH11" i="25"/>
  <c r="BA11" i="20" s="1"/>
  <c r="AG11" i="25"/>
  <c r="AZ11" i="20" s="1"/>
  <c r="AK11" i="25"/>
  <c r="AZ11" i="25"/>
  <c r="L11" i="25" s="1"/>
  <c r="Q10" i="19"/>
  <c r="AC10" i="25"/>
  <c r="C10" i="25"/>
  <c r="G9" i="25"/>
  <c r="AA10" i="25" s="1"/>
  <c r="AW10" i="20" s="1"/>
  <c r="BD11" i="25"/>
  <c r="E9" i="25"/>
  <c r="BY10" i="19"/>
  <c r="BF10" i="25"/>
  <c r="B11" i="25"/>
  <c r="AO11" i="25"/>
  <c r="AN11" i="25"/>
  <c r="BF9" i="19"/>
  <c r="AY10" i="25" s="1"/>
  <c r="K10" i="25" s="1"/>
  <c r="AE11" i="25" s="1"/>
  <c r="AY11" i="20" s="1"/>
  <c r="S9" i="19"/>
  <c r="Y22" i="22"/>
  <c r="N10" i="19"/>
  <c r="U10" i="22" s="1"/>
  <c r="X11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L10" i="19" l="1"/>
  <c r="T10" i="22" s="1"/>
  <c r="BX11" i="19"/>
  <c r="BB11" i="20"/>
  <c r="BI11" i="19"/>
  <c r="V11" i="19"/>
  <c r="AF12" i="25"/>
  <c r="BE11" i="25"/>
  <c r="Q11" i="25" s="1"/>
  <c r="AU10" i="25"/>
  <c r="G10" i="25" s="1"/>
  <c r="BV11" i="19"/>
  <c r="BA11" i="25"/>
  <c r="BW11" i="19"/>
  <c r="BB11" i="25"/>
  <c r="BU11" i="19"/>
  <c r="AB10" i="25"/>
  <c r="AV10" i="25" s="1"/>
  <c r="CA11" i="19"/>
  <c r="BH11" i="25"/>
  <c r="R9" i="19"/>
  <c r="BE9" i="19"/>
  <c r="Y10" i="25"/>
  <c r="Z10" i="25"/>
  <c r="AV10" i="20" s="1"/>
  <c r="P10" i="19"/>
  <c r="BC10" i="19"/>
  <c r="W11" i="25"/>
  <c r="X11" i="25"/>
  <c r="AU11" i="20" s="1"/>
  <c r="BI11" i="25"/>
  <c r="O11" i="19"/>
  <c r="V12" i="25"/>
  <c r="R10" i="25"/>
  <c r="P11" i="25"/>
  <c r="BS10" i="19"/>
  <c r="AW10" i="25"/>
  <c r="I10" i="25" s="1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AZ12" i="25" l="1"/>
  <c r="L12" i="25" s="1"/>
  <c r="AF13" i="25" s="1"/>
  <c r="M11" i="25"/>
  <c r="BJ11" i="19" s="1"/>
  <c r="N11" i="25"/>
  <c r="H10" i="25"/>
  <c r="AB11" i="25" s="1"/>
  <c r="AV11" i="25" s="1"/>
  <c r="H11" i="25" s="1"/>
  <c r="BG10" i="19"/>
  <c r="AD11" i="25"/>
  <c r="AX11" i="20" s="1"/>
  <c r="T10" i="19"/>
  <c r="AC11" i="25"/>
  <c r="T11" i="25"/>
  <c r="X11" i="19"/>
  <c r="AJ12" i="25"/>
  <c r="U11" i="25"/>
  <c r="BO11" i="19"/>
  <c r="AP12" i="25" s="1"/>
  <c r="B12" i="25" s="1"/>
  <c r="AQ11" i="25"/>
  <c r="BQ10" i="19"/>
  <c r="AR11" i="25" s="1"/>
  <c r="AS10" i="25"/>
  <c r="Z10" i="19"/>
  <c r="M10" i="19" s="1"/>
  <c r="AM11" i="25"/>
  <c r="BC11" i="20" s="1"/>
  <c r="AL11" i="25"/>
  <c r="Y11" i="19"/>
  <c r="AK12" i="25"/>
  <c r="BB12" i="20" s="1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AO12" i="25" l="1"/>
  <c r="W11" i="19"/>
  <c r="AG12" i="25"/>
  <c r="AZ12" i="20" s="1"/>
  <c r="AI12" i="25"/>
  <c r="BC12" i="25" s="1"/>
  <c r="O12" i="25" s="1"/>
  <c r="AH12" i="25"/>
  <c r="BA12" i="20" s="1"/>
  <c r="V12" i="19"/>
  <c r="BI12" i="19"/>
  <c r="O12" i="19"/>
  <c r="V13" i="25"/>
  <c r="C11" i="25"/>
  <c r="E10" i="25"/>
  <c r="BD12" i="25"/>
  <c r="P12" i="25" s="1"/>
  <c r="AW11" i="25"/>
  <c r="I11" i="25" s="1"/>
  <c r="BX12" i="19"/>
  <c r="BT11" i="19"/>
  <c r="AX11" i="25"/>
  <c r="BY11" i="19"/>
  <c r="BF11" i="25"/>
  <c r="R11" i="25" s="1"/>
  <c r="Z11" i="19" s="1"/>
  <c r="M11" i="19" s="1"/>
  <c r="BG11" i="25"/>
  <c r="S11" i="25" s="1"/>
  <c r="BI12" i="25"/>
  <c r="U12" i="25" s="1"/>
  <c r="D11" i="25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V12" i="19" l="1"/>
  <c r="AZ13" i="25" s="1"/>
  <c r="BA12" i="25"/>
  <c r="AL12" i="25"/>
  <c r="BF12" i="25" s="1"/>
  <c r="BW12" i="19"/>
  <c r="BB12" i="25"/>
  <c r="N12" i="25" s="1"/>
  <c r="BG11" i="19"/>
  <c r="T11" i="19"/>
  <c r="AC12" i="25"/>
  <c r="X12" i="19"/>
  <c r="AJ13" i="25"/>
  <c r="BM11" i="19"/>
  <c r="BK11" i="19"/>
  <c r="BE12" i="25" s="1"/>
  <c r="AA11" i="19"/>
  <c r="AN11" i="19" s="1"/>
  <c r="X12" i="22" s="1"/>
  <c r="AM12" i="25"/>
  <c r="BC12" i="20" s="1"/>
  <c r="AN12" i="25"/>
  <c r="J11" i="25"/>
  <c r="Q11" i="19"/>
  <c r="X12" i="25"/>
  <c r="AU12" i="20" s="1"/>
  <c r="BC11" i="19"/>
  <c r="P11" i="19"/>
  <c r="W12" i="25"/>
  <c r="BD13" i="25"/>
  <c r="P13" i="25" s="1"/>
  <c r="X13" i="19" s="1"/>
  <c r="BE10" i="19"/>
  <c r="R10" i="19"/>
  <c r="Y11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BG12" i="25" l="1"/>
  <c r="S12" i="25" s="1"/>
  <c r="AA12" i="19" s="1"/>
  <c r="AN12" i="19" s="1"/>
  <c r="AI13" i="25"/>
  <c r="M12" i="25"/>
  <c r="AH13" i="25" s="1"/>
  <c r="BA13" i="20" s="1"/>
  <c r="BY12" i="19"/>
  <c r="L13" i="25"/>
  <c r="R12" i="25"/>
  <c r="N11" i="19"/>
  <c r="U11" i="22" s="1"/>
  <c r="BO12" i="19"/>
  <c r="AP13" i="25" s="1"/>
  <c r="B13" i="25" s="1"/>
  <c r="AQ12" i="25"/>
  <c r="C12" i="25" s="1"/>
  <c r="Q12" i="25"/>
  <c r="AW12" i="25"/>
  <c r="I12" i="25" s="1"/>
  <c r="CA12" i="19"/>
  <c r="BH12" i="25"/>
  <c r="T12" i="25" s="1"/>
  <c r="U11" i="19"/>
  <c r="AD12" i="25"/>
  <c r="AX12" i="20" s="1"/>
  <c r="BQ11" i="19"/>
  <c r="AR12" i="25" s="1"/>
  <c r="AS11" i="25"/>
  <c r="E11" i="25" s="1"/>
  <c r="Y12" i="25" s="1"/>
  <c r="BQ12" i="19" s="1"/>
  <c r="Y27" i="22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BK12" i="19" l="1"/>
  <c r="AM13" i="25"/>
  <c r="BC13" i="20" s="1"/>
  <c r="BM12" i="19"/>
  <c r="BG13" i="25" s="1"/>
  <c r="V13" i="19"/>
  <c r="BI13" i="19"/>
  <c r="AF14" i="25"/>
  <c r="BJ12" i="19"/>
  <c r="BB13" i="25" s="1"/>
  <c r="W12" i="19"/>
  <c r="AG13" i="25"/>
  <c r="AZ13" i="20" s="1"/>
  <c r="BC13" i="25"/>
  <c r="O13" i="25" s="1"/>
  <c r="BW13" i="19"/>
  <c r="O13" i="19"/>
  <c r="V14" i="25"/>
  <c r="BT12" i="19"/>
  <c r="AX12" i="25"/>
  <c r="J12" i="25" s="1"/>
  <c r="U12" i="19" s="1"/>
  <c r="BG12" i="19"/>
  <c r="T12" i="19"/>
  <c r="D12" i="25"/>
  <c r="AN13" i="25"/>
  <c r="BH13" i="25" s="1"/>
  <c r="AO13" i="25"/>
  <c r="Y12" i="19"/>
  <c r="AK13" i="25"/>
  <c r="BB13" i="20" s="1"/>
  <c r="BE11" i="19"/>
  <c r="R11" i="19"/>
  <c r="W13" i="25"/>
  <c r="Z12" i="19"/>
  <c r="AL13" i="25"/>
  <c r="Y28" i="22"/>
  <c r="N12" i="19"/>
  <c r="U12" i="22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P12" i="19" s="1"/>
  <c r="O17" i="20"/>
  <c r="BZ17" i="20" s="1"/>
  <c r="AM18" i="20"/>
  <c r="AD18" i="20" s="1"/>
  <c r="L19" i="20" s="1"/>
  <c r="BW19" i="20" s="1"/>
  <c r="AO17" i="20"/>
  <c r="AF17" i="20" s="1"/>
  <c r="N13" i="25" l="1"/>
  <c r="AI14" i="25" s="1"/>
  <c r="AJ14" i="25"/>
  <c r="BV13" i="19"/>
  <c r="AZ14" i="25" s="1"/>
  <c r="L14" i="25" s="1"/>
  <c r="BA13" i="25"/>
  <c r="Q12" i="19"/>
  <c r="X13" i="25"/>
  <c r="AU13" i="20" s="1"/>
  <c r="BO13" i="19"/>
  <c r="AP14" i="25" s="1"/>
  <c r="B14" i="25" s="1"/>
  <c r="O14" i="19" s="1"/>
  <c r="AQ13" i="25"/>
  <c r="BI13" i="25"/>
  <c r="BC12" i="19"/>
  <c r="BY13" i="19"/>
  <c r="BF13" i="25"/>
  <c r="BX13" i="19"/>
  <c r="BD14" i="25" s="1"/>
  <c r="P14" i="25" s="1"/>
  <c r="BE13" i="25"/>
  <c r="CA13" i="19"/>
  <c r="T13" i="25"/>
  <c r="AD13" i="25"/>
  <c r="S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BT13" i="19" l="1"/>
  <c r="AX13" i="20"/>
  <c r="V14" i="19"/>
  <c r="BI14" i="19"/>
  <c r="AF15" i="25"/>
  <c r="BC14" i="25"/>
  <c r="O14" i="25" s="1"/>
  <c r="M13" i="25"/>
  <c r="AH14" i="25" s="1"/>
  <c r="BA14" i="20" s="1"/>
  <c r="Q13" i="25"/>
  <c r="V15" i="25"/>
  <c r="AA13" i="19"/>
  <c r="BK13" i="19"/>
  <c r="AN14" i="25"/>
  <c r="R13" i="25"/>
  <c r="AM14" i="25" s="1"/>
  <c r="BC14" i="20" s="1"/>
  <c r="U13" i="25"/>
  <c r="AO14" i="25" s="1"/>
  <c r="BI14" i="25" s="1"/>
  <c r="X14" i="19"/>
  <c r="C13" i="25"/>
  <c r="AR13" i="25"/>
  <c r="D13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BM13" i="19" s="1"/>
  <c r="AO18" i="20"/>
  <c r="AF18" i="20" s="1"/>
  <c r="N19" i="20" s="1"/>
  <c r="BY19" i="20" s="1"/>
  <c r="M20" i="20"/>
  <c r="BX20" i="20" s="1"/>
  <c r="P18" i="20"/>
  <c r="CA18" i="20" s="1"/>
  <c r="BJ13" i="19" l="1"/>
  <c r="BB14" i="25" s="1"/>
  <c r="N14" i="25" s="1"/>
  <c r="AJ15" i="25"/>
  <c r="BW14" i="19"/>
  <c r="W13" i="19"/>
  <c r="AG14" i="25"/>
  <c r="AZ14" i="20" s="1"/>
  <c r="Q13" i="19"/>
  <c r="X14" i="25"/>
  <c r="AU14" i="20" s="1"/>
  <c r="BG14" i="25"/>
  <c r="Y13" i="19"/>
  <c r="AK14" i="25"/>
  <c r="BB14" i="20" s="1"/>
  <c r="U14" i="25"/>
  <c r="Z13" i="19"/>
  <c r="AL14" i="25"/>
  <c r="W14" i="25"/>
  <c r="CA14" i="19"/>
  <c r="BH14" i="25"/>
  <c r="T14" i="25" s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BC13" i="19" s="1"/>
  <c r="AQ18" i="20"/>
  <c r="AH18" i="20" s="1"/>
  <c r="AP18" i="20"/>
  <c r="AG18" i="20" s="1"/>
  <c r="BV14" i="19" l="1"/>
  <c r="AZ15" i="25" s="1"/>
  <c r="L15" i="25" s="1"/>
  <c r="BA14" i="25"/>
  <c r="AI15" i="25"/>
  <c r="P13" i="19"/>
  <c r="BX14" i="19"/>
  <c r="BD15" i="25" s="1"/>
  <c r="BE14" i="25"/>
  <c r="AO15" i="25"/>
  <c r="S14" i="25"/>
  <c r="BO14" i="19"/>
  <c r="AP15" i="25" s="1"/>
  <c r="B15" i="25" s="1"/>
  <c r="AQ14" i="25"/>
  <c r="BY14" i="19"/>
  <c r="BF14" i="25"/>
  <c r="Y32" i="22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M14" i="25" l="1"/>
  <c r="BJ14" i="19" s="1"/>
  <c r="BC15" i="25"/>
  <c r="BI15" i="19"/>
  <c r="V15" i="19"/>
  <c r="AF16" i="25"/>
  <c r="C14" i="25"/>
  <c r="Q14" i="25"/>
  <c r="R14" i="25"/>
  <c r="AM15" i="25" s="1"/>
  <c r="BC15" i="20" s="1"/>
  <c r="BK14" i="19"/>
  <c r="AA14" i="19"/>
  <c r="O15" i="19"/>
  <c r="V16" i="25"/>
  <c r="BI15" i="25"/>
  <c r="P15" i="25"/>
  <c r="AN15" i="25"/>
  <c r="Y33" i="22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BM14" i="19" s="1"/>
  <c r="AT18" i="20"/>
  <c r="AK18" i="20" s="1"/>
  <c r="O15" i="25" l="1"/>
  <c r="AJ16" i="25" s="1"/>
  <c r="W14" i="19"/>
  <c r="AH15" i="25"/>
  <c r="BA15" i="20" s="1"/>
  <c r="AG15" i="25"/>
  <c r="AZ15" i="20" s="1"/>
  <c r="BG15" i="25"/>
  <c r="X15" i="19"/>
  <c r="Y14" i="19"/>
  <c r="AK15" i="25"/>
  <c r="BB15" i="20" s="1"/>
  <c r="CA15" i="19"/>
  <c r="BH15" i="25"/>
  <c r="T15" i="25" s="1"/>
  <c r="W15" i="25"/>
  <c r="U15" i="25"/>
  <c r="Z14" i="19"/>
  <c r="AL15" i="25"/>
  <c r="Y34" i="22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BC14" i="19" s="1"/>
  <c r="AO22" i="20"/>
  <c r="AF22" i="20" s="1"/>
  <c r="R19" i="20"/>
  <c r="CC19" i="20" s="1"/>
  <c r="P20" i="20"/>
  <c r="CA20" i="20" s="1"/>
  <c r="BV15" i="19" l="1"/>
  <c r="AZ16" i="25" s="1"/>
  <c r="L16" i="25" s="1"/>
  <c r="BA15" i="25"/>
  <c r="M15" i="25" s="1"/>
  <c r="AG16" i="25" s="1"/>
  <c r="AZ16" i="20" s="1"/>
  <c r="BW15" i="19"/>
  <c r="BB15" i="25"/>
  <c r="N15" i="25" s="1"/>
  <c r="AO16" i="25"/>
  <c r="BI16" i="25" s="1"/>
  <c r="BO15" i="19"/>
  <c r="AP16" i="25" s="1"/>
  <c r="B16" i="25" s="1"/>
  <c r="AQ15" i="25"/>
  <c r="C15" i="25" s="1"/>
  <c r="P14" i="19"/>
  <c r="BX15" i="19"/>
  <c r="BD16" i="25" s="1"/>
  <c r="P16" i="25" s="1"/>
  <c r="X16" i="19" s="1"/>
  <c r="BE15" i="25"/>
  <c r="Q15" i="25" s="1"/>
  <c r="Y15" i="19" s="1"/>
  <c r="BY15" i="19"/>
  <c r="BF15" i="25"/>
  <c r="R15" i="25" s="1"/>
  <c r="Z15" i="19" s="1"/>
  <c r="S15" i="25"/>
  <c r="Y35" i="22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AK16" i="25" l="1"/>
  <c r="BV16" i="19"/>
  <c r="AH16" i="25"/>
  <c r="BA16" i="20" s="1"/>
  <c r="AI16" i="25"/>
  <c r="U16" i="25"/>
  <c r="AL16" i="25"/>
  <c r="BJ15" i="19"/>
  <c r="W15" i="19"/>
  <c r="BA16" i="25"/>
  <c r="M16" i="25" s="1"/>
  <c r="AG17" i="25" s="1"/>
  <c r="AZ17" i="20" s="1"/>
  <c r="BI16" i="19"/>
  <c r="V16" i="19"/>
  <c r="AF17" i="25"/>
  <c r="W16" i="25"/>
  <c r="BO16" i="19" s="1"/>
  <c r="BY16" i="19"/>
  <c r="AA15" i="19"/>
  <c r="BK15" i="19"/>
  <c r="BE16" i="25" s="1"/>
  <c r="Q16" i="25" s="1"/>
  <c r="AM16" i="25"/>
  <c r="BC16" i="20" s="1"/>
  <c r="AN16" i="25"/>
  <c r="BF16" i="25"/>
  <c r="O16" i="19"/>
  <c r="V17" i="25"/>
  <c r="Y36" i="22"/>
  <c r="S20" i="20"/>
  <c r="CD20" i="20" s="1"/>
  <c r="Q20" i="20"/>
  <c r="CB20" i="20" s="1"/>
  <c r="AL15" i="20"/>
  <c r="BM15" i="19" s="1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BX16" i="19" l="1"/>
  <c r="BB16" i="20"/>
  <c r="BV17" i="19"/>
  <c r="BC16" i="25"/>
  <c r="O16" i="25" s="1"/>
  <c r="BB16" i="25"/>
  <c r="N16" i="25" s="1"/>
  <c r="AH17" i="25" s="1"/>
  <c r="BA17" i="20" s="1"/>
  <c r="BW16" i="19"/>
  <c r="BA17" i="25" s="1"/>
  <c r="AZ17" i="25"/>
  <c r="L17" i="25" s="1"/>
  <c r="BJ16" i="19"/>
  <c r="W16" i="19"/>
  <c r="CA16" i="19"/>
  <c r="BH16" i="25"/>
  <c r="T16" i="25" s="1"/>
  <c r="BG16" i="25"/>
  <c r="AP17" i="25"/>
  <c r="B17" i="25" s="1"/>
  <c r="AK17" i="25"/>
  <c r="BB17" i="20" s="1"/>
  <c r="Y16" i="19"/>
  <c r="R16" i="25"/>
  <c r="Y37" i="22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BB17" i="25" l="1"/>
  <c r="N17" i="25" s="1"/>
  <c r="BW17" i="19"/>
  <c r="BI17" i="19"/>
  <c r="V17" i="19"/>
  <c r="AF18" i="25"/>
  <c r="AZ18" i="25" s="1"/>
  <c r="L18" i="25" s="1"/>
  <c r="AI17" i="25"/>
  <c r="BC17" i="25" s="1"/>
  <c r="AJ17" i="25"/>
  <c r="M17" i="25"/>
  <c r="BJ17" i="19" s="1"/>
  <c r="AO17" i="25"/>
  <c r="BI17" i="25" s="1"/>
  <c r="O17" i="19"/>
  <c r="V18" i="25"/>
  <c r="BX17" i="19"/>
  <c r="S16" i="25"/>
  <c r="P15" i="19"/>
  <c r="BC15" i="19"/>
  <c r="Z16" i="19"/>
  <c r="AL17" i="25"/>
  <c r="Y38" i="22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H18" i="25" l="1"/>
  <c r="V18" i="19"/>
  <c r="BI18" i="19"/>
  <c r="AF19" i="25"/>
  <c r="O17" i="25"/>
  <c r="AI18" i="25" s="1"/>
  <c r="BC18" i="25" s="1"/>
  <c r="O18" i="25" s="1"/>
  <c r="BD17" i="25"/>
  <c r="P17" i="25" s="1"/>
  <c r="W17" i="19"/>
  <c r="AG18" i="25"/>
  <c r="AZ18" i="20" s="1"/>
  <c r="BB18" i="25"/>
  <c r="BY17" i="19"/>
  <c r="BF17" i="25"/>
  <c r="R17" i="25" s="1"/>
  <c r="Z17" i="19" s="1"/>
  <c r="BK16" i="19"/>
  <c r="BE17" i="25" s="1"/>
  <c r="AA16" i="19"/>
  <c r="AM17" i="25"/>
  <c r="BC17" i="20" s="1"/>
  <c r="U17" i="25"/>
  <c r="AN17" i="25"/>
  <c r="Y39" i="22"/>
  <c r="AN25" i="20"/>
  <c r="AE25" i="20" s="1"/>
  <c r="AL16" i="20"/>
  <c r="BM16" i="19" s="1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BW18" i="19" l="1"/>
  <c r="BA18" i="20"/>
  <c r="X17" i="19"/>
  <c r="AJ18" i="25"/>
  <c r="N18" i="25"/>
  <c r="BV18" i="19"/>
  <c r="AZ19" i="25" s="1"/>
  <c r="L19" i="25" s="1"/>
  <c r="BA18" i="25"/>
  <c r="BD18" i="25"/>
  <c r="CA17" i="19"/>
  <c r="BH17" i="25"/>
  <c r="T17" i="25" s="1"/>
  <c r="AO18" i="25" s="1"/>
  <c r="Q17" i="25"/>
  <c r="AL18" i="25" s="1"/>
  <c r="BG17" i="25"/>
  <c r="Y40" i="22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BI19" i="19" l="1"/>
  <c r="V19" i="19"/>
  <c r="AI19" i="25"/>
  <c r="AF20" i="25"/>
  <c r="P18" i="25"/>
  <c r="M18" i="25"/>
  <c r="BJ18" i="19" s="1"/>
  <c r="BY18" i="19"/>
  <c r="Y17" i="19"/>
  <c r="AK18" i="25"/>
  <c r="BB18" i="20" s="1"/>
  <c r="S17" i="25"/>
  <c r="AN18" i="25" s="1"/>
  <c r="BI18" i="25"/>
  <c r="U18" i="25" s="1"/>
  <c r="BF18" i="25"/>
  <c r="Y41" i="22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BC19" i="25" l="1"/>
  <c r="W18" i="19"/>
  <c r="AG19" i="25"/>
  <c r="AZ19" i="20" s="1"/>
  <c r="X18" i="19"/>
  <c r="AJ19" i="25"/>
  <c r="AH19" i="25"/>
  <c r="BA19" i="20" s="1"/>
  <c r="CA18" i="19"/>
  <c r="BH18" i="25"/>
  <c r="T18" i="25" s="1"/>
  <c r="R18" i="25"/>
  <c r="BX18" i="19"/>
  <c r="BK17" i="19"/>
  <c r="BE18" i="25" s="1"/>
  <c r="AA17" i="19"/>
  <c r="AM18" i="25"/>
  <c r="BC18" i="20" s="1"/>
  <c r="Y42" i="22"/>
  <c r="M27" i="20"/>
  <c r="BX27" i="20" s="1"/>
  <c r="AL17" i="20"/>
  <c r="BM17" i="19" s="1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BW19" i="19" l="1"/>
  <c r="BB19" i="25"/>
  <c r="BV19" i="19"/>
  <c r="AZ20" i="25" s="1"/>
  <c r="L20" i="25" s="1"/>
  <c r="BA19" i="25"/>
  <c r="BD19" i="25"/>
  <c r="P19" i="25" s="1"/>
  <c r="O19" i="25"/>
  <c r="Q18" i="25"/>
  <c r="AO19" i="25"/>
  <c r="BG18" i="25"/>
  <c r="Z18" i="19"/>
  <c r="Y43" i="22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M19" i="25" l="1"/>
  <c r="BJ19" i="19" s="1"/>
  <c r="N19" i="25"/>
  <c r="AI20" i="25" s="1"/>
  <c r="BI20" i="19"/>
  <c r="V20" i="19"/>
  <c r="AF21" i="25"/>
  <c r="X19" i="19"/>
  <c r="AJ20" i="25"/>
  <c r="Y18" i="19"/>
  <c r="AK19" i="25"/>
  <c r="BB19" i="20" s="1"/>
  <c r="S18" i="25"/>
  <c r="BI19" i="25"/>
  <c r="U19" i="25" s="1"/>
  <c r="AL19" i="25"/>
  <c r="Y44" i="22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BC20" i="25" l="1"/>
  <c r="O20" i="25" s="1"/>
  <c r="W19" i="19"/>
  <c r="AG20" i="25"/>
  <c r="AZ20" i="20" s="1"/>
  <c r="AH20" i="25"/>
  <c r="BA20" i="20" s="1"/>
  <c r="BY19" i="19"/>
  <c r="BF19" i="25"/>
  <c r="AA18" i="19"/>
  <c r="BK18" i="19"/>
  <c r="BE19" i="25" s="1"/>
  <c r="AN19" i="25"/>
  <c r="AM19" i="25"/>
  <c r="BC19" i="20" s="1"/>
  <c r="BX19" i="19"/>
  <c r="BD20" i="25" s="1"/>
  <c r="Y45" i="22"/>
  <c r="M29" i="20"/>
  <c r="BX29" i="20" s="1"/>
  <c r="N30" i="20"/>
  <c r="BY30" i="20" s="1"/>
  <c r="AP26" i="20"/>
  <c r="AG26" i="20" s="1"/>
  <c r="AL18" i="20"/>
  <c r="BM18" i="19" s="1"/>
  <c r="AQ25" i="20"/>
  <c r="AH25" i="20" s="1"/>
  <c r="AS24" i="20"/>
  <c r="AJ24" i="20" s="1"/>
  <c r="AR24" i="20"/>
  <c r="AI24" i="20" s="1"/>
  <c r="AT24" i="20"/>
  <c r="AK24" i="20" s="1"/>
  <c r="L30" i="20"/>
  <c r="BW30" i="20" s="1"/>
  <c r="BV20" i="19" l="1"/>
  <c r="AZ21" i="25" s="1"/>
  <c r="L21" i="25" s="1"/>
  <c r="BA20" i="25"/>
  <c r="BW20" i="19"/>
  <c r="BB20" i="25"/>
  <c r="N20" i="25" s="1"/>
  <c r="CA19" i="19"/>
  <c r="BH19" i="25"/>
  <c r="Q19" i="25"/>
  <c r="BG19" i="25"/>
  <c r="P20" i="25"/>
  <c r="R19" i="25"/>
  <c r="Y46" i="22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20" i="25" l="1"/>
  <c r="AH21" i="25" s="1"/>
  <c r="AF22" i="25"/>
  <c r="BI21" i="19"/>
  <c r="V21" i="19"/>
  <c r="AI21" i="25"/>
  <c r="X20" i="19"/>
  <c r="AJ21" i="25"/>
  <c r="Y19" i="19"/>
  <c r="AK20" i="25"/>
  <c r="BB20" i="20" s="1"/>
  <c r="S19" i="25"/>
  <c r="Z19" i="19"/>
  <c r="AL20" i="25"/>
  <c r="T19" i="25"/>
  <c r="Y47" i="22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BW21" i="19" l="1"/>
  <c r="BA21" i="20"/>
  <c r="BJ20" i="19"/>
  <c r="BB21" i="25" s="1"/>
  <c r="N21" i="25" s="1"/>
  <c r="BC21" i="25"/>
  <c r="O21" i="25" s="1"/>
  <c r="W20" i="19"/>
  <c r="AG21" i="25"/>
  <c r="AZ21" i="20" s="1"/>
  <c r="AO20" i="25"/>
  <c r="AN20" i="25"/>
  <c r="BY20" i="19"/>
  <c r="BF20" i="25"/>
  <c r="AA19" i="19"/>
  <c r="BK19" i="19"/>
  <c r="BE20" i="25" s="1"/>
  <c r="AM20" i="25"/>
  <c r="BC20" i="20" s="1"/>
  <c r="BX20" i="19"/>
  <c r="BD21" i="25" s="1"/>
  <c r="P21" i="25" s="1"/>
  <c r="Y48" i="22"/>
  <c r="AN30" i="20"/>
  <c r="AE30" i="20" s="1"/>
  <c r="R26" i="20"/>
  <c r="CC26" i="20" s="1"/>
  <c r="S26" i="20"/>
  <c r="CD26" i="20" s="1"/>
  <c r="P27" i="20"/>
  <c r="CA27" i="20" s="1"/>
  <c r="AL19" i="20"/>
  <c r="BM19" i="19" s="1"/>
  <c r="AO31" i="20"/>
  <c r="AF31" i="20" s="1"/>
  <c r="Q26" i="20"/>
  <c r="CB26" i="20" s="1"/>
  <c r="AP28" i="20"/>
  <c r="AG28" i="20" s="1"/>
  <c r="L32" i="20"/>
  <c r="BW32" i="20" s="1"/>
  <c r="AI22" i="25" l="1"/>
  <c r="BC22" i="25" s="1"/>
  <c r="O22" i="25" s="1"/>
  <c r="BV21" i="19"/>
  <c r="AZ22" i="25" s="1"/>
  <c r="L22" i="25" s="1"/>
  <c r="BA21" i="25"/>
  <c r="M21" i="25" s="1"/>
  <c r="W21" i="19" s="1"/>
  <c r="X21" i="19"/>
  <c r="AJ22" i="25"/>
  <c r="BG20" i="25"/>
  <c r="R20" i="25"/>
  <c r="CA20" i="19"/>
  <c r="BH20" i="25"/>
  <c r="BI20" i="25"/>
  <c r="Q20" i="25"/>
  <c r="Y49" i="22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H22" i="25" l="1"/>
  <c r="BA22" i="20" s="1"/>
  <c r="V22" i="19"/>
  <c r="BI22" i="19"/>
  <c r="AF23" i="25"/>
  <c r="AG22" i="25"/>
  <c r="AZ22" i="20" s="1"/>
  <c r="BJ21" i="19"/>
  <c r="Y20" i="19"/>
  <c r="AK21" i="25"/>
  <c r="BB21" i="20" s="1"/>
  <c r="Z20" i="19"/>
  <c r="AL21" i="25"/>
  <c r="U20" i="25"/>
  <c r="T20" i="25"/>
  <c r="S20" i="25"/>
  <c r="Y50" i="22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BA22" i="25" l="1"/>
  <c r="BB22" i="25"/>
  <c r="N22" i="25" s="1"/>
  <c r="AI23" i="25" s="1"/>
  <c r="AO21" i="25"/>
  <c r="BV22" i="19"/>
  <c r="AZ23" i="25" s="1"/>
  <c r="L23" i="25" s="1"/>
  <c r="M22" i="25"/>
  <c r="BJ22" i="19" s="1"/>
  <c r="BW22" i="19"/>
  <c r="BI21" i="25"/>
  <c r="U21" i="25" s="1"/>
  <c r="AA20" i="19"/>
  <c r="BK20" i="19"/>
  <c r="BE21" i="25" s="1"/>
  <c r="Q21" i="25" s="1"/>
  <c r="AM21" i="25"/>
  <c r="BC21" i="20" s="1"/>
  <c r="BY21" i="19"/>
  <c r="BF21" i="25"/>
  <c r="BX21" i="19"/>
  <c r="BD22" i="25" s="1"/>
  <c r="AN21" i="25"/>
  <c r="Y51" i="22"/>
  <c r="AN32" i="20"/>
  <c r="AE32" i="20" s="1"/>
  <c r="AT27" i="20"/>
  <c r="AK27" i="20" s="1"/>
  <c r="AO33" i="20"/>
  <c r="AF33" i="20" s="1"/>
  <c r="O30" i="20"/>
  <c r="BZ30" i="20" s="1"/>
  <c r="AL20" i="20"/>
  <c r="BM20" i="19" s="1"/>
  <c r="AR27" i="20"/>
  <c r="AI27" i="20" s="1"/>
  <c r="AS27" i="20"/>
  <c r="AJ27" i="20" s="1"/>
  <c r="AQ28" i="20"/>
  <c r="AH28" i="20" s="1"/>
  <c r="AM33" i="20"/>
  <c r="AD33" i="20" s="1"/>
  <c r="AG23" i="25" l="1"/>
  <c r="BA23" i="25" s="1"/>
  <c r="BC23" i="25"/>
  <c r="O23" i="25" s="1"/>
  <c r="AH23" i="25"/>
  <c r="BA23" i="20" s="1"/>
  <c r="W22" i="19"/>
  <c r="V23" i="19"/>
  <c r="BI23" i="19"/>
  <c r="AF24" i="25"/>
  <c r="Y21" i="19"/>
  <c r="AK22" i="25"/>
  <c r="BB22" i="20" s="1"/>
  <c r="R21" i="25"/>
  <c r="CA21" i="19"/>
  <c r="BH21" i="25"/>
  <c r="T21" i="25" s="1"/>
  <c r="P22" i="25"/>
  <c r="BG21" i="25"/>
  <c r="Y52" i="22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BV23" i="19" l="1"/>
  <c r="AZ24" i="25" s="1"/>
  <c r="L24" i="25" s="1"/>
  <c r="AZ23" i="20"/>
  <c r="M23" i="25"/>
  <c r="BW23" i="19"/>
  <c r="BB23" i="25"/>
  <c r="N23" i="25" s="1"/>
  <c r="X22" i="19"/>
  <c r="AJ23" i="25"/>
  <c r="Z21" i="19"/>
  <c r="AL22" i="25"/>
  <c r="S21" i="25"/>
  <c r="AN22" i="25" s="1"/>
  <c r="AO22" i="25"/>
  <c r="BX22" i="19"/>
  <c r="Y53" i="22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AH24" i="25" l="1"/>
  <c r="BA24" i="20" s="1"/>
  <c r="W23" i="19"/>
  <c r="AG24" i="25"/>
  <c r="AZ24" i="20" s="1"/>
  <c r="V24" i="19"/>
  <c r="BI24" i="19"/>
  <c r="BJ23" i="19"/>
  <c r="BW24" i="19"/>
  <c r="AF25" i="25"/>
  <c r="AI24" i="25"/>
  <c r="BC24" i="25" s="1"/>
  <c r="CA22" i="19"/>
  <c r="BH22" i="25"/>
  <c r="T22" i="25" s="1"/>
  <c r="BI22" i="25"/>
  <c r="BK21" i="19"/>
  <c r="BE22" i="25" s="1"/>
  <c r="AA21" i="19"/>
  <c r="AM22" i="25"/>
  <c r="BC22" i="20" s="1"/>
  <c r="BD23" i="25"/>
  <c r="BY22" i="19"/>
  <c r="BF22" i="25"/>
  <c r="Y54" i="22"/>
  <c r="M34" i="20"/>
  <c r="BX34" i="20" s="1"/>
  <c r="AO35" i="20"/>
  <c r="AF35" i="20" s="1"/>
  <c r="N36" i="20" s="1"/>
  <c r="BY36" i="20" s="1"/>
  <c r="AL21" i="20"/>
  <c r="BM21" i="19" s="1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BB24" i="25" l="1"/>
  <c r="N24" i="25" s="1"/>
  <c r="BV24" i="19"/>
  <c r="AZ25" i="25" s="1"/>
  <c r="L25" i="25" s="1"/>
  <c r="BA24" i="25"/>
  <c r="M24" i="25" s="1"/>
  <c r="W24" i="19" s="1"/>
  <c r="O24" i="25"/>
  <c r="R22" i="25"/>
  <c r="Q22" i="25"/>
  <c r="U22" i="25"/>
  <c r="AO23" i="25" s="1"/>
  <c r="BI23" i="25" s="1"/>
  <c r="BG22" i="25"/>
  <c r="P23" i="25"/>
  <c r="Y55" i="22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AI25" i="25" l="1"/>
  <c r="BI25" i="19"/>
  <c r="V25" i="19"/>
  <c r="AF26" i="25"/>
  <c r="BJ24" i="19"/>
  <c r="AG25" i="25"/>
  <c r="AZ25" i="20" s="1"/>
  <c r="AH25" i="25"/>
  <c r="BA25" i="20" s="1"/>
  <c r="U23" i="25"/>
  <c r="X23" i="19"/>
  <c r="AJ24" i="25"/>
  <c r="S22" i="25"/>
  <c r="Z22" i="19"/>
  <c r="AL23" i="25"/>
  <c r="Y22" i="19"/>
  <c r="AK23" i="25"/>
  <c r="BB23" i="20" s="1"/>
  <c r="Y56" i="22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BV25" i="19" l="1"/>
  <c r="AZ26" i="25" s="1"/>
  <c r="L26" i="25" s="1"/>
  <c r="AF27" i="25" s="1"/>
  <c r="BA25" i="25"/>
  <c r="BW25" i="19"/>
  <c r="BB25" i="25"/>
  <c r="AA22" i="19"/>
  <c r="BK22" i="19"/>
  <c r="AM23" i="25"/>
  <c r="BC23" i="20" s="1"/>
  <c r="AN23" i="25"/>
  <c r="BY23" i="19"/>
  <c r="BF23" i="25"/>
  <c r="BC25" i="25"/>
  <c r="BX23" i="19"/>
  <c r="BD24" i="25" s="1"/>
  <c r="BE23" i="25"/>
  <c r="Y57" i="22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BM22" i="19" s="1"/>
  <c r="AR30" i="20"/>
  <c r="AI30" i="20" s="1"/>
  <c r="N38" i="20"/>
  <c r="BY38" i="20" s="1"/>
  <c r="L37" i="20"/>
  <c r="BW37" i="20" s="1"/>
  <c r="N25" i="25" l="1"/>
  <c r="M25" i="25"/>
  <c r="V26" i="19"/>
  <c r="BI26" i="19"/>
  <c r="R23" i="25"/>
  <c r="O25" i="25"/>
  <c r="Q23" i="25"/>
  <c r="P24" i="25"/>
  <c r="CA23" i="19"/>
  <c r="BH23" i="25"/>
  <c r="BG23" i="25"/>
  <c r="Y58" i="22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I26" i="25" l="1"/>
  <c r="AH26" i="25"/>
  <c r="BA26" i="20" s="1"/>
  <c r="W25" i="19"/>
  <c r="AG26" i="25"/>
  <c r="AZ26" i="20" s="1"/>
  <c r="BJ25" i="19"/>
  <c r="BW26" i="19"/>
  <c r="S23" i="25"/>
  <c r="Y23" i="19"/>
  <c r="AK24" i="25"/>
  <c r="BB24" i="20" s="1"/>
  <c r="T23" i="25"/>
  <c r="X24" i="19"/>
  <c r="AJ25" i="25"/>
  <c r="Z23" i="19"/>
  <c r="AL24" i="25"/>
  <c r="Y59" i="22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BC26" i="25" l="1"/>
  <c r="BB26" i="25"/>
  <c r="N26" i="25" s="1"/>
  <c r="BV26" i="19"/>
  <c r="AZ27" i="25" s="1"/>
  <c r="L27" i="25" s="1"/>
  <c r="BA26" i="25"/>
  <c r="O26" i="25"/>
  <c r="BY24" i="19"/>
  <c r="BF24" i="25"/>
  <c r="BX24" i="19"/>
  <c r="BD25" i="25" s="1"/>
  <c r="AO24" i="25"/>
  <c r="AN24" i="25"/>
  <c r="BK23" i="19"/>
  <c r="BE24" i="25" s="1"/>
  <c r="Q24" i="25" s="1"/>
  <c r="AA23" i="19"/>
  <c r="AM24" i="25"/>
  <c r="BC24" i="20" s="1"/>
  <c r="Y60" i="22"/>
  <c r="AN37" i="20"/>
  <c r="AE37" i="20" s="1"/>
  <c r="P33" i="20"/>
  <c r="CA33" i="20" s="1"/>
  <c r="AL23" i="20"/>
  <c r="BM23" i="19" s="1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AI27" i="25" l="1"/>
  <c r="M26" i="25"/>
  <c r="V27" i="19"/>
  <c r="BI27" i="19"/>
  <c r="AF28" i="25"/>
  <c r="Y24" i="19"/>
  <c r="AK25" i="25"/>
  <c r="BB25" i="20" s="1"/>
  <c r="BI24" i="25"/>
  <c r="U24" i="25" s="1"/>
  <c r="R24" i="25"/>
  <c r="BG24" i="25"/>
  <c r="P25" i="25"/>
  <c r="CA24" i="19"/>
  <c r="BH24" i="25"/>
  <c r="Y61" i="22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G27" i="25" l="1"/>
  <c r="AZ27" i="20" s="1"/>
  <c r="W26" i="19"/>
  <c r="AH27" i="25"/>
  <c r="BA27" i="20" s="1"/>
  <c r="BJ26" i="19"/>
  <c r="T24" i="25"/>
  <c r="X25" i="19"/>
  <c r="AJ26" i="25"/>
  <c r="Z24" i="19"/>
  <c r="AL25" i="25"/>
  <c r="S24" i="25"/>
  <c r="BX25" i="19"/>
  <c r="Y62" i="22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BW27" i="19" l="1"/>
  <c r="BB27" i="25"/>
  <c r="N27" i="25" s="1"/>
  <c r="BV27" i="19"/>
  <c r="AZ28" i="25" s="1"/>
  <c r="BA27" i="25"/>
  <c r="AA24" i="19"/>
  <c r="BK24" i="19"/>
  <c r="BE25" i="25" s="1"/>
  <c r="AM25" i="25"/>
  <c r="BC25" i="20" s="1"/>
  <c r="BY25" i="19"/>
  <c r="BF25" i="25"/>
  <c r="AO25" i="25"/>
  <c r="AN25" i="25"/>
  <c r="BC27" i="25"/>
  <c r="O27" i="25" s="1"/>
  <c r="BD26" i="25"/>
  <c r="Y63" i="22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BM24" i="19" s="1"/>
  <c r="AO41" i="20"/>
  <c r="AF41" i="20" s="1"/>
  <c r="AM40" i="20"/>
  <c r="AD40" i="20" s="1"/>
  <c r="L28" i="25" l="1"/>
  <c r="AI28" i="25"/>
  <c r="M27" i="25"/>
  <c r="BJ27" i="19" s="1"/>
  <c r="BG25" i="25"/>
  <c r="Q25" i="25"/>
  <c r="CA25" i="19"/>
  <c r="BH25" i="25"/>
  <c r="P26" i="25"/>
  <c r="BI25" i="25"/>
  <c r="U25" i="25" s="1"/>
  <c r="R25" i="25"/>
  <c r="Y64" i="22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F29" i="25" l="1"/>
  <c r="V28" i="19"/>
  <c r="BI28" i="19"/>
  <c r="W27" i="19"/>
  <c r="AG28" i="25"/>
  <c r="AZ28" i="20" s="1"/>
  <c r="AH28" i="25"/>
  <c r="BA28" i="20" s="1"/>
  <c r="T25" i="25"/>
  <c r="AO26" i="25" s="1"/>
  <c r="BI26" i="25" s="1"/>
  <c r="U26" i="25" s="1"/>
  <c r="Y25" i="19"/>
  <c r="AK26" i="25"/>
  <c r="BB26" i="20" s="1"/>
  <c r="S25" i="25"/>
  <c r="Z25" i="19"/>
  <c r="AL26" i="25"/>
  <c r="X26" i="19"/>
  <c r="AJ27" i="25"/>
  <c r="Y65" i="22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BW28" i="19" l="1"/>
  <c r="BB28" i="25"/>
  <c r="BV28" i="19"/>
  <c r="AZ29" i="25" s="1"/>
  <c r="L29" i="25" s="1"/>
  <c r="BA28" i="25"/>
  <c r="M28" i="25" s="1"/>
  <c r="AG29" i="25" s="1"/>
  <c r="AZ29" i="20" s="1"/>
  <c r="AA25" i="19"/>
  <c r="BK25" i="19"/>
  <c r="BE26" i="25" s="1"/>
  <c r="AM26" i="25"/>
  <c r="BC26" i="20" s="1"/>
  <c r="BY26" i="19"/>
  <c r="BF26" i="25"/>
  <c r="AN26" i="25"/>
  <c r="BC28" i="25"/>
  <c r="O28" i="25" s="1"/>
  <c r="BX26" i="19"/>
  <c r="BD27" i="25" s="1"/>
  <c r="Y66" i="22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BM25" i="19" s="1"/>
  <c r="L42" i="20"/>
  <c r="BW42" i="20" s="1"/>
  <c r="N43" i="20"/>
  <c r="BY43" i="20" s="1"/>
  <c r="BI29" i="19" l="1"/>
  <c r="V29" i="19"/>
  <c r="AF30" i="25"/>
  <c r="BV29" i="19"/>
  <c r="N28" i="25"/>
  <c r="AH29" i="25" s="1"/>
  <c r="BA29" i="20" s="1"/>
  <c r="BJ28" i="19"/>
  <c r="W28" i="19"/>
  <c r="BA29" i="25"/>
  <c r="Q26" i="25"/>
  <c r="CA26" i="19"/>
  <c r="BH26" i="25"/>
  <c r="T26" i="25" s="1"/>
  <c r="BG26" i="25"/>
  <c r="S26" i="25" s="1"/>
  <c r="P27" i="25"/>
  <c r="R26" i="25"/>
  <c r="Y67" i="22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AZ30" i="25" l="1"/>
  <c r="L30" i="25" s="1"/>
  <c r="AF31" i="25" s="1"/>
  <c r="AI29" i="25"/>
  <c r="BB29" i="25"/>
  <c r="N29" i="25" s="1"/>
  <c r="AH30" i="25" s="1"/>
  <c r="M29" i="25"/>
  <c r="BW29" i="19"/>
  <c r="AO27" i="25"/>
  <c r="AN27" i="25"/>
  <c r="BH27" i="25" s="1"/>
  <c r="AM27" i="25"/>
  <c r="BC27" i="20" s="1"/>
  <c r="BK26" i="19"/>
  <c r="AA26" i="19"/>
  <c r="Y26" i="19"/>
  <c r="AK27" i="25"/>
  <c r="BB27" i="20" s="1"/>
  <c r="X27" i="19"/>
  <c r="AJ28" i="25"/>
  <c r="Z26" i="19"/>
  <c r="AL27" i="25"/>
  <c r="Y68" i="22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BW30" i="19" l="1"/>
  <c r="BA30" i="20"/>
  <c r="BJ29" i="19"/>
  <c r="BB30" i="25" s="1"/>
  <c r="W29" i="19"/>
  <c r="AG30" i="25"/>
  <c r="AZ30" i="20" s="1"/>
  <c r="V30" i="19"/>
  <c r="BI30" i="19"/>
  <c r="BY27" i="19"/>
  <c r="BF27" i="25"/>
  <c r="R27" i="25" s="1"/>
  <c r="Z27" i="19" s="1"/>
  <c r="BX27" i="19"/>
  <c r="BD28" i="25" s="1"/>
  <c r="BE27" i="25"/>
  <c r="BC29" i="25"/>
  <c r="CA27" i="19"/>
  <c r="T27" i="25"/>
  <c r="N30" i="25"/>
  <c r="BI27" i="25"/>
  <c r="Y69" i="22"/>
  <c r="AN42" i="20"/>
  <c r="AE42" i="20" s="1"/>
  <c r="AP40" i="20"/>
  <c r="AG40" i="20" s="1"/>
  <c r="AT36" i="20"/>
  <c r="AK36" i="20" s="1"/>
  <c r="AR36" i="20"/>
  <c r="AI36" i="20" s="1"/>
  <c r="AL26" i="20"/>
  <c r="BM26" i="19" s="1"/>
  <c r="BG27" i="25" s="1"/>
  <c r="AS36" i="20"/>
  <c r="AJ36" i="20" s="1"/>
  <c r="AQ37" i="20"/>
  <c r="AH37" i="20" s="1"/>
  <c r="AO44" i="20"/>
  <c r="AF44" i="20" s="1"/>
  <c r="N45" i="20" s="1"/>
  <c r="BY45" i="20" s="1"/>
  <c r="L44" i="20"/>
  <c r="BW44" i="20" s="1"/>
  <c r="BV30" i="19" l="1"/>
  <c r="AZ31" i="25" s="1"/>
  <c r="L31" i="25" s="1"/>
  <c r="BA30" i="25"/>
  <c r="P28" i="25"/>
  <c r="O29" i="25"/>
  <c r="AI30" i="25" s="1"/>
  <c r="Q27" i="25"/>
  <c r="AL28" i="25" s="1"/>
  <c r="BF28" i="25" s="1"/>
  <c r="S27" i="25"/>
  <c r="U27" i="25"/>
  <c r="AO28" i="25" s="1"/>
  <c r="BI28" i="25" s="1"/>
  <c r="U28" i="25" s="1"/>
  <c r="Y70" i="22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M30" i="25" l="1"/>
  <c r="V31" i="19"/>
  <c r="BI31" i="19"/>
  <c r="AF32" i="25"/>
  <c r="X28" i="19"/>
  <c r="AJ29" i="25"/>
  <c r="BC30" i="25" s="1"/>
  <c r="O30" i="25" s="1"/>
  <c r="AI31" i="25" s="1"/>
  <c r="Y27" i="19"/>
  <c r="AK28" i="25"/>
  <c r="BB28" i="20" s="1"/>
  <c r="AA27" i="19"/>
  <c r="BK27" i="19"/>
  <c r="AM28" i="25"/>
  <c r="BC28" i="20" s="1"/>
  <c r="AN28" i="25"/>
  <c r="R28" i="25"/>
  <c r="Z28" i="19" s="1"/>
  <c r="BY28" i="19"/>
  <c r="Y71" i="22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BJ30" i="19" l="1"/>
  <c r="W30" i="19"/>
  <c r="AH31" i="25"/>
  <c r="BA31" i="20" s="1"/>
  <c r="AG31" i="25"/>
  <c r="AZ31" i="20" s="1"/>
  <c r="CA28" i="19"/>
  <c r="BH28" i="25"/>
  <c r="BX28" i="19"/>
  <c r="BD29" i="25" s="1"/>
  <c r="P29" i="25" s="1"/>
  <c r="BE28" i="25"/>
  <c r="Y72" i="22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BM27" i="19" s="1"/>
  <c r="BG28" i="25" s="1"/>
  <c r="S28" i="25" s="1"/>
  <c r="AM45" i="20"/>
  <c r="AD45" i="20" s="1"/>
  <c r="AO46" i="20"/>
  <c r="AF46" i="20" s="1"/>
  <c r="BB31" i="25" l="1"/>
  <c r="N31" i="25" s="1"/>
  <c r="BW31" i="19"/>
  <c r="BV31" i="19"/>
  <c r="AZ32" i="25" s="1"/>
  <c r="L32" i="25" s="1"/>
  <c r="BA31" i="25"/>
  <c r="M31" i="25" s="1"/>
  <c r="AA28" i="19"/>
  <c r="BK28" i="19"/>
  <c r="AM29" i="25"/>
  <c r="BC29" i="20" s="1"/>
  <c r="X29" i="19"/>
  <c r="AJ30" i="25"/>
  <c r="Q28" i="25"/>
  <c r="T28" i="25"/>
  <c r="Y73" i="22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W31" i="19" l="1"/>
  <c r="AG32" i="25"/>
  <c r="AZ32" i="20" s="1"/>
  <c r="AH32" i="25"/>
  <c r="BA32" i="20" s="1"/>
  <c r="BI32" i="19"/>
  <c r="V32" i="19"/>
  <c r="AF33" i="25"/>
  <c r="BJ31" i="19"/>
  <c r="BA32" i="25"/>
  <c r="BC31" i="25"/>
  <c r="AO29" i="25"/>
  <c r="AN29" i="25"/>
  <c r="Y28" i="19"/>
  <c r="AL29" i="25"/>
  <c r="AK29" i="25"/>
  <c r="BB29" i="20" s="1"/>
  <c r="Y74" i="22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BB32" i="25" l="1"/>
  <c r="N32" i="25" s="1"/>
  <c r="BW32" i="19"/>
  <c r="BV32" i="19"/>
  <c r="AZ33" i="25" s="1"/>
  <c r="L33" i="25" s="1"/>
  <c r="M32" i="25"/>
  <c r="W32" i="19" s="1"/>
  <c r="BI29" i="25"/>
  <c r="U29" i="25" s="1"/>
  <c r="O31" i="25"/>
  <c r="BY29" i="19"/>
  <c r="BF29" i="25"/>
  <c r="R29" i="25" s="1"/>
  <c r="BX29" i="19"/>
  <c r="BD30" i="25" s="1"/>
  <c r="BE29" i="25"/>
  <c r="CA29" i="19"/>
  <c r="BH29" i="25"/>
  <c r="Y75" i="22"/>
  <c r="M46" i="20"/>
  <c r="BX46" i="20" s="1"/>
  <c r="AS39" i="20"/>
  <c r="AJ39" i="20" s="1"/>
  <c r="AP43" i="20"/>
  <c r="AG43" i="20" s="1"/>
  <c r="O44" i="20" s="1"/>
  <c r="BZ44" i="20" s="1"/>
  <c r="AL28" i="20"/>
  <c r="BM28" i="19" s="1"/>
  <c r="BG29" i="25" s="1"/>
  <c r="AQ40" i="20"/>
  <c r="AH40" i="20" s="1"/>
  <c r="AR39" i="20"/>
  <c r="AI39" i="20" s="1"/>
  <c r="AT39" i="20"/>
  <c r="AK39" i="20" s="1"/>
  <c r="N48" i="20"/>
  <c r="BY48" i="20" s="1"/>
  <c r="AM47" i="20"/>
  <c r="AD47" i="20" s="1"/>
  <c r="AG33" i="25" l="1"/>
  <c r="BA33" i="25" s="1"/>
  <c r="AH33" i="25"/>
  <c r="V33" i="19"/>
  <c r="BI33" i="19"/>
  <c r="AF34" i="25"/>
  <c r="BJ32" i="19"/>
  <c r="Z29" i="19"/>
  <c r="S29" i="25"/>
  <c r="Q29" i="25"/>
  <c r="T29" i="25"/>
  <c r="AI32" i="25"/>
  <c r="P30" i="25"/>
  <c r="Y76" i="22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BW33" i="19" l="1"/>
  <c r="BA33" i="20"/>
  <c r="BV33" i="19"/>
  <c r="AZ34" i="25" s="1"/>
  <c r="L34" i="25" s="1"/>
  <c r="AZ33" i="20"/>
  <c r="AN30" i="25"/>
  <c r="BH30" i="25" s="1"/>
  <c r="M33" i="25"/>
  <c r="AA29" i="19"/>
  <c r="BK29" i="19"/>
  <c r="AM30" i="25"/>
  <c r="BC30" i="20" s="1"/>
  <c r="AO30" i="25"/>
  <c r="X30" i="19"/>
  <c r="AJ31" i="25"/>
  <c r="BC32" i="25" s="1"/>
  <c r="O32" i="25" s="1"/>
  <c r="AI33" i="25" s="1"/>
  <c r="BB33" i="25"/>
  <c r="Y29" i="19"/>
  <c r="AK30" i="25"/>
  <c r="BB30" i="20" s="1"/>
  <c r="AL30" i="25"/>
  <c r="Y77" i="22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T30" i="25" l="1"/>
  <c r="CA30" i="19"/>
  <c r="AG34" i="25"/>
  <c r="AZ34" i="20" s="1"/>
  <c r="W33" i="19"/>
  <c r="BJ33" i="19"/>
  <c r="AF35" i="25"/>
  <c r="BI34" i="19"/>
  <c r="V34" i="19"/>
  <c r="BY30" i="19"/>
  <c r="BF30" i="25"/>
  <c r="BI30" i="25"/>
  <c r="U30" i="25" s="1"/>
  <c r="AO31" i="25" s="1"/>
  <c r="BX30" i="19"/>
  <c r="BD31" i="25" s="1"/>
  <c r="BE30" i="25"/>
  <c r="N33" i="25"/>
  <c r="AH34" i="25" s="1"/>
  <c r="BA34" i="20" s="1"/>
  <c r="Y78" i="22"/>
  <c r="AN47" i="20"/>
  <c r="AE47" i="20" s="1"/>
  <c r="M48" i="20" s="1"/>
  <c r="BX48" i="20" s="1"/>
  <c r="S41" i="20"/>
  <c r="CD41" i="20" s="1"/>
  <c r="P42" i="20"/>
  <c r="CA42" i="20" s="1"/>
  <c r="AL29" i="20"/>
  <c r="BM29" i="19" s="1"/>
  <c r="BG30" i="25" s="1"/>
  <c r="Q41" i="20"/>
  <c r="CB41" i="20" s="1"/>
  <c r="R41" i="20"/>
  <c r="CC41" i="20" s="1"/>
  <c r="AP45" i="20"/>
  <c r="AG45" i="20" s="1"/>
  <c r="L49" i="20"/>
  <c r="BW49" i="20" s="1"/>
  <c r="N50" i="20"/>
  <c r="BY50" i="20" s="1"/>
  <c r="BV34" i="19" l="1"/>
  <c r="AZ35" i="25" s="1"/>
  <c r="L35" i="25" s="1"/>
  <c r="BA34" i="25"/>
  <c r="M34" i="25" s="1"/>
  <c r="BJ34" i="19" s="1"/>
  <c r="BW34" i="19"/>
  <c r="S30" i="25"/>
  <c r="P31" i="25"/>
  <c r="W34" i="19"/>
  <c r="Q30" i="25"/>
  <c r="BB34" i="25"/>
  <c r="R30" i="25"/>
  <c r="BI31" i="25"/>
  <c r="Y79" i="22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AG35" i="25" l="1"/>
  <c r="BI35" i="19"/>
  <c r="AF36" i="25"/>
  <c r="V35" i="19"/>
  <c r="Y30" i="19"/>
  <c r="AK31" i="25"/>
  <c r="BB31" i="20" s="1"/>
  <c r="BK30" i="19"/>
  <c r="AA30" i="19"/>
  <c r="AM31" i="25"/>
  <c r="BC31" i="20" s="1"/>
  <c r="AN31" i="25"/>
  <c r="BV35" i="19"/>
  <c r="AZ36" i="25" s="1"/>
  <c r="N34" i="25"/>
  <c r="AH35" i="25" s="1"/>
  <c r="BA35" i="20" s="1"/>
  <c r="U31" i="25"/>
  <c r="Z30" i="19"/>
  <c r="AL31" i="25"/>
  <c r="X31" i="19"/>
  <c r="AJ32" i="25"/>
  <c r="Y80" i="22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BA35" i="25" l="1"/>
  <c r="AZ35" i="20"/>
  <c r="L36" i="25"/>
  <c r="BY31" i="19"/>
  <c r="BF31" i="25"/>
  <c r="BW35" i="19"/>
  <c r="CA31" i="19"/>
  <c r="BH31" i="25"/>
  <c r="T31" i="25" s="1"/>
  <c r="AO32" i="25" s="1"/>
  <c r="M35" i="25"/>
  <c r="BJ35" i="19" s="1"/>
  <c r="BX31" i="19"/>
  <c r="BD32" i="25" s="1"/>
  <c r="BE31" i="25"/>
  <c r="Q31" i="25" s="1"/>
  <c r="BC33" i="25"/>
  <c r="O33" i="25" s="1"/>
  <c r="AI34" i="25" s="1"/>
  <c r="Y81" i="22"/>
  <c r="AN49" i="20"/>
  <c r="AE49" i="20" s="1"/>
  <c r="AQ43" i="20"/>
  <c r="AH43" i="20" s="1"/>
  <c r="AS42" i="20"/>
  <c r="AJ42" i="20" s="1"/>
  <c r="AR42" i="20"/>
  <c r="AI42" i="20" s="1"/>
  <c r="AL30" i="20"/>
  <c r="BM30" i="19" s="1"/>
  <c r="BG31" i="25" s="1"/>
  <c r="AT42" i="20"/>
  <c r="AK42" i="20" s="1"/>
  <c r="O47" i="20"/>
  <c r="BZ47" i="20" s="1"/>
  <c r="AO51" i="20"/>
  <c r="AF51" i="20" s="1"/>
  <c r="AM50" i="20"/>
  <c r="AD50" i="20" s="1"/>
  <c r="L51" i="20" s="1"/>
  <c r="BW51" i="20" s="1"/>
  <c r="Y31" i="19" l="1"/>
  <c r="AK32" i="25"/>
  <c r="P32" i="25"/>
  <c r="S31" i="25"/>
  <c r="AN32" i="25" s="1"/>
  <c r="BH32" i="25" s="1"/>
  <c r="BI32" i="25"/>
  <c r="BB35" i="25"/>
  <c r="W35" i="19"/>
  <c r="AG36" i="25"/>
  <c r="AZ36" i="20" s="1"/>
  <c r="R31" i="25"/>
  <c r="BI36" i="19"/>
  <c r="V36" i="19"/>
  <c r="AF37" i="25"/>
  <c r="Y82" i="22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BX32" i="19" l="1"/>
  <c r="BB32" i="20"/>
  <c r="T32" i="25"/>
  <c r="AA31" i="19"/>
  <c r="BK31" i="19"/>
  <c r="BE32" i="25" s="1"/>
  <c r="Q32" i="25" s="1"/>
  <c r="Y32" i="19" s="1"/>
  <c r="AM32" i="25"/>
  <c r="BC32" i="20" s="1"/>
  <c r="U32" i="25"/>
  <c r="X32" i="19"/>
  <c r="AJ33" i="25"/>
  <c r="CA32" i="19"/>
  <c r="N35" i="25"/>
  <c r="AH36" i="25" s="1"/>
  <c r="BA36" i="20" s="1"/>
  <c r="BV36" i="19"/>
  <c r="AZ37" i="25" s="1"/>
  <c r="BA36" i="25"/>
  <c r="M36" i="25" s="1"/>
  <c r="Z31" i="19"/>
  <c r="AL32" i="25"/>
  <c r="Y83" i="22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K33" i="25" l="1"/>
  <c r="W36" i="19"/>
  <c r="AG37" i="25"/>
  <c r="AZ37" i="20" s="1"/>
  <c r="L37" i="25"/>
  <c r="BY32" i="19"/>
  <c r="BF32" i="25"/>
  <c r="BD33" i="25"/>
  <c r="BC34" i="25"/>
  <c r="BJ36" i="19"/>
  <c r="BW36" i="19"/>
  <c r="AO33" i="25"/>
  <c r="Y84" i="22"/>
  <c r="AN51" i="20"/>
  <c r="AE51" i="20" s="1"/>
  <c r="O49" i="20"/>
  <c r="BZ49" i="20" s="1"/>
  <c r="R44" i="20"/>
  <c r="CC44" i="20" s="1"/>
  <c r="AL31" i="20"/>
  <c r="BM31" i="19" s="1"/>
  <c r="BG32" i="25" s="1"/>
  <c r="P45" i="20"/>
  <c r="CA45" i="20" s="1"/>
  <c r="S44" i="20"/>
  <c r="CD44" i="20" s="1"/>
  <c r="Q44" i="20"/>
  <c r="CB44" i="20" s="1"/>
  <c r="AM52" i="20"/>
  <c r="AD52" i="20" s="1"/>
  <c r="AO53" i="20"/>
  <c r="AF53" i="20" s="1"/>
  <c r="BX33" i="19" l="1"/>
  <c r="BB33" i="20"/>
  <c r="BA37" i="25"/>
  <c r="M37" i="25" s="1"/>
  <c r="W37" i="19" s="1"/>
  <c r="S32" i="25"/>
  <c r="V37" i="19"/>
  <c r="BI37" i="19"/>
  <c r="AF38" i="25"/>
  <c r="O34" i="25"/>
  <c r="AI35" i="25" s="1"/>
  <c r="P33" i="25"/>
  <c r="R32" i="25"/>
  <c r="BV37" i="19"/>
  <c r="BI33" i="25"/>
  <c r="Y85" i="22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Z32" i="19" l="1"/>
  <c r="AL33" i="25"/>
  <c r="BB36" i="25"/>
  <c r="AG38" i="25"/>
  <c r="AZ38" i="20" s="1"/>
  <c r="AZ38" i="25"/>
  <c r="X33" i="19"/>
  <c r="AJ34" i="25"/>
  <c r="BC35" i="25" s="1"/>
  <c r="O35" i="25" s="1"/>
  <c r="AI36" i="25" s="1"/>
  <c r="BJ37" i="19"/>
  <c r="U33" i="25"/>
  <c r="AA32" i="19"/>
  <c r="BK32" i="19"/>
  <c r="BE33" i="25" s="1"/>
  <c r="AN33" i="25"/>
  <c r="AM33" i="25"/>
  <c r="BC33" i="20" s="1"/>
  <c r="Y86" i="22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N36" i="25" l="1"/>
  <c r="AH37" i="25" s="1"/>
  <c r="CA33" i="19"/>
  <c r="BH33" i="25"/>
  <c r="BD34" i="25"/>
  <c r="L38" i="25"/>
  <c r="BY33" i="19"/>
  <c r="BF33" i="25"/>
  <c r="Q33" i="25"/>
  <c r="BV38" i="19"/>
  <c r="Y87" i="22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BM32" i="19" s="1"/>
  <c r="BG33" i="25" s="1"/>
  <c r="AP50" i="20"/>
  <c r="AG50" i="20" s="1"/>
  <c r="N55" i="20"/>
  <c r="BY55" i="20" s="1"/>
  <c r="L54" i="20"/>
  <c r="BW54" i="20" s="1"/>
  <c r="BB37" i="25" l="1"/>
  <c r="N37" i="25" s="1"/>
  <c r="AH38" i="25" s="1"/>
  <c r="BA38" i="20" s="1"/>
  <c r="BA37" i="20"/>
  <c r="S33" i="25"/>
  <c r="Y33" i="19"/>
  <c r="AK34" i="25"/>
  <c r="BB34" i="20" s="1"/>
  <c r="R33" i="25"/>
  <c r="T33" i="25"/>
  <c r="P34" i="25"/>
  <c r="BI38" i="19"/>
  <c r="V38" i="19"/>
  <c r="AF39" i="25"/>
  <c r="BW37" i="19"/>
  <c r="BA38" i="25" s="1"/>
  <c r="Y88" i="22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BW38" i="19" l="1"/>
  <c r="BX34" i="19"/>
  <c r="M38" i="25"/>
  <c r="X34" i="19"/>
  <c r="AJ35" i="25"/>
  <c r="AZ39" i="25"/>
  <c r="AO34" i="25"/>
  <c r="AN34" i="25"/>
  <c r="Z33" i="19"/>
  <c r="AL34" i="25"/>
  <c r="BK33" i="19"/>
  <c r="BE34" i="25" s="1"/>
  <c r="AA33" i="19"/>
  <c r="AM34" i="25"/>
  <c r="BC34" i="20" s="1"/>
  <c r="Y89" i="22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Q34" i="25" l="1"/>
  <c r="L39" i="25"/>
  <c r="BJ38" i="19"/>
  <c r="W38" i="19"/>
  <c r="AG39" i="25"/>
  <c r="AZ39" i="20" s="1"/>
  <c r="CA34" i="19"/>
  <c r="BH34" i="25"/>
  <c r="T34" i="25" s="1"/>
  <c r="BI34" i="25"/>
  <c r="BC36" i="25"/>
  <c r="BD35" i="25"/>
  <c r="BY34" i="19"/>
  <c r="BF34" i="25"/>
  <c r="Y90" i="22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BM33" i="19" s="1"/>
  <c r="BG34" i="25" s="1"/>
  <c r="S47" i="20"/>
  <c r="CD47" i="20" s="1"/>
  <c r="P48" i="20"/>
  <c r="CA48" i="20" s="1"/>
  <c r="AO56" i="20"/>
  <c r="AF56" i="20" s="1"/>
  <c r="N57" i="20" s="1"/>
  <c r="BY57" i="20" s="1"/>
  <c r="L56" i="20"/>
  <c r="BW56" i="20" s="1"/>
  <c r="S34" i="25" l="1"/>
  <c r="O36" i="25"/>
  <c r="AI37" i="25" s="1"/>
  <c r="Y34" i="19"/>
  <c r="AK35" i="25"/>
  <c r="BB35" i="20" s="1"/>
  <c r="U34" i="25"/>
  <c r="AO35" i="25" s="1"/>
  <c r="BI35" i="25" s="1"/>
  <c r="R34" i="25"/>
  <c r="BV39" i="19"/>
  <c r="BA39" i="25"/>
  <c r="P35" i="25"/>
  <c r="BI39" i="19"/>
  <c r="V39" i="19"/>
  <c r="AF40" i="25"/>
  <c r="AN35" i="25"/>
  <c r="Y91" i="22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U35" i="25" l="1"/>
  <c r="CA35" i="19"/>
  <c r="BX35" i="19"/>
  <c r="BH35" i="25"/>
  <c r="T35" i="25" s="1"/>
  <c r="AZ40" i="25"/>
  <c r="L40" i="25" s="1"/>
  <c r="X35" i="19"/>
  <c r="AJ36" i="25"/>
  <c r="Z34" i="19"/>
  <c r="AL35" i="25"/>
  <c r="M39" i="25"/>
  <c r="BJ39" i="19" s="1"/>
  <c r="BB38" i="25"/>
  <c r="AA34" i="19"/>
  <c r="BK34" i="19"/>
  <c r="BE35" i="25" s="1"/>
  <c r="AM35" i="25"/>
  <c r="BC35" i="20" s="1"/>
  <c r="Y92" i="22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Q35" i="25" l="1"/>
  <c r="BY35" i="19"/>
  <c r="BF35" i="25"/>
  <c r="BI40" i="19"/>
  <c r="V40" i="19"/>
  <c r="AF41" i="25"/>
  <c r="BD36" i="25"/>
  <c r="BC37" i="25"/>
  <c r="N38" i="25"/>
  <c r="AH39" i="25" s="1"/>
  <c r="BA39" i="20" s="1"/>
  <c r="W39" i="19"/>
  <c r="AG40" i="25"/>
  <c r="AZ40" i="20" s="1"/>
  <c r="AO36" i="25"/>
  <c r="Y93" i="22"/>
  <c r="AN56" i="20"/>
  <c r="AE56" i="20" s="1"/>
  <c r="AL34" i="20"/>
  <c r="BM34" i="19" s="1"/>
  <c r="BG35" i="25" s="1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S35" i="25" l="1"/>
  <c r="BV40" i="19"/>
  <c r="Y35" i="19"/>
  <c r="AK36" i="25"/>
  <c r="BB36" i="20" s="1"/>
  <c r="BW39" i="19"/>
  <c r="BA40" i="25" s="1"/>
  <c r="P36" i="25"/>
  <c r="R35" i="25"/>
  <c r="BI36" i="25"/>
  <c r="O37" i="25"/>
  <c r="AI38" i="25" s="1"/>
  <c r="AZ41" i="25"/>
  <c r="Y94" i="22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U36" i="25" l="1"/>
  <c r="X36" i="19"/>
  <c r="AJ37" i="25"/>
  <c r="BC38" i="25" s="1"/>
  <c r="O38" i="25" s="1"/>
  <c r="AI39" i="25" s="1"/>
  <c r="L41" i="25"/>
  <c r="BB39" i="25"/>
  <c r="Z35" i="19"/>
  <c r="AL36" i="25"/>
  <c r="BX36" i="19"/>
  <c r="M40" i="25"/>
  <c r="BJ40" i="19" s="1"/>
  <c r="BK35" i="19"/>
  <c r="BE36" i="25" s="1"/>
  <c r="AA35" i="19"/>
  <c r="AN36" i="25"/>
  <c r="AM36" i="25"/>
  <c r="BC36" i="20" s="1"/>
  <c r="Y95" i="22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BY36" i="19" l="1"/>
  <c r="BF36" i="25"/>
  <c r="BD37" i="25"/>
  <c r="N39" i="25"/>
  <c r="AH40" i="25" s="1"/>
  <c r="Q36" i="25"/>
  <c r="CA36" i="19"/>
  <c r="BH36" i="25"/>
  <c r="W40" i="19"/>
  <c r="AG41" i="25"/>
  <c r="AZ41" i="20" s="1"/>
  <c r="V41" i="19"/>
  <c r="BI41" i="19"/>
  <c r="AF42" i="25"/>
  <c r="Y96" i="22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BM35" i="19" s="1"/>
  <c r="BG36" i="25" s="1"/>
  <c r="S36" i="25" s="1"/>
  <c r="AM59" i="20"/>
  <c r="AD59" i="20" s="1"/>
  <c r="N60" i="20"/>
  <c r="BY60" i="20" s="1"/>
  <c r="BB40" i="25" l="1"/>
  <c r="N40" i="25" s="1"/>
  <c r="AH41" i="25" s="1"/>
  <c r="BA41" i="20" s="1"/>
  <c r="BA40" i="20"/>
  <c r="BK36" i="19"/>
  <c r="AA36" i="19"/>
  <c r="BV41" i="19"/>
  <c r="AZ42" i="25" s="1"/>
  <c r="L42" i="25" s="1"/>
  <c r="P37" i="25"/>
  <c r="T36" i="25"/>
  <c r="Y36" i="19"/>
  <c r="AK37" i="25"/>
  <c r="BB37" i="20" s="1"/>
  <c r="BW40" i="19"/>
  <c r="BA41" i="25" s="1"/>
  <c r="M41" i="25" s="1"/>
  <c r="R36" i="25"/>
  <c r="Z36" i="19" s="1"/>
  <c r="Y97" i="22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W41" i="19" l="1"/>
  <c r="AG42" i="25"/>
  <c r="AZ42" i="20" s="1"/>
  <c r="BW41" i="19"/>
  <c r="BI42" i="19"/>
  <c r="V42" i="19"/>
  <c r="AF43" i="25"/>
  <c r="AL37" i="25"/>
  <c r="AM37" i="25"/>
  <c r="BC37" i="20" s="1"/>
  <c r="AN37" i="25"/>
  <c r="AO37" i="25"/>
  <c r="BX37" i="19"/>
  <c r="BE37" i="25"/>
  <c r="Q37" i="25" s="1"/>
  <c r="X37" i="19"/>
  <c r="AJ38" i="25"/>
  <c r="BJ41" i="19"/>
  <c r="Y98" i="22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BA42" i="25" l="1"/>
  <c r="M42" i="25" s="1"/>
  <c r="AG43" i="25" s="1"/>
  <c r="AZ43" i="20" s="1"/>
  <c r="Y37" i="19"/>
  <c r="AK38" i="25"/>
  <c r="BB38" i="20" s="1"/>
  <c r="BI37" i="25"/>
  <c r="BC39" i="25"/>
  <c r="BD38" i="25"/>
  <c r="CA37" i="19"/>
  <c r="BH37" i="25"/>
  <c r="T37" i="25" s="1"/>
  <c r="BY37" i="19"/>
  <c r="BF37" i="25"/>
  <c r="BV42" i="19"/>
  <c r="AZ43" i="25" s="1"/>
  <c r="Y99" i="22"/>
  <c r="AT51" i="20"/>
  <c r="AK51" i="20" s="1"/>
  <c r="AL36" i="20"/>
  <c r="BM36" i="19" s="1"/>
  <c r="BG37" i="25" s="1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BV43" i="19" l="1"/>
  <c r="L43" i="25"/>
  <c r="O39" i="25"/>
  <c r="AI40" i="25" s="1"/>
  <c r="S37" i="25"/>
  <c r="BX38" i="19"/>
  <c r="R37" i="25"/>
  <c r="P38" i="25"/>
  <c r="BJ42" i="19"/>
  <c r="W42" i="19"/>
  <c r="U37" i="25"/>
  <c r="AO38" i="25" s="1"/>
  <c r="BI38" i="25" s="1"/>
  <c r="Y100" i="22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Z37" i="19" l="1"/>
  <c r="AL38" i="25"/>
  <c r="BB41" i="25"/>
  <c r="V43" i="19"/>
  <c r="BI43" i="19"/>
  <c r="AF44" i="25"/>
  <c r="BC40" i="25"/>
  <c r="O40" i="25" s="1"/>
  <c r="AI41" i="25" s="1"/>
  <c r="U38" i="25"/>
  <c r="X38" i="19"/>
  <c r="AJ39" i="25"/>
  <c r="BK37" i="19"/>
  <c r="BE38" i="25" s="1"/>
  <c r="AA37" i="19"/>
  <c r="AM38" i="25"/>
  <c r="BC38" i="20" s="1"/>
  <c r="AN38" i="25"/>
  <c r="Y101" i="22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N41" i="25" l="1"/>
  <c r="AH42" i="25" s="1"/>
  <c r="BA42" i="20" s="1"/>
  <c r="BD39" i="25"/>
  <c r="P39" i="25" s="1"/>
  <c r="X39" i="19" s="1"/>
  <c r="AZ44" i="25"/>
  <c r="CA38" i="19"/>
  <c r="BH38" i="25"/>
  <c r="Q38" i="25"/>
  <c r="BY38" i="19"/>
  <c r="BF38" i="25"/>
  <c r="R38" i="25" s="1"/>
  <c r="Y102" i="22"/>
  <c r="O59" i="20"/>
  <c r="BZ59" i="20" s="1"/>
  <c r="AL37" i="20"/>
  <c r="BM37" i="19" s="1"/>
  <c r="BG38" i="25" s="1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J40" i="25" l="1"/>
  <c r="S38" i="25"/>
  <c r="Z38" i="19"/>
  <c r="AL39" i="25"/>
  <c r="T38" i="25"/>
  <c r="BW42" i="19"/>
  <c r="BA43" i="25" s="1"/>
  <c r="Y38" i="19"/>
  <c r="AK39" i="25"/>
  <c r="BB39" i="20" s="1"/>
  <c r="BC41" i="25"/>
  <c r="L44" i="25"/>
  <c r="BB42" i="25"/>
  <c r="BF39" i="25"/>
  <c r="Y103" i="22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BX39" i="19" l="1"/>
  <c r="BD40" i="25" s="1"/>
  <c r="M43" i="25"/>
  <c r="BJ43" i="19" s="1"/>
  <c r="BY39" i="19"/>
  <c r="R39" i="25"/>
  <c r="Z39" i="19" s="1"/>
  <c r="BI44" i="19"/>
  <c r="V44" i="19"/>
  <c r="AF45" i="25"/>
  <c r="AA38" i="19"/>
  <c r="BK38" i="19"/>
  <c r="BE39" i="25" s="1"/>
  <c r="Q39" i="25" s="1"/>
  <c r="AM39" i="25"/>
  <c r="BC39" i="20" s="1"/>
  <c r="O41" i="25"/>
  <c r="AI42" i="25" s="1"/>
  <c r="N42" i="25"/>
  <c r="AH43" i="25" s="1"/>
  <c r="BA43" i="20" s="1"/>
  <c r="AO39" i="25"/>
  <c r="AN39" i="25"/>
  <c r="Y104" i="22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39" i="19" l="1"/>
  <c r="AL40" i="25"/>
  <c r="AK40" i="25"/>
  <c r="BB40" i="20" s="1"/>
  <c r="CA39" i="19"/>
  <c r="BH39" i="25"/>
  <c r="P40" i="25"/>
  <c r="BI39" i="25"/>
  <c r="U39" i="25" s="1"/>
  <c r="BW43" i="19"/>
  <c r="W43" i="19"/>
  <c r="AG44" i="25"/>
  <c r="AZ44" i="20" s="1"/>
  <c r="BB43" i="25"/>
  <c r="Y105" i="22"/>
  <c r="AT54" i="20"/>
  <c r="AK54" i="20" s="1"/>
  <c r="AL38" i="20"/>
  <c r="BM38" i="19" s="1"/>
  <c r="BG39" i="25" s="1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S39" i="25" l="1"/>
  <c r="N43" i="25"/>
  <c r="AH44" i="25" s="1"/>
  <c r="BA44" i="20" s="1"/>
  <c r="T39" i="25"/>
  <c r="AO40" i="25" s="1"/>
  <c r="BV44" i="19"/>
  <c r="AZ45" i="25" s="1"/>
  <c r="BA44" i="25"/>
  <c r="X40" i="19"/>
  <c r="AJ41" i="25"/>
  <c r="BX40" i="19"/>
  <c r="BY40" i="19"/>
  <c r="BF40" i="25"/>
  <c r="R40" i="25" s="1"/>
  <c r="Y106" i="22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Z40" i="19" l="1"/>
  <c r="BC42" i="25"/>
  <c r="BD41" i="25"/>
  <c r="P41" i="25" s="1"/>
  <c r="L45" i="25"/>
  <c r="BW44" i="19"/>
  <c r="AA39" i="19"/>
  <c r="BK39" i="19"/>
  <c r="BE40" i="25" s="1"/>
  <c r="Q40" i="25" s="1"/>
  <c r="AM40" i="25"/>
  <c r="BC40" i="20" s="1"/>
  <c r="M44" i="25"/>
  <c r="AN40" i="25"/>
  <c r="BI40" i="25"/>
  <c r="Y107" i="22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X41" i="19" l="1"/>
  <c r="AJ42" i="25"/>
  <c r="W44" i="19"/>
  <c r="AG45" i="25"/>
  <c r="AZ45" i="20" s="1"/>
  <c r="Y40" i="19"/>
  <c r="AK41" i="25"/>
  <c r="BB41" i="20" s="1"/>
  <c r="V45" i="19"/>
  <c r="BI45" i="19"/>
  <c r="AF46" i="25"/>
  <c r="CA40" i="19"/>
  <c r="BH40" i="25"/>
  <c r="T40" i="25" s="1"/>
  <c r="AL41" i="25"/>
  <c r="U40" i="25"/>
  <c r="BJ44" i="19"/>
  <c r="O42" i="25"/>
  <c r="AI43" i="25" s="1"/>
  <c r="BC43" i="25" s="1"/>
  <c r="Y108" i="22"/>
  <c r="R56" i="20"/>
  <c r="CC56" i="20" s="1"/>
  <c r="AP62" i="20"/>
  <c r="AG62" i="20" s="1"/>
  <c r="S56" i="20"/>
  <c r="CD56" i="20" s="1"/>
  <c r="AL39" i="20"/>
  <c r="BM39" i="19" s="1"/>
  <c r="BG40" i="25" s="1"/>
  <c r="P57" i="20"/>
  <c r="CA57" i="20" s="1"/>
  <c r="Q56" i="20"/>
  <c r="CB56" i="20" s="1"/>
  <c r="AN66" i="20"/>
  <c r="AE66" i="20" s="1"/>
  <c r="N67" i="20"/>
  <c r="BY67" i="20" s="1"/>
  <c r="L66" i="20"/>
  <c r="BW66" i="20" s="1"/>
  <c r="S40" i="25" l="1"/>
  <c r="AO41" i="25"/>
  <c r="O43" i="25"/>
  <c r="AI44" i="25" s="1"/>
  <c r="BB44" i="25"/>
  <c r="BY41" i="19"/>
  <c r="BF41" i="25"/>
  <c r="BX41" i="19"/>
  <c r="BD42" i="25" s="1"/>
  <c r="BV45" i="19"/>
  <c r="AZ46" i="25" s="1"/>
  <c r="BA45" i="25"/>
  <c r="Y109" i="22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L46" i="25" l="1"/>
  <c r="M45" i="25"/>
  <c r="BI41" i="25"/>
  <c r="U41" i="25" s="1"/>
  <c r="BK40" i="19"/>
  <c r="BE41" i="25" s="1"/>
  <c r="Q41" i="25" s="1"/>
  <c r="AA40" i="19"/>
  <c r="AM41" i="25"/>
  <c r="BC41" i="20" s="1"/>
  <c r="N44" i="25"/>
  <c r="AH45" i="25" s="1"/>
  <c r="P42" i="25"/>
  <c r="R41" i="25"/>
  <c r="AN41" i="25"/>
  <c r="Y110" i="22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BB45" i="25" l="1"/>
  <c r="N45" i="25" s="1"/>
  <c r="AH46" i="25" s="1"/>
  <c r="BA46" i="20" s="1"/>
  <c r="BA45" i="20"/>
  <c r="CA41" i="19"/>
  <c r="BH41" i="25"/>
  <c r="Z41" i="19"/>
  <c r="AL42" i="25"/>
  <c r="Y41" i="19"/>
  <c r="AK42" i="25"/>
  <c r="BB42" i="20" s="1"/>
  <c r="BJ45" i="19"/>
  <c r="W45" i="19"/>
  <c r="AG46" i="25"/>
  <c r="AZ46" i="20" s="1"/>
  <c r="X42" i="19"/>
  <c r="AJ43" i="25"/>
  <c r="BW45" i="19"/>
  <c r="V46" i="19"/>
  <c r="BI46" i="19"/>
  <c r="AF47" i="25"/>
  <c r="Y111" i="22"/>
  <c r="AP64" i="20"/>
  <c r="AG64" i="20" s="1"/>
  <c r="AT57" i="20"/>
  <c r="AK57" i="20" s="1"/>
  <c r="AS57" i="20"/>
  <c r="AJ57" i="20" s="1"/>
  <c r="AL40" i="20"/>
  <c r="BM40" i="19" s="1"/>
  <c r="BG41" i="25" s="1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S41" i="25" l="1"/>
  <c r="BX42" i="19"/>
  <c r="BD43" i="25" s="1"/>
  <c r="BC44" i="25"/>
  <c r="BV46" i="19"/>
  <c r="AZ47" i="25" s="1"/>
  <c r="BA46" i="25"/>
  <c r="BW46" i="19"/>
  <c r="BY42" i="19"/>
  <c r="BF42" i="25"/>
  <c r="R42" i="25" s="1"/>
  <c r="T41" i="25"/>
  <c r="Y112" i="22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Z42" i="19" l="1"/>
  <c r="L47" i="25"/>
  <c r="P43" i="25"/>
  <c r="M46" i="25"/>
  <c r="BJ46" i="19" s="1"/>
  <c r="O44" i="25"/>
  <c r="AI45" i="25" s="1"/>
  <c r="AO42" i="25"/>
  <c r="AN42" i="25"/>
  <c r="AA41" i="19"/>
  <c r="BK41" i="19"/>
  <c r="BE42" i="25" s="1"/>
  <c r="Q42" i="25" s="1"/>
  <c r="AM42" i="25"/>
  <c r="BC42" i="20" s="1"/>
  <c r="Y113" i="22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42" i="19" l="1"/>
  <c r="AK43" i="25"/>
  <c r="BB43" i="20" s="1"/>
  <c r="CA42" i="19"/>
  <c r="BH42" i="25"/>
  <c r="BI42" i="25"/>
  <c r="U42" i="25" s="1"/>
  <c r="BI47" i="19"/>
  <c r="V47" i="19"/>
  <c r="AF48" i="25"/>
  <c r="BB46" i="25"/>
  <c r="W46" i="19"/>
  <c r="AG47" i="25"/>
  <c r="AZ47" i="20" s="1"/>
  <c r="BC45" i="25"/>
  <c r="O45" i="25" s="1"/>
  <c r="AI46" i="25" s="1"/>
  <c r="X43" i="19"/>
  <c r="AJ44" i="25"/>
  <c r="AL43" i="25"/>
  <c r="Y114" i="22"/>
  <c r="P60" i="20"/>
  <c r="CA60" i="20" s="1"/>
  <c r="Q59" i="20"/>
  <c r="CB59" i="20" s="1"/>
  <c r="O66" i="20"/>
  <c r="BZ66" i="20" s="1"/>
  <c r="AL41" i="20"/>
  <c r="BM41" i="19" s="1"/>
  <c r="BG42" i="25" s="1"/>
  <c r="S42" i="25" s="1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M43" i="25" l="1"/>
  <c r="BC43" i="20" s="1"/>
  <c r="BK42" i="19"/>
  <c r="BE43" i="25" s="1"/>
  <c r="AA42" i="19"/>
  <c r="BY43" i="19"/>
  <c r="BF43" i="25"/>
  <c r="R43" i="25" s="1"/>
  <c r="BV47" i="19"/>
  <c r="AZ48" i="25" s="1"/>
  <c r="BA47" i="25"/>
  <c r="BX43" i="19"/>
  <c r="BD44" i="25" s="1"/>
  <c r="N46" i="25"/>
  <c r="AH47" i="25" s="1"/>
  <c r="BA47" i="20" s="1"/>
  <c r="T42" i="25"/>
  <c r="AN43" i="25" s="1"/>
  <c r="BH43" i="25" s="1"/>
  <c r="Y115" i="22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P44" i="25" l="1"/>
  <c r="Z43" i="19"/>
  <c r="BW47" i="19"/>
  <c r="CA43" i="19"/>
  <c r="T43" i="25"/>
  <c r="BB47" i="25"/>
  <c r="Q43" i="25"/>
  <c r="AL44" i="25" s="1"/>
  <c r="M47" i="25"/>
  <c r="AO43" i="25"/>
  <c r="L48" i="25"/>
  <c r="Y116" i="22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BY44" i="19" l="1"/>
  <c r="BF44" i="25"/>
  <c r="X44" i="19"/>
  <c r="AJ45" i="25"/>
  <c r="V48" i="19"/>
  <c r="BI48" i="19"/>
  <c r="AF49" i="25"/>
  <c r="W47" i="19"/>
  <c r="AG48" i="25"/>
  <c r="AZ48" i="20" s="1"/>
  <c r="BJ47" i="19"/>
  <c r="Y43" i="19"/>
  <c r="AK44" i="25"/>
  <c r="BB44" i="20" s="1"/>
  <c r="BI43" i="25"/>
  <c r="U43" i="25" s="1"/>
  <c r="AO44" i="25" s="1"/>
  <c r="N47" i="25"/>
  <c r="AH48" i="25" s="1"/>
  <c r="BA48" i="20" s="1"/>
  <c r="Y117" i="22"/>
  <c r="AL42" i="20"/>
  <c r="BM42" i="19" s="1"/>
  <c r="BG43" i="25" s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BI44" i="25" l="1"/>
  <c r="U44" i="25" s="1"/>
  <c r="BV48" i="19"/>
  <c r="AZ49" i="25" s="1"/>
  <c r="BA48" i="25"/>
  <c r="S43" i="25"/>
  <c r="BW48" i="19"/>
  <c r="BX44" i="19"/>
  <c r="BD45" i="25" s="1"/>
  <c r="P45" i="25" s="1"/>
  <c r="X45" i="19" s="1"/>
  <c r="BC46" i="25"/>
  <c r="R44" i="25"/>
  <c r="Y118" i="22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L49" i="25" l="1"/>
  <c r="O46" i="25"/>
  <c r="AI47" i="25" s="1"/>
  <c r="AJ46" i="25"/>
  <c r="Z44" i="19"/>
  <c r="AA43" i="19"/>
  <c r="BK43" i="19"/>
  <c r="BE44" i="25" s="1"/>
  <c r="AM44" i="25"/>
  <c r="BC44" i="20" s="1"/>
  <c r="AN44" i="25"/>
  <c r="M48" i="25"/>
  <c r="BJ48" i="19" s="1"/>
  <c r="Y119" i="22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BC47" i="25" l="1"/>
  <c r="O47" i="25" s="1"/>
  <c r="AI48" i="25" s="1"/>
  <c r="Q44" i="25"/>
  <c r="W48" i="19"/>
  <c r="AG49" i="25"/>
  <c r="AZ49" i="20" s="1"/>
  <c r="V49" i="19"/>
  <c r="BI49" i="19"/>
  <c r="AF50" i="25"/>
  <c r="CA44" i="19"/>
  <c r="BH44" i="25"/>
  <c r="BB48" i="25"/>
  <c r="Y120" i="22"/>
  <c r="P63" i="20"/>
  <c r="CA63" i="20" s="1"/>
  <c r="AP69" i="20"/>
  <c r="AG69" i="20" s="1"/>
  <c r="AL43" i="20"/>
  <c r="BM43" i="19" s="1"/>
  <c r="BG44" i="25" s="1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S44" i="25" l="1"/>
  <c r="BV49" i="19"/>
  <c r="AZ50" i="25" s="1"/>
  <c r="BA49" i="25"/>
  <c r="M49" i="25" s="1"/>
  <c r="N48" i="25"/>
  <c r="AH49" i="25" s="1"/>
  <c r="BA49" i="20" s="1"/>
  <c r="T44" i="25"/>
  <c r="Y44" i="19"/>
  <c r="AK45" i="25"/>
  <c r="BB45" i="20" s="1"/>
  <c r="AL45" i="25"/>
  <c r="Y121" i="22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W49" i="19" l="1"/>
  <c r="AG50" i="25"/>
  <c r="AZ50" i="20" s="1"/>
  <c r="BY45" i="19"/>
  <c r="BF45" i="25"/>
  <c r="R45" i="25" s="1"/>
  <c r="L50" i="25"/>
  <c r="AA44" i="19"/>
  <c r="BK44" i="19"/>
  <c r="BE45" i="25" s="1"/>
  <c r="Q45" i="25" s="1"/>
  <c r="Y45" i="19" s="1"/>
  <c r="AM45" i="25"/>
  <c r="BC45" i="20" s="1"/>
  <c r="BX45" i="19"/>
  <c r="BD46" i="25" s="1"/>
  <c r="BW49" i="19"/>
  <c r="AO45" i="25"/>
  <c r="AN45" i="25"/>
  <c r="BB49" i="25"/>
  <c r="BJ49" i="19"/>
  <c r="BA50" i="25"/>
  <c r="Y122" i="22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Z45" i="19" l="1"/>
  <c r="AL46" i="25"/>
  <c r="BF46" i="25" s="1"/>
  <c r="P46" i="25"/>
  <c r="N49" i="25"/>
  <c r="AH50" i="25" s="1"/>
  <c r="BA50" i="20" s="1"/>
  <c r="CA45" i="19"/>
  <c r="BH45" i="25"/>
  <c r="BI50" i="19"/>
  <c r="V50" i="19"/>
  <c r="AF51" i="25"/>
  <c r="M50" i="25"/>
  <c r="W50" i="19" s="1"/>
  <c r="BI45" i="25"/>
  <c r="U45" i="25" s="1"/>
  <c r="AK46" i="25"/>
  <c r="BB46" i="20" s="1"/>
  <c r="BV50" i="19"/>
  <c r="Y123" i="22"/>
  <c r="O71" i="20"/>
  <c r="BZ71" i="20" s="1"/>
  <c r="AL44" i="20"/>
  <c r="BM44" i="19" s="1"/>
  <c r="BG45" i="25" s="1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S45" i="25" l="1"/>
  <c r="BW50" i="19"/>
  <c r="R46" i="25"/>
  <c r="Z46" i="19" s="1"/>
  <c r="AZ51" i="25"/>
  <c r="X46" i="19"/>
  <c r="AJ47" i="25"/>
  <c r="BX46" i="19"/>
  <c r="T45" i="25"/>
  <c r="AG51" i="25"/>
  <c r="AZ51" i="20" s="1"/>
  <c r="BJ50" i="19"/>
  <c r="BY46" i="19"/>
  <c r="Y124" i="22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N46" i="25" l="1"/>
  <c r="BH46" i="25" s="1"/>
  <c r="L51" i="25"/>
  <c r="BK45" i="19"/>
  <c r="BE46" i="25" s="1"/>
  <c r="Q46" i="25" s="1"/>
  <c r="AA45" i="19"/>
  <c r="AM46" i="25"/>
  <c r="BC46" i="20" s="1"/>
  <c r="BV51" i="19"/>
  <c r="BA51" i="25"/>
  <c r="M51" i="25" s="1"/>
  <c r="W51" i="19" s="1"/>
  <c r="T46" i="25"/>
  <c r="BC48" i="25"/>
  <c r="BD47" i="25"/>
  <c r="P47" i="25" s="1"/>
  <c r="AO46" i="25"/>
  <c r="Y125" i="22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CA46" i="19" l="1"/>
  <c r="X47" i="19"/>
  <c r="AJ48" i="25"/>
  <c r="Y46" i="19"/>
  <c r="AL47" i="25"/>
  <c r="AK47" i="25"/>
  <c r="BB47" i="20" s="1"/>
  <c r="BI46" i="25"/>
  <c r="BJ51" i="19"/>
  <c r="BI51" i="19"/>
  <c r="V51" i="19"/>
  <c r="AF52" i="25"/>
  <c r="AG52" i="25"/>
  <c r="AZ52" i="20" s="1"/>
  <c r="O48" i="25"/>
  <c r="AI49" i="25" s="1"/>
  <c r="Y126" i="22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BM45" i="19" s="1"/>
  <c r="BG46" i="25" s="1"/>
  <c r="AM76" i="20"/>
  <c r="AD76" i="20" s="1"/>
  <c r="AN76" i="20"/>
  <c r="AE76" i="20" s="1"/>
  <c r="AO77" i="20"/>
  <c r="AF77" i="20" s="1"/>
  <c r="S46" i="25" l="1"/>
  <c r="BV52" i="19"/>
  <c r="BY47" i="19"/>
  <c r="BF47" i="25"/>
  <c r="AZ52" i="25"/>
  <c r="U46" i="25"/>
  <c r="AO47" i="25" s="1"/>
  <c r="BI47" i="25" s="1"/>
  <c r="BB50" i="25"/>
  <c r="BC49" i="25"/>
  <c r="BX47" i="19"/>
  <c r="BD48" i="25" s="1"/>
  <c r="P48" i="25" s="1"/>
  <c r="X48" i="19" s="1"/>
  <c r="Y127" i="22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AJ49" i="25" l="1"/>
  <c r="N50" i="25"/>
  <c r="L52" i="25"/>
  <c r="O49" i="25"/>
  <c r="AI50" i="25" s="1"/>
  <c r="R47" i="25"/>
  <c r="AA46" i="19"/>
  <c r="BK46" i="19"/>
  <c r="BE47" i="25" s="1"/>
  <c r="Q47" i="25" s="1"/>
  <c r="AN47" i="25"/>
  <c r="AM47" i="25"/>
  <c r="BC47" i="20" s="1"/>
  <c r="U47" i="25"/>
  <c r="Y128" i="22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BC50" i="25" l="1"/>
  <c r="O50" i="25" s="1"/>
  <c r="AI51" i="25" s="1"/>
  <c r="Y47" i="19"/>
  <c r="AK48" i="25"/>
  <c r="BB48" i="20" s="1"/>
  <c r="BI52" i="19"/>
  <c r="V52" i="19"/>
  <c r="AF53" i="25"/>
  <c r="CA47" i="19"/>
  <c r="BH47" i="25"/>
  <c r="Z47" i="19"/>
  <c r="AL48" i="25"/>
  <c r="AH51" i="25"/>
  <c r="BA51" i="20" s="1"/>
  <c r="Y129" i="22"/>
  <c r="AQ67" i="20"/>
  <c r="AH67" i="20" s="1"/>
  <c r="AT66" i="20"/>
  <c r="AK66" i="20" s="1"/>
  <c r="AR66" i="20"/>
  <c r="AI66" i="20" s="1"/>
  <c r="AS66" i="20"/>
  <c r="AJ66" i="20" s="1"/>
  <c r="AL46" i="20"/>
  <c r="BM46" i="19" s="1"/>
  <c r="BG47" i="25" s="1"/>
  <c r="AP74" i="20"/>
  <c r="AG74" i="20" s="1"/>
  <c r="AN78" i="20"/>
  <c r="AE78" i="20" s="1"/>
  <c r="L78" i="20"/>
  <c r="BW78" i="20" s="1"/>
  <c r="N79" i="20"/>
  <c r="BY79" i="20" s="1"/>
  <c r="AZ53" i="25" l="1"/>
  <c r="BW51" i="19"/>
  <c r="BA52" i="25" s="1"/>
  <c r="BB51" i="25"/>
  <c r="N51" i="25" s="1"/>
  <c r="AH52" i="25" s="1"/>
  <c r="BA52" i="20" s="1"/>
  <c r="BY48" i="19"/>
  <c r="BF48" i="25"/>
  <c r="T47" i="25"/>
  <c r="S47" i="25"/>
  <c r="BX48" i="19"/>
  <c r="BD49" i="25" s="1"/>
  <c r="P49" i="25" s="1"/>
  <c r="Y130" i="22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BW52" i="19" l="1"/>
  <c r="R48" i="25"/>
  <c r="AA47" i="19"/>
  <c r="BK47" i="19"/>
  <c r="BE48" i="25" s="1"/>
  <c r="AM48" i="25"/>
  <c r="BC48" i="20" s="1"/>
  <c r="M52" i="25"/>
  <c r="BJ52" i="19" s="1"/>
  <c r="AN48" i="25"/>
  <c r="AO48" i="25"/>
  <c r="BB52" i="25"/>
  <c r="L53" i="25"/>
  <c r="X49" i="19"/>
  <c r="AJ50" i="25"/>
  <c r="Y131" i="22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BI48" i="25" l="1"/>
  <c r="CA48" i="19"/>
  <c r="BH48" i="25"/>
  <c r="V53" i="19"/>
  <c r="BI53" i="19"/>
  <c r="AF54" i="25"/>
  <c r="W52" i="19"/>
  <c r="AG53" i="25"/>
  <c r="AZ53" i="20" s="1"/>
  <c r="Q48" i="25"/>
  <c r="Z48" i="19"/>
  <c r="BC51" i="25"/>
  <c r="N52" i="25"/>
  <c r="AH53" i="25" s="1"/>
  <c r="BA53" i="20" s="1"/>
  <c r="Y132" i="22"/>
  <c r="R68" i="20"/>
  <c r="CC68" i="20" s="1"/>
  <c r="AP76" i="20"/>
  <c r="AG76" i="20" s="1"/>
  <c r="S68" i="20"/>
  <c r="CD68" i="20" s="1"/>
  <c r="AL47" i="20"/>
  <c r="BM47" i="19" s="1"/>
  <c r="BG48" i="25" s="1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S48" i="25" l="1"/>
  <c r="BV53" i="19"/>
  <c r="AZ54" i="25" s="1"/>
  <c r="L54" i="25" s="1"/>
  <c r="BA53" i="25"/>
  <c r="M53" i="25" s="1"/>
  <c r="BW53" i="19"/>
  <c r="O51" i="25"/>
  <c r="AI52" i="25" s="1"/>
  <c r="Y48" i="19"/>
  <c r="AK49" i="25"/>
  <c r="BB49" i="20" s="1"/>
  <c r="T48" i="25"/>
  <c r="AL49" i="25"/>
  <c r="U48" i="25"/>
  <c r="Y133" i="22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AO49" i="25" l="1"/>
  <c r="BI49" i="25" s="1"/>
  <c r="AF55" i="25"/>
  <c r="V54" i="19"/>
  <c r="BI54" i="19"/>
  <c r="W53" i="19"/>
  <c r="AG54" i="25"/>
  <c r="AZ54" i="20" s="1"/>
  <c r="BB53" i="25"/>
  <c r="BX49" i="19"/>
  <c r="BD50" i="25" s="1"/>
  <c r="P50" i="25" s="1"/>
  <c r="BK48" i="19"/>
  <c r="BE49" i="25" s="1"/>
  <c r="AA48" i="19"/>
  <c r="AM49" i="25"/>
  <c r="BC49" i="20" s="1"/>
  <c r="AN49" i="25"/>
  <c r="BY49" i="19"/>
  <c r="BF49" i="25"/>
  <c r="BJ53" i="19"/>
  <c r="Y134" i="22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U49" i="25" l="1"/>
  <c r="Q49" i="25"/>
  <c r="X50" i="19"/>
  <c r="AJ51" i="25"/>
  <c r="BV54" i="19"/>
  <c r="AZ55" i="25" s="1"/>
  <c r="L55" i="25" s="1"/>
  <c r="AF56" i="25" s="1"/>
  <c r="CA49" i="19"/>
  <c r="BH49" i="25"/>
  <c r="N53" i="25"/>
  <c r="AH54" i="25" s="1"/>
  <c r="BA54" i="20" s="1"/>
  <c r="R49" i="25"/>
  <c r="BA54" i="25"/>
  <c r="Y135" i="22"/>
  <c r="O78" i="20"/>
  <c r="BZ78" i="20" s="1"/>
  <c r="AQ70" i="20"/>
  <c r="AH70" i="20" s="1"/>
  <c r="AS69" i="20"/>
  <c r="AJ69" i="20" s="1"/>
  <c r="AL48" i="20"/>
  <c r="BM48" i="19" s="1"/>
  <c r="BG49" i="25" s="1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S49" i="25" l="1"/>
  <c r="BI55" i="19"/>
  <c r="V55" i="19"/>
  <c r="BW54" i="19"/>
  <c r="BC52" i="25"/>
  <c r="O52" i="25" s="1"/>
  <c r="AI53" i="25" s="1"/>
  <c r="M54" i="25"/>
  <c r="BJ54" i="19" s="1"/>
  <c r="Z49" i="19"/>
  <c r="AL50" i="25"/>
  <c r="T49" i="25"/>
  <c r="Y49" i="19"/>
  <c r="AK50" i="25"/>
  <c r="BB50" i="20" s="1"/>
  <c r="Y136" i="22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N50" i="25" l="1"/>
  <c r="AO50" i="25"/>
  <c r="BK49" i="19"/>
  <c r="BE50" i="25" s="1"/>
  <c r="Q50" i="25" s="1"/>
  <c r="Y50" i="19" s="1"/>
  <c r="AA49" i="19"/>
  <c r="AM50" i="25"/>
  <c r="BC50" i="20" s="1"/>
  <c r="BY50" i="19"/>
  <c r="BF50" i="25"/>
  <c r="R50" i="25" s="1"/>
  <c r="W54" i="19"/>
  <c r="AG55" i="25"/>
  <c r="AZ55" i="20" s="1"/>
  <c r="BB54" i="25"/>
  <c r="N54" i="25" s="1"/>
  <c r="BX50" i="19"/>
  <c r="BD51" i="25" s="1"/>
  <c r="P51" i="25" s="1"/>
  <c r="Y137" i="22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Z50" i="19" l="1"/>
  <c r="AL51" i="25"/>
  <c r="BF51" i="25" s="1"/>
  <c r="CA50" i="19"/>
  <c r="BH50" i="25"/>
  <c r="AH55" i="25"/>
  <c r="BA55" i="20" s="1"/>
  <c r="BV55" i="19"/>
  <c r="AZ56" i="25" s="1"/>
  <c r="L56" i="25" s="1"/>
  <c r="BA55" i="25"/>
  <c r="M55" i="25" s="1"/>
  <c r="AK51" i="25"/>
  <c r="BB51" i="20" s="1"/>
  <c r="BI50" i="25"/>
  <c r="X51" i="19"/>
  <c r="AJ52" i="25"/>
  <c r="Y138" i="22"/>
  <c r="AL49" i="20"/>
  <c r="BM49" i="19" s="1"/>
  <c r="BG50" i="25" s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W55" i="19" l="1"/>
  <c r="AG56" i="25"/>
  <c r="AZ56" i="20" s="1"/>
  <c r="S50" i="25"/>
  <c r="U50" i="25"/>
  <c r="R51" i="25"/>
  <c r="Z51" i="19" s="1"/>
  <c r="T50" i="25"/>
  <c r="BX51" i="19"/>
  <c r="BD52" i="25" s="1"/>
  <c r="P52" i="25" s="1"/>
  <c r="X52" i="19" s="1"/>
  <c r="BI56" i="19"/>
  <c r="V56" i="19"/>
  <c r="AF57" i="25"/>
  <c r="BC53" i="25"/>
  <c r="BJ55" i="19"/>
  <c r="BW55" i="19"/>
  <c r="BY51" i="19"/>
  <c r="Y139" i="22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BA56" i="25" l="1"/>
  <c r="AO51" i="25"/>
  <c r="BI51" i="25" s="1"/>
  <c r="AN51" i="25"/>
  <c r="AA50" i="19"/>
  <c r="BK50" i="19"/>
  <c r="BE51" i="25" s="1"/>
  <c r="AM51" i="25"/>
  <c r="BC51" i="20" s="1"/>
  <c r="O53" i="25"/>
  <c r="AI54" i="25" s="1"/>
  <c r="BV56" i="19"/>
  <c r="AZ57" i="25" s="1"/>
  <c r="L57" i="25" s="1"/>
  <c r="M56" i="25"/>
  <c r="W56" i="19" s="1"/>
  <c r="AJ53" i="25"/>
  <c r="Y140" i="22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BJ56" i="19" l="1"/>
  <c r="AG57" i="25"/>
  <c r="AZ57" i="20" s="1"/>
  <c r="V57" i="19"/>
  <c r="BI57" i="19"/>
  <c r="AF58" i="25"/>
  <c r="CA51" i="19"/>
  <c r="BH51" i="25"/>
  <c r="Q51" i="25"/>
  <c r="BB55" i="25"/>
  <c r="BC54" i="25"/>
  <c r="O54" i="25" s="1"/>
  <c r="AI55" i="25" s="1"/>
  <c r="U51" i="25"/>
  <c r="Y141" i="22"/>
  <c r="AS72" i="20"/>
  <c r="AJ72" i="20" s="1"/>
  <c r="AQ73" i="20"/>
  <c r="AH73" i="20" s="1"/>
  <c r="AT72" i="20"/>
  <c r="AK72" i="20" s="1"/>
  <c r="AP81" i="20"/>
  <c r="AG81" i="20" s="1"/>
  <c r="AL50" i="20"/>
  <c r="BM50" i="19" s="1"/>
  <c r="BG51" i="25" s="1"/>
  <c r="AR72" i="20"/>
  <c r="AI72" i="20" s="1"/>
  <c r="L85" i="20"/>
  <c r="BW85" i="20" s="1"/>
  <c r="M85" i="20"/>
  <c r="BX85" i="20" s="1"/>
  <c r="N86" i="20"/>
  <c r="BY86" i="20" s="1"/>
  <c r="BV57" i="19" l="1"/>
  <c r="S51" i="25"/>
  <c r="N55" i="25"/>
  <c r="T51" i="25"/>
  <c r="AO52" i="25" s="1"/>
  <c r="AZ58" i="25"/>
  <c r="L58" i="25" s="1"/>
  <c r="Y51" i="19"/>
  <c r="AK52" i="25"/>
  <c r="BB52" i="20" s="1"/>
  <c r="AL52" i="25"/>
  <c r="Y142" i="22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V58" i="19" l="1"/>
  <c r="BI58" i="19"/>
  <c r="AF59" i="25"/>
  <c r="BI52" i="25"/>
  <c r="U52" i="25" s="1"/>
  <c r="BX52" i="19"/>
  <c r="BD53" i="25" s="1"/>
  <c r="P53" i="25" s="1"/>
  <c r="AH56" i="25"/>
  <c r="BA56" i="20" s="1"/>
  <c r="BY52" i="19"/>
  <c r="BF52" i="25"/>
  <c r="AN52" i="25"/>
  <c r="BK51" i="19"/>
  <c r="BE52" i="25" s="1"/>
  <c r="AA51" i="19"/>
  <c r="AM52" i="25"/>
  <c r="BC52" i="20" s="1"/>
  <c r="Y143" i="22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Q52" i="25" l="1"/>
  <c r="CA52" i="19"/>
  <c r="BH52" i="25"/>
  <c r="BW56" i="19"/>
  <c r="BA57" i="25" s="1"/>
  <c r="BB56" i="25"/>
  <c r="R52" i="25"/>
  <c r="Z52" i="19" s="1"/>
  <c r="X53" i="19"/>
  <c r="AJ54" i="25"/>
  <c r="Y144" i="22"/>
  <c r="R74" i="20"/>
  <c r="CC74" i="20" s="1"/>
  <c r="P75" i="20"/>
  <c r="CA75" i="20" s="1"/>
  <c r="O83" i="20"/>
  <c r="BZ83" i="20" s="1"/>
  <c r="AL51" i="20"/>
  <c r="BM51" i="19" s="1"/>
  <c r="BG52" i="25" s="1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BC55" i="25" l="1"/>
  <c r="T52" i="25"/>
  <c r="M57" i="25"/>
  <c r="BJ57" i="19" s="1"/>
  <c r="N56" i="25"/>
  <c r="AH57" i="25" s="1"/>
  <c r="BA57" i="20" s="1"/>
  <c r="AL53" i="25"/>
  <c r="Y52" i="19"/>
  <c r="AK53" i="25"/>
  <c r="BB53" i="20" s="1"/>
  <c r="S52" i="25"/>
  <c r="Y145" i="22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BX53" i="19" l="1"/>
  <c r="BD54" i="25" s="1"/>
  <c r="BW57" i="19"/>
  <c r="AO53" i="25"/>
  <c r="AN53" i="25"/>
  <c r="BY53" i="19"/>
  <c r="BF53" i="25"/>
  <c r="O55" i="25"/>
  <c r="AI56" i="25" s="1"/>
  <c r="AA52" i="19"/>
  <c r="BK52" i="19"/>
  <c r="BE53" i="25" s="1"/>
  <c r="AM53" i="25"/>
  <c r="BC53" i="20" s="1"/>
  <c r="W57" i="19"/>
  <c r="AG58" i="25"/>
  <c r="AZ58" i="20" s="1"/>
  <c r="Y146" i="22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Q53" i="25" l="1"/>
  <c r="R53" i="25"/>
  <c r="BI53" i="25"/>
  <c r="U53" i="25" s="1"/>
  <c r="CA53" i="19"/>
  <c r="BH53" i="25"/>
  <c r="BB57" i="25"/>
  <c r="BV58" i="19"/>
  <c r="AZ59" i="25" s="1"/>
  <c r="BA58" i="25"/>
  <c r="P54" i="25"/>
  <c r="Y147" i="22"/>
  <c r="AL52" i="20"/>
  <c r="BM52" i="19" s="1"/>
  <c r="BG53" i="25" s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N57" i="25" l="1"/>
  <c r="AH58" i="25" s="1"/>
  <c r="BA58" i="20" s="1"/>
  <c r="X54" i="19"/>
  <c r="AJ55" i="25"/>
  <c r="M58" i="25"/>
  <c r="BJ58" i="19" s="1"/>
  <c r="T53" i="25"/>
  <c r="Z53" i="19"/>
  <c r="AL54" i="25"/>
  <c r="S53" i="25"/>
  <c r="L59" i="25"/>
  <c r="Y53" i="19"/>
  <c r="AK54" i="25"/>
  <c r="BB54" i="20" s="1"/>
  <c r="Y148" i="22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N54" i="25" l="1"/>
  <c r="BH54" i="25" s="1"/>
  <c r="BK53" i="19"/>
  <c r="AA53" i="19"/>
  <c r="AM54" i="25"/>
  <c r="BC54" i="20" s="1"/>
  <c r="V59" i="19"/>
  <c r="BI59" i="19"/>
  <c r="AF60" i="25"/>
  <c r="BY54" i="19"/>
  <c r="BF54" i="25"/>
  <c r="BW58" i="19"/>
  <c r="BX54" i="19"/>
  <c r="BD55" i="25" s="1"/>
  <c r="P55" i="25" s="1"/>
  <c r="X55" i="19" s="1"/>
  <c r="BE54" i="25"/>
  <c r="Q54" i="25" s="1"/>
  <c r="W58" i="19"/>
  <c r="AG59" i="25"/>
  <c r="AZ59" i="20" s="1"/>
  <c r="BC56" i="25"/>
  <c r="AO54" i="25"/>
  <c r="Y149" i="22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CA54" i="19" l="1"/>
  <c r="Y54" i="19"/>
  <c r="AK55" i="25"/>
  <c r="BB55" i="20" s="1"/>
  <c r="BI54" i="25"/>
  <c r="T54" i="25"/>
  <c r="BA59" i="25"/>
  <c r="M59" i="25" s="1"/>
  <c r="BV59" i="19"/>
  <c r="AZ60" i="25" s="1"/>
  <c r="O56" i="25"/>
  <c r="AI57" i="25" s="1"/>
  <c r="AJ56" i="25"/>
  <c r="R54" i="25"/>
  <c r="Y150" i="22"/>
  <c r="S77" i="20"/>
  <c r="CD77" i="20" s="1"/>
  <c r="P78" i="20"/>
  <c r="CA78" i="20" s="1"/>
  <c r="AL53" i="20"/>
  <c r="BM53" i="19" s="1"/>
  <c r="BG54" i="25" s="1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S54" i="25" l="1"/>
  <c r="AM55" i="25" s="1"/>
  <c r="BC55" i="20" s="1"/>
  <c r="W59" i="19"/>
  <c r="AG60" i="25"/>
  <c r="BB58" i="25"/>
  <c r="U54" i="25"/>
  <c r="AO55" i="25" s="1"/>
  <c r="BI55" i="25" s="1"/>
  <c r="Z54" i="19"/>
  <c r="AL55" i="25"/>
  <c r="BX55" i="19"/>
  <c r="BD56" i="25" s="1"/>
  <c r="BJ59" i="19"/>
  <c r="BC57" i="25"/>
  <c r="L60" i="25"/>
  <c r="Y151" i="22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N55" i="25" l="1"/>
  <c r="CA55" i="19" s="1"/>
  <c r="BV60" i="19"/>
  <c r="AZ60" i="20"/>
  <c r="P56" i="25"/>
  <c r="O57" i="25"/>
  <c r="AI58" i="25" s="1"/>
  <c r="N58" i="25"/>
  <c r="AH59" i="25" s="1"/>
  <c r="U55" i="25"/>
  <c r="BY55" i="19"/>
  <c r="BF55" i="25"/>
  <c r="BI60" i="19"/>
  <c r="V60" i="19"/>
  <c r="AF61" i="25"/>
  <c r="BK54" i="19"/>
  <c r="BE55" i="25" s="1"/>
  <c r="Q55" i="25" s="1"/>
  <c r="AA54" i="19"/>
  <c r="Y152" i="22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BH55" i="25" l="1"/>
  <c r="T55" i="25" s="1"/>
  <c r="BW59" i="19"/>
  <c r="BA60" i="25" s="1"/>
  <c r="M60" i="25" s="1"/>
  <c r="BJ60" i="19" s="1"/>
  <c r="BA59" i="20"/>
  <c r="BB59" i="25"/>
  <c r="N59" i="25" s="1"/>
  <c r="AH60" i="25" s="1"/>
  <c r="BA60" i="20" s="1"/>
  <c r="AO56" i="25"/>
  <c r="BI56" i="25" s="1"/>
  <c r="U56" i="25" s="1"/>
  <c r="AZ61" i="25"/>
  <c r="L61" i="25" s="1"/>
  <c r="R55" i="25"/>
  <c r="X56" i="19"/>
  <c r="AJ57" i="25"/>
  <c r="Y55" i="19"/>
  <c r="AK56" i="25"/>
  <c r="BB56" i="20" s="1"/>
  <c r="Y153" i="22"/>
  <c r="AQ79" i="20"/>
  <c r="AH79" i="20" s="1"/>
  <c r="AL54" i="20"/>
  <c r="BM54" i="19" s="1"/>
  <c r="BG55" i="25" s="1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V61" i="19" l="1"/>
  <c r="BI61" i="19"/>
  <c r="AF62" i="25"/>
  <c r="S55" i="25"/>
  <c r="BW60" i="19"/>
  <c r="BX56" i="19"/>
  <c r="BD57" i="25" s="1"/>
  <c r="W60" i="19"/>
  <c r="AG61" i="25"/>
  <c r="AZ61" i="20" s="1"/>
  <c r="BC58" i="25"/>
  <c r="O58" i="25" s="1"/>
  <c r="AI59" i="25" s="1"/>
  <c r="BB60" i="25" s="1"/>
  <c r="Z55" i="19"/>
  <c r="AL56" i="25"/>
  <c r="Y154" i="22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BY56" i="19" l="1"/>
  <c r="BF56" i="25"/>
  <c r="P57" i="25"/>
  <c r="AA55" i="19"/>
  <c r="BK55" i="19"/>
  <c r="BE56" i="25" s="1"/>
  <c r="Q56" i="25" s="1"/>
  <c r="AM56" i="25"/>
  <c r="BC56" i="20" s="1"/>
  <c r="AN56" i="25"/>
  <c r="BV61" i="19"/>
  <c r="AZ62" i="25" s="1"/>
  <c r="BA61" i="25"/>
  <c r="N60" i="25"/>
  <c r="AH61" i="25" s="1"/>
  <c r="BA61" i="20" s="1"/>
  <c r="Y155" i="22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L62" i="25" l="1"/>
  <c r="R56" i="25"/>
  <c r="M61" i="25"/>
  <c r="BJ61" i="19" s="1"/>
  <c r="Y56" i="19"/>
  <c r="AK57" i="25"/>
  <c r="BB57" i="20" s="1"/>
  <c r="X57" i="19"/>
  <c r="AJ58" i="25"/>
  <c r="CA56" i="19"/>
  <c r="BH56" i="25"/>
  <c r="BW61" i="19"/>
  <c r="Y156" i="22"/>
  <c r="Q80" i="20"/>
  <c r="CB80" i="20" s="1"/>
  <c r="O90" i="20"/>
  <c r="BZ90" i="20" s="1"/>
  <c r="P81" i="20"/>
  <c r="CA81" i="20" s="1"/>
  <c r="R80" i="20"/>
  <c r="CC80" i="20" s="1"/>
  <c r="AL55" i="20"/>
  <c r="BM55" i="19" s="1"/>
  <c r="BG56" i="25" s="1"/>
  <c r="S80" i="20"/>
  <c r="CD80" i="20" s="1"/>
  <c r="AM93" i="20"/>
  <c r="AD93" i="20" s="1"/>
  <c r="AO94" i="20"/>
  <c r="AF94" i="20" s="1"/>
  <c r="AN93" i="20"/>
  <c r="AE93" i="20" s="1"/>
  <c r="M94" i="20" s="1"/>
  <c r="BX94" i="20" s="1"/>
  <c r="S56" i="25" l="1"/>
  <c r="Z56" i="19"/>
  <c r="AL57" i="25"/>
  <c r="T56" i="25"/>
  <c r="BX57" i="19"/>
  <c r="BD58" i="25" s="1"/>
  <c r="W61" i="19"/>
  <c r="AG62" i="25"/>
  <c r="AZ62" i="20" s="1"/>
  <c r="V62" i="19"/>
  <c r="BI62" i="19"/>
  <c r="AF63" i="25"/>
  <c r="BC59" i="25"/>
  <c r="Y157" i="22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BV62" i="19" l="1"/>
  <c r="AZ63" i="25" s="1"/>
  <c r="BA62" i="25"/>
  <c r="P58" i="25"/>
  <c r="O59" i="25"/>
  <c r="AI60" i="25" s="1"/>
  <c r="BB61" i="25" s="1"/>
  <c r="AO57" i="25"/>
  <c r="AN57" i="25"/>
  <c r="AA56" i="19"/>
  <c r="BK56" i="19"/>
  <c r="BE57" i="25" s="1"/>
  <c r="Q57" i="25" s="1"/>
  <c r="AM57" i="25"/>
  <c r="BC57" i="20" s="1"/>
  <c r="BY57" i="19"/>
  <c r="BF57" i="25"/>
  <c r="R57" i="25" s="1"/>
  <c r="Z57" i="19" s="1"/>
  <c r="Y158" i="22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L58" i="25" l="1"/>
  <c r="BY58" i="19" s="1"/>
  <c r="BI57" i="25"/>
  <c r="X58" i="19"/>
  <c r="AJ59" i="25"/>
  <c r="N61" i="25"/>
  <c r="AH62" i="25" s="1"/>
  <c r="BA62" i="20" s="1"/>
  <c r="M62" i="25"/>
  <c r="L63" i="25"/>
  <c r="Y57" i="19"/>
  <c r="AK58" i="25"/>
  <c r="BB58" i="20" s="1"/>
  <c r="CA57" i="19"/>
  <c r="BH57" i="25"/>
  <c r="Y159" i="22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BM56" i="19" s="1"/>
  <c r="BG57" i="25" s="1"/>
  <c r="AM95" i="20"/>
  <c r="AD95" i="20" s="1"/>
  <c r="N96" i="20"/>
  <c r="BY96" i="20" s="1"/>
  <c r="AN95" i="20"/>
  <c r="AE95" i="20" s="1"/>
  <c r="BF58" i="25" l="1"/>
  <c r="R58" i="25" s="1"/>
  <c r="Z58" i="19" s="1"/>
  <c r="BX58" i="19"/>
  <c r="BD59" i="25" s="1"/>
  <c r="P59" i="25" s="1"/>
  <c r="BC60" i="25"/>
  <c r="T57" i="25"/>
  <c r="BW62" i="19"/>
  <c r="S57" i="25"/>
  <c r="BI63" i="19"/>
  <c r="V63" i="19"/>
  <c r="AF64" i="25"/>
  <c r="W62" i="19"/>
  <c r="AG63" i="25"/>
  <c r="AZ63" i="20" s="1"/>
  <c r="BJ62" i="19"/>
  <c r="U57" i="25"/>
  <c r="Y160" i="22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O58" i="25" l="1"/>
  <c r="BI58" i="25" s="1"/>
  <c r="U58" i="25" s="1"/>
  <c r="X59" i="19"/>
  <c r="AJ60" i="25"/>
  <c r="BV63" i="19"/>
  <c r="AZ64" i="25" s="1"/>
  <c r="BA63" i="25"/>
  <c r="AN58" i="25"/>
  <c r="O60" i="25"/>
  <c r="AI61" i="25" s="1"/>
  <c r="AA57" i="19"/>
  <c r="BK57" i="19"/>
  <c r="BE58" i="25" s="1"/>
  <c r="Q58" i="25" s="1"/>
  <c r="AM58" i="25"/>
  <c r="BC58" i="20" s="1"/>
  <c r="Y161" i="22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M63" i="25" l="1"/>
  <c r="BB62" i="25"/>
  <c r="L64" i="25"/>
  <c r="Y58" i="19"/>
  <c r="AK59" i="25"/>
  <c r="BB59" i="20" s="1"/>
  <c r="AL59" i="25"/>
  <c r="BC61" i="25"/>
  <c r="CA58" i="19"/>
  <c r="BH58" i="25"/>
  <c r="Y162" i="22"/>
  <c r="AL57" i="20"/>
  <c r="BM57" i="19" s="1"/>
  <c r="BG58" i="25" s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S58" i="25" l="1"/>
  <c r="T58" i="25"/>
  <c r="BY59" i="19"/>
  <c r="BF59" i="25"/>
  <c r="BI64" i="19"/>
  <c r="V64" i="19"/>
  <c r="AF65" i="25"/>
  <c r="O61" i="25"/>
  <c r="AI62" i="25" s="1"/>
  <c r="BX59" i="19"/>
  <c r="BD60" i="25" s="1"/>
  <c r="N62" i="25"/>
  <c r="AH63" i="25" s="1"/>
  <c r="BA63" i="20" s="1"/>
  <c r="W63" i="19"/>
  <c r="AG64" i="25"/>
  <c r="AZ64" i="20" s="1"/>
  <c r="BJ63" i="19"/>
  <c r="Y163" i="22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BW63" i="19" l="1"/>
  <c r="R59" i="25"/>
  <c r="AO59" i="25"/>
  <c r="AN59" i="25"/>
  <c r="BB63" i="25"/>
  <c r="BK58" i="19"/>
  <c r="BE59" i="25" s="1"/>
  <c r="AA58" i="19"/>
  <c r="AM59" i="25"/>
  <c r="BC59" i="20" s="1"/>
  <c r="BV64" i="19"/>
  <c r="AZ65" i="25" s="1"/>
  <c r="L65" i="25" s="1"/>
  <c r="BA64" i="25"/>
  <c r="P60" i="25"/>
  <c r="Y164" i="22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V65" i="19" l="1"/>
  <c r="BI65" i="19"/>
  <c r="CA59" i="19"/>
  <c r="BH59" i="25"/>
  <c r="AF66" i="25"/>
  <c r="BI59" i="25"/>
  <c r="X60" i="19"/>
  <c r="AJ61" i="25"/>
  <c r="M64" i="25"/>
  <c r="N63" i="25"/>
  <c r="AH64" i="25" s="1"/>
  <c r="BA64" i="20" s="1"/>
  <c r="Q59" i="25"/>
  <c r="Z59" i="19"/>
  <c r="Y165" i="22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BM58" i="19" s="1"/>
  <c r="BG59" i="25" s="1"/>
  <c r="AO99" i="20"/>
  <c r="AF99" i="20" s="1"/>
  <c r="M99" i="20"/>
  <c r="BX99" i="20" s="1"/>
  <c r="AM98" i="20"/>
  <c r="AD98" i="20" s="1"/>
  <c r="L99" i="20" s="1"/>
  <c r="BW99" i="20" s="1"/>
  <c r="S59" i="25" l="1"/>
  <c r="Y59" i="19"/>
  <c r="AK60" i="25"/>
  <c r="BB60" i="20" s="1"/>
  <c r="AL60" i="25"/>
  <c r="BW64" i="19"/>
  <c r="T59" i="25"/>
  <c r="W64" i="19"/>
  <c r="AG65" i="25"/>
  <c r="AZ65" i="20" s="1"/>
  <c r="BJ64" i="19"/>
  <c r="BC62" i="25"/>
  <c r="U59" i="25"/>
  <c r="Y166" i="22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N60" i="25" l="1"/>
  <c r="BH60" i="25" s="1"/>
  <c r="AO60" i="25"/>
  <c r="BV65" i="19"/>
  <c r="AZ66" i="25" s="1"/>
  <c r="BA65" i="25"/>
  <c r="BX60" i="19"/>
  <c r="BD61" i="25" s="1"/>
  <c r="O62" i="25"/>
  <c r="AI63" i="25" s="1"/>
  <c r="BK59" i="19"/>
  <c r="BE60" i="25" s="1"/>
  <c r="AA59" i="19"/>
  <c r="AM60" i="25"/>
  <c r="BC60" i="20" s="1"/>
  <c r="BI60" i="25"/>
  <c r="CA60" i="19"/>
  <c r="T60" i="25"/>
  <c r="BY60" i="19"/>
  <c r="BF60" i="25"/>
  <c r="R60" i="25" s="1"/>
  <c r="Z60" i="19" s="1"/>
  <c r="Y167" i="22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Q60" i="25" l="1"/>
  <c r="AL61" i="25" s="1"/>
  <c r="M65" i="25"/>
  <c r="BJ65" i="19" s="1"/>
  <c r="L66" i="25"/>
  <c r="BB64" i="25"/>
  <c r="P61" i="25"/>
  <c r="U60" i="25"/>
  <c r="AO61" i="25" s="1"/>
  <c r="Y168" i="22"/>
  <c r="S86" i="20"/>
  <c r="CD86" i="20" s="1"/>
  <c r="P87" i="20"/>
  <c r="CA87" i="20" s="1"/>
  <c r="R86" i="20"/>
  <c r="CC86" i="20" s="1"/>
  <c r="O97" i="20"/>
  <c r="BZ97" i="20" s="1"/>
  <c r="AL59" i="20"/>
  <c r="BM59" i="19" s="1"/>
  <c r="BG60" i="25" s="1"/>
  <c r="Q86" i="20"/>
  <c r="CB86" i="20" s="1"/>
  <c r="AM100" i="20"/>
  <c r="AD100" i="20" s="1"/>
  <c r="AO101" i="20"/>
  <c r="AF101" i="20" s="1"/>
  <c r="AN100" i="20"/>
  <c r="AE100" i="20" s="1"/>
  <c r="S60" i="25" l="1"/>
  <c r="V66" i="19"/>
  <c r="BI66" i="19"/>
  <c r="AF67" i="25"/>
  <c r="W65" i="19"/>
  <c r="AG66" i="25"/>
  <c r="AZ66" i="20" s="1"/>
  <c r="BI61" i="25"/>
  <c r="U61" i="25" s="1"/>
  <c r="N64" i="25"/>
  <c r="AH65" i="25" s="1"/>
  <c r="BA65" i="20" s="1"/>
  <c r="X61" i="19"/>
  <c r="AJ62" i="25"/>
  <c r="BY61" i="19"/>
  <c r="BF61" i="25"/>
  <c r="R61" i="25" s="1"/>
  <c r="Y60" i="19"/>
  <c r="AK61" i="25"/>
  <c r="BB61" i="20" s="1"/>
  <c r="Y169" i="22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Z61" i="19" l="1"/>
  <c r="BX61" i="19"/>
  <c r="BW65" i="19"/>
  <c r="BA66" i="25" s="1"/>
  <c r="BV66" i="19"/>
  <c r="AZ67" i="25" s="1"/>
  <c r="BK60" i="19"/>
  <c r="BE61" i="25" s="1"/>
  <c r="AA60" i="19"/>
  <c r="AN61" i="25"/>
  <c r="AM61" i="25"/>
  <c r="BC61" i="20" s="1"/>
  <c r="BC63" i="25"/>
  <c r="O63" i="25" s="1"/>
  <c r="AI64" i="25" s="1"/>
  <c r="BD62" i="25"/>
  <c r="Y170" i="22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P62" i="25" l="1"/>
  <c r="CA61" i="19"/>
  <c r="BH61" i="25"/>
  <c r="T61" i="25" s="1"/>
  <c r="BB65" i="25"/>
  <c r="M66" i="25"/>
  <c r="BJ66" i="19" s="1"/>
  <c r="L67" i="25"/>
  <c r="Q61" i="25"/>
  <c r="Y171" i="22"/>
  <c r="AQ88" i="20"/>
  <c r="AH88" i="20" s="1"/>
  <c r="AP98" i="20"/>
  <c r="AG98" i="20" s="1"/>
  <c r="AL60" i="20"/>
  <c r="BM60" i="19" s="1"/>
  <c r="BG61" i="25" s="1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S61" i="25" l="1"/>
  <c r="AN62" i="25" s="1"/>
  <c r="BH62" i="25" s="1"/>
  <c r="N65" i="25"/>
  <c r="AO62" i="25"/>
  <c r="BI67" i="19"/>
  <c r="V67" i="19"/>
  <c r="AF68" i="25"/>
  <c r="Y61" i="19"/>
  <c r="AK62" i="25"/>
  <c r="BB62" i="20" s="1"/>
  <c r="AL62" i="25"/>
  <c r="W66" i="19"/>
  <c r="AG67" i="25"/>
  <c r="AZ67" i="20" s="1"/>
  <c r="X62" i="19"/>
  <c r="AJ63" i="25"/>
  <c r="Y172" i="22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BX62" i="19" l="1"/>
  <c r="AH66" i="25"/>
  <c r="BA66" i="20" s="1"/>
  <c r="BV67" i="19"/>
  <c r="AZ68" i="25" s="1"/>
  <c r="BI62" i="25"/>
  <c r="U62" i="25" s="1"/>
  <c r="BY62" i="19"/>
  <c r="BF62" i="25"/>
  <c r="BD63" i="25"/>
  <c r="P63" i="25" s="1"/>
  <c r="BC64" i="25"/>
  <c r="CA62" i="19"/>
  <c r="T62" i="25"/>
  <c r="BK61" i="19"/>
  <c r="BE62" i="25" s="1"/>
  <c r="AA61" i="19"/>
  <c r="AM62" i="25"/>
  <c r="BC62" i="20" s="1"/>
  <c r="Y173" i="22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AO63" i="25" l="1"/>
  <c r="BI63" i="25" s="1"/>
  <c r="L68" i="25"/>
  <c r="X63" i="19"/>
  <c r="AJ64" i="25"/>
  <c r="O64" i="25"/>
  <c r="AI65" i="25" s="1"/>
  <c r="Q62" i="25"/>
  <c r="BW66" i="19"/>
  <c r="BA67" i="25" s="1"/>
  <c r="R62" i="25"/>
  <c r="Y174" i="22"/>
  <c r="P90" i="20"/>
  <c r="CA90" i="20" s="1"/>
  <c r="AL61" i="20"/>
  <c r="BM61" i="19" s="1"/>
  <c r="BG62" i="25" s="1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BC65" i="25" l="1"/>
  <c r="O65" i="25" s="1"/>
  <c r="AI66" i="25" s="1"/>
  <c r="BB66" i="25"/>
  <c r="N66" i="25" s="1"/>
  <c r="AH67" i="25" s="1"/>
  <c r="BA67" i="20" s="1"/>
  <c r="S62" i="25"/>
  <c r="AM63" i="25" s="1"/>
  <c r="BC63" i="20" s="1"/>
  <c r="Y62" i="19"/>
  <c r="AK63" i="25"/>
  <c r="BB63" i="20" s="1"/>
  <c r="M67" i="25"/>
  <c r="BJ67" i="19" s="1"/>
  <c r="V68" i="19"/>
  <c r="BI68" i="19"/>
  <c r="AF69" i="25"/>
  <c r="Z62" i="19"/>
  <c r="AL63" i="25"/>
  <c r="U63" i="25"/>
  <c r="Y175" i="22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BB67" i="25" l="1"/>
  <c r="N67" i="25" s="1"/>
  <c r="AH68" i="25" s="1"/>
  <c r="BX63" i="19"/>
  <c r="BD64" i="25" s="1"/>
  <c r="W67" i="19"/>
  <c r="AG68" i="25"/>
  <c r="AZ68" i="20" s="1"/>
  <c r="BY63" i="19"/>
  <c r="BF63" i="25"/>
  <c r="BW67" i="19"/>
  <c r="AA62" i="19"/>
  <c r="BK62" i="19"/>
  <c r="BE63" i="25" s="1"/>
  <c r="AN63" i="25"/>
  <c r="Y176" i="22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BW68" i="19" l="1"/>
  <c r="BA68" i="20"/>
  <c r="BV68" i="19"/>
  <c r="AZ69" i="25" s="1"/>
  <c r="BA68" i="25"/>
  <c r="Q63" i="25"/>
  <c r="CA63" i="19"/>
  <c r="BH63" i="25"/>
  <c r="T63" i="25" s="1"/>
  <c r="P64" i="25"/>
  <c r="R63" i="25"/>
  <c r="Y177" i="22"/>
  <c r="AQ91" i="20"/>
  <c r="AH91" i="20" s="1"/>
  <c r="O102" i="20"/>
  <c r="BZ102" i="20" s="1"/>
  <c r="AT90" i="20"/>
  <c r="AK90" i="20" s="1"/>
  <c r="AL62" i="20"/>
  <c r="BM62" i="19" s="1"/>
  <c r="BG63" i="25" s="1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AO64" i="25" l="1"/>
  <c r="Z63" i="19"/>
  <c r="AL64" i="25"/>
  <c r="Y63" i="19"/>
  <c r="AK64" i="25"/>
  <c r="BB64" i="20" s="1"/>
  <c r="X64" i="19"/>
  <c r="AJ65" i="25"/>
  <c r="M68" i="25"/>
  <c r="BJ68" i="19" s="1"/>
  <c r="S63" i="25"/>
  <c r="AN64" i="25" s="1"/>
  <c r="BH64" i="25" s="1"/>
  <c r="L69" i="25"/>
  <c r="Y178" i="22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V69" i="19" l="1"/>
  <c r="BI69" i="19"/>
  <c r="AF70" i="25"/>
  <c r="BC66" i="25"/>
  <c r="BY64" i="19"/>
  <c r="BF64" i="25"/>
  <c r="BX64" i="19"/>
  <c r="BD65" i="25" s="1"/>
  <c r="CA64" i="19"/>
  <c r="T64" i="25"/>
  <c r="AA63" i="19"/>
  <c r="BK63" i="19"/>
  <c r="BE64" i="25" s="1"/>
  <c r="AM64" i="25"/>
  <c r="BC64" i="20" s="1"/>
  <c r="W68" i="19"/>
  <c r="AG69" i="25"/>
  <c r="AZ69" i="20" s="1"/>
  <c r="BI64" i="25"/>
  <c r="Y179" i="22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64" i="25" l="1"/>
  <c r="P65" i="25"/>
  <c r="U64" i="25"/>
  <c r="AO65" i="25" s="1"/>
  <c r="BI65" i="25" s="1"/>
  <c r="BV69" i="19"/>
  <c r="AZ70" i="25" s="1"/>
  <c r="L70" i="25" s="1"/>
  <c r="AF71" i="25" s="1"/>
  <c r="BA69" i="25"/>
  <c r="R64" i="25"/>
  <c r="O66" i="25"/>
  <c r="AI67" i="25" s="1"/>
  <c r="Y180" i="22"/>
  <c r="Q92" i="20"/>
  <c r="CB92" i="20" s="1"/>
  <c r="R92" i="20"/>
  <c r="CC92" i="20" s="1"/>
  <c r="S92" i="20"/>
  <c r="CD92" i="20" s="1"/>
  <c r="AL63" i="20"/>
  <c r="BM63" i="19" s="1"/>
  <c r="BG64" i="25" s="1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S64" i="25" l="1"/>
  <c r="AM65" i="25" s="1"/>
  <c r="BC65" i="20" s="1"/>
  <c r="Z64" i="19"/>
  <c r="AL65" i="25"/>
  <c r="X65" i="19"/>
  <c r="AJ66" i="25"/>
  <c r="U65" i="25"/>
  <c r="BI70" i="19"/>
  <c r="V70" i="19"/>
  <c r="BB68" i="25"/>
  <c r="M69" i="25"/>
  <c r="Y64" i="19"/>
  <c r="AK65" i="25"/>
  <c r="BB65" i="20" s="1"/>
  <c r="Y181" i="22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W69" i="19" l="1"/>
  <c r="AG70" i="25"/>
  <c r="AZ70" i="20" s="1"/>
  <c r="N68" i="25"/>
  <c r="AH69" i="25" s="1"/>
  <c r="BA69" i="20" s="1"/>
  <c r="BY65" i="19"/>
  <c r="BF65" i="25"/>
  <c r="BX65" i="19"/>
  <c r="BD66" i="25" s="1"/>
  <c r="BJ69" i="19"/>
  <c r="BC67" i="25"/>
  <c r="BK64" i="19"/>
  <c r="BE65" i="25" s="1"/>
  <c r="Q65" i="25" s="1"/>
  <c r="AA64" i="19"/>
  <c r="AN65" i="25"/>
  <c r="Y182" i="22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P66" i="25" l="1"/>
  <c r="AK66" i="25"/>
  <c r="BB66" i="20" s="1"/>
  <c r="Y65" i="19"/>
  <c r="R65" i="25"/>
  <c r="BW69" i="19"/>
  <c r="CA65" i="19"/>
  <c r="BH65" i="25"/>
  <c r="BV70" i="19"/>
  <c r="AZ71" i="25" s="1"/>
  <c r="BA70" i="25"/>
  <c r="O67" i="25"/>
  <c r="AI68" i="25" s="1"/>
  <c r="AP105" i="20"/>
  <c r="AG105" i="20" s="1"/>
  <c r="AQ94" i="20"/>
  <c r="AH94" i="20" s="1"/>
  <c r="AS93" i="20"/>
  <c r="AJ93" i="20" s="1"/>
  <c r="AL64" i="20"/>
  <c r="BM64" i="19" s="1"/>
  <c r="BG65" i="25" s="1"/>
  <c r="S65" i="25" s="1"/>
  <c r="AT93" i="20"/>
  <c r="AK93" i="20" s="1"/>
  <c r="AR93" i="20"/>
  <c r="AI93" i="20" s="1"/>
  <c r="M109" i="20"/>
  <c r="BX109" i="20" s="1"/>
  <c r="L109" i="20"/>
  <c r="BW109" i="20" s="1"/>
  <c r="N110" i="20"/>
  <c r="BY110" i="20" s="1"/>
  <c r="L71" i="25" l="1"/>
  <c r="T65" i="25"/>
  <c r="BX66" i="19"/>
  <c r="AA65" i="19"/>
  <c r="BK65" i="19"/>
  <c r="BE66" i="25" s="1"/>
  <c r="AM66" i="25"/>
  <c r="BC66" i="20" s="1"/>
  <c r="BB69" i="25"/>
  <c r="N69" i="25" s="1"/>
  <c r="AH70" i="25" s="1"/>
  <c r="BA70" i="20" s="1"/>
  <c r="M70" i="25"/>
  <c r="Z65" i="19"/>
  <c r="AL66" i="25"/>
  <c r="X66" i="19"/>
  <c r="AJ67" i="25"/>
  <c r="BC68" i="25" s="1"/>
  <c r="S94" i="20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O68" i="25" l="1"/>
  <c r="AI69" i="25" s="1"/>
  <c r="BB70" i="25" s="1"/>
  <c r="N70" i="25" s="1"/>
  <c r="AH71" i="25" s="1"/>
  <c r="BA71" i="20" s="1"/>
  <c r="BW70" i="19"/>
  <c r="AO66" i="25"/>
  <c r="AN66" i="25"/>
  <c r="BY66" i="19"/>
  <c r="BF66" i="25"/>
  <c r="BD67" i="25"/>
  <c r="W70" i="19"/>
  <c r="AG71" i="25"/>
  <c r="AZ71" i="20" s="1"/>
  <c r="BJ70" i="19"/>
  <c r="Q66" i="25"/>
  <c r="V71" i="19"/>
  <c r="BI71" i="19"/>
  <c r="AF72" i="25"/>
  <c r="AQ95" i="20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BW71" i="19" l="1"/>
  <c r="Y66" i="19"/>
  <c r="AK67" i="25"/>
  <c r="BB67" i="20" s="1"/>
  <c r="P67" i="25"/>
  <c r="CA66" i="19"/>
  <c r="BH66" i="25"/>
  <c r="BI66" i="25"/>
  <c r="BV71" i="19"/>
  <c r="AZ72" i="25" s="1"/>
  <c r="BA71" i="25"/>
  <c r="R66" i="25"/>
  <c r="Q95" i="20"/>
  <c r="CB95" i="20" s="1"/>
  <c r="O107" i="20"/>
  <c r="BZ107" i="20" s="1"/>
  <c r="S95" i="20"/>
  <c r="CD95" i="20" s="1"/>
  <c r="R95" i="20"/>
  <c r="CC95" i="20" s="1"/>
  <c r="P96" i="20"/>
  <c r="CA96" i="20" s="1"/>
  <c r="AL65" i="20"/>
  <c r="BM65" i="19" s="1"/>
  <c r="BG66" i="25" s="1"/>
  <c r="AM110" i="20"/>
  <c r="AD110" i="20" s="1"/>
  <c r="L111" i="20" s="1"/>
  <c r="BW111" i="20" s="1"/>
  <c r="AO111" i="20"/>
  <c r="AF111" i="20" s="1"/>
  <c r="M111" i="20"/>
  <c r="BX111" i="20" s="1"/>
  <c r="L72" i="25" l="1"/>
  <c r="S66" i="25"/>
  <c r="Z66" i="19"/>
  <c r="AL67" i="25"/>
  <c r="M71" i="25"/>
  <c r="BJ71" i="19" s="1"/>
  <c r="U66" i="25"/>
  <c r="X67" i="19"/>
  <c r="AJ68" i="25"/>
  <c r="T66" i="25"/>
  <c r="BX67" i="19"/>
  <c r="AQ96" i="20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AO67" i="25" l="1"/>
  <c r="BI67" i="25" s="1"/>
  <c r="U67" i="25" s="1"/>
  <c r="AA66" i="19"/>
  <c r="BK66" i="19"/>
  <c r="BE67" i="25" s="1"/>
  <c r="Q67" i="25" s="1"/>
  <c r="AM67" i="25"/>
  <c r="BC67" i="20" s="1"/>
  <c r="AN67" i="25"/>
  <c r="W71" i="19"/>
  <c r="AG72" i="25"/>
  <c r="AZ72" i="20" s="1"/>
  <c r="BY67" i="19"/>
  <c r="BF67" i="25"/>
  <c r="R67" i="25" s="1"/>
  <c r="BC69" i="25"/>
  <c r="BD68" i="25"/>
  <c r="P68" i="25" s="1"/>
  <c r="AF73" i="25"/>
  <c r="V72" i="19"/>
  <c r="BI72" i="19"/>
  <c r="K66" i="20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X68" i="19" l="1"/>
  <c r="AJ69" i="25"/>
  <c r="Z67" i="19"/>
  <c r="AL68" i="25"/>
  <c r="Y67" i="19"/>
  <c r="AK68" i="25"/>
  <c r="BB68" i="20" s="1"/>
  <c r="O69" i="25"/>
  <c r="AI70" i="25" s="1"/>
  <c r="BB71" i="25" s="1"/>
  <c r="BV72" i="19"/>
  <c r="AZ73" i="25" s="1"/>
  <c r="BA72" i="25"/>
  <c r="CA67" i="19"/>
  <c r="BH67" i="25"/>
  <c r="AL66" i="20"/>
  <c r="BM66" i="19" s="1"/>
  <c r="BG67" i="25" s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C70" i="25" l="1"/>
  <c r="O70" i="25" s="1"/>
  <c r="AI71" i="25" s="1"/>
  <c r="S67" i="25"/>
  <c r="M72" i="25"/>
  <c r="BJ72" i="19" s="1"/>
  <c r="N71" i="25"/>
  <c r="AH72" i="25" s="1"/>
  <c r="BA72" i="20" s="1"/>
  <c r="T67" i="25"/>
  <c r="BY68" i="19"/>
  <c r="BF68" i="25"/>
  <c r="BX68" i="19"/>
  <c r="BD69" i="25" s="1"/>
  <c r="L73" i="25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BW72" i="19" l="1"/>
  <c r="BI73" i="19"/>
  <c r="V73" i="19"/>
  <c r="AF74" i="25"/>
  <c r="P69" i="25"/>
  <c r="R68" i="25"/>
  <c r="AN68" i="25"/>
  <c r="AO68" i="25"/>
  <c r="AA67" i="19"/>
  <c r="BK67" i="19"/>
  <c r="BE68" i="25" s="1"/>
  <c r="Q68" i="25" s="1"/>
  <c r="AM68" i="25"/>
  <c r="BC68" i="20" s="1"/>
  <c r="BB72" i="25"/>
  <c r="W72" i="19"/>
  <c r="AG73" i="25"/>
  <c r="AZ73" i="20" s="1"/>
  <c r="AD6" i="19"/>
  <c r="D6" i="19" s="1"/>
  <c r="N6" i="22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BV73" i="19" l="1"/>
  <c r="AZ74" i="25" s="1"/>
  <c r="BA73" i="25"/>
  <c r="X69" i="19"/>
  <c r="AJ70" i="25"/>
  <c r="Z68" i="19"/>
  <c r="AL69" i="25"/>
  <c r="N72" i="25"/>
  <c r="AH73" i="25" s="1"/>
  <c r="BA73" i="20" s="1"/>
  <c r="Y68" i="19"/>
  <c r="AK69" i="25"/>
  <c r="BB69" i="20" s="1"/>
  <c r="CA68" i="19"/>
  <c r="BH68" i="25"/>
  <c r="BI68" i="25"/>
  <c r="U68" i="25" s="1"/>
  <c r="AP110" i="20"/>
  <c r="AG110" i="20" s="1"/>
  <c r="S98" i="20"/>
  <c r="CD98" i="20" s="1"/>
  <c r="Q98" i="20"/>
  <c r="CB98" i="20" s="1"/>
  <c r="R98" i="20"/>
  <c r="CC98" i="20" s="1"/>
  <c r="AL67" i="20"/>
  <c r="BM67" i="19" s="1"/>
  <c r="BG68" i="25" s="1"/>
  <c r="P99" i="20"/>
  <c r="CA99" i="20" s="1"/>
  <c r="N115" i="20"/>
  <c r="BY115" i="20" s="1"/>
  <c r="AN114" i="20"/>
  <c r="AE114" i="20" s="1"/>
  <c r="L114" i="20"/>
  <c r="BW114" i="20" s="1"/>
  <c r="S68" i="25" l="1"/>
  <c r="BW73" i="19"/>
  <c r="L74" i="25"/>
  <c r="T68" i="25"/>
  <c r="BY69" i="19"/>
  <c r="BF69" i="25"/>
  <c r="M73" i="25"/>
  <c r="BX69" i="19"/>
  <c r="BD70" i="25" s="1"/>
  <c r="BC71" i="25"/>
  <c r="E7" i="19"/>
  <c r="O7" i="22" s="1"/>
  <c r="AF7" i="19"/>
  <c r="F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AN69" i="25" l="1"/>
  <c r="BH69" i="25" s="1"/>
  <c r="W73" i="19"/>
  <c r="AG74" i="25"/>
  <c r="AZ74" i="20" s="1"/>
  <c r="O71" i="25"/>
  <c r="AI72" i="25" s="1"/>
  <c r="V74" i="19"/>
  <c r="BI74" i="19"/>
  <c r="AF75" i="25"/>
  <c r="BK68" i="19"/>
  <c r="BE69" i="25" s="1"/>
  <c r="Q69" i="25" s="1"/>
  <c r="AA68" i="19"/>
  <c r="AM69" i="25"/>
  <c r="BC69" i="20" s="1"/>
  <c r="P70" i="25"/>
  <c r="BJ73" i="19"/>
  <c r="R69" i="25"/>
  <c r="AO69" i="25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T69" i="25" l="1"/>
  <c r="CA69" i="19"/>
  <c r="BB73" i="25"/>
  <c r="Y69" i="19"/>
  <c r="AK70" i="25"/>
  <c r="BB70" i="20" s="1"/>
  <c r="Z69" i="19"/>
  <c r="AL70" i="25"/>
  <c r="BV74" i="19"/>
  <c r="AZ75" i="25" s="1"/>
  <c r="L75" i="25" s="1"/>
  <c r="BA74" i="25"/>
  <c r="M74" i="25" s="1"/>
  <c r="X70" i="19"/>
  <c r="AJ71" i="25"/>
  <c r="BC72" i="25" s="1"/>
  <c r="BI69" i="25"/>
  <c r="U69" i="25" s="1"/>
  <c r="AO70" i="25" s="1"/>
  <c r="AG8" i="19"/>
  <c r="G8" i="19" s="1"/>
  <c r="AT10" i="25"/>
  <c r="AH8" i="19"/>
  <c r="H8" i="19" s="1"/>
  <c r="R8" i="22" s="1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BM68" i="19" s="1"/>
  <c r="BG69" i="25" s="1"/>
  <c r="M116" i="20"/>
  <c r="BX116" i="20" s="1"/>
  <c r="AO116" i="20"/>
  <c r="AF116" i="20" s="1"/>
  <c r="N117" i="20" s="1"/>
  <c r="BY117" i="20" s="1"/>
  <c r="L116" i="20"/>
  <c r="BW116" i="20" s="1"/>
  <c r="S69" i="25" l="1"/>
  <c r="BJ74" i="19"/>
  <c r="W74" i="19"/>
  <c r="AG75" i="25"/>
  <c r="AZ75" i="20" s="1"/>
  <c r="V75" i="19"/>
  <c r="BI75" i="19"/>
  <c r="AF76" i="25"/>
  <c r="N73" i="25"/>
  <c r="AH74" i="25" s="1"/>
  <c r="BA74" i="20" s="1"/>
  <c r="BI70" i="25"/>
  <c r="O72" i="25"/>
  <c r="AI73" i="25" s="1"/>
  <c r="BY70" i="19"/>
  <c r="BF70" i="25"/>
  <c r="BX70" i="19"/>
  <c r="BD71" i="25" s="1"/>
  <c r="F10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R70" i="25" l="1"/>
  <c r="BW74" i="19"/>
  <c r="BA75" i="25" s="1"/>
  <c r="U70" i="25"/>
  <c r="AA69" i="19"/>
  <c r="BK69" i="19"/>
  <c r="BE70" i="25" s="1"/>
  <c r="AN70" i="25"/>
  <c r="AM70" i="25"/>
  <c r="BC70" i="20" s="1"/>
  <c r="BB74" i="25"/>
  <c r="P71" i="25"/>
  <c r="BV75" i="19"/>
  <c r="AZ76" i="25" s="1"/>
  <c r="L76" i="25" s="1"/>
  <c r="S10" i="19"/>
  <c r="BF10" i="19"/>
  <c r="AY11" i="25" s="1"/>
  <c r="Z11" i="25"/>
  <c r="AV11" i="20" s="1"/>
  <c r="AA11" i="25"/>
  <c r="AJ9" i="19"/>
  <c r="J9" i="19" s="1"/>
  <c r="AI9" i="19"/>
  <c r="I9" i="19" s="1"/>
  <c r="S9" i="22" s="1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BS11" i="19" l="1"/>
  <c r="AW11" i="20"/>
  <c r="Q70" i="25"/>
  <c r="AL71" i="25" s="1"/>
  <c r="V76" i="19"/>
  <c r="BI76" i="19"/>
  <c r="CA70" i="19"/>
  <c r="BH70" i="25"/>
  <c r="AF77" i="25"/>
  <c r="Z70" i="19"/>
  <c r="M75" i="25"/>
  <c r="BJ75" i="19" s="1"/>
  <c r="X71" i="19"/>
  <c r="AJ72" i="25"/>
  <c r="N74" i="25"/>
  <c r="AH75" i="25" s="1"/>
  <c r="BA75" i="20" s="1"/>
  <c r="K11" i="25"/>
  <c r="AE12" i="25" s="1"/>
  <c r="AY12" i="20" s="1"/>
  <c r="AU11" i="25"/>
  <c r="AS12" i="25"/>
  <c r="E12" i="25" s="1"/>
  <c r="BE12" i="19" s="1"/>
  <c r="R101" i="20"/>
  <c r="CC101" i="20" s="1"/>
  <c r="AL69" i="20"/>
  <c r="BM69" i="19" s="1"/>
  <c r="BG70" i="25" s="1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S70" i="25" l="1"/>
  <c r="BW75" i="19"/>
  <c r="BY71" i="19"/>
  <c r="BF71" i="25"/>
  <c r="R71" i="25" s="1"/>
  <c r="BC73" i="25"/>
  <c r="T70" i="25"/>
  <c r="Y70" i="19"/>
  <c r="AK71" i="25"/>
  <c r="BB71" i="20" s="1"/>
  <c r="W75" i="19"/>
  <c r="AG76" i="25"/>
  <c r="AZ76" i="20" s="1"/>
  <c r="Y13" i="25"/>
  <c r="BQ13" i="19" s="1"/>
  <c r="AR14" i="25" s="1"/>
  <c r="R12" i="19"/>
  <c r="G11" i="25"/>
  <c r="AK10" i="19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Z71" i="19" l="1"/>
  <c r="BX71" i="19"/>
  <c r="BD72" i="25" s="1"/>
  <c r="P72" i="25" s="1"/>
  <c r="O73" i="25"/>
  <c r="AI74" i="25" s="1"/>
  <c r="BB75" i="25" s="1"/>
  <c r="AA70" i="19"/>
  <c r="BK70" i="19"/>
  <c r="BE71" i="25" s="1"/>
  <c r="Q71" i="25" s="1"/>
  <c r="Y71" i="19" s="1"/>
  <c r="AM71" i="25"/>
  <c r="BC71" i="20" s="1"/>
  <c r="BV76" i="19"/>
  <c r="AZ77" i="25" s="1"/>
  <c r="BA76" i="25"/>
  <c r="AO71" i="25"/>
  <c r="AN71" i="25"/>
  <c r="D14" i="25"/>
  <c r="AB12" i="25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CA71" i="19" l="1"/>
  <c r="BH71" i="25"/>
  <c r="BI71" i="25"/>
  <c r="X72" i="19"/>
  <c r="AJ73" i="25"/>
  <c r="N75" i="25"/>
  <c r="AH76" i="25" s="1"/>
  <c r="BA76" i="20" s="1"/>
  <c r="AL72" i="25"/>
  <c r="L77" i="25"/>
  <c r="M76" i="25"/>
  <c r="AK72" i="25"/>
  <c r="BB72" i="20" s="1"/>
  <c r="Q14" i="19"/>
  <c r="X15" i="25"/>
  <c r="AU15" i="20" s="1"/>
  <c r="AV12" i="25"/>
  <c r="AL11" i="19"/>
  <c r="AL70" i="20"/>
  <c r="BM70" i="19" s="1"/>
  <c r="BG71" i="25" s="1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V77" i="19" l="1"/>
  <c r="BI77" i="19"/>
  <c r="AF78" i="25"/>
  <c r="BW76" i="19"/>
  <c r="BX72" i="19"/>
  <c r="BD73" i="25" s="1"/>
  <c r="P73" i="25" s="1"/>
  <c r="BC74" i="25"/>
  <c r="O74" i="25" s="1"/>
  <c r="AI75" i="25" s="1"/>
  <c r="BB76" i="25" s="1"/>
  <c r="N76" i="25" s="1"/>
  <c r="AH77" i="25" s="1"/>
  <c r="BA77" i="20" s="1"/>
  <c r="U71" i="25"/>
  <c r="T71" i="25"/>
  <c r="W76" i="19"/>
  <c r="AG77" i="25"/>
  <c r="AZ77" i="20" s="1"/>
  <c r="S71" i="25"/>
  <c r="BJ76" i="19"/>
  <c r="BY72" i="19"/>
  <c r="BF72" i="25"/>
  <c r="AQ16" i="25"/>
  <c r="H12" i="25"/>
  <c r="L11" i="19"/>
  <c r="T11" i="22" s="1"/>
  <c r="V12" i="22"/>
  <c r="BU12" i="19" s="1"/>
  <c r="AX13" i="25" s="1"/>
  <c r="J13" i="25" s="1"/>
  <c r="U13" i="19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O72" i="25" l="1"/>
  <c r="BI72" i="25" s="1"/>
  <c r="AN72" i="25"/>
  <c r="BH72" i="25" s="1"/>
  <c r="BW77" i="19"/>
  <c r="X73" i="19"/>
  <c r="AJ74" i="25"/>
  <c r="R72" i="25"/>
  <c r="BK71" i="19"/>
  <c r="BE72" i="25" s="1"/>
  <c r="Q72" i="25" s="1"/>
  <c r="AA71" i="19"/>
  <c r="AM72" i="25"/>
  <c r="BC72" i="20" s="1"/>
  <c r="BA77" i="25"/>
  <c r="M77" i="25" s="1"/>
  <c r="W77" i="19" s="1"/>
  <c r="BV77" i="19"/>
  <c r="AZ78" i="25" s="1"/>
  <c r="L78" i="25" s="1"/>
  <c r="C16" i="25"/>
  <c r="AC13" i="25"/>
  <c r="M12" i="19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CA72" i="19" l="1"/>
  <c r="U72" i="25"/>
  <c r="V78" i="19"/>
  <c r="BI78" i="19"/>
  <c r="AF79" i="25"/>
  <c r="BJ77" i="19"/>
  <c r="Y72" i="19"/>
  <c r="AK73" i="25"/>
  <c r="BB73" i="20" s="1"/>
  <c r="Z72" i="19"/>
  <c r="AL73" i="25"/>
  <c r="BC75" i="25"/>
  <c r="T72" i="25"/>
  <c r="AG78" i="25"/>
  <c r="W17" i="25"/>
  <c r="BC16" i="19"/>
  <c r="P16" i="19"/>
  <c r="AW13" i="25"/>
  <c r="AN13" i="19"/>
  <c r="AP117" i="20"/>
  <c r="AG117" i="20" s="1"/>
  <c r="AL71" i="20"/>
  <c r="BM71" i="19" s="1"/>
  <c r="BG72" i="25" s="1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BA78" i="25" l="1"/>
  <c r="M78" i="25" s="1"/>
  <c r="W78" i="19" s="1"/>
  <c r="AZ78" i="20"/>
  <c r="AO73" i="25"/>
  <c r="S72" i="25"/>
  <c r="AN73" i="25" s="1"/>
  <c r="BI73" i="25"/>
  <c r="U73" i="25" s="1"/>
  <c r="BX73" i="19"/>
  <c r="BD74" i="25" s="1"/>
  <c r="O75" i="25"/>
  <c r="AI76" i="25" s="1"/>
  <c r="BY73" i="19"/>
  <c r="BF73" i="25"/>
  <c r="BV78" i="19"/>
  <c r="AZ79" i="25" s="1"/>
  <c r="BO17" i="19"/>
  <c r="AP18" i="25" s="1"/>
  <c r="I13" i="25"/>
  <c r="N13" i="19"/>
  <c r="U13" i="22" s="1"/>
  <c r="X14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AG79" i="25" l="1"/>
  <c r="AZ79" i="20" s="1"/>
  <c r="BJ78" i="19"/>
  <c r="L79" i="25"/>
  <c r="P74" i="25"/>
  <c r="CA73" i="19"/>
  <c r="BH73" i="25"/>
  <c r="T73" i="25" s="1"/>
  <c r="AO74" i="25" s="1"/>
  <c r="BV79" i="19"/>
  <c r="R73" i="25"/>
  <c r="BB77" i="25"/>
  <c r="BK72" i="19"/>
  <c r="BE73" i="25" s="1"/>
  <c r="Q73" i="25" s="1"/>
  <c r="AA72" i="19"/>
  <c r="AM73" i="25"/>
  <c r="BC73" i="20" s="1"/>
  <c r="B18" i="25"/>
  <c r="T13" i="19"/>
  <c r="BG13" i="19"/>
  <c r="AD14" i="25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BT14" i="19" l="1"/>
  <c r="AX14" i="20"/>
  <c r="BI74" i="25"/>
  <c r="Z73" i="19"/>
  <c r="AL74" i="25"/>
  <c r="Y73" i="19"/>
  <c r="AK74" i="25"/>
  <c r="BB74" i="20" s="1"/>
  <c r="V79" i="19"/>
  <c r="BI79" i="19"/>
  <c r="AF80" i="25"/>
  <c r="N77" i="25"/>
  <c r="AH78" i="25" s="1"/>
  <c r="BA78" i="20" s="1"/>
  <c r="X74" i="19"/>
  <c r="AJ75" i="25"/>
  <c r="O18" i="19"/>
  <c r="V19" i="25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BM72" i="19" s="1"/>
  <c r="BG73" i="25" s="1"/>
  <c r="L122" i="20"/>
  <c r="BW122" i="20" s="1"/>
  <c r="N123" i="20"/>
  <c r="BY123" i="20" s="1"/>
  <c r="AN122" i="20"/>
  <c r="AE122" i="20" s="1"/>
  <c r="U74" i="25" l="1"/>
  <c r="BY74" i="19"/>
  <c r="BF74" i="25"/>
  <c r="BW78" i="19"/>
  <c r="BA79" i="25" s="1"/>
  <c r="S73" i="25"/>
  <c r="BX74" i="19"/>
  <c r="BC76" i="25"/>
  <c r="O76" i="25" s="1"/>
  <c r="AI77" i="25" s="1"/>
  <c r="BB78" i="25" s="1"/>
  <c r="BD75" i="25"/>
  <c r="AZ80" i="25"/>
  <c r="L80" i="25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N78" i="25" l="1"/>
  <c r="AH79" i="25" s="1"/>
  <c r="BA79" i="20" s="1"/>
  <c r="BI80" i="19"/>
  <c r="V80" i="19"/>
  <c r="AN74" i="25"/>
  <c r="BK73" i="19"/>
  <c r="BE74" i="25" s="1"/>
  <c r="Q74" i="25" s="1"/>
  <c r="AA73" i="19"/>
  <c r="AM74" i="25"/>
  <c r="BC74" i="20" s="1"/>
  <c r="M79" i="25"/>
  <c r="P75" i="25"/>
  <c r="AF81" i="25"/>
  <c r="R7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CA74" i="19" l="1"/>
  <c r="BH74" i="25"/>
  <c r="X75" i="19"/>
  <c r="AJ76" i="25"/>
  <c r="Y74" i="19"/>
  <c r="AK75" i="25"/>
  <c r="BB75" i="20" s="1"/>
  <c r="Z74" i="19"/>
  <c r="AL75" i="25"/>
  <c r="BJ79" i="19"/>
  <c r="W79" i="19"/>
  <c r="AG80" i="25"/>
  <c r="AZ80" i="20" s="1"/>
  <c r="BW79" i="19"/>
  <c r="R107" i="20"/>
  <c r="CC107" i="20" s="1"/>
  <c r="Q107" i="20"/>
  <c r="CB107" i="20" s="1"/>
  <c r="AL73" i="20"/>
  <c r="BM73" i="19" s="1"/>
  <c r="BG74" i="25" s="1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S74" i="25" l="1"/>
  <c r="BY75" i="19"/>
  <c r="BF75" i="25"/>
  <c r="BC77" i="25"/>
  <c r="BV80" i="19"/>
  <c r="AZ81" i="25" s="1"/>
  <c r="L81" i="25" s="1"/>
  <c r="BA80" i="25"/>
  <c r="M80" i="25" s="1"/>
  <c r="BX75" i="19"/>
  <c r="BD76" i="25" s="1"/>
  <c r="T74" i="25"/>
  <c r="AO7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W80" i="19" l="1"/>
  <c r="AG81" i="25"/>
  <c r="AZ81" i="20" s="1"/>
  <c r="V81" i="19"/>
  <c r="BI81" i="19"/>
  <c r="AF82" i="25"/>
  <c r="P76" i="25"/>
  <c r="AN75" i="25"/>
  <c r="BK74" i="19"/>
  <c r="BE75" i="25" s="1"/>
  <c r="Q75" i="25" s="1"/>
  <c r="AA74" i="19"/>
  <c r="AM75" i="25"/>
  <c r="BC75" i="20" s="1"/>
  <c r="BI75" i="25"/>
  <c r="U75" i="25" s="1"/>
  <c r="BJ80" i="19"/>
  <c r="O77" i="25"/>
  <c r="AI78" i="25" s="1"/>
  <c r="R75" i="25"/>
  <c r="P109" i="20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CA75" i="19" l="1"/>
  <c r="BH75" i="25"/>
  <c r="Z75" i="19"/>
  <c r="AL76" i="25"/>
  <c r="X76" i="19"/>
  <c r="AJ77" i="25"/>
  <c r="BB79" i="25"/>
  <c r="BV81" i="19"/>
  <c r="AZ82" i="25" s="1"/>
  <c r="L82" i="25" s="1"/>
  <c r="Y75" i="19"/>
  <c r="AK76" i="25"/>
  <c r="BB76" i="20" s="1"/>
  <c r="AL74" i="20"/>
  <c r="BM74" i="19" s="1"/>
  <c r="BG75" i="25" s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S75" i="25" l="1"/>
  <c r="BI82" i="19"/>
  <c r="V82" i="19"/>
  <c r="T75" i="25"/>
  <c r="BY76" i="19"/>
  <c r="BF76" i="25"/>
  <c r="R76" i="25" s="1"/>
  <c r="Z76" i="19" s="1"/>
  <c r="BX76" i="19"/>
  <c r="BD77" i="25" s="1"/>
  <c r="BC78" i="25"/>
  <c r="AF83" i="25"/>
  <c r="N79" i="25"/>
  <c r="AH80" i="25" s="1"/>
  <c r="BA80" i="20" s="1"/>
  <c r="R109" i="20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P77" i="25" l="1"/>
  <c r="AO76" i="25"/>
  <c r="AN76" i="25"/>
  <c r="BW80" i="19"/>
  <c r="BA81" i="25" s="1"/>
  <c r="O78" i="25"/>
  <c r="AI79" i="25" s="1"/>
  <c r="BB80" i="25" s="1"/>
  <c r="AA75" i="19"/>
  <c r="BK75" i="19"/>
  <c r="BE76" i="25" s="1"/>
  <c r="Q76" i="25" s="1"/>
  <c r="AM76" i="25"/>
  <c r="BC76" i="20" s="1"/>
  <c r="AS109" i="20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Y76" i="19" l="1"/>
  <c r="AK77" i="25"/>
  <c r="BB77" i="20" s="1"/>
  <c r="AL77" i="25"/>
  <c r="N80" i="25"/>
  <c r="AH81" i="25" s="1"/>
  <c r="BA81" i="20" s="1"/>
  <c r="CA76" i="19"/>
  <c r="BH76" i="25"/>
  <c r="X77" i="19"/>
  <c r="AJ78" i="25"/>
  <c r="M81" i="25"/>
  <c r="BI76" i="25"/>
  <c r="AP123" i="20"/>
  <c r="AG123" i="20" s="1"/>
  <c r="Q110" i="20"/>
  <c r="CB110" i="20" s="1"/>
  <c r="S110" i="20"/>
  <c r="CD110" i="20" s="1"/>
  <c r="P111" i="20"/>
  <c r="CA111" i="20" s="1"/>
  <c r="R110" i="20"/>
  <c r="CC110" i="20" s="1"/>
  <c r="AL75" i="20"/>
  <c r="BM75" i="19" s="1"/>
  <c r="BG76" i="25" s="1"/>
  <c r="AM126" i="20"/>
  <c r="AD126" i="20" s="1"/>
  <c r="AO127" i="20"/>
  <c r="AF127" i="20" s="1"/>
  <c r="M127" i="20"/>
  <c r="BX127" i="20" s="1"/>
  <c r="S76" i="25" l="1"/>
  <c r="BJ81" i="19"/>
  <c r="W81" i="19"/>
  <c r="AG82" i="25"/>
  <c r="AZ82" i="20" s="1"/>
  <c r="BY77" i="19"/>
  <c r="BF77" i="25"/>
  <c r="U76" i="25"/>
  <c r="BX77" i="19"/>
  <c r="BD78" i="25" s="1"/>
  <c r="BW81" i="19"/>
  <c r="BC79" i="25"/>
  <c r="T76" i="25"/>
  <c r="AQ111" i="20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AN77" i="25" l="1"/>
  <c r="BH77" i="25" s="1"/>
  <c r="O79" i="25"/>
  <c r="AI80" i="25" s="1"/>
  <c r="P78" i="25"/>
  <c r="AA76" i="19"/>
  <c r="BK76" i="19"/>
  <c r="BE77" i="25" s="1"/>
  <c r="Q77" i="25" s="1"/>
  <c r="AM77" i="25"/>
  <c r="BC77" i="20" s="1"/>
  <c r="AO77" i="25"/>
  <c r="R77" i="25"/>
  <c r="BV82" i="19"/>
  <c r="AZ83" i="25" s="1"/>
  <c r="BA82" i="25"/>
  <c r="R111" i="20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CA77" i="19" l="1"/>
  <c r="Z77" i="19"/>
  <c r="AL78" i="25"/>
  <c r="X78" i="19"/>
  <c r="AJ79" i="25"/>
  <c r="BC80" i="25" s="1"/>
  <c r="Y77" i="19"/>
  <c r="AK78" i="25"/>
  <c r="BB78" i="20" s="1"/>
  <c r="BB81" i="25"/>
  <c r="L83" i="25"/>
  <c r="BI77" i="25"/>
  <c r="U77" i="25" s="1"/>
  <c r="T77" i="25"/>
  <c r="M82" i="25"/>
  <c r="BJ82" i="19" s="1"/>
  <c r="AL76" i="20"/>
  <c r="BM76" i="19" s="1"/>
  <c r="BG77" i="25" s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AO78" i="25" l="1"/>
  <c r="BI78" i="25" s="1"/>
  <c r="U78" i="25" s="1"/>
  <c r="S77" i="25"/>
  <c r="AN78" i="25" s="1"/>
  <c r="V83" i="19"/>
  <c r="BI83" i="19"/>
  <c r="AF84" i="25"/>
  <c r="BX78" i="19"/>
  <c r="BD79" i="25" s="1"/>
  <c r="W82" i="19"/>
  <c r="AG83" i="25"/>
  <c r="AZ83" i="20" s="1"/>
  <c r="N81" i="25"/>
  <c r="AH82" i="25" s="1"/>
  <c r="BA82" i="20" s="1"/>
  <c r="BY78" i="19"/>
  <c r="BF78" i="25"/>
  <c r="O80" i="25"/>
  <c r="AI81" i="25" s="1"/>
  <c r="P113" i="20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P79" i="25" l="1"/>
  <c r="R78" i="25"/>
  <c r="CA78" i="19"/>
  <c r="BH78" i="25"/>
  <c r="AA77" i="19"/>
  <c r="BK77" i="19"/>
  <c r="BE78" i="25" s="1"/>
  <c r="Q78" i="25" s="1"/>
  <c r="AM78" i="25"/>
  <c r="BC78" i="20" s="1"/>
  <c r="BV83" i="19"/>
  <c r="AZ84" i="25" s="1"/>
  <c r="L84" i="25" s="1"/>
  <c r="AF85" i="25" s="1"/>
  <c r="BW82" i="19"/>
  <c r="BA83" i="25" s="1"/>
  <c r="BB82" i="25"/>
  <c r="K77" i="20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T78" i="25" l="1"/>
  <c r="Z78" i="19"/>
  <c r="AL79" i="25"/>
  <c r="M83" i="25"/>
  <c r="BJ83" i="19" s="1"/>
  <c r="N82" i="25"/>
  <c r="AH83" i="25" s="1"/>
  <c r="BA83" i="20" s="1"/>
  <c r="Y78" i="19"/>
  <c r="AK79" i="25"/>
  <c r="BB79" i="20" s="1"/>
  <c r="X79" i="19"/>
  <c r="AJ80" i="25"/>
  <c r="BI84" i="19"/>
  <c r="V84" i="19"/>
  <c r="Q113" i="20"/>
  <c r="CB113" i="20" s="1"/>
  <c r="P114" i="20"/>
  <c r="CA114" i="20" s="1"/>
  <c r="AL77" i="20"/>
  <c r="BM77" i="19" s="1"/>
  <c r="BG78" i="25" s="1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BY79" i="19" l="1"/>
  <c r="BF79" i="25"/>
  <c r="BC81" i="25"/>
  <c r="BW83" i="19"/>
  <c r="BX79" i="19"/>
  <c r="BD80" i="25" s="1"/>
  <c r="W83" i="19"/>
  <c r="AG84" i="25"/>
  <c r="AZ84" i="20" s="1"/>
  <c r="AO79" i="25"/>
  <c r="S78" i="25"/>
  <c r="AN79" i="25" s="1"/>
  <c r="O127" i="20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P80" i="25" l="1"/>
  <c r="BA84" i="25"/>
  <c r="M84" i="25" s="1"/>
  <c r="BV84" i="19"/>
  <c r="AZ85" i="25" s="1"/>
  <c r="O81" i="25"/>
  <c r="AI82" i="25" s="1"/>
  <c r="BB83" i="25" s="1"/>
  <c r="AA78" i="19"/>
  <c r="BK78" i="19"/>
  <c r="BE79" i="25" s="1"/>
  <c r="AM79" i="25"/>
  <c r="BC79" i="20" s="1"/>
  <c r="CA79" i="19"/>
  <c r="BH79" i="25"/>
  <c r="BI79" i="25"/>
  <c r="R79" i="25"/>
  <c r="Z79" i="19" s="1"/>
  <c r="Q114" i="20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W84" i="19" l="1"/>
  <c r="AG85" i="25"/>
  <c r="AZ85" i="20" s="1"/>
  <c r="L85" i="25"/>
  <c r="N83" i="25"/>
  <c r="AH84" i="25" s="1"/>
  <c r="BA84" i="20" s="1"/>
  <c r="Q79" i="25"/>
  <c r="T79" i="25"/>
  <c r="BJ84" i="19"/>
  <c r="U79" i="25"/>
  <c r="X80" i="19"/>
  <c r="AJ81" i="25"/>
  <c r="AT114" i="20"/>
  <c r="AK114" i="20" s="1"/>
  <c r="AQ115" i="20"/>
  <c r="AH115" i="20" s="1"/>
  <c r="AS114" i="20"/>
  <c r="AJ114" i="20" s="1"/>
  <c r="AL78" i="20"/>
  <c r="BM78" i="19" s="1"/>
  <c r="BG79" i="25" s="1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O80" i="25" l="1"/>
  <c r="BI80" i="25" s="1"/>
  <c r="S79" i="25"/>
  <c r="AN80" i="25" s="1"/>
  <c r="BW84" i="19"/>
  <c r="BA85" i="25" s="1"/>
  <c r="M85" i="25" s="1"/>
  <c r="W85" i="19" s="1"/>
  <c r="AL80" i="25"/>
  <c r="Y79" i="19"/>
  <c r="AK80" i="25"/>
  <c r="BB80" i="20" s="1"/>
  <c r="BC82" i="25"/>
  <c r="BV85" i="19"/>
  <c r="AF86" i="25"/>
  <c r="BI85" i="19"/>
  <c r="V85" i="19"/>
  <c r="AC78" i="20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U80" i="25" l="1"/>
  <c r="O82" i="25"/>
  <c r="AI83" i="25" s="1"/>
  <c r="AA79" i="19"/>
  <c r="BK79" i="19"/>
  <c r="BE80" i="25" s="1"/>
  <c r="AM80" i="25"/>
  <c r="BC80" i="20" s="1"/>
  <c r="AG86" i="25"/>
  <c r="AZ86" i="20" s="1"/>
  <c r="BY80" i="19"/>
  <c r="BF80" i="25"/>
  <c r="CA80" i="19"/>
  <c r="BH80" i="25"/>
  <c r="BJ85" i="19"/>
  <c r="AZ86" i="25"/>
  <c r="BX80" i="19"/>
  <c r="BD81" i="25" s="1"/>
  <c r="AT115" i="20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P81" i="25" l="1"/>
  <c r="BV86" i="19"/>
  <c r="Q80" i="25"/>
  <c r="T80" i="25"/>
  <c r="L86" i="25"/>
  <c r="R80" i="25"/>
  <c r="BB84" i="25"/>
  <c r="N84" i="25" s="1"/>
  <c r="AH85" i="25" s="1"/>
  <c r="BA85" i="20" s="1"/>
  <c r="S116" i="20"/>
  <c r="CD116" i="20" s="1"/>
  <c r="AL79" i="20"/>
  <c r="BM79" i="19" s="1"/>
  <c r="BG80" i="25" s="1"/>
  <c r="S80" i="25" s="1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BK80" i="19" l="1"/>
  <c r="AA80" i="19"/>
  <c r="AM81" i="25"/>
  <c r="BC81" i="20" s="1"/>
  <c r="BW85" i="19"/>
  <c r="BA86" i="25" s="1"/>
  <c r="AO81" i="25"/>
  <c r="AN81" i="25"/>
  <c r="Y80" i="19"/>
  <c r="AK81" i="25"/>
  <c r="BB81" i="20" s="1"/>
  <c r="Z80" i="19"/>
  <c r="AL81" i="25"/>
  <c r="BI86" i="19"/>
  <c r="V86" i="19"/>
  <c r="AF87" i="25"/>
  <c r="X81" i="19"/>
  <c r="AJ82" i="25"/>
  <c r="O130" i="20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BY81" i="19" l="1"/>
  <c r="BF81" i="25"/>
  <c r="CA81" i="19"/>
  <c r="BH81" i="25"/>
  <c r="AZ87" i="25"/>
  <c r="L87" i="25" s="1"/>
  <c r="BI81" i="25"/>
  <c r="BC83" i="25"/>
  <c r="BX81" i="19"/>
  <c r="BD82" i="25" s="1"/>
  <c r="BE81" i="25"/>
  <c r="M86" i="25"/>
  <c r="S117" i="20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P82" i="25" l="1"/>
  <c r="U81" i="25"/>
  <c r="R81" i="25"/>
  <c r="O83" i="25"/>
  <c r="AI84" i="25" s="1"/>
  <c r="V87" i="19"/>
  <c r="BI87" i="19"/>
  <c r="BJ86" i="19"/>
  <c r="W86" i="19"/>
  <c r="AG87" i="25"/>
  <c r="AZ87" i="20" s="1"/>
  <c r="Q81" i="25"/>
  <c r="AF88" i="25"/>
  <c r="T81" i="25"/>
  <c r="O131" i="20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BM80" i="19" s="1"/>
  <c r="BG81" i="25" s="1"/>
  <c r="L134" i="20"/>
  <c r="BW134" i="20" s="1"/>
  <c r="N135" i="20"/>
  <c r="BY135" i="20" s="1"/>
  <c r="AN134" i="20"/>
  <c r="AE134" i="20" s="1"/>
  <c r="Y81" i="19" l="1"/>
  <c r="AK82" i="25"/>
  <c r="BB82" i="20" s="1"/>
  <c r="AO82" i="25"/>
  <c r="BV87" i="19"/>
  <c r="AZ88" i="25" s="1"/>
  <c r="L88" i="25" s="1"/>
  <c r="Z81" i="19"/>
  <c r="AL82" i="25"/>
  <c r="S81" i="25"/>
  <c r="AN82" i="25" s="1"/>
  <c r="BB85" i="25"/>
  <c r="N85" i="25" s="1"/>
  <c r="AH86" i="25" s="1"/>
  <c r="BA86" i="20" s="1"/>
  <c r="X82" i="19"/>
  <c r="AJ83" i="25"/>
  <c r="S118" i="20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V88" i="19" l="1"/>
  <c r="BI88" i="19"/>
  <c r="AF89" i="25"/>
  <c r="BW86" i="19"/>
  <c r="BA87" i="25" s="1"/>
  <c r="BI82" i="25"/>
  <c r="U82" i="25" s="1"/>
  <c r="CA82" i="19"/>
  <c r="BH82" i="25"/>
  <c r="BC84" i="25"/>
  <c r="AA81" i="19"/>
  <c r="BK81" i="19"/>
  <c r="BE82" i="25" s="1"/>
  <c r="AM82" i="25"/>
  <c r="BC82" i="20" s="1"/>
  <c r="BX82" i="19"/>
  <c r="BD83" i="25" s="1"/>
  <c r="BY82" i="19"/>
  <c r="BF82" i="25"/>
  <c r="AT118" i="20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P83" i="25" l="1"/>
  <c r="R82" i="25"/>
  <c r="M87" i="25"/>
  <c r="O84" i="25"/>
  <c r="AI85" i="25" s="1"/>
  <c r="Q82" i="25"/>
  <c r="T82" i="25"/>
  <c r="Q119" i="20"/>
  <c r="CB119" i="20" s="1"/>
  <c r="AP132" i="20"/>
  <c r="AG132" i="20" s="1"/>
  <c r="S119" i="20"/>
  <c r="CD119" i="20" s="1"/>
  <c r="AL81" i="20"/>
  <c r="BM81" i="19" s="1"/>
  <c r="BG82" i="25" s="1"/>
  <c r="P120" i="20"/>
  <c r="CA120" i="20" s="1"/>
  <c r="R119" i="20"/>
  <c r="CC119" i="20" s="1"/>
  <c r="AM135" i="20"/>
  <c r="AD135" i="20" s="1"/>
  <c r="M136" i="20"/>
  <c r="BX136" i="20" s="1"/>
  <c r="AO136" i="20"/>
  <c r="AF136" i="20" s="1"/>
  <c r="S82" i="25" l="1"/>
  <c r="AO83" i="25"/>
  <c r="BB86" i="25"/>
  <c r="Z82" i="19"/>
  <c r="AL83" i="25"/>
  <c r="Y82" i="19"/>
  <c r="AK83" i="25"/>
  <c r="BB83" i="20" s="1"/>
  <c r="BJ87" i="19"/>
  <c r="W87" i="19"/>
  <c r="AG88" i="25"/>
  <c r="AZ88" i="20" s="1"/>
  <c r="X83" i="19"/>
  <c r="AJ84" i="25"/>
  <c r="BC85" i="25" s="1"/>
  <c r="AR119" i="20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N86" i="25" l="1"/>
  <c r="AH87" i="25" s="1"/>
  <c r="AA82" i="19"/>
  <c r="BK82" i="19"/>
  <c r="BE83" i="25" s="1"/>
  <c r="AM83" i="25"/>
  <c r="BC83" i="20" s="1"/>
  <c r="BI83" i="25"/>
  <c r="U83" i="25" s="1"/>
  <c r="BX83" i="19"/>
  <c r="BD84" i="25" s="1"/>
  <c r="AN83" i="25"/>
  <c r="BV88" i="19"/>
  <c r="AZ89" i="25" s="1"/>
  <c r="L89" i="25" s="1"/>
  <c r="O85" i="25"/>
  <c r="AI86" i="25" s="1"/>
  <c r="BY83" i="19"/>
  <c r="BF83" i="25"/>
  <c r="S120" i="20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BW87" i="19" l="1"/>
  <c r="BA88" i="25" s="1"/>
  <c r="M88" i="25" s="1"/>
  <c r="W88" i="19" s="1"/>
  <c r="BA87" i="20"/>
  <c r="P84" i="25"/>
  <c r="CA83" i="19"/>
  <c r="BH83" i="25"/>
  <c r="R83" i="25"/>
  <c r="Z83" i="19" s="1"/>
  <c r="V89" i="19"/>
  <c r="BI89" i="19"/>
  <c r="AF90" i="25"/>
  <c r="Q83" i="25"/>
  <c r="BB87" i="25"/>
  <c r="AQ121" i="20"/>
  <c r="AH121" i="20" s="1"/>
  <c r="AS120" i="20"/>
  <c r="AJ120" i="20" s="1"/>
  <c r="O134" i="20"/>
  <c r="BZ134" i="20" s="1"/>
  <c r="AL82" i="20"/>
  <c r="BM82" i="19" s="1"/>
  <c r="BG83" i="25" s="1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BJ88" i="19" l="1"/>
  <c r="AG89" i="25"/>
  <c r="S83" i="25"/>
  <c r="T83" i="25"/>
  <c r="AL84" i="25"/>
  <c r="Y83" i="19"/>
  <c r="AK84" i="25"/>
  <c r="BB84" i="20" s="1"/>
  <c r="N87" i="25"/>
  <c r="AH88" i="25" s="1"/>
  <c r="BA88" i="20" s="1"/>
  <c r="X84" i="19"/>
  <c r="AJ85" i="25"/>
  <c r="AP134" i="20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BV89" i="19" l="1"/>
  <c r="AZ90" i="25" s="1"/>
  <c r="L90" i="25" s="1"/>
  <c r="BI90" i="19" s="1"/>
  <c r="AZ89" i="20"/>
  <c r="BW88" i="19"/>
  <c r="BA89" i="25" s="1"/>
  <c r="BC86" i="25"/>
  <c r="BX84" i="19"/>
  <c r="BD85" i="25" s="1"/>
  <c r="BY84" i="19"/>
  <c r="BF84" i="25"/>
  <c r="AN84" i="25"/>
  <c r="AO84" i="25"/>
  <c r="AM84" i="25"/>
  <c r="BC84" i="20" s="1"/>
  <c r="BK83" i="19"/>
  <c r="BE84" i="25" s="1"/>
  <c r="AA83" i="19"/>
  <c r="AR121" i="20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V90" i="19" l="1"/>
  <c r="AF91" i="25"/>
  <c r="P85" i="25"/>
  <c r="BI84" i="25"/>
  <c r="U84" i="25" s="1"/>
  <c r="Q84" i="25"/>
  <c r="O86" i="25"/>
  <c r="AI87" i="25" s="1"/>
  <c r="CA84" i="19"/>
  <c r="BH84" i="25"/>
  <c r="R84" i="25"/>
  <c r="Z84" i="19" s="1"/>
  <c r="M89" i="25"/>
  <c r="BJ89" i="19" s="1"/>
  <c r="AP135" i="20"/>
  <c r="AG135" i="20" s="1"/>
  <c r="R122" i="20"/>
  <c r="CC122" i="20" s="1"/>
  <c r="P123" i="20"/>
  <c r="CA123" i="20" s="1"/>
  <c r="Q122" i="20"/>
  <c r="CB122" i="20" s="1"/>
  <c r="S122" i="20"/>
  <c r="CD122" i="20" s="1"/>
  <c r="AL83" i="20"/>
  <c r="BM83" i="19" s="1"/>
  <c r="BG84" i="25" s="1"/>
  <c r="AO139" i="20"/>
  <c r="AF139" i="20" s="1"/>
  <c r="AM138" i="20"/>
  <c r="AD138" i="20" s="1"/>
  <c r="M139" i="20"/>
  <c r="BX139" i="20" s="1"/>
  <c r="S84" i="25" l="1"/>
  <c r="T84" i="25"/>
  <c r="AO85" i="25" s="1"/>
  <c r="AL85" i="25"/>
  <c r="Y84" i="19"/>
  <c r="AK85" i="25"/>
  <c r="BB85" i="20" s="1"/>
  <c r="W89" i="19"/>
  <c r="AG90" i="25"/>
  <c r="AZ90" i="20" s="1"/>
  <c r="BB88" i="25"/>
  <c r="X85" i="19"/>
  <c r="AJ86" i="25"/>
  <c r="AR122" i="20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N88" i="25" l="1"/>
  <c r="AH89" i="25" s="1"/>
  <c r="BA89" i="20" s="1"/>
  <c r="BX85" i="19"/>
  <c r="BI85" i="25"/>
  <c r="U85" i="25" s="1"/>
  <c r="BD86" i="25"/>
  <c r="P86" i="25" s="1"/>
  <c r="X86" i="19" s="1"/>
  <c r="BC87" i="25"/>
  <c r="O87" i="25" s="1"/>
  <c r="AI88" i="25" s="1"/>
  <c r="BV90" i="19"/>
  <c r="AZ91" i="25" s="1"/>
  <c r="L91" i="25" s="1"/>
  <c r="BY85" i="19"/>
  <c r="BF85" i="25"/>
  <c r="R85" i="25" s="1"/>
  <c r="Z85" i="19" s="1"/>
  <c r="AN85" i="25"/>
  <c r="AA84" i="19"/>
  <c r="BK84" i="19"/>
  <c r="BE85" i="25" s="1"/>
  <c r="AM85" i="25"/>
  <c r="BC85" i="20" s="1"/>
  <c r="R123" i="20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Q85" i="25" l="1"/>
  <c r="AL86" i="25" s="1"/>
  <c r="V91" i="19"/>
  <c r="BI91" i="19"/>
  <c r="AF92" i="25"/>
  <c r="CA85" i="19"/>
  <c r="BH85" i="25"/>
  <c r="BW89" i="19"/>
  <c r="BA90" i="25" s="1"/>
  <c r="AJ87" i="25"/>
  <c r="BB89" i="25"/>
  <c r="N89" i="25" s="1"/>
  <c r="AH90" i="25" s="1"/>
  <c r="AL84" i="20"/>
  <c r="BM84" i="19" s="1"/>
  <c r="BG85" i="25" s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BW90" i="19" l="1"/>
  <c r="BA90" i="20"/>
  <c r="S85" i="25"/>
  <c r="BY86" i="19"/>
  <c r="BF86" i="25"/>
  <c r="T85" i="25"/>
  <c r="M90" i="25"/>
  <c r="BJ90" i="19" s="1"/>
  <c r="BC88" i="25"/>
  <c r="Y85" i="19"/>
  <c r="AK86" i="25"/>
  <c r="BB86" i="20" s="1"/>
  <c r="AP137" i="20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O88" i="25" l="1"/>
  <c r="AI89" i="25" s="1"/>
  <c r="AO86" i="25"/>
  <c r="AN86" i="25"/>
  <c r="R86" i="25"/>
  <c r="BX86" i="19"/>
  <c r="BD87" i="25" s="1"/>
  <c r="W90" i="19"/>
  <c r="AG91" i="25"/>
  <c r="AZ91" i="20" s="1"/>
  <c r="AA85" i="19"/>
  <c r="BK85" i="19"/>
  <c r="BE86" i="25" s="1"/>
  <c r="AM86" i="25"/>
  <c r="BC86" i="20" s="1"/>
  <c r="AR124" i="20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Q86" i="25" l="1"/>
  <c r="AL87" i="25" s="1"/>
  <c r="BA91" i="25"/>
  <c r="M91" i="25" s="1"/>
  <c r="BV91" i="19"/>
  <c r="AZ92" i="25" s="1"/>
  <c r="P87" i="25"/>
  <c r="BI86" i="25"/>
  <c r="CA86" i="19"/>
  <c r="BH86" i="25"/>
  <c r="BB90" i="25"/>
  <c r="N90" i="25" s="1"/>
  <c r="AH91" i="25" s="1"/>
  <c r="BA91" i="20" s="1"/>
  <c r="Z86" i="19"/>
  <c r="P126" i="20"/>
  <c r="CA126" i="20" s="1"/>
  <c r="AL85" i="20"/>
  <c r="BM85" i="19" s="1"/>
  <c r="BG86" i="25" s="1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S86" i="25" l="1"/>
  <c r="BW91" i="19"/>
  <c r="AG92" i="25"/>
  <c r="AZ92" i="20" s="1"/>
  <c r="W91" i="19"/>
  <c r="L92" i="25"/>
  <c r="U86" i="25"/>
  <c r="BY87" i="19"/>
  <c r="BF87" i="25"/>
  <c r="T86" i="25"/>
  <c r="AN87" i="25" s="1"/>
  <c r="X87" i="19"/>
  <c r="AJ88" i="25"/>
  <c r="BJ91" i="19"/>
  <c r="Y86" i="19"/>
  <c r="AK87" i="25"/>
  <c r="BB87" i="20" s="1"/>
  <c r="O139" i="20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BX87" i="19" l="1"/>
  <c r="BD88" i="25" s="1"/>
  <c r="BI92" i="19"/>
  <c r="V92" i="19"/>
  <c r="AF93" i="25"/>
  <c r="CA87" i="19"/>
  <c r="BH87" i="25"/>
  <c r="R87" i="25"/>
  <c r="AO87" i="25"/>
  <c r="BC89" i="25"/>
  <c r="BA92" i="25"/>
  <c r="BV92" i="19"/>
  <c r="AA86" i="19"/>
  <c r="BK86" i="19"/>
  <c r="BE87" i="25" s="1"/>
  <c r="AM87" i="25"/>
  <c r="BC87" i="20" s="1"/>
  <c r="P127" i="20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Q87" i="25" l="1"/>
  <c r="AL88" i="25" s="1"/>
  <c r="BI87" i="25"/>
  <c r="U87" i="25" s="1"/>
  <c r="P88" i="25"/>
  <c r="O89" i="25"/>
  <c r="AI90" i="25" s="1"/>
  <c r="BB91" i="25" s="1"/>
  <c r="Z87" i="19"/>
  <c r="AZ93" i="25"/>
  <c r="M92" i="25"/>
  <c r="BJ92" i="19" s="1"/>
  <c r="T87" i="25"/>
  <c r="O140" i="20"/>
  <c r="BZ140" i="20" s="1"/>
  <c r="AL86" i="20"/>
  <c r="BM86" i="19" s="1"/>
  <c r="BG87" i="25" s="1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AO88" i="25" l="1"/>
  <c r="BI88" i="25" s="1"/>
  <c r="U88" i="25" s="1"/>
  <c r="N91" i="25"/>
  <c r="AH92" i="25" s="1"/>
  <c r="L93" i="25"/>
  <c r="X88" i="19"/>
  <c r="AJ89" i="25"/>
  <c r="BC90" i="25" s="1"/>
  <c r="O90" i="25" s="1"/>
  <c r="AI91" i="25" s="1"/>
  <c r="W92" i="19"/>
  <c r="AG93" i="25"/>
  <c r="AZ93" i="20" s="1"/>
  <c r="BY88" i="19"/>
  <c r="BF88" i="25"/>
  <c r="R88" i="25" s="1"/>
  <c r="Z88" i="19" s="1"/>
  <c r="S87" i="25"/>
  <c r="Y87" i="19"/>
  <c r="AK88" i="25"/>
  <c r="BB88" i="20" s="1"/>
  <c r="S127" i="20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BW92" i="19" l="1"/>
  <c r="BA93" i="25" s="1"/>
  <c r="BA92" i="20"/>
  <c r="BK87" i="19"/>
  <c r="BE88" i="25" s="1"/>
  <c r="AA87" i="19"/>
  <c r="AM88" i="25"/>
  <c r="BC88" i="20" s="1"/>
  <c r="AF94" i="25"/>
  <c r="BI93" i="19"/>
  <c r="V93" i="19"/>
  <c r="BV93" i="19"/>
  <c r="AN88" i="25"/>
  <c r="BX88" i="19"/>
  <c r="BD89" i="25" s="1"/>
  <c r="BB92" i="25"/>
  <c r="K87" i="20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89" i="25" l="1"/>
  <c r="CA88" i="19"/>
  <c r="BH88" i="25"/>
  <c r="M93" i="25"/>
  <c r="BJ93" i="19" s="1"/>
  <c r="N92" i="25"/>
  <c r="AH93" i="25" s="1"/>
  <c r="AZ94" i="25"/>
  <c r="L94" i="25" s="1"/>
  <c r="Q88" i="25"/>
  <c r="P129" i="20"/>
  <c r="CA129" i="20" s="1"/>
  <c r="R128" i="20"/>
  <c r="CC128" i="20" s="1"/>
  <c r="Q128" i="20"/>
  <c r="CB128" i="20" s="1"/>
  <c r="AP141" i="20"/>
  <c r="AG141" i="20" s="1"/>
  <c r="AL87" i="20"/>
  <c r="BM87" i="19" s="1"/>
  <c r="BG88" i="25" s="1"/>
  <c r="S128" i="20"/>
  <c r="CD128" i="20" s="1"/>
  <c r="M145" i="20"/>
  <c r="BX145" i="20" s="1"/>
  <c r="AO145" i="20"/>
  <c r="AF145" i="20" s="1"/>
  <c r="AM144" i="20"/>
  <c r="AD144" i="20" s="1"/>
  <c r="BW93" i="19" l="1"/>
  <c r="BA93" i="20"/>
  <c r="AF95" i="25"/>
  <c r="BI94" i="19"/>
  <c r="V94" i="19"/>
  <c r="S88" i="25"/>
  <c r="W93" i="19"/>
  <c r="AG94" i="25"/>
  <c r="AZ94" i="20" s="1"/>
  <c r="Y88" i="19"/>
  <c r="AK89" i="25"/>
  <c r="BB89" i="20" s="1"/>
  <c r="AL89" i="25"/>
  <c r="T88" i="25"/>
  <c r="X89" i="19"/>
  <c r="AJ90" i="25"/>
  <c r="O142" i="20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AO89" i="25" l="1"/>
  <c r="AN89" i="25"/>
  <c r="BV94" i="19"/>
  <c r="AZ95" i="25" s="1"/>
  <c r="BA94" i="25"/>
  <c r="AA88" i="19"/>
  <c r="BK88" i="19"/>
  <c r="BE89" i="25" s="1"/>
  <c r="AM89" i="25"/>
  <c r="BC89" i="20" s="1"/>
  <c r="BC91" i="25"/>
  <c r="BY89" i="19"/>
  <c r="BF89" i="25"/>
  <c r="BX89" i="19"/>
  <c r="BD90" i="25" s="1"/>
  <c r="Q129" i="20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Q89" i="25" l="1"/>
  <c r="P90" i="25"/>
  <c r="R89" i="25"/>
  <c r="L95" i="25"/>
  <c r="O91" i="25"/>
  <c r="AI92" i="25" s="1"/>
  <c r="BB93" i="25" s="1"/>
  <c r="CA89" i="19"/>
  <c r="BH89" i="25"/>
  <c r="T89" i="25" s="1"/>
  <c r="M94" i="25"/>
  <c r="BI89" i="25"/>
  <c r="AQ130" i="20"/>
  <c r="AH130" i="20" s="1"/>
  <c r="O143" i="20"/>
  <c r="BZ143" i="20" s="1"/>
  <c r="AR129" i="20"/>
  <c r="AI129" i="20" s="1"/>
  <c r="AL88" i="20"/>
  <c r="BM88" i="19" s="1"/>
  <c r="BG89" i="25" s="1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S89" i="25" l="1"/>
  <c r="W94" i="19"/>
  <c r="AG95" i="25"/>
  <c r="AZ95" i="20" s="1"/>
  <c r="U89" i="25"/>
  <c r="AO90" i="25" s="1"/>
  <c r="BI90" i="25" s="1"/>
  <c r="BI95" i="19"/>
  <c r="V95" i="19"/>
  <c r="AF96" i="25"/>
  <c r="X90" i="19"/>
  <c r="AJ91" i="25"/>
  <c r="BC92" i="25" s="1"/>
  <c r="BJ94" i="19"/>
  <c r="N93" i="25"/>
  <c r="AH94" i="25" s="1"/>
  <c r="BA94" i="20" s="1"/>
  <c r="Z89" i="19"/>
  <c r="AL90" i="25"/>
  <c r="Y89" i="19"/>
  <c r="AK90" i="25"/>
  <c r="BB90" i="20" s="1"/>
  <c r="AP143" i="20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BX90" i="19" l="1"/>
  <c r="BD91" i="25" s="1"/>
  <c r="BV95" i="19"/>
  <c r="BW94" i="19"/>
  <c r="BA95" i="25" s="1"/>
  <c r="BY90" i="19"/>
  <c r="BF90" i="25"/>
  <c r="O92" i="25"/>
  <c r="AI93" i="25" s="1"/>
  <c r="BB94" i="25" s="1"/>
  <c r="U90" i="25"/>
  <c r="AZ96" i="25"/>
  <c r="L96" i="25" s="1"/>
  <c r="BK89" i="19"/>
  <c r="BE90" i="25" s="1"/>
  <c r="AA89" i="19"/>
  <c r="AN90" i="25"/>
  <c r="AM90" i="25"/>
  <c r="BC90" i="20" s="1"/>
  <c r="K89" i="20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Q90" i="25" l="1"/>
  <c r="AF97" i="25"/>
  <c r="V96" i="19"/>
  <c r="BI96" i="19"/>
  <c r="P91" i="25"/>
  <c r="M95" i="25"/>
  <c r="CA90" i="19"/>
  <c r="BH90" i="25"/>
  <c r="T90" i="25" s="1"/>
  <c r="R90" i="25"/>
  <c r="N94" i="25"/>
  <c r="AH95" i="25" s="1"/>
  <c r="AP144" i="20"/>
  <c r="AG144" i="20" s="1"/>
  <c r="R131" i="20"/>
  <c r="CC131" i="20" s="1"/>
  <c r="Q131" i="20"/>
  <c r="CB131" i="20" s="1"/>
  <c r="AL89" i="20"/>
  <c r="BM89" i="19" s="1"/>
  <c r="BG90" i="25" s="1"/>
  <c r="S131" i="20"/>
  <c r="CD131" i="20" s="1"/>
  <c r="P132" i="20"/>
  <c r="CA132" i="20" s="1"/>
  <c r="AO148" i="20"/>
  <c r="AF148" i="20" s="1"/>
  <c r="M148" i="20"/>
  <c r="BX148" i="20" s="1"/>
  <c r="AM147" i="20"/>
  <c r="AD147" i="20" s="1"/>
  <c r="BW95" i="19" l="1"/>
  <c r="BA95" i="20"/>
  <c r="AO91" i="25"/>
  <c r="S90" i="25"/>
  <c r="BJ95" i="19"/>
  <c r="W95" i="19"/>
  <c r="AG96" i="25"/>
  <c r="AZ96" i="20" s="1"/>
  <c r="Z90" i="19"/>
  <c r="AL91" i="25"/>
  <c r="X91" i="19"/>
  <c r="AJ92" i="25"/>
  <c r="Y90" i="19"/>
  <c r="AK91" i="25"/>
  <c r="BB91" i="20" s="1"/>
  <c r="AS131" i="20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BC93" i="25" l="1"/>
  <c r="BK90" i="19"/>
  <c r="AA90" i="19"/>
  <c r="AM91" i="25"/>
  <c r="BC91" i="20" s="1"/>
  <c r="AN91" i="25"/>
  <c r="BV96" i="19"/>
  <c r="AZ97" i="25" s="1"/>
  <c r="L97" i="25" s="1"/>
  <c r="BA96" i="25"/>
  <c r="BX91" i="19"/>
  <c r="BD92" i="25" s="1"/>
  <c r="BE91" i="25"/>
  <c r="BY91" i="19"/>
  <c r="BF91" i="25"/>
  <c r="R91" i="25" s="1"/>
  <c r="BI91" i="25"/>
  <c r="U91" i="25" s="1"/>
  <c r="K90" i="20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P92" i="25" l="1"/>
  <c r="Z91" i="19"/>
  <c r="BI97" i="19"/>
  <c r="V97" i="19"/>
  <c r="AF98" i="25"/>
  <c r="CA91" i="19"/>
  <c r="BH91" i="25"/>
  <c r="Q91" i="25"/>
  <c r="M96" i="25"/>
  <c r="O93" i="25"/>
  <c r="AI94" i="25" s="1"/>
  <c r="AR132" i="20"/>
  <c r="AI132" i="20" s="1"/>
  <c r="AQ133" i="20"/>
  <c r="AH133" i="20" s="1"/>
  <c r="AT132" i="20"/>
  <c r="AK132" i="20" s="1"/>
  <c r="AL90" i="20"/>
  <c r="BM90" i="19" s="1"/>
  <c r="BG91" i="25" s="1"/>
  <c r="AS132" i="20"/>
  <c r="AJ132" i="20" s="1"/>
  <c r="O146" i="20"/>
  <c r="BZ146" i="20" s="1"/>
  <c r="N150" i="20"/>
  <c r="BY150" i="20" s="1"/>
  <c r="AN149" i="20"/>
  <c r="AE149" i="20" s="1"/>
  <c r="L149" i="20"/>
  <c r="BW149" i="20" s="1"/>
  <c r="S91" i="25" l="1"/>
  <c r="BB95" i="25"/>
  <c r="T91" i="25"/>
  <c r="BJ96" i="19"/>
  <c r="W96" i="19"/>
  <c r="AG97" i="25"/>
  <c r="AZ97" i="20" s="1"/>
  <c r="Y91" i="19"/>
  <c r="AK92" i="25"/>
  <c r="BB92" i="20" s="1"/>
  <c r="AL92" i="25"/>
  <c r="X92" i="19"/>
  <c r="AJ93" i="25"/>
  <c r="AP146" i="20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BC94" i="25" l="1"/>
  <c r="O94" i="25" s="1"/>
  <c r="AI95" i="25" s="1"/>
  <c r="BV97" i="19"/>
  <c r="AZ98" i="25" s="1"/>
  <c r="BY92" i="19"/>
  <c r="BF92" i="25"/>
  <c r="R92" i="25" s="1"/>
  <c r="Z92" i="19" s="1"/>
  <c r="N95" i="25"/>
  <c r="AH96" i="25" s="1"/>
  <c r="BA96" i="20" s="1"/>
  <c r="AO92" i="25"/>
  <c r="AN92" i="25"/>
  <c r="BX92" i="19"/>
  <c r="BD93" i="25" s="1"/>
  <c r="BK91" i="19"/>
  <c r="BE92" i="25" s="1"/>
  <c r="AA91" i="19"/>
  <c r="AM92" i="25"/>
  <c r="BC92" i="20" s="1"/>
  <c r="AQ134" i="20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BB96" i="25" l="1"/>
  <c r="N96" i="25" s="1"/>
  <c r="AH97" i="25" s="1"/>
  <c r="P93" i="25"/>
  <c r="Q92" i="25"/>
  <c r="L98" i="25"/>
  <c r="BW96" i="19"/>
  <c r="BA97" i="25" s="1"/>
  <c r="CA92" i="19"/>
  <c r="BH92" i="25"/>
  <c r="BI92" i="25"/>
  <c r="AL93" i="25"/>
  <c r="BF93" i="25" s="1"/>
  <c r="AP147" i="20"/>
  <c r="AG147" i="20" s="1"/>
  <c r="S134" i="20"/>
  <c r="CD134" i="20" s="1"/>
  <c r="P135" i="20"/>
  <c r="CA135" i="20" s="1"/>
  <c r="R134" i="20"/>
  <c r="CC134" i="20" s="1"/>
  <c r="Q134" i="20"/>
  <c r="CB134" i="20" s="1"/>
  <c r="AL91" i="20"/>
  <c r="BM91" i="19" s="1"/>
  <c r="BG92" i="25" s="1"/>
  <c r="AM150" i="20"/>
  <c r="AD150" i="20" s="1"/>
  <c r="AO151" i="20"/>
  <c r="AF151" i="20" s="1"/>
  <c r="M151" i="20"/>
  <c r="BX151" i="20" s="1"/>
  <c r="BW97" i="19" l="1"/>
  <c r="BA97" i="20"/>
  <c r="BY93" i="19"/>
  <c r="R93" i="25"/>
  <c r="Z93" i="19" s="1"/>
  <c r="M97" i="25"/>
  <c r="BJ97" i="19" s="1"/>
  <c r="Y92" i="19"/>
  <c r="AK93" i="25"/>
  <c r="BB93" i="20" s="1"/>
  <c r="S92" i="25"/>
  <c r="U92" i="25"/>
  <c r="T92" i="25"/>
  <c r="V98" i="19"/>
  <c r="BI98" i="19"/>
  <c r="AF99" i="25"/>
  <c r="X93" i="19"/>
  <c r="AJ94" i="25"/>
  <c r="AT134" i="20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O93" i="25" l="1"/>
  <c r="AN93" i="25"/>
  <c r="BK92" i="19"/>
  <c r="BE93" i="25" s="1"/>
  <c r="Q93" i="25" s="1"/>
  <c r="Y93" i="19" s="1"/>
  <c r="AA92" i="19"/>
  <c r="AM93" i="25"/>
  <c r="BC93" i="20" s="1"/>
  <c r="W97" i="19"/>
  <c r="AG98" i="25"/>
  <c r="AZ98" i="20" s="1"/>
  <c r="BC95" i="25"/>
  <c r="BX93" i="19"/>
  <c r="BD94" i="25" s="1"/>
  <c r="AP148" i="20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P94" i="25" l="1"/>
  <c r="AK94" i="25"/>
  <c r="BB94" i="20" s="1"/>
  <c r="CA93" i="19"/>
  <c r="BH93" i="25"/>
  <c r="T93" i="25" s="1"/>
  <c r="BV98" i="19"/>
  <c r="AZ99" i="25" s="1"/>
  <c r="L99" i="25" s="1"/>
  <c r="BA98" i="25"/>
  <c r="AL94" i="25"/>
  <c r="O95" i="25"/>
  <c r="AI96" i="25" s="1"/>
  <c r="BI93" i="25"/>
  <c r="AS135" i="20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BM92" i="19" s="1"/>
  <c r="BG93" i="25" s="1"/>
  <c r="L152" i="20"/>
  <c r="BW152" i="20" s="1"/>
  <c r="N153" i="20"/>
  <c r="BY153" i="20" s="1"/>
  <c r="AN152" i="20"/>
  <c r="AE152" i="20" s="1"/>
  <c r="S93" i="25" l="1"/>
  <c r="AF100" i="25"/>
  <c r="V99" i="19"/>
  <c r="BI99" i="19"/>
  <c r="BX94" i="19"/>
  <c r="BY94" i="19"/>
  <c r="BF94" i="25"/>
  <c r="R94" i="25" s="1"/>
  <c r="Z94" i="19" s="1"/>
  <c r="X94" i="19"/>
  <c r="AJ95" i="25"/>
  <c r="BC96" i="25" s="1"/>
  <c r="BB97" i="25"/>
  <c r="U93" i="25"/>
  <c r="AO94" i="25" s="1"/>
  <c r="BI94" i="25" s="1"/>
  <c r="U94" i="25" s="1"/>
  <c r="M98" i="25"/>
  <c r="BJ98" i="19" s="1"/>
  <c r="AP149" i="20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O96" i="25" l="1"/>
  <c r="AI97" i="25" s="1"/>
  <c r="BD95" i="25"/>
  <c r="P95" i="25" s="1"/>
  <c r="BK93" i="19"/>
  <c r="BE94" i="25" s="1"/>
  <c r="Q94" i="25" s="1"/>
  <c r="AA93" i="19"/>
  <c r="AM94" i="25"/>
  <c r="BC94" i="20" s="1"/>
  <c r="N97" i="25"/>
  <c r="AH98" i="25" s="1"/>
  <c r="W98" i="19"/>
  <c r="AG99" i="25"/>
  <c r="AZ99" i="20" s="1"/>
  <c r="AN94" i="25"/>
  <c r="AT136" i="20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BB98" i="25" l="1"/>
  <c r="N98" i="25" s="1"/>
  <c r="AH99" i="25" s="1"/>
  <c r="BA99" i="20" s="1"/>
  <c r="BA98" i="20"/>
  <c r="X95" i="19"/>
  <c r="AJ96" i="25"/>
  <c r="BC97" i="25" s="1"/>
  <c r="BW98" i="19"/>
  <c r="BA99" i="25" s="1"/>
  <c r="M99" i="25" s="1"/>
  <c r="Y94" i="19"/>
  <c r="AK95" i="25"/>
  <c r="BB95" i="20" s="1"/>
  <c r="AL95" i="25"/>
  <c r="CA94" i="19"/>
  <c r="BH94" i="25"/>
  <c r="BV99" i="19"/>
  <c r="AZ100" i="25" s="1"/>
  <c r="L100" i="25" s="1"/>
  <c r="AL93" i="20"/>
  <c r="BM93" i="19" s="1"/>
  <c r="BG94" i="25" s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W99" i="19" l="1"/>
  <c r="AG100" i="25"/>
  <c r="AZ100" i="20" s="1"/>
  <c r="S94" i="25"/>
  <c r="T94" i="25"/>
  <c r="BY95" i="19"/>
  <c r="BF95" i="25"/>
  <c r="BX95" i="19"/>
  <c r="BD96" i="25" s="1"/>
  <c r="BJ99" i="19"/>
  <c r="V100" i="19"/>
  <c r="BI100" i="19"/>
  <c r="AF101" i="25"/>
  <c r="O97" i="25"/>
  <c r="AI98" i="25" s="1"/>
  <c r="BB99" i="25" s="1"/>
  <c r="BW99" i="19"/>
  <c r="AS137" i="20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BA100" i="25" l="1"/>
  <c r="M100" i="25" s="1"/>
  <c r="W100" i="19" s="1"/>
  <c r="AA94" i="19"/>
  <c r="BK94" i="19"/>
  <c r="BE95" i="25" s="1"/>
  <c r="AM95" i="25"/>
  <c r="BC95" i="20" s="1"/>
  <c r="N99" i="25"/>
  <c r="AH100" i="25" s="1"/>
  <c r="BA100" i="20" s="1"/>
  <c r="BV100" i="19"/>
  <c r="AZ101" i="25" s="1"/>
  <c r="P96" i="25"/>
  <c r="R95" i="25"/>
  <c r="AO95" i="25"/>
  <c r="AN95" i="25"/>
  <c r="S138" i="20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G101" i="25" l="1"/>
  <c r="AZ101" i="20" s="1"/>
  <c r="Q95" i="25"/>
  <c r="AL96" i="25" s="1"/>
  <c r="BI95" i="25"/>
  <c r="Z95" i="19"/>
  <c r="BW100" i="19"/>
  <c r="L101" i="25"/>
  <c r="CA95" i="19"/>
  <c r="BH95" i="25"/>
  <c r="T95" i="25" s="1"/>
  <c r="X96" i="19"/>
  <c r="AJ97" i="25"/>
  <c r="BJ100" i="19"/>
  <c r="AL94" i="20"/>
  <c r="BM94" i="19" s="1"/>
  <c r="BG95" i="25" s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BV101" i="19" l="1"/>
  <c r="BA101" i="25"/>
  <c r="M101" i="25" s="1"/>
  <c r="Y95" i="19"/>
  <c r="AK96" i="25"/>
  <c r="BB96" i="20" s="1"/>
  <c r="S95" i="25"/>
  <c r="AN96" i="25" s="1"/>
  <c r="V101" i="19"/>
  <c r="BI101" i="19"/>
  <c r="AF102" i="25"/>
  <c r="BY96" i="19"/>
  <c r="BF96" i="25"/>
  <c r="BC98" i="25"/>
  <c r="U95" i="25"/>
  <c r="AO96" i="25" s="1"/>
  <c r="S139" i="20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CA96" i="19" l="1"/>
  <c r="BH96" i="25"/>
  <c r="O98" i="25"/>
  <c r="AI99" i="25" s="1"/>
  <c r="BX96" i="19"/>
  <c r="BD97" i="25" s="1"/>
  <c r="W101" i="19"/>
  <c r="AG102" i="25"/>
  <c r="AZ102" i="20" s="1"/>
  <c r="R96" i="25"/>
  <c r="AZ102" i="25"/>
  <c r="L102" i="25" s="1"/>
  <c r="BK95" i="19"/>
  <c r="BE96" i="25" s="1"/>
  <c r="Q96" i="25" s="1"/>
  <c r="AA95" i="19"/>
  <c r="AM96" i="25"/>
  <c r="BC96" i="20" s="1"/>
  <c r="BI96" i="25"/>
  <c r="U96" i="25" s="1"/>
  <c r="BJ101" i="19"/>
  <c r="AT139" i="20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Y96" i="19" l="1"/>
  <c r="AK97" i="25"/>
  <c r="BB97" i="20" s="1"/>
  <c r="V102" i="19"/>
  <c r="BI102" i="19"/>
  <c r="AF103" i="25"/>
  <c r="Z96" i="19"/>
  <c r="AL97" i="25"/>
  <c r="P97" i="25"/>
  <c r="BV102" i="19"/>
  <c r="AZ103" i="25" s="1"/>
  <c r="BB100" i="25"/>
  <c r="T96" i="25"/>
  <c r="AP153" i="20"/>
  <c r="AG153" i="20" s="1"/>
  <c r="R140" i="20"/>
  <c r="CC140" i="20" s="1"/>
  <c r="AL95" i="20"/>
  <c r="BM95" i="19" s="1"/>
  <c r="BG96" i="25" s="1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S96" i="25" l="1"/>
  <c r="AN97" i="25" s="1"/>
  <c r="X97" i="19"/>
  <c r="AJ98" i="25"/>
  <c r="AO97" i="25"/>
  <c r="BY97" i="19"/>
  <c r="BF97" i="25"/>
  <c r="BX97" i="19"/>
  <c r="N100" i="25"/>
  <c r="AH101" i="25" s="1"/>
  <c r="L103" i="25"/>
  <c r="AF104" i="25" s="1"/>
  <c r="AT140" i="20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BW101" i="19" l="1"/>
  <c r="BA102" i="25" s="1"/>
  <c r="M102" i="25" s="1"/>
  <c r="BJ102" i="19" s="1"/>
  <c r="BA101" i="20"/>
  <c r="R97" i="25"/>
  <c r="CA97" i="19"/>
  <c r="BH97" i="25"/>
  <c r="V103" i="19"/>
  <c r="BI103" i="19"/>
  <c r="BC99" i="25"/>
  <c r="BD98" i="25"/>
  <c r="BI97" i="25"/>
  <c r="BK96" i="19"/>
  <c r="BE97" i="25" s="1"/>
  <c r="Q97" i="25" s="1"/>
  <c r="AA96" i="19"/>
  <c r="AM97" i="25"/>
  <c r="BC97" i="20" s="1"/>
  <c r="Q141" i="20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99" i="25" l="1"/>
  <c r="AI100" i="25" s="1"/>
  <c r="BB101" i="25" s="1"/>
  <c r="U97" i="25"/>
  <c r="Z97" i="19"/>
  <c r="AL98" i="25"/>
  <c r="Y97" i="19"/>
  <c r="AK98" i="25"/>
  <c r="BB98" i="20" s="1"/>
  <c r="W102" i="19"/>
  <c r="AG103" i="25"/>
  <c r="AZ103" i="20" s="1"/>
  <c r="T97" i="25"/>
  <c r="P98" i="25"/>
  <c r="O155" i="20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BM96" i="19" s="1"/>
  <c r="BG97" i="25" s="1"/>
  <c r="L158" i="20"/>
  <c r="BW158" i="20" s="1"/>
  <c r="AN158" i="20"/>
  <c r="AE158" i="20" s="1"/>
  <c r="N159" i="20"/>
  <c r="BY159" i="20" s="1"/>
  <c r="AO98" i="25" l="1"/>
  <c r="BI98" i="25" s="1"/>
  <c r="U98" i="25" s="1"/>
  <c r="S97" i="25"/>
  <c r="AN98" i="25" s="1"/>
  <c r="X98" i="19"/>
  <c r="AJ99" i="25"/>
  <c r="BC100" i="25" s="1"/>
  <c r="BV103" i="19"/>
  <c r="AZ104" i="25" s="1"/>
  <c r="BY98" i="19"/>
  <c r="BF98" i="25"/>
  <c r="N101" i="25"/>
  <c r="AH102" i="25" s="1"/>
  <c r="BX98" i="19"/>
  <c r="AP155" i="20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BW102" i="19" l="1"/>
  <c r="BA103" i="25" s="1"/>
  <c r="M103" i="25" s="1"/>
  <c r="BA102" i="20"/>
  <c r="R98" i="25"/>
  <c r="Z98" i="19" s="1"/>
  <c r="O100" i="25"/>
  <c r="AI101" i="25" s="1"/>
  <c r="BB102" i="25" s="1"/>
  <c r="L104" i="25"/>
  <c r="CA98" i="19"/>
  <c r="BH98" i="25"/>
  <c r="BK97" i="19"/>
  <c r="BE98" i="25" s="1"/>
  <c r="AA97" i="19"/>
  <c r="AM98" i="25"/>
  <c r="BC98" i="20" s="1"/>
  <c r="BD99" i="25"/>
  <c r="P99" i="25" s="1"/>
  <c r="X99" i="19" s="1"/>
  <c r="AT142" i="20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T98" i="25" l="1"/>
  <c r="N102" i="25"/>
  <c r="AH103" i="25" s="1"/>
  <c r="BJ103" i="19"/>
  <c r="W103" i="19"/>
  <c r="AG104" i="25"/>
  <c r="AZ104" i="20" s="1"/>
  <c r="AJ100" i="25"/>
  <c r="Q98" i="25"/>
  <c r="BI104" i="19"/>
  <c r="V104" i="19"/>
  <c r="AF105" i="25"/>
  <c r="Q143" i="20"/>
  <c r="CB143" i="20" s="1"/>
  <c r="AP156" i="20"/>
  <c r="AG156" i="20" s="1"/>
  <c r="S143" i="20"/>
  <c r="CD143" i="20" s="1"/>
  <c r="AL97" i="20"/>
  <c r="BM97" i="19" s="1"/>
  <c r="BG98" i="25" s="1"/>
  <c r="R143" i="20"/>
  <c r="CC143" i="20" s="1"/>
  <c r="P144" i="20"/>
  <c r="CA144" i="20" s="1"/>
  <c r="M160" i="20"/>
  <c r="BX160" i="20" s="1"/>
  <c r="AO160" i="20"/>
  <c r="AF160" i="20" s="1"/>
  <c r="AM159" i="20"/>
  <c r="AD159" i="20" s="1"/>
  <c r="BW103" i="19" l="1"/>
  <c r="BA104" i="25" s="1"/>
  <c r="BA103" i="20"/>
  <c r="S98" i="25"/>
  <c r="AN99" i="25" s="1"/>
  <c r="AO99" i="25"/>
  <c r="AL99" i="25"/>
  <c r="Y98" i="19"/>
  <c r="AK99" i="25"/>
  <c r="BB99" i="20" s="1"/>
  <c r="BC101" i="25"/>
  <c r="O101" i="25" s="1"/>
  <c r="AI102" i="25" s="1"/>
  <c r="BV104" i="19"/>
  <c r="AZ105" i="25" s="1"/>
  <c r="AS143" i="20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L105" i="25" l="1"/>
  <c r="BB103" i="25"/>
  <c r="BY99" i="19"/>
  <c r="BF99" i="25"/>
  <c r="CA99" i="19"/>
  <c r="BH99" i="25"/>
  <c r="M104" i="25"/>
  <c r="BJ104" i="19" s="1"/>
  <c r="BX99" i="19"/>
  <c r="BD100" i="25" s="1"/>
  <c r="P100" i="25" s="1"/>
  <c r="BI99" i="25"/>
  <c r="U99" i="25" s="1"/>
  <c r="BK98" i="19"/>
  <c r="BE99" i="25" s="1"/>
  <c r="AA98" i="19"/>
  <c r="AM99" i="25"/>
  <c r="BC99" i="20" s="1"/>
  <c r="K98" i="20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Q99" i="25" l="1"/>
  <c r="T99" i="25"/>
  <c r="AO100" i="25" s="1"/>
  <c r="X100" i="19"/>
  <c r="AJ101" i="25"/>
  <c r="N103" i="25"/>
  <c r="AH104" i="25" s="1"/>
  <c r="BA104" i="20" s="1"/>
  <c r="V105" i="19"/>
  <c r="BI105" i="19"/>
  <c r="AF106" i="25"/>
  <c r="W104" i="19"/>
  <c r="AG105" i="25"/>
  <c r="AZ105" i="20" s="1"/>
  <c r="R99" i="25"/>
  <c r="AR144" i="20"/>
  <c r="AI144" i="20" s="1"/>
  <c r="AT144" i="20"/>
  <c r="AK144" i="20" s="1"/>
  <c r="AL98" i="20"/>
  <c r="BM98" i="19" s="1"/>
  <c r="BG99" i="25" s="1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S99" i="25" l="1"/>
  <c r="AN100" i="25" s="1"/>
  <c r="BW104" i="19"/>
  <c r="BA105" i="25" s="1"/>
  <c r="Z99" i="19"/>
  <c r="AL100" i="25"/>
  <c r="BC102" i="25"/>
  <c r="O102" i="25" s="1"/>
  <c r="AI103" i="25" s="1"/>
  <c r="BB104" i="25" s="1"/>
  <c r="N104" i="25" s="1"/>
  <c r="AH105" i="25" s="1"/>
  <c r="BA105" i="20" s="1"/>
  <c r="Y99" i="19"/>
  <c r="AK100" i="25"/>
  <c r="BB100" i="20" s="1"/>
  <c r="BI100" i="25"/>
  <c r="U100" i="25" s="1"/>
  <c r="BV105" i="19"/>
  <c r="AZ106" i="25" s="1"/>
  <c r="L106" i="25" s="1"/>
  <c r="AC98" i="20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BI106" i="19" l="1"/>
  <c r="V106" i="19"/>
  <c r="AF107" i="25"/>
  <c r="M105" i="25"/>
  <c r="BW105" i="19"/>
  <c r="BX100" i="19"/>
  <c r="BD101" i="25" s="1"/>
  <c r="P101" i="25" s="1"/>
  <c r="BY100" i="19"/>
  <c r="BF100" i="25"/>
  <c r="CA100" i="19"/>
  <c r="BH100" i="25"/>
  <c r="BK99" i="19"/>
  <c r="BE100" i="25" s="1"/>
  <c r="AA99" i="19"/>
  <c r="AM100" i="25"/>
  <c r="BC100" i="20" s="1"/>
  <c r="AR145" i="20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Q100" i="25" l="1"/>
  <c r="R100" i="25"/>
  <c r="W105" i="19"/>
  <c r="AG106" i="25"/>
  <c r="AZ106" i="20" s="1"/>
  <c r="X101" i="19"/>
  <c r="AJ102" i="25"/>
  <c r="T100" i="25"/>
  <c r="BJ105" i="19"/>
  <c r="S146" i="20"/>
  <c r="CD146" i="20" s="1"/>
  <c r="Q146" i="20"/>
  <c r="CB146" i="20" s="1"/>
  <c r="P147" i="20"/>
  <c r="CA147" i="20" s="1"/>
  <c r="AL99" i="20"/>
  <c r="BM99" i="19" s="1"/>
  <c r="BG100" i="25" s="1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S100" i="25" l="1"/>
  <c r="AN101" i="25" s="1"/>
  <c r="BC103" i="25"/>
  <c r="Y100" i="19"/>
  <c r="AK101" i="25"/>
  <c r="BB101" i="20" s="1"/>
  <c r="AO101" i="25"/>
  <c r="BV106" i="19"/>
  <c r="AZ107" i="25" s="1"/>
  <c r="L107" i="25" s="1"/>
  <c r="BA106" i="25"/>
  <c r="M106" i="25" s="1"/>
  <c r="W106" i="19" s="1"/>
  <c r="Z100" i="19"/>
  <c r="AL101" i="25"/>
  <c r="O160" i="20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AG107" i="25" l="1"/>
  <c r="BY101" i="19"/>
  <c r="BF101" i="25"/>
  <c r="BX101" i="19"/>
  <c r="BD102" i="25" s="1"/>
  <c r="BI107" i="19"/>
  <c r="V107" i="19"/>
  <c r="AF108" i="25"/>
  <c r="CA101" i="19"/>
  <c r="BH101" i="25"/>
  <c r="O103" i="25"/>
  <c r="AI104" i="25" s="1"/>
  <c r="BJ106" i="19"/>
  <c r="BI101" i="25"/>
  <c r="U101" i="25" s="1"/>
  <c r="BK100" i="19"/>
  <c r="BE101" i="25" s="1"/>
  <c r="Q101" i="25" s="1"/>
  <c r="AA100" i="19"/>
  <c r="AM101" i="25"/>
  <c r="BC101" i="20" s="1"/>
  <c r="R147" i="20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BV107" i="19" l="1"/>
  <c r="AZ107" i="20"/>
  <c r="Y101" i="19"/>
  <c r="AK102" i="25"/>
  <c r="BB102" i="20" s="1"/>
  <c r="BB105" i="25"/>
  <c r="P102" i="25"/>
  <c r="T101" i="25"/>
  <c r="R101" i="25"/>
  <c r="AZ108" i="25"/>
  <c r="L108" i="25" s="1"/>
  <c r="AQ148" i="20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BM100" i="19" s="1"/>
  <c r="BG101" i="25" s="1"/>
  <c r="L164" i="20"/>
  <c r="BW164" i="20" s="1"/>
  <c r="N165" i="20"/>
  <c r="BY165" i="20" s="1"/>
  <c r="AN164" i="20"/>
  <c r="AE164" i="20" s="1"/>
  <c r="BI108" i="19" l="1"/>
  <c r="V108" i="19"/>
  <c r="AF109" i="25"/>
  <c r="S101" i="25"/>
  <c r="AN102" i="25" s="1"/>
  <c r="Z101" i="19"/>
  <c r="AL102" i="25"/>
  <c r="BX102" i="19"/>
  <c r="X102" i="19"/>
  <c r="AJ103" i="25"/>
  <c r="N105" i="25"/>
  <c r="AH106" i="25" s="1"/>
  <c r="BA106" i="20" s="1"/>
  <c r="AO102" i="25"/>
  <c r="AC100" i="20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BI102" i="25" l="1"/>
  <c r="U102" i="25" s="1"/>
  <c r="BY102" i="19"/>
  <c r="BF102" i="25"/>
  <c r="BW106" i="19"/>
  <c r="BA107" i="25" s="1"/>
  <c r="CA102" i="19"/>
  <c r="BH102" i="25"/>
  <c r="BC104" i="25"/>
  <c r="BD103" i="25"/>
  <c r="BK101" i="19"/>
  <c r="BE102" i="25" s="1"/>
  <c r="Q102" i="25" s="1"/>
  <c r="AA101" i="19"/>
  <c r="AM102" i="25"/>
  <c r="BC102" i="20" s="1"/>
  <c r="O162" i="20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P103" i="25" l="1"/>
  <c r="O104" i="25"/>
  <c r="AI105" i="25" s="1"/>
  <c r="T102" i="25"/>
  <c r="M107" i="25"/>
  <c r="R102" i="25"/>
  <c r="Y102" i="19"/>
  <c r="AK103" i="25"/>
  <c r="BB103" i="20" s="1"/>
  <c r="R149" i="20"/>
  <c r="CC149" i="20" s="1"/>
  <c r="Q149" i="20"/>
  <c r="CB149" i="20" s="1"/>
  <c r="S149" i="20"/>
  <c r="CD149" i="20" s="1"/>
  <c r="P150" i="20"/>
  <c r="CA150" i="20" s="1"/>
  <c r="AP162" i="20"/>
  <c r="AG162" i="20" s="1"/>
  <c r="AL101" i="20"/>
  <c r="BM101" i="19" s="1"/>
  <c r="BG102" i="25" s="1"/>
  <c r="M166" i="20"/>
  <c r="BX166" i="20" s="1"/>
  <c r="AM165" i="20"/>
  <c r="AD165" i="20" s="1"/>
  <c r="AO166" i="20"/>
  <c r="AF166" i="20" s="1"/>
  <c r="S102" i="25" l="1"/>
  <c r="AN103" i="25" s="1"/>
  <c r="Z102" i="19"/>
  <c r="AL103" i="25"/>
  <c r="BX103" i="19"/>
  <c r="BJ107" i="19"/>
  <c r="W107" i="19"/>
  <c r="AG108" i="25"/>
  <c r="AZ108" i="20" s="1"/>
  <c r="BB106" i="25"/>
  <c r="X103" i="19"/>
  <c r="AJ104" i="25"/>
  <c r="AO103" i="25"/>
  <c r="BI103" i="25" s="1"/>
  <c r="O163" i="20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N106" i="25" l="1"/>
  <c r="AH107" i="25" s="1"/>
  <c r="BA107" i="20" s="1"/>
  <c r="BY103" i="19"/>
  <c r="BF103" i="25"/>
  <c r="U103" i="25"/>
  <c r="BC105" i="25"/>
  <c r="BD104" i="25"/>
  <c r="P104" i="25" s="1"/>
  <c r="BV108" i="19"/>
  <c r="AZ109" i="25" s="1"/>
  <c r="CA103" i="19"/>
  <c r="BH103" i="25"/>
  <c r="T103" i="25" s="1"/>
  <c r="AA102" i="19"/>
  <c r="BK102" i="19"/>
  <c r="BE103" i="25" s="1"/>
  <c r="Q103" i="25" s="1"/>
  <c r="AM103" i="25"/>
  <c r="BC103" i="20" s="1"/>
  <c r="R150" i="20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O104" i="25" l="1"/>
  <c r="X104" i="19"/>
  <c r="AJ105" i="25"/>
  <c r="Y103" i="19"/>
  <c r="AK104" i="25"/>
  <c r="BB104" i="20" s="1"/>
  <c r="L109" i="25"/>
  <c r="O105" i="25"/>
  <c r="AI106" i="25" s="1"/>
  <c r="BB107" i="25" s="1"/>
  <c r="R103" i="25"/>
  <c r="BW107" i="19"/>
  <c r="BA108" i="25" s="1"/>
  <c r="AQ151" i="20"/>
  <c r="AH151" i="20" s="1"/>
  <c r="O164" i="20"/>
  <c r="BZ164" i="20" s="1"/>
  <c r="AS150" i="20"/>
  <c r="AJ150" i="20" s="1"/>
  <c r="AL102" i="20"/>
  <c r="BM102" i="19" s="1"/>
  <c r="BG103" i="25" s="1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N107" i="25" l="1"/>
  <c r="AH108" i="25" s="1"/>
  <c r="BA108" i="20" s="1"/>
  <c r="S103" i="25"/>
  <c r="M108" i="25"/>
  <c r="BJ108" i="19" s="1"/>
  <c r="BC106" i="25"/>
  <c r="BX104" i="19"/>
  <c r="BD105" i="25" s="1"/>
  <c r="BI104" i="25"/>
  <c r="U104" i="25" s="1"/>
  <c r="Z103" i="19"/>
  <c r="AL104" i="25"/>
  <c r="V109" i="19"/>
  <c r="BI109" i="19"/>
  <c r="AF110" i="25"/>
  <c r="AC102" i="20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P105" i="25" l="1"/>
  <c r="O106" i="25"/>
  <c r="AI107" i="25" s="1"/>
  <c r="BB108" i="25" s="1"/>
  <c r="BY104" i="19"/>
  <c r="BF104" i="25"/>
  <c r="W108" i="19"/>
  <c r="AG109" i="25"/>
  <c r="AZ109" i="20" s="1"/>
  <c r="BW108" i="19"/>
  <c r="BK103" i="19"/>
  <c r="BE104" i="25" s="1"/>
  <c r="Q104" i="25" s="1"/>
  <c r="AA103" i="19"/>
  <c r="AM104" i="25"/>
  <c r="BC104" i="20" s="1"/>
  <c r="AN104" i="25"/>
  <c r="AS151" i="20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N108" i="25" l="1"/>
  <c r="AH109" i="25" s="1"/>
  <c r="BA109" i="20" s="1"/>
  <c r="Y104" i="19"/>
  <c r="AK105" i="25"/>
  <c r="BB105" i="20" s="1"/>
  <c r="BA109" i="25"/>
  <c r="M109" i="25" s="1"/>
  <c r="BV109" i="19"/>
  <c r="AZ110" i="25" s="1"/>
  <c r="L110" i="25" s="1"/>
  <c r="R104" i="25"/>
  <c r="CA104" i="19"/>
  <c r="BH104" i="25"/>
  <c r="T104" i="25" s="1"/>
  <c r="X105" i="19"/>
  <c r="AJ106" i="25"/>
  <c r="BC107" i="25" s="1"/>
  <c r="S152" i="20"/>
  <c r="CD152" i="20" s="1"/>
  <c r="Q152" i="20"/>
  <c r="CB152" i="20" s="1"/>
  <c r="R152" i="20"/>
  <c r="CC152" i="20" s="1"/>
  <c r="AL103" i="20"/>
  <c r="BM103" i="19" s="1"/>
  <c r="BG104" i="25" s="1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AO105" i="25" l="1"/>
  <c r="W109" i="19"/>
  <c r="AG110" i="25"/>
  <c r="AZ110" i="20" s="1"/>
  <c r="S104" i="25"/>
  <c r="O107" i="25"/>
  <c r="AI108" i="25" s="1"/>
  <c r="BB109" i="25" s="1"/>
  <c r="N109" i="25" s="1"/>
  <c r="AH110" i="25" s="1"/>
  <c r="BA110" i="20" s="1"/>
  <c r="V110" i="19"/>
  <c r="BI110" i="19"/>
  <c r="AF111" i="25"/>
  <c r="BJ109" i="19"/>
  <c r="Z104" i="19"/>
  <c r="AL105" i="25"/>
  <c r="BX105" i="19"/>
  <c r="BD106" i="25" s="1"/>
  <c r="BW109" i="19"/>
  <c r="O166" i="20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06" i="25" l="1"/>
  <c r="BV110" i="19"/>
  <c r="AZ111" i="25" s="1"/>
  <c r="L111" i="25" s="1"/>
  <c r="BW110" i="19"/>
  <c r="BY105" i="19"/>
  <c r="BF105" i="25"/>
  <c r="BI105" i="25"/>
  <c r="U105" i="25" s="1"/>
  <c r="BA110" i="25"/>
  <c r="AA104" i="19"/>
  <c r="BK104" i="19"/>
  <c r="BE105" i="25" s="1"/>
  <c r="Q105" i="25" s="1"/>
  <c r="AM105" i="25"/>
  <c r="BC105" i="20" s="1"/>
  <c r="AN105" i="25"/>
  <c r="P154" i="20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F112" i="25" l="1"/>
  <c r="V111" i="19"/>
  <c r="BI111" i="19"/>
  <c r="CA105" i="19"/>
  <c r="BH105" i="25"/>
  <c r="T105" i="25" s="1"/>
  <c r="R105" i="25"/>
  <c r="M110" i="25"/>
  <c r="BJ110" i="19" s="1"/>
  <c r="Y105" i="19"/>
  <c r="AK106" i="25"/>
  <c r="X106" i="19"/>
  <c r="AJ107" i="25"/>
  <c r="AS153" i="20"/>
  <c r="AJ153" i="20" s="1"/>
  <c r="AL104" i="20"/>
  <c r="BM104" i="19" s="1"/>
  <c r="BG105" i="25" s="1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BX106" i="19" l="1"/>
  <c r="BD107" i="25" s="1"/>
  <c r="BB106" i="20"/>
  <c r="S105" i="25"/>
  <c r="AN106" i="25" s="1"/>
  <c r="AO106" i="25"/>
  <c r="BC108" i="25"/>
  <c r="W110" i="19"/>
  <c r="AG111" i="25"/>
  <c r="AZ111" i="20" s="1"/>
  <c r="Z105" i="19"/>
  <c r="AL106" i="25"/>
  <c r="Q154" i="20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CA106" i="19" l="1"/>
  <c r="BH106" i="25"/>
  <c r="T106" i="25" s="1"/>
  <c r="P107" i="25"/>
  <c r="O108" i="25"/>
  <c r="AI109" i="25" s="1"/>
  <c r="BY106" i="19"/>
  <c r="BF106" i="25"/>
  <c r="R106" i="25" s="1"/>
  <c r="BI106" i="25"/>
  <c r="U106" i="25" s="1"/>
  <c r="BV111" i="19"/>
  <c r="AZ112" i="25" s="1"/>
  <c r="BA111" i="25"/>
  <c r="AA105" i="19"/>
  <c r="BK105" i="19"/>
  <c r="BE106" i="25" s="1"/>
  <c r="Q106" i="25" s="1"/>
  <c r="AM106" i="25"/>
  <c r="BC106" i="20" s="1"/>
  <c r="K105" i="20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AO107" i="25" l="1"/>
  <c r="BI107" i="25" s="1"/>
  <c r="Z106" i="19"/>
  <c r="AL107" i="25"/>
  <c r="BY107" i="19" s="1"/>
  <c r="AK107" i="25"/>
  <c r="BB107" i="20" s="1"/>
  <c r="Y106" i="19"/>
  <c r="M111" i="25"/>
  <c r="L112" i="25"/>
  <c r="BB110" i="25"/>
  <c r="X107" i="19"/>
  <c r="AJ108" i="25"/>
  <c r="S155" i="20"/>
  <c r="CD155" i="20" s="1"/>
  <c r="AP168" i="20"/>
  <c r="AG168" i="20" s="1"/>
  <c r="R155" i="20"/>
  <c r="CC155" i="20" s="1"/>
  <c r="AL105" i="20"/>
  <c r="BM105" i="19" s="1"/>
  <c r="BG106" i="25" s="1"/>
  <c r="Q155" i="20"/>
  <c r="CB155" i="20" s="1"/>
  <c r="P156" i="20"/>
  <c r="CA156" i="20" s="1"/>
  <c r="AO172" i="20"/>
  <c r="AF172" i="20" s="1"/>
  <c r="AM171" i="20"/>
  <c r="AD171" i="20" s="1"/>
  <c r="M172" i="20"/>
  <c r="BX172" i="20" s="1"/>
  <c r="BF107" i="25" l="1"/>
  <c r="R107" i="25" s="1"/>
  <c r="Z107" i="19" s="1"/>
  <c r="S106" i="25"/>
  <c r="BX107" i="19"/>
  <c r="BI112" i="19"/>
  <c r="V112" i="19"/>
  <c r="AF113" i="25"/>
  <c r="N110" i="25"/>
  <c r="AH111" i="25" s="1"/>
  <c r="BA111" i="20" s="1"/>
  <c r="U107" i="25"/>
  <c r="W111" i="19"/>
  <c r="AG112" i="25"/>
  <c r="AZ112" i="20" s="1"/>
  <c r="BD108" i="25"/>
  <c r="BC109" i="25"/>
  <c r="BJ111" i="19"/>
  <c r="AC105" i="20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BV112" i="19" l="1"/>
  <c r="AZ113" i="25" s="1"/>
  <c r="O109" i="25"/>
  <c r="AI110" i="25" s="1"/>
  <c r="BW111" i="19"/>
  <c r="BA112" i="25" s="1"/>
  <c r="P108" i="25"/>
  <c r="BB111" i="25"/>
  <c r="BK106" i="19"/>
  <c r="BE107" i="25" s="1"/>
  <c r="AA106" i="19"/>
  <c r="AN107" i="25"/>
  <c r="AM107" i="25"/>
  <c r="BC107" i="20" s="1"/>
  <c r="S156" i="20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M112" i="25" l="1"/>
  <c r="L113" i="25"/>
  <c r="X108" i="19"/>
  <c r="AJ109" i="25"/>
  <c r="Q107" i="25"/>
  <c r="N111" i="25"/>
  <c r="AH112" i="25" s="1"/>
  <c r="CA107" i="19"/>
  <c r="BH107" i="25"/>
  <c r="T107" i="25" s="1"/>
  <c r="AL106" i="20"/>
  <c r="BM106" i="19" s="1"/>
  <c r="BG107" i="25" s="1"/>
  <c r="S107" i="25" s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BW112" i="19" l="1"/>
  <c r="BA112" i="20"/>
  <c r="AO108" i="25"/>
  <c r="AN108" i="25"/>
  <c r="BH108" i="25" s="1"/>
  <c r="AM108" i="25"/>
  <c r="BC108" i="20" s="1"/>
  <c r="BK107" i="19"/>
  <c r="AA107" i="19"/>
  <c r="W112" i="19"/>
  <c r="AG113" i="25"/>
  <c r="AZ113" i="20" s="1"/>
  <c r="AL108" i="25"/>
  <c r="Y107" i="19"/>
  <c r="AK108" i="25"/>
  <c r="BB108" i="20" s="1"/>
  <c r="BJ112" i="19"/>
  <c r="BI113" i="19"/>
  <c r="V113" i="19"/>
  <c r="AF114" i="25"/>
  <c r="BC110" i="25"/>
  <c r="AP170" i="20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O110" i="25" l="1"/>
  <c r="AI111" i="25" s="1"/>
  <c r="BY108" i="19"/>
  <c r="BF108" i="25"/>
  <c r="BV113" i="19"/>
  <c r="AZ114" i="25" s="1"/>
  <c r="L114" i="25" s="1"/>
  <c r="BA113" i="25"/>
  <c r="M113" i="25" s="1"/>
  <c r="T108" i="25"/>
  <c r="BX108" i="19"/>
  <c r="BD109" i="25" s="1"/>
  <c r="BE108" i="25"/>
  <c r="CA108" i="19"/>
  <c r="BI108" i="25"/>
  <c r="U108" i="25" s="1"/>
  <c r="AO109" i="25" s="1"/>
  <c r="AT157" i="20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R108" i="25" l="1"/>
  <c r="P109" i="25"/>
  <c r="BI109" i="25"/>
  <c r="U109" i="25" s="1"/>
  <c r="V114" i="19"/>
  <c r="BI114" i="19"/>
  <c r="BJ113" i="19"/>
  <c r="W113" i="19"/>
  <c r="Q108" i="25"/>
  <c r="AG114" i="25"/>
  <c r="AZ114" i="20" s="1"/>
  <c r="AF115" i="25"/>
  <c r="BB112" i="25"/>
  <c r="N112" i="25" s="1"/>
  <c r="AH113" i="25" s="1"/>
  <c r="AP171" i="20"/>
  <c r="AG171" i="20" s="1"/>
  <c r="R158" i="20"/>
  <c r="CC158" i="20" s="1"/>
  <c r="Q158" i="20"/>
  <c r="CB158" i="20" s="1"/>
  <c r="AL107" i="20"/>
  <c r="BM107" i="19" s="1"/>
  <c r="BG108" i="25" s="1"/>
  <c r="P159" i="20"/>
  <c r="CA159" i="20" s="1"/>
  <c r="S158" i="20"/>
  <c r="CD158" i="20" s="1"/>
  <c r="AO175" i="20"/>
  <c r="AF175" i="20" s="1"/>
  <c r="M175" i="20"/>
  <c r="BX175" i="20" s="1"/>
  <c r="AM174" i="20"/>
  <c r="AD174" i="20" s="1"/>
  <c r="BW113" i="19" l="1"/>
  <c r="BA114" i="25" s="1"/>
  <c r="M114" i="25" s="1"/>
  <c r="W114" i="19" s="1"/>
  <c r="BA113" i="20"/>
  <c r="X109" i="19"/>
  <c r="AJ110" i="25"/>
  <c r="BV114" i="19"/>
  <c r="AZ115" i="25" s="1"/>
  <c r="L115" i="25" s="1"/>
  <c r="AF116" i="25" s="1"/>
  <c r="S108" i="25"/>
  <c r="Y108" i="19"/>
  <c r="AK109" i="25"/>
  <c r="BB109" i="20" s="1"/>
  <c r="Z108" i="19"/>
  <c r="AL109" i="25"/>
  <c r="AC107" i="20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BX109" i="19" l="1"/>
  <c r="AA108" i="19"/>
  <c r="BK108" i="19"/>
  <c r="BE109" i="25" s="1"/>
  <c r="Q109" i="25" s="1"/>
  <c r="AM109" i="25"/>
  <c r="BC109" i="20" s="1"/>
  <c r="AN109" i="25"/>
  <c r="BC111" i="25"/>
  <c r="BD110" i="25"/>
  <c r="P110" i="25" s="1"/>
  <c r="BY109" i="19"/>
  <c r="BF109" i="25"/>
  <c r="AG115" i="25"/>
  <c r="AZ115" i="20" s="1"/>
  <c r="BI115" i="19"/>
  <c r="V115" i="19"/>
  <c r="BJ114" i="19"/>
  <c r="P160" i="20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X110" i="19" l="1"/>
  <c r="AJ111" i="25"/>
  <c r="Y109" i="19"/>
  <c r="AK110" i="25"/>
  <c r="BB110" i="20" s="1"/>
  <c r="R109" i="25"/>
  <c r="BV115" i="19"/>
  <c r="AZ116" i="25" s="1"/>
  <c r="CA109" i="19"/>
  <c r="BH109" i="25"/>
  <c r="O111" i="25"/>
  <c r="AI112" i="25" s="1"/>
  <c r="BB113" i="25" s="1"/>
  <c r="N113" i="25" s="1"/>
  <c r="AH114" i="25" s="1"/>
  <c r="O173" i="20"/>
  <c r="BZ173" i="20" s="1"/>
  <c r="AR159" i="20"/>
  <c r="AI159" i="20" s="1"/>
  <c r="AT159" i="20"/>
  <c r="AK159" i="20" s="1"/>
  <c r="AL108" i="20"/>
  <c r="BM108" i="19" s="1"/>
  <c r="BG109" i="25" s="1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BW114" i="19" l="1"/>
  <c r="BA115" i="25" s="1"/>
  <c r="M115" i="25" s="1"/>
  <c r="BA114" i="20"/>
  <c r="BC112" i="25"/>
  <c r="O112" i="25" s="1"/>
  <c r="AI113" i="25" s="1"/>
  <c r="S109" i="25"/>
  <c r="BX110" i="19"/>
  <c r="BD111" i="25" s="1"/>
  <c r="T109" i="25"/>
  <c r="L116" i="25"/>
  <c r="Z109" i="19"/>
  <c r="AL110" i="25"/>
  <c r="R160" i="20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BY110" i="19" l="1"/>
  <c r="BF110" i="25"/>
  <c r="W115" i="19"/>
  <c r="AG116" i="25"/>
  <c r="AZ116" i="20" s="1"/>
  <c r="BJ115" i="19"/>
  <c r="AO110" i="25"/>
  <c r="BI110" i="25" s="1"/>
  <c r="AN110" i="25"/>
  <c r="BI116" i="19"/>
  <c r="V116" i="19"/>
  <c r="AF117" i="25"/>
  <c r="P111" i="25"/>
  <c r="AA109" i="19"/>
  <c r="BK109" i="19"/>
  <c r="BE110" i="25" s="1"/>
  <c r="Q110" i="25" s="1"/>
  <c r="AM110" i="25"/>
  <c r="BC110" i="20" s="1"/>
  <c r="BB114" i="25"/>
  <c r="AQ161" i="20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10" i="25" l="1"/>
  <c r="Z110" i="19" s="1"/>
  <c r="X111" i="19"/>
  <c r="AJ112" i="25"/>
  <c r="CA110" i="19"/>
  <c r="BH110" i="25"/>
  <c r="BV116" i="19"/>
  <c r="AL111" i="25"/>
  <c r="Y110" i="19"/>
  <c r="AK111" i="25"/>
  <c r="BB111" i="20" s="1"/>
  <c r="AZ117" i="25"/>
  <c r="L117" i="25" s="1"/>
  <c r="U110" i="25"/>
  <c r="N114" i="25"/>
  <c r="AH115" i="25" s="1"/>
  <c r="BA115" i="20" s="1"/>
  <c r="R161" i="20"/>
  <c r="CC161" i="20" s="1"/>
  <c r="Q161" i="20"/>
  <c r="CB161" i="20" s="1"/>
  <c r="S161" i="20"/>
  <c r="CD161" i="20" s="1"/>
  <c r="AP174" i="20"/>
  <c r="AG174" i="20" s="1"/>
  <c r="AL109" i="20"/>
  <c r="BM109" i="19" s="1"/>
  <c r="BG110" i="25" s="1"/>
  <c r="P162" i="20"/>
  <c r="CA162" i="20" s="1"/>
  <c r="M178" i="20"/>
  <c r="BX178" i="20" s="1"/>
  <c r="AM177" i="20"/>
  <c r="AD177" i="20" s="1"/>
  <c r="AO178" i="20"/>
  <c r="AF178" i="20" s="1"/>
  <c r="V117" i="19" l="1"/>
  <c r="BI117" i="19"/>
  <c r="AF118" i="25"/>
  <c r="S110" i="25"/>
  <c r="BY111" i="19"/>
  <c r="BC113" i="25"/>
  <c r="BW115" i="19"/>
  <c r="BA116" i="25" s="1"/>
  <c r="BX111" i="19"/>
  <c r="BD112" i="25" s="1"/>
  <c r="BF111" i="25"/>
  <c r="T110" i="25"/>
  <c r="AC109" i="20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AO111" i="25" l="1"/>
  <c r="AN111" i="25"/>
  <c r="O113" i="25"/>
  <c r="AI114" i="25" s="1"/>
  <c r="R111" i="25"/>
  <c r="M116" i="25"/>
  <c r="BJ116" i="19" s="1"/>
  <c r="P112" i="25"/>
  <c r="BK110" i="19"/>
  <c r="BE111" i="25" s="1"/>
  <c r="Q111" i="25" s="1"/>
  <c r="AA110" i="19"/>
  <c r="AM111" i="25"/>
  <c r="BC111" i="20" s="1"/>
  <c r="R162" i="20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Y111" i="19" l="1"/>
  <c r="AK112" i="25"/>
  <c r="BB112" i="20" s="1"/>
  <c r="CA111" i="19"/>
  <c r="BH111" i="25"/>
  <c r="X112" i="19"/>
  <c r="AJ113" i="25"/>
  <c r="Z111" i="19"/>
  <c r="AL112" i="25"/>
  <c r="BI111" i="25"/>
  <c r="U111" i="25" s="1"/>
  <c r="W116" i="19"/>
  <c r="AG117" i="25"/>
  <c r="AZ117" i="20" s="1"/>
  <c r="BB115" i="25"/>
  <c r="O176" i="20"/>
  <c r="BZ176" i="20" s="1"/>
  <c r="AQ163" i="20"/>
  <c r="AH163" i="20" s="1"/>
  <c r="AR162" i="20"/>
  <c r="AI162" i="20" s="1"/>
  <c r="AL110" i="20"/>
  <c r="BM110" i="19" s="1"/>
  <c r="BG111" i="25" s="1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S111" i="25" l="1"/>
  <c r="BV117" i="19"/>
  <c r="AZ118" i="25" s="1"/>
  <c r="L118" i="25" s="1"/>
  <c r="BY112" i="19"/>
  <c r="BF112" i="25"/>
  <c r="N115" i="25"/>
  <c r="AH116" i="25" s="1"/>
  <c r="BA116" i="20" s="1"/>
  <c r="BX112" i="19"/>
  <c r="BD113" i="25" s="1"/>
  <c r="BC114" i="25"/>
  <c r="T111" i="25"/>
  <c r="P164" i="20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AN112" i="25" l="1"/>
  <c r="BH112" i="25" s="1"/>
  <c r="BW116" i="19"/>
  <c r="BA117" i="25" s="1"/>
  <c r="AO112" i="25"/>
  <c r="V118" i="19"/>
  <c r="BI118" i="19"/>
  <c r="AF119" i="25"/>
  <c r="O114" i="25"/>
  <c r="AI115" i="25" s="1"/>
  <c r="BB116" i="25" s="1"/>
  <c r="N116" i="25" s="1"/>
  <c r="AH117" i="25" s="1"/>
  <c r="BA117" i="20" s="1"/>
  <c r="P113" i="25"/>
  <c r="R112" i="25"/>
  <c r="BK111" i="19"/>
  <c r="BE112" i="25" s="1"/>
  <c r="AA111" i="19"/>
  <c r="AM112" i="25"/>
  <c r="BC112" i="20" s="1"/>
  <c r="O177" i="20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CA112" i="19" l="1"/>
  <c r="T112" i="25"/>
  <c r="BW117" i="19"/>
  <c r="Q112" i="25"/>
  <c r="X113" i="19"/>
  <c r="AJ114" i="25"/>
  <c r="Z112" i="19"/>
  <c r="AL113" i="25"/>
  <c r="BI112" i="25"/>
  <c r="M117" i="25"/>
  <c r="BJ117" i="19" s="1"/>
  <c r="AL111" i="20"/>
  <c r="BM111" i="19" s="1"/>
  <c r="BG112" i="25" s="1"/>
  <c r="S112" i="25" s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M113" i="25" l="1"/>
  <c r="BC113" i="20" s="1"/>
  <c r="AA112" i="19"/>
  <c r="BK112" i="19"/>
  <c r="AN113" i="25"/>
  <c r="BC115" i="25"/>
  <c r="BY113" i="19"/>
  <c r="BF113" i="25"/>
  <c r="W117" i="19"/>
  <c r="AG118" i="25"/>
  <c r="AZ118" i="20" s="1"/>
  <c r="U112" i="25"/>
  <c r="AO113" i="25" s="1"/>
  <c r="Y112" i="19"/>
  <c r="AK113" i="25"/>
  <c r="BB113" i="20" s="1"/>
  <c r="AT164" i="20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BV118" i="19" l="1"/>
  <c r="AZ119" i="25" s="1"/>
  <c r="L119" i="25" s="1"/>
  <c r="BA118" i="25"/>
  <c r="BX113" i="19"/>
  <c r="BD114" i="25" s="1"/>
  <c r="BE113" i="25"/>
  <c r="O115" i="25"/>
  <c r="AI116" i="25" s="1"/>
  <c r="BI113" i="25"/>
  <c r="U113" i="25" s="1"/>
  <c r="R113" i="25"/>
  <c r="Z113" i="19" s="1"/>
  <c r="CA113" i="19"/>
  <c r="BH113" i="25"/>
  <c r="K112" i="20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M118" i="25" l="1"/>
  <c r="BJ118" i="19" s="1"/>
  <c r="T113" i="25"/>
  <c r="AO114" i="25" s="1"/>
  <c r="Q113" i="25"/>
  <c r="AF120" i="25"/>
  <c r="V119" i="19"/>
  <c r="BI119" i="19"/>
  <c r="BB117" i="25"/>
  <c r="P114" i="25"/>
  <c r="O179" i="20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BM112" i="19" s="1"/>
  <c r="BG113" i="25" s="1"/>
  <c r="L182" i="20"/>
  <c r="BW182" i="20" s="1"/>
  <c r="AN182" i="20"/>
  <c r="AE182" i="20" s="1"/>
  <c r="N117" i="25" l="1"/>
  <c r="AH118" i="25" s="1"/>
  <c r="BA118" i="20" s="1"/>
  <c r="BI114" i="25"/>
  <c r="AL114" i="25"/>
  <c r="Y113" i="19"/>
  <c r="AK114" i="25"/>
  <c r="BB114" i="20" s="1"/>
  <c r="W118" i="19"/>
  <c r="AG119" i="25"/>
  <c r="AZ119" i="20" s="1"/>
  <c r="X114" i="19"/>
  <c r="AJ115" i="25"/>
  <c r="S113" i="25"/>
  <c r="R166" i="20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BC116" i="25" l="1"/>
  <c r="AN114" i="25"/>
  <c r="BK113" i="19"/>
  <c r="AA113" i="19"/>
  <c r="AM114" i="25"/>
  <c r="BC114" i="20" s="1"/>
  <c r="BV119" i="19"/>
  <c r="AZ120" i="25" s="1"/>
  <c r="L120" i="25" s="1"/>
  <c r="BY114" i="19"/>
  <c r="BF114" i="25"/>
  <c r="R114" i="25" s="1"/>
  <c r="Z114" i="19" s="1"/>
  <c r="BW118" i="19"/>
  <c r="BA119" i="25" s="1"/>
  <c r="M119" i="25" s="1"/>
  <c r="BX114" i="19"/>
  <c r="BD115" i="25" s="1"/>
  <c r="BE114" i="25"/>
  <c r="U114" i="25"/>
  <c r="K113" i="20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P115" i="25" l="1"/>
  <c r="BJ119" i="19"/>
  <c r="W119" i="19"/>
  <c r="AG120" i="25"/>
  <c r="AZ120" i="20" s="1"/>
  <c r="O116" i="25"/>
  <c r="AI117" i="25" s="1"/>
  <c r="BB118" i="25" s="1"/>
  <c r="BI120" i="19"/>
  <c r="V120" i="19"/>
  <c r="AF121" i="25"/>
  <c r="Q114" i="25"/>
  <c r="CA114" i="19"/>
  <c r="BH114" i="25"/>
  <c r="AP180" i="20"/>
  <c r="AG180" i="20" s="1"/>
  <c r="P168" i="20"/>
  <c r="CA168" i="20" s="1"/>
  <c r="AL113" i="20"/>
  <c r="BM113" i="19" s="1"/>
  <c r="BG114" i="25" s="1"/>
  <c r="R167" i="20"/>
  <c r="CC167" i="20" s="1"/>
  <c r="Q167" i="20"/>
  <c r="CB167" i="20" s="1"/>
  <c r="S167" i="20"/>
  <c r="CD167" i="20" s="1"/>
  <c r="T114" i="25" l="1"/>
  <c r="S114" i="25"/>
  <c r="N118" i="25"/>
  <c r="AH119" i="25" s="1"/>
  <c r="BA119" i="20" s="1"/>
  <c r="Y114" i="19"/>
  <c r="AK115" i="25"/>
  <c r="BB115" i="20" s="1"/>
  <c r="AL115" i="25"/>
  <c r="BV120" i="19"/>
  <c r="AZ121" i="25" s="1"/>
  <c r="L121" i="25" s="1"/>
  <c r="X115" i="19"/>
  <c r="AJ116" i="25"/>
  <c r="AT167" i="20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BW119" i="19" l="1"/>
  <c r="BA120" i="25" s="1"/>
  <c r="V121" i="19"/>
  <c r="BI121" i="19"/>
  <c r="BC117" i="25"/>
  <c r="BY115" i="19"/>
  <c r="BF115" i="25"/>
  <c r="AF122" i="25"/>
  <c r="BX115" i="19"/>
  <c r="BD116" i="25" s="1"/>
  <c r="P116" i="25" s="1"/>
  <c r="AO115" i="25"/>
  <c r="AN115" i="25"/>
  <c r="BK114" i="19"/>
  <c r="BE115" i="25" s="1"/>
  <c r="AA114" i="19"/>
  <c r="AM115" i="25"/>
  <c r="BC115" i="20" s="1"/>
  <c r="K114" i="20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X116" i="19" l="1"/>
  <c r="AJ117" i="25"/>
  <c r="Q115" i="25"/>
  <c r="O117" i="25"/>
  <c r="AI118" i="25" s="1"/>
  <c r="BC118" i="25" s="1"/>
  <c r="M120" i="25"/>
  <c r="BI115" i="25"/>
  <c r="U115" i="25" s="1"/>
  <c r="CA115" i="19"/>
  <c r="BH115" i="25"/>
  <c r="R115" i="25"/>
  <c r="Z115" i="19" s="1"/>
  <c r="O182" i="20"/>
  <c r="BZ182" i="20" s="1"/>
  <c r="AR168" i="20"/>
  <c r="AI168" i="20" s="1"/>
  <c r="AL114" i="20"/>
  <c r="BM114" i="19" s="1"/>
  <c r="BG115" i="25" s="1"/>
  <c r="AT168" i="20"/>
  <c r="AK168" i="20" s="1"/>
  <c r="AS168" i="20"/>
  <c r="AJ168" i="20" s="1"/>
  <c r="AQ169" i="20"/>
  <c r="AH169" i="20" s="1"/>
  <c r="S115" i="25" l="1"/>
  <c r="O118" i="25"/>
  <c r="AI119" i="25" s="1"/>
  <c r="BB119" i="25"/>
  <c r="T115" i="25"/>
  <c r="AL116" i="25"/>
  <c r="Y115" i="19"/>
  <c r="AK116" i="25"/>
  <c r="BB116" i="20" s="1"/>
  <c r="BJ120" i="19"/>
  <c r="W120" i="19"/>
  <c r="AG121" i="25"/>
  <c r="AZ121" i="20" s="1"/>
  <c r="AP182" i="20"/>
  <c r="AG182" i="20" s="1"/>
  <c r="P170" i="20"/>
  <c r="CA170" i="20" s="1"/>
  <c r="R169" i="20"/>
  <c r="CC169" i="20" s="1"/>
  <c r="S169" i="20"/>
  <c r="CD169" i="20" s="1"/>
  <c r="AC114" i="20"/>
  <c r="Q169" i="20"/>
  <c r="CB169" i="20" s="1"/>
  <c r="AN116" i="25" l="1"/>
  <c r="BH116" i="25" s="1"/>
  <c r="T116" i="25" s="1"/>
  <c r="BY116" i="19"/>
  <c r="BF116" i="25"/>
  <c r="R116" i="25" s="1"/>
  <c r="N119" i="25"/>
  <c r="AH120" i="25" s="1"/>
  <c r="BK115" i="19"/>
  <c r="BE116" i="25" s="1"/>
  <c r="AA115" i="19"/>
  <c r="AM116" i="25"/>
  <c r="BC116" i="20" s="1"/>
  <c r="BX116" i="19"/>
  <c r="BD117" i="25" s="1"/>
  <c r="P117" i="25" s="1"/>
  <c r="BV121" i="19"/>
  <c r="AZ122" i="25" s="1"/>
  <c r="L122" i="25" s="1"/>
  <c r="AO116" i="25"/>
  <c r="AS169" i="20"/>
  <c r="AJ169" i="20" s="1"/>
  <c r="K115" i="20"/>
  <c r="BV115" i="20" s="1"/>
  <c r="AT169" i="20"/>
  <c r="AK169" i="20" s="1"/>
  <c r="AQ170" i="20"/>
  <c r="AH170" i="20" s="1"/>
  <c r="AR169" i="20"/>
  <c r="AI169" i="20" s="1"/>
  <c r="BB120" i="25" l="1"/>
  <c r="N120" i="25" s="1"/>
  <c r="AH121" i="25" s="1"/>
  <c r="BA121" i="20" s="1"/>
  <c r="BA120" i="20"/>
  <c r="CA116" i="19"/>
  <c r="Z116" i="19"/>
  <c r="Q116" i="25"/>
  <c r="X117" i="19"/>
  <c r="AJ118" i="25"/>
  <c r="BI116" i="25"/>
  <c r="U116" i="25" s="1"/>
  <c r="AO117" i="25" s="1"/>
  <c r="BI122" i="19"/>
  <c r="V122" i="19"/>
  <c r="AF123" i="25"/>
  <c r="BW120" i="19"/>
  <c r="BA121" i="25" s="1"/>
  <c r="P171" i="20"/>
  <c r="CA171" i="20" s="1"/>
  <c r="R170" i="20"/>
  <c r="CC170" i="20" s="1"/>
  <c r="AL115" i="20"/>
  <c r="BM115" i="19" s="1"/>
  <c r="BG116" i="25" s="1"/>
  <c r="Q170" i="20"/>
  <c r="CB170" i="20" s="1"/>
  <c r="S170" i="20"/>
  <c r="CD170" i="20" s="1"/>
  <c r="S116" i="25" l="1"/>
  <c r="Y116" i="19"/>
  <c r="AK117" i="25"/>
  <c r="BB117" i="20" s="1"/>
  <c r="BC119" i="25"/>
  <c r="AL117" i="25"/>
  <c r="BW121" i="19"/>
  <c r="M121" i="25"/>
  <c r="BI117" i="25"/>
  <c r="AT170" i="20"/>
  <c r="AK170" i="20" s="1"/>
  <c r="AR170" i="20"/>
  <c r="AI170" i="20" s="1"/>
  <c r="AC115" i="20"/>
  <c r="AS170" i="20"/>
  <c r="AJ170" i="20" s="1"/>
  <c r="AQ171" i="20"/>
  <c r="AH171" i="20" s="1"/>
  <c r="W121" i="19" l="1"/>
  <c r="AG122" i="25"/>
  <c r="AZ122" i="20" s="1"/>
  <c r="BY117" i="19"/>
  <c r="BF117" i="25"/>
  <c r="R117" i="25" s="1"/>
  <c r="Z117" i="19" s="1"/>
  <c r="U117" i="25"/>
  <c r="BJ121" i="19"/>
  <c r="O119" i="25"/>
  <c r="AI120" i="25" s="1"/>
  <c r="BX117" i="19"/>
  <c r="BD118" i="25" s="1"/>
  <c r="AA116" i="19"/>
  <c r="BK116" i="19"/>
  <c r="BE117" i="25" s="1"/>
  <c r="Q117" i="25" s="1"/>
  <c r="Y117" i="19" s="1"/>
  <c r="AN117" i="25"/>
  <c r="AM117" i="25"/>
  <c r="BC117" i="20" s="1"/>
  <c r="P172" i="20"/>
  <c r="CA172" i="20" s="1"/>
  <c r="S171" i="20"/>
  <c r="CD171" i="20" s="1"/>
  <c r="K116" i="20"/>
  <c r="BV116" i="20" s="1"/>
  <c r="R171" i="20"/>
  <c r="CC171" i="20" s="1"/>
  <c r="Q171" i="20"/>
  <c r="CB171" i="20" s="1"/>
  <c r="CA117" i="19" l="1"/>
  <c r="BH117" i="25"/>
  <c r="T117" i="25" s="1"/>
  <c r="AK118" i="25"/>
  <c r="BB118" i="20" s="1"/>
  <c r="BB121" i="25"/>
  <c r="BV122" i="19"/>
  <c r="AZ123" i="25" s="1"/>
  <c r="L123" i="25" s="1"/>
  <c r="BA122" i="25"/>
  <c r="M122" i="25" s="1"/>
  <c r="W122" i="19" s="1"/>
  <c r="P118" i="25"/>
  <c r="AL118" i="25"/>
  <c r="AL116" i="20"/>
  <c r="BM116" i="19" s="1"/>
  <c r="BG117" i="25" s="1"/>
  <c r="AR171" i="20"/>
  <c r="AI171" i="20" s="1"/>
  <c r="AS171" i="20"/>
  <c r="AJ171" i="20" s="1"/>
  <c r="AT171" i="20"/>
  <c r="AK171" i="20" s="1"/>
  <c r="AQ172" i="20"/>
  <c r="AH172" i="20" s="1"/>
  <c r="BX118" i="19" l="1"/>
  <c r="V123" i="19"/>
  <c r="BI123" i="19"/>
  <c r="AF124" i="25"/>
  <c r="BY118" i="19"/>
  <c r="BJ122" i="19"/>
  <c r="BF118" i="25"/>
  <c r="AO118" i="25"/>
  <c r="BI118" i="25" s="1"/>
  <c r="S117" i="25"/>
  <c r="X118" i="19"/>
  <c r="AJ119" i="25"/>
  <c r="AG123" i="25"/>
  <c r="AZ123" i="20" s="1"/>
  <c r="N121" i="25"/>
  <c r="AH122" i="25" s="1"/>
  <c r="BA122" i="20" s="1"/>
  <c r="P173" i="20"/>
  <c r="CA173" i="20" s="1"/>
  <c r="S172" i="20"/>
  <c r="CD172" i="20" s="1"/>
  <c r="R172" i="20"/>
  <c r="CC172" i="20" s="1"/>
  <c r="Q172" i="20"/>
  <c r="CB172" i="20" s="1"/>
  <c r="AC116" i="20"/>
  <c r="BW122" i="19" l="1"/>
  <c r="BA123" i="25" s="1"/>
  <c r="M123" i="25" s="1"/>
  <c r="W123" i="19" s="1"/>
  <c r="R118" i="25"/>
  <c r="BV123" i="19"/>
  <c r="AZ124" i="25" s="1"/>
  <c r="L124" i="25" s="1"/>
  <c r="AF125" i="25" s="1"/>
  <c r="BK117" i="19"/>
  <c r="BE118" i="25" s="1"/>
  <c r="AA117" i="19"/>
  <c r="AM118" i="25"/>
  <c r="BC118" i="20" s="1"/>
  <c r="BC120" i="25"/>
  <c r="BD119" i="25"/>
  <c r="U118" i="25"/>
  <c r="AN118" i="25"/>
  <c r="AR172" i="20"/>
  <c r="AI172" i="20" s="1"/>
  <c r="AS172" i="20"/>
  <c r="AJ172" i="20" s="1"/>
  <c r="K117" i="20"/>
  <c r="BV117" i="20" s="1"/>
  <c r="AT172" i="20"/>
  <c r="AK172" i="20" s="1"/>
  <c r="AQ173" i="20"/>
  <c r="AH173" i="20" s="1"/>
  <c r="O120" i="25" l="1"/>
  <c r="AI121" i="25" s="1"/>
  <c r="Q118" i="25"/>
  <c r="AL119" i="25" s="1"/>
  <c r="Z118" i="19"/>
  <c r="AG124" i="25"/>
  <c r="AZ124" i="20" s="1"/>
  <c r="CA118" i="19"/>
  <c r="BH118" i="25"/>
  <c r="V124" i="19"/>
  <c r="BI124" i="19"/>
  <c r="P119" i="25"/>
  <c r="BJ123" i="19"/>
  <c r="S173" i="20"/>
  <c r="CD173" i="20" s="1"/>
  <c r="R173" i="20"/>
  <c r="CC173" i="20" s="1"/>
  <c r="AL117" i="20"/>
  <c r="BM117" i="19" s="1"/>
  <c r="BG118" i="25" s="1"/>
  <c r="P174" i="20"/>
  <c r="CA174" i="20" s="1"/>
  <c r="Q173" i="20"/>
  <c r="CB173" i="20" s="1"/>
  <c r="S118" i="25" l="1"/>
  <c r="Y118" i="19"/>
  <c r="AK119" i="25"/>
  <c r="BB119" i="20" s="1"/>
  <c r="BV124" i="19"/>
  <c r="AZ125" i="25" s="1"/>
  <c r="L125" i="25" s="1"/>
  <c r="BY119" i="19"/>
  <c r="BF119" i="25"/>
  <c r="BB122" i="25"/>
  <c r="N122" i="25" s="1"/>
  <c r="AH123" i="25" s="1"/>
  <c r="BA123" i="20" s="1"/>
  <c r="X119" i="19"/>
  <c r="AJ120" i="25"/>
  <c r="T118" i="25"/>
  <c r="AR173" i="20"/>
  <c r="AI173" i="20" s="1"/>
  <c r="AQ174" i="20"/>
  <c r="AH174" i="20" s="1"/>
  <c r="AS173" i="20"/>
  <c r="AJ173" i="20" s="1"/>
  <c r="AC117" i="20"/>
  <c r="AT173" i="20"/>
  <c r="AK173" i="20" s="1"/>
  <c r="AO119" i="25" l="1"/>
  <c r="AN119" i="25"/>
  <c r="BX119" i="19"/>
  <c r="BD120" i="25" s="1"/>
  <c r="P120" i="25" s="1"/>
  <c r="X120" i="19" s="1"/>
  <c r="V125" i="19"/>
  <c r="BI125" i="19"/>
  <c r="AF126" i="25"/>
  <c r="BW123" i="19"/>
  <c r="BA124" i="25" s="1"/>
  <c r="R119" i="25"/>
  <c r="BC121" i="25"/>
  <c r="AA118" i="19"/>
  <c r="BK118" i="19"/>
  <c r="BE119" i="25" s="1"/>
  <c r="AM119" i="25"/>
  <c r="BC119" i="20" s="1"/>
  <c r="R174" i="20"/>
  <c r="CC174" i="20" s="1"/>
  <c r="P175" i="20"/>
  <c r="CA175" i="20" s="1"/>
  <c r="K118" i="20"/>
  <c r="BV118" i="20" s="1"/>
  <c r="S174" i="20"/>
  <c r="CD174" i="20" s="1"/>
  <c r="Q174" i="20"/>
  <c r="CB174" i="20" s="1"/>
  <c r="M124" i="25" l="1"/>
  <c r="O121" i="25"/>
  <c r="AI122" i="25" s="1"/>
  <c r="BB123" i="25" s="1"/>
  <c r="AJ121" i="25"/>
  <c r="Z119" i="19"/>
  <c r="CA119" i="19"/>
  <c r="BH119" i="25"/>
  <c r="Q119" i="25"/>
  <c r="BI119" i="25"/>
  <c r="AT174" i="20"/>
  <c r="AK174" i="20" s="1"/>
  <c r="AR174" i="20"/>
  <c r="AI174" i="20" s="1"/>
  <c r="AL118" i="20"/>
  <c r="BM118" i="19" s="1"/>
  <c r="BG119" i="25" s="1"/>
  <c r="S119" i="25" s="1"/>
  <c r="AQ175" i="20"/>
  <c r="AH175" i="20" s="1"/>
  <c r="AS174" i="20"/>
  <c r="AJ174" i="20" s="1"/>
  <c r="BK119" i="19" l="1"/>
  <c r="AA119" i="19"/>
  <c r="AM120" i="25"/>
  <c r="BC120" i="20" s="1"/>
  <c r="Y119" i="19"/>
  <c r="AK120" i="25"/>
  <c r="BB120" i="20" s="1"/>
  <c r="T119" i="25"/>
  <c r="AN120" i="25" s="1"/>
  <c r="BH120" i="25" s="1"/>
  <c r="BC122" i="25"/>
  <c r="O122" i="25" s="1"/>
  <c r="AI123" i="25" s="1"/>
  <c r="AL120" i="25"/>
  <c r="U119" i="25"/>
  <c r="N123" i="25"/>
  <c r="AH124" i="25" s="1"/>
  <c r="BA124" i="20" s="1"/>
  <c r="W124" i="19"/>
  <c r="AG125" i="25"/>
  <c r="AZ125" i="20" s="1"/>
  <c r="BJ124" i="19"/>
  <c r="R175" i="20"/>
  <c r="CC175" i="20" s="1"/>
  <c r="P176" i="20"/>
  <c r="CA176" i="20" s="1"/>
  <c r="AC118" i="20"/>
  <c r="Q175" i="20"/>
  <c r="CB175" i="20" s="1"/>
  <c r="S175" i="20"/>
  <c r="CD175" i="20" s="1"/>
  <c r="AO120" i="25" l="1"/>
  <c r="BB124" i="25"/>
  <c r="N124" i="25" s="1"/>
  <c r="AH125" i="25" s="1"/>
  <c r="BA125" i="20" s="1"/>
  <c r="BX120" i="19"/>
  <c r="BD121" i="25" s="1"/>
  <c r="BE120" i="25"/>
  <c r="Q120" i="25" s="1"/>
  <c r="BY120" i="19"/>
  <c r="BF120" i="25"/>
  <c r="R120" i="25" s="1"/>
  <c r="Z120" i="19" s="1"/>
  <c r="CA120" i="19"/>
  <c r="T120" i="25"/>
  <c r="BW124" i="19"/>
  <c r="BA125" i="25" s="1"/>
  <c r="BV125" i="19"/>
  <c r="AZ126" i="25" s="1"/>
  <c r="BI120" i="25"/>
  <c r="U120" i="25" s="1"/>
  <c r="AO121" i="25" s="1"/>
  <c r="AT175" i="20"/>
  <c r="AK175" i="20" s="1"/>
  <c r="AR175" i="20"/>
  <c r="AI175" i="20" s="1"/>
  <c r="K119" i="20"/>
  <c r="BV119" i="20" s="1"/>
  <c r="AQ176" i="20"/>
  <c r="AH176" i="20" s="1"/>
  <c r="AS175" i="20"/>
  <c r="AJ175" i="20" s="1"/>
  <c r="BI121" i="25" l="1"/>
  <c r="U121" i="25" s="1"/>
  <c r="Y120" i="19"/>
  <c r="AK121" i="25"/>
  <c r="BB121" i="20" s="1"/>
  <c r="BW125" i="19"/>
  <c r="M125" i="25"/>
  <c r="AL121" i="25"/>
  <c r="P121" i="25"/>
  <c r="L126" i="25"/>
  <c r="R176" i="20"/>
  <c r="CC176" i="20" s="1"/>
  <c r="Q176" i="20"/>
  <c r="CB176" i="20" s="1"/>
  <c r="AL119" i="20"/>
  <c r="BM119" i="19" s="1"/>
  <c r="BG120" i="25" s="1"/>
  <c r="P177" i="20"/>
  <c r="CA177" i="20" s="1"/>
  <c r="S176" i="20"/>
  <c r="CD176" i="20" s="1"/>
  <c r="BY121" i="19" l="1"/>
  <c r="W125" i="19"/>
  <c r="AG126" i="25"/>
  <c r="AZ126" i="20" s="1"/>
  <c r="BF121" i="25"/>
  <c r="S120" i="25"/>
  <c r="V126" i="19"/>
  <c r="BI126" i="19"/>
  <c r="AF127" i="25"/>
  <c r="BX121" i="19"/>
  <c r="X121" i="19"/>
  <c r="AJ122" i="25"/>
  <c r="BJ125" i="19"/>
  <c r="AQ177" i="20"/>
  <c r="AH177" i="20" s="1"/>
  <c r="AT176" i="20"/>
  <c r="AK176" i="20" s="1"/>
  <c r="AC119" i="20"/>
  <c r="AR176" i="20"/>
  <c r="AI176" i="20" s="1"/>
  <c r="AS176" i="20"/>
  <c r="AJ176" i="20" s="1"/>
  <c r="R121" i="25" l="1"/>
  <c r="BV126" i="19"/>
  <c r="AZ127" i="25" s="1"/>
  <c r="BA126" i="25"/>
  <c r="M126" i="25" s="1"/>
  <c r="BC123" i="25"/>
  <c r="BD122" i="25"/>
  <c r="P122" i="25" s="1"/>
  <c r="X122" i="19" s="1"/>
  <c r="BK120" i="19"/>
  <c r="BE121" i="25" s="1"/>
  <c r="Q121" i="25" s="1"/>
  <c r="AA120" i="19"/>
  <c r="AM121" i="25"/>
  <c r="BC121" i="20" s="1"/>
  <c r="AN121" i="25"/>
  <c r="Q177" i="20"/>
  <c r="CB177" i="20" s="1"/>
  <c r="R177" i="20"/>
  <c r="CC177" i="20" s="1"/>
  <c r="K120" i="20"/>
  <c r="BV120" i="20" s="1"/>
  <c r="S177" i="20"/>
  <c r="CD177" i="20" s="1"/>
  <c r="P178" i="20"/>
  <c r="CA178" i="20" s="1"/>
  <c r="W126" i="19" l="1"/>
  <c r="AG127" i="25"/>
  <c r="AZ127" i="20" s="1"/>
  <c r="L127" i="25"/>
  <c r="O123" i="25"/>
  <c r="AI124" i="25" s="1"/>
  <c r="Y121" i="19"/>
  <c r="AK122" i="25"/>
  <c r="BB122" i="20" s="1"/>
  <c r="CA121" i="19"/>
  <c r="BH121" i="25"/>
  <c r="BJ126" i="19"/>
  <c r="AJ123" i="25"/>
  <c r="Z121" i="19"/>
  <c r="AL122" i="25"/>
  <c r="AT177" i="20"/>
  <c r="AK177" i="20" s="1"/>
  <c r="AQ178" i="20"/>
  <c r="AH178" i="20" s="1"/>
  <c r="AL120" i="20"/>
  <c r="BM120" i="19" s="1"/>
  <c r="BG121" i="25" s="1"/>
  <c r="AS177" i="20"/>
  <c r="AJ177" i="20" s="1"/>
  <c r="AR177" i="20"/>
  <c r="AI177" i="20" s="1"/>
  <c r="S121" i="25" l="1"/>
  <c r="T121" i="25"/>
  <c r="BX122" i="19"/>
  <c r="BD123" i="25" s="1"/>
  <c r="AF128" i="25"/>
  <c r="BI127" i="19"/>
  <c r="V127" i="19"/>
  <c r="BY122" i="19"/>
  <c r="BF122" i="25"/>
  <c r="BB125" i="25"/>
  <c r="BV127" i="19"/>
  <c r="BC124" i="25"/>
  <c r="O124" i="25" s="1"/>
  <c r="AI125" i="25" s="1"/>
  <c r="R178" i="20"/>
  <c r="CC178" i="20" s="1"/>
  <c r="AC120" i="20"/>
  <c r="Q178" i="20"/>
  <c r="CB178" i="20" s="1"/>
  <c r="S178" i="20"/>
  <c r="CD178" i="20" s="1"/>
  <c r="P179" i="20"/>
  <c r="CA179" i="20" s="1"/>
  <c r="R122" i="25" l="1"/>
  <c r="Z122" i="19" s="1"/>
  <c r="N125" i="25"/>
  <c r="AH126" i="25" s="1"/>
  <c r="AA121" i="19"/>
  <c r="BK121" i="19"/>
  <c r="BE122" i="25" s="1"/>
  <c r="Q122" i="25" s="1"/>
  <c r="AM122" i="25"/>
  <c r="BC122" i="20" s="1"/>
  <c r="AZ128" i="25"/>
  <c r="L128" i="25" s="1"/>
  <c r="AO122" i="25"/>
  <c r="AN122" i="25"/>
  <c r="P123" i="25"/>
  <c r="AT178" i="20"/>
  <c r="AK178" i="20" s="1"/>
  <c r="AQ179" i="20"/>
  <c r="AH179" i="20" s="1"/>
  <c r="AR178" i="20"/>
  <c r="AI178" i="20" s="1"/>
  <c r="K121" i="20"/>
  <c r="BV121" i="20" s="1"/>
  <c r="AS178" i="20"/>
  <c r="AJ178" i="20" s="1"/>
  <c r="BB126" i="25" l="1"/>
  <c r="N126" i="25" s="1"/>
  <c r="AH127" i="25" s="1"/>
  <c r="BA127" i="20" s="1"/>
  <c r="BA126" i="20"/>
  <c r="BI122" i="25"/>
  <c r="AF129" i="25"/>
  <c r="BI128" i="19"/>
  <c r="V128" i="19"/>
  <c r="X123" i="19"/>
  <c r="AJ124" i="25"/>
  <c r="CA122" i="19"/>
  <c r="BH122" i="25"/>
  <c r="AL123" i="25"/>
  <c r="Y122" i="19"/>
  <c r="AK123" i="25"/>
  <c r="BB123" i="20" s="1"/>
  <c r="BW126" i="19"/>
  <c r="BA127" i="25" s="1"/>
  <c r="R179" i="20"/>
  <c r="CC179" i="20" s="1"/>
  <c r="Q179" i="20"/>
  <c r="CB179" i="20" s="1"/>
  <c r="P180" i="20"/>
  <c r="CA180" i="20" s="1"/>
  <c r="AL121" i="20"/>
  <c r="BM121" i="19" s="1"/>
  <c r="BG122" i="25" s="1"/>
  <c r="S122" i="25" s="1"/>
  <c r="S179" i="20"/>
  <c r="CD179" i="20" s="1"/>
  <c r="BK122" i="19" l="1"/>
  <c r="BE123" i="25" s="1"/>
  <c r="Q123" i="25" s="1"/>
  <c r="Y123" i="19" s="1"/>
  <c r="AA122" i="19"/>
  <c r="AM123" i="25"/>
  <c r="BC123" i="20" s="1"/>
  <c r="BW127" i="19"/>
  <c r="BY123" i="19"/>
  <c r="BF123" i="25"/>
  <c r="U122" i="25"/>
  <c r="M127" i="25"/>
  <c r="BX123" i="19"/>
  <c r="BD124" i="25" s="1"/>
  <c r="P124" i="25" s="1"/>
  <c r="X124" i="19" s="1"/>
  <c r="T122" i="25"/>
  <c r="AN123" i="25" s="1"/>
  <c r="CA123" i="19" s="1"/>
  <c r="BC125" i="25"/>
  <c r="AT179" i="20"/>
  <c r="AK179" i="20" s="1"/>
  <c r="AC121" i="20"/>
  <c r="AQ180" i="20"/>
  <c r="AH180" i="20" s="1"/>
  <c r="AR179" i="20"/>
  <c r="AI179" i="20" s="1"/>
  <c r="AS179" i="20"/>
  <c r="AJ179" i="20" s="1"/>
  <c r="AO123" i="25" l="1"/>
  <c r="BI123" i="25" s="1"/>
  <c r="U123" i="25" s="1"/>
  <c r="AK124" i="25"/>
  <c r="O125" i="25"/>
  <c r="AI126" i="25" s="1"/>
  <c r="R123" i="25"/>
  <c r="BJ127" i="19"/>
  <c r="W127" i="19"/>
  <c r="AG128" i="25"/>
  <c r="AZ128" i="20" s="1"/>
  <c r="BH123" i="25"/>
  <c r="AJ125" i="25"/>
  <c r="R180" i="20"/>
  <c r="CC180" i="20" s="1"/>
  <c r="P181" i="20"/>
  <c r="CA181" i="20" s="1"/>
  <c r="Q180" i="20"/>
  <c r="CB180" i="20" s="1"/>
  <c r="K122" i="20"/>
  <c r="BV122" i="20" s="1"/>
  <c r="S180" i="20"/>
  <c r="CD180" i="20" s="1"/>
  <c r="BX124" i="19" l="1"/>
  <c r="BB124" i="20"/>
  <c r="BC126" i="25"/>
  <c r="O126" i="25" s="1"/>
  <c r="AI127" i="25" s="1"/>
  <c r="Z123" i="19"/>
  <c r="AL124" i="25"/>
  <c r="T123" i="25"/>
  <c r="BD125" i="25"/>
  <c r="BV128" i="19"/>
  <c r="AZ129" i="25" s="1"/>
  <c r="L129" i="25" s="1"/>
  <c r="BA128" i="25"/>
  <c r="BB127" i="25"/>
  <c r="AT180" i="20"/>
  <c r="AK180" i="20" s="1"/>
  <c r="AL122" i="20"/>
  <c r="BM122" i="19" s="1"/>
  <c r="BG123" i="25" s="1"/>
  <c r="S123" i="25" s="1"/>
  <c r="AR180" i="20"/>
  <c r="AI180" i="20" s="1"/>
  <c r="AQ181" i="20"/>
  <c r="AH181" i="20" s="1"/>
  <c r="AS180" i="20"/>
  <c r="AJ180" i="20" s="1"/>
  <c r="BY124" i="19" l="1"/>
  <c r="BF124" i="25"/>
  <c r="R124" i="25" s="1"/>
  <c r="Z124" i="19" s="1"/>
  <c r="AM124" i="25"/>
  <c r="BC124" i="20" s="1"/>
  <c r="AA123" i="19"/>
  <c r="BK123" i="19"/>
  <c r="BE124" i="25" s="1"/>
  <c r="Q124" i="25" s="1"/>
  <c r="M128" i="25"/>
  <c r="BJ128" i="19" s="1"/>
  <c r="AN124" i="25"/>
  <c r="P125" i="25"/>
  <c r="N127" i="25"/>
  <c r="AH128" i="25" s="1"/>
  <c r="BI129" i="19"/>
  <c r="V129" i="19"/>
  <c r="AF130" i="25"/>
  <c r="AO124" i="25"/>
  <c r="R181" i="20"/>
  <c r="CC181" i="20" s="1"/>
  <c r="Q181" i="20"/>
  <c r="CB181" i="20" s="1"/>
  <c r="AC122" i="20"/>
  <c r="P182" i="20"/>
  <c r="CA182" i="20" s="1"/>
  <c r="S181" i="20"/>
  <c r="CD181" i="20" s="1"/>
  <c r="BW128" i="19" l="1"/>
  <c r="BA128" i="20"/>
  <c r="BI124" i="25"/>
  <c r="U124" i="25" s="1"/>
  <c r="CA124" i="19"/>
  <c r="BH124" i="25"/>
  <c r="X125" i="19"/>
  <c r="AJ126" i="25"/>
  <c r="W128" i="19"/>
  <c r="AG129" i="25"/>
  <c r="AZ129" i="20" s="1"/>
  <c r="BB128" i="25"/>
  <c r="N128" i="25" s="1"/>
  <c r="AH129" i="25" s="1"/>
  <c r="BA129" i="20" s="1"/>
  <c r="Y124" i="19"/>
  <c r="AK125" i="25"/>
  <c r="BB125" i="20" s="1"/>
  <c r="AL125" i="25"/>
  <c r="BF125" i="25" s="1"/>
  <c r="AT181" i="20"/>
  <c r="AK181" i="20" s="1"/>
  <c r="AQ182" i="20"/>
  <c r="AH182" i="20" s="1"/>
  <c r="K123" i="20"/>
  <c r="BV123" i="20" s="1"/>
  <c r="AR181" i="20"/>
  <c r="AI181" i="20" s="1"/>
  <c r="AS181" i="20"/>
  <c r="AJ181" i="20" s="1"/>
  <c r="BW129" i="19" l="1"/>
  <c r="BV129" i="19"/>
  <c r="AZ130" i="25" s="1"/>
  <c r="BA129" i="25"/>
  <c r="BX125" i="19"/>
  <c r="BD126" i="25" s="1"/>
  <c r="P126" i="25" s="1"/>
  <c r="BY125" i="19"/>
  <c r="R125" i="25"/>
  <c r="Z125" i="19" s="1"/>
  <c r="BC127" i="25"/>
  <c r="T124" i="25"/>
  <c r="Q182" i="20"/>
  <c r="CB182" i="20" s="1"/>
  <c r="S182" i="20"/>
  <c r="CD182" i="20" s="1"/>
  <c r="AL123" i="20"/>
  <c r="BM123" i="19" s="1"/>
  <c r="BG124" i="25" s="1"/>
  <c r="R182" i="20"/>
  <c r="CC182" i="20" s="1"/>
  <c r="X126" i="19" l="1"/>
  <c r="AJ127" i="25"/>
  <c r="M129" i="25"/>
  <c r="BJ129" i="19" s="1"/>
  <c r="S124" i="25"/>
  <c r="AN125" i="25" s="1"/>
  <c r="AO125" i="25"/>
  <c r="O127" i="25"/>
  <c r="AI128" i="25" s="1"/>
  <c r="BB129" i="25" s="1"/>
  <c r="L130" i="25"/>
  <c r="AC123" i="20"/>
  <c r="AT182" i="20"/>
  <c r="AK182" i="20" s="1"/>
  <c r="AS182" i="20"/>
  <c r="AJ182" i="20" s="1"/>
  <c r="AR182" i="20"/>
  <c r="AI182" i="20" s="1"/>
  <c r="CA125" i="19" l="1"/>
  <c r="BH125" i="25"/>
  <c r="W129" i="19"/>
  <c r="AG130" i="25"/>
  <c r="AZ130" i="20" s="1"/>
  <c r="N129" i="25"/>
  <c r="AH130" i="25" s="1"/>
  <c r="BK124" i="19"/>
  <c r="BE125" i="25" s="1"/>
  <c r="Q125" i="25" s="1"/>
  <c r="AA124" i="19"/>
  <c r="AM125" i="25"/>
  <c r="BC125" i="20" s="1"/>
  <c r="BI125" i="25"/>
  <c r="U125" i="25" s="1"/>
  <c r="BI130" i="19"/>
  <c r="V130" i="19"/>
  <c r="AF131" i="25"/>
  <c r="BC128" i="25"/>
  <c r="K124" i="20"/>
  <c r="BV124" i="20" s="1"/>
  <c r="BW130" i="19" l="1"/>
  <c r="BA130" i="20"/>
  <c r="O128" i="25"/>
  <c r="AI129" i="25" s="1"/>
  <c r="Y125" i="19"/>
  <c r="AK126" i="25"/>
  <c r="BB126" i="20" s="1"/>
  <c r="AL126" i="25"/>
  <c r="T125" i="25"/>
  <c r="BA130" i="25"/>
  <c r="BV130" i="19"/>
  <c r="AZ131" i="25" s="1"/>
  <c r="AL124" i="20"/>
  <c r="BM124" i="19" s="1"/>
  <c r="BG125" i="25" s="1"/>
  <c r="S125" i="25" l="1"/>
  <c r="AN126" i="25" s="1"/>
  <c r="L131" i="25"/>
  <c r="BY126" i="19"/>
  <c r="BF126" i="25"/>
  <c r="BB130" i="25"/>
  <c r="N130" i="25" s="1"/>
  <c r="M130" i="25"/>
  <c r="BX126" i="19"/>
  <c r="BD127" i="25" s="1"/>
  <c r="P127" i="25" s="1"/>
  <c r="AO126" i="25"/>
  <c r="AC124" i="20"/>
  <c r="AH131" i="25" l="1"/>
  <c r="BA131" i="20" s="1"/>
  <c r="BI131" i="19"/>
  <c r="V131" i="19"/>
  <c r="AF132" i="25"/>
  <c r="X127" i="19"/>
  <c r="AJ128" i="25"/>
  <c r="CA126" i="19"/>
  <c r="BH126" i="25"/>
  <c r="BI126" i="25"/>
  <c r="W130" i="19"/>
  <c r="AG131" i="25"/>
  <c r="AZ131" i="20" s="1"/>
  <c r="AA125" i="19"/>
  <c r="BK125" i="19"/>
  <c r="BE126" i="25" s="1"/>
  <c r="Q126" i="25" s="1"/>
  <c r="AM126" i="25"/>
  <c r="BC126" i="20" s="1"/>
  <c r="BW131" i="19"/>
  <c r="R126" i="25"/>
  <c r="BJ130" i="19"/>
  <c r="K125" i="20"/>
  <c r="BV125" i="20" s="1"/>
  <c r="U126" i="25" l="1"/>
  <c r="Z126" i="19"/>
  <c r="AL127" i="25"/>
  <c r="BV131" i="19"/>
  <c r="AZ132" i="25" s="1"/>
  <c r="BA131" i="25"/>
  <c r="Y126" i="19"/>
  <c r="AK127" i="25"/>
  <c r="BB127" i="20" s="1"/>
  <c r="T126" i="25"/>
  <c r="BC129" i="25"/>
  <c r="AL125" i="20"/>
  <c r="BM125" i="19" s="1"/>
  <c r="BG126" i="25" s="1"/>
  <c r="AO127" i="25" l="1"/>
  <c r="BI127" i="25" s="1"/>
  <c r="L132" i="25"/>
  <c r="S126" i="25"/>
  <c r="AN127" i="25" s="1"/>
  <c r="BX127" i="19"/>
  <c r="BD128" i="25" s="1"/>
  <c r="P128" i="25" s="1"/>
  <c r="O129" i="25"/>
  <c r="AI130" i="25" s="1"/>
  <c r="BY127" i="19"/>
  <c r="BF127" i="25"/>
  <c r="R127" i="25" s="1"/>
  <c r="Z127" i="19" s="1"/>
  <c r="M131" i="25"/>
  <c r="BJ131" i="19" s="1"/>
  <c r="AC125" i="20"/>
  <c r="CA127" i="19" l="1"/>
  <c r="BH127" i="25"/>
  <c r="W131" i="19"/>
  <c r="AG132" i="25"/>
  <c r="AZ132" i="20" s="1"/>
  <c r="U127" i="25"/>
  <c r="BB131" i="25"/>
  <c r="N131" i="25" s="1"/>
  <c r="AH132" i="25" s="1"/>
  <c r="BA132" i="20" s="1"/>
  <c r="BI132" i="19"/>
  <c r="V132" i="19"/>
  <c r="AF133" i="25"/>
  <c r="BK126" i="19"/>
  <c r="BE127" i="25" s="1"/>
  <c r="Q127" i="25" s="1"/>
  <c r="AA126" i="19"/>
  <c r="AM127" i="25"/>
  <c r="BC127" i="20" s="1"/>
  <c r="X128" i="19"/>
  <c r="AJ129" i="25"/>
  <c r="K126" i="20"/>
  <c r="BV126" i="20" s="1"/>
  <c r="Y127" i="19" l="1"/>
  <c r="AK128" i="25"/>
  <c r="BB128" i="20" s="1"/>
  <c r="T127" i="25"/>
  <c r="AO128" i="25" s="1"/>
  <c r="BC130" i="25"/>
  <c r="BW132" i="19"/>
  <c r="BV132" i="19"/>
  <c r="AZ133" i="25" s="1"/>
  <c r="L133" i="25" s="1"/>
  <c r="BA132" i="25"/>
  <c r="AL128" i="25"/>
  <c r="AL126" i="20"/>
  <c r="BM126" i="19" s="1"/>
  <c r="BG127" i="25" s="1"/>
  <c r="S127" i="25" l="1"/>
  <c r="AN128" i="25" s="1"/>
  <c r="BI128" i="25"/>
  <c r="U128" i="25" s="1"/>
  <c r="V133" i="19"/>
  <c r="BI133" i="19"/>
  <c r="O130" i="25"/>
  <c r="AI131" i="25" s="1"/>
  <c r="M132" i="25"/>
  <c r="BJ132" i="19" s="1"/>
  <c r="BX128" i="19"/>
  <c r="BD129" i="25" s="1"/>
  <c r="P129" i="25" s="1"/>
  <c r="AF134" i="25"/>
  <c r="BY128" i="19"/>
  <c r="BF128" i="25"/>
  <c r="AC126" i="20"/>
  <c r="R128" i="25" l="1"/>
  <c r="CA128" i="19"/>
  <c r="BH128" i="25"/>
  <c r="BB132" i="25"/>
  <c r="X129" i="19"/>
  <c r="AJ130" i="25"/>
  <c r="BC131" i="25" s="1"/>
  <c r="W132" i="19"/>
  <c r="AG133" i="25"/>
  <c r="AZ133" i="20" s="1"/>
  <c r="AA127" i="19"/>
  <c r="BK127" i="19"/>
  <c r="BE128" i="25" s="1"/>
  <c r="Q128" i="25" s="1"/>
  <c r="AM128" i="25"/>
  <c r="BC128" i="20" s="1"/>
  <c r="K127" i="20"/>
  <c r="BV127" i="20" s="1"/>
  <c r="O131" i="25" l="1"/>
  <c r="AI132" i="25" s="1"/>
  <c r="BV133" i="19"/>
  <c r="AZ134" i="25" s="1"/>
  <c r="L134" i="25" s="1"/>
  <c r="BA133" i="25"/>
  <c r="Z128" i="19"/>
  <c r="AL129" i="25"/>
  <c r="Y128" i="19"/>
  <c r="AK129" i="25"/>
  <c r="BB129" i="20" s="1"/>
  <c r="N132" i="25"/>
  <c r="AH133" i="25" s="1"/>
  <c r="BA133" i="20" s="1"/>
  <c r="T128" i="25"/>
  <c r="AL127" i="20"/>
  <c r="BM127" i="19" s="1"/>
  <c r="BG128" i="25" s="1"/>
  <c r="BB133" i="25" l="1"/>
  <c r="N133" i="25" s="1"/>
  <c r="S128" i="25"/>
  <c r="BY129" i="19"/>
  <c r="BF129" i="25"/>
  <c r="BI134" i="19"/>
  <c r="V134" i="19"/>
  <c r="AF135" i="25"/>
  <c r="BW133" i="19"/>
  <c r="AO129" i="25"/>
  <c r="AN129" i="25"/>
  <c r="BX129" i="19"/>
  <c r="BD130" i="25" s="1"/>
  <c r="P130" i="25" s="1"/>
  <c r="M133" i="25"/>
  <c r="BJ133" i="19" s="1"/>
  <c r="AC127" i="20"/>
  <c r="AH134" i="25" l="1"/>
  <c r="X130" i="19"/>
  <c r="AJ131" i="25"/>
  <c r="W133" i="19"/>
  <c r="AG134" i="25"/>
  <c r="AZ134" i="20" s="1"/>
  <c r="CA129" i="19"/>
  <c r="BH129" i="25"/>
  <c r="R129" i="25"/>
  <c r="BK128" i="19"/>
  <c r="BE129" i="25" s="1"/>
  <c r="AA128" i="19"/>
  <c r="AM129" i="25"/>
  <c r="BC129" i="20" s="1"/>
  <c r="BI129" i="25"/>
  <c r="U129" i="25" s="1"/>
  <c r="K128" i="20"/>
  <c r="BV128" i="20" s="1"/>
  <c r="BW134" i="19" l="1"/>
  <c r="BA134" i="20"/>
  <c r="Q129" i="25"/>
  <c r="AL130" i="25" s="1"/>
  <c r="BV134" i="19"/>
  <c r="AZ135" i="25" s="1"/>
  <c r="BA134" i="25"/>
  <c r="T129" i="25"/>
  <c r="BC132" i="25"/>
  <c r="Z129" i="19"/>
  <c r="AL128" i="20"/>
  <c r="BM128" i="19" s="1"/>
  <c r="BG129" i="25" s="1"/>
  <c r="S129" i="25" l="1"/>
  <c r="BY130" i="19"/>
  <c r="BF130" i="25"/>
  <c r="R130" i="25" s="1"/>
  <c r="M134" i="25"/>
  <c r="BJ134" i="19" s="1"/>
  <c r="Y129" i="19"/>
  <c r="AK130" i="25"/>
  <c r="BB130" i="20" s="1"/>
  <c r="AN130" i="25"/>
  <c r="O132" i="25"/>
  <c r="AI133" i="25" s="1"/>
  <c r="L135" i="25"/>
  <c r="AO130" i="25"/>
  <c r="AC128" i="20"/>
  <c r="Z130" i="19" l="1"/>
  <c r="AF136" i="25"/>
  <c r="V135" i="19"/>
  <c r="BI135" i="19"/>
  <c r="CA130" i="19"/>
  <c r="BH130" i="25"/>
  <c r="T130" i="25" s="1"/>
  <c r="BX130" i="19"/>
  <c r="BD131" i="25" s="1"/>
  <c r="W134" i="19"/>
  <c r="AG135" i="25"/>
  <c r="AZ135" i="20" s="1"/>
  <c r="BI130" i="25"/>
  <c r="BB134" i="25"/>
  <c r="AA129" i="19"/>
  <c r="BK129" i="19"/>
  <c r="BE130" i="25" s="1"/>
  <c r="Q130" i="25" s="1"/>
  <c r="Y130" i="19" s="1"/>
  <c r="AM130" i="25"/>
  <c r="BC130" i="20" s="1"/>
  <c r="K129" i="20"/>
  <c r="BV129" i="20" s="1"/>
  <c r="N134" i="25" l="1"/>
  <c r="AH135" i="25" s="1"/>
  <c r="AK131" i="25"/>
  <c r="BB131" i="20" s="1"/>
  <c r="BV135" i="19"/>
  <c r="AZ136" i="25" s="1"/>
  <c r="L136" i="25" s="1"/>
  <c r="BA135" i="25"/>
  <c r="M135" i="25" s="1"/>
  <c r="P131" i="25"/>
  <c r="AL131" i="25"/>
  <c r="U130" i="25"/>
  <c r="AO131" i="25" s="1"/>
  <c r="AL129" i="20"/>
  <c r="BM129" i="19" s="1"/>
  <c r="BG130" i="25" s="1"/>
  <c r="BW135" i="19" l="1"/>
  <c r="BA135" i="20"/>
  <c r="W135" i="19"/>
  <c r="AG136" i="25"/>
  <c r="AZ136" i="20" s="1"/>
  <c r="S130" i="25"/>
  <c r="BI136" i="19"/>
  <c r="V136" i="19"/>
  <c r="AF137" i="25"/>
  <c r="BI131" i="25"/>
  <c r="BY131" i="19"/>
  <c r="BF131" i="25"/>
  <c r="R131" i="25" s="1"/>
  <c r="X131" i="19"/>
  <c r="AJ132" i="25"/>
  <c r="BX131" i="19"/>
  <c r="BJ135" i="19"/>
  <c r="BA136" i="25"/>
  <c r="AC129" i="20"/>
  <c r="Z131" i="19" l="1"/>
  <c r="BK130" i="19"/>
  <c r="BE131" i="25" s="1"/>
  <c r="Q131" i="25" s="1"/>
  <c r="AA130" i="19"/>
  <c r="AN131" i="25"/>
  <c r="AM131" i="25"/>
  <c r="BC131" i="20" s="1"/>
  <c r="BC133" i="25"/>
  <c r="BD132" i="25"/>
  <c r="P132" i="25" s="1"/>
  <c r="BV136" i="19"/>
  <c r="AZ137" i="25" s="1"/>
  <c r="L137" i="25" s="1"/>
  <c r="M136" i="25"/>
  <c r="W136" i="19" s="1"/>
  <c r="U131" i="25"/>
  <c r="K130" i="20"/>
  <c r="BV130" i="20" s="1"/>
  <c r="BJ136" i="19" l="1"/>
  <c r="X132" i="19"/>
  <c r="AJ133" i="25"/>
  <c r="BI137" i="19"/>
  <c r="V137" i="19"/>
  <c r="AF138" i="25"/>
  <c r="Y131" i="19"/>
  <c r="AK132" i="25"/>
  <c r="BB132" i="20" s="1"/>
  <c r="AG137" i="25"/>
  <c r="AZ137" i="20" s="1"/>
  <c r="CA131" i="19"/>
  <c r="BH131" i="25"/>
  <c r="AL132" i="25"/>
  <c r="O133" i="25"/>
  <c r="AI134" i="25" s="1"/>
  <c r="AL130" i="20"/>
  <c r="BM130" i="19" s="1"/>
  <c r="BG131" i="25" s="1"/>
  <c r="BC134" i="25" l="1"/>
  <c r="O134" i="25" s="1"/>
  <c r="AI135" i="25" s="1"/>
  <c r="S131" i="25"/>
  <c r="BY132" i="19"/>
  <c r="BF132" i="25"/>
  <c r="BB135" i="25"/>
  <c r="T131" i="25"/>
  <c r="BX132" i="19"/>
  <c r="BD133" i="25" s="1"/>
  <c r="BV137" i="19"/>
  <c r="AZ138" i="25" s="1"/>
  <c r="AC130" i="20"/>
  <c r="P133" i="25" l="1"/>
  <c r="L138" i="25"/>
  <c r="N135" i="25"/>
  <c r="AH136" i="25" s="1"/>
  <c r="BK131" i="19"/>
  <c r="BE132" i="25" s="1"/>
  <c r="Q132" i="25" s="1"/>
  <c r="AA131" i="19"/>
  <c r="AM132" i="25"/>
  <c r="BC132" i="20" s="1"/>
  <c r="AN132" i="25"/>
  <c r="AO132" i="25"/>
  <c r="R132" i="25"/>
  <c r="K131" i="20"/>
  <c r="BV131" i="20" s="1"/>
  <c r="BB136" i="25" l="1"/>
  <c r="N136" i="25" s="1"/>
  <c r="AH137" i="25" s="1"/>
  <c r="BA137" i="20" s="1"/>
  <c r="BA136" i="20"/>
  <c r="CA132" i="19"/>
  <c r="BH132" i="25"/>
  <c r="V138" i="19"/>
  <c r="BI138" i="19"/>
  <c r="AF139" i="25"/>
  <c r="BI132" i="25"/>
  <c r="Z132" i="19"/>
  <c r="AL133" i="25"/>
  <c r="X133" i="19"/>
  <c r="AJ134" i="25"/>
  <c r="Y132" i="19"/>
  <c r="AK133" i="25"/>
  <c r="BB133" i="20" s="1"/>
  <c r="BW136" i="19"/>
  <c r="BA137" i="25" s="1"/>
  <c r="AL131" i="20"/>
  <c r="BM131" i="19" s="1"/>
  <c r="BG132" i="25" s="1"/>
  <c r="BW137" i="19" l="1"/>
  <c r="S132" i="25"/>
  <c r="BX133" i="19"/>
  <c r="BD134" i="25" s="1"/>
  <c r="U132" i="25"/>
  <c r="M137" i="25"/>
  <c r="BC135" i="25"/>
  <c r="O135" i="25" s="1"/>
  <c r="AI136" i="25" s="1"/>
  <c r="BB137" i="25" s="1"/>
  <c r="BY133" i="19"/>
  <c r="BF133" i="25"/>
  <c r="T132" i="25"/>
  <c r="AC131" i="20"/>
  <c r="AN133" i="25" l="1"/>
  <c r="BH133" i="25" s="1"/>
  <c r="N137" i="25"/>
  <c r="AH138" i="25" s="1"/>
  <c r="BA138" i="20" s="1"/>
  <c r="R133" i="25"/>
  <c r="W137" i="19"/>
  <c r="AG138" i="25"/>
  <c r="AZ138" i="20" s="1"/>
  <c r="P134" i="25"/>
  <c r="BJ137" i="19"/>
  <c r="AO133" i="25"/>
  <c r="BK132" i="19"/>
  <c r="BE133" i="25" s="1"/>
  <c r="Q133" i="25" s="1"/>
  <c r="AA132" i="19"/>
  <c r="AM133" i="25"/>
  <c r="BC133" i="20" s="1"/>
  <c r="K132" i="20"/>
  <c r="BV132" i="20" s="1"/>
  <c r="CA133" i="19" l="1"/>
  <c r="T133" i="25"/>
  <c r="BA138" i="25"/>
  <c r="M138" i="25" s="1"/>
  <c r="BV138" i="19"/>
  <c r="AZ139" i="25" s="1"/>
  <c r="Z133" i="19"/>
  <c r="AL134" i="25"/>
  <c r="BI133" i="25"/>
  <c r="U133" i="25" s="1"/>
  <c r="BW138" i="19"/>
  <c r="Y133" i="19"/>
  <c r="AK134" i="25"/>
  <c r="BB134" i="20" s="1"/>
  <c r="X134" i="19"/>
  <c r="AJ135" i="25"/>
  <c r="AL132" i="20"/>
  <c r="BM132" i="19" s="1"/>
  <c r="BG133" i="25" s="1"/>
  <c r="AO134" i="25" l="1"/>
  <c r="S133" i="25"/>
  <c r="BI134" i="25"/>
  <c r="U134" i="25" s="1"/>
  <c r="W138" i="19"/>
  <c r="AG139" i="25"/>
  <c r="L139" i="25"/>
  <c r="BC136" i="25"/>
  <c r="BY134" i="19"/>
  <c r="BF134" i="25"/>
  <c r="BX134" i="19"/>
  <c r="BD135" i="25" s="1"/>
  <c r="BJ138" i="19"/>
  <c r="AC132" i="20"/>
  <c r="BA139" i="25" l="1"/>
  <c r="M139" i="25" s="1"/>
  <c r="W139" i="19" s="1"/>
  <c r="AZ139" i="20"/>
  <c r="P135" i="25"/>
  <c r="R134" i="25"/>
  <c r="Z134" i="19" s="1"/>
  <c r="BV139" i="19"/>
  <c r="O136" i="25"/>
  <c r="AI137" i="25" s="1"/>
  <c r="AA133" i="19"/>
  <c r="BK133" i="19"/>
  <c r="BE134" i="25" s="1"/>
  <c r="AN134" i="25"/>
  <c r="AM134" i="25"/>
  <c r="BC134" i="20" s="1"/>
  <c r="V139" i="19"/>
  <c r="BI139" i="19"/>
  <c r="AF140" i="25"/>
  <c r="K133" i="20"/>
  <c r="BV133" i="20" s="1"/>
  <c r="Q134" i="25" l="1"/>
  <c r="X135" i="19"/>
  <c r="AJ136" i="25"/>
  <c r="AZ140" i="25"/>
  <c r="BB138" i="25"/>
  <c r="CA134" i="19"/>
  <c r="BH134" i="25"/>
  <c r="AG140" i="25"/>
  <c r="AZ140" i="20" s="1"/>
  <c r="BJ139" i="19"/>
  <c r="AL133" i="20"/>
  <c r="BM133" i="19" s="1"/>
  <c r="BG134" i="25" s="1"/>
  <c r="AL135" i="25" l="1"/>
  <c r="Y134" i="19"/>
  <c r="AK135" i="25"/>
  <c r="BB135" i="20" s="1"/>
  <c r="S134" i="25"/>
  <c r="N138" i="25"/>
  <c r="AH139" i="25" s="1"/>
  <c r="BA139" i="20" s="1"/>
  <c r="L140" i="25"/>
  <c r="BV140" i="19"/>
  <c r="T134" i="25"/>
  <c r="BC137" i="25"/>
  <c r="O137" i="25" s="1"/>
  <c r="AI138" i="25" s="1"/>
  <c r="AC133" i="20"/>
  <c r="AO135" i="25" l="1"/>
  <c r="BI135" i="25" s="1"/>
  <c r="AN135" i="25"/>
  <c r="BW139" i="19"/>
  <c r="BA140" i="25" s="1"/>
  <c r="BX135" i="19"/>
  <c r="BD136" i="25" s="1"/>
  <c r="BB139" i="25"/>
  <c r="N139" i="25" s="1"/>
  <c r="AH140" i="25" s="1"/>
  <c r="BA140" i="20" s="1"/>
  <c r="AA134" i="19"/>
  <c r="BK134" i="19"/>
  <c r="BE135" i="25" s="1"/>
  <c r="AM135" i="25"/>
  <c r="BC135" i="20" s="1"/>
  <c r="BY135" i="19"/>
  <c r="BF135" i="25"/>
  <c r="BI140" i="19"/>
  <c r="V140" i="19"/>
  <c r="AF141" i="25"/>
  <c r="K134" i="20"/>
  <c r="BV134" i="20" s="1"/>
  <c r="BW140" i="19" l="1"/>
  <c r="AZ141" i="25"/>
  <c r="M140" i="25"/>
  <c r="R135" i="25"/>
  <c r="Q135" i="25"/>
  <c r="CA135" i="19"/>
  <c r="BH135" i="25"/>
  <c r="P136" i="25"/>
  <c r="U135" i="25"/>
  <c r="AL134" i="20"/>
  <c r="BM134" i="19" s="1"/>
  <c r="BG135" i="25" s="1"/>
  <c r="S135" i="25" s="1"/>
  <c r="BK135" i="19" l="1"/>
  <c r="AA135" i="19"/>
  <c r="AM136" i="25"/>
  <c r="BC136" i="20" s="1"/>
  <c r="Y135" i="19"/>
  <c r="AK136" i="25"/>
  <c r="BB136" i="20" s="1"/>
  <c r="W140" i="19"/>
  <c r="AG141" i="25"/>
  <c r="AZ141" i="20" s="1"/>
  <c r="X136" i="19"/>
  <c r="AJ137" i="25"/>
  <c r="Z135" i="19"/>
  <c r="AL136" i="25"/>
  <c r="T135" i="25"/>
  <c r="BJ140" i="19"/>
  <c r="L141" i="25"/>
  <c r="AC134" i="20"/>
  <c r="AO136" i="25" l="1"/>
  <c r="AN136" i="25"/>
  <c r="BC138" i="25"/>
  <c r="BX136" i="19"/>
  <c r="BD137" i="25" s="1"/>
  <c r="BE136" i="25"/>
  <c r="V141" i="19"/>
  <c r="BI141" i="19"/>
  <c r="AF142" i="25"/>
  <c r="BY136" i="19"/>
  <c r="BF136" i="25"/>
  <c r="BV141" i="19"/>
  <c r="BA141" i="25"/>
  <c r="M141" i="25" s="1"/>
  <c r="W141" i="19" s="1"/>
  <c r="K135" i="20"/>
  <c r="BV135" i="20" s="1"/>
  <c r="P137" i="25" l="1"/>
  <c r="Q136" i="25"/>
  <c r="BI136" i="25"/>
  <c r="U136" i="25" s="1"/>
  <c r="AZ142" i="25"/>
  <c r="L142" i="25" s="1"/>
  <c r="AF143" i="25" s="1"/>
  <c r="BJ141" i="19"/>
  <c r="O138" i="25"/>
  <c r="AI139" i="25" s="1"/>
  <c r="BB140" i="25" s="1"/>
  <c r="R136" i="25"/>
  <c r="AG142" i="25"/>
  <c r="AZ142" i="20" s="1"/>
  <c r="CA136" i="19"/>
  <c r="BH136" i="25"/>
  <c r="AL135" i="20"/>
  <c r="BM135" i="19" s="1"/>
  <c r="BG136" i="25" s="1"/>
  <c r="BV142" i="19" l="1"/>
  <c r="AZ143" i="25" s="1"/>
  <c r="L143" i="25" s="1"/>
  <c r="Y136" i="19"/>
  <c r="AK137" i="25"/>
  <c r="BB137" i="20" s="1"/>
  <c r="N140" i="25"/>
  <c r="AH141" i="25" s="1"/>
  <c r="BA141" i="20" s="1"/>
  <c r="Z136" i="19"/>
  <c r="AL137" i="25"/>
  <c r="X137" i="19"/>
  <c r="AJ138" i="25"/>
  <c r="BC139" i="25" s="1"/>
  <c r="S136" i="25"/>
  <c r="T136" i="25"/>
  <c r="BI142" i="19"/>
  <c r="V142" i="19"/>
  <c r="AC135" i="20"/>
  <c r="BY137" i="19" l="1"/>
  <c r="BF137" i="25"/>
  <c r="AA136" i="19"/>
  <c r="BK136" i="19"/>
  <c r="BE137" i="25" s="1"/>
  <c r="Q137" i="25" s="1"/>
  <c r="AM137" i="25"/>
  <c r="BC137" i="20" s="1"/>
  <c r="BX137" i="19"/>
  <c r="O139" i="25"/>
  <c r="AI140" i="25" s="1"/>
  <c r="BW141" i="19"/>
  <c r="BA142" i="25" s="1"/>
  <c r="AF144" i="25"/>
  <c r="BI143" i="19"/>
  <c r="V143" i="19"/>
  <c r="BD138" i="25"/>
  <c r="AN137" i="25"/>
  <c r="AO137" i="25"/>
  <c r="K136" i="20"/>
  <c r="BV136" i="20" s="1"/>
  <c r="Y137" i="19" l="1"/>
  <c r="AK138" i="25"/>
  <c r="BB138" i="20" s="1"/>
  <c r="M142" i="25"/>
  <c r="BJ142" i="19" s="1"/>
  <c r="CA137" i="19"/>
  <c r="BH137" i="25"/>
  <c r="R137" i="25"/>
  <c r="BI137" i="25"/>
  <c r="U137" i="25" s="1"/>
  <c r="BB141" i="25"/>
  <c r="N141" i="25" s="1"/>
  <c r="AH142" i="25" s="1"/>
  <c r="BA142" i="20" s="1"/>
  <c r="P138" i="25"/>
  <c r="AL136" i="20"/>
  <c r="BM136" i="19" s="1"/>
  <c r="BG137" i="25" s="1"/>
  <c r="S137" i="25" l="1"/>
  <c r="Z137" i="19"/>
  <c r="AL138" i="25"/>
  <c r="T137" i="25"/>
  <c r="AO138" i="25" s="1"/>
  <c r="W142" i="19"/>
  <c r="AG143" i="25"/>
  <c r="AZ143" i="20" s="1"/>
  <c r="BX138" i="19"/>
  <c r="BW142" i="19"/>
  <c r="X138" i="19"/>
  <c r="AJ139" i="25"/>
  <c r="AC136" i="20"/>
  <c r="BY138" i="19" l="1"/>
  <c r="BF138" i="25"/>
  <c r="BI138" i="25"/>
  <c r="AA137" i="19"/>
  <c r="BK137" i="19"/>
  <c r="BE138" i="25" s="1"/>
  <c r="Q138" i="25" s="1"/>
  <c r="AM138" i="25"/>
  <c r="BC138" i="20" s="1"/>
  <c r="BC140" i="25"/>
  <c r="BD139" i="25"/>
  <c r="BV143" i="19"/>
  <c r="AZ144" i="25" s="1"/>
  <c r="L144" i="25" s="1"/>
  <c r="BA143" i="25"/>
  <c r="AN138" i="25"/>
  <c r="K137" i="20"/>
  <c r="BV137" i="20" s="1"/>
  <c r="CA138" i="19" l="1"/>
  <c r="BH138" i="25"/>
  <c r="O140" i="25"/>
  <c r="AI141" i="25" s="1"/>
  <c r="BI144" i="19"/>
  <c r="V144" i="19"/>
  <c r="AF145" i="25"/>
  <c r="P139" i="25"/>
  <c r="M143" i="25"/>
  <c r="BJ143" i="19" s="1"/>
  <c r="Y138" i="19"/>
  <c r="AK139" i="25"/>
  <c r="BB139" i="20" s="1"/>
  <c r="U138" i="25"/>
  <c r="R138" i="25"/>
  <c r="AL137" i="20"/>
  <c r="BM137" i="19" s="1"/>
  <c r="BG138" i="25" s="1"/>
  <c r="S138" i="25" l="1"/>
  <c r="BB142" i="25"/>
  <c r="N142" i="25" s="1"/>
  <c r="AH143" i="25" s="1"/>
  <c r="BA143" i="20" s="1"/>
  <c r="Z138" i="19"/>
  <c r="AL139" i="25"/>
  <c r="X139" i="19"/>
  <c r="AJ140" i="25"/>
  <c r="T138" i="25"/>
  <c r="AO139" i="25" s="1"/>
  <c r="W143" i="19"/>
  <c r="AG144" i="25"/>
  <c r="AZ144" i="20" s="1"/>
  <c r="BX139" i="19"/>
  <c r="AC137" i="20"/>
  <c r="BY139" i="19" l="1"/>
  <c r="BF139" i="25"/>
  <c r="BW143" i="19"/>
  <c r="BA144" i="25" s="1"/>
  <c r="M144" i="25" s="1"/>
  <c r="BI139" i="25"/>
  <c r="U139" i="25" s="1"/>
  <c r="BV144" i="19"/>
  <c r="AZ145" i="25" s="1"/>
  <c r="L145" i="25" s="1"/>
  <c r="BD140" i="25"/>
  <c r="P140" i="25" s="1"/>
  <c r="X140" i="19" s="1"/>
  <c r="AN139" i="25"/>
  <c r="BK138" i="19"/>
  <c r="BE139" i="25" s="1"/>
  <c r="Q139" i="25" s="1"/>
  <c r="AA138" i="19"/>
  <c r="AM139" i="25"/>
  <c r="BC139" i="20" s="1"/>
  <c r="BC141" i="25"/>
  <c r="K138" i="20"/>
  <c r="BV138" i="20" s="1"/>
  <c r="AJ141" i="25" l="1"/>
  <c r="W144" i="19"/>
  <c r="AG145" i="25"/>
  <c r="AZ145" i="20" s="1"/>
  <c r="O141" i="25"/>
  <c r="AI142" i="25" s="1"/>
  <c r="Y139" i="19"/>
  <c r="AK140" i="25"/>
  <c r="BB140" i="20" s="1"/>
  <c r="CA139" i="19"/>
  <c r="BH139" i="25"/>
  <c r="T139" i="25" s="1"/>
  <c r="R139" i="25"/>
  <c r="BI145" i="19"/>
  <c r="V145" i="19"/>
  <c r="AF146" i="25"/>
  <c r="BJ144" i="19"/>
  <c r="AL138" i="20"/>
  <c r="BM138" i="19" s="1"/>
  <c r="BG139" i="25" s="1"/>
  <c r="BC142" i="25" l="1"/>
  <c r="AO140" i="25"/>
  <c r="S139" i="25"/>
  <c r="AN140" i="25" s="1"/>
  <c r="Z139" i="19"/>
  <c r="AL140" i="25"/>
  <c r="BX140" i="19"/>
  <c r="BD141" i="25" s="1"/>
  <c r="P141" i="25" s="1"/>
  <c r="BV145" i="19"/>
  <c r="AZ146" i="25" s="1"/>
  <c r="L146" i="25" s="1"/>
  <c r="BB143" i="25"/>
  <c r="O142" i="25"/>
  <c r="AI143" i="25" s="1"/>
  <c r="AC138" i="20"/>
  <c r="CA140" i="19" l="1"/>
  <c r="BH140" i="25"/>
  <c r="V146" i="19"/>
  <c r="BI146" i="19"/>
  <c r="BY140" i="19"/>
  <c r="BF140" i="25"/>
  <c r="R140" i="25" s="1"/>
  <c r="Z140" i="19" s="1"/>
  <c r="X141" i="19"/>
  <c r="AJ142" i="25"/>
  <c r="N143" i="25"/>
  <c r="AH144" i="25" s="1"/>
  <c r="BA144" i="20" s="1"/>
  <c r="BK139" i="19"/>
  <c r="BE140" i="25" s="1"/>
  <c r="AA139" i="19"/>
  <c r="AM140" i="25"/>
  <c r="BC140" i="20" s="1"/>
  <c r="AF147" i="25"/>
  <c r="BI140" i="25"/>
  <c r="K139" i="20"/>
  <c r="BV139" i="20" s="1"/>
  <c r="Q140" i="25" l="1"/>
  <c r="BW144" i="19"/>
  <c r="BA145" i="25" s="1"/>
  <c r="T140" i="25"/>
  <c r="U140" i="25"/>
  <c r="BC143" i="25"/>
  <c r="BB144" i="25"/>
  <c r="AL139" i="20"/>
  <c r="BM139" i="19" s="1"/>
  <c r="BG140" i="25" s="1"/>
  <c r="S140" i="25" l="1"/>
  <c r="N144" i="25"/>
  <c r="AH145" i="25" s="1"/>
  <c r="Y140" i="19"/>
  <c r="AK141" i="25"/>
  <c r="BB141" i="20" s="1"/>
  <c r="O143" i="25"/>
  <c r="AI144" i="25" s="1"/>
  <c r="M145" i="25"/>
  <c r="AN141" i="25"/>
  <c r="AL141" i="25"/>
  <c r="AO141" i="25"/>
  <c r="AC139" i="20"/>
  <c r="BW145" i="19" l="1"/>
  <c r="BA145" i="20"/>
  <c r="W145" i="19"/>
  <c r="AG146" i="25"/>
  <c r="AZ146" i="20" s="1"/>
  <c r="BB145" i="25"/>
  <c r="CA141" i="19"/>
  <c r="BH141" i="25"/>
  <c r="BI141" i="25"/>
  <c r="BX141" i="19"/>
  <c r="BD142" i="25" s="1"/>
  <c r="P142" i="25" s="1"/>
  <c r="BY141" i="19"/>
  <c r="BF141" i="25"/>
  <c r="R141" i="25" s="1"/>
  <c r="Z141" i="19" s="1"/>
  <c r="BJ145" i="19"/>
  <c r="BK140" i="19"/>
  <c r="BE141" i="25" s="1"/>
  <c r="AA140" i="19"/>
  <c r="AM141" i="25"/>
  <c r="BC141" i="20" s="1"/>
  <c r="K140" i="20"/>
  <c r="BV140" i="20" s="1"/>
  <c r="Q141" i="25" l="1"/>
  <c r="AL142" i="25" s="1"/>
  <c r="BV146" i="19"/>
  <c r="AZ147" i="25" s="1"/>
  <c r="L147" i="25" s="1"/>
  <c r="BA146" i="25"/>
  <c r="M146" i="25" s="1"/>
  <c r="N145" i="25"/>
  <c r="AH146" i="25" s="1"/>
  <c r="BA146" i="20" s="1"/>
  <c r="X142" i="19"/>
  <c r="AJ143" i="25"/>
  <c r="T141" i="25"/>
  <c r="U141" i="25"/>
  <c r="AL140" i="20"/>
  <c r="BM140" i="19" s="1"/>
  <c r="BG141" i="25" s="1"/>
  <c r="W146" i="19" l="1"/>
  <c r="AG147" i="25"/>
  <c r="AZ147" i="20" s="1"/>
  <c r="S141" i="25"/>
  <c r="AN142" i="25" s="1"/>
  <c r="BY142" i="19"/>
  <c r="BC144" i="25"/>
  <c r="BW146" i="19"/>
  <c r="BI147" i="19"/>
  <c r="V147" i="19"/>
  <c r="AF148" i="25"/>
  <c r="Y141" i="19"/>
  <c r="AK142" i="25"/>
  <c r="BB142" i="20" s="1"/>
  <c r="BF142" i="25"/>
  <c r="AO142" i="25"/>
  <c r="BI142" i="25" s="1"/>
  <c r="U142" i="25" s="1"/>
  <c r="BJ146" i="19"/>
  <c r="BA147" i="25"/>
  <c r="AC140" i="20"/>
  <c r="O144" i="25" l="1"/>
  <c r="AI145" i="25" s="1"/>
  <c r="R142" i="25"/>
  <c r="BK141" i="19"/>
  <c r="AA141" i="19"/>
  <c r="AM142" i="25"/>
  <c r="BC142" i="20" s="1"/>
  <c r="BX142" i="19"/>
  <c r="BD143" i="25" s="1"/>
  <c r="P143" i="25" s="1"/>
  <c r="BE142" i="25"/>
  <c r="CA142" i="19"/>
  <c r="BH142" i="25"/>
  <c r="BV147" i="19"/>
  <c r="AZ148" i="25" s="1"/>
  <c r="L148" i="25" s="1"/>
  <c r="M147" i="25"/>
  <c r="W147" i="19" s="1"/>
  <c r="K141" i="20"/>
  <c r="BV141" i="20" s="1"/>
  <c r="BI148" i="19" l="1"/>
  <c r="V148" i="19"/>
  <c r="X143" i="19"/>
  <c r="AJ144" i="25"/>
  <c r="BJ147" i="19"/>
  <c r="BB146" i="25"/>
  <c r="AF149" i="25"/>
  <c r="AG148" i="25"/>
  <c r="AZ148" i="20" s="1"/>
  <c r="T142" i="25"/>
  <c r="Q142" i="25"/>
  <c r="AL143" i="25" s="1"/>
  <c r="Z142" i="19"/>
  <c r="AL141" i="20"/>
  <c r="BM141" i="19" s="1"/>
  <c r="BG142" i="25" s="1"/>
  <c r="S142" i="25" s="1"/>
  <c r="BK142" i="19" l="1"/>
  <c r="AA142" i="19"/>
  <c r="AM143" i="25"/>
  <c r="BC143" i="20" s="1"/>
  <c r="BY143" i="19"/>
  <c r="BF143" i="25"/>
  <c r="Y142" i="19"/>
  <c r="AK143" i="25"/>
  <c r="BB143" i="20" s="1"/>
  <c r="N146" i="25"/>
  <c r="AH147" i="25" s="1"/>
  <c r="BA147" i="20" s="1"/>
  <c r="BV148" i="19"/>
  <c r="AZ149" i="25" s="1"/>
  <c r="L149" i="25" s="1"/>
  <c r="AF150" i="25" s="1"/>
  <c r="AN143" i="25"/>
  <c r="AO143" i="25"/>
  <c r="BC145" i="25"/>
  <c r="AC141" i="20"/>
  <c r="BI143" i="25" l="1"/>
  <c r="U143" i="25" s="1"/>
  <c r="CA143" i="19"/>
  <c r="BH143" i="25"/>
  <c r="T143" i="25" s="1"/>
  <c r="R143" i="25"/>
  <c r="V149" i="19"/>
  <c r="BI149" i="19"/>
  <c r="BW147" i="19"/>
  <c r="BA148" i="25" s="1"/>
  <c r="O145" i="25"/>
  <c r="AI146" i="25" s="1"/>
  <c r="BX143" i="19"/>
  <c r="BD144" i="25" s="1"/>
  <c r="BE143" i="25"/>
  <c r="K142" i="20"/>
  <c r="BV142" i="20" s="1"/>
  <c r="AO144" i="25" l="1"/>
  <c r="BI144" i="25" s="1"/>
  <c r="P144" i="25"/>
  <c r="M148" i="25"/>
  <c r="BJ148" i="19" s="1"/>
  <c r="BB147" i="25"/>
  <c r="Z143" i="19"/>
  <c r="Q143" i="25"/>
  <c r="AL144" i="25" s="1"/>
  <c r="AL142" i="20"/>
  <c r="BM142" i="19" s="1"/>
  <c r="BG143" i="25" s="1"/>
  <c r="BY144" i="19" l="1"/>
  <c r="BF144" i="25"/>
  <c r="N147" i="25"/>
  <c r="AH148" i="25" s="1"/>
  <c r="BA148" i="20" s="1"/>
  <c r="U144" i="25"/>
  <c r="W148" i="19"/>
  <c r="AG149" i="25"/>
  <c r="AZ149" i="20" s="1"/>
  <c r="S143" i="25"/>
  <c r="Y143" i="19"/>
  <c r="AK144" i="25"/>
  <c r="BB144" i="20" s="1"/>
  <c r="X144" i="19"/>
  <c r="AJ145" i="25"/>
  <c r="AC142" i="20"/>
  <c r="BC146" i="25" l="1"/>
  <c r="AN144" i="25"/>
  <c r="BK143" i="19"/>
  <c r="AA143" i="19"/>
  <c r="AM144" i="25"/>
  <c r="BC144" i="20" s="1"/>
  <c r="BX144" i="19"/>
  <c r="BD145" i="25" s="1"/>
  <c r="BE144" i="25"/>
  <c r="Q144" i="25" s="1"/>
  <c r="Y144" i="19" s="1"/>
  <c r="BV149" i="19"/>
  <c r="AZ150" i="25" s="1"/>
  <c r="BW148" i="19"/>
  <c r="BA149" i="25" s="1"/>
  <c r="R144" i="25"/>
  <c r="K143" i="20"/>
  <c r="BV143" i="20" s="1"/>
  <c r="M149" i="25" l="1"/>
  <c r="BJ149" i="19" s="1"/>
  <c r="L150" i="25"/>
  <c r="O146" i="25"/>
  <c r="AI147" i="25" s="1"/>
  <c r="Z144" i="19"/>
  <c r="AL145" i="25"/>
  <c r="AK145" i="25"/>
  <c r="BB145" i="20" s="1"/>
  <c r="CA144" i="19"/>
  <c r="BH144" i="25"/>
  <c r="T144" i="25" s="1"/>
  <c r="P145" i="25"/>
  <c r="AL143" i="20"/>
  <c r="BM143" i="19" s="1"/>
  <c r="BG144" i="25" s="1"/>
  <c r="S144" i="25" l="1"/>
  <c r="AO145" i="25"/>
  <c r="AN145" i="25"/>
  <c r="V150" i="19"/>
  <c r="BI150" i="19"/>
  <c r="AF151" i="25"/>
  <c r="X145" i="19"/>
  <c r="AJ146" i="25"/>
  <c r="BX145" i="19"/>
  <c r="BB148" i="25"/>
  <c r="BY145" i="19"/>
  <c r="BF145" i="25"/>
  <c r="W149" i="19"/>
  <c r="AG150" i="25"/>
  <c r="AZ150" i="20" s="1"/>
  <c r="AC143" i="20"/>
  <c r="CA145" i="19" l="1"/>
  <c r="BV150" i="19"/>
  <c r="AZ151" i="25" s="1"/>
  <c r="L151" i="25" s="1"/>
  <c r="BI145" i="25"/>
  <c r="BH145" i="25"/>
  <c r="BK144" i="19"/>
  <c r="BE145" i="25" s="1"/>
  <c r="Q145" i="25" s="1"/>
  <c r="AA144" i="19"/>
  <c r="AM145" i="25"/>
  <c r="BC145" i="20" s="1"/>
  <c r="R145" i="25"/>
  <c r="N148" i="25"/>
  <c r="AH149" i="25" s="1"/>
  <c r="BA149" i="20" s="1"/>
  <c r="BC147" i="25"/>
  <c r="BD146" i="25"/>
  <c r="K144" i="20"/>
  <c r="BV144" i="20" s="1"/>
  <c r="BI151" i="19" l="1"/>
  <c r="V151" i="19"/>
  <c r="P146" i="25"/>
  <c r="AF152" i="25"/>
  <c r="BW149" i="19"/>
  <c r="BA150" i="25" s="1"/>
  <c r="O147" i="25"/>
  <c r="AI148" i="25" s="1"/>
  <c r="T145" i="25"/>
  <c r="Z145" i="19"/>
  <c r="AL146" i="25"/>
  <c r="Y145" i="19"/>
  <c r="AK146" i="25"/>
  <c r="BB146" i="20" s="1"/>
  <c r="U145" i="25"/>
  <c r="AL144" i="20"/>
  <c r="BM144" i="19" s="1"/>
  <c r="BG145" i="25" s="1"/>
  <c r="AO146" i="25" l="1"/>
  <c r="BI146" i="25" s="1"/>
  <c r="S145" i="25"/>
  <c r="X146" i="19"/>
  <c r="AJ147" i="25"/>
  <c r="BX146" i="19"/>
  <c r="M150" i="25"/>
  <c r="BY146" i="19"/>
  <c r="BF146" i="25"/>
  <c r="BB149" i="25"/>
  <c r="AC144" i="20"/>
  <c r="U146" i="25" l="1"/>
  <c r="W150" i="19"/>
  <c r="AG151" i="25"/>
  <c r="AZ151" i="20" s="1"/>
  <c r="AA145" i="19"/>
  <c r="BK145" i="19"/>
  <c r="BE146" i="25" s="1"/>
  <c r="Q146" i="25" s="1"/>
  <c r="AM146" i="25"/>
  <c r="BC146" i="20" s="1"/>
  <c r="BJ150" i="19"/>
  <c r="BD147" i="25"/>
  <c r="P147" i="25" s="1"/>
  <c r="BC148" i="25"/>
  <c r="R146" i="25"/>
  <c r="N149" i="25"/>
  <c r="AH150" i="25" s="1"/>
  <c r="AN146" i="25"/>
  <c r="K145" i="20"/>
  <c r="BV145" i="20" s="1"/>
  <c r="BW150" i="19" l="1"/>
  <c r="BA150" i="20"/>
  <c r="X147" i="19"/>
  <c r="AJ148" i="25"/>
  <c r="CA146" i="19"/>
  <c r="BH146" i="25"/>
  <c r="Z146" i="19"/>
  <c r="AL147" i="25"/>
  <c r="O148" i="25"/>
  <c r="AI149" i="25" s="1"/>
  <c r="BB150" i="25" s="1"/>
  <c r="BV151" i="19"/>
  <c r="AZ152" i="25" s="1"/>
  <c r="L152" i="25" s="1"/>
  <c r="BA151" i="25"/>
  <c r="M151" i="25" s="1"/>
  <c r="AG152" i="25" s="1"/>
  <c r="AZ152" i="20" s="1"/>
  <c r="Y146" i="19"/>
  <c r="AK147" i="25"/>
  <c r="BB147" i="20" s="1"/>
  <c r="AL145" i="20"/>
  <c r="BM145" i="19" s="1"/>
  <c r="BG146" i="25" s="1"/>
  <c r="BC149" i="25" l="1"/>
  <c r="S146" i="25"/>
  <c r="BV152" i="19"/>
  <c r="BX147" i="19"/>
  <c r="BD148" i="25" s="1"/>
  <c r="P148" i="25" s="1"/>
  <c r="BJ151" i="19"/>
  <c r="W151" i="19"/>
  <c r="BY147" i="19"/>
  <c r="BF147" i="25"/>
  <c r="V152" i="19"/>
  <c r="BI152" i="19"/>
  <c r="AF153" i="25"/>
  <c r="N150" i="25"/>
  <c r="AH151" i="25" s="1"/>
  <c r="BA151" i="20" s="1"/>
  <c r="O149" i="25"/>
  <c r="AI150" i="25" s="1"/>
  <c r="T146" i="25"/>
  <c r="AC145" i="20"/>
  <c r="X148" i="19" l="1"/>
  <c r="AJ149" i="25"/>
  <c r="BC150" i="25" s="1"/>
  <c r="O150" i="25" s="1"/>
  <c r="AI151" i="25" s="1"/>
  <c r="AZ153" i="25"/>
  <c r="L153" i="25" s="1"/>
  <c r="AO147" i="25"/>
  <c r="BI147" i="25" s="1"/>
  <c r="AN147" i="25"/>
  <c r="BB151" i="25"/>
  <c r="BW151" i="19"/>
  <c r="BA152" i="25" s="1"/>
  <c r="R147" i="25"/>
  <c r="Z147" i="19" s="1"/>
  <c r="AA146" i="19"/>
  <c r="BK146" i="19"/>
  <c r="BE147" i="25" s="1"/>
  <c r="AM147" i="25"/>
  <c r="BC147" i="20" s="1"/>
  <c r="K146" i="20"/>
  <c r="BV146" i="20" s="1"/>
  <c r="V153" i="19" l="1"/>
  <c r="BI153" i="19"/>
  <c r="CA147" i="19"/>
  <c r="BH147" i="25"/>
  <c r="M152" i="25"/>
  <c r="U147" i="25"/>
  <c r="Q147" i="25"/>
  <c r="N151" i="25"/>
  <c r="AH152" i="25" s="1"/>
  <c r="AF154" i="25"/>
  <c r="AL146" i="20"/>
  <c r="BM146" i="19" s="1"/>
  <c r="BG147" i="25" s="1"/>
  <c r="BB152" i="25" l="1"/>
  <c r="N152" i="25" s="1"/>
  <c r="AH153" i="25" s="1"/>
  <c r="BA153" i="20" s="1"/>
  <c r="BA152" i="20"/>
  <c r="S147" i="25"/>
  <c r="AL148" i="25"/>
  <c r="Y147" i="19"/>
  <c r="AK148" i="25"/>
  <c r="BB148" i="20" s="1"/>
  <c r="BJ152" i="19"/>
  <c r="W152" i="19"/>
  <c r="AG153" i="25"/>
  <c r="AZ153" i="20" s="1"/>
  <c r="BW152" i="19"/>
  <c r="T147" i="25"/>
  <c r="AC146" i="20"/>
  <c r="BW153" i="19" l="1"/>
  <c r="BY148" i="19"/>
  <c r="BF148" i="25"/>
  <c r="BV153" i="19"/>
  <c r="AZ154" i="25" s="1"/>
  <c r="L154" i="25" s="1"/>
  <c r="BA153" i="25"/>
  <c r="AO148" i="25"/>
  <c r="BI148" i="25" s="1"/>
  <c r="AN148" i="25"/>
  <c r="BX148" i="19"/>
  <c r="BD149" i="25" s="1"/>
  <c r="P149" i="25" s="1"/>
  <c r="BK147" i="19"/>
  <c r="BE148" i="25" s="1"/>
  <c r="AA147" i="19"/>
  <c r="AM148" i="25"/>
  <c r="BC148" i="20" s="1"/>
  <c r="K147" i="20"/>
  <c r="BV147" i="20" s="1"/>
  <c r="Q148" i="25" l="1"/>
  <c r="X149" i="19"/>
  <c r="AJ150" i="25"/>
  <c r="CA148" i="19"/>
  <c r="BH148" i="25"/>
  <c r="M153" i="25"/>
  <c r="R148" i="25"/>
  <c r="U148" i="25"/>
  <c r="V154" i="19"/>
  <c r="BI154" i="19"/>
  <c r="AF155" i="25"/>
  <c r="AL147" i="20"/>
  <c r="BM147" i="19" s="1"/>
  <c r="BG148" i="25" s="1"/>
  <c r="S148" i="25" l="1"/>
  <c r="T148" i="25"/>
  <c r="AO149" i="25" s="1"/>
  <c r="BJ153" i="19"/>
  <c r="W153" i="19"/>
  <c r="AG154" i="25"/>
  <c r="AZ154" i="20" s="1"/>
  <c r="Y148" i="19"/>
  <c r="AK149" i="25"/>
  <c r="BB149" i="20" s="1"/>
  <c r="Z148" i="19"/>
  <c r="AL149" i="25"/>
  <c r="BC151" i="25"/>
  <c r="O151" i="25" s="1"/>
  <c r="AI152" i="25" s="1"/>
  <c r="AC147" i="20"/>
  <c r="BX149" i="19" l="1"/>
  <c r="BD150" i="25" s="1"/>
  <c r="P150" i="25" s="1"/>
  <c r="BV154" i="19"/>
  <c r="AZ155" i="25" s="1"/>
  <c r="BA154" i="25"/>
  <c r="AN149" i="25"/>
  <c r="AA148" i="19"/>
  <c r="BK148" i="19"/>
  <c r="BE149" i="25" s="1"/>
  <c r="Q149" i="25" s="1"/>
  <c r="AM149" i="25"/>
  <c r="BC149" i="20" s="1"/>
  <c r="BB153" i="25"/>
  <c r="BI149" i="25"/>
  <c r="U149" i="25" s="1"/>
  <c r="BY149" i="19"/>
  <c r="BF149" i="25"/>
  <c r="K148" i="20"/>
  <c r="BV148" i="20" s="1"/>
  <c r="Y149" i="19" l="1"/>
  <c r="AK150" i="25"/>
  <c r="BB150" i="20" s="1"/>
  <c r="L155" i="25"/>
  <c r="R149" i="25"/>
  <c r="CA149" i="19"/>
  <c r="BH149" i="25"/>
  <c r="N153" i="25"/>
  <c r="AH154" i="25" s="1"/>
  <c r="BA154" i="20" s="1"/>
  <c r="M154" i="25"/>
  <c r="X150" i="19"/>
  <c r="AJ151" i="25"/>
  <c r="AL148" i="20"/>
  <c r="BM148" i="19" s="1"/>
  <c r="BG149" i="25" s="1"/>
  <c r="S149" i="25" l="1"/>
  <c r="BC152" i="25"/>
  <c r="W154" i="19"/>
  <c r="AG155" i="25"/>
  <c r="AZ155" i="20" s="1"/>
  <c r="BW154" i="19"/>
  <c r="Z149" i="19"/>
  <c r="AL150" i="25"/>
  <c r="BX150" i="19"/>
  <c r="BD151" i="25" s="1"/>
  <c r="P151" i="25" s="1"/>
  <c r="BJ154" i="19"/>
  <c r="T149" i="25"/>
  <c r="V155" i="19"/>
  <c r="BI155" i="19"/>
  <c r="AF156" i="25"/>
  <c r="AC148" i="20"/>
  <c r="X151" i="19" l="1"/>
  <c r="AJ152" i="25"/>
  <c r="AO150" i="25"/>
  <c r="AN150" i="25"/>
  <c r="BY150" i="19"/>
  <c r="BF150" i="25"/>
  <c r="BV155" i="19"/>
  <c r="AZ156" i="25" s="1"/>
  <c r="BA155" i="25"/>
  <c r="M155" i="25" s="1"/>
  <c r="BK149" i="19"/>
  <c r="BE150" i="25" s="1"/>
  <c r="AA149" i="19"/>
  <c r="AM150" i="25"/>
  <c r="BC150" i="20" s="1"/>
  <c r="O152" i="25"/>
  <c r="AI153" i="25" s="1"/>
  <c r="BC153" i="25" s="1"/>
  <c r="K149" i="20"/>
  <c r="BV149" i="20" s="1"/>
  <c r="BJ155" i="19" l="1"/>
  <c r="W155" i="19"/>
  <c r="AG156" i="25"/>
  <c r="AZ156" i="20" s="1"/>
  <c r="L156" i="25"/>
  <c r="O153" i="25"/>
  <c r="AI154" i="25" s="1"/>
  <c r="BB154" i="25"/>
  <c r="Q150" i="25"/>
  <c r="CA150" i="19"/>
  <c r="BH150" i="25"/>
  <c r="R150" i="25"/>
  <c r="BI150" i="25"/>
  <c r="AL149" i="20"/>
  <c r="BM149" i="19" s="1"/>
  <c r="BG150" i="25" s="1"/>
  <c r="N154" i="25" l="1"/>
  <c r="AH155" i="25" s="1"/>
  <c r="BA155" i="20" s="1"/>
  <c r="BV156" i="19"/>
  <c r="Z150" i="19"/>
  <c r="AL151" i="25"/>
  <c r="S150" i="25"/>
  <c r="T150" i="25"/>
  <c r="U150" i="25"/>
  <c r="Y150" i="19"/>
  <c r="AK151" i="25"/>
  <c r="BB151" i="20" s="1"/>
  <c r="V156" i="19"/>
  <c r="BI156" i="19"/>
  <c r="AF157" i="25"/>
  <c r="AC149" i="20"/>
  <c r="AN151" i="25" l="1"/>
  <c r="CA151" i="19" s="1"/>
  <c r="BW155" i="19"/>
  <c r="BA156" i="25" s="1"/>
  <c r="AZ157" i="25"/>
  <c r="L157" i="25" s="1"/>
  <c r="AF158" i="25" s="1"/>
  <c r="AA150" i="19"/>
  <c r="BK150" i="19"/>
  <c r="BE151" i="25" s="1"/>
  <c r="Q151" i="25" s="1"/>
  <c r="Y151" i="19" s="1"/>
  <c r="AM151" i="25"/>
  <c r="BC151" i="20" s="1"/>
  <c r="BB155" i="25"/>
  <c r="AO151" i="25"/>
  <c r="BY151" i="19"/>
  <c r="BF151" i="25"/>
  <c r="BX151" i="19"/>
  <c r="BD152" i="25" s="1"/>
  <c r="K150" i="20"/>
  <c r="BV150" i="20" s="1"/>
  <c r="BH151" i="25" l="1"/>
  <c r="T151" i="25" s="1"/>
  <c r="M156" i="25"/>
  <c r="AK152" i="25"/>
  <c r="BB152" i="20" s="1"/>
  <c r="V157" i="19"/>
  <c r="BI157" i="19"/>
  <c r="P152" i="25"/>
  <c r="BI151" i="25"/>
  <c r="R151" i="25"/>
  <c r="N155" i="25"/>
  <c r="AH156" i="25" s="1"/>
  <c r="BA156" i="20" s="1"/>
  <c r="AL150" i="20"/>
  <c r="BM150" i="19" s="1"/>
  <c r="BG151" i="25" s="1"/>
  <c r="BX152" i="19" l="1"/>
  <c r="S151" i="25"/>
  <c r="BW156" i="19"/>
  <c r="X152" i="19"/>
  <c r="AJ153" i="25"/>
  <c r="W156" i="19"/>
  <c r="AG157" i="25"/>
  <c r="AZ157" i="20" s="1"/>
  <c r="Z151" i="19"/>
  <c r="AL152" i="25"/>
  <c r="U151" i="25"/>
  <c r="AO152" i="25" s="1"/>
  <c r="BI152" i="25" s="1"/>
  <c r="BJ156" i="19"/>
  <c r="AC150" i="20"/>
  <c r="BC154" i="25" l="1"/>
  <c r="BD153" i="25"/>
  <c r="P153" i="25" s="1"/>
  <c r="X153" i="19" s="1"/>
  <c r="BY152" i="19"/>
  <c r="BF152" i="25"/>
  <c r="BV157" i="19"/>
  <c r="AZ158" i="25" s="1"/>
  <c r="L158" i="25" s="1"/>
  <c r="BA157" i="25"/>
  <c r="M157" i="25" s="1"/>
  <c r="BK151" i="19"/>
  <c r="BE152" i="25" s="1"/>
  <c r="AA151" i="19"/>
  <c r="AN152" i="25"/>
  <c r="AM152" i="25"/>
  <c r="BC152" i="20" s="1"/>
  <c r="U152" i="25"/>
  <c r="K151" i="20"/>
  <c r="BV151" i="20" s="1"/>
  <c r="B4" i="19"/>
  <c r="Q152" i="25" l="1"/>
  <c r="AF159" i="25"/>
  <c r="V158" i="19"/>
  <c r="BI158" i="19"/>
  <c r="BJ157" i="19"/>
  <c r="O154" i="25"/>
  <c r="AI155" i="25" s="1"/>
  <c r="W157" i="19"/>
  <c r="CA152" i="19"/>
  <c r="BH152" i="25"/>
  <c r="R152" i="25"/>
  <c r="AG158" i="25"/>
  <c r="AZ158" i="20" s="1"/>
  <c r="AJ154" i="25"/>
  <c r="AL151" i="20"/>
  <c r="BM151" i="19" s="1"/>
  <c r="BG152" i="25" s="1"/>
  <c r="BC155" i="25" l="1"/>
  <c r="O155" i="25" s="1"/>
  <c r="AI156" i="25" s="1"/>
  <c r="S152" i="25"/>
  <c r="BV158" i="19"/>
  <c r="AZ159" i="25" s="1"/>
  <c r="L159" i="25" s="1"/>
  <c r="Z152" i="19"/>
  <c r="AL153" i="25"/>
  <c r="BB156" i="25"/>
  <c r="Y152" i="19"/>
  <c r="AK153" i="25"/>
  <c r="BB153" i="20" s="1"/>
  <c r="T152" i="25"/>
  <c r="AB5" i="19"/>
  <c r="B5" i="19" s="1"/>
  <c r="L5" i="22" s="1"/>
  <c r="AC151" i="20"/>
  <c r="BI159" i="19" l="1"/>
  <c r="V159" i="19"/>
  <c r="AF160" i="25"/>
  <c r="BX153" i="19"/>
  <c r="BD154" i="25" s="1"/>
  <c r="P154" i="25" s="1"/>
  <c r="BY153" i="19"/>
  <c r="BF153" i="25"/>
  <c r="AO153" i="25"/>
  <c r="AN153" i="25"/>
  <c r="AA152" i="19"/>
  <c r="BK152" i="19"/>
  <c r="BE153" i="25" s="1"/>
  <c r="AM153" i="25"/>
  <c r="BC153" i="20" s="1"/>
  <c r="N156" i="25"/>
  <c r="AH157" i="25" s="1"/>
  <c r="AB6" i="19"/>
  <c r="B6" i="19" s="1"/>
  <c r="L6" i="22" s="1"/>
  <c r="K152" i="20"/>
  <c r="BV152" i="20" s="1"/>
  <c r="BB157" i="25" l="1"/>
  <c r="N157" i="25" s="1"/>
  <c r="AH158" i="25" s="1"/>
  <c r="BA158" i="20" s="1"/>
  <c r="BA157" i="20"/>
  <c r="Q153" i="25"/>
  <c r="BW157" i="19"/>
  <c r="BA158" i="25" s="1"/>
  <c r="CA153" i="19"/>
  <c r="BH153" i="25"/>
  <c r="R153" i="25"/>
  <c r="BI153" i="25"/>
  <c r="U153" i="25" s="1"/>
  <c r="X154" i="19"/>
  <c r="AJ155" i="25"/>
  <c r="C6" i="19"/>
  <c r="AB7" i="19"/>
  <c r="B7" i="19" s="1"/>
  <c r="L7" i="22" s="1"/>
  <c r="AL152" i="20"/>
  <c r="BM152" i="19" s="1"/>
  <c r="BG153" i="25" s="1"/>
  <c r="S153" i="25" s="1"/>
  <c r="BK153" i="19" l="1"/>
  <c r="AA153" i="19"/>
  <c r="AM154" i="25"/>
  <c r="BC154" i="20" s="1"/>
  <c r="M158" i="25"/>
  <c r="Y153" i="19"/>
  <c r="AK154" i="25"/>
  <c r="BB154" i="20" s="1"/>
  <c r="BC156" i="25"/>
  <c r="O156" i="25" s="1"/>
  <c r="AI157" i="25" s="1"/>
  <c r="BB158" i="25" s="1"/>
  <c r="Z153" i="19"/>
  <c r="AL154" i="25"/>
  <c r="T153" i="25"/>
  <c r="AN154" i="25" s="1"/>
  <c r="BH154" i="25" s="1"/>
  <c r="BW158" i="19"/>
  <c r="M6" i="22"/>
  <c r="C7" i="19"/>
  <c r="M7" i="22" s="1"/>
  <c r="AC152" i="20"/>
  <c r="T154" i="25" l="1"/>
  <c r="BY154" i="19"/>
  <c r="BF154" i="25"/>
  <c r="R154" i="25" s="1"/>
  <c r="Z154" i="19" s="1"/>
  <c r="BJ158" i="19"/>
  <c r="W158" i="19"/>
  <c r="AG159" i="25"/>
  <c r="AZ159" i="20" s="1"/>
  <c r="CA154" i="19"/>
  <c r="N158" i="25"/>
  <c r="AH159" i="25" s="1"/>
  <c r="BA159" i="20" s="1"/>
  <c r="BX154" i="19"/>
  <c r="BD155" i="25" s="1"/>
  <c r="P155" i="25" s="1"/>
  <c r="BE154" i="25"/>
  <c r="Q154" i="25" s="1"/>
  <c r="Y154" i="19" s="1"/>
  <c r="AO154" i="25"/>
  <c r="BI154" i="25" s="1"/>
  <c r="AB8" i="19"/>
  <c r="B8" i="19" s="1"/>
  <c r="L8" i="22" s="1"/>
  <c r="K153" i="20"/>
  <c r="BV153" i="20" s="1"/>
  <c r="U154" i="25" l="1"/>
  <c r="AK155" i="25"/>
  <c r="BB155" i="20" s="1"/>
  <c r="BV159" i="19"/>
  <c r="AZ160" i="25" s="1"/>
  <c r="BA159" i="25"/>
  <c r="AL155" i="25"/>
  <c r="X155" i="19"/>
  <c r="AJ156" i="25"/>
  <c r="BW159" i="19"/>
  <c r="AO155" i="25"/>
  <c r="BI155" i="25" s="1"/>
  <c r="AB9" i="19"/>
  <c r="B9" i="19" s="1"/>
  <c r="L9" i="22" s="1"/>
  <c r="AD7" i="19"/>
  <c r="D7" i="19" s="1"/>
  <c r="N7" i="22" s="1"/>
  <c r="AD8" i="19"/>
  <c r="D8" i="19" s="1"/>
  <c r="N8" i="22" s="1"/>
  <c r="C8" i="19"/>
  <c r="M8" i="22" s="1"/>
  <c r="AL153" i="20"/>
  <c r="BM153" i="19" s="1"/>
  <c r="BG154" i="25" s="1"/>
  <c r="U155" i="25" l="1"/>
  <c r="BY155" i="19"/>
  <c r="M159" i="25"/>
  <c r="BJ159" i="19" s="1"/>
  <c r="BF155" i="25"/>
  <c r="BC157" i="25"/>
  <c r="S154" i="25"/>
  <c r="L160" i="25"/>
  <c r="BX155" i="19"/>
  <c r="BD156" i="25" s="1"/>
  <c r="P156" i="25" s="1"/>
  <c r="AF8" i="19"/>
  <c r="F8" i="19" s="1"/>
  <c r="AT11" i="25" s="1"/>
  <c r="E8" i="19"/>
  <c r="O8" i="22" s="1"/>
  <c r="E9" i="19"/>
  <c r="O9" i="22" s="1"/>
  <c r="C9" i="19"/>
  <c r="M9" i="22" s="1"/>
  <c r="AC153" i="20"/>
  <c r="X156" i="19" l="1"/>
  <c r="AJ157" i="25"/>
  <c r="BK154" i="19"/>
  <c r="BE155" i="25" s="1"/>
  <c r="AA154" i="19"/>
  <c r="AM155" i="25"/>
  <c r="BC155" i="20" s="1"/>
  <c r="AN155" i="25"/>
  <c r="O157" i="25"/>
  <c r="AI158" i="25" s="1"/>
  <c r="R155" i="25"/>
  <c r="V160" i="19"/>
  <c r="BI160" i="19"/>
  <c r="AF161" i="25"/>
  <c r="W159" i="19"/>
  <c r="AG160" i="25"/>
  <c r="AZ160" i="20" s="1"/>
  <c r="F11" i="25"/>
  <c r="AF9" i="19"/>
  <c r="F9" i="19" s="1"/>
  <c r="AH9" i="19"/>
  <c r="H9" i="19" s="1"/>
  <c r="R9" i="22" s="1"/>
  <c r="BH9" i="19"/>
  <c r="AG9" i="19"/>
  <c r="G9" i="19" s="1"/>
  <c r="AD9" i="19"/>
  <c r="D9" i="19" s="1"/>
  <c r="N9" i="22" s="1"/>
  <c r="K154" i="20"/>
  <c r="BV154" i="20" s="1"/>
  <c r="Z155" i="19" l="1"/>
  <c r="BA160" i="25"/>
  <c r="M160" i="25" s="1"/>
  <c r="W160" i="19" s="1"/>
  <c r="BV160" i="19"/>
  <c r="AZ161" i="25" s="1"/>
  <c r="L161" i="25" s="1"/>
  <c r="BB159" i="25"/>
  <c r="Q155" i="25"/>
  <c r="CA155" i="19"/>
  <c r="BH155" i="25"/>
  <c r="BC158" i="25"/>
  <c r="S11" i="19"/>
  <c r="BF11" i="19"/>
  <c r="AY12" i="25" s="1"/>
  <c r="Z12" i="25"/>
  <c r="AV12" i="20" s="1"/>
  <c r="AA12" i="25"/>
  <c r="AJ10" i="19"/>
  <c r="J10" i="19" s="1"/>
  <c r="AI10" i="19"/>
  <c r="I10" i="19" s="1"/>
  <c r="S10" i="22" s="1"/>
  <c r="AB10" i="19"/>
  <c r="B10" i="19" s="1"/>
  <c r="L10" i="22" s="1"/>
  <c r="AL154" i="20"/>
  <c r="BM154" i="19" s="1"/>
  <c r="BG155" i="25" s="1"/>
  <c r="S155" i="25" s="1"/>
  <c r="BS12" i="19" l="1"/>
  <c r="AW12" i="20"/>
  <c r="AA155" i="19"/>
  <c r="BK155" i="19"/>
  <c r="AM156" i="25"/>
  <c r="BC156" i="20" s="1"/>
  <c r="V161" i="19"/>
  <c r="BI161" i="19"/>
  <c r="Y155" i="19"/>
  <c r="AK156" i="25"/>
  <c r="BB156" i="20" s="1"/>
  <c r="AL156" i="25"/>
  <c r="T155" i="25"/>
  <c r="N159" i="25"/>
  <c r="AH160" i="25" s="1"/>
  <c r="AG161" i="25"/>
  <c r="AZ161" i="20" s="1"/>
  <c r="O158" i="25"/>
  <c r="AI159" i="25" s="1"/>
  <c r="BJ160" i="19"/>
  <c r="AF162" i="25"/>
  <c r="K12" i="25"/>
  <c r="AE13" i="25" s="1"/>
  <c r="AY13" i="20" s="1"/>
  <c r="AU12" i="25"/>
  <c r="G12" i="25" s="1"/>
  <c r="AS13" i="25"/>
  <c r="AK11" i="19"/>
  <c r="K11" i="19" s="1"/>
  <c r="AH10" i="19"/>
  <c r="H10" i="19" s="1"/>
  <c r="R10" i="22" s="1"/>
  <c r="BH10" i="19"/>
  <c r="AT12" i="25"/>
  <c r="C10" i="19"/>
  <c r="M10" i="22" s="1"/>
  <c r="AB11" i="19"/>
  <c r="B11" i="19" s="1"/>
  <c r="L11" i="22" s="1"/>
  <c r="AG10" i="19"/>
  <c r="G10" i="19" s="1"/>
  <c r="AD10" i="19"/>
  <c r="D10" i="19" s="1"/>
  <c r="N10" i="22" s="1"/>
  <c r="AF10" i="19"/>
  <c r="F10" i="19" s="1"/>
  <c r="AC154" i="20"/>
  <c r="BW160" i="19" l="1"/>
  <c r="BA160" i="20"/>
  <c r="BA161" i="25"/>
  <c r="M161" i="25" s="1"/>
  <c r="W161" i="19" s="1"/>
  <c r="BY156" i="19"/>
  <c r="BF156" i="25"/>
  <c r="BV161" i="19"/>
  <c r="AZ162" i="25" s="1"/>
  <c r="AO156" i="25"/>
  <c r="AN156" i="25"/>
  <c r="BB160" i="25"/>
  <c r="BX156" i="19"/>
  <c r="BD157" i="25" s="1"/>
  <c r="BE156" i="25"/>
  <c r="F12" i="25"/>
  <c r="BF12" i="19" s="1"/>
  <c r="AY13" i="25" s="1"/>
  <c r="K13" i="25" s="1"/>
  <c r="AE14" i="25" s="1"/>
  <c r="AY14" i="20" s="1"/>
  <c r="AB13" i="25"/>
  <c r="E13" i="25"/>
  <c r="BE13" i="19" s="1"/>
  <c r="AJ11" i="19"/>
  <c r="J11" i="19" s="1"/>
  <c r="E10" i="19"/>
  <c r="O10" i="22" s="1"/>
  <c r="AI11" i="19"/>
  <c r="I11" i="19" s="1"/>
  <c r="S11" i="22" s="1"/>
  <c r="C11" i="19"/>
  <c r="M11" i="22" s="1"/>
  <c r="K155" i="20"/>
  <c r="BV155" i="20" s="1"/>
  <c r="L162" i="25" l="1"/>
  <c r="BI156" i="25"/>
  <c r="U156" i="25" s="1"/>
  <c r="P157" i="25"/>
  <c r="N160" i="25"/>
  <c r="AH161" i="25" s="1"/>
  <c r="BA161" i="20" s="1"/>
  <c r="AG162" i="25"/>
  <c r="AZ162" i="20" s="1"/>
  <c r="CA156" i="19"/>
  <c r="BH156" i="25"/>
  <c r="T156" i="25" s="1"/>
  <c r="Q156" i="25"/>
  <c r="R156" i="25"/>
  <c r="BJ161" i="19"/>
  <c r="Y14" i="25"/>
  <c r="R13" i="19"/>
  <c r="Z13" i="25"/>
  <c r="AV13" i="20" s="1"/>
  <c r="S12" i="19"/>
  <c r="AV13" i="25"/>
  <c r="AA13" i="25"/>
  <c r="AG11" i="19"/>
  <c r="G11" i="19" s="1"/>
  <c r="AH11" i="19"/>
  <c r="H11" i="19" s="1"/>
  <c r="R11" i="22" s="1"/>
  <c r="BH11" i="19"/>
  <c r="AL12" i="19"/>
  <c r="AL155" i="20"/>
  <c r="BM155" i="19" s="1"/>
  <c r="BG156" i="25" s="1"/>
  <c r="S156" i="25" s="1"/>
  <c r="BS13" i="19" l="1"/>
  <c r="AW13" i="20"/>
  <c r="AN157" i="25"/>
  <c r="CA157" i="19" s="1"/>
  <c r="AO157" i="25"/>
  <c r="BI157" i="25" s="1"/>
  <c r="Y156" i="19"/>
  <c r="AK157" i="25"/>
  <c r="BB157" i="20" s="1"/>
  <c r="X157" i="19"/>
  <c r="AJ158" i="25"/>
  <c r="BV162" i="19"/>
  <c r="V162" i="19"/>
  <c r="BI162" i="19"/>
  <c r="AF163" i="25"/>
  <c r="BW161" i="19"/>
  <c r="BA162" i="25" s="1"/>
  <c r="AA156" i="19"/>
  <c r="BK156" i="19"/>
  <c r="AM157" i="25"/>
  <c r="BC157" i="20" s="1"/>
  <c r="Z156" i="19"/>
  <c r="AL157" i="25"/>
  <c r="AS14" i="25"/>
  <c r="E14" i="25" s="1"/>
  <c r="BE14" i="19" s="1"/>
  <c r="BQ14" i="19"/>
  <c r="AR15" i="25" s="1"/>
  <c r="AT13" i="25"/>
  <c r="F13" i="25" s="1"/>
  <c r="BF13" i="19" s="1"/>
  <c r="AY14" i="25" s="1"/>
  <c r="AU13" i="25"/>
  <c r="G13" i="25" s="1"/>
  <c r="H13" i="25"/>
  <c r="L12" i="19"/>
  <c r="T12" i="22" s="1"/>
  <c r="V13" i="22"/>
  <c r="BU13" i="19" s="1"/>
  <c r="AX14" i="25" s="1"/>
  <c r="J14" i="25" s="1"/>
  <c r="U14" i="19" s="1"/>
  <c r="C12" i="19"/>
  <c r="M12" i="22" s="1"/>
  <c r="AJ12" i="19"/>
  <c r="J12" i="19" s="1"/>
  <c r="E11" i="19"/>
  <c r="O11" i="22" s="1"/>
  <c r="AF11" i="19"/>
  <c r="F11" i="19" s="1"/>
  <c r="AB12" i="19"/>
  <c r="B12" i="19" s="1"/>
  <c r="L12" i="22" s="1"/>
  <c r="AD11" i="19"/>
  <c r="D11" i="19" s="1"/>
  <c r="N11" i="22" s="1"/>
  <c r="AC155" i="20"/>
  <c r="BH157" i="25" l="1"/>
  <c r="M162" i="25"/>
  <c r="AZ163" i="25"/>
  <c r="L163" i="25" s="1"/>
  <c r="BC159" i="25"/>
  <c r="Y15" i="25"/>
  <c r="BQ15" i="19" s="1"/>
  <c r="U157" i="25"/>
  <c r="BX157" i="19"/>
  <c r="BD158" i="25" s="1"/>
  <c r="BE157" i="25"/>
  <c r="BY157" i="19"/>
  <c r="BF157" i="25"/>
  <c r="T157" i="25"/>
  <c r="R14" i="19"/>
  <c r="D15" i="25"/>
  <c r="K14" i="25"/>
  <c r="AE15" i="25" s="1"/>
  <c r="AY15" i="20" s="1"/>
  <c r="AA14" i="25"/>
  <c r="AW14" i="20" s="1"/>
  <c r="Z14" i="25"/>
  <c r="AV14" i="20" s="1"/>
  <c r="S13" i="19"/>
  <c r="AC14" i="25"/>
  <c r="AB14" i="25"/>
  <c r="AV14" i="25" s="1"/>
  <c r="E12" i="19"/>
  <c r="O12" i="22" s="1"/>
  <c r="BH12" i="19"/>
  <c r="AH12" i="19"/>
  <c r="H12" i="19" s="1"/>
  <c r="R12" i="22" s="1"/>
  <c r="AI12" i="19"/>
  <c r="I12" i="19" s="1"/>
  <c r="S12" i="22" s="1"/>
  <c r="AD12" i="19"/>
  <c r="D12" i="19" s="1"/>
  <c r="N12" i="22" s="1"/>
  <c r="AB13" i="19"/>
  <c r="B13" i="19" s="1"/>
  <c r="L13" i="22" s="1"/>
  <c r="AK12" i="19"/>
  <c r="K12" i="19" s="1"/>
  <c r="M13" i="19"/>
  <c r="K156" i="20"/>
  <c r="BV156" i="20" s="1"/>
  <c r="AT14" i="25" l="1"/>
  <c r="F14" i="25" s="1"/>
  <c r="BF14" i="19" s="1"/>
  <c r="AY15" i="25" s="1"/>
  <c r="K15" i="25" s="1"/>
  <c r="AS15" i="25"/>
  <c r="E15" i="25" s="1"/>
  <c r="BE15" i="19" s="1"/>
  <c r="V163" i="19"/>
  <c r="BI163" i="19"/>
  <c r="Q157" i="25"/>
  <c r="R157" i="25"/>
  <c r="AF164" i="25"/>
  <c r="BJ162" i="19"/>
  <c r="W162" i="19"/>
  <c r="AG163" i="25"/>
  <c r="AZ163" i="20" s="1"/>
  <c r="O159" i="25"/>
  <c r="AI160" i="25" s="1"/>
  <c r="BB161" i="25" s="1"/>
  <c r="AO158" i="25"/>
  <c r="P158" i="25"/>
  <c r="Q15" i="19"/>
  <c r="X16" i="25"/>
  <c r="AU16" i="20" s="1"/>
  <c r="AU14" i="25"/>
  <c r="G14" i="25" s="1"/>
  <c r="BS14" i="19"/>
  <c r="AW14" i="25"/>
  <c r="I14" i="25" s="1"/>
  <c r="H14" i="25"/>
  <c r="AG12" i="19"/>
  <c r="G12" i="19" s="1"/>
  <c r="AL156" i="20"/>
  <c r="BM156" i="19" s="1"/>
  <c r="BG157" i="25" s="1"/>
  <c r="Y16" i="25" l="1"/>
  <c r="BQ16" i="19" s="1"/>
  <c r="R15" i="19"/>
  <c r="N161" i="25"/>
  <c r="AH162" i="25" s="1"/>
  <c r="BA162" i="20" s="1"/>
  <c r="X158" i="19"/>
  <c r="AJ159" i="25"/>
  <c r="BV163" i="19"/>
  <c r="AZ164" i="25" s="1"/>
  <c r="L164" i="25" s="1"/>
  <c r="Y157" i="19"/>
  <c r="AK158" i="25"/>
  <c r="BB158" i="20" s="1"/>
  <c r="BI158" i="25"/>
  <c r="Z157" i="19"/>
  <c r="AL158" i="25"/>
  <c r="S157" i="25"/>
  <c r="BC160" i="25"/>
  <c r="O160" i="25" s="1"/>
  <c r="AI161" i="25" s="1"/>
  <c r="AQ17" i="25"/>
  <c r="AR16" i="25"/>
  <c r="T14" i="19"/>
  <c r="BG14" i="19"/>
  <c r="AA15" i="25"/>
  <c r="AW15" i="20" s="1"/>
  <c r="Z15" i="25"/>
  <c r="S14" i="19"/>
  <c r="AD15" i="25"/>
  <c r="AC15" i="25"/>
  <c r="AB15" i="25"/>
  <c r="AV15" i="25" s="1"/>
  <c r="AK13" i="19"/>
  <c r="K13" i="19" s="1"/>
  <c r="C13" i="19"/>
  <c r="M13" i="22" s="1"/>
  <c r="AL13" i="19"/>
  <c r="AI13" i="19"/>
  <c r="I13" i="19" s="1"/>
  <c r="S13" i="22" s="1"/>
  <c r="AB14" i="19"/>
  <c r="B14" i="19" s="1"/>
  <c r="L14" i="22" s="1"/>
  <c r="AD13" i="19"/>
  <c r="D13" i="19" s="1"/>
  <c r="N13" i="22" s="1"/>
  <c r="AN14" i="19"/>
  <c r="AF12" i="19"/>
  <c r="F12" i="19" s="1"/>
  <c r="AC156" i="20"/>
  <c r="BT15" i="19" l="1"/>
  <c r="AX15" i="20"/>
  <c r="AS16" i="25"/>
  <c r="E16" i="25" s="1"/>
  <c r="BE16" i="19" s="1"/>
  <c r="AV15" i="20"/>
  <c r="BB162" i="25"/>
  <c r="N162" i="25" s="1"/>
  <c r="AH163" i="25" s="1"/>
  <c r="BA163" i="20" s="1"/>
  <c r="BI164" i="19"/>
  <c r="V164" i="19"/>
  <c r="AF165" i="25"/>
  <c r="BY158" i="19"/>
  <c r="BF158" i="25"/>
  <c r="BX158" i="19"/>
  <c r="BD159" i="25" s="1"/>
  <c r="BK157" i="19"/>
  <c r="BE158" i="25" s="1"/>
  <c r="Q158" i="25" s="1"/>
  <c r="AA157" i="19"/>
  <c r="AM158" i="25"/>
  <c r="BC158" i="20" s="1"/>
  <c r="AN158" i="25"/>
  <c r="U158" i="25"/>
  <c r="BW162" i="19"/>
  <c r="BA163" i="25" s="1"/>
  <c r="C17" i="25"/>
  <c r="D16" i="25"/>
  <c r="Y17" i="25" s="1"/>
  <c r="BQ17" i="19" s="1"/>
  <c r="AU15" i="25"/>
  <c r="G15" i="25" s="1"/>
  <c r="BS15" i="19"/>
  <c r="H15" i="25"/>
  <c r="AW15" i="25"/>
  <c r="N14" i="19"/>
  <c r="U14" i="22" s="1"/>
  <c r="X15" i="22"/>
  <c r="L13" i="19"/>
  <c r="T13" i="22" s="1"/>
  <c r="V14" i="22"/>
  <c r="C14" i="19"/>
  <c r="M14" i="22" s="1"/>
  <c r="AH13" i="19"/>
  <c r="H13" i="19" s="1"/>
  <c r="R13" i="22" s="1"/>
  <c r="BH13" i="19"/>
  <c r="AJ13" i="19"/>
  <c r="J13" i="19" s="1"/>
  <c r="E13" i="19"/>
  <c r="O13" i="22" s="1"/>
  <c r="K157" i="20"/>
  <c r="BV157" i="20" s="1"/>
  <c r="R16" i="19" l="1"/>
  <c r="Y158" i="19"/>
  <c r="AK159" i="25"/>
  <c r="BB159" i="20" s="1"/>
  <c r="BW163" i="19"/>
  <c r="M163" i="25"/>
  <c r="CA158" i="19"/>
  <c r="BH158" i="25"/>
  <c r="T158" i="25" s="1"/>
  <c r="P159" i="25"/>
  <c r="R158" i="25"/>
  <c r="Q16" i="19"/>
  <c r="X17" i="25"/>
  <c r="AU17" i="20" s="1"/>
  <c r="W18" i="25"/>
  <c r="P17" i="19"/>
  <c r="BC17" i="19"/>
  <c r="AT15" i="25"/>
  <c r="F15" i="25" s="1"/>
  <c r="BU14" i="19"/>
  <c r="AX15" i="25" s="1"/>
  <c r="J15" i="25" s="1"/>
  <c r="U15" i="19" s="1"/>
  <c r="AB16" i="25"/>
  <c r="AV16" i="25" s="1"/>
  <c r="H16" i="25" s="1"/>
  <c r="I15" i="25"/>
  <c r="BG15" i="19" s="1"/>
  <c r="AD14" i="19"/>
  <c r="D14" i="19" s="1"/>
  <c r="N14" i="22" s="1"/>
  <c r="AB15" i="19"/>
  <c r="B15" i="19" s="1"/>
  <c r="L15" i="22" s="1"/>
  <c r="AL14" i="19"/>
  <c r="L14" i="19" s="1"/>
  <c r="T14" i="22" s="1"/>
  <c r="AK14" i="19"/>
  <c r="K14" i="19" s="1"/>
  <c r="AG13" i="19"/>
  <c r="G13" i="19" s="1"/>
  <c r="C15" i="19"/>
  <c r="M15" i="22" s="1"/>
  <c r="M14" i="19"/>
  <c r="AF13" i="19"/>
  <c r="F13" i="19" s="1"/>
  <c r="AL157" i="20"/>
  <c r="BM157" i="19" s="1"/>
  <c r="BG158" i="25" s="1"/>
  <c r="AO159" i="25" l="1"/>
  <c r="S158" i="25"/>
  <c r="X159" i="19"/>
  <c r="AJ160" i="25"/>
  <c r="W163" i="19"/>
  <c r="AG164" i="25"/>
  <c r="AZ164" i="20" s="1"/>
  <c r="Z158" i="19"/>
  <c r="AL159" i="25"/>
  <c r="BX159" i="19"/>
  <c r="BJ163" i="19"/>
  <c r="BO18" i="19"/>
  <c r="AP19" i="25" s="1"/>
  <c r="AQ18" i="25"/>
  <c r="AR17" i="25"/>
  <c r="AE16" i="25"/>
  <c r="AY16" i="20" s="1"/>
  <c r="S15" i="19"/>
  <c r="BF15" i="19"/>
  <c r="AC16" i="25"/>
  <c r="AW16" i="25" s="1"/>
  <c r="I16" i="25" s="1"/>
  <c r="BG16" i="19" s="1"/>
  <c r="T15" i="19"/>
  <c r="AD16" i="25"/>
  <c r="Z16" i="25"/>
  <c r="AV16" i="20" s="1"/>
  <c r="AA16" i="25"/>
  <c r="V15" i="22"/>
  <c r="BU15" i="19" s="1"/>
  <c r="AF14" i="19"/>
  <c r="F14" i="19" s="1"/>
  <c r="E15" i="19"/>
  <c r="O15" i="22" s="1"/>
  <c r="AJ14" i="19"/>
  <c r="J14" i="19" s="1"/>
  <c r="AI14" i="19"/>
  <c r="I14" i="19" s="1"/>
  <c r="S14" i="22" s="1"/>
  <c r="E14" i="19"/>
  <c r="O14" i="22" s="1"/>
  <c r="AC157" i="20"/>
  <c r="BT16" i="19" l="1"/>
  <c r="AX16" i="20"/>
  <c r="BS16" i="19"/>
  <c r="AW16" i="20"/>
  <c r="BK158" i="19"/>
  <c r="BE159" i="25" s="1"/>
  <c r="Q159" i="25" s="1"/>
  <c r="AA158" i="19"/>
  <c r="AM159" i="25"/>
  <c r="BC159" i="20" s="1"/>
  <c r="BY159" i="19"/>
  <c r="BF159" i="25"/>
  <c r="BC161" i="25"/>
  <c r="BD160" i="25"/>
  <c r="BI159" i="25"/>
  <c r="U159" i="25" s="1"/>
  <c r="BV164" i="19"/>
  <c r="AZ165" i="25" s="1"/>
  <c r="L165" i="25" s="1"/>
  <c r="BA164" i="25"/>
  <c r="M164" i="25" s="1"/>
  <c r="AN159" i="25"/>
  <c r="AY16" i="25"/>
  <c r="K16" i="25" s="1"/>
  <c r="C18" i="25"/>
  <c r="D17" i="25"/>
  <c r="B19" i="25"/>
  <c r="T16" i="19"/>
  <c r="AC17" i="25"/>
  <c r="AW17" i="25" s="1"/>
  <c r="I17" i="25" s="1"/>
  <c r="AX16" i="25"/>
  <c r="J16" i="25" s="1"/>
  <c r="U16" i="19" s="1"/>
  <c r="AU16" i="25"/>
  <c r="AS17" i="25"/>
  <c r="AD15" i="19"/>
  <c r="D15" i="19" s="1"/>
  <c r="N15" i="22" s="1"/>
  <c r="AN15" i="19"/>
  <c r="AG14" i="19"/>
  <c r="G14" i="19" s="1"/>
  <c r="AL15" i="19"/>
  <c r="L15" i="19" s="1"/>
  <c r="T15" i="22" s="1"/>
  <c r="M15" i="19"/>
  <c r="C16" i="19"/>
  <c r="M16" i="22" s="1"/>
  <c r="K158" i="20"/>
  <c r="BV158" i="20" s="1"/>
  <c r="W164" i="19" l="1"/>
  <c r="AG165" i="25"/>
  <c r="AZ165" i="20" s="1"/>
  <c r="BI165" i="19"/>
  <c r="V165" i="19"/>
  <c r="AF166" i="25"/>
  <c r="CA159" i="19"/>
  <c r="BH159" i="25"/>
  <c r="BJ164" i="19"/>
  <c r="P160" i="25"/>
  <c r="R159" i="25"/>
  <c r="Y159" i="19"/>
  <c r="AK160" i="25"/>
  <c r="BB160" i="20" s="1"/>
  <c r="O161" i="25"/>
  <c r="AI162" i="25" s="1"/>
  <c r="Q17" i="19"/>
  <c r="X18" i="25"/>
  <c r="AU18" i="20" s="1"/>
  <c r="O19" i="19"/>
  <c r="V20" i="25"/>
  <c r="P18" i="19"/>
  <c r="BC18" i="19"/>
  <c r="W19" i="25"/>
  <c r="T17" i="19"/>
  <c r="BG17" i="19"/>
  <c r="AE17" i="25"/>
  <c r="AY17" i="20" s="1"/>
  <c r="AD17" i="25"/>
  <c r="AX17" i="20" s="1"/>
  <c r="G16" i="25"/>
  <c r="E17" i="25"/>
  <c r="BE17" i="19" s="1"/>
  <c r="V16" i="22"/>
  <c r="N15" i="19"/>
  <c r="U15" i="22" s="1"/>
  <c r="X16" i="22"/>
  <c r="E16" i="19"/>
  <c r="O16" i="22" s="1"/>
  <c r="AI15" i="19"/>
  <c r="I15" i="19" s="1"/>
  <c r="S15" i="22" s="1"/>
  <c r="AF15" i="19"/>
  <c r="F15" i="19" s="1"/>
  <c r="BH14" i="19"/>
  <c r="AH14" i="19"/>
  <c r="H14" i="19" s="1"/>
  <c r="R14" i="22" s="1"/>
  <c r="AT16" i="25"/>
  <c r="F16" i="25" s="1"/>
  <c r="BF16" i="19" s="1"/>
  <c r="AB16" i="19"/>
  <c r="B16" i="19" s="1"/>
  <c r="L16" i="22" s="1"/>
  <c r="AK15" i="19"/>
  <c r="K15" i="19" s="1"/>
  <c r="AG15" i="19"/>
  <c r="G15" i="19" s="1"/>
  <c r="AL158" i="20"/>
  <c r="BM158" i="19" s="1"/>
  <c r="BG159" i="25" s="1"/>
  <c r="S159" i="25" s="1"/>
  <c r="BK159" i="19" l="1"/>
  <c r="BE160" i="25" s="1"/>
  <c r="Q160" i="25" s="1"/>
  <c r="AA159" i="19"/>
  <c r="AM160" i="25"/>
  <c r="BC160" i="20" s="1"/>
  <c r="T159" i="25"/>
  <c r="BX160" i="19"/>
  <c r="BB163" i="25"/>
  <c r="N163" i="25" s="1"/>
  <c r="AH164" i="25" s="1"/>
  <c r="BA164" i="20" s="1"/>
  <c r="Z159" i="19"/>
  <c r="AL160" i="25"/>
  <c r="BV165" i="19"/>
  <c r="AZ166" i="25" s="1"/>
  <c r="L166" i="25" s="1"/>
  <c r="X160" i="19"/>
  <c r="AJ161" i="25"/>
  <c r="BU16" i="19"/>
  <c r="BO19" i="19"/>
  <c r="AP20" i="25" s="1"/>
  <c r="AQ19" i="25"/>
  <c r="AR18" i="25"/>
  <c r="D18" i="25" s="1"/>
  <c r="Q18" i="19" s="1"/>
  <c r="AX17" i="25"/>
  <c r="J17" i="25" s="1"/>
  <c r="BT17" i="19"/>
  <c r="Z17" i="25"/>
  <c r="AV17" i="20" s="1"/>
  <c r="S16" i="19"/>
  <c r="Y18" i="25"/>
  <c r="BQ18" i="19" s="1"/>
  <c r="R17" i="19"/>
  <c r="AA17" i="25"/>
  <c r="AB17" i="25"/>
  <c r="AY17" i="25"/>
  <c r="M16" i="19"/>
  <c r="AN16" i="19"/>
  <c r="N16" i="19" s="1"/>
  <c r="U16" i="22" s="1"/>
  <c r="AJ15" i="19"/>
  <c r="J15" i="19" s="1"/>
  <c r="AD16" i="19"/>
  <c r="D16" i="19" s="1"/>
  <c r="N16" i="22" s="1"/>
  <c r="AB17" i="19"/>
  <c r="B17" i="19" s="1"/>
  <c r="L17" i="22" s="1"/>
  <c r="C17" i="19"/>
  <c r="M17" i="22" s="1"/>
  <c r="AC158" i="20"/>
  <c r="BS17" i="19" l="1"/>
  <c r="AW17" i="20"/>
  <c r="X19" i="25"/>
  <c r="V166" i="19"/>
  <c r="BI166" i="19"/>
  <c r="AF167" i="25"/>
  <c r="Y160" i="19"/>
  <c r="AK161" i="25"/>
  <c r="BB161" i="20" s="1"/>
  <c r="BY160" i="19"/>
  <c r="BF160" i="25"/>
  <c r="R160" i="25" s="1"/>
  <c r="BW164" i="19"/>
  <c r="BA165" i="25" s="1"/>
  <c r="BC162" i="25"/>
  <c r="BD161" i="25"/>
  <c r="P161" i="25" s="1"/>
  <c r="X161" i="19" s="1"/>
  <c r="AN160" i="25"/>
  <c r="AO160" i="25"/>
  <c r="B20" i="25"/>
  <c r="C19" i="25"/>
  <c r="AD18" i="25"/>
  <c r="AX18" i="20" s="1"/>
  <c r="U17" i="19"/>
  <c r="AS18" i="25"/>
  <c r="E18" i="25" s="1"/>
  <c r="BE18" i="19" s="1"/>
  <c r="AV17" i="25"/>
  <c r="H17" i="25" s="1"/>
  <c r="AU17" i="25"/>
  <c r="G17" i="25" s="1"/>
  <c r="K17" i="25"/>
  <c r="AE18" i="25" s="1"/>
  <c r="AY18" i="20" s="1"/>
  <c r="X17" i="22"/>
  <c r="AD17" i="19"/>
  <c r="D17" i="19" s="1"/>
  <c r="N17" i="22" s="1"/>
  <c r="AK16" i="19"/>
  <c r="K16" i="19" s="1"/>
  <c r="AF16" i="19"/>
  <c r="F16" i="19" s="1"/>
  <c r="AL16" i="19"/>
  <c r="AH15" i="19"/>
  <c r="H15" i="19" s="1"/>
  <c r="R15" i="22" s="1"/>
  <c r="BH15" i="19"/>
  <c r="AG16" i="19"/>
  <c r="G16" i="19" s="1"/>
  <c r="AI16" i="19"/>
  <c r="I16" i="19" s="1"/>
  <c r="S16" i="22" s="1"/>
  <c r="AT17" i="25"/>
  <c r="K159" i="20"/>
  <c r="BV159" i="20" s="1"/>
  <c r="AR19" i="25" l="1"/>
  <c r="D19" i="25" s="1"/>
  <c r="Q19" i="19" s="1"/>
  <c r="AU19" i="20"/>
  <c r="AJ162" i="25"/>
  <c r="Z160" i="19"/>
  <c r="AL161" i="25"/>
  <c r="BF161" i="25" s="1"/>
  <c r="BI160" i="25"/>
  <c r="CA160" i="19"/>
  <c r="BH160" i="25"/>
  <c r="T160" i="25" s="1"/>
  <c r="O162" i="25"/>
  <c r="AI163" i="25" s="1"/>
  <c r="BB164" i="25" s="1"/>
  <c r="M165" i="25"/>
  <c r="BJ165" i="19" s="1"/>
  <c r="BX161" i="19"/>
  <c r="BD162" i="25" s="1"/>
  <c r="P19" i="19"/>
  <c r="BC19" i="19"/>
  <c r="W20" i="25"/>
  <c r="O20" i="19"/>
  <c r="V21" i="25"/>
  <c r="BT18" i="19"/>
  <c r="Y19" i="25"/>
  <c r="BQ19" i="19" s="1"/>
  <c r="R18" i="19"/>
  <c r="AB18" i="25"/>
  <c r="AV18" i="25" s="1"/>
  <c r="AC18" i="25"/>
  <c r="F17" i="25"/>
  <c r="BF17" i="19" s="1"/>
  <c r="AY18" i="25" s="1"/>
  <c r="K18" i="25" s="1"/>
  <c r="L16" i="19"/>
  <c r="T16" i="22" s="1"/>
  <c r="V17" i="22"/>
  <c r="BU17" i="19" s="1"/>
  <c r="AX18" i="25" s="1"/>
  <c r="J18" i="25" s="1"/>
  <c r="U18" i="19" s="1"/>
  <c r="AH16" i="19"/>
  <c r="H16" i="19" s="1"/>
  <c r="R16" i="22" s="1"/>
  <c r="BH16" i="19"/>
  <c r="AI17" i="19"/>
  <c r="I17" i="19" s="1"/>
  <c r="S17" i="22" s="1"/>
  <c r="AB18" i="19"/>
  <c r="B18" i="19" s="1"/>
  <c r="L18" i="22" s="1"/>
  <c r="E17" i="19"/>
  <c r="O17" i="22" s="1"/>
  <c r="AD18" i="19"/>
  <c r="D18" i="19" s="1"/>
  <c r="N18" i="22" s="1"/>
  <c r="AJ16" i="19"/>
  <c r="J16" i="19" s="1"/>
  <c r="E18" i="19"/>
  <c r="O18" i="22" s="1"/>
  <c r="AN17" i="19"/>
  <c r="N17" i="19" s="1"/>
  <c r="U17" i="22" s="1"/>
  <c r="AL159" i="20"/>
  <c r="BM159" i="19" s="1"/>
  <c r="BG160" i="25" s="1"/>
  <c r="X20" i="25" l="1"/>
  <c r="AU20" i="20" s="1"/>
  <c r="P162" i="25"/>
  <c r="R161" i="25"/>
  <c r="Z161" i="19" s="1"/>
  <c r="N164" i="25"/>
  <c r="AH165" i="25" s="1"/>
  <c r="BC163" i="25"/>
  <c r="O163" i="25" s="1"/>
  <c r="AI164" i="25" s="1"/>
  <c r="U160" i="25"/>
  <c r="AO161" i="25" s="1"/>
  <c r="BI161" i="25" s="1"/>
  <c r="BY161" i="19"/>
  <c r="S160" i="25"/>
  <c r="W165" i="19"/>
  <c r="AG166" i="25"/>
  <c r="AZ166" i="20" s="1"/>
  <c r="BO20" i="19"/>
  <c r="AP21" i="25" s="1"/>
  <c r="B21" i="25" s="1"/>
  <c r="AQ20" i="25"/>
  <c r="AE19" i="25"/>
  <c r="AY19" i="20" s="1"/>
  <c r="Z18" i="25"/>
  <c r="AV18" i="20" s="1"/>
  <c r="S17" i="19"/>
  <c r="AF17" i="19" s="1"/>
  <c r="F17" i="19" s="1"/>
  <c r="H18" i="25"/>
  <c r="AW18" i="25"/>
  <c r="AS19" i="25"/>
  <c r="AA18" i="25"/>
  <c r="AW18" i="20" s="1"/>
  <c r="X18" i="22"/>
  <c r="AH17" i="19"/>
  <c r="H17" i="19" s="1"/>
  <c r="R17" i="22" s="1"/>
  <c r="BH17" i="19"/>
  <c r="C19" i="19"/>
  <c r="M19" i="22" s="1"/>
  <c r="AK17" i="19"/>
  <c r="K17" i="19" s="1"/>
  <c r="AJ17" i="19"/>
  <c r="J17" i="19" s="1"/>
  <c r="C18" i="19"/>
  <c r="M17" i="19"/>
  <c r="AG17" i="19"/>
  <c r="G17" i="19" s="1"/>
  <c r="AC159" i="20"/>
  <c r="BW165" i="19" l="1"/>
  <c r="BA166" i="25" s="1"/>
  <c r="M166" i="25" s="1"/>
  <c r="BA165" i="20"/>
  <c r="AR20" i="25"/>
  <c r="D20" i="25" s="1"/>
  <c r="BK160" i="19"/>
  <c r="BE161" i="25" s="1"/>
  <c r="Q161" i="25" s="1"/>
  <c r="AA160" i="19"/>
  <c r="AM161" i="25"/>
  <c r="BC161" i="20" s="1"/>
  <c r="U161" i="25"/>
  <c r="X162" i="19"/>
  <c r="AJ163" i="25"/>
  <c r="BB165" i="25"/>
  <c r="BV166" i="19"/>
  <c r="AZ167" i="25" s="1"/>
  <c r="AN161" i="25"/>
  <c r="O21" i="19"/>
  <c r="V22" i="25"/>
  <c r="C20" i="25"/>
  <c r="AU18" i="25"/>
  <c r="G18" i="25" s="1"/>
  <c r="AB19" i="25" s="1"/>
  <c r="AV19" i="25" s="1"/>
  <c r="BS18" i="19"/>
  <c r="E19" i="25"/>
  <c r="BE19" i="19" s="1"/>
  <c r="I18" i="25"/>
  <c r="AL17" i="19"/>
  <c r="AB19" i="19"/>
  <c r="B19" i="19" s="1"/>
  <c r="L19" i="22" s="1"/>
  <c r="AI18" i="19"/>
  <c r="I18" i="19" s="1"/>
  <c r="S18" i="22" s="1"/>
  <c r="M18" i="22"/>
  <c r="K160" i="20"/>
  <c r="BV160" i="20" s="1"/>
  <c r="BJ166" i="19" l="1"/>
  <c r="W166" i="19"/>
  <c r="AG167" i="25"/>
  <c r="AZ167" i="20" s="1"/>
  <c r="BC164" i="25"/>
  <c r="CA161" i="19"/>
  <c r="BH161" i="25"/>
  <c r="T161" i="25" s="1"/>
  <c r="AO162" i="25" s="1"/>
  <c r="L167" i="25"/>
  <c r="N165" i="25"/>
  <c r="AH166" i="25" s="1"/>
  <c r="BA166" i="20" s="1"/>
  <c r="Y161" i="19"/>
  <c r="AK162" i="25"/>
  <c r="BB162" i="20" s="1"/>
  <c r="AL162" i="25"/>
  <c r="Q20" i="19"/>
  <c r="X21" i="25"/>
  <c r="AU21" i="20" s="1"/>
  <c r="P20" i="19"/>
  <c r="C20" i="19" s="1"/>
  <c r="M20" i="22" s="1"/>
  <c r="BC20" i="19"/>
  <c r="W21" i="25"/>
  <c r="T18" i="19"/>
  <c r="AG18" i="19" s="1"/>
  <c r="G18" i="19" s="1"/>
  <c r="BG18" i="19"/>
  <c r="Y20" i="25"/>
  <c r="BQ20" i="19" s="1"/>
  <c r="R19" i="19"/>
  <c r="E19" i="19" s="1"/>
  <c r="O19" i="22" s="1"/>
  <c r="H19" i="25"/>
  <c r="AC19" i="25"/>
  <c r="AD19" i="25"/>
  <c r="AT18" i="25"/>
  <c r="L17" i="19"/>
  <c r="T17" i="22" s="1"/>
  <c r="V18" i="22"/>
  <c r="BU18" i="19" s="1"/>
  <c r="AB20" i="19"/>
  <c r="B20" i="19" s="1"/>
  <c r="L20" i="22" s="1"/>
  <c r="AJ18" i="19"/>
  <c r="J18" i="19" s="1"/>
  <c r="M18" i="19"/>
  <c r="AN18" i="19"/>
  <c r="AK18" i="19"/>
  <c r="K18" i="19" s="1"/>
  <c r="AH18" i="19"/>
  <c r="H18" i="19" s="1"/>
  <c r="R18" i="22" s="1"/>
  <c r="BH18" i="19"/>
  <c r="AL160" i="20"/>
  <c r="BM160" i="19" s="1"/>
  <c r="BG161" i="25" s="1"/>
  <c r="BT19" i="19" l="1"/>
  <c r="AX19" i="20"/>
  <c r="S161" i="25"/>
  <c r="BW166" i="19"/>
  <c r="BX162" i="19"/>
  <c r="BD163" i="25" s="1"/>
  <c r="P163" i="25" s="1"/>
  <c r="BI167" i="19"/>
  <c r="V167" i="19"/>
  <c r="AF168" i="25"/>
  <c r="O164" i="25"/>
  <c r="AI165" i="25" s="1"/>
  <c r="BB166" i="25" s="1"/>
  <c r="N166" i="25" s="1"/>
  <c r="AH167" i="25" s="1"/>
  <c r="BA167" i="20" s="1"/>
  <c r="BI162" i="25"/>
  <c r="BV167" i="19"/>
  <c r="BA167" i="25"/>
  <c r="BY162" i="19"/>
  <c r="BF162" i="25"/>
  <c r="AN162" i="25"/>
  <c r="BO21" i="19"/>
  <c r="AP22" i="25" s="1"/>
  <c r="AQ21" i="25"/>
  <c r="AR21" i="25"/>
  <c r="D21" i="25" s="1"/>
  <c r="Q21" i="19" s="1"/>
  <c r="AX19" i="25"/>
  <c r="AW19" i="25"/>
  <c r="I19" i="25" s="1"/>
  <c r="BG19" i="19" s="1"/>
  <c r="F18" i="25"/>
  <c r="N18" i="19"/>
  <c r="U18" i="22" s="1"/>
  <c r="X19" i="22"/>
  <c r="AI19" i="19"/>
  <c r="I19" i="19" s="1"/>
  <c r="S19" i="22" s="1"/>
  <c r="AB21" i="19"/>
  <c r="B21" i="19" s="1"/>
  <c r="L21" i="22" s="1"/>
  <c r="AD19" i="19"/>
  <c r="D19" i="19" s="1"/>
  <c r="N19" i="22" s="1"/>
  <c r="AC160" i="20"/>
  <c r="BW167" i="19" l="1"/>
  <c r="R162" i="25"/>
  <c r="U162" i="25"/>
  <c r="AZ168" i="25"/>
  <c r="L168" i="25" s="1"/>
  <c r="X163" i="19"/>
  <c r="AJ164" i="25"/>
  <c r="BK161" i="19"/>
  <c r="BE162" i="25" s="1"/>
  <c r="AA161" i="19"/>
  <c r="AM162" i="25"/>
  <c r="BC162" i="20" s="1"/>
  <c r="CA162" i="19"/>
  <c r="BH162" i="25"/>
  <c r="M167" i="25"/>
  <c r="C21" i="25"/>
  <c r="B22" i="25"/>
  <c r="S18" i="19"/>
  <c r="AF18" i="19" s="1"/>
  <c r="F18" i="19" s="1"/>
  <c r="BF18" i="19"/>
  <c r="AY19" i="25" s="1"/>
  <c r="K19" i="25" s="1"/>
  <c r="AC20" i="25"/>
  <c r="AW20" i="25" s="1"/>
  <c r="T19" i="19"/>
  <c r="AG19" i="19" s="1"/>
  <c r="G19" i="19" s="1"/>
  <c r="Z19" i="25"/>
  <c r="AV19" i="20" s="1"/>
  <c r="AA19" i="25"/>
  <c r="J19" i="25"/>
  <c r="U19" i="19" s="1"/>
  <c r="AH19" i="19" s="1"/>
  <c r="H19" i="19" s="1"/>
  <c r="R19" i="22" s="1"/>
  <c r="AL18" i="19"/>
  <c r="AK19" i="19"/>
  <c r="K19" i="19" s="1"/>
  <c r="BH19" i="19"/>
  <c r="M19" i="19"/>
  <c r="AJ19" i="19"/>
  <c r="J19" i="19" s="1"/>
  <c r="AD20" i="19"/>
  <c r="D20" i="19" s="1"/>
  <c r="N20" i="22" s="1"/>
  <c r="K161" i="20"/>
  <c r="BV161" i="20" s="1"/>
  <c r="BS19" i="19" l="1"/>
  <c r="AW19" i="20"/>
  <c r="V168" i="19"/>
  <c r="BI168" i="19"/>
  <c r="AF169" i="25"/>
  <c r="BJ167" i="19"/>
  <c r="W167" i="19"/>
  <c r="AG168" i="25"/>
  <c r="AZ168" i="20" s="1"/>
  <c r="T162" i="25"/>
  <c r="AO163" i="25" s="1"/>
  <c r="Z162" i="19"/>
  <c r="Q162" i="25"/>
  <c r="BC165" i="25"/>
  <c r="O165" i="25" s="1"/>
  <c r="AI166" i="25" s="1"/>
  <c r="O22" i="19"/>
  <c r="AB22" i="19" s="1"/>
  <c r="B22" i="19" s="1"/>
  <c r="L22" i="22" s="1"/>
  <c r="V23" i="25"/>
  <c r="X22" i="25"/>
  <c r="AU22" i="20" s="1"/>
  <c r="BC21" i="19"/>
  <c r="P21" i="19"/>
  <c r="W22" i="25"/>
  <c r="AE20" i="25"/>
  <c r="AY20" i="20" s="1"/>
  <c r="AD20" i="25"/>
  <c r="AU19" i="25"/>
  <c r="G19" i="25" s="1"/>
  <c r="I20" i="25"/>
  <c r="AS20" i="25"/>
  <c r="AT19" i="25"/>
  <c r="F19" i="25" s="1"/>
  <c r="BF19" i="19" s="1"/>
  <c r="L18" i="19"/>
  <c r="T18" i="22" s="1"/>
  <c r="V19" i="22"/>
  <c r="BU19" i="19" s="1"/>
  <c r="AD21" i="19"/>
  <c r="D21" i="19" s="1"/>
  <c r="N21" i="22" s="1"/>
  <c r="BH20" i="19"/>
  <c r="AN19" i="19"/>
  <c r="AI20" i="19"/>
  <c r="I20" i="19" s="1"/>
  <c r="S20" i="22" s="1"/>
  <c r="AL161" i="20"/>
  <c r="BM161" i="19" s="1"/>
  <c r="BG162" i="25" s="1"/>
  <c r="BT20" i="19" l="1"/>
  <c r="AX20" i="20"/>
  <c r="S162" i="25"/>
  <c r="Y162" i="19"/>
  <c r="AK163" i="25"/>
  <c r="BB163" i="20" s="1"/>
  <c r="AL163" i="25"/>
  <c r="AN163" i="25"/>
  <c r="BB167" i="25"/>
  <c r="N167" i="25" s="1"/>
  <c r="AH168" i="25" s="1"/>
  <c r="BA168" i="20" s="1"/>
  <c r="BV168" i="19"/>
  <c r="AZ169" i="25" s="1"/>
  <c r="BA168" i="25"/>
  <c r="BI163" i="25"/>
  <c r="U163" i="25" s="1"/>
  <c r="BO22" i="19"/>
  <c r="AP23" i="25" s="1"/>
  <c r="AQ22" i="25"/>
  <c r="T20" i="19"/>
  <c r="AG20" i="19" s="1"/>
  <c r="G20" i="19" s="1"/>
  <c r="BG20" i="19"/>
  <c r="Z20" i="25"/>
  <c r="S19" i="19"/>
  <c r="AF19" i="19" s="1"/>
  <c r="F19" i="19" s="1"/>
  <c r="AA20" i="25"/>
  <c r="AW20" i="20" s="1"/>
  <c r="AB20" i="25"/>
  <c r="AX20" i="25"/>
  <c r="J20" i="25" s="1"/>
  <c r="E20" i="25"/>
  <c r="BE20" i="19" s="1"/>
  <c r="AY20" i="25"/>
  <c r="N19" i="19"/>
  <c r="U19" i="22" s="1"/>
  <c r="X20" i="22"/>
  <c r="AJ21" i="19"/>
  <c r="J21" i="19" s="1"/>
  <c r="AI21" i="19"/>
  <c r="I21" i="19" s="1"/>
  <c r="S21" i="22" s="1"/>
  <c r="AK20" i="19"/>
  <c r="K20" i="19" s="1"/>
  <c r="AJ20" i="19"/>
  <c r="J20" i="19" s="1"/>
  <c r="C21" i="19"/>
  <c r="AC161" i="20"/>
  <c r="AT20" i="25" l="1"/>
  <c r="F20" i="25" s="1"/>
  <c r="BF20" i="19" s="1"/>
  <c r="AV20" i="20"/>
  <c r="L169" i="25"/>
  <c r="BX163" i="19"/>
  <c r="BD164" i="25" s="1"/>
  <c r="M168" i="25"/>
  <c r="BJ168" i="19" s="1"/>
  <c r="BW168" i="19"/>
  <c r="CA163" i="19"/>
  <c r="BH163" i="25"/>
  <c r="BY163" i="19"/>
  <c r="BF163" i="25"/>
  <c r="R163" i="25" s="1"/>
  <c r="AA162" i="19"/>
  <c r="BK162" i="19"/>
  <c r="BE163" i="25" s="1"/>
  <c r="AM163" i="25"/>
  <c r="BC163" i="20" s="1"/>
  <c r="B23" i="25"/>
  <c r="C22" i="25"/>
  <c r="AU20" i="25"/>
  <c r="G20" i="25" s="1"/>
  <c r="AA21" i="25" s="1"/>
  <c r="AW21" i="20" s="1"/>
  <c r="BS20" i="19"/>
  <c r="Y21" i="25"/>
  <c r="R20" i="19"/>
  <c r="E20" i="19" s="1"/>
  <c r="O20" i="22" s="1"/>
  <c r="AD21" i="25"/>
  <c r="U20" i="19"/>
  <c r="AH20" i="19" s="1"/>
  <c r="H20" i="19" s="1"/>
  <c r="R20" i="22" s="1"/>
  <c r="AV20" i="25"/>
  <c r="H20" i="25" s="1"/>
  <c r="K20" i="25"/>
  <c r="AE21" i="25" s="1"/>
  <c r="AY21" i="20" s="1"/>
  <c r="AN20" i="19"/>
  <c r="N20" i="19" s="1"/>
  <c r="U20" i="22" s="1"/>
  <c r="AL19" i="19"/>
  <c r="M21" i="22"/>
  <c r="K162" i="20"/>
  <c r="BV162" i="20" s="1"/>
  <c r="Z21" i="25" l="1"/>
  <c r="AV21" i="20" s="1"/>
  <c r="BT21" i="19"/>
  <c r="AX21" i="20"/>
  <c r="S20" i="19"/>
  <c r="AF20" i="19" s="1"/>
  <c r="F20" i="19" s="1"/>
  <c r="Z163" i="19"/>
  <c r="Q163" i="25"/>
  <c r="AL164" i="25" s="1"/>
  <c r="BF164" i="25" s="1"/>
  <c r="P164" i="25"/>
  <c r="W168" i="19"/>
  <c r="AG169" i="25"/>
  <c r="AZ169" i="20" s="1"/>
  <c r="T163" i="25"/>
  <c r="BI169" i="19"/>
  <c r="V169" i="19"/>
  <c r="AF170" i="25"/>
  <c r="P22" i="19"/>
  <c r="C22" i="19" s="1"/>
  <c r="M22" i="22" s="1"/>
  <c r="BC22" i="19"/>
  <c r="W23" i="25"/>
  <c r="O23" i="19"/>
  <c r="V24" i="25"/>
  <c r="AS21" i="25"/>
  <c r="E21" i="25" s="1"/>
  <c r="BE21" i="19" s="1"/>
  <c r="BQ21" i="19"/>
  <c r="AR22" i="25" s="1"/>
  <c r="AY21" i="25"/>
  <c r="K21" i="25" s="1"/>
  <c r="AU21" i="25"/>
  <c r="G21" i="25" s="1"/>
  <c r="BS21" i="19"/>
  <c r="AB21" i="25"/>
  <c r="AV21" i="25" s="1"/>
  <c r="AC21" i="25"/>
  <c r="X21" i="22"/>
  <c r="L19" i="19"/>
  <c r="T19" i="22" s="1"/>
  <c r="V20" i="22"/>
  <c r="AK21" i="19"/>
  <c r="K21" i="19" s="1"/>
  <c r="BH21" i="19"/>
  <c r="AL162" i="20"/>
  <c r="BM162" i="19" s="1"/>
  <c r="BG163" i="25" s="1"/>
  <c r="S163" i="25" s="1"/>
  <c r="R21" i="19" l="1"/>
  <c r="E21" i="19" s="1"/>
  <c r="O21" i="22" s="1"/>
  <c r="AA163" i="19"/>
  <c r="BK163" i="19"/>
  <c r="AM164" i="25"/>
  <c r="BC164" i="20" s="1"/>
  <c r="AN164" i="25"/>
  <c r="AO164" i="25"/>
  <c r="Y163" i="19"/>
  <c r="AK164" i="25"/>
  <c r="BB164" i="20" s="1"/>
  <c r="R164" i="25"/>
  <c r="Z164" i="19" s="1"/>
  <c r="X164" i="19"/>
  <c r="AJ165" i="25"/>
  <c r="BY164" i="19"/>
  <c r="BV169" i="19"/>
  <c r="AZ170" i="25" s="1"/>
  <c r="BA169" i="25"/>
  <c r="M169" i="25" s="1"/>
  <c r="Y22" i="25"/>
  <c r="BQ22" i="19" s="1"/>
  <c r="D22" i="25"/>
  <c r="BO23" i="19"/>
  <c r="AP24" i="25" s="1"/>
  <c r="B24" i="25" s="1"/>
  <c r="O24" i="19" s="1"/>
  <c r="AQ23" i="25"/>
  <c r="AT21" i="25"/>
  <c r="F21" i="25" s="1"/>
  <c r="BF21" i="19" s="1"/>
  <c r="BU20" i="19"/>
  <c r="AX21" i="25" s="1"/>
  <c r="J21" i="25" s="1"/>
  <c r="U21" i="19" s="1"/>
  <c r="AH21" i="19" s="1"/>
  <c r="H21" i="19" s="1"/>
  <c r="R21" i="22" s="1"/>
  <c r="H21" i="25"/>
  <c r="AB22" i="25" s="1"/>
  <c r="AV22" i="25" s="1"/>
  <c r="AW21" i="25"/>
  <c r="M20" i="19"/>
  <c r="AJ22" i="19"/>
  <c r="J22" i="19" s="1"/>
  <c r="AI22" i="19"/>
  <c r="I22" i="19" s="1"/>
  <c r="S22" i="22" s="1"/>
  <c r="AB23" i="19"/>
  <c r="B23" i="19" s="1"/>
  <c r="L23" i="22" s="1"/>
  <c r="AC162" i="20"/>
  <c r="AS22" i="25" l="1"/>
  <c r="E22" i="25" s="1"/>
  <c r="BE22" i="19" s="1"/>
  <c r="BJ169" i="19"/>
  <c r="W169" i="19"/>
  <c r="AG170" i="25"/>
  <c r="AZ170" i="20" s="1"/>
  <c r="CA164" i="19"/>
  <c r="BH164" i="25"/>
  <c r="T164" i="25" s="1"/>
  <c r="BC166" i="25"/>
  <c r="O166" i="25" s="1"/>
  <c r="AI167" i="25" s="1"/>
  <c r="BB168" i="25" s="1"/>
  <c r="BX164" i="19"/>
  <c r="BD165" i="25" s="1"/>
  <c r="P165" i="25" s="1"/>
  <c r="X165" i="19" s="1"/>
  <c r="BE164" i="25"/>
  <c r="Q164" i="25" s="1"/>
  <c r="AK165" i="25" s="1"/>
  <c r="BB165" i="20" s="1"/>
  <c r="BI164" i="25"/>
  <c r="U164" i="25" s="1"/>
  <c r="AO165" i="25" s="1"/>
  <c r="L170" i="25"/>
  <c r="C23" i="25"/>
  <c r="Q22" i="19"/>
  <c r="AD22" i="19" s="1"/>
  <c r="D22" i="19" s="1"/>
  <c r="N22" i="22" s="1"/>
  <c r="X23" i="25"/>
  <c r="AU23" i="20" s="1"/>
  <c r="V25" i="25"/>
  <c r="AE22" i="25"/>
  <c r="AY22" i="20" s="1"/>
  <c r="Z22" i="25"/>
  <c r="AV22" i="20" s="1"/>
  <c r="S21" i="19"/>
  <c r="AF21" i="19" s="1"/>
  <c r="F21" i="19" s="1"/>
  <c r="Y23" i="25"/>
  <c r="R22" i="19"/>
  <c r="E22" i="19" s="1"/>
  <c r="O22" i="22" s="1"/>
  <c r="H22" i="25"/>
  <c r="AA22" i="25"/>
  <c r="AW22" i="20" s="1"/>
  <c r="I21" i="25"/>
  <c r="AL20" i="19"/>
  <c r="AB24" i="19"/>
  <c r="B24" i="19" s="1"/>
  <c r="L24" i="22" s="1"/>
  <c r="BH22" i="19"/>
  <c r="AK22" i="19"/>
  <c r="K22" i="19" s="1"/>
  <c r="K163" i="20"/>
  <c r="BV163" i="20" s="1"/>
  <c r="BX165" i="19" l="1"/>
  <c r="BI165" i="25"/>
  <c r="U165" i="25" s="1"/>
  <c r="AJ166" i="25"/>
  <c r="BV170" i="19"/>
  <c r="V170" i="19"/>
  <c r="BI170" i="19"/>
  <c r="AF171" i="25"/>
  <c r="N168" i="25"/>
  <c r="AH169" i="25" s="1"/>
  <c r="BA169" i="20" s="1"/>
  <c r="Y164" i="19"/>
  <c r="AL165" i="25"/>
  <c r="AR23" i="25"/>
  <c r="AS23" i="25"/>
  <c r="E23" i="25" s="1"/>
  <c r="BE23" i="19" s="1"/>
  <c r="BQ23" i="19"/>
  <c r="P23" i="19"/>
  <c r="C23" i="19" s="1"/>
  <c r="M23" i="22" s="1"/>
  <c r="BC23" i="19"/>
  <c r="W24" i="25"/>
  <c r="AY22" i="25"/>
  <c r="K22" i="25" s="1"/>
  <c r="AU22" i="25"/>
  <c r="G22" i="25" s="1"/>
  <c r="AB23" i="25" s="1"/>
  <c r="BS22" i="19"/>
  <c r="T21" i="19"/>
  <c r="AG21" i="19" s="1"/>
  <c r="G21" i="19" s="1"/>
  <c r="BG21" i="19"/>
  <c r="AC22" i="25"/>
  <c r="AD22" i="25"/>
  <c r="L20" i="19"/>
  <c r="T20" i="22" s="1"/>
  <c r="V21" i="22"/>
  <c r="AN21" i="19"/>
  <c r="AK23" i="19"/>
  <c r="K23" i="19" s="1"/>
  <c r="AJ23" i="19"/>
  <c r="J23" i="19" s="1"/>
  <c r="AI23" i="19"/>
  <c r="I23" i="19" s="1"/>
  <c r="S23" i="22" s="1"/>
  <c r="AL163" i="20"/>
  <c r="BM163" i="19" s="1"/>
  <c r="BG164" i="25" s="1"/>
  <c r="BT22" i="19" l="1"/>
  <c r="AX22" i="20"/>
  <c r="BD166" i="25"/>
  <c r="P166" i="25" s="1"/>
  <c r="X166" i="19" s="1"/>
  <c r="S164" i="25"/>
  <c r="BC167" i="25"/>
  <c r="BY165" i="19"/>
  <c r="BF165" i="25"/>
  <c r="R165" i="25" s="1"/>
  <c r="BW169" i="19"/>
  <c r="BA170" i="25" s="1"/>
  <c r="AZ171" i="25"/>
  <c r="BO24" i="19"/>
  <c r="AP25" i="25" s="1"/>
  <c r="AQ24" i="25"/>
  <c r="R23" i="19"/>
  <c r="E23" i="19" s="1"/>
  <c r="O23" i="22" s="1"/>
  <c r="D23" i="25"/>
  <c r="AT22" i="25"/>
  <c r="F22" i="25" s="1"/>
  <c r="BU21" i="19"/>
  <c r="AX22" i="25" s="1"/>
  <c r="AV23" i="25"/>
  <c r="H23" i="25" s="1"/>
  <c r="AW22" i="25"/>
  <c r="I22" i="25" s="1"/>
  <c r="BG22" i="19" s="1"/>
  <c r="N21" i="19"/>
  <c r="U21" i="22" s="1"/>
  <c r="X22" i="22"/>
  <c r="M21" i="19"/>
  <c r="BH23" i="19"/>
  <c r="AC163" i="20"/>
  <c r="AJ167" i="25" l="1"/>
  <c r="Z165" i="19"/>
  <c r="M170" i="25"/>
  <c r="BJ170" i="19" s="1"/>
  <c r="AA164" i="19"/>
  <c r="BK164" i="19"/>
  <c r="BE165" i="25" s="1"/>
  <c r="AM165" i="25"/>
  <c r="BC165" i="20" s="1"/>
  <c r="AN165" i="25"/>
  <c r="L171" i="25"/>
  <c r="O167" i="25"/>
  <c r="AI168" i="25" s="1"/>
  <c r="BC168" i="25" s="1"/>
  <c r="Q23" i="19"/>
  <c r="AD23" i="19" s="1"/>
  <c r="D23" i="19" s="1"/>
  <c r="N23" i="22" s="1"/>
  <c r="X24" i="25"/>
  <c r="AU24" i="20" s="1"/>
  <c r="B25" i="25"/>
  <c r="C24" i="25"/>
  <c r="Y24" i="25"/>
  <c r="BQ24" i="19" s="1"/>
  <c r="AA23" i="25"/>
  <c r="BF22" i="19"/>
  <c r="AC23" i="25"/>
  <c r="AW23" i="25" s="1"/>
  <c r="I23" i="25" s="1"/>
  <c r="BG23" i="19" s="1"/>
  <c r="T22" i="19"/>
  <c r="AG22" i="19" s="1"/>
  <c r="G22" i="19" s="1"/>
  <c r="Z23" i="25"/>
  <c r="AV23" i="20" s="1"/>
  <c r="S22" i="19"/>
  <c r="AF22" i="19" s="1"/>
  <c r="F22" i="19" s="1"/>
  <c r="J22" i="25"/>
  <c r="U22" i="19" s="1"/>
  <c r="AH22" i="19" s="1"/>
  <c r="H22" i="19" s="1"/>
  <c r="R22" i="22" s="1"/>
  <c r="AL21" i="19"/>
  <c r="AK24" i="19"/>
  <c r="K24" i="19" s="1"/>
  <c r="AI24" i="19"/>
  <c r="I24" i="19" s="1"/>
  <c r="S24" i="22" s="1"/>
  <c r="K164" i="20"/>
  <c r="BV164" i="20" s="1"/>
  <c r="BS23" i="19" l="1"/>
  <c r="AW23" i="20"/>
  <c r="W170" i="19"/>
  <c r="AG171" i="25"/>
  <c r="AZ171" i="20" s="1"/>
  <c r="O168" i="25"/>
  <c r="AI169" i="25" s="1"/>
  <c r="BB169" i="25"/>
  <c r="Q165" i="25"/>
  <c r="AS24" i="25"/>
  <c r="E24" i="25" s="1"/>
  <c r="BE24" i="19" s="1"/>
  <c r="V171" i="19"/>
  <c r="BI171" i="19"/>
  <c r="AF172" i="25"/>
  <c r="CA165" i="19"/>
  <c r="BH165" i="25"/>
  <c r="O25" i="19"/>
  <c r="AB25" i="19" s="1"/>
  <c r="B25" i="19" s="1"/>
  <c r="L25" i="22" s="1"/>
  <c r="V26" i="25"/>
  <c r="AR24" i="25"/>
  <c r="BC24" i="19"/>
  <c r="P24" i="19"/>
  <c r="C24" i="19" s="1"/>
  <c r="M24" i="22" s="1"/>
  <c r="W25" i="25"/>
  <c r="AU23" i="25"/>
  <c r="G23" i="25" s="1"/>
  <c r="AC24" i="25"/>
  <c r="T23" i="19"/>
  <c r="AG23" i="19" s="1"/>
  <c r="G23" i="19" s="1"/>
  <c r="AD23" i="25"/>
  <c r="AE23" i="25"/>
  <c r="AY23" i="20" s="1"/>
  <c r="L21" i="19"/>
  <c r="T21" i="22" s="1"/>
  <c r="V22" i="22"/>
  <c r="AN22" i="19"/>
  <c r="AJ24" i="19"/>
  <c r="J24" i="19" s="1"/>
  <c r="AL164" i="20"/>
  <c r="BM164" i="19" s="1"/>
  <c r="BG165" i="25" s="1"/>
  <c r="BT23" i="19" l="1"/>
  <c r="AX23" i="20"/>
  <c r="S165" i="25"/>
  <c r="N169" i="25"/>
  <c r="AH170" i="25" s="1"/>
  <c r="Y165" i="19"/>
  <c r="AK166" i="25"/>
  <c r="BB166" i="20" s="1"/>
  <c r="AL166" i="25"/>
  <c r="BV171" i="19"/>
  <c r="AZ172" i="25" s="1"/>
  <c r="L172" i="25" s="1"/>
  <c r="T165" i="25"/>
  <c r="D24" i="25"/>
  <c r="Y25" i="25" s="1"/>
  <c r="BQ25" i="19" s="1"/>
  <c r="BO25" i="19"/>
  <c r="AP26" i="25" s="1"/>
  <c r="AQ25" i="25"/>
  <c r="AT23" i="25"/>
  <c r="F23" i="25" s="1"/>
  <c r="BF23" i="19" s="1"/>
  <c r="BU22" i="19"/>
  <c r="AX23" i="25" s="1"/>
  <c r="R24" i="19"/>
  <c r="E24" i="19" s="1"/>
  <c r="O24" i="22" s="1"/>
  <c r="AY23" i="25"/>
  <c r="AW24" i="25"/>
  <c r="I24" i="25" s="1"/>
  <c r="AB24" i="25"/>
  <c r="AL22" i="19"/>
  <c r="L22" i="19" s="1"/>
  <c r="T22" i="22" s="1"/>
  <c r="N22" i="19"/>
  <c r="U22" i="22" s="1"/>
  <c r="X23" i="22"/>
  <c r="M22" i="19"/>
  <c r="AI25" i="19"/>
  <c r="I25" i="19" s="1"/>
  <c r="S25" i="22" s="1"/>
  <c r="AC164" i="20"/>
  <c r="BB170" i="25" l="1"/>
  <c r="N170" i="25" s="1"/>
  <c r="AH171" i="25" s="1"/>
  <c r="BA171" i="20" s="1"/>
  <c r="BA170" i="20"/>
  <c r="BI172" i="19"/>
  <c r="V172" i="19"/>
  <c r="AF173" i="25"/>
  <c r="BW170" i="19"/>
  <c r="BA171" i="25" s="1"/>
  <c r="BK165" i="19"/>
  <c r="AA165" i="19"/>
  <c r="AM166" i="25"/>
  <c r="BC166" i="20" s="1"/>
  <c r="AO166" i="25"/>
  <c r="AN166" i="25"/>
  <c r="BY166" i="19"/>
  <c r="BF166" i="25"/>
  <c r="BX166" i="19"/>
  <c r="BD167" i="25" s="1"/>
  <c r="P167" i="25" s="1"/>
  <c r="BE166" i="25"/>
  <c r="B26" i="25"/>
  <c r="C25" i="25"/>
  <c r="Q24" i="19"/>
  <c r="AD24" i="19" s="1"/>
  <c r="D24" i="19" s="1"/>
  <c r="N24" i="22" s="1"/>
  <c r="X25" i="25"/>
  <c r="AU25" i="20" s="1"/>
  <c r="T24" i="19"/>
  <c r="BG24" i="19"/>
  <c r="V23" i="22"/>
  <c r="BU23" i="19" s="1"/>
  <c r="Z24" i="25"/>
  <c r="S23" i="19"/>
  <c r="AF23" i="19" s="1"/>
  <c r="F23" i="19" s="1"/>
  <c r="AV24" i="25"/>
  <c r="H24" i="25" s="1"/>
  <c r="AC25" i="25" s="1"/>
  <c r="AA24" i="25"/>
  <c r="J23" i="25"/>
  <c r="K23" i="25"/>
  <c r="BH24" i="19"/>
  <c r="AI26" i="19"/>
  <c r="I26" i="19" s="1"/>
  <c r="S26" i="22" s="1"/>
  <c r="AK25" i="19"/>
  <c r="K25" i="19" s="1"/>
  <c r="K165" i="20"/>
  <c r="BV165" i="20" s="1"/>
  <c r="BS24" i="19" l="1"/>
  <c r="AW24" i="20"/>
  <c r="AS25" i="25"/>
  <c r="E25" i="25" s="1"/>
  <c r="BE25" i="19" s="1"/>
  <c r="AV24" i="20"/>
  <c r="CA166" i="19"/>
  <c r="BH166" i="25"/>
  <c r="BI166" i="25"/>
  <c r="X167" i="19"/>
  <c r="AJ168" i="25"/>
  <c r="Q166" i="25"/>
  <c r="R166" i="25"/>
  <c r="BW171" i="19"/>
  <c r="M171" i="25"/>
  <c r="P25" i="19"/>
  <c r="C25" i="19" s="1"/>
  <c r="M25" i="22" s="1"/>
  <c r="BC25" i="19"/>
  <c r="W26" i="25"/>
  <c r="AR25" i="25"/>
  <c r="O26" i="19"/>
  <c r="AB26" i="19" s="1"/>
  <c r="B26" i="19" s="1"/>
  <c r="L26" i="22" s="1"/>
  <c r="V27" i="25"/>
  <c r="AT24" i="25"/>
  <c r="F24" i="25" s="1"/>
  <c r="BF24" i="19" s="1"/>
  <c r="AE24" i="25"/>
  <c r="AY24" i="20" s="1"/>
  <c r="AD24" i="25"/>
  <c r="AX24" i="20" s="1"/>
  <c r="U23" i="19"/>
  <c r="AH23" i="19" s="1"/>
  <c r="H23" i="19" s="1"/>
  <c r="R23" i="22" s="1"/>
  <c r="AU24" i="25"/>
  <c r="G24" i="25" s="1"/>
  <c r="AJ25" i="19"/>
  <c r="J25" i="19" s="1"/>
  <c r="AG24" i="19"/>
  <c r="G24" i="19" s="1"/>
  <c r="AN23" i="19"/>
  <c r="M23" i="19"/>
  <c r="AL23" i="19"/>
  <c r="AL165" i="20"/>
  <c r="BM165" i="19" s="1"/>
  <c r="BG166" i="25" s="1"/>
  <c r="R25" i="19" l="1"/>
  <c r="E25" i="19" s="1"/>
  <c r="O25" i="22" s="1"/>
  <c r="S166" i="25"/>
  <c r="W171" i="19"/>
  <c r="AG172" i="25"/>
  <c r="AZ172" i="20" s="1"/>
  <c r="Z166" i="19"/>
  <c r="AL167" i="25"/>
  <c r="Y166" i="19"/>
  <c r="AK167" i="25"/>
  <c r="BB167" i="20" s="1"/>
  <c r="BJ171" i="19"/>
  <c r="BC169" i="25"/>
  <c r="U166" i="25"/>
  <c r="T166" i="25"/>
  <c r="BO26" i="19"/>
  <c r="AP27" i="25" s="1"/>
  <c r="AQ26" i="25"/>
  <c r="D25" i="25"/>
  <c r="AY24" i="25"/>
  <c r="K24" i="25" s="1"/>
  <c r="AX24" i="25"/>
  <c r="J24" i="25" s="1"/>
  <c r="U24" i="19" s="1"/>
  <c r="AH24" i="19" s="1"/>
  <c r="H24" i="19" s="1"/>
  <c r="R24" i="22" s="1"/>
  <c r="BT24" i="19"/>
  <c r="AW25" i="25"/>
  <c r="I25" i="25" s="1"/>
  <c r="Z25" i="25"/>
  <c r="AV25" i="20" s="1"/>
  <c r="S24" i="19"/>
  <c r="AF24" i="19" s="1"/>
  <c r="F24" i="19" s="1"/>
  <c r="AA25" i="25"/>
  <c r="AW25" i="20" s="1"/>
  <c r="AB25" i="25"/>
  <c r="AV25" i="25" s="1"/>
  <c r="H25" i="25" s="1"/>
  <c r="AK26" i="19"/>
  <c r="K26" i="19" s="1"/>
  <c r="N23" i="19"/>
  <c r="U23" i="22" s="1"/>
  <c r="X24" i="22"/>
  <c r="M24" i="19"/>
  <c r="L23" i="19"/>
  <c r="T23" i="22" s="1"/>
  <c r="V24" i="22"/>
  <c r="AI27" i="19"/>
  <c r="I27" i="19" s="1"/>
  <c r="S27" i="22" s="1"/>
  <c r="AC165" i="20"/>
  <c r="BU24" i="19" l="1"/>
  <c r="AN167" i="25"/>
  <c r="CA167" i="19" s="1"/>
  <c r="AO167" i="25"/>
  <c r="BI167" i="25" s="1"/>
  <c r="U167" i="25" s="1"/>
  <c r="BV172" i="19"/>
  <c r="AZ173" i="25" s="1"/>
  <c r="BA172" i="25"/>
  <c r="M172" i="25" s="1"/>
  <c r="O169" i="25"/>
  <c r="AI170" i="25" s="1"/>
  <c r="BH167" i="25"/>
  <c r="BY167" i="19"/>
  <c r="BF167" i="25"/>
  <c r="BK166" i="19"/>
  <c r="BE167" i="25" s="1"/>
  <c r="AA166" i="19"/>
  <c r="AM167" i="25"/>
  <c r="BC167" i="20" s="1"/>
  <c r="BX167" i="19"/>
  <c r="BD168" i="25" s="1"/>
  <c r="B27" i="25"/>
  <c r="Q25" i="19"/>
  <c r="AD25" i="19" s="1"/>
  <c r="D25" i="19" s="1"/>
  <c r="N25" i="22" s="1"/>
  <c r="Y26" i="25"/>
  <c r="BQ26" i="19" s="1"/>
  <c r="X26" i="25"/>
  <c r="AU26" i="20" s="1"/>
  <c r="C26" i="25"/>
  <c r="AU25" i="25"/>
  <c r="G25" i="25" s="1"/>
  <c r="AB26" i="25" s="1"/>
  <c r="AV26" i="25" s="1"/>
  <c r="BS25" i="19"/>
  <c r="AD25" i="25"/>
  <c r="AX25" i="20" s="1"/>
  <c r="T25" i="19"/>
  <c r="AG25" i="19" s="1"/>
  <c r="G25" i="19" s="1"/>
  <c r="BG25" i="19"/>
  <c r="AE25" i="25"/>
  <c r="AY25" i="20" s="1"/>
  <c r="AC26" i="25"/>
  <c r="AT25" i="25"/>
  <c r="BH25" i="19"/>
  <c r="M27" i="22"/>
  <c r="K166" i="20"/>
  <c r="BV166" i="20" s="1"/>
  <c r="Q167" i="25" l="1"/>
  <c r="W172" i="19"/>
  <c r="AG173" i="25"/>
  <c r="AZ173" i="20" s="1"/>
  <c r="P168" i="25"/>
  <c r="L173" i="25"/>
  <c r="BJ172" i="19"/>
  <c r="T167" i="25"/>
  <c r="R167" i="25"/>
  <c r="BB171" i="25"/>
  <c r="P26" i="19"/>
  <c r="C26" i="19" s="1"/>
  <c r="M26" i="22" s="1"/>
  <c r="BC26" i="19"/>
  <c r="W27" i="25"/>
  <c r="AS26" i="25"/>
  <c r="E26" i="25" s="1"/>
  <c r="AR26" i="25"/>
  <c r="O27" i="19"/>
  <c r="AB27" i="19" s="1"/>
  <c r="B27" i="19" s="1"/>
  <c r="L27" i="22" s="1"/>
  <c r="V28" i="25"/>
  <c r="AY25" i="25"/>
  <c r="K25" i="25" s="1"/>
  <c r="AX25" i="25"/>
  <c r="J25" i="25" s="1"/>
  <c r="U25" i="19" s="1"/>
  <c r="AH25" i="19" s="1"/>
  <c r="H25" i="19" s="1"/>
  <c r="R25" i="22" s="1"/>
  <c r="BT25" i="19"/>
  <c r="H26" i="25"/>
  <c r="AW26" i="25"/>
  <c r="I26" i="25" s="1"/>
  <c r="F25" i="25"/>
  <c r="AJ26" i="19"/>
  <c r="J26" i="19" s="1"/>
  <c r="AL24" i="19"/>
  <c r="AN24" i="19"/>
  <c r="AI28" i="19"/>
  <c r="I28" i="19" s="1"/>
  <c r="S28" i="22" s="1"/>
  <c r="AL166" i="20"/>
  <c r="BM166" i="19" s="1"/>
  <c r="BG167" i="25" s="1"/>
  <c r="BI173" i="19" l="1"/>
  <c r="V173" i="19"/>
  <c r="AF174" i="25"/>
  <c r="Z167" i="19"/>
  <c r="AL168" i="25"/>
  <c r="BV173" i="19"/>
  <c r="AO168" i="25"/>
  <c r="S167" i="25"/>
  <c r="AM168" i="25" s="1"/>
  <c r="BC168" i="20" s="1"/>
  <c r="X168" i="19"/>
  <c r="AJ169" i="25"/>
  <c r="N171" i="25"/>
  <c r="AH172" i="25" s="1"/>
  <c r="BA172" i="20" s="1"/>
  <c r="Y167" i="19"/>
  <c r="AK168" i="25"/>
  <c r="BB168" i="20" s="1"/>
  <c r="BO27" i="19"/>
  <c r="AQ27" i="25"/>
  <c r="BE26" i="19"/>
  <c r="R26" i="19"/>
  <c r="E26" i="19" s="1"/>
  <c r="O26" i="22" s="1"/>
  <c r="AP28" i="25"/>
  <c r="B28" i="25" s="1"/>
  <c r="O28" i="19" s="1"/>
  <c r="AB28" i="19" s="1"/>
  <c r="B28" i="19" s="1"/>
  <c r="L28" i="22" s="1"/>
  <c r="D26" i="25"/>
  <c r="AD26" i="25"/>
  <c r="AX26" i="20" s="1"/>
  <c r="AE26" i="25"/>
  <c r="AY26" i="20" s="1"/>
  <c r="S25" i="19"/>
  <c r="AF25" i="19" s="1"/>
  <c r="F25" i="19" s="1"/>
  <c r="BF25" i="19"/>
  <c r="T26" i="19"/>
  <c r="AG26" i="19" s="1"/>
  <c r="G26" i="19" s="1"/>
  <c r="BG26" i="19"/>
  <c r="AC27" i="25"/>
  <c r="Z26" i="25"/>
  <c r="AV26" i="20" s="1"/>
  <c r="AA26" i="25"/>
  <c r="BH26" i="19"/>
  <c r="L24" i="19"/>
  <c r="T24" i="22" s="1"/>
  <c r="V25" i="22"/>
  <c r="N24" i="19"/>
  <c r="U24" i="22" s="1"/>
  <c r="X25" i="22"/>
  <c r="AC166" i="20"/>
  <c r="BS26" i="19" l="1"/>
  <c r="AW26" i="20"/>
  <c r="AW27" i="25"/>
  <c r="I27" i="25" s="1"/>
  <c r="BW172" i="19"/>
  <c r="BA173" i="25" s="1"/>
  <c r="BK167" i="19"/>
  <c r="BE168" i="25" s="1"/>
  <c r="Q168" i="25" s="1"/>
  <c r="AA167" i="19"/>
  <c r="AZ174" i="25"/>
  <c r="L174" i="25" s="1"/>
  <c r="AF175" i="25" s="1"/>
  <c r="BX168" i="19"/>
  <c r="BD169" i="25" s="1"/>
  <c r="BC170" i="25"/>
  <c r="BI168" i="25"/>
  <c r="U168" i="25" s="1"/>
  <c r="BY168" i="19"/>
  <c r="BF168" i="25"/>
  <c r="R168" i="25" s="1"/>
  <c r="AN168" i="25"/>
  <c r="AY26" i="25"/>
  <c r="K26" i="25" s="1"/>
  <c r="BU25" i="19"/>
  <c r="AX26" i="25" s="1"/>
  <c r="J26" i="25" s="1"/>
  <c r="U26" i="19" s="1"/>
  <c r="AH26" i="19" s="1"/>
  <c r="H26" i="19" s="1"/>
  <c r="R26" i="22" s="1"/>
  <c r="C27" i="25"/>
  <c r="Q26" i="19"/>
  <c r="AD26" i="19" s="1"/>
  <c r="D26" i="19" s="1"/>
  <c r="N26" i="22" s="1"/>
  <c r="X27" i="25"/>
  <c r="AU27" i="20" s="1"/>
  <c r="Y27" i="25"/>
  <c r="BQ27" i="19" s="1"/>
  <c r="V29" i="25"/>
  <c r="BT26" i="19"/>
  <c r="AU26" i="25"/>
  <c r="G26" i="25" s="1"/>
  <c r="AJ27" i="19"/>
  <c r="J27" i="19" s="1"/>
  <c r="AK27" i="19"/>
  <c r="K27" i="19" s="1"/>
  <c r="AT26" i="25"/>
  <c r="M25" i="19"/>
  <c r="AI29" i="19"/>
  <c r="I29" i="19" s="1"/>
  <c r="S29" i="22" s="1"/>
  <c r="K167" i="20"/>
  <c r="BV167" i="20" s="1"/>
  <c r="AS27" i="25" l="1"/>
  <c r="Z168" i="19"/>
  <c r="AL169" i="25"/>
  <c r="BF169" i="25" s="1"/>
  <c r="Y168" i="19"/>
  <c r="AK169" i="25"/>
  <c r="BB169" i="20" s="1"/>
  <c r="CA168" i="19"/>
  <c r="BH168" i="25"/>
  <c r="O170" i="25"/>
  <c r="AI171" i="25" s="1"/>
  <c r="M173" i="25"/>
  <c r="BJ173" i="19" s="1"/>
  <c r="P169" i="25"/>
  <c r="BI174" i="19"/>
  <c r="V174" i="19"/>
  <c r="AR27" i="25"/>
  <c r="P27" i="19"/>
  <c r="C27" i="19" s="1"/>
  <c r="BC27" i="19"/>
  <c r="W28" i="25"/>
  <c r="AE27" i="25"/>
  <c r="AY27" i="20" s="1"/>
  <c r="AD27" i="25"/>
  <c r="T27" i="19"/>
  <c r="BG27" i="19"/>
  <c r="F26" i="25"/>
  <c r="BF26" i="19" s="1"/>
  <c r="AB27" i="25"/>
  <c r="AV27" i="25" s="1"/>
  <c r="E27" i="25"/>
  <c r="BE27" i="19" s="1"/>
  <c r="AK28" i="19"/>
  <c r="K28" i="19" s="1"/>
  <c r="AL25" i="19"/>
  <c r="AN25" i="19"/>
  <c r="M29" i="22"/>
  <c r="AL167" i="20"/>
  <c r="BM167" i="19" s="1"/>
  <c r="BG168" i="25" s="1"/>
  <c r="BT27" i="19" l="1"/>
  <c r="AX27" i="20"/>
  <c r="S168" i="25"/>
  <c r="BX169" i="19"/>
  <c r="BY169" i="19"/>
  <c r="W173" i="19"/>
  <c r="AG174" i="25"/>
  <c r="AZ174" i="20" s="1"/>
  <c r="X169" i="19"/>
  <c r="AJ170" i="25"/>
  <c r="BB172" i="25"/>
  <c r="N172" i="25" s="1"/>
  <c r="AH173" i="25" s="1"/>
  <c r="BA173" i="20" s="1"/>
  <c r="T168" i="25"/>
  <c r="R169" i="25"/>
  <c r="Z169" i="19" s="1"/>
  <c r="BO28" i="19"/>
  <c r="AP29" i="25" s="1"/>
  <c r="AQ28" i="25"/>
  <c r="D27" i="25"/>
  <c r="Y28" i="25" s="1"/>
  <c r="BQ28" i="19" s="1"/>
  <c r="AY27" i="25"/>
  <c r="K27" i="25" s="1"/>
  <c r="R27" i="19"/>
  <c r="E27" i="19" s="1"/>
  <c r="O27" i="22" s="1"/>
  <c r="Z27" i="25"/>
  <c r="AV27" i="20" s="1"/>
  <c r="S26" i="19"/>
  <c r="AF26" i="19" s="1"/>
  <c r="F26" i="19" s="1"/>
  <c r="H27" i="25"/>
  <c r="AA27" i="25"/>
  <c r="L25" i="19"/>
  <c r="T25" i="22" s="1"/>
  <c r="V26" i="22"/>
  <c r="N25" i="19"/>
  <c r="U25" i="22" s="1"/>
  <c r="X26" i="22"/>
  <c r="AI30" i="19"/>
  <c r="I30" i="19" s="1"/>
  <c r="S30" i="22" s="1"/>
  <c r="AC167" i="20"/>
  <c r="BS27" i="19" l="1"/>
  <c r="AW27" i="20"/>
  <c r="BD170" i="25"/>
  <c r="BC171" i="25"/>
  <c r="AN169" i="25"/>
  <c r="AO169" i="25"/>
  <c r="AA168" i="19"/>
  <c r="BK168" i="19"/>
  <c r="BE169" i="25" s="1"/>
  <c r="AM169" i="25"/>
  <c r="BC169" i="20" s="1"/>
  <c r="BW173" i="19"/>
  <c r="BA174" i="25" s="1"/>
  <c r="M174" i="25" s="1"/>
  <c r="W174" i="19" s="1"/>
  <c r="BV174" i="19"/>
  <c r="AZ175" i="25" s="1"/>
  <c r="L175" i="25" s="1"/>
  <c r="C28" i="25"/>
  <c r="Q27" i="19"/>
  <c r="AD27" i="19" s="1"/>
  <c r="D27" i="19" s="1"/>
  <c r="N27" i="22" s="1"/>
  <c r="X28" i="25"/>
  <c r="AU28" i="20" s="1"/>
  <c r="B29" i="25"/>
  <c r="BU26" i="19"/>
  <c r="AX27" i="25" s="1"/>
  <c r="J27" i="25" s="1"/>
  <c r="AD28" i="25" s="1"/>
  <c r="AS28" i="25"/>
  <c r="E28" i="25" s="1"/>
  <c r="BE28" i="19" s="1"/>
  <c r="AU27" i="25"/>
  <c r="G27" i="25" s="1"/>
  <c r="AB28" i="25" s="1"/>
  <c r="AV28" i="25" s="1"/>
  <c r="AC28" i="25"/>
  <c r="AT27" i="25"/>
  <c r="BH27" i="19"/>
  <c r="AG27" i="19"/>
  <c r="G27" i="19" s="1"/>
  <c r="M26" i="19"/>
  <c r="K168" i="20"/>
  <c r="BV168" i="20" s="1"/>
  <c r="BT28" i="19" l="1"/>
  <c r="AX28" i="20"/>
  <c r="AG175" i="25"/>
  <c r="AZ175" i="20" s="1"/>
  <c r="BJ174" i="19"/>
  <c r="O171" i="25"/>
  <c r="AI172" i="25" s="1"/>
  <c r="BI169" i="25"/>
  <c r="AF176" i="25"/>
  <c r="V175" i="19"/>
  <c r="BI175" i="19"/>
  <c r="Q169" i="25"/>
  <c r="CA169" i="19"/>
  <c r="BH169" i="25"/>
  <c r="P170" i="25"/>
  <c r="AR28" i="25"/>
  <c r="O29" i="19"/>
  <c r="AB29" i="19" s="1"/>
  <c r="B29" i="19" s="1"/>
  <c r="L29" i="22" s="1"/>
  <c r="V30" i="25"/>
  <c r="BC28" i="19"/>
  <c r="P28" i="19"/>
  <c r="C28" i="19" s="1"/>
  <c r="M28" i="22" s="1"/>
  <c r="W29" i="25"/>
  <c r="U27" i="19"/>
  <c r="AH27" i="19" s="1"/>
  <c r="H27" i="19" s="1"/>
  <c r="R27" i="22" s="1"/>
  <c r="AE28" i="25"/>
  <c r="AY28" i="20" s="1"/>
  <c r="R28" i="19"/>
  <c r="E28" i="19" s="1"/>
  <c r="O28" i="22" s="1"/>
  <c r="H28" i="25"/>
  <c r="F27" i="25"/>
  <c r="BF27" i="19" s="1"/>
  <c r="AW28" i="25"/>
  <c r="AJ28" i="19"/>
  <c r="J28" i="19" s="1"/>
  <c r="AN26" i="19"/>
  <c r="AL26" i="19"/>
  <c r="AI31" i="19"/>
  <c r="I31" i="19" s="1"/>
  <c r="S31" i="22" s="1"/>
  <c r="AL168" i="20"/>
  <c r="BM168" i="19" s="1"/>
  <c r="BG169" i="25" s="1"/>
  <c r="S169" i="25" l="1"/>
  <c r="X170" i="19"/>
  <c r="AJ171" i="25"/>
  <c r="Y169" i="19"/>
  <c r="AK170" i="25"/>
  <c r="BB170" i="20" s="1"/>
  <c r="AL170" i="25"/>
  <c r="T169" i="25"/>
  <c r="U169" i="25"/>
  <c r="BB173" i="25"/>
  <c r="BV175" i="19"/>
  <c r="AZ176" i="25" s="1"/>
  <c r="AY28" i="25"/>
  <c r="K28" i="25" s="1"/>
  <c r="BO29" i="19"/>
  <c r="AP30" i="25" s="1"/>
  <c r="B30" i="25" s="1"/>
  <c r="AQ29" i="25"/>
  <c r="D28" i="25"/>
  <c r="Z28" i="25"/>
  <c r="AV28" i="20" s="1"/>
  <c r="S27" i="19"/>
  <c r="AF27" i="19" s="1"/>
  <c r="F27" i="19" s="1"/>
  <c r="AA28" i="25"/>
  <c r="I28" i="25"/>
  <c r="L26" i="19"/>
  <c r="T26" i="22" s="1"/>
  <c r="V27" i="22"/>
  <c r="N26" i="19"/>
  <c r="U26" i="22" s="1"/>
  <c r="X27" i="22"/>
  <c r="AC168" i="20"/>
  <c r="BS28" i="19" l="1"/>
  <c r="AW28" i="20"/>
  <c r="AN170" i="25"/>
  <c r="BH170" i="25" s="1"/>
  <c r="AO170" i="25"/>
  <c r="BI170" i="25" s="1"/>
  <c r="L176" i="25"/>
  <c r="BC172" i="25"/>
  <c r="T170" i="25"/>
  <c r="CA170" i="19"/>
  <c r="BY170" i="19"/>
  <c r="BF170" i="25"/>
  <c r="R170" i="25" s="1"/>
  <c r="N173" i="25"/>
  <c r="AH174" i="25" s="1"/>
  <c r="BA174" i="20" s="1"/>
  <c r="BX170" i="19"/>
  <c r="BD171" i="25" s="1"/>
  <c r="AA169" i="19"/>
  <c r="BK169" i="19"/>
  <c r="BE170" i="25" s="1"/>
  <c r="AM170" i="25"/>
  <c r="BC170" i="20" s="1"/>
  <c r="O30" i="19"/>
  <c r="AB30" i="19" s="1"/>
  <c r="B30" i="19" s="1"/>
  <c r="L30" i="22" s="1"/>
  <c r="V31" i="25"/>
  <c r="Q28" i="19"/>
  <c r="AD28" i="19" s="1"/>
  <c r="D28" i="19" s="1"/>
  <c r="N28" i="22" s="1"/>
  <c r="X29" i="25"/>
  <c r="AU29" i="20" s="1"/>
  <c r="Y29" i="25"/>
  <c r="C29" i="25"/>
  <c r="BU27" i="19"/>
  <c r="AX28" i="25" s="1"/>
  <c r="J28" i="25" s="1"/>
  <c r="U28" i="19" s="1"/>
  <c r="AH28" i="19" s="1"/>
  <c r="H28" i="19" s="1"/>
  <c r="R28" i="22" s="1"/>
  <c r="T28" i="19"/>
  <c r="AG28" i="19" s="1"/>
  <c r="G28" i="19" s="1"/>
  <c r="BG28" i="19"/>
  <c r="AT28" i="25"/>
  <c r="AC29" i="25"/>
  <c r="AU28" i="25"/>
  <c r="G28" i="25" s="1"/>
  <c r="AK29" i="19"/>
  <c r="K29" i="19" s="1"/>
  <c r="BH28" i="19"/>
  <c r="M27" i="19"/>
  <c r="AI32" i="19"/>
  <c r="I32" i="19" s="1"/>
  <c r="S32" i="22" s="1"/>
  <c r="K169" i="20"/>
  <c r="BV169" i="20" s="1"/>
  <c r="U170" i="25" l="1"/>
  <c r="AO171" i="25" s="1"/>
  <c r="BI171" i="25" s="1"/>
  <c r="U171" i="25" s="1"/>
  <c r="P171" i="25"/>
  <c r="Z170" i="19"/>
  <c r="Q170" i="25"/>
  <c r="AL171" i="25" s="1"/>
  <c r="BW174" i="19"/>
  <c r="BA175" i="25" s="1"/>
  <c r="M175" i="25" s="1"/>
  <c r="V176" i="19"/>
  <c r="BI176" i="19"/>
  <c r="AF177" i="25"/>
  <c r="O172" i="25"/>
  <c r="AI173" i="25" s="1"/>
  <c r="BB174" i="25" s="1"/>
  <c r="N174" i="25" s="1"/>
  <c r="AH175" i="25" s="1"/>
  <c r="BA175" i="20" s="1"/>
  <c r="BC29" i="19"/>
  <c r="P29" i="19"/>
  <c r="C29" i="19" s="1"/>
  <c r="W30" i="25"/>
  <c r="BQ29" i="19"/>
  <c r="AS29" i="25"/>
  <c r="E29" i="25" s="1"/>
  <c r="BE29" i="19" s="1"/>
  <c r="AR29" i="25"/>
  <c r="AD29" i="25"/>
  <c r="AE29" i="25"/>
  <c r="AY29" i="20" s="1"/>
  <c r="R29" i="19"/>
  <c r="E29" i="19" s="1"/>
  <c r="O29" i="22" s="1"/>
  <c r="AB29" i="25"/>
  <c r="AW29" i="25"/>
  <c r="I29" i="25" s="1"/>
  <c r="F28" i="25"/>
  <c r="BF28" i="19" s="1"/>
  <c r="AJ29" i="19"/>
  <c r="J29" i="19" s="1"/>
  <c r="AN27" i="19"/>
  <c r="AL27" i="19"/>
  <c r="M32" i="22"/>
  <c r="AL169" i="20"/>
  <c r="BM169" i="19" s="1"/>
  <c r="BG170" i="25" s="1"/>
  <c r="S170" i="25" s="1"/>
  <c r="BT29" i="19" l="1"/>
  <c r="AX29" i="20"/>
  <c r="AY29" i="25"/>
  <c r="K29" i="25" s="1"/>
  <c r="BY171" i="19"/>
  <c r="BF171" i="25"/>
  <c r="BW175" i="19"/>
  <c r="AA170" i="19"/>
  <c r="BK170" i="19"/>
  <c r="AN171" i="25"/>
  <c r="AM171" i="25"/>
  <c r="BC171" i="20" s="1"/>
  <c r="BJ175" i="19"/>
  <c r="W175" i="19"/>
  <c r="AG176" i="25"/>
  <c r="AZ176" i="20" s="1"/>
  <c r="Y170" i="19"/>
  <c r="AK171" i="25"/>
  <c r="BB171" i="20" s="1"/>
  <c r="X171" i="19"/>
  <c r="AJ172" i="25"/>
  <c r="BO30" i="19"/>
  <c r="AP31" i="25" s="1"/>
  <c r="AQ30" i="25"/>
  <c r="D29" i="25"/>
  <c r="T29" i="19"/>
  <c r="BG29" i="19"/>
  <c r="Z29" i="25"/>
  <c r="AV29" i="20" s="1"/>
  <c r="S28" i="19"/>
  <c r="AF28" i="19" s="1"/>
  <c r="F28" i="19" s="1"/>
  <c r="AV29" i="25"/>
  <c r="AA29" i="25"/>
  <c r="L27" i="19"/>
  <c r="T27" i="22" s="1"/>
  <c r="V28" i="22"/>
  <c r="N27" i="19"/>
  <c r="U27" i="22" s="1"/>
  <c r="X28" i="22"/>
  <c r="AI33" i="19"/>
  <c r="I33" i="19" s="1"/>
  <c r="S33" i="22" s="1"/>
  <c r="AC169" i="20"/>
  <c r="BS29" i="19" l="1"/>
  <c r="AW29" i="20"/>
  <c r="BV176" i="19"/>
  <c r="AZ177" i="25" s="1"/>
  <c r="L177" i="25" s="1"/>
  <c r="BA176" i="25"/>
  <c r="BX171" i="19"/>
  <c r="BD172" i="25" s="1"/>
  <c r="BE171" i="25"/>
  <c r="BC173" i="25"/>
  <c r="CA171" i="19"/>
  <c r="BH171" i="25"/>
  <c r="R171" i="25"/>
  <c r="Z171" i="19" s="1"/>
  <c r="C30" i="25"/>
  <c r="Q29" i="19"/>
  <c r="AD29" i="19" s="1"/>
  <c r="D29" i="19" s="1"/>
  <c r="N29" i="22" s="1"/>
  <c r="X30" i="25"/>
  <c r="AU30" i="20" s="1"/>
  <c r="Y30" i="25"/>
  <c r="BQ30" i="19" s="1"/>
  <c r="B31" i="25"/>
  <c r="BU28" i="19"/>
  <c r="AX29" i="25" s="1"/>
  <c r="J29" i="25" s="1"/>
  <c r="U29" i="19" s="1"/>
  <c r="AH29" i="19" s="1"/>
  <c r="H29" i="19" s="1"/>
  <c r="R29" i="22" s="1"/>
  <c r="AU29" i="25"/>
  <c r="G29" i="25" s="1"/>
  <c r="H29" i="25"/>
  <c r="AT29" i="25"/>
  <c r="AK30" i="19"/>
  <c r="K30" i="19" s="1"/>
  <c r="AG29" i="19"/>
  <c r="G29" i="19" s="1"/>
  <c r="BH29" i="19"/>
  <c r="M28" i="19"/>
  <c r="K170" i="20"/>
  <c r="BV170" i="20" s="1"/>
  <c r="P172" i="25" l="1"/>
  <c r="T171" i="25"/>
  <c r="O173" i="25"/>
  <c r="AI174" i="25" s="1"/>
  <c r="Q171" i="25"/>
  <c r="M176" i="25"/>
  <c r="BJ176" i="19" s="1"/>
  <c r="V177" i="19"/>
  <c r="BI177" i="19"/>
  <c r="AF178" i="25"/>
  <c r="O31" i="19"/>
  <c r="AB31" i="19" s="1"/>
  <c r="B31" i="19" s="1"/>
  <c r="L31" i="22" s="1"/>
  <c r="V32" i="25"/>
  <c r="P30" i="19"/>
  <c r="C30" i="19" s="1"/>
  <c r="M30" i="22" s="1"/>
  <c r="BC30" i="19"/>
  <c r="W31" i="25"/>
  <c r="AR30" i="25"/>
  <c r="AS30" i="25"/>
  <c r="E30" i="25" s="1"/>
  <c r="AD30" i="25"/>
  <c r="AE30" i="25"/>
  <c r="AY30" i="20" s="1"/>
  <c r="AB30" i="25"/>
  <c r="AC30" i="25"/>
  <c r="F29" i="25"/>
  <c r="BF29" i="19" s="1"/>
  <c r="AJ30" i="19"/>
  <c r="J30" i="19" s="1"/>
  <c r="AN28" i="19"/>
  <c r="AL28" i="19"/>
  <c r="AI34" i="19"/>
  <c r="I34" i="19" s="1"/>
  <c r="S34" i="22" s="1"/>
  <c r="AL170" i="20"/>
  <c r="BM170" i="19" s="1"/>
  <c r="BG171" i="25" s="1"/>
  <c r="BT30" i="19" l="1"/>
  <c r="AX30" i="20"/>
  <c r="S171" i="25"/>
  <c r="AN172" i="25" s="1"/>
  <c r="BB175" i="25"/>
  <c r="N175" i="25" s="1"/>
  <c r="AH176" i="25" s="1"/>
  <c r="BA176" i="20" s="1"/>
  <c r="W176" i="19"/>
  <c r="AG177" i="25"/>
  <c r="AZ177" i="20" s="1"/>
  <c r="AY30" i="25"/>
  <c r="K30" i="25" s="1"/>
  <c r="AL172" i="25"/>
  <c r="Y171" i="19"/>
  <c r="AK172" i="25"/>
  <c r="BB172" i="20" s="1"/>
  <c r="AO172" i="25"/>
  <c r="X172" i="19"/>
  <c r="AJ173" i="25"/>
  <c r="BE30" i="19"/>
  <c r="R30" i="19"/>
  <c r="E30" i="19" s="1"/>
  <c r="O30" i="22" s="1"/>
  <c r="D30" i="25"/>
  <c r="BO31" i="19"/>
  <c r="AP32" i="25" s="1"/>
  <c r="B32" i="25" s="1"/>
  <c r="AQ31" i="25"/>
  <c r="Z30" i="25"/>
  <c r="AV30" i="20" s="1"/>
  <c r="S29" i="19"/>
  <c r="AF29" i="19" s="1"/>
  <c r="F29" i="19" s="1"/>
  <c r="AW30" i="25"/>
  <c r="AV30" i="25"/>
  <c r="AA30" i="25"/>
  <c r="L28" i="19"/>
  <c r="T28" i="22" s="1"/>
  <c r="V29" i="22"/>
  <c r="N28" i="19"/>
  <c r="U28" i="22" s="1"/>
  <c r="X29" i="22"/>
  <c r="AC170" i="20"/>
  <c r="BS30" i="19" l="1"/>
  <c r="AW30" i="20"/>
  <c r="BI172" i="25"/>
  <c r="BW176" i="19"/>
  <c r="BC174" i="25"/>
  <c r="O174" i="25" s="1"/>
  <c r="AI175" i="25" s="1"/>
  <c r="BX172" i="19"/>
  <c r="BD173" i="25" s="1"/>
  <c r="BV177" i="19"/>
  <c r="AZ178" i="25" s="1"/>
  <c r="L178" i="25" s="1"/>
  <c r="BA177" i="25"/>
  <c r="M177" i="25" s="1"/>
  <c r="W177" i="19" s="1"/>
  <c r="BK171" i="19"/>
  <c r="BE172" i="25" s="1"/>
  <c r="AA171" i="19"/>
  <c r="AM172" i="25"/>
  <c r="BC172" i="20" s="1"/>
  <c r="CA172" i="19"/>
  <c r="BH172" i="25"/>
  <c r="T172" i="25" s="1"/>
  <c r="BY172" i="19"/>
  <c r="BF172" i="25"/>
  <c r="BU29" i="19"/>
  <c r="AX30" i="25" s="1"/>
  <c r="J30" i="25" s="1"/>
  <c r="U30" i="19" s="1"/>
  <c r="AH30" i="19" s="1"/>
  <c r="H30" i="19" s="1"/>
  <c r="R30" i="22" s="1"/>
  <c r="O32" i="19"/>
  <c r="AB32" i="19" s="1"/>
  <c r="B32" i="19" s="1"/>
  <c r="L32" i="22" s="1"/>
  <c r="V33" i="25"/>
  <c r="C31" i="25"/>
  <c r="Q30" i="19"/>
  <c r="AD30" i="19" s="1"/>
  <c r="D30" i="19" s="1"/>
  <c r="N30" i="22" s="1"/>
  <c r="X31" i="25"/>
  <c r="AU31" i="20" s="1"/>
  <c r="Y31" i="25"/>
  <c r="BQ31" i="19" s="1"/>
  <c r="I30" i="25"/>
  <c r="AU30" i="25"/>
  <c r="G30" i="25" s="1"/>
  <c r="H30" i="25"/>
  <c r="AK31" i="19"/>
  <c r="K31" i="19" s="1"/>
  <c r="AT30" i="25"/>
  <c r="BH30" i="19"/>
  <c r="AN29" i="19"/>
  <c r="N29" i="19" s="1"/>
  <c r="U29" i="22" s="1"/>
  <c r="M29" i="19"/>
  <c r="AI35" i="19"/>
  <c r="I35" i="19" s="1"/>
  <c r="S35" i="22" s="1"/>
  <c r="K171" i="20"/>
  <c r="BV171" i="20" s="1"/>
  <c r="AE31" i="25" l="1"/>
  <c r="AY31" i="20" s="1"/>
  <c r="P173" i="25"/>
  <c r="Q172" i="25"/>
  <c r="BI178" i="19"/>
  <c r="V178" i="19"/>
  <c r="AF179" i="25"/>
  <c r="BB176" i="25"/>
  <c r="R172" i="25"/>
  <c r="BJ177" i="19"/>
  <c r="AG178" i="25"/>
  <c r="AZ178" i="20" s="1"/>
  <c r="U172" i="25"/>
  <c r="AO173" i="25" s="1"/>
  <c r="BI173" i="25" s="1"/>
  <c r="U173" i="25" s="1"/>
  <c r="BC31" i="19"/>
  <c r="P31" i="19"/>
  <c r="C31" i="19" s="1"/>
  <c r="M31" i="22" s="1"/>
  <c r="W32" i="25"/>
  <c r="AR31" i="25"/>
  <c r="D31" i="25" s="1"/>
  <c r="Q31" i="19" s="1"/>
  <c r="AD31" i="19" s="1"/>
  <c r="D31" i="19" s="1"/>
  <c r="N31" i="22" s="1"/>
  <c r="AS31" i="25"/>
  <c r="E31" i="25" s="1"/>
  <c r="T30" i="19"/>
  <c r="AG30" i="19" s="1"/>
  <c r="G30" i="19" s="1"/>
  <c r="BG30" i="19"/>
  <c r="F30" i="25"/>
  <c r="BF30" i="19" s="1"/>
  <c r="AB31" i="25"/>
  <c r="AV31" i="25" s="1"/>
  <c r="AC31" i="25"/>
  <c r="AD31" i="25"/>
  <c r="AL29" i="19"/>
  <c r="L29" i="19" s="1"/>
  <c r="T29" i="22" s="1"/>
  <c r="AJ31" i="19"/>
  <c r="J31" i="19" s="1"/>
  <c r="X30" i="22"/>
  <c r="M30" i="19"/>
  <c r="AI36" i="19"/>
  <c r="I36" i="19" s="1"/>
  <c r="S36" i="22" s="1"/>
  <c r="AL171" i="20"/>
  <c r="BM171" i="19" s="1"/>
  <c r="BG172" i="25" s="1"/>
  <c r="BT31" i="19" l="1"/>
  <c r="AX31" i="20"/>
  <c r="AY31" i="25"/>
  <c r="K31" i="25" s="1"/>
  <c r="X32" i="25"/>
  <c r="AU32" i="20" s="1"/>
  <c r="S172" i="25"/>
  <c r="Z172" i="19"/>
  <c r="AL173" i="25"/>
  <c r="Y172" i="19"/>
  <c r="AK173" i="25"/>
  <c r="BB173" i="20" s="1"/>
  <c r="BV178" i="19"/>
  <c r="AZ179" i="25" s="1"/>
  <c r="L179" i="25" s="1"/>
  <c r="AF180" i="25" s="1"/>
  <c r="X173" i="19"/>
  <c r="AJ174" i="25"/>
  <c r="N176" i="25"/>
  <c r="AH177" i="25" s="1"/>
  <c r="BA177" i="20" s="1"/>
  <c r="Y32" i="25"/>
  <c r="BQ32" i="19" s="1"/>
  <c r="BO32" i="19"/>
  <c r="AP33" i="25" s="1"/>
  <c r="AQ32" i="25"/>
  <c r="BE31" i="19"/>
  <c r="R31" i="19"/>
  <c r="E31" i="19" s="1"/>
  <c r="O31" i="22" s="1"/>
  <c r="V30" i="22"/>
  <c r="BU30" i="19" s="1"/>
  <c r="AX31" i="25" s="1"/>
  <c r="Z31" i="25"/>
  <c r="AV31" i="20" s="1"/>
  <c r="S30" i="19"/>
  <c r="AF30" i="19" s="1"/>
  <c r="F30" i="19" s="1"/>
  <c r="H31" i="25"/>
  <c r="AW31" i="25"/>
  <c r="AA31" i="25"/>
  <c r="AW31" i="20" s="1"/>
  <c r="AN30" i="19"/>
  <c r="N30" i="19" s="1"/>
  <c r="U30" i="22" s="1"/>
  <c r="AL30" i="19"/>
  <c r="L30" i="19" s="1"/>
  <c r="T30" i="22" s="1"/>
  <c r="AC171" i="20"/>
  <c r="AR32" i="25" l="1"/>
  <c r="D32" i="25" s="1"/>
  <c r="BX173" i="19"/>
  <c r="AS32" i="25"/>
  <c r="E32" i="25" s="1"/>
  <c r="BE32" i="19" s="1"/>
  <c r="BW177" i="19"/>
  <c r="BA178" i="25" s="1"/>
  <c r="BY173" i="19"/>
  <c r="BF173" i="25"/>
  <c r="BC175" i="25"/>
  <c r="BD174" i="25"/>
  <c r="P174" i="25" s="1"/>
  <c r="X174" i="19" s="1"/>
  <c r="BI179" i="19"/>
  <c r="V179" i="19"/>
  <c r="BK172" i="19"/>
  <c r="BE173" i="25" s="1"/>
  <c r="AA172" i="19"/>
  <c r="AN173" i="25"/>
  <c r="AM173" i="25"/>
  <c r="BC173" i="20" s="1"/>
  <c r="Q32" i="19"/>
  <c r="AD32" i="19" s="1"/>
  <c r="D32" i="19" s="1"/>
  <c r="N32" i="22" s="1"/>
  <c r="B33" i="25"/>
  <c r="C32" i="25"/>
  <c r="X33" i="25" s="1"/>
  <c r="AU33" i="20" s="1"/>
  <c r="AU31" i="25"/>
  <c r="G31" i="25" s="1"/>
  <c r="BS31" i="19"/>
  <c r="AT31" i="25"/>
  <c r="F31" i="25" s="1"/>
  <c r="BF31" i="19" s="1"/>
  <c r="I31" i="25"/>
  <c r="BG31" i="19" s="1"/>
  <c r="J31" i="25"/>
  <c r="U31" i="19" s="1"/>
  <c r="AH31" i="19" s="1"/>
  <c r="H31" i="19" s="1"/>
  <c r="R31" i="22" s="1"/>
  <c r="AK32" i="19"/>
  <c r="K32" i="19" s="1"/>
  <c r="X31" i="22"/>
  <c r="BH31" i="19"/>
  <c r="V31" i="22"/>
  <c r="AN31" i="19"/>
  <c r="K172" i="20"/>
  <c r="BV172" i="20" s="1"/>
  <c r="BU31" i="19" l="1"/>
  <c r="Y33" i="25"/>
  <c r="BQ33" i="19" s="1"/>
  <c r="R32" i="19"/>
  <c r="E32" i="19" s="1"/>
  <c r="O32" i="22" s="1"/>
  <c r="Q173" i="25"/>
  <c r="CA173" i="19"/>
  <c r="BH173" i="25"/>
  <c r="T173" i="25" s="1"/>
  <c r="AO174" i="25" s="1"/>
  <c r="R173" i="25"/>
  <c r="M178" i="25"/>
  <c r="O175" i="25"/>
  <c r="AI176" i="25" s="1"/>
  <c r="BB177" i="25" s="1"/>
  <c r="N177" i="25" s="1"/>
  <c r="AH178" i="25" s="1"/>
  <c r="BA178" i="20" s="1"/>
  <c r="AJ175" i="25"/>
  <c r="O33" i="19"/>
  <c r="AB33" i="19" s="1"/>
  <c r="B33" i="19" s="1"/>
  <c r="L33" i="22" s="1"/>
  <c r="V34" i="25"/>
  <c r="BC32" i="19"/>
  <c r="AR33" i="25" s="1"/>
  <c r="P32" i="19"/>
  <c r="C32" i="19" s="1"/>
  <c r="W33" i="25"/>
  <c r="Z32" i="25"/>
  <c r="S31" i="19"/>
  <c r="AF31" i="19" s="1"/>
  <c r="F31" i="19" s="1"/>
  <c r="AC32" i="25"/>
  <c r="AW32" i="25" s="1"/>
  <c r="I32" i="25" s="1"/>
  <c r="T31" i="19"/>
  <c r="AG31" i="19" s="1"/>
  <c r="G31" i="19" s="1"/>
  <c r="AA32" i="25"/>
  <c r="AW32" i="20" s="1"/>
  <c r="AE32" i="25"/>
  <c r="AY32" i="20" s="1"/>
  <c r="AD32" i="25"/>
  <c r="AX32" i="20" s="1"/>
  <c r="AB32" i="25"/>
  <c r="AJ32" i="19"/>
  <c r="J32" i="19" s="1"/>
  <c r="BH32" i="19"/>
  <c r="N31" i="19"/>
  <c r="U31" i="22" s="1"/>
  <c r="X32" i="22"/>
  <c r="M31" i="19"/>
  <c r="AL31" i="19"/>
  <c r="L31" i="19" s="1"/>
  <c r="T31" i="22" s="1"/>
  <c r="AI37" i="19"/>
  <c r="I37" i="19" s="1"/>
  <c r="S37" i="22" s="1"/>
  <c r="AL172" i="20"/>
  <c r="BM172" i="19" s="1"/>
  <c r="BG173" i="25" s="1"/>
  <c r="AS33" i="25" l="1"/>
  <c r="E33" i="25" s="1"/>
  <c r="BE33" i="19" s="1"/>
  <c r="AV32" i="20"/>
  <c r="S173" i="25"/>
  <c r="AN174" i="25" s="1"/>
  <c r="BI174" i="25"/>
  <c r="BC176" i="25"/>
  <c r="Z173" i="19"/>
  <c r="AL174" i="25"/>
  <c r="BJ178" i="19"/>
  <c r="W178" i="19"/>
  <c r="AG179" i="25"/>
  <c r="AZ179" i="20" s="1"/>
  <c r="Y173" i="19"/>
  <c r="AK174" i="25"/>
  <c r="BB174" i="20" s="1"/>
  <c r="BW178" i="19"/>
  <c r="BO33" i="19"/>
  <c r="AP34" i="25" s="1"/>
  <c r="AQ33" i="25"/>
  <c r="D33" i="25"/>
  <c r="AT32" i="25"/>
  <c r="F32" i="25" s="1"/>
  <c r="BF32" i="19" s="1"/>
  <c r="AY32" i="25"/>
  <c r="K32" i="25" s="1"/>
  <c r="AX32" i="25"/>
  <c r="J32" i="25" s="1"/>
  <c r="BT32" i="19"/>
  <c r="AU32" i="25"/>
  <c r="G32" i="25" s="1"/>
  <c r="BS32" i="19"/>
  <c r="T32" i="19"/>
  <c r="AG32" i="19" s="1"/>
  <c r="G32" i="19" s="1"/>
  <c r="BG32" i="19"/>
  <c r="R33" i="19"/>
  <c r="E33" i="19" s="1"/>
  <c r="O33" i="22" s="1"/>
  <c r="AV32" i="25"/>
  <c r="V32" i="22"/>
  <c r="BU32" i="19" s="1"/>
  <c r="AC172" i="20"/>
  <c r="CA174" i="19" l="1"/>
  <c r="BX174" i="19"/>
  <c r="BD175" i="25" s="1"/>
  <c r="O176" i="25"/>
  <c r="AI177" i="25" s="1"/>
  <c r="BB178" i="25" s="1"/>
  <c r="BK173" i="19"/>
  <c r="BE174" i="25" s="1"/>
  <c r="Q174" i="25" s="1"/>
  <c r="AA173" i="19"/>
  <c r="AM174" i="25"/>
  <c r="BC174" i="20" s="1"/>
  <c r="BV179" i="19"/>
  <c r="AZ180" i="25" s="1"/>
  <c r="L180" i="25" s="1"/>
  <c r="BA179" i="25"/>
  <c r="M179" i="25" s="1"/>
  <c r="BH174" i="25"/>
  <c r="BY174" i="19"/>
  <c r="BF174" i="25"/>
  <c r="U174" i="25"/>
  <c r="B34" i="25"/>
  <c r="Q33" i="19"/>
  <c r="AD33" i="19" s="1"/>
  <c r="D33" i="19" s="1"/>
  <c r="N33" i="22" s="1"/>
  <c r="Y34" i="25"/>
  <c r="BQ34" i="19" s="1"/>
  <c r="C33" i="25"/>
  <c r="X34" i="25" s="1"/>
  <c r="AU34" i="20" s="1"/>
  <c r="AA33" i="25"/>
  <c r="AE33" i="25"/>
  <c r="AY33" i="20" s="1"/>
  <c r="Z33" i="25"/>
  <c r="S32" i="19"/>
  <c r="AF32" i="19" s="1"/>
  <c r="F32" i="19" s="1"/>
  <c r="AD33" i="25"/>
  <c r="AX33" i="20" s="1"/>
  <c r="U32" i="19"/>
  <c r="AH32" i="19" s="1"/>
  <c r="H32" i="19" s="1"/>
  <c r="R32" i="22" s="1"/>
  <c r="H32" i="25"/>
  <c r="AK33" i="19"/>
  <c r="K33" i="19" s="1"/>
  <c r="AJ33" i="19"/>
  <c r="J33" i="19" s="1"/>
  <c r="AN32" i="19"/>
  <c r="AL32" i="19"/>
  <c r="L32" i="19" s="1"/>
  <c r="T32" i="22" s="1"/>
  <c r="M32" i="19"/>
  <c r="AI38" i="19"/>
  <c r="I38" i="19" s="1"/>
  <c r="S38" i="22" s="1"/>
  <c r="K173" i="20"/>
  <c r="BV173" i="20" s="1"/>
  <c r="BS33" i="19" l="1"/>
  <c r="AW33" i="20"/>
  <c r="AT33" i="25"/>
  <c r="F33" i="25" s="1"/>
  <c r="BF33" i="19" s="1"/>
  <c r="AV33" i="20"/>
  <c r="AK175" i="25"/>
  <c r="BB175" i="20" s="1"/>
  <c r="Y174" i="19"/>
  <c r="BJ179" i="19"/>
  <c r="W179" i="19"/>
  <c r="T174" i="25"/>
  <c r="BI180" i="19"/>
  <c r="V180" i="19"/>
  <c r="AF181" i="25"/>
  <c r="P175" i="25"/>
  <c r="R174" i="25"/>
  <c r="AG180" i="25"/>
  <c r="AZ180" i="20" s="1"/>
  <c r="N178" i="25"/>
  <c r="AH179" i="25" s="1"/>
  <c r="BA179" i="20" s="1"/>
  <c r="AS34" i="25"/>
  <c r="E34" i="25" s="1"/>
  <c r="BE34" i="19" s="1"/>
  <c r="P33" i="19"/>
  <c r="C33" i="19" s="1"/>
  <c r="M33" i="22" s="1"/>
  <c r="BC33" i="19"/>
  <c r="W34" i="25"/>
  <c r="O34" i="19"/>
  <c r="AB34" i="19" s="1"/>
  <c r="B34" i="19" s="1"/>
  <c r="L34" i="22" s="1"/>
  <c r="V35" i="25"/>
  <c r="AR34" i="25"/>
  <c r="AU33" i="25"/>
  <c r="G33" i="25" s="1"/>
  <c r="AY33" i="25"/>
  <c r="K33" i="25" s="1"/>
  <c r="AX33" i="25"/>
  <c r="J33" i="25" s="1"/>
  <c r="U33" i="19" s="1"/>
  <c r="AH33" i="19" s="1"/>
  <c r="H33" i="19" s="1"/>
  <c r="R33" i="22" s="1"/>
  <c r="BT33" i="19"/>
  <c r="AC33" i="25"/>
  <c r="AW33" i="25" s="1"/>
  <c r="AB33" i="25"/>
  <c r="BH33" i="19"/>
  <c r="V33" i="22"/>
  <c r="N32" i="19"/>
  <c r="U32" i="22" s="1"/>
  <c r="X33" i="22"/>
  <c r="AL173" i="20"/>
  <c r="BM173" i="19" s="1"/>
  <c r="BG174" i="25" s="1"/>
  <c r="S33" i="19" l="1"/>
  <c r="AF33" i="19" s="1"/>
  <c r="F33" i="19" s="1"/>
  <c r="Z34" i="25"/>
  <c r="AV34" i="20" s="1"/>
  <c r="AA34" i="25"/>
  <c r="AW34" i="20" s="1"/>
  <c r="S174" i="25"/>
  <c r="AN175" i="25" s="1"/>
  <c r="BW179" i="19"/>
  <c r="BA180" i="25" s="1"/>
  <c r="X175" i="19"/>
  <c r="AJ176" i="25"/>
  <c r="BV180" i="19"/>
  <c r="AZ181" i="25" s="1"/>
  <c r="L181" i="25" s="1"/>
  <c r="AF182" i="25" s="1"/>
  <c r="Z174" i="19"/>
  <c r="AL175" i="25"/>
  <c r="AO175" i="25"/>
  <c r="BX175" i="19"/>
  <c r="D34" i="25"/>
  <c r="Y35" i="25" s="1"/>
  <c r="BO34" i="19"/>
  <c r="AP35" i="25" s="1"/>
  <c r="AQ34" i="25"/>
  <c r="BU33" i="19"/>
  <c r="AE34" i="25"/>
  <c r="AY34" i="20" s="1"/>
  <c r="R34" i="19"/>
  <c r="E34" i="19" s="1"/>
  <c r="O34" i="22" s="1"/>
  <c r="I33" i="25"/>
  <c r="AV33" i="25"/>
  <c r="H33" i="25" s="1"/>
  <c r="AB34" i="25" s="1"/>
  <c r="AT34" i="25"/>
  <c r="AK34" i="19"/>
  <c r="K34" i="19" s="1"/>
  <c r="AJ34" i="19"/>
  <c r="J34" i="19" s="1"/>
  <c r="M33" i="19"/>
  <c r="AL33" i="19"/>
  <c r="L33" i="19" s="1"/>
  <c r="T33" i="22" s="1"/>
  <c r="AI39" i="19"/>
  <c r="I39" i="19" s="1"/>
  <c r="S39" i="22" s="1"/>
  <c r="AC173" i="20"/>
  <c r="AU34" i="25" l="1"/>
  <c r="G34" i="25" s="1"/>
  <c r="BS34" i="19"/>
  <c r="M180" i="25"/>
  <c r="BJ180" i="19" s="1"/>
  <c r="BI175" i="25"/>
  <c r="U175" i="25" s="1"/>
  <c r="BY175" i="19"/>
  <c r="BF175" i="25"/>
  <c r="R175" i="25" s="1"/>
  <c r="BI181" i="19"/>
  <c r="V181" i="19"/>
  <c r="CA175" i="19"/>
  <c r="BH175" i="25"/>
  <c r="BC177" i="25"/>
  <c r="BD176" i="25"/>
  <c r="P176" i="25" s="1"/>
  <c r="X176" i="19" s="1"/>
  <c r="AA174" i="19"/>
  <c r="BK174" i="19"/>
  <c r="BE175" i="25" s="1"/>
  <c r="Q175" i="25" s="1"/>
  <c r="AM175" i="25"/>
  <c r="BC175" i="20" s="1"/>
  <c r="AS35" i="25"/>
  <c r="E35" i="25" s="1"/>
  <c r="BE35" i="19" s="1"/>
  <c r="BQ35" i="19"/>
  <c r="B35" i="25"/>
  <c r="C34" i="25"/>
  <c r="X35" i="25" s="1"/>
  <c r="AU35" i="20" s="1"/>
  <c r="Q34" i="19"/>
  <c r="AD34" i="19" s="1"/>
  <c r="D34" i="19" s="1"/>
  <c r="N34" i="22" s="1"/>
  <c r="AY34" i="25"/>
  <c r="K34" i="25" s="1"/>
  <c r="T33" i="19"/>
  <c r="AG33" i="19" s="1"/>
  <c r="G33" i="19" s="1"/>
  <c r="BG33" i="19"/>
  <c r="F34" i="25"/>
  <c r="BF34" i="19" s="1"/>
  <c r="AV34" i="25"/>
  <c r="AC34" i="25"/>
  <c r="AD34" i="25"/>
  <c r="BH34" i="19"/>
  <c r="AN33" i="19"/>
  <c r="V34" i="22"/>
  <c r="AI40" i="19"/>
  <c r="I40" i="19" s="1"/>
  <c r="S40" i="22" s="1"/>
  <c r="K174" i="20"/>
  <c r="BV174" i="20" s="1"/>
  <c r="BT34" i="19" l="1"/>
  <c r="AX34" i="20"/>
  <c r="Z175" i="19"/>
  <c r="AL176" i="25"/>
  <c r="BF176" i="25" s="1"/>
  <c r="Y175" i="19"/>
  <c r="AK176" i="25"/>
  <c r="BB176" i="20" s="1"/>
  <c r="O177" i="25"/>
  <c r="AI178" i="25" s="1"/>
  <c r="AJ177" i="25"/>
  <c r="T175" i="25"/>
  <c r="AO176" i="25" s="1"/>
  <c r="W180" i="19"/>
  <c r="AG181" i="25"/>
  <c r="AZ181" i="20" s="1"/>
  <c r="O35" i="19"/>
  <c r="AB35" i="19" s="1"/>
  <c r="B35" i="19" s="1"/>
  <c r="L35" i="22" s="1"/>
  <c r="V36" i="25"/>
  <c r="P34" i="19"/>
  <c r="C34" i="19" s="1"/>
  <c r="M34" i="22" s="1"/>
  <c r="BC34" i="19"/>
  <c r="AR35" i="25" s="1"/>
  <c r="D35" i="25" s="1"/>
  <c r="W35" i="25"/>
  <c r="R35" i="19"/>
  <c r="E35" i="19" s="1"/>
  <c r="O35" i="22" s="1"/>
  <c r="Z35" i="25"/>
  <c r="AV35" i="20" s="1"/>
  <c r="S34" i="19"/>
  <c r="AF34" i="19" s="1"/>
  <c r="F34" i="19" s="1"/>
  <c r="AX34" i="25"/>
  <c r="H34" i="25"/>
  <c r="AB35" i="25" s="1"/>
  <c r="AV35" i="25" s="1"/>
  <c r="AW34" i="25"/>
  <c r="I34" i="25" s="1"/>
  <c r="BG34" i="19" s="1"/>
  <c r="AA35" i="25"/>
  <c r="AJ35" i="19"/>
  <c r="J35" i="19" s="1"/>
  <c r="AK35" i="19"/>
  <c r="K35" i="19" s="1"/>
  <c r="N33" i="19"/>
  <c r="U33" i="22" s="1"/>
  <c r="X34" i="22"/>
  <c r="AT35" i="25" s="1"/>
  <c r="AL34" i="19"/>
  <c r="L34" i="19" s="1"/>
  <c r="T34" i="22" s="1"/>
  <c r="M34" i="19"/>
  <c r="AI41" i="19"/>
  <c r="I41" i="19" s="1"/>
  <c r="S41" i="22" s="1"/>
  <c r="AL174" i="20"/>
  <c r="BM174" i="19" s="1"/>
  <c r="BG175" i="25" s="1"/>
  <c r="BS35" i="19" l="1"/>
  <c r="AW35" i="20"/>
  <c r="BI176" i="25"/>
  <c r="S175" i="25"/>
  <c r="AN176" i="25" s="1"/>
  <c r="BX176" i="19"/>
  <c r="BD177" i="25" s="1"/>
  <c r="P177" i="25" s="1"/>
  <c r="BV181" i="19"/>
  <c r="AZ182" i="25" s="1"/>
  <c r="L182" i="25" s="1"/>
  <c r="BC178" i="25"/>
  <c r="O178" i="25" s="1"/>
  <c r="AI179" i="25" s="1"/>
  <c r="BY176" i="19"/>
  <c r="R176" i="25"/>
  <c r="Z176" i="19" s="1"/>
  <c r="BB179" i="25"/>
  <c r="Q35" i="19"/>
  <c r="AD35" i="19" s="1"/>
  <c r="D35" i="19" s="1"/>
  <c r="N35" i="22" s="1"/>
  <c r="Y36" i="25"/>
  <c r="BQ36" i="19" s="1"/>
  <c r="BO35" i="19"/>
  <c r="AP36" i="25" s="1"/>
  <c r="AQ35" i="25"/>
  <c r="C35" i="25" s="1"/>
  <c r="BU34" i="19"/>
  <c r="AC35" i="25"/>
  <c r="AW35" i="25" s="1"/>
  <c r="T34" i="19"/>
  <c r="AG34" i="19" s="1"/>
  <c r="G34" i="19" s="1"/>
  <c r="F35" i="25"/>
  <c r="BF35" i="19" s="1"/>
  <c r="H35" i="25"/>
  <c r="AU35" i="25"/>
  <c r="G35" i="25" s="1"/>
  <c r="J34" i="25"/>
  <c r="U34" i="19" s="1"/>
  <c r="AH34" i="19" s="1"/>
  <c r="H34" i="19" s="1"/>
  <c r="R34" i="22" s="1"/>
  <c r="AK36" i="19"/>
  <c r="K36" i="19" s="1"/>
  <c r="BH35" i="19"/>
  <c r="V35" i="22"/>
  <c r="M35" i="19"/>
  <c r="AC174" i="20"/>
  <c r="AA36" i="25" l="1"/>
  <c r="X177" i="19"/>
  <c r="AJ178" i="25"/>
  <c r="BC179" i="25" s="1"/>
  <c r="CA176" i="19"/>
  <c r="BH176" i="25"/>
  <c r="T176" i="25" s="1"/>
  <c r="BI182" i="19"/>
  <c r="V182" i="19"/>
  <c r="BK175" i="19"/>
  <c r="BE176" i="25" s="1"/>
  <c r="AA175" i="19"/>
  <c r="AM176" i="25"/>
  <c r="BC176" i="20" s="1"/>
  <c r="U176" i="25"/>
  <c r="N179" i="25"/>
  <c r="AH180" i="25" s="1"/>
  <c r="BA180" i="20" s="1"/>
  <c r="AS36" i="25"/>
  <c r="E36" i="25" s="1"/>
  <c r="BE36" i="19" s="1"/>
  <c r="X36" i="25"/>
  <c r="AU36" i="20" s="1"/>
  <c r="P35" i="19"/>
  <c r="C35" i="19" s="1"/>
  <c r="M35" i="22" s="1"/>
  <c r="BC35" i="19"/>
  <c r="W36" i="25"/>
  <c r="AQ36" i="25" s="1"/>
  <c r="B36" i="25"/>
  <c r="Z36" i="25"/>
  <c r="AV36" i="20" s="1"/>
  <c r="S35" i="19"/>
  <c r="AF35" i="19" s="1"/>
  <c r="F35" i="19" s="1"/>
  <c r="AU36" i="25"/>
  <c r="G36" i="25" s="1"/>
  <c r="AD35" i="25"/>
  <c r="AE35" i="25"/>
  <c r="AY35" i="20" s="1"/>
  <c r="AB36" i="25"/>
  <c r="I35" i="25"/>
  <c r="BG35" i="19" s="1"/>
  <c r="AJ36" i="19"/>
  <c r="J36" i="19" s="1"/>
  <c r="AL35" i="19"/>
  <c r="AN34" i="19"/>
  <c r="K175" i="20"/>
  <c r="BV175" i="20" s="1"/>
  <c r="BB180" i="25" l="1"/>
  <c r="N180" i="25" s="1"/>
  <c r="AH181" i="25" s="1"/>
  <c r="BT35" i="19"/>
  <c r="AX35" i="20"/>
  <c r="BS36" i="19"/>
  <c r="AW36" i="20"/>
  <c r="Q176" i="25"/>
  <c r="AO177" i="25"/>
  <c r="AR36" i="25"/>
  <c r="D36" i="25" s="1"/>
  <c r="BW180" i="19"/>
  <c r="BA181" i="25" s="1"/>
  <c r="O179" i="25"/>
  <c r="AI180" i="25" s="1"/>
  <c r="R36" i="19"/>
  <c r="E36" i="19" s="1"/>
  <c r="O36" i="22" s="1"/>
  <c r="BO36" i="19"/>
  <c r="C36" i="25"/>
  <c r="O36" i="19"/>
  <c r="AB36" i="19" s="1"/>
  <c r="B36" i="19" s="1"/>
  <c r="L36" i="22" s="1"/>
  <c r="V37" i="25"/>
  <c r="AY35" i="25"/>
  <c r="K35" i="25" s="1"/>
  <c r="AC36" i="25"/>
  <c r="AW36" i="25" s="1"/>
  <c r="I36" i="25" s="1"/>
  <c r="T35" i="19"/>
  <c r="AG35" i="19" s="1"/>
  <c r="G35" i="19" s="1"/>
  <c r="AV36" i="25"/>
  <c r="H36" i="25" s="1"/>
  <c r="AB37" i="25" s="1"/>
  <c r="AX35" i="25"/>
  <c r="N34" i="19"/>
  <c r="U34" i="22" s="1"/>
  <c r="X35" i="22"/>
  <c r="AT36" i="25" s="1"/>
  <c r="L35" i="19"/>
  <c r="T35" i="22" s="1"/>
  <c r="V36" i="22"/>
  <c r="AI42" i="19"/>
  <c r="I42" i="19" s="1"/>
  <c r="S42" i="22" s="1"/>
  <c r="AL175" i="20"/>
  <c r="BM175" i="19" s="1"/>
  <c r="BG176" i="25" s="1"/>
  <c r="BB181" i="25" l="1"/>
  <c r="N181" i="25" s="1"/>
  <c r="BA181" i="20"/>
  <c r="S176" i="25"/>
  <c r="M181" i="25"/>
  <c r="BJ181" i="19" s="1"/>
  <c r="BW181" i="19"/>
  <c r="BI177" i="25"/>
  <c r="Y176" i="19"/>
  <c r="AK177" i="25"/>
  <c r="BB177" i="20" s="1"/>
  <c r="AL177" i="25"/>
  <c r="BC36" i="19"/>
  <c r="P36" i="19"/>
  <c r="C36" i="19" s="1"/>
  <c r="M36" i="22" s="1"/>
  <c r="AP37" i="25"/>
  <c r="B37" i="25" s="1"/>
  <c r="X37" i="25"/>
  <c r="AU37" i="20" s="1"/>
  <c r="Q36" i="19"/>
  <c r="AD36" i="19" s="1"/>
  <c r="D36" i="19" s="1"/>
  <c r="N36" i="22" s="1"/>
  <c r="Y37" i="25"/>
  <c r="W37" i="25"/>
  <c r="BU35" i="19"/>
  <c r="T36" i="19"/>
  <c r="AG36" i="19" s="1"/>
  <c r="G36" i="19" s="1"/>
  <c r="BG36" i="19"/>
  <c r="AC37" i="25"/>
  <c r="F36" i="25"/>
  <c r="J35" i="25"/>
  <c r="AV37" i="25"/>
  <c r="AK37" i="19"/>
  <c r="K37" i="19" s="1"/>
  <c r="BH36" i="19"/>
  <c r="M36" i="19"/>
  <c r="AC175" i="20"/>
  <c r="AH182" i="25" l="1"/>
  <c r="U177" i="25"/>
  <c r="W181" i="19"/>
  <c r="AG182" i="25"/>
  <c r="AZ182" i="20" s="1"/>
  <c r="BK176" i="19"/>
  <c r="BE177" i="25" s="1"/>
  <c r="Q177" i="25" s="1"/>
  <c r="Y177" i="19" s="1"/>
  <c r="AA176" i="19"/>
  <c r="AN177" i="25"/>
  <c r="AM177" i="25"/>
  <c r="BC177" i="20" s="1"/>
  <c r="BY177" i="19"/>
  <c r="BF177" i="25"/>
  <c r="R177" i="25" s="1"/>
  <c r="BX177" i="19"/>
  <c r="BD178" i="25" s="1"/>
  <c r="O37" i="19"/>
  <c r="AB37" i="19" s="1"/>
  <c r="B37" i="19" s="1"/>
  <c r="L37" i="22" s="1"/>
  <c r="V38" i="25"/>
  <c r="AR37" i="25"/>
  <c r="D37" i="25" s="1"/>
  <c r="Q37" i="19" s="1"/>
  <c r="AD37" i="19" s="1"/>
  <c r="D37" i="19" s="1"/>
  <c r="N37" i="22" s="1"/>
  <c r="BQ37" i="19"/>
  <c r="AS37" i="25"/>
  <c r="E37" i="25" s="1"/>
  <c r="BO37" i="19"/>
  <c r="AQ37" i="25"/>
  <c r="S36" i="19"/>
  <c r="AF36" i="19" s="1"/>
  <c r="F36" i="19" s="1"/>
  <c r="BF36" i="19"/>
  <c r="AD36" i="25"/>
  <c r="AX36" i="20" s="1"/>
  <c r="U35" i="19"/>
  <c r="AH35" i="19" s="1"/>
  <c r="H35" i="19" s="1"/>
  <c r="R35" i="22" s="1"/>
  <c r="H37" i="25"/>
  <c r="Z37" i="25"/>
  <c r="AV37" i="20" s="1"/>
  <c r="AA37" i="25"/>
  <c r="AE36" i="25"/>
  <c r="AY36" i="20" s="1"/>
  <c r="AJ37" i="19"/>
  <c r="J37" i="19" s="1"/>
  <c r="AN35" i="19"/>
  <c r="AL36" i="19"/>
  <c r="AI43" i="19"/>
  <c r="I43" i="19" s="1"/>
  <c r="S43" i="22" s="1"/>
  <c r="K176" i="20"/>
  <c r="BV176" i="20" s="1"/>
  <c r="BW182" i="19" l="1"/>
  <c r="BA182" i="20"/>
  <c r="BS37" i="19"/>
  <c r="AW37" i="20"/>
  <c r="AK178" i="25"/>
  <c r="Z177" i="19"/>
  <c r="AL178" i="25"/>
  <c r="CA177" i="19"/>
  <c r="BH177" i="25"/>
  <c r="BV182" i="19"/>
  <c r="BA182" i="25"/>
  <c r="P178" i="25"/>
  <c r="BE37" i="19"/>
  <c r="R37" i="19"/>
  <c r="E37" i="19" s="1"/>
  <c r="O37" i="22" s="1"/>
  <c r="C37" i="25"/>
  <c r="Y38" i="25"/>
  <c r="BQ38" i="19" s="1"/>
  <c r="AP38" i="25"/>
  <c r="B38" i="25" s="1"/>
  <c r="O38" i="19" s="1"/>
  <c r="AB38" i="19" s="1"/>
  <c r="B38" i="19" s="1"/>
  <c r="L38" i="22" s="1"/>
  <c r="AX36" i="25"/>
  <c r="J36" i="25" s="1"/>
  <c r="AD37" i="25" s="1"/>
  <c r="AX37" i="20" s="1"/>
  <c r="BT36" i="19"/>
  <c r="AW37" i="25"/>
  <c r="I37" i="25" s="1"/>
  <c r="T37" i="19" s="1"/>
  <c r="AG37" i="19" s="1"/>
  <c r="G37" i="19" s="1"/>
  <c r="AY36" i="25"/>
  <c r="AU37" i="25"/>
  <c r="G37" i="25" s="1"/>
  <c r="BH37" i="19"/>
  <c r="L36" i="19"/>
  <c r="T36" i="22" s="1"/>
  <c r="V37" i="22"/>
  <c r="N35" i="19"/>
  <c r="U35" i="22" s="1"/>
  <c r="X36" i="22"/>
  <c r="AT37" i="25" s="1"/>
  <c r="AI44" i="19"/>
  <c r="I44" i="19" s="1"/>
  <c r="S44" i="22" s="1"/>
  <c r="AL176" i="20"/>
  <c r="BM176" i="19" s="1"/>
  <c r="BG177" i="25" s="1"/>
  <c r="BX178" i="19" l="1"/>
  <c r="BB178" i="20"/>
  <c r="S177" i="25"/>
  <c r="X178" i="19"/>
  <c r="AJ179" i="25"/>
  <c r="T177" i="25"/>
  <c r="BY178" i="19"/>
  <c r="BF178" i="25"/>
  <c r="M182" i="25"/>
  <c r="W182" i="19" s="1"/>
  <c r="AS38" i="25"/>
  <c r="E38" i="25" s="1"/>
  <c r="BE38" i="19" s="1"/>
  <c r="BC37" i="19"/>
  <c r="P37" i="19"/>
  <c r="C37" i="19" s="1"/>
  <c r="M37" i="22" s="1"/>
  <c r="W38" i="25"/>
  <c r="X38" i="25"/>
  <c r="AU38" i="20" s="1"/>
  <c r="V39" i="25"/>
  <c r="BU36" i="19"/>
  <c r="AX37" i="25" s="1"/>
  <c r="J37" i="25" s="1"/>
  <c r="U36" i="19"/>
  <c r="AH36" i="19" s="1"/>
  <c r="H36" i="19" s="1"/>
  <c r="R36" i="22" s="1"/>
  <c r="BT37" i="19"/>
  <c r="AC38" i="25"/>
  <c r="AW38" i="25" s="1"/>
  <c r="I38" i="25" s="1"/>
  <c r="BG37" i="19"/>
  <c r="F37" i="25"/>
  <c r="BF37" i="19" s="1"/>
  <c r="AB38" i="25"/>
  <c r="K36" i="25"/>
  <c r="AE37" i="25" s="1"/>
  <c r="AY37" i="20" s="1"/>
  <c r="AK38" i="19"/>
  <c r="K38" i="19" s="1"/>
  <c r="AJ38" i="19"/>
  <c r="J38" i="19" s="1"/>
  <c r="M37" i="19"/>
  <c r="AC176" i="20"/>
  <c r="BC180" i="25" l="1"/>
  <c r="BD179" i="25"/>
  <c r="BJ182" i="19"/>
  <c r="R178" i="25"/>
  <c r="AN178" i="25"/>
  <c r="AO178" i="25"/>
  <c r="BK177" i="19"/>
  <c r="BE178" i="25" s="1"/>
  <c r="Q178" i="25" s="1"/>
  <c r="AA177" i="19"/>
  <c r="AM178" i="25"/>
  <c r="BC178" i="20" s="1"/>
  <c r="BO38" i="19"/>
  <c r="AP39" i="25" s="1"/>
  <c r="B39" i="25" s="1"/>
  <c r="AQ38" i="25"/>
  <c r="AR38" i="25"/>
  <c r="D38" i="25" s="1"/>
  <c r="T38" i="19"/>
  <c r="BG38" i="19"/>
  <c r="R38" i="19"/>
  <c r="E38" i="19" s="1"/>
  <c r="O38" i="22" s="1"/>
  <c r="AD38" i="25"/>
  <c r="AX38" i="20" s="1"/>
  <c r="U37" i="19"/>
  <c r="AH37" i="19" s="1"/>
  <c r="H37" i="19" s="1"/>
  <c r="R37" i="22" s="1"/>
  <c r="Z38" i="25"/>
  <c r="AV38" i="20" s="1"/>
  <c r="S37" i="19"/>
  <c r="AF37" i="19" s="1"/>
  <c r="F37" i="19" s="1"/>
  <c r="AA38" i="25"/>
  <c r="AW38" i="20" s="1"/>
  <c r="AV38" i="25"/>
  <c r="H38" i="25" s="1"/>
  <c r="AY37" i="25"/>
  <c r="K37" i="25" s="1"/>
  <c r="AE38" i="25" s="1"/>
  <c r="AY38" i="20" s="1"/>
  <c r="AK39" i="19"/>
  <c r="K39" i="19" s="1"/>
  <c r="AL37" i="19"/>
  <c r="AN36" i="19"/>
  <c r="K177" i="20"/>
  <c r="BV177" i="20" s="1"/>
  <c r="CA178" i="19" l="1"/>
  <c r="BH178" i="25"/>
  <c r="Y178" i="19"/>
  <c r="AK179" i="25"/>
  <c r="BB179" i="20" s="1"/>
  <c r="Z178" i="19"/>
  <c r="AL179" i="25"/>
  <c r="O180" i="25"/>
  <c r="AI181" i="25" s="1"/>
  <c r="BI178" i="25"/>
  <c r="U178" i="25" s="1"/>
  <c r="P179" i="25"/>
  <c r="O39" i="19"/>
  <c r="AB39" i="19" s="1"/>
  <c r="B39" i="19" s="1"/>
  <c r="L39" i="22" s="1"/>
  <c r="V40" i="25"/>
  <c r="Q38" i="19"/>
  <c r="AD38" i="19" s="1"/>
  <c r="D38" i="19" s="1"/>
  <c r="N38" i="22" s="1"/>
  <c r="Y39" i="25"/>
  <c r="BQ39" i="19" s="1"/>
  <c r="C38" i="25"/>
  <c r="BT38" i="19"/>
  <c r="AU38" i="25"/>
  <c r="G38" i="25" s="1"/>
  <c r="AB39" i="25" s="1"/>
  <c r="AV39" i="25" s="1"/>
  <c r="BS38" i="19"/>
  <c r="AY38" i="25"/>
  <c r="AC39" i="25"/>
  <c r="L37" i="19"/>
  <c r="T37" i="22" s="1"/>
  <c r="V38" i="22"/>
  <c r="N36" i="19"/>
  <c r="U36" i="22" s="1"/>
  <c r="X37" i="22"/>
  <c r="AL177" i="20"/>
  <c r="BM177" i="19" s="1"/>
  <c r="BG178" i="25" s="1"/>
  <c r="S178" i="25" l="1"/>
  <c r="X179" i="19"/>
  <c r="AJ180" i="25"/>
  <c r="BB182" i="25"/>
  <c r="N182" i="25" s="1"/>
  <c r="BX179" i="19"/>
  <c r="T178" i="25"/>
  <c r="BY179" i="19"/>
  <c r="BF179" i="25"/>
  <c r="AS39" i="25"/>
  <c r="E39" i="25" s="1"/>
  <c r="BE39" i="19" s="1"/>
  <c r="BC38" i="19"/>
  <c r="P38" i="19"/>
  <c r="C38" i="19" s="1"/>
  <c r="M38" i="22" s="1"/>
  <c r="W39" i="25"/>
  <c r="X39" i="25"/>
  <c r="AT38" i="25"/>
  <c r="F38" i="25" s="1"/>
  <c r="BU37" i="19"/>
  <c r="AX38" i="25" s="1"/>
  <c r="J38" i="25" s="1"/>
  <c r="AD39" i="25" s="1"/>
  <c r="AW39" i="25"/>
  <c r="I39" i="25" s="1"/>
  <c r="BG39" i="19" s="1"/>
  <c r="K38" i="25"/>
  <c r="H39" i="25"/>
  <c r="BH38" i="19"/>
  <c r="AG38" i="19"/>
  <c r="G38" i="19" s="1"/>
  <c r="M38" i="19"/>
  <c r="AI45" i="19"/>
  <c r="I45" i="19" s="1"/>
  <c r="S45" i="22" s="1"/>
  <c r="AC177" i="20"/>
  <c r="BT39" i="19" l="1"/>
  <c r="AX39" i="20"/>
  <c r="AR39" i="25"/>
  <c r="D39" i="25" s="1"/>
  <c r="Q39" i="19" s="1"/>
  <c r="AD39" i="19" s="1"/>
  <c r="D39" i="19" s="1"/>
  <c r="N39" i="22" s="1"/>
  <c r="AU39" i="20"/>
  <c r="AN179" i="25"/>
  <c r="BH179" i="25" s="1"/>
  <c r="R39" i="19"/>
  <c r="E39" i="19" s="1"/>
  <c r="O39" i="22" s="1"/>
  <c r="AO179" i="25"/>
  <c r="BI179" i="25" s="1"/>
  <c r="R179" i="25"/>
  <c r="BD180" i="25"/>
  <c r="P180" i="25" s="1"/>
  <c r="X180" i="19" s="1"/>
  <c r="BC181" i="25"/>
  <c r="BK178" i="19"/>
  <c r="BE179" i="25" s="1"/>
  <c r="Q179" i="25" s="1"/>
  <c r="AA178" i="19"/>
  <c r="AM179" i="25"/>
  <c r="BC179" i="20" s="1"/>
  <c r="BO39" i="19"/>
  <c r="AP40" i="25" s="1"/>
  <c r="AQ39" i="25"/>
  <c r="AE39" i="25"/>
  <c r="AY39" i="20" s="1"/>
  <c r="U38" i="19"/>
  <c r="AH38" i="19" s="1"/>
  <c r="H38" i="19" s="1"/>
  <c r="R38" i="22" s="1"/>
  <c r="S38" i="19"/>
  <c r="AF38" i="19" s="1"/>
  <c r="F38" i="19" s="1"/>
  <c r="BF38" i="19"/>
  <c r="T39" i="19"/>
  <c r="AG39" i="19" s="1"/>
  <c r="G39" i="19" s="1"/>
  <c r="AC40" i="25"/>
  <c r="AW40" i="25" s="1"/>
  <c r="Z39" i="25"/>
  <c r="AV39" i="20" s="1"/>
  <c r="AA39" i="25"/>
  <c r="AW39" i="20" s="1"/>
  <c r="AJ39" i="19"/>
  <c r="J39" i="19" s="1"/>
  <c r="AL38" i="19"/>
  <c r="AN37" i="19"/>
  <c r="K178" i="20"/>
  <c r="BV178" i="20" s="1"/>
  <c r="Y40" i="25" l="1"/>
  <c r="BQ40" i="19" s="1"/>
  <c r="CA179" i="19"/>
  <c r="Z179" i="19"/>
  <c r="AL180" i="25"/>
  <c r="T179" i="25"/>
  <c r="O181" i="25"/>
  <c r="AI182" i="25" s="1"/>
  <c r="Y179" i="19"/>
  <c r="AK180" i="25"/>
  <c r="BB180" i="20" s="1"/>
  <c r="AJ181" i="25"/>
  <c r="U179" i="25"/>
  <c r="AY39" i="25"/>
  <c r="K39" i="25" s="1"/>
  <c r="C39" i="25"/>
  <c r="B40" i="25"/>
  <c r="AU39" i="25"/>
  <c r="G39" i="25" s="1"/>
  <c r="BS39" i="19"/>
  <c r="I40" i="25"/>
  <c r="AS40" i="25"/>
  <c r="BH39" i="19"/>
  <c r="N37" i="19"/>
  <c r="U37" i="22" s="1"/>
  <c r="X38" i="22"/>
  <c r="L38" i="19"/>
  <c r="T38" i="22" s="1"/>
  <c r="V39" i="22"/>
  <c r="AI46" i="19"/>
  <c r="I46" i="19" s="1"/>
  <c r="S46" i="22" s="1"/>
  <c r="AL178" i="20"/>
  <c r="BM178" i="19" s="1"/>
  <c r="BG179" i="25" s="1"/>
  <c r="AO180" i="25" l="1"/>
  <c r="BI180" i="25" s="1"/>
  <c r="BC182" i="25"/>
  <c r="O182" i="25" s="1"/>
  <c r="BX180" i="19"/>
  <c r="BD181" i="25" s="1"/>
  <c r="P181" i="25" s="1"/>
  <c r="BY180" i="19"/>
  <c r="BF180" i="25"/>
  <c r="S179" i="25"/>
  <c r="O40" i="19"/>
  <c r="AB40" i="19" s="1"/>
  <c r="B40" i="19" s="1"/>
  <c r="L40" i="22" s="1"/>
  <c r="V41" i="25"/>
  <c r="X40" i="25"/>
  <c r="AU40" i="20" s="1"/>
  <c r="BC39" i="19"/>
  <c r="P39" i="19"/>
  <c r="C39" i="19" s="1"/>
  <c r="M39" i="22" s="1"/>
  <c r="W40" i="25"/>
  <c r="AT39" i="25"/>
  <c r="F39" i="25" s="1"/>
  <c r="BF39" i="19" s="1"/>
  <c r="BU38" i="19"/>
  <c r="AX39" i="25" s="1"/>
  <c r="T40" i="19"/>
  <c r="BG40" i="19"/>
  <c r="AB40" i="25"/>
  <c r="E40" i="25"/>
  <c r="BE40" i="19" s="1"/>
  <c r="AJ40" i="19"/>
  <c r="J40" i="19" s="1"/>
  <c r="AK40" i="19"/>
  <c r="K40" i="19" s="1"/>
  <c r="AL39" i="19"/>
  <c r="L39" i="19" s="1"/>
  <c r="T39" i="22" s="1"/>
  <c r="M39" i="19"/>
  <c r="AI47" i="19"/>
  <c r="I47" i="19" s="1"/>
  <c r="S47" i="22" s="1"/>
  <c r="AC178" i="20"/>
  <c r="U180" i="25" l="1"/>
  <c r="AR40" i="25"/>
  <c r="D40" i="25" s="1"/>
  <c r="Q40" i="19" s="1"/>
  <c r="AD40" i="19" s="1"/>
  <c r="D40" i="19" s="1"/>
  <c r="N40" i="22" s="1"/>
  <c r="X181" i="19"/>
  <c r="AJ182" i="25"/>
  <c r="AA179" i="19"/>
  <c r="BK179" i="19"/>
  <c r="BE180" i="25" s="1"/>
  <c r="Q180" i="25" s="1"/>
  <c r="AM180" i="25"/>
  <c r="BC180" i="20" s="1"/>
  <c r="AN180" i="25"/>
  <c r="R180" i="25"/>
  <c r="BO40" i="19"/>
  <c r="AP41" i="25" s="1"/>
  <c r="AQ40" i="25"/>
  <c r="J39" i="25"/>
  <c r="R40" i="19"/>
  <c r="E40" i="19" s="1"/>
  <c r="O40" i="22" s="1"/>
  <c r="Z40" i="25"/>
  <c r="AV40" i="20" s="1"/>
  <c r="S39" i="19"/>
  <c r="AF39" i="19" s="1"/>
  <c r="F39" i="19" s="1"/>
  <c r="AV40" i="25"/>
  <c r="H40" i="25" s="1"/>
  <c r="AA40" i="25"/>
  <c r="AN38" i="19"/>
  <c r="V40" i="22"/>
  <c r="K179" i="20"/>
  <c r="BV179" i="20" s="1"/>
  <c r="BS40" i="19" l="1"/>
  <c r="AW40" i="20"/>
  <c r="Y41" i="25"/>
  <c r="BQ41" i="19" s="1"/>
  <c r="CA180" i="19"/>
  <c r="BH180" i="25"/>
  <c r="Z180" i="19"/>
  <c r="AL181" i="25"/>
  <c r="Y180" i="19"/>
  <c r="AK181" i="25"/>
  <c r="BB181" i="20" s="1"/>
  <c r="B41" i="25"/>
  <c r="C40" i="25"/>
  <c r="U39" i="19"/>
  <c r="AH39" i="19" s="1"/>
  <c r="H39" i="19" s="1"/>
  <c r="R39" i="22" s="1"/>
  <c r="AD40" i="25"/>
  <c r="AX40" i="20" s="1"/>
  <c r="AE40" i="25"/>
  <c r="AY40" i="20" s="1"/>
  <c r="AC41" i="25"/>
  <c r="AU40" i="25"/>
  <c r="AK41" i="19"/>
  <c r="K41" i="19" s="1"/>
  <c r="N38" i="19"/>
  <c r="U38" i="22" s="1"/>
  <c r="X39" i="22"/>
  <c r="M40" i="19"/>
  <c r="AL40" i="19"/>
  <c r="L40" i="19" s="1"/>
  <c r="T40" i="22" s="1"/>
  <c r="AI48" i="19"/>
  <c r="I48" i="19" s="1"/>
  <c r="S48" i="22" s="1"/>
  <c r="AL179" i="20"/>
  <c r="BM179" i="19" s="1"/>
  <c r="BG180" i="25" s="1"/>
  <c r="AS41" i="25" l="1"/>
  <c r="E41" i="25" s="1"/>
  <c r="BE41" i="19" s="1"/>
  <c r="T180" i="25"/>
  <c r="BY181" i="19"/>
  <c r="BF181" i="25"/>
  <c r="S180" i="25"/>
  <c r="BX181" i="19"/>
  <c r="BD182" i="25" s="1"/>
  <c r="P182" i="25" s="1"/>
  <c r="X182" i="19" s="1"/>
  <c r="P40" i="19"/>
  <c r="C40" i="19" s="1"/>
  <c r="M40" i="22" s="1"/>
  <c r="BC40" i="19"/>
  <c r="X41" i="25"/>
  <c r="AU41" i="20" s="1"/>
  <c r="W41" i="25"/>
  <c r="O41" i="19"/>
  <c r="AB41" i="19" s="1"/>
  <c r="B41" i="19" s="1"/>
  <c r="L41" i="22" s="1"/>
  <c r="V42" i="25"/>
  <c r="AY40" i="25"/>
  <c r="K40" i="25" s="1"/>
  <c r="BT40" i="19"/>
  <c r="AT40" i="25"/>
  <c r="F40" i="25" s="1"/>
  <c r="BF40" i="19" s="1"/>
  <c r="BU39" i="19"/>
  <c r="AX40" i="25" s="1"/>
  <c r="R41" i="19"/>
  <c r="E41" i="19" s="1"/>
  <c r="O41" i="22" s="1"/>
  <c r="AW41" i="25"/>
  <c r="G40" i="25"/>
  <c r="BH40" i="19"/>
  <c r="AG40" i="19"/>
  <c r="G40" i="19" s="1"/>
  <c r="V41" i="22"/>
  <c r="M41" i="19"/>
  <c r="AC179" i="20"/>
  <c r="BK180" i="19" l="1"/>
  <c r="BE181" i="25" s="1"/>
  <c r="Q181" i="25" s="1"/>
  <c r="AA180" i="19"/>
  <c r="AM181" i="25"/>
  <c r="BC181" i="20" s="1"/>
  <c r="R181" i="25"/>
  <c r="AO181" i="25"/>
  <c r="AN181" i="25"/>
  <c r="BO41" i="19"/>
  <c r="AP42" i="25" s="1"/>
  <c r="AQ41" i="25"/>
  <c r="AR41" i="25"/>
  <c r="D41" i="25" s="1"/>
  <c r="J40" i="25"/>
  <c r="AE41" i="25" s="1"/>
  <c r="AY41" i="20" s="1"/>
  <c r="Z41" i="25"/>
  <c r="AV41" i="20" s="1"/>
  <c r="S40" i="19"/>
  <c r="AF40" i="19" s="1"/>
  <c r="F40" i="19" s="1"/>
  <c r="AA41" i="25"/>
  <c r="AB41" i="25"/>
  <c r="I41" i="25"/>
  <c r="AJ41" i="19"/>
  <c r="J41" i="19" s="1"/>
  <c r="AL41" i="19"/>
  <c r="AN39" i="19"/>
  <c r="AI49" i="19"/>
  <c r="I49" i="19" s="1"/>
  <c r="S49" i="22" s="1"/>
  <c r="K180" i="20"/>
  <c r="BV180" i="20" s="1"/>
  <c r="BS41" i="19" l="1"/>
  <c r="AW41" i="20"/>
  <c r="CA181" i="19"/>
  <c r="BH181" i="25"/>
  <c r="BI181" i="25"/>
  <c r="U181" i="25" s="1"/>
  <c r="Y181" i="19"/>
  <c r="AK182" i="25"/>
  <c r="Z181" i="19"/>
  <c r="AL182" i="25"/>
  <c r="Q41" i="19"/>
  <c r="AD41" i="19" s="1"/>
  <c r="D41" i="19" s="1"/>
  <c r="N41" i="22" s="1"/>
  <c r="Y42" i="25"/>
  <c r="B42" i="25"/>
  <c r="C41" i="25"/>
  <c r="X42" i="25" s="1"/>
  <c r="AU42" i="20" s="1"/>
  <c r="U40" i="19"/>
  <c r="AH40" i="19" s="1"/>
  <c r="H40" i="19" s="1"/>
  <c r="R40" i="22" s="1"/>
  <c r="AD41" i="25"/>
  <c r="AX41" i="20" s="1"/>
  <c r="AY41" i="25"/>
  <c r="K41" i="25" s="1"/>
  <c r="T41" i="19"/>
  <c r="BG41" i="19"/>
  <c r="AV41" i="25"/>
  <c r="H41" i="25" s="1"/>
  <c r="AU41" i="25"/>
  <c r="BH41" i="19"/>
  <c r="N39" i="19"/>
  <c r="U39" i="22" s="1"/>
  <c r="AN40" i="19" s="1"/>
  <c r="N40" i="19" s="1"/>
  <c r="U40" i="22" s="1"/>
  <c r="X40" i="22"/>
  <c r="L41" i="19"/>
  <c r="T41" i="22" s="1"/>
  <c r="V42" i="22"/>
  <c r="M42" i="19"/>
  <c r="AI50" i="19"/>
  <c r="I50" i="19" s="1"/>
  <c r="S50" i="22" s="1"/>
  <c r="AL180" i="20"/>
  <c r="BM180" i="19" s="1"/>
  <c r="BG181" i="25" s="1"/>
  <c r="BX182" i="19" l="1"/>
  <c r="BB182" i="20"/>
  <c r="S181" i="25"/>
  <c r="BY182" i="19"/>
  <c r="BF182" i="25"/>
  <c r="R182" i="25" s="1"/>
  <c r="Z182" i="19" s="1"/>
  <c r="T181" i="25"/>
  <c r="W42" i="25"/>
  <c r="P41" i="19"/>
  <c r="C41" i="19" s="1"/>
  <c r="M41" i="22" s="1"/>
  <c r="BC41" i="19"/>
  <c r="AR42" i="25" s="1"/>
  <c r="BQ42" i="19"/>
  <c r="AS42" i="25"/>
  <c r="E42" i="25" s="1"/>
  <c r="BE42" i="19" s="1"/>
  <c r="O42" i="19"/>
  <c r="AB42" i="19" s="1"/>
  <c r="B42" i="19" s="1"/>
  <c r="L42" i="22" s="1"/>
  <c r="V43" i="25"/>
  <c r="BT41" i="19"/>
  <c r="AT41" i="25"/>
  <c r="F41" i="25" s="1"/>
  <c r="BF41" i="19" s="1"/>
  <c r="BU40" i="19"/>
  <c r="AX41" i="25" s="1"/>
  <c r="J41" i="25" s="1"/>
  <c r="AC42" i="25"/>
  <c r="G41" i="25"/>
  <c r="AJ42" i="19"/>
  <c r="J42" i="19" s="1"/>
  <c r="AK42" i="19"/>
  <c r="K42" i="19" s="1"/>
  <c r="AG41" i="19"/>
  <c r="G41" i="19" s="1"/>
  <c r="X41" i="22"/>
  <c r="BU41" i="19" s="1"/>
  <c r="AC180" i="20"/>
  <c r="R42" i="19" l="1"/>
  <c r="E42" i="19" s="1"/>
  <c r="O42" i="22" s="1"/>
  <c r="AN182" i="25"/>
  <c r="CA182" i="19" s="1"/>
  <c r="BK181" i="19"/>
  <c r="BE182" i="25" s="1"/>
  <c r="Q182" i="25" s="1"/>
  <c r="Y182" i="19" s="1"/>
  <c r="AA181" i="19"/>
  <c r="AM182" i="25"/>
  <c r="BC182" i="20" s="1"/>
  <c r="AO182" i="25"/>
  <c r="BI182" i="25" s="1"/>
  <c r="U182" i="25" s="1"/>
  <c r="BO42" i="19"/>
  <c r="AP43" i="25" s="1"/>
  <c r="AQ42" i="25"/>
  <c r="C42" i="25" s="1"/>
  <c r="D42" i="25"/>
  <c r="U41" i="19"/>
  <c r="AH41" i="19" s="1"/>
  <c r="H41" i="19" s="1"/>
  <c r="R41" i="22" s="1"/>
  <c r="AD42" i="25"/>
  <c r="AE42" i="25"/>
  <c r="AY42" i="20" s="1"/>
  <c r="Z42" i="25"/>
  <c r="S41" i="19"/>
  <c r="AF41" i="19" s="1"/>
  <c r="F41" i="19" s="1"/>
  <c r="AA42" i="25"/>
  <c r="AW42" i="20" s="1"/>
  <c r="AW42" i="25"/>
  <c r="I42" i="25" s="1"/>
  <c r="AB42" i="25"/>
  <c r="AV42" i="25" s="1"/>
  <c r="BH42" i="19"/>
  <c r="AN41" i="19"/>
  <c r="N41" i="19" s="1"/>
  <c r="U41" i="22" s="1"/>
  <c r="AL42" i="19"/>
  <c r="K181" i="20"/>
  <c r="BV181" i="20" s="1"/>
  <c r="BT42" i="19" l="1"/>
  <c r="AX42" i="20"/>
  <c r="AT42" i="25"/>
  <c r="F42" i="25" s="1"/>
  <c r="BF42" i="19" s="1"/>
  <c r="AV42" i="20"/>
  <c r="BH182" i="25"/>
  <c r="T182" i="25" s="1"/>
  <c r="BC42" i="19"/>
  <c r="P42" i="19"/>
  <c r="C42" i="19" s="1"/>
  <c r="M42" i="22" s="1"/>
  <c r="W43" i="25"/>
  <c r="AQ43" i="25" s="1"/>
  <c r="B43" i="25"/>
  <c r="Q42" i="19"/>
  <c r="AD42" i="19" s="1"/>
  <c r="D42" i="19" s="1"/>
  <c r="N42" i="22" s="1"/>
  <c r="X43" i="25"/>
  <c r="AU43" i="20" s="1"/>
  <c r="Y43" i="25"/>
  <c r="BQ43" i="19" s="1"/>
  <c r="AX42" i="25"/>
  <c r="J42" i="25" s="1"/>
  <c r="U42" i="19" s="1"/>
  <c r="AH42" i="19" s="1"/>
  <c r="H42" i="19" s="1"/>
  <c r="R42" i="22" s="1"/>
  <c r="AY42" i="25"/>
  <c r="K42" i="25" s="1"/>
  <c r="AU42" i="25"/>
  <c r="G42" i="25" s="1"/>
  <c r="BS42" i="19"/>
  <c r="T42" i="19"/>
  <c r="BG42" i="19"/>
  <c r="H42" i="25"/>
  <c r="AJ43" i="19"/>
  <c r="J43" i="19" s="1"/>
  <c r="AK43" i="19"/>
  <c r="K43" i="19" s="1"/>
  <c r="L42" i="19"/>
  <c r="T42" i="22" s="1"/>
  <c r="V43" i="22"/>
  <c r="X42" i="22"/>
  <c r="BU42" i="19" s="1"/>
  <c r="AI51" i="19"/>
  <c r="I51" i="19" s="1"/>
  <c r="S51" i="22" s="1"/>
  <c r="AL181" i="20"/>
  <c r="BM181" i="19" s="1"/>
  <c r="BG182" i="25" s="1"/>
  <c r="S182" i="25" s="1"/>
  <c r="Z43" i="25" l="1"/>
  <c r="AV43" i="20" s="1"/>
  <c r="AA43" i="25"/>
  <c r="AW43" i="20" s="1"/>
  <c r="S42" i="19"/>
  <c r="AE43" i="25"/>
  <c r="AY43" i="20" s="1"/>
  <c r="BK182" i="19"/>
  <c r="AA182" i="19"/>
  <c r="AS43" i="25"/>
  <c r="E43" i="25" s="1"/>
  <c r="BE43" i="19" s="1"/>
  <c r="C43" i="25"/>
  <c r="W44" i="25" s="1"/>
  <c r="AR43" i="25"/>
  <c r="D43" i="25" s="1"/>
  <c r="O43" i="19"/>
  <c r="AB43" i="19" s="1"/>
  <c r="B43" i="19" s="1"/>
  <c r="L43" i="22" s="1"/>
  <c r="V44" i="25"/>
  <c r="AD43" i="25"/>
  <c r="BO43" i="19"/>
  <c r="AB43" i="25"/>
  <c r="AV43" i="25" s="1"/>
  <c r="H43" i="25" s="1"/>
  <c r="AU43" i="25"/>
  <c r="G43" i="25" s="1"/>
  <c r="BS43" i="19"/>
  <c r="AT43" i="25"/>
  <c r="F43" i="25" s="1"/>
  <c r="BF43" i="19" s="1"/>
  <c r="AC43" i="25"/>
  <c r="AF42" i="19"/>
  <c r="F42" i="19" s="1"/>
  <c r="AG42" i="19"/>
  <c r="G42" i="19" s="1"/>
  <c r="AN42" i="19"/>
  <c r="N42" i="19" s="1"/>
  <c r="U42" i="22" s="1"/>
  <c r="M43" i="19"/>
  <c r="AC181" i="20"/>
  <c r="AY43" i="25" l="1"/>
  <c r="K43" i="25" s="1"/>
  <c r="BT43" i="19"/>
  <c r="AX43" i="20"/>
  <c r="AB44" i="25"/>
  <c r="AV44" i="25" s="1"/>
  <c r="H44" i="25" s="1"/>
  <c r="R43" i="19"/>
  <c r="E43" i="19" s="1"/>
  <c r="O43" i="22" s="1"/>
  <c r="Q43" i="19"/>
  <c r="AD43" i="19" s="1"/>
  <c r="D43" i="19" s="1"/>
  <c r="N43" i="22" s="1"/>
  <c r="Y44" i="25"/>
  <c r="AS44" i="25" s="1"/>
  <c r="E44" i="25" s="1"/>
  <c r="BE44" i="19" s="1"/>
  <c r="X44" i="25"/>
  <c r="AU44" i="20" s="1"/>
  <c r="AP44" i="25"/>
  <c r="AX43" i="25"/>
  <c r="J43" i="25" s="1"/>
  <c r="U43" i="19" s="1"/>
  <c r="BO44" i="19"/>
  <c r="AQ44" i="25"/>
  <c r="BC43" i="19"/>
  <c r="P43" i="19"/>
  <c r="C43" i="19" s="1"/>
  <c r="M43" i="22" s="1"/>
  <c r="Z44" i="25"/>
  <c r="AV44" i="20" s="1"/>
  <c r="S43" i="19"/>
  <c r="AF43" i="19" s="1"/>
  <c r="F43" i="19" s="1"/>
  <c r="AW43" i="25"/>
  <c r="I43" i="25" s="1"/>
  <c r="BG43" i="19" s="1"/>
  <c r="AA44" i="25"/>
  <c r="AW44" i="20" s="1"/>
  <c r="AK44" i="19"/>
  <c r="K44" i="19" s="1"/>
  <c r="AN43" i="19"/>
  <c r="N43" i="19" s="1"/>
  <c r="U43" i="22" s="1"/>
  <c r="X43" i="22"/>
  <c r="BU43" i="19" s="1"/>
  <c r="AL43" i="19"/>
  <c r="AI52" i="19"/>
  <c r="I52" i="19" s="1"/>
  <c r="S52" i="22" s="1"/>
  <c r="K182" i="20"/>
  <c r="BV182" i="20" s="1"/>
  <c r="BQ44" i="19" l="1"/>
  <c r="AR44" i="25"/>
  <c r="D44" i="25" s="1"/>
  <c r="Q44" i="19" s="1"/>
  <c r="AD44" i="19" s="1"/>
  <c r="D44" i="19" s="1"/>
  <c r="N44" i="22" s="1"/>
  <c r="C44" i="25"/>
  <c r="AE44" i="25"/>
  <c r="B44" i="25"/>
  <c r="AU44" i="25"/>
  <c r="G44" i="25" s="1"/>
  <c r="BS44" i="19"/>
  <c r="AT44" i="25"/>
  <c r="F44" i="25" s="1"/>
  <c r="BF44" i="19" s="1"/>
  <c r="AC44" i="25"/>
  <c r="AW44" i="25" s="1"/>
  <c r="T43" i="19"/>
  <c r="AG43" i="19" s="1"/>
  <c r="G43" i="19" s="1"/>
  <c r="R44" i="19"/>
  <c r="E44" i="19" s="1"/>
  <c r="O44" i="22" s="1"/>
  <c r="AD44" i="25"/>
  <c r="AX44" i="20" s="1"/>
  <c r="BH43" i="19"/>
  <c r="AH43" i="19"/>
  <c r="H43" i="19" s="1"/>
  <c r="R43" i="22" s="1"/>
  <c r="X44" i="22"/>
  <c r="AN44" i="19"/>
  <c r="N44" i="19" s="1"/>
  <c r="U44" i="22" s="1"/>
  <c r="L43" i="19"/>
  <c r="T43" i="22" s="1"/>
  <c r="V44" i="22"/>
  <c r="AL182" i="20"/>
  <c r="BM182" i="19" s="1"/>
  <c r="AY44" i="25" l="1"/>
  <c r="K44" i="25" s="1"/>
  <c r="AY44" i="20"/>
  <c r="Y45" i="25"/>
  <c r="BQ45" i="19" s="1"/>
  <c r="O44" i="19"/>
  <c r="AB44" i="19" s="1"/>
  <c r="B44" i="19" s="1"/>
  <c r="L44" i="22" s="1"/>
  <c r="V45" i="25"/>
  <c r="BC44" i="19"/>
  <c r="P44" i="19"/>
  <c r="C44" i="19" s="1"/>
  <c r="M44" i="22" s="1"/>
  <c r="W45" i="25"/>
  <c r="X45" i="25"/>
  <c r="AU45" i="20" s="1"/>
  <c r="BU44" i="19"/>
  <c r="AX44" i="25"/>
  <c r="J44" i="25" s="1"/>
  <c r="U44" i="19" s="1"/>
  <c r="BT44" i="19"/>
  <c r="AA45" i="25"/>
  <c r="AW45" i="20" s="1"/>
  <c r="Z45" i="25"/>
  <c r="AV45" i="20" s="1"/>
  <c r="S44" i="19"/>
  <c r="AF44" i="19" s="1"/>
  <c r="F44" i="19" s="1"/>
  <c r="AB45" i="25"/>
  <c r="AV45" i="25" s="1"/>
  <c r="H45" i="25" s="1"/>
  <c r="I44" i="25"/>
  <c r="BG44" i="19" s="1"/>
  <c r="AJ44" i="19"/>
  <c r="J44" i="19" s="1"/>
  <c r="X45" i="22"/>
  <c r="M44" i="19"/>
  <c r="AI53" i="19"/>
  <c r="I53" i="19" s="1"/>
  <c r="S53" i="22" s="1"/>
  <c r="AC182" i="20"/>
  <c r="AS45" i="25" l="1"/>
  <c r="E45" i="25" s="1"/>
  <c r="BE45" i="19" s="1"/>
  <c r="AR45" i="25"/>
  <c r="D45" i="25" s="1"/>
  <c r="AP45" i="25"/>
  <c r="BO45" i="19"/>
  <c r="AQ45" i="25"/>
  <c r="AU45" i="25"/>
  <c r="G45" i="25" s="1"/>
  <c r="AB46" i="25" s="1"/>
  <c r="BS45" i="19"/>
  <c r="AT45" i="25"/>
  <c r="F45" i="25" s="1"/>
  <c r="AC45" i="25"/>
  <c r="AW45" i="25" s="1"/>
  <c r="T44" i="19"/>
  <c r="AG44" i="19" s="1"/>
  <c r="G44" i="19" s="1"/>
  <c r="AD45" i="25"/>
  <c r="AE45" i="25"/>
  <c r="AY45" i="20" s="1"/>
  <c r="BH44" i="19"/>
  <c r="AH44" i="19"/>
  <c r="H44" i="19" s="1"/>
  <c r="R44" i="22" s="1"/>
  <c r="AL44" i="19"/>
  <c r="AN45" i="19"/>
  <c r="R45" i="19" l="1"/>
  <c r="E45" i="19" s="1"/>
  <c r="O45" i="22" s="1"/>
  <c r="BT45" i="19"/>
  <c r="AX45" i="20"/>
  <c r="Q45" i="19"/>
  <c r="AD45" i="19" s="1"/>
  <c r="D45" i="19" s="1"/>
  <c r="N45" i="22" s="1"/>
  <c r="Y46" i="25"/>
  <c r="B45" i="25"/>
  <c r="C45" i="25"/>
  <c r="X46" i="25" s="1"/>
  <c r="AU46" i="20" s="1"/>
  <c r="Z46" i="25"/>
  <c r="AV46" i="20" s="1"/>
  <c r="BF45" i="19"/>
  <c r="S45" i="19"/>
  <c r="AF45" i="19" s="1"/>
  <c r="F45" i="19" s="1"/>
  <c r="AA46" i="25"/>
  <c r="AW46" i="20" s="1"/>
  <c r="AV46" i="25"/>
  <c r="H46" i="25" s="1"/>
  <c r="AX45" i="25"/>
  <c r="J45" i="25" s="1"/>
  <c r="I45" i="25"/>
  <c r="BG45" i="19" s="1"/>
  <c r="AY45" i="25"/>
  <c r="K45" i="25" s="1"/>
  <c r="AJ45" i="19"/>
  <c r="J45" i="19" s="1"/>
  <c r="AK45" i="19"/>
  <c r="K45" i="19" s="1"/>
  <c r="N45" i="19"/>
  <c r="U45" i="22" s="1"/>
  <c r="X46" i="22"/>
  <c r="L44" i="19"/>
  <c r="T44" i="22" s="1"/>
  <c r="V45" i="22"/>
  <c r="BU45" i="19" s="1"/>
  <c r="AI54" i="19"/>
  <c r="I54" i="19" s="1"/>
  <c r="S54" i="22" s="1"/>
  <c r="BQ46" i="19" l="1"/>
  <c r="AS46" i="25"/>
  <c r="E46" i="25" s="1"/>
  <c r="O45" i="19"/>
  <c r="AB45" i="19" s="1"/>
  <c r="B45" i="19" s="1"/>
  <c r="L45" i="22" s="1"/>
  <c r="V46" i="25"/>
  <c r="P45" i="19"/>
  <c r="C45" i="19" s="1"/>
  <c r="M45" i="22" s="1"/>
  <c r="BC45" i="19"/>
  <c r="AR46" i="25" s="1"/>
  <c r="D46" i="25" s="1"/>
  <c r="W46" i="25"/>
  <c r="AU46" i="25"/>
  <c r="G46" i="25" s="1"/>
  <c r="BS46" i="19"/>
  <c r="AT46" i="25"/>
  <c r="F46" i="25" s="1"/>
  <c r="BF46" i="19" s="1"/>
  <c r="AC46" i="25"/>
  <c r="AW46" i="25" s="1"/>
  <c r="T45" i="19"/>
  <c r="AG45" i="19" s="1"/>
  <c r="G45" i="19" s="1"/>
  <c r="AD46" i="25"/>
  <c r="AX46" i="20" s="1"/>
  <c r="U45" i="19"/>
  <c r="AH45" i="19" s="1"/>
  <c r="H45" i="19" s="1"/>
  <c r="R45" i="22" s="1"/>
  <c r="AE46" i="25"/>
  <c r="AY46" i="20" s="1"/>
  <c r="BH45" i="19"/>
  <c r="M45" i="19"/>
  <c r="BE46" i="19" l="1"/>
  <c r="R46" i="19"/>
  <c r="E46" i="19" s="1"/>
  <c r="O46" i="22" s="1"/>
  <c r="Q46" i="19"/>
  <c r="AD46" i="19" s="1"/>
  <c r="D46" i="19" s="1"/>
  <c r="N46" i="22" s="1"/>
  <c r="Y47" i="25"/>
  <c r="AP46" i="25"/>
  <c r="B46" i="25" s="1"/>
  <c r="O46" i="19" s="1"/>
  <c r="AB46" i="19" s="1"/>
  <c r="B46" i="19" s="1"/>
  <c r="L46" i="22" s="1"/>
  <c r="BO46" i="19"/>
  <c r="AQ46" i="25"/>
  <c r="AY46" i="25"/>
  <c r="K46" i="25" s="1"/>
  <c r="AX46" i="25"/>
  <c r="J46" i="25" s="1"/>
  <c r="U46" i="19" s="1"/>
  <c r="AH46" i="19" s="1"/>
  <c r="H46" i="19" s="1"/>
  <c r="R46" i="22" s="1"/>
  <c r="BT46" i="19"/>
  <c r="Z47" i="25"/>
  <c r="AV47" i="20" s="1"/>
  <c r="S46" i="19"/>
  <c r="AF46" i="19" s="1"/>
  <c r="F46" i="19" s="1"/>
  <c r="I46" i="25"/>
  <c r="BG46" i="19" s="1"/>
  <c r="AA47" i="25"/>
  <c r="AB47" i="25"/>
  <c r="AK46" i="19"/>
  <c r="K46" i="19" s="1"/>
  <c r="BH46" i="19"/>
  <c r="AL45" i="19"/>
  <c r="AN46" i="19"/>
  <c r="AI55" i="19"/>
  <c r="I55" i="19" s="1"/>
  <c r="S55" i="22" s="1"/>
  <c r="BS47" i="19" l="1"/>
  <c r="AW47" i="20"/>
  <c r="BQ47" i="19"/>
  <c r="AS47" i="25"/>
  <c r="E47" i="25" s="1"/>
  <c r="C46" i="25"/>
  <c r="V47" i="25"/>
  <c r="AE47" i="25"/>
  <c r="AY47" i="20" s="1"/>
  <c r="AC47" i="25"/>
  <c r="AW47" i="25" s="1"/>
  <c r="I47" i="25" s="1"/>
  <c r="T46" i="19"/>
  <c r="AG46" i="19" s="1"/>
  <c r="G46" i="19" s="1"/>
  <c r="AV47" i="25"/>
  <c r="H47" i="25" s="1"/>
  <c r="AU47" i="25"/>
  <c r="G47" i="25" s="1"/>
  <c r="AD47" i="25"/>
  <c r="AJ46" i="19"/>
  <c r="J46" i="19" s="1"/>
  <c r="N46" i="19"/>
  <c r="U46" i="22" s="1"/>
  <c r="X47" i="22"/>
  <c r="L45" i="19"/>
  <c r="T45" i="22" s="1"/>
  <c r="V46" i="22"/>
  <c r="AI56" i="19"/>
  <c r="I56" i="19" s="1"/>
  <c r="S56" i="22" s="1"/>
  <c r="BT47" i="19" l="1"/>
  <c r="AX47" i="20"/>
  <c r="BC46" i="19"/>
  <c r="P46" i="19"/>
  <c r="C46" i="19" s="1"/>
  <c r="M46" i="22" s="1"/>
  <c r="X47" i="25"/>
  <c r="AU47" i="20" s="1"/>
  <c r="W47" i="25"/>
  <c r="R47" i="19"/>
  <c r="E47" i="19" s="1"/>
  <c r="O47" i="22" s="1"/>
  <c r="BE47" i="19"/>
  <c r="AP47" i="25"/>
  <c r="AT47" i="25"/>
  <c r="F47" i="25" s="1"/>
  <c r="BF47" i="19" s="1"/>
  <c r="BU46" i="19"/>
  <c r="AX47" i="25" s="1"/>
  <c r="J47" i="25" s="1"/>
  <c r="U47" i="19" s="1"/>
  <c r="AH47" i="19" s="1"/>
  <c r="H47" i="19" s="1"/>
  <c r="R47" i="22" s="1"/>
  <c r="AY47" i="25"/>
  <c r="K47" i="25" s="1"/>
  <c r="T47" i="19"/>
  <c r="AG47" i="19" s="1"/>
  <c r="G47" i="19" s="1"/>
  <c r="BG47" i="19"/>
  <c r="AC48" i="25"/>
  <c r="AW48" i="25" s="1"/>
  <c r="AB48" i="25"/>
  <c r="AV48" i="25" s="1"/>
  <c r="AJ47" i="19"/>
  <c r="J47" i="19" s="1"/>
  <c r="AK47" i="19"/>
  <c r="K47" i="19" s="1"/>
  <c r="BH47" i="19"/>
  <c r="M46" i="19"/>
  <c r="M57" i="22"/>
  <c r="AR47" i="25" l="1"/>
  <c r="BO47" i="19"/>
  <c r="AQ47" i="25"/>
  <c r="C47" i="25" s="1"/>
  <c r="B47" i="25"/>
  <c r="Z48" i="25"/>
  <c r="AV48" i="20" s="1"/>
  <c r="S47" i="19"/>
  <c r="AF47" i="19" s="1"/>
  <c r="F47" i="19" s="1"/>
  <c r="AD48" i="25"/>
  <c r="AE48" i="25"/>
  <c r="AY48" i="20" s="1"/>
  <c r="H48" i="25"/>
  <c r="I48" i="25"/>
  <c r="AA48" i="25"/>
  <c r="AJ48" i="19"/>
  <c r="J48" i="19" s="1"/>
  <c r="AL46" i="19"/>
  <c r="AI57" i="19"/>
  <c r="I57" i="19" s="1"/>
  <c r="S57" i="22" s="1"/>
  <c r="BT48" i="19" l="1"/>
  <c r="AX48" i="20"/>
  <c r="BS48" i="19"/>
  <c r="AW48" i="20"/>
  <c r="P47" i="19"/>
  <c r="C47" i="19" s="1"/>
  <c r="M47" i="22" s="1"/>
  <c r="BC47" i="19"/>
  <c r="W48" i="25"/>
  <c r="O47" i="19"/>
  <c r="AB47" i="19" s="1"/>
  <c r="B47" i="19" s="1"/>
  <c r="L47" i="22" s="1"/>
  <c r="V48" i="25"/>
  <c r="D47" i="25"/>
  <c r="AY48" i="25"/>
  <c r="K48" i="25" s="1"/>
  <c r="T48" i="19"/>
  <c r="AG48" i="19" s="1"/>
  <c r="G48" i="19" s="1"/>
  <c r="BG48" i="19"/>
  <c r="AU48" i="25"/>
  <c r="G48" i="25" s="1"/>
  <c r="AC49" i="25"/>
  <c r="BH48" i="19"/>
  <c r="AK48" i="19"/>
  <c r="K48" i="19" s="1"/>
  <c r="AN47" i="19"/>
  <c r="L46" i="19"/>
  <c r="T46" i="22" s="1"/>
  <c r="V47" i="22"/>
  <c r="AI58" i="19"/>
  <c r="I58" i="19" s="1"/>
  <c r="S58" i="22" s="1"/>
  <c r="AP48" i="25" l="1"/>
  <c r="BO48" i="19"/>
  <c r="Q47" i="19"/>
  <c r="AD47" i="19" s="1"/>
  <c r="D47" i="19" s="1"/>
  <c r="N47" i="22" s="1"/>
  <c r="Y48" i="25"/>
  <c r="X48" i="25"/>
  <c r="AU48" i="20" s="1"/>
  <c r="AQ48" i="25"/>
  <c r="AT48" i="25"/>
  <c r="F48" i="25" s="1"/>
  <c r="BF48" i="19" s="1"/>
  <c r="BU47" i="19"/>
  <c r="AX48" i="25" s="1"/>
  <c r="J48" i="25" s="1"/>
  <c r="AD49" i="25" s="1"/>
  <c r="AB49" i="25"/>
  <c r="AW49" i="25"/>
  <c r="AJ49" i="19"/>
  <c r="J49" i="19" s="1"/>
  <c r="M47" i="19"/>
  <c r="N47" i="19"/>
  <c r="U47" i="22" s="1"/>
  <c r="X48" i="22"/>
  <c r="BT49" i="19" l="1"/>
  <c r="AX49" i="20"/>
  <c r="BQ48" i="19"/>
  <c r="AS48" i="25"/>
  <c r="E48" i="25" s="1"/>
  <c r="AR48" i="25"/>
  <c r="C48" i="25"/>
  <c r="B48" i="25"/>
  <c r="S48" i="19"/>
  <c r="AF48" i="19" s="1"/>
  <c r="F48" i="19" s="1"/>
  <c r="AE49" i="25"/>
  <c r="AA49" i="25"/>
  <c r="U48" i="19"/>
  <c r="AH48" i="19" s="1"/>
  <c r="H48" i="19" s="1"/>
  <c r="R48" i="22" s="1"/>
  <c r="I49" i="25"/>
  <c r="AV49" i="25"/>
  <c r="H49" i="25" s="1"/>
  <c r="AK49" i="19"/>
  <c r="K49" i="19" s="1"/>
  <c r="BH49" i="19"/>
  <c r="AL47" i="19"/>
  <c r="AI59" i="19"/>
  <c r="I59" i="19" s="1"/>
  <c r="S59" i="22" s="1"/>
  <c r="AY49" i="25" l="1"/>
  <c r="K49" i="25" s="1"/>
  <c r="AY49" i="20"/>
  <c r="BS49" i="19"/>
  <c r="AW49" i="20"/>
  <c r="BE48" i="19"/>
  <c r="R48" i="19"/>
  <c r="E48" i="19" s="1"/>
  <c r="O48" i="22" s="1"/>
  <c r="Z49" i="25"/>
  <c r="AV49" i="20" s="1"/>
  <c r="P48" i="19"/>
  <c r="C48" i="19" s="1"/>
  <c r="M48" i="22" s="1"/>
  <c r="BC48" i="19"/>
  <c r="W49" i="25"/>
  <c r="O48" i="19"/>
  <c r="AB48" i="19" s="1"/>
  <c r="B48" i="19" s="1"/>
  <c r="L48" i="22" s="1"/>
  <c r="V49" i="25"/>
  <c r="D48" i="25"/>
  <c r="Y49" i="25" s="1"/>
  <c r="AS49" i="25" s="1"/>
  <c r="E49" i="25" s="1"/>
  <c r="AU49" i="25"/>
  <c r="G49" i="25" s="1"/>
  <c r="AB50" i="25" s="1"/>
  <c r="AV50" i="25" s="1"/>
  <c r="H50" i="25" s="1"/>
  <c r="T49" i="19"/>
  <c r="AG49" i="19" s="1"/>
  <c r="G49" i="19" s="1"/>
  <c r="BG49" i="19"/>
  <c r="AC50" i="25"/>
  <c r="AJ50" i="19"/>
  <c r="J50" i="19" s="1"/>
  <c r="L47" i="19"/>
  <c r="T47" i="22" s="1"/>
  <c r="V48" i="22"/>
  <c r="AN48" i="19"/>
  <c r="BO49" i="19" l="1"/>
  <c r="AQ49" i="25"/>
  <c r="C49" i="25" s="1"/>
  <c r="Q48" i="19"/>
  <c r="AD48" i="19" s="1"/>
  <c r="D48" i="19" s="1"/>
  <c r="N48" i="22" s="1"/>
  <c r="X49" i="25"/>
  <c r="AU49" i="20" s="1"/>
  <c r="BE49" i="19"/>
  <c r="R49" i="19"/>
  <c r="E49" i="19" s="1"/>
  <c r="O49" i="22" s="1"/>
  <c r="BQ49" i="19"/>
  <c r="AP49" i="25"/>
  <c r="AT49" i="25"/>
  <c r="F49" i="25" s="1"/>
  <c r="BU48" i="19"/>
  <c r="AX49" i="25" s="1"/>
  <c r="J49" i="25" s="1"/>
  <c r="AW50" i="25"/>
  <c r="AK50" i="19"/>
  <c r="K50" i="19" s="1"/>
  <c r="N48" i="19"/>
  <c r="U48" i="22" s="1"/>
  <c r="X49" i="22"/>
  <c r="M48" i="19"/>
  <c r="AL48" i="19"/>
  <c r="L48" i="19" s="1"/>
  <c r="T48" i="22" s="1"/>
  <c r="AI60" i="19"/>
  <c r="I60" i="19" s="1"/>
  <c r="S60" i="22" s="1"/>
  <c r="M60" i="22"/>
  <c r="BC49" i="19" l="1"/>
  <c r="P49" i="19"/>
  <c r="C49" i="19" s="1"/>
  <c r="M49" i="22" s="1"/>
  <c r="AR49" i="25"/>
  <c r="B49" i="25"/>
  <c r="W50" i="25" s="1"/>
  <c r="U49" i="19"/>
  <c r="AH49" i="19" s="1"/>
  <c r="H49" i="19" s="1"/>
  <c r="R49" i="22" s="1"/>
  <c r="AE50" i="25"/>
  <c r="AY50" i="20" s="1"/>
  <c r="AD50" i="25"/>
  <c r="S49" i="19"/>
  <c r="AF49" i="19" s="1"/>
  <c r="F49" i="19" s="1"/>
  <c r="BF49" i="19"/>
  <c r="Z50" i="25"/>
  <c r="AV50" i="20" s="1"/>
  <c r="AA50" i="25"/>
  <c r="I50" i="25"/>
  <c r="BG50" i="19" s="1"/>
  <c r="BH50" i="19"/>
  <c r="V49" i="22"/>
  <c r="BU49" i="19" s="1"/>
  <c r="AN49" i="19"/>
  <c r="N49" i="19" s="1"/>
  <c r="U49" i="22" s="1"/>
  <c r="BT50" i="19" l="1"/>
  <c r="AX50" i="20"/>
  <c r="BS50" i="19"/>
  <c r="AW50" i="20"/>
  <c r="BO50" i="19"/>
  <c r="AQ50" i="25"/>
  <c r="C50" i="25" s="1"/>
  <c r="AY50" i="25"/>
  <c r="K50" i="25" s="1"/>
  <c r="O49" i="19"/>
  <c r="AB49" i="19" s="1"/>
  <c r="B49" i="19" s="1"/>
  <c r="L49" i="22" s="1"/>
  <c r="V50" i="25"/>
  <c r="D49" i="25"/>
  <c r="AX50" i="25"/>
  <c r="J50" i="25" s="1"/>
  <c r="AC51" i="25"/>
  <c r="AW51" i="25" s="1"/>
  <c r="T50" i="19"/>
  <c r="AG50" i="19" s="1"/>
  <c r="G50" i="19" s="1"/>
  <c r="AU50" i="25"/>
  <c r="AT50" i="25"/>
  <c r="F50" i="25" s="1"/>
  <c r="BF50" i="19" s="1"/>
  <c r="AK51" i="19"/>
  <c r="K51" i="19" s="1"/>
  <c r="AJ51" i="19"/>
  <c r="J51" i="19" s="1"/>
  <c r="M49" i="19"/>
  <c r="AL49" i="19"/>
  <c r="L49" i="19" s="1"/>
  <c r="T49" i="22" s="1"/>
  <c r="X50" i="22"/>
  <c r="AI61" i="19"/>
  <c r="I61" i="19" s="1"/>
  <c r="S61" i="22" s="1"/>
  <c r="BC50" i="19" l="1"/>
  <c r="P50" i="19"/>
  <c r="C50" i="19" s="1"/>
  <c r="M50" i="22" s="1"/>
  <c r="AP50" i="25"/>
  <c r="Q49" i="19"/>
  <c r="AD49" i="19" s="1"/>
  <c r="D49" i="19" s="1"/>
  <c r="N49" i="22" s="1"/>
  <c r="Y50" i="25"/>
  <c r="X50" i="25"/>
  <c r="AU50" i="20" s="1"/>
  <c r="U50" i="19"/>
  <c r="AH50" i="19" s="1"/>
  <c r="H50" i="19" s="1"/>
  <c r="R50" i="22" s="1"/>
  <c r="AD51" i="25"/>
  <c r="AE51" i="25"/>
  <c r="I51" i="25"/>
  <c r="S50" i="19"/>
  <c r="AF50" i="19" s="1"/>
  <c r="F50" i="19" s="1"/>
  <c r="G50" i="25"/>
  <c r="BH51" i="19"/>
  <c r="AN50" i="19"/>
  <c r="N50" i="19" s="1"/>
  <c r="U50" i="22" s="1"/>
  <c r="V50" i="22"/>
  <c r="BT51" i="19" l="1"/>
  <c r="AX51" i="20"/>
  <c r="AY51" i="25"/>
  <c r="K51" i="25" s="1"/>
  <c r="AY51" i="20"/>
  <c r="BQ50" i="19"/>
  <c r="AS50" i="25"/>
  <c r="AR50" i="25"/>
  <c r="D50" i="25" s="1"/>
  <c r="Q50" i="19" s="1"/>
  <c r="AD50" i="19" s="1"/>
  <c r="D50" i="19" s="1"/>
  <c r="N50" i="22" s="1"/>
  <c r="B50" i="25"/>
  <c r="BU50" i="19"/>
  <c r="AX51" i="25" s="1"/>
  <c r="J51" i="25" s="1"/>
  <c r="AD52" i="25" s="1"/>
  <c r="AX52" i="20" s="1"/>
  <c r="T51" i="19"/>
  <c r="AG51" i="19" s="1"/>
  <c r="G51" i="19" s="1"/>
  <c r="BG51" i="19"/>
  <c r="AA51" i="25"/>
  <c r="AB51" i="25"/>
  <c r="AJ52" i="19"/>
  <c r="J52" i="19" s="1"/>
  <c r="AK52" i="19"/>
  <c r="K52" i="19" s="1"/>
  <c r="M50" i="19"/>
  <c r="AL50" i="19"/>
  <c r="L50" i="19" s="1"/>
  <c r="T50" i="22" s="1"/>
  <c r="X51" i="22"/>
  <c r="AI62" i="19"/>
  <c r="I62" i="19" s="1"/>
  <c r="S62" i="22" s="1"/>
  <c r="BS51" i="19" l="1"/>
  <c r="AW51" i="20"/>
  <c r="O50" i="19"/>
  <c r="AB50" i="19" s="1"/>
  <c r="B50" i="19" s="1"/>
  <c r="L50" i="22" s="1"/>
  <c r="W51" i="25"/>
  <c r="V51" i="25"/>
  <c r="E50" i="25"/>
  <c r="X51" i="25"/>
  <c r="AU51" i="20" s="1"/>
  <c r="U51" i="19"/>
  <c r="AH51" i="19" s="1"/>
  <c r="H51" i="19" s="1"/>
  <c r="R51" i="22" s="1"/>
  <c r="AE52" i="25"/>
  <c r="AY52" i="20" s="1"/>
  <c r="BT52" i="19"/>
  <c r="AU51" i="25"/>
  <c r="G51" i="25" s="1"/>
  <c r="AV51" i="25"/>
  <c r="H51" i="25" s="1"/>
  <c r="V51" i="22"/>
  <c r="BE50" i="19" l="1"/>
  <c r="R50" i="19"/>
  <c r="E50" i="19" s="1"/>
  <c r="O50" i="22" s="1"/>
  <c r="Z51" i="25"/>
  <c r="AV51" i="20" s="1"/>
  <c r="Y51" i="25"/>
  <c r="AP51" i="25"/>
  <c r="AR51" i="25"/>
  <c r="BO51" i="19"/>
  <c r="AQ51" i="25"/>
  <c r="C51" i="25" s="1"/>
  <c r="BU51" i="19"/>
  <c r="AX52" i="25" s="1"/>
  <c r="J52" i="25" s="1"/>
  <c r="U52" i="19" s="1"/>
  <c r="AH52" i="19" s="1"/>
  <c r="H52" i="19" s="1"/>
  <c r="R52" i="22" s="1"/>
  <c r="AB52" i="25"/>
  <c r="AC52" i="25"/>
  <c r="AK53" i="19"/>
  <c r="K53" i="19" s="1"/>
  <c r="BH52" i="19"/>
  <c r="AL51" i="19"/>
  <c r="L51" i="19" s="1"/>
  <c r="T51" i="22" s="1"/>
  <c r="AN51" i="19"/>
  <c r="M51" i="19"/>
  <c r="AI63" i="19"/>
  <c r="I63" i="19" s="1"/>
  <c r="S63" i="22" s="1"/>
  <c r="AT51" i="25" l="1"/>
  <c r="D51" i="25"/>
  <c r="BC51" i="19"/>
  <c r="P51" i="19"/>
  <c r="C51" i="19" s="1"/>
  <c r="M51" i="22" s="1"/>
  <c r="B51" i="25"/>
  <c r="W52" i="25" s="1"/>
  <c r="BQ51" i="19"/>
  <c r="AS51" i="25"/>
  <c r="E51" i="25" s="1"/>
  <c r="AW52" i="25"/>
  <c r="I52" i="25" s="1"/>
  <c r="AV52" i="25"/>
  <c r="AJ53" i="19"/>
  <c r="J53" i="19" s="1"/>
  <c r="V52" i="22"/>
  <c r="M52" i="19"/>
  <c r="AL52" i="19"/>
  <c r="L52" i="19" s="1"/>
  <c r="T52" i="22" s="1"/>
  <c r="N51" i="19"/>
  <c r="U51" i="22" s="1"/>
  <c r="X52" i="22"/>
  <c r="BO52" i="19" l="1"/>
  <c r="Q51" i="19"/>
  <c r="AD51" i="19" s="1"/>
  <c r="D51" i="19" s="1"/>
  <c r="N51" i="22" s="1"/>
  <c r="X52" i="25"/>
  <c r="AU52" i="20" s="1"/>
  <c r="AQ52" i="25"/>
  <c r="BE51" i="19"/>
  <c r="R51" i="19"/>
  <c r="E51" i="19" s="1"/>
  <c r="O51" i="22" s="1"/>
  <c r="Y52" i="25"/>
  <c r="O51" i="19"/>
  <c r="AB51" i="19" s="1"/>
  <c r="B51" i="19" s="1"/>
  <c r="L51" i="22" s="1"/>
  <c r="V52" i="25"/>
  <c r="F51" i="25"/>
  <c r="BU52" i="19"/>
  <c r="T52" i="19"/>
  <c r="AG52" i="19" s="1"/>
  <c r="G52" i="19" s="1"/>
  <c r="BG52" i="19"/>
  <c r="AD53" i="25"/>
  <c r="H52" i="25"/>
  <c r="BH53" i="19"/>
  <c r="V53" i="22"/>
  <c r="AI64" i="19"/>
  <c r="I64" i="19" s="1"/>
  <c r="S64" i="22" s="1"/>
  <c r="BT53" i="19" l="1"/>
  <c r="AX53" i="20"/>
  <c r="BF51" i="19"/>
  <c r="AY52" i="25" s="1"/>
  <c r="S51" i="19"/>
  <c r="AF51" i="19" s="1"/>
  <c r="F51" i="19" s="1"/>
  <c r="AA52" i="25"/>
  <c r="AW52" i="20" s="1"/>
  <c r="Z52" i="25"/>
  <c r="AV52" i="20" s="1"/>
  <c r="AP52" i="25"/>
  <c r="C52" i="25"/>
  <c r="AS52" i="25"/>
  <c r="BQ52" i="19"/>
  <c r="AR52" i="25"/>
  <c r="AC53" i="25"/>
  <c r="AX53" i="25"/>
  <c r="J53" i="25" s="1"/>
  <c r="U53" i="19" s="1"/>
  <c r="AH53" i="19" s="1"/>
  <c r="H53" i="19" s="1"/>
  <c r="R53" i="22" s="1"/>
  <c r="AJ54" i="19"/>
  <c r="J54" i="19" s="1"/>
  <c r="AK54" i="19"/>
  <c r="K54" i="19" s="1"/>
  <c r="AL53" i="19"/>
  <c r="L53" i="19" s="1"/>
  <c r="T53" i="22" s="1"/>
  <c r="M53" i="19"/>
  <c r="AN52" i="19"/>
  <c r="AT52" i="25" l="1"/>
  <c r="F52" i="25" s="1"/>
  <c r="D52" i="25"/>
  <c r="E52" i="25"/>
  <c r="BS52" i="19"/>
  <c r="AU52" i="25"/>
  <c r="P52" i="19"/>
  <c r="C52" i="19" s="1"/>
  <c r="M52" i="22" s="1"/>
  <c r="BC52" i="19"/>
  <c r="B52" i="25"/>
  <c r="K52" i="25"/>
  <c r="AE53" i="25" s="1"/>
  <c r="AY53" i="20" s="1"/>
  <c r="V54" i="22"/>
  <c r="AW53" i="25"/>
  <c r="AJ55" i="19"/>
  <c r="J55" i="19" s="1"/>
  <c r="BH54" i="19"/>
  <c r="N52" i="19"/>
  <c r="U52" i="22" s="1"/>
  <c r="X53" i="22"/>
  <c r="M54" i="19"/>
  <c r="AI65" i="19"/>
  <c r="I65" i="19" s="1"/>
  <c r="S65" i="22" s="1"/>
  <c r="BF52" i="19" l="1"/>
  <c r="AY53" i="25" s="1"/>
  <c r="S52" i="19"/>
  <c r="AF52" i="19" s="1"/>
  <c r="F52" i="19" s="1"/>
  <c r="Z53" i="25"/>
  <c r="AV53" i="20" s="1"/>
  <c r="O52" i="19"/>
  <c r="AB52" i="19" s="1"/>
  <c r="B52" i="19" s="1"/>
  <c r="L52" i="22" s="1"/>
  <c r="V53" i="25"/>
  <c r="W53" i="25"/>
  <c r="G52" i="25"/>
  <c r="Q52" i="19"/>
  <c r="AD52" i="19" s="1"/>
  <c r="D52" i="19" s="1"/>
  <c r="N52" i="22" s="1"/>
  <c r="X53" i="25"/>
  <c r="AU53" i="20" s="1"/>
  <c r="BE52" i="19"/>
  <c r="R52" i="19"/>
  <c r="E52" i="19" s="1"/>
  <c r="O52" i="22" s="1"/>
  <c r="Y53" i="25"/>
  <c r="BU53" i="19"/>
  <c r="I53" i="25"/>
  <c r="AK55" i="19"/>
  <c r="K55" i="19" s="1"/>
  <c r="AL54" i="19"/>
  <c r="AI66" i="19"/>
  <c r="I66" i="19" s="1"/>
  <c r="S66" i="22" s="1"/>
  <c r="K53" i="25" l="1"/>
  <c r="AE54" i="25" s="1"/>
  <c r="AY54" i="20" s="1"/>
  <c r="BQ53" i="19"/>
  <c r="AS53" i="25"/>
  <c r="AP53" i="25"/>
  <c r="B53" i="25" s="1"/>
  <c r="O53" i="19" s="1"/>
  <c r="AB53" i="19" s="1"/>
  <c r="B53" i="19" s="1"/>
  <c r="L53" i="22" s="1"/>
  <c r="AR53" i="25"/>
  <c r="BO53" i="19"/>
  <c r="AQ53" i="25"/>
  <c r="AT53" i="25"/>
  <c r="AB53" i="25"/>
  <c r="AA53" i="25"/>
  <c r="AW53" i="20" s="1"/>
  <c r="T53" i="19"/>
  <c r="AG53" i="19" s="1"/>
  <c r="G53" i="19" s="1"/>
  <c r="BG53" i="19"/>
  <c r="AD54" i="25"/>
  <c r="L54" i="19"/>
  <c r="T54" i="22" s="1"/>
  <c r="V55" i="22"/>
  <c r="M55" i="19"/>
  <c r="AN53" i="19"/>
  <c r="BT54" i="19" l="1"/>
  <c r="AX54" i="20"/>
  <c r="V54" i="25"/>
  <c r="AP54" i="25" s="1"/>
  <c r="B54" i="25" s="1"/>
  <c r="O54" i="19" s="1"/>
  <c r="AB54" i="19" s="1"/>
  <c r="B54" i="19" s="1"/>
  <c r="L54" i="22" s="1"/>
  <c r="C53" i="25"/>
  <c r="BS53" i="19"/>
  <c r="AU53" i="25"/>
  <c r="D53" i="25"/>
  <c r="F53" i="25"/>
  <c r="AV53" i="25"/>
  <c r="E53" i="25"/>
  <c r="AX54" i="25"/>
  <c r="J54" i="25" s="1"/>
  <c r="U54" i="19" s="1"/>
  <c r="AH54" i="19" s="1"/>
  <c r="H54" i="19" s="1"/>
  <c r="R54" i="22" s="1"/>
  <c r="AK56" i="19"/>
  <c r="K56" i="19" s="1"/>
  <c r="BH55" i="19"/>
  <c r="N53" i="19"/>
  <c r="U53" i="22" s="1"/>
  <c r="AN54" i="19" s="1"/>
  <c r="N54" i="19" s="1"/>
  <c r="U54" i="22" s="1"/>
  <c r="X54" i="22"/>
  <c r="AL55" i="19"/>
  <c r="L55" i="19" s="1"/>
  <c r="T55" i="22" s="1"/>
  <c r="Q53" i="19" l="1"/>
  <c r="AD53" i="19" s="1"/>
  <c r="D53" i="19" s="1"/>
  <c r="N53" i="22" s="1"/>
  <c r="X54" i="25"/>
  <c r="AU54" i="20" s="1"/>
  <c r="BE53" i="19"/>
  <c r="R53" i="19"/>
  <c r="E53" i="19" s="1"/>
  <c r="O53" i="22" s="1"/>
  <c r="Y54" i="25"/>
  <c r="V55" i="25"/>
  <c r="G53" i="25"/>
  <c r="AA54" i="25" s="1"/>
  <c r="AW54" i="20" s="1"/>
  <c r="P53" i="19"/>
  <c r="C53" i="19" s="1"/>
  <c r="M53" i="22" s="1"/>
  <c r="BC53" i="19"/>
  <c r="W54" i="25"/>
  <c r="H53" i="25"/>
  <c r="BF53" i="19"/>
  <c r="AY54" i="25" s="1"/>
  <c r="K54" i="25" s="1"/>
  <c r="AE55" i="25" s="1"/>
  <c r="AY55" i="20" s="1"/>
  <c r="S53" i="19"/>
  <c r="AF53" i="19" s="1"/>
  <c r="F53" i="19" s="1"/>
  <c r="Z54" i="25"/>
  <c r="AV54" i="20" s="1"/>
  <c r="BU54" i="19"/>
  <c r="AJ56" i="19"/>
  <c r="J56" i="19" s="1"/>
  <c r="V56" i="22"/>
  <c r="X55" i="22"/>
  <c r="AI67" i="19"/>
  <c r="I67" i="19" s="1"/>
  <c r="S67" i="22" s="1"/>
  <c r="AT54" i="25" l="1"/>
  <c r="BO54" i="19"/>
  <c r="AQ54" i="25"/>
  <c r="AR54" i="25"/>
  <c r="D54" i="25" s="1"/>
  <c r="Q54" i="19" s="1"/>
  <c r="AD54" i="19" s="1"/>
  <c r="D54" i="19" s="1"/>
  <c r="N54" i="22" s="1"/>
  <c r="BQ54" i="19"/>
  <c r="AS54" i="25"/>
  <c r="E54" i="25" s="1"/>
  <c r="BS54" i="19"/>
  <c r="AP55" i="25"/>
  <c r="AB54" i="25"/>
  <c r="AV54" i="25" s="1"/>
  <c r="AC54" i="25"/>
  <c r="AU54" i="25"/>
  <c r="BU55" i="19"/>
  <c r="AK57" i="19"/>
  <c r="K57" i="19" s="1"/>
  <c r="BH56" i="19"/>
  <c r="AL56" i="19"/>
  <c r="AN55" i="19"/>
  <c r="N55" i="19" s="1"/>
  <c r="U55" i="22" s="1"/>
  <c r="M56" i="19"/>
  <c r="Y55" i="25" l="1"/>
  <c r="BQ55" i="19" s="1"/>
  <c r="AW54" i="25"/>
  <c r="I54" i="25" s="1"/>
  <c r="H54" i="25"/>
  <c r="F54" i="25"/>
  <c r="G54" i="25"/>
  <c r="B55" i="25"/>
  <c r="BE54" i="19"/>
  <c r="R54" i="19"/>
  <c r="E54" i="19" s="1"/>
  <c r="O54" i="22" s="1"/>
  <c r="C54" i="25"/>
  <c r="AJ57" i="19"/>
  <c r="J57" i="19" s="1"/>
  <c r="X56" i="22"/>
  <c r="AN56" i="19"/>
  <c r="N56" i="19" s="1"/>
  <c r="U56" i="22" s="1"/>
  <c r="L56" i="19"/>
  <c r="T56" i="22" s="1"/>
  <c r="V57" i="22"/>
  <c r="M57" i="19"/>
  <c r="AI68" i="19"/>
  <c r="I68" i="19" s="1"/>
  <c r="S68" i="22" s="1"/>
  <c r="AS55" i="25" l="1"/>
  <c r="E55" i="25" s="1"/>
  <c r="AA55" i="25"/>
  <c r="AB55" i="25"/>
  <c r="BC54" i="19"/>
  <c r="P54" i="19"/>
  <c r="C54" i="19" s="1"/>
  <c r="M54" i="22" s="1"/>
  <c r="W55" i="25"/>
  <c r="S54" i="19"/>
  <c r="AF54" i="19" s="1"/>
  <c r="F54" i="19" s="1"/>
  <c r="BF54" i="19"/>
  <c r="AY55" i="25" s="1"/>
  <c r="K55" i="25" s="1"/>
  <c r="Z55" i="25"/>
  <c r="AV55" i="20" s="1"/>
  <c r="BG54" i="19"/>
  <c r="T54" i="19"/>
  <c r="AG54" i="19" s="1"/>
  <c r="G54" i="19" s="1"/>
  <c r="AD55" i="25"/>
  <c r="AX55" i="20" s="1"/>
  <c r="AC55" i="25"/>
  <c r="O55" i="19"/>
  <c r="AB55" i="19" s="1"/>
  <c r="B55" i="19" s="1"/>
  <c r="L55" i="22" s="1"/>
  <c r="V56" i="25"/>
  <c r="X55" i="25"/>
  <c r="AU55" i="20" s="1"/>
  <c r="AK58" i="19"/>
  <c r="K58" i="19" s="1"/>
  <c r="AN57" i="19"/>
  <c r="N57" i="19" s="1"/>
  <c r="U57" i="22" s="1"/>
  <c r="X57" i="22"/>
  <c r="AI69" i="19"/>
  <c r="I69" i="19" s="1"/>
  <c r="S69" i="22" s="1"/>
  <c r="BS55" i="19" l="1"/>
  <c r="AW55" i="20"/>
  <c r="AU55" i="25"/>
  <c r="G55" i="25" s="1"/>
  <c r="AW55" i="25"/>
  <c r="I55" i="25" s="1"/>
  <c r="AR55" i="25"/>
  <c r="BO55" i="19"/>
  <c r="AP56" i="25" s="1"/>
  <c r="B56" i="25" s="1"/>
  <c r="AQ55" i="25"/>
  <c r="C55" i="25" s="1"/>
  <c r="BE55" i="19"/>
  <c r="R55" i="19"/>
  <c r="E55" i="19" s="1"/>
  <c r="O55" i="22" s="1"/>
  <c r="BT55" i="19"/>
  <c r="AX55" i="25"/>
  <c r="AT55" i="25"/>
  <c r="AV55" i="25"/>
  <c r="AL57" i="19"/>
  <c r="X58" i="22"/>
  <c r="O56" i="19" l="1"/>
  <c r="AB56" i="19" s="1"/>
  <c r="B56" i="19" s="1"/>
  <c r="L56" i="22" s="1"/>
  <c r="V57" i="25"/>
  <c r="P55" i="19"/>
  <c r="C55" i="19" s="1"/>
  <c r="M55" i="22" s="1"/>
  <c r="BC55" i="19"/>
  <c r="W56" i="25"/>
  <c r="AQ56" i="25" s="1"/>
  <c r="BG55" i="19"/>
  <c r="T55" i="19"/>
  <c r="AG55" i="19" s="1"/>
  <c r="G55" i="19" s="1"/>
  <c r="H55" i="25"/>
  <c r="AB56" i="25" s="1"/>
  <c r="F55" i="25"/>
  <c r="J55" i="25"/>
  <c r="D55" i="25"/>
  <c r="L57" i="19"/>
  <c r="T57" i="22" s="1"/>
  <c r="V58" i="22"/>
  <c r="AN58" i="19"/>
  <c r="N58" i="19" s="1"/>
  <c r="U58" i="22" s="1"/>
  <c r="AI70" i="19"/>
  <c r="I70" i="19" s="1"/>
  <c r="S70" i="22" s="1"/>
  <c r="AC56" i="25" l="1"/>
  <c r="Q55" i="19"/>
  <c r="AD55" i="19" s="1"/>
  <c r="D55" i="19" s="1"/>
  <c r="N55" i="22" s="1"/>
  <c r="X56" i="25"/>
  <c r="AU56" i="20" s="1"/>
  <c r="Y56" i="25"/>
  <c r="BF55" i="19"/>
  <c r="S55" i="19"/>
  <c r="AF55" i="19" s="1"/>
  <c r="F55" i="19" s="1"/>
  <c r="AA56" i="25"/>
  <c r="AW56" i="20" s="1"/>
  <c r="Z56" i="25"/>
  <c r="AV56" i="20" s="1"/>
  <c r="AW56" i="25"/>
  <c r="U55" i="19"/>
  <c r="AH55" i="19" s="1"/>
  <c r="H55" i="19" s="1"/>
  <c r="R55" i="22" s="1"/>
  <c r="AE56" i="25"/>
  <c r="AY56" i="20" s="1"/>
  <c r="AD56" i="25"/>
  <c r="AX56" i="20" s="1"/>
  <c r="AV56" i="25"/>
  <c r="H56" i="25" s="1"/>
  <c r="BO56" i="19"/>
  <c r="AP57" i="25" s="1"/>
  <c r="B57" i="25" s="1"/>
  <c r="O57" i="19" s="1"/>
  <c r="AB57" i="19" s="1"/>
  <c r="B57" i="19" s="1"/>
  <c r="L57" i="22" s="1"/>
  <c r="C56" i="25"/>
  <c r="W57" i="25" s="1"/>
  <c r="AQ57" i="25" s="1"/>
  <c r="BH57" i="19"/>
  <c r="M58" i="19"/>
  <c r="X59" i="22"/>
  <c r="M70" i="22"/>
  <c r="BO57" i="19" l="1"/>
  <c r="C57" i="25"/>
  <c r="BT56" i="19"/>
  <c r="AX56" i="25"/>
  <c r="V58" i="25"/>
  <c r="AT56" i="25"/>
  <c r="F56" i="25" s="1"/>
  <c r="BQ56" i="19"/>
  <c r="AS56" i="25"/>
  <c r="E56" i="25" s="1"/>
  <c r="I56" i="25"/>
  <c r="BC56" i="19"/>
  <c r="P56" i="19"/>
  <c r="C56" i="19" s="1"/>
  <c r="M56" i="22" s="1"/>
  <c r="BU56" i="19"/>
  <c r="AY56" i="25"/>
  <c r="BS56" i="19"/>
  <c r="AU56" i="25"/>
  <c r="AR56" i="25"/>
  <c r="AJ58" i="19"/>
  <c r="J58" i="19" s="1"/>
  <c r="AL58" i="19"/>
  <c r="AI71" i="19"/>
  <c r="I71" i="19" s="1"/>
  <c r="S71" i="22" s="1"/>
  <c r="Z57" i="25" l="1"/>
  <c r="AV57" i="20" s="1"/>
  <c r="AP58" i="25"/>
  <c r="B58" i="25" s="1"/>
  <c r="O58" i="19" s="1"/>
  <c r="AB58" i="19" s="1"/>
  <c r="B58" i="19" s="1"/>
  <c r="L58" i="22" s="1"/>
  <c r="J56" i="25"/>
  <c r="BE56" i="19"/>
  <c r="R56" i="19"/>
  <c r="E56" i="19" s="1"/>
  <c r="O56" i="22" s="1"/>
  <c r="D56" i="25"/>
  <c r="Y57" i="25" s="1"/>
  <c r="AS57" i="25" s="1"/>
  <c r="BF56" i="19"/>
  <c r="S56" i="19"/>
  <c r="AF56" i="19" s="1"/>
  <c r="F56" i="19" s="1"/>
  <c r="P57" i="19"/>
  <c r="C57" i="19" s="1"/>
  <c r="BC57" i="19"/>
  <c r="G56" i="25"/>
  <c r="T56" i="19"/>
  <c r="AG56" i="19" s="1"/>
  <c r="G56" i="19" s="1"/>
  <c r="BG56" i="19"/>
  <c r="AC57" i="25"/>
  <c r="K56" i="25"/>
  <c r="W58" i="25"/>
  <c r="BH58" i="19"/>
  <c r="L58" i="19"/>
  <c r="T58" i="22" s="1"/>
  <c r="V59" i="22"/>
  <c r="AN59" i="19"/>
  <c r="AE57" i="25" l="1"/>
  <c r="AT57" i="25"/>
  <c r="F57" i="25" s="1"/>
  <c r="S57" i="19" s="1"/>
  <c r="AF57" i="19" s="1"/>
  <c r="F57" i="19" s="1"/>
  <c r="V59" i="25"/>
  <c r="BO58" i="19"/>
  <c r="AW57" i="25"/>
  <c r="BQ57" i="19"/>
  <c r="Q56" i="19"/>
  <c r="AD56" i="19" s="1"/>
  <c r="D56" i="19" s="1"/>
  <c r="N56" i="22" s="1"/>
  <c r="X57" i="25"/>
  <c r="U56" i="19"/>
  <c r="AH56" i="19" s="1"/>
  <c r="H56" i="19" s="1"/>
  <c r="R56" i="22" s="1"/>
  <c r="AD57" i="25"/>
  <c r="AX57" i="20" s="1"/>
  <c r="E57" i="25"/>
  <c r="AB57" i="25"/>
  <c r="AA57" i="25"/>
  <c r="AW57" i="20" s="1"/>
  <c r="AK59" i="19"/>
  <c r="K59" i="19" s="1"/>
  <c r="AJ59" i="19"/>
  <c r="J59" i="19" s="1"/>
  <c r="BH59" i="19"/>
  <c r="M59" i="19"/>
  <c r="N59" i="19"/>
  <c r="U59" i="22" s="1"/>
  <c r="X60" i="22"/>
  <c r="AI72" i="19"/>
  <c r="I72" i="19" s="1"/>
  <c r="S72" i="22" s="1"/>
  <c r="BU57" i="19" l="1"/>
  <c r="AY57" i="20"/>
  <c r="Z58" i="25"/>
  <c r="AV58" i="20" s="1"/>
  <c r="AY57" i="25"/>
  <c r="K57" i="25" s="1"/>
  <c r="AQ58" i="25"/>
  <c r="C58" i="25" s="1"/>
  <c r="AU57" i="20"/>
  <c r="AP59" i="25"/>
  <c r="B59" i="25" s="1"/>
  <c r="O59" i="19" s="1"/>
  <c r="AB59" i="19" s="1"/>
  <c r="B59" i="19" s="1"/>
  <c r="L59" i="22" s="1"/>
  <c r="BF57" i="19"/>
  <c r="AR57" i="25"/>
  <c r="BS57" i="19"/>
  <c r="AU57" i="25"/>
  <c r="BE57" i="19"/>
  <c r="R57" i="19"/>
  <c r="E57" i="19" s="1"/>
  <c r="O57" i="22" s="1"/>
  <c r="AV57" i="25"/>
  <c r="BT57" i="19"/>
  <c r="AX57" i="25"/>
  <c r="I57" i="25"/>
  <c r="AL59" i="19"/>
  <c r="AI73" i="19"/>
  <c r="I73" i="19" s="1"/>
  <c r="S73" i="22" s="1"/>
  <c r="V60" i="25" l="1"/>
  <c r="AT58" i="25"/>
  <c r="F58" i="25" s="1"/>
  <c r="T57" i="19"/>
  <c r="AG57" i="19" s="1"/>
  <c r="G57" i="19" s="1"/>
  <c r="BG57" i="19"/>
  <c r="BC58" i="19"/>
  <c r="P58" i="19"/>
  <c r="C58" i="19" s="1"/>
  <c r="M58" i="22" s="1"/>
  <c r="W59" i="25"/>
  <c r="G57" i="25"/>
  <c r="AA58" i="25" s="1"/>
  <c r="D57" i="25"/>
  <c r="J57" i="25"/>
  <c r="H57" i="25"/>
  <c r="AK60" i="19"/>
  <c r="K60" i="19" s="1"/>
  <c r="AJ60" i="19"/>
  <c r="J60" i="19" s="1"/>
  <c r="BH60" i="19"/>
  <c r="L59" i="19"/>
  <c r="T59" i="22" s="1"/>
  <c r="V60" i="22"/>
  <c r="BS58" i="19" l="1"/>
  <c r="AW58" i="20"/>
  <c r="AB58" i="25"/>
  <c r="AV58" i="25" s="1"/>
  <c r="H58" i="25" s="1"/>
  <c r="AU58" i="25"/>
  <c r="G58" i="25" s="1"/>
  <c r="AC58" i="25"/>
  <c r="U57" i="19"/>
  <c r="AH57" i="19" s="1"/>
  <c r="H57" i="19" s="1"/>
  <c r="R57" i="22" s="1"/>
  <c r="AE58" i="25"/>
  <c r="AY58" i="20" s="1"/>
  <c r="AD58" i="25"/>
  <c r="AX58" i="20" s="1"/>
  <c r="BO59" i="19"/>
  <c r="AP60" i="25" s="1"/>
  <c r="Q57" i="19"/>
  <c r="AD57" i="19" s="1"/>
  <c r="D57" i="19" s="1"/>
  <c r="N57" i="22" s="1"/>
  <c r="Y58" i="25"/>
  <c r="X58" i="25"/>
  <c r="BF58" i="19"/>
  <c r="S58" i="19"/>
  <c r="AF58" i="19" s="1"/>
  <c r="F58" i="19" s="1"/>
  <c r="AJ61" i="19"/>
  <c r="J61" i="19" s="1"/>
  <c r="AK61" i="19"/>
  <c r="K61" i="19" s="1"/>
  <c r="M60" i="19"/>
  <c r="AN60" i="19"/>
  <c r="M73" i="22"/>
  <c r="AQ59" i="25" l="1"/>
  <c r="C59" i="25" s="1"/>
  <c r="AU58" i="20"/>
  <c r="AA59" i="25"/>
  <c r="AB59" i="25"/>
  <c r="AV59" i="25" s="1"/>
  <c r="H59" i="25" s="1"/>
  <c r="BQ58" i="19"/>
  <c r="AS58" i="25"/>
  <c r="E58" i="25" s="1"/>
  <c r="BU58" i="19"/>
  <c r="AY58" i="25"/>
  <c r="BT58" i="19"/>
  <c r="AX58" i="25"/>
  <c r="AR58" i="25"/>
  <c r="D58" i="25" s="1"/>
  <c r="Q58" i="19" s="1"/>
  <c r="AD58" i="19" s="1"/>
  <c r="D58" i="19" s="1"/>
  <c r="N58" i="22" s="1"/>
  <c r="B60" i="25"/>
  <c r="AW58" i="25"/>
  <c r="BH61" i="19"/>
  <c r="N60" i="19"/>
  <c r="U60" i="22" s="1"/>
  <c r="X61" i="22"/>
  <c r="AL60" i="19"/>
  <c r="AI74" i="19"/>
  <c r="I74" i="19" s="1"/>
  <c r="S74" i="22" s="1"/>
  <c r="AU59" i="25" l="1"/>
  <c r="G59" i="25" s="1"/>
  <c r="AB60" i="25" s="1"/>
  <c r="AW59" i="20"/>
  <c r="BS59" i="19"/>
  <c r="J58" i="25"/>
  <c r="BE58" i="19"/>
  <c r="R58" i="19"/>
  <c r="E58" i="19" s="1"/>
  <c r="O58" i="22" s="1"/>
  <c r="Z59" i="25"/>
  <c r="AV59" i="20" s="1"/>
  <c r="I58" i="25"/>
  <c r="Y59" i="25"/>
  <c r="O60" i="19"/>
  <c r="AB60" i="19" s="1"/>
  <c r="B60" i="19" s="1"/>
  <c r="L60" i="22" s="1"/>
  <c r="V61" i="25"/>
  <c r="X59" i="25"/>
  <c r="AU59" i="20" s="1"/>
  <c r="K58" i="25"/>
  <c r="P59" i="19"/>
  <c r="C59" i="19" s="1"/>
  <c r="M59" i="22" s="1"/>
  <c r="BC59" i="19"/>
  <c r="W60" i="25"/>
  <c r="AK62" i="19"/>
  <c r="K62" i="19" s="1"/>
  <c r="L60" i="19"/>
  <c r="T60" i="22" s="1"/>
  <c r="V61" i="22"/>
  <c r="M74" i="22"/>
  <c r="AE59" i="25" l="1"/>
  <c r="BO60" i="19"/>
  <c r="AP61" i="25" s="1"/>
  <c r="AQ60" i="25"/>
  <c r="C60" i="25" s="1"/>
  <c r="W61" i="25" s="1"/>
  <c r="AS59" i="25"/>
  <c r="BQ59" i="19"/>
  <c r="AT59" i="25"/>
  <c r="F59" i="25" s="1"/>
  <c r="U58" i="19"/>
  <c r="AH58" i="19" s="1"/>
  <c r="H58" i="19" s="1"/>
  <c r="R58" i="22" s="1"/>
  <c r="AD59" i="25"/>
  <c r="AX59" i="20" s="1"/>
  <c r="BG58" i="19"/>
  <c r="T58" i="19"/>
  <c r="AG58" i="19" s="1"/>
  <c r="G58" i="19" s="1"/>
  <c r="AC59" i="25"/>
  <c r="AR59" i="25"/>
  <c r="D59" i="25" s="1"/>
  <c r="Q59" i="19" s="1"/>
  <c r="AD59" i="19" s="1"/>
  <c r="D59" i="19" s="1"/>
  <c r="N59" i="22" s="1"/>
  <c r="AJ62" i="19"/>
  <c r="J62" i="19" s="1"/>
  <c r="BH62" i="19"/>
  <c r="M61" i="19"/>
  <c r="AN61" i="19"/>
  <c r="AI75" i="19"/>
  <c r="I75" i="19" s="1"/>
  <c r="S75" i="22" s="1"/>
  <c r="AY59" i="25" l="1"/>
  <c r="K59" i="25" s="1"/>
  <c r="AY59" i="20"/>
  <c r="BU59" i="19"/>
  <c r="S59" i="19"/>
  <c r="AF59" i="19" s="1"/>
  <c r="F59" i="19" s="1"/>
  <c r="BF59" i="19"/>
  <c r="AA60" i="25"/>
  <c r="AW60" i="20" s="1"/>
  <c r="E59" i="25"/>
  <c r="Z60" i="25" s="1"/>
  <c r="AV60" i="20" s="1"/>
  <c r="BO61" i="19"/>
  <c r="AV60" i="25"/>
  <c r="AW59" i="25"/>
  <c r="I59" i="25" s="1"/>
  <c r="AC60" i="25" s="1"/>
  <c r="BT59" i="19"/>
  <c r="AX59" i="25"/>
  <c r="J59" i="25" s="1"/>
  <c r="P60" i="19"/>
  <c r="C60" i="19" s="1"/>
  <c r="BC60" i="19"/>
  <c r="X60" i="25"/>
  <c r="AQ61" i="25" s="1"/>
  <c r="B61" i="25"/>
  <c r="AL61" i="19"/>
  <c r="N61" i="19"/>
  <c r="U61" i="22" s="1"/>
  <c r="AN62" i="19" s="1"/>
  <c r="N62" i="19" s="1"/>
  <c r="U62" i="22" s="1"/>
  <c r="X62" i="22"/>
  <c r="AR60" i="25" l="1"/>
  <c r="D60" i="25" s="1"/>
  <c r="Q60" i="19" s="1"/>
  <c r="AD60" i="19" s="1"/>
  <c r="D60" i="19" s="1"/>
  <c r="N60" i="22" s="1"/>
  <c r="AU60" i="20"/>
  <c r="U59" i="19"/>
  <c r="AH59" i="19" s="1"/>
  <c r="H59" i="19" s="1"/>
  <c r="R59" i="22" s="1"/>
  <c r="AE60" i="25"/>
  <c r="AY60" i="20" s="1"/>
  <c r="AD60" i="25"/>
  <c r="AX60" i="20" s="1"/>
  <c r="H60" i="25"/>
  <c r="BS60" i="19"/>
  <c r="AU60" i="25"/>
  <c r="AW60" i="25"/>
  <c r="BE59" i="19"/>
  <c r="AT60" i="25" s="1"/>
  <c r="R59" i="19"/>
  <c r="E59" i="19" s="1"/>
  <c r="O59" i="22" s="1"/>
  <c r="Y60" i="25"/>
  <c r="O61" i="19"/>
  <c r="AB61" i="19" s="1"/>
  <c r="B61" i="19" s="1"/>
  <c r="L61" i="22" s="1"/>
  <c r="V62" i="25"/>
  <c r="BG59" i="19"/>
  <c r="T59" i="19"/>
  <c r="AG59" i="19" s="1"/>
  <c r="G59" i="19" s="1"/>
  <c r="C61" i="25"/>
  <c r="AK63" i="19"/>
  <c r="K63" i="19" s="1"/>
  <c r="AJ63" i="19"/>
  <c r="J63" i="19" s="1"/>
  <c r="L61" i="19"/>
  <c r="T61" i="22" s="1"/>
  <c r="V62" i="22"/>
  <c r="X63" i="22"/>
  <c r="AI76" i="19"/>
  <c r="I76" i="19" s="1"/>
  <c r="S76" i="22" s="1"/>
  <c r="X61" i="25" l="1"/>
  <c r="AU61" i="20" s="1"/>
  <c r="F60" i="25"/>
  <c r="I60" i="25"/>
  <c r="BU60" i="19"/>
  <c r="AY60" i="25"/>
  <c r="K60" i="25" s="1"/>
  <c r="BT60" i="19"/>
  <c r="AX60" i="25"/>
  <c r="J60" i="25" s="1"/>
  <c r="U60" i="19" s="1"/>
  <c r="AH60" i="19" s="1"/>
  <c r="H60" i="19" s="1"/>
  <c r="R60" i="22" s="1"/>
  <c r="BQ60" i="19"/>
  <c r="AS60" i="25"/>
  <c r="AP62" i="25"/>
  <c r="B62" i="25" s="1"/>
  <c r="O62" i="19" s="1"/>
  <c r="AB62" i="19" s="1"/>
  <c r="B62" i="19" s="1"/>
  <c r="L62" i="22" s="1"/>
  <c r="BC61" i="19"/>
  <c r="P61" i="19"/>
  <c r="C61" i="19" s="1"/>
  <c r="M61" i="22" s="1"/>
  <c r="W62" i="25"/>
  <c r="G60" i="25"/>
  <c r="AA61" i="25" s="1"/>
  <c r="AW61" i="20" s="1"/>
  <c r="AK64" i="19"/>
  <c r="K64" i="19" s="1"/>
  <c r="BH63" i="19"/>
  <c r="M62" i="19"/>
  <c r="AI77" i="19"/>
  <c r="I77" i="19" s="1"/>
  <c r="S77" i="22" s="1"/>
  <c r="AR61" i="25" l="1"/>
  <c r="D61" i="25" s="1"/>
  <c r="AE61" i="25"/>
  <c r="V63" i="25"/>
  <c r="AB61" i="25"/>
  <c r="BO62" i="19"/>
  <c r="AQ62" i="25"/>
  <c r="BS61" i="19"/>
  <c r="E60" i="25"/>
  <c r="Z61" i="25" s="1"/>
  <c r="AV61" i="20" s="1"/>
  <c r="AD61" i="25"/>
  <c r="BG60" i="19"/>
  <c r="T60" i="19"/>
  <c r="AG60" i="19" s="1"/>
  <c r="G60" i="19" s="1"/>
  <c r="AC61" i="25"/>
  <c r="BF60" i="19"/>
  <c r="S60" i="19"/>
  <c r="AF60" i="19" s="1"/>
  <c r="F60" i="19" s="1"/>
  <c r="AL62" i="19"/>
  <c r="AY61" i="25" l="1"/>
  <c r="K61" i="25" s="1"/>
  <c r="BU61" i="19"/>
  <c r="AY61" i="20"/>
  <c r="BT61" i="19"/>
  <c r="AX61" i="20"/>
  <c r="AX61" i="25"/>
  <c r="J61" i="25" s="1"/>
  <c r="BE60" i="19"/>
  <c r="AT61" i="25" s="1"/>
  <c r="R60" i="19"/>
  <c r="E60" i="19" s="1"/>
  <c r="O60" i="22" s="1"/>
  <c r="Y61" i="25"/>
  <c r="AV61" i="25"/>
  <c r="AU61" i="25"/>
  <c r="C62" i="25"/>
  <c r="Q61" i="19"/>
  <c r="AD61" i="19" s="1"/>
  <c r="D61" i="19" s="1"/>
  <c r="N61" i="22" s="1"/>
  <c r="X62" i="25"/>
  <c r="AU62" i="20" s="1"/>
  <c r="AW61" i="25"/>
  <c r="I61" i="25" s="1"/>
  <c r="AP63" i="25"/>
  <c r="AJ64" i="19"/>
  <c r="J64" i="19" s="1"/>
  <c r="BH64" i="19"/>
  <c r="AN63" i="19"/>
  <c r="L62" i="19"/>
  <c r="T62" i="22" s="1"/>
  <c r="V63" i="22"/>
  <c r="F61" i="25" l="1"/>
  <c r="BG61" i="19"/>
  <c r="T61" i="19"/>
  <c r="AG61" i="19" s="1"/>
  <c r="G61" i="19" s="1"/>
  <c r="B63" i="25"/>
  <c r="H61" i="25"/>
  <c r="AC62" i="25" s="1"/>
  <c r="AW62" i="25" s="1"/>
  <c r="I62" i="25" s="1"/>
  <c r="BQ61" i="19"/>
  <c r="AR62" i="25" s="1"/>
  <c r="AS61" i="25"/>
  <c r="E61" i="25" s="1"/>
  <c r="AD62" i="25"/>
  <c r="AX62" i="20" s="1"/>
  <c r="U61" i="19"/>
  <c r="AH61" i="19" s="1"/>
  <c r="H61" i="19" s="1"/>
  <c r="R61" i="22" s="1"/>
  <c r="BC62" i="19"/>
  <c r="P62" i="19"/>
  <c r="C62" i="19" s="1"/>
  <c r="M62" i="22" s="1"/>
  <c r="W63" i="25"/>
  <c r="G61" i="25"/>
  <c r="AE62" i="25"/>
  <c r="AY62" i="20" s="1"/>
  <c r="AK65" i="19"/>
  <c r="K65" i="19" s="1"/>
  <c r="M63" i="19"/>
  <c r="AL63" i="19"/>
  <c r="L63" i="19" s="1"/>
  <c r="T63" i="22" s="1"/>
  <c r="N63" i="19"/>
  <c r="U63" i="22" s="1"/>
  <c r="X64" i="22"/>
  <c r="AA62" i="25" l="1"/>
  <c r="BE61" i="19"/>
  <c r="R61" i="19"/>
  <c r="E61" i="19" s="1"/>
  <c r="O61" i="22" s="1"/>
  <c r="Y62" i="25"/>
  <c r="BG62" i="19"/>
  <c r="T62" i="19"/>
  <c r="AG62" i="19" s="1"/>
  <c r="G62" i="19" s="1"/>
  <c r="BO63" i="19"/>
  <c r="AQ63" i="25"/>
  <c r="C63" i="25" s="1"/>
  <c r="AB62" i="25"/>
  <c r="D62" i="25"/>
  <c r="BF61" i="19"/>
  <c r="AU62" i="25" s="1"/>
  <c r="S61" i="19"/>
  <c r="AF61" i="19" s="1"/>
  <c r="F61" i="19" s="1"/>
  <c r="Z62" i="25"/>
  <c r="AV62" i="20" s="1"/>
  <c r="BU62" i="19"/>
  <c r="BT62" i="19"/>
  <c r="AX62" i="25"/>
  <c r="O63" i="19"/>
  <c r="AB63" i="19" s="1"/>
  <c r="B63" i="19" s="1"/>
  <c r="L63" i="22" s="1"/>
  <c r="V64" i="25"/>
  <c r="AJ65" i="19"/>
  <c r="J65" i="19" s="1"/>
  <c r="BH65" i="19"/>
  <c r="V64" i="22"/>
  <c r="AI78" i="19"/>
  <c r="I78" i="19" s="1"/>
  <c r="S78" i="22" s="1"/>
  <c r="BS62" i="19" l="1"/>
  <c r="AW62" i="20"/>
  <c r="AY62" i="25"/>
  <c r="K62" i="25" s="1"/>
  <c r="G62" i="25"/>
  <c r="AS62" i="25"/>
  <c r="E62" i="25" s="1"/>
  <c r="BQ62" i="19"/>
  <c r="P63" i="19"/>
  <c r="C63" i="19" s="1"/>
  <c r="M63" i="22" s="1"/>
  <c r="BC63" i="19"/>
  <c r="J62" i="25"/>
  <c r="AV62" i="25"/>
  <c r="H62" i="25" s="1"/>
  <c r="AP64" i="25"/>
  <c r="B64" i="25" s="1"/>
  <c r="O64" i="19" s="1"/>
  <c r="AB64" i="19" s="1"/>
  <c r="B64" i="19" s="1"/>
  <c r="L64" i="22" s="1"/>
  <c r="W64" i="25"/>
  <c r="AT62" i="25"/>
  <c r="F62" i="25" s="1"/>
  <c r="Q62" i="19"/>
  <c r="AD62" i="19" s="1"/>
  <c r="D62" i="19" s="1"/>
  <c r="N62" i="22" s="1"/>
  <c r="X63" i="25"/>
  <c r="AU63" i="20" s="1"/>
  <c r="AJ66" i="19"/>
  <c r="J66" i="19" s="1"/>
  <c r="AK66" i="19"/>
  <c r="K66" i="19" s="1"/>
  <c r="AN64" i="19"/>
  <c r="AL64" i="19"/>
  <c r="M64" i="19"/>
  <c r="AE63" i="25" l="1"/>
  <c r="BE62" i="19"/>
  <c r="R62" i="19"/>
  <c r="E62" i="19" s="1"/>
  <c r="O62" i="22" s="1"/>
  <c r="Y63" i="25"/>
  <c r="AB63" i="25"/>
  <c r="AC63" i="25"/>
  <c r="AQ64" i="25"/>
  <c r="AR63" i="25"/>
  <c r="BO64" i="19"/>
  <c r="BF62" i="19"/>
  <c r="S62" i="19"/>
  <c r="AF62" i="19" s="1"/>
  <c r="F62" i="19" s="1"/>
  <c r="AA63" i="25"/>
  <c r="AW63" i="20" s="1"/>
  <c r="Z63" i="25"/>
  <c r="AV63" i="20" s="1"/>
  <c r="V65" i="25"/>
  <c r="U62" i="19"/>
  <c r="AH62" i="19" s="1"/>
  <c r="H62" i="19" s="1"/>
  <c r="R62" i="22" s="1"/>
  <c r="AD63" i="25"/>
  <c r="AX63" i="20" s="1"/>
  <c r="N64" i="19"/>
  <c r="U64" i="22" s="1"/>
  <c r="X65" i="22"/>
  <c r="L64" i="19"/>
  <c r="T64" i="22" s="1"/>
  <c r="V65" i="22"/>
  <c r="M65" i="19"/>
  <c r="AI79" i="19"/>
  <c r="I79" i="19" s="1"/>
  <c r="S79" i="22" s="1"/>
  <c r="BU63" i="19" l="1"/>
  <c r="AY63" i="20"/>
  <c r="AY63" i="25"/>
  <c r="K63" i="25" s="1"/>
  <c r="AP65" i="25"/>
  <c r="B65" i="25" s="1"/>
  <c r="AS63" i="25"/>
  <c r="E63" i="25" s="1"/>
  <c r="BQ63" i="19"/>
  <c r="BS63" i="19"/>
  <c r="AU63" i="25"/>
  <c r="AV63" i="25"/>
  <c r="H63" i="25" s="1"/>
  <c r="BT63" i="19"/>
  <c r="AX63" i="25"/>
  <c r="J63" i="25" s="1"/>
  <c r="U63" i="19" s="1"/>
  <c r="AH63" i="19" s="1"/>
  <c r="H63" i="19" s="1"/>
  <c r="R63" i="22" s="1"/>
  <c r="AT63" i="25"/>
  <c r="C64" i="25"/>
  <c r="D63" i="25"/>
  <c r="AW63" i="25"/>
  <c r="I63" i="25" s="1"/>
  <c r="AK67" i="19"/>
  <c r="K67" i="19" s="1"/>
  <c r="BH66" i="19"/>
  <c r="AN65" i="19"/>
  <c r="N65" i="19" s="1"/>
  <c r="U65" i="22" s="1"/>
  <c r="AI80" i="19"/>
  <c r="I80" i="19" s="1"/>
  <c r="S80" i="22" s="1"/>
  <c r="O65" i="19" l="1"/>
  <c r="AB65" i="19" s="1"/>
  <c r="B65" i="19" s="1"/>
  <c r="L65" i="22" s="1"/>
  <c r="V66" i="25"/>
  <c r="BE63" i="19"/>
  <c r="R63" i="19"/>
  <c r="E63" i="19" s="1"/>
  <c r="O63" i="22" s="1"/>
  <c r="Y64" i="25"/>
  <c r="AD64" i="25"/>
  <c r="AX64" i="20" s="1"/>
  <c r="Q63" i="19"/>
  <c r="AD63" i="19" s="1"/>
  <c r="D63" i="19" s="1"/>
  <c r="N63" i="22" s="1"/>
  <c r="X64" i="25"/>
  <c r="AU64" i="20" s="1"/>
  <c r="W65" i="25"/>
  <c r="P64" i="19"/>
  <c r="C64" i="19" s="1"/>
  <c r="M64" i="22" s="1"/>
  <c r="BC64" i="19"/>
  <c r="AE64" i="25"/>
  <c r="AY64" i="20" s="1"/>
  <c r="AC64" i="25"/>
  <c r="BG63" i="19"/>
  <c r="AX64" i="25" s="1"/>
  <c r="J64" i="25" s="1"/>
  <c r="U64" i="19" s="1"/>
  <c r="AH64" i="19" s="1"/>
  <c r="H64" i="19" s="1"/>
  <c r="R64" i="22" s="1"/>
  <c r="T63" i="19"/>
  <c r="AG63" i="19" s="1"/>
  <c r="G63" i="19" s="1"/>
  <c r="F63" i="25"/>
  <c r="G63" i="25"/>
  <c r="AL65" i="19"/>
  <c r="X66" i="22"/>
  <c r="AN66" i="19"/>
  <c r="N66" i="19" s="1"/>
  <c r="U66" i="22" s="1"/>
  <c r="AA64" i="25" l="1"/>
  <c r="BO65" i="19"/>
  <c r="AP66" i="25" s="1"/>
  <c r="B66" i="25" s="1"/>
  <c r="AQ65" i="25"/>
  <c r="C65" i="25" s="1"/>
  <c r="BQ64" i="19"/>
  <c r="BF63" i="19"/>
  <c r="AU64" i="25" s="1"/>
  <c r="S63" i="19"/>
  <c r="AF63" i="19" s="1"/>
  <c r="F63" i="19" s="1"/>
  <c r="Z64" i="25"/>
  <c r="AV64" i="20" s="1"/>
  <c r="BU64" i="19"/>
  <c r="BT64" i="19"/>
  <c r="AS64" i="25"/>
  <c r="E64" i="25" s="1"/>
  <c r="AR64" i="25"/>
  <c r="D64" i="25" s="1"/>
  <c r="Q64" i="19" s="1"/>
  <c r="AD64" i="19" s="1"/>
  <c r="D64" i="19" s="1"/>
  <c r="N64" i="22" s="1"/>
  <c r="AW64" i="25"/>
  <c r="I64" i="25" s="1"/>
  <c r="AB64" i="25"/>
  <c r="AJ67" i="19"/>
  <c r="J67" i="19" s="1"/>
  <c r="BH67" i="19"/>
  <c r="X67" i="22"/>
  <c r="L65" i="19"/>
  <c r="T65" i="22" s="1"/>
  <c r="V66" i="22"/>
  <c r="AI81" i="19"/>
  <c r="I81" i="19" s="1"/>
  <c r="S81" i="22" s="1"/>
  <c r="BS64" i="19" l="1"/>
  <c r="AW64" i="20"/>
  <c r="Y65" i="25"/>
  <c r="X65" i="25"/>
  <c r="AU65" i="20" s="1"/>
  <c r="P65" i="19"/>
  <c r="C65" i="19" s="1"/>
  <c r="M65" i="22" s="1"/>
  <c r="BC65" i="19"/>
  <c r="W66" i="25"/>
  <c r="AQ66" i="25" s="1"/>
  <c r="T64" i="19"/>
  <c r="AG64" i="19" s="1"/>
  <c r="G64" i="19" s="1"/>
  <c r="BG64" i="19"/>
  <c r="AD65" i="25"/>
  <c r="AX65" i="20" s="1"/>
  <c r="BQ65" i="19"/>
  <c r="AR65" i="25"/>
  <c r="AS65" i="25"/>
  <c r="AT64" i="25"/>
  <c r="F64" i="25" s="1"/>
  <c r="O66" i="19"/>
  <c r="AB66" i="19" s="1"/>
  <c r="B66" i="19" s="1"/>
  <c r="L66" i="22" s="1"/>
  <c r="V67" i="25"/>
  <c r="G64" i="25"/>
  <c r="BE64" i="19"/>
  <c r="R64" i="19"/>
  <c r="E64" i="19" s="1"/>
  <c r="O64" i="22" s="1"/>
  <c r="AV64" i="25"/>
  <c r="H64" i="25" s="1"/>
  <c r="AC65" i="25" s="1"/>
  <c r="AY64" i="25"/>
  <c r="M66" i="19"/>
  <c r="AX65" i="25" l="1"/>
  <c r="J65" i="25" s="1"/>
  <c r="U65" i="19" s="1"/>
  <c r="AH65" i="19" s="1"/>
  <c r="H65" i="19" s="1"/>
  <c r="R65" i="22" s="1"/>
  <c r="BF64" i="19"/>
  <c r="S64" i="19"/>
  <c r="AF64" i="19" s="1"/>
  <c r="F64" i="19" s="1"/>
  <c r="Z65" i="25"/>
  <c r="AV65" i="20" s="1"/>
  <c r="AW65" i="25"/>
  <c r="I65" i="25" s="1"/>
  <c r="AB65" i="25"/>
  <c r="AV65" i="25" s="1"/>
  <c r="AA65" i="25"/>
  <c r="AW65" i="20" s="1"/>
  <c r="D65" i="25"/>
  <c r="BT65" i="19"/>
  <c r="BO66" i="19"/>
  <c r="AP67" i="25" s="1"/>
  <c r="K64" i="25"/>
  <c r="AE65" i="25" s="1"/>
  <c r="AY65" i="20" s="1"/>
  <c r="AT65" i="25"/>
  <c r="C66" i="25"/>
  <c r="W67" i="25" s="1"/>
  <c r="E65" i="25"/>
  <c r="AJ68" i="19"/>
  <c r="J68" i="19" s="1"/>
  <c r="AK68" i="19"/>
  <c r="K68" i="19" s="1"/>
  <c r="BH68" i="19"/>
  <c r="AL66" i="19"/>
  <c r="AI82" i="19"/>
  <c r="I82" i="19" s="1"/>
  <c r="S82" i="22" s="1"/>
  <c r="BO67" i="19" l="1"/>
  <c r="BE65" i="19"/>
  <c r="R65" i="19"/>
  <c r="E65" i="19" s="1"/>
  <c r="O65" i="22" s="1"/>
  <c r="Y66" i="25"/>
  <c r="H65" i="25"/>
  <c r="BG65" i="19"/>
  <c r="T65" i="19"/>
  <c r="AG65" i="19" s="1"/>
  <c r="G65" i="19" s="1"/>
  <c r="Q65" i="19"/>
  <c r="AD65" i="19" s="1"/>
  <c r="D65" i="19" s="1"/>
  <c r="N65" i="22" s="1"/>
  <c r="X66" i="25"/>
  <c r="B67" i="25"/>
  <c r="BS65" i="19"/>
  <c r="AU65" i="25"/>
  <c r="G65" i="25" s="1"/>
  <c r="BU65" i="19"/>
  <c r="P66" i="19"/>
  <c r="C66" i="19" s="1"/>
  <c r="M66" i="22" s="1"/>
  <c r="BC66" i="19"/>
  <c r="F65" i="25"/>
  <c r="Z66" i="25" s="1"/>
  <c r="AV66" i="20" s="1"/>
  <c r="AY65" i="25"/>
  <c r="AD66" i="25"/>
  <c r="AX66" i="20" s="1"/>
  <c r="AK69" i="19"/>
  <c r="K69" i="19" s="1"/>
  <c r="AN67" i="19"/>
  <c r="L66" i="19"/>
  <c r="T66" i="22" s="1"/>
  <c r="V67" i="22"/>
  <c r="AQ67" i="25" l="1"/>
  <c r="C67" i="25" s="1"/>
  <c r="AU66" i="20"/>
  <c r="AB66" i="25"/>
  <c r="AV66" i="25" s="1"/>
  <c r="H66" i="25" s="1"/>
  <c r="AA66" i="25"/>
  <c r="AT66" i="25"/>
  <c r="F66" i="25" s="1"/>
  <c r="BT66" i="19"/>
  <c r="AX66" i="25"/>
  <c r="J66" i="25" s="1"/>
  <c r="U66" i="19" s="1"/>
  <c r="AH66" i="19" s="1"/>
  <c r="H66" i="19" s="1"/>
  <c r="R66" i="22" s="1"/>
  <c r="K65" i="25"/>
  <c r="AE66" i="25" s="1"/>
  <c r="AY66" i="20" s="1"/>
  <c r="O67" i="19"/>
  <c r="AB67" i="19" s="1"/>
  <c r="B67" i="19" s="1"/>
  <c r="L67" i="22" s="1"/>
  <c r="V68" i="25"/>
  <c r="BQ66" i="19"/>
  <c r="AS66" i="25"/>
  <c r="AC66" i="25"/>
  <c r="BF65" i="19"/>
  <c r="S65" i="19"/>
  <c r="AF65" i="19" s="1"/>
  <c r="F65" i="19" s="1"/>
  <c r="AR66" i="25"/>
  <c r="D66" i="25" s="1"/>
  <c r="AJ69" i="19"/>
  <c r="J69" i="19" s="1"/>
  <c r="M67" i="19"/>
  <c r="N67" i="19"/>
  <c r="U67" i="22" s="1"/>
  <c r="X68" i="22"/>
  <c r="AI83" i="19"/>
  <c r="I83" i="19" s="1"/>
  <c r="S83" i="22" s="1"/>
  <c r="BS66" i="19" l="1"/>
  <c r="AW66" i="20"/>
  <c r="AY66" i="25"/>
  <c r="K66" i="25" s="1"/>
  <c r="AE67" i="25" s="1"/>
  <c r="AY67" i="20" s="1"/>
  <c r="Q66" i="19"/>
  <c r="AD66" i="19" s="1"/>
  <c r="D66" i="19" s="1"/>
  <c r="N66" i="22" s="1"/>
  <c r="X67" i="25"/>
  <c r="AU67" i="20" s="1"/>
  <c r="BF66" i="19"/>
  <c r="S66" i="19"/>
  <c r="AF66" i="19" s="1"/>
  <c r="F66" i="19" s="1"/>
  <c r="AU66" i="25"/>
  <c r="BC67" i="19"/>
  <c r="P67" i="19"/>
  <c r="C67" i="19" s="1"/>
  <c r="M67" i="22" s="1"/>
  <c r="W68" i="25"/>
  <c r="E66" i="25"/>
  <c r="AR67" i="25"/>
  <c r="AP68" i="25"/>
  <c r="B68" i="25" s="1"/>
  <c r="O68" i="19" s="1"/>
  <c r="AB68" i="19" s="1"/>
  <c r="B68" i="19" s="1"/>
  <c r="L68" i="22" s="1"/>
  <c r="AW66" i="25"/>
  <c r="BU66" i="19"/>
  <c r="AK70" i="19"/>
  <c r="K70" i="19" s="1"/>
  <c r="BH69" i="19"/>
  <c r="AL67" i="19"/>
  <c r="M84" i="22"/>
  <c r="V69" i="25" l="1"/>
  <c r="BU67" i="19"/>
  <c r="G66" i="25"/>
  <c r="BO68" i="19"/>
  <c r="AQ68" i="25"/>
  <c r="C68" i="25" s="1"/>
  <c r="BE66" i="19"/>
  <c r="R66" i="19"/>
  <c r="E66" i="19" s="1"/>
  <c r="O66" i="22" s="1"/>
  <c r="Y67" i="25"/>
  <c r="AY67" i="25"/>
  <c r="I66" i="25"/>
  <c r="Z67" i="25"/>
  <c r="AV67" i="20" s="1"/>
  <c r="D67" i="25"/>
  <c r="Q67" i="19" s="1"/>
  <c r="AD67" i="19" s="1"/>
  <c r="D67" i="19" s="1"/>
  <c r="N67" i="22" s="1"/>
  <c r="AJ70" i="19"/>
  <c r="J70" i="19" s="1"/>
  <c r="AN68" i="19"/>
  <c r="N68" i="19" s="1"/>
  <c r="U68" i="22" s="1"/>
  <c r="L67" i="19"/>
  <c r="T67" i="22" s="1"/>
  <c r="V68" i="22"/>
  <c r="AI84" i="19"/>
  <c r="I84" i="19" s="1"/>
  <c r="S84" i="22" s="1"/>
  <c r="AP69" i="25" l="1"/>
  <c r="B69" i="25" s="1"/>
  <c r="O69" i="19" s="1"/>
  <c r="AB69" i="19" s="1"/>
  <c r="B69" i="19" s="1"/>
  <c r="L69" i="22" s="1"/>
  <c r="BC68" i="19"/>
  <c r="P68" i="19"/>
  <c r="C68" i="19" s="1"/>
  <c r="M68" i="22" s="1"/>
  <c r="W69" i="25"/>
  <c r="X68" i="25"/>
  <c r="AU68" i="20" s="1"/>
  <c r="T66" i="19"/>
  <c r="AG66" i="19" s="1"/>
  <c r="G66" i="19" s="1"/>
  <c r="BG66" i="19"/>
  <c r="AD67" i="25"/>
  <c r="AX67" i="20" s="1"/>
  <c r="AC67" i="25"/>
  <c r="AA67" i="25"/>
  <c r="AW67" i="20" s="1"/>
  <c r="AB67" i="25"/>
  <c r="K67" i="25"/>
  <c r="V70" i="25"/>
  <c r="AT67" i="25"/>
  <c r="BQ67" i="19"/>
  <c r="AS67" i="25"/>
  <c r="BH70" i="19"/>
  <c r="X69" i="22"/>
  <c r="M68" i="19"/>
  <c r="AN69" i="19"/>
  <c r="AQ69" i="25" l="1"/>
  <c r="C69" i="25" s="1"/>
  <c r="W70" i="25" s="1"/>
  <c r="E67" i="25"/>
  <c r="F67" i="25"/>
  <c r="BT67" i="19"/>
  <c r="AX67" i="25"/>
  <c r="BO69" i="19"/>
  <c r="AP70" i="25" s="1"/>
  <c r="B70" i="25" s="1"/>
  <c r="O70" i="19" s="1"/>
  <c r="AB70" i="19" s="1"/>
  <c r="B70" i="19" s="1"/>
  <c r="L70" i="22" s="1"/>
  <c r="AW67" i="25"/>
  <c r="AV67" i="25"/>
  <c r="H67" i="25" s="1"/>
  <c r="AR68" i="25"/>
  <c r="D68" i="25" s="1"/>
  <c r="BS67" i="19"/>
  <c r="AU67" i="25"/>
  <c r="AJ71" i="19"/>
  <c r="J71" i="19" s="1"/>
  <c r="AK71" i="19"/>
  <c r="K71" i="19" s="1"/>
  <c r="AL68" i="19"/>
  <c r="N69" i="19"/>
  <c r="U69" i="22" s="1"/>
  <c r="X70" i="22"/>
  <c r="AI85" i="19"/>
  <c r="I85" i="19" s="1"/>
  <c r="S85" i="22" s="1"/>
  <c r="BO70" i="19" l="1"/>
  <c r="Q68" i="19"/>
  <c r="AD68" i="19" s="1"/>
  <c r="D68" i="19" s="1"/>
  <c r="N68" i="22" s="1"/>
  <c r="X69" i="25"/>
  <c r="J67" i="25"/>
  <c r="BF67" i="19"/>
  <c r="S67" i="19"/>
  <c r="AF67" i="19" s="1"/>
  <c r="F67" i="19" s="1"/>
  <c r="Z68" i="25"/>
  <c r="AV68" i="20" s="1"/>
  <c r="G67" i="25"/>
  <c r="AA68" i="25" s="1"/>
  <c r="AW68" i="20" s="1"/>
  <c r="V71" i="25"/>
  <c r="I67" i="25"/>
  <c r="P69" i="19"/>
  <c r="C69" i="19" s="1"/>
  <c r="M69" i="22" s="1"/>
  <c r="BC69" i="19"/>
  <c r="R67" i="19"/>
  <c r="E67" i="19" s="1"/>
  <c r="O67" i="22" s="1"/>
  <c r="BE67" i="19"/>
  <c r="Y68" i="25"/>
  <c r="L68" i="19"/>
  <c r="T68" i="22" s="1"/>
  <c r="V69" i="22"/>
  <c r="AI86" i="19"/>
  <c r="I86" i="19" s="1"/>
  <c r="S86" i="22" s="1"/>
  <c r="AQ70" i="25" l="1"/>
  <c r="C70" i="25" s="1"/>
  <c r="W71" i="25" s="1"/>
  <c r="AU69" i="20"/>
  <c r="AU68" i="25"/>
  <c r="G68" i="25" s="1"/>
  <c r="BG67" i="19"/>
  <c r="T67" i="19"/>
  <c r="AG67" i="19" s="1"/>
  <c r="G67" i="19" s="1"/>
  <c r="AC68" i="25"/>
  <c r="BQ68" i="19"/>
  <c r="AR69" i="25" s="1"/>
  <c r="AS68" i="25"/>
  <c r="E68" i="25" s="1"/>
  <c r="BS68" i="19"/>
  <c r="AP71" i="25"/>
  <c r="B71" i="25" s="1"/>
  <c r="O71" i="19" s="1"/>
  <c r="AB71" i="19" s="1"/>
  <c r="B71" i="19" s="1"/>
  <c r="L71" i="22" s="1"/>
  <c r="AT68" i="25"/>
  <c r="U67" i="19"/>
  <c r="AH67" i="19" s="1"/>
  <c r="H67" i="19" s="1"/>
  <c r="R67" i="22" s="1"/>
  <c r="AE68" i="25"/>
  <c r="AY68" i="20" s="1"/>
  <c r="AD68" i="25"/>
  <c r="AX68" i="20" s="1"/>
  <c r="AB68" i="25"/>
  <c r="AK72" i="19"/>
  <c r="K72" i="19" s="1"/>
  <c r="BH71" i="19"/>
  <c r="M69" i="19"/>
  <c r="BC70" i="19" l="1"/>
  <c r="P70" i="19"/>
  <c r="C70" i="19" s="1"/>
  <c r="BE68" i="19"/>
  <c r="R68" i="19"/>
  <c r="E68" i="19" s="1"/>
  <c r="O68" i="22" s="1"/>
  <c r="Y69" i="25"/>
  <c r="V72" i="25"/>
  <c r="BO71" i="19"/>
  <c r="BT68" i="19"/>
  <c r="AX68" i="25"/>
  <c r="AY68" i="25"/>
  <c r="BU68" i="19"/>
  <c r="F68" i="25"/>
  <c r="AA69" i="25" s="1"/>
  <c r="AW69" i="20" s="1"/>
  <c r="AW68" i="25"/>
  <c r="AV68" i="25"/>
  <c r="H68" i="25" s="1"/>
  <c r="AB69" i="25" s="1"/>
  <c r="D69" i="25"/>
  <c r="AJ72" i="19"/>
  <c r="J72" i="19" s="1"/>
  <c r="AL69" i="19"/>
  <c r="AI87" i="19"/>
  <c r="I87" i="19" s="1"/>
  <c r="S87" i="22" s="1"/>
  <c r="AP72" i="25" l="1"/>
  <c r="B72" i="25" s="1"/>
  <c r="O72" i="19" s="1"/>
  <c r="AB72" i="19" s="1"/>
  <c r="B72" i="19" s="1"/>
  <c r="L72" i="22" s="1"/>
  <c r="BS69" i="19"/>
  <c r="J68" i="25"/>
  <c r="AS69" i="25"/>
  <c r="E69" i="25" s="1"/>
  <c r="Y70" i="25" s="1"/>
  <c r="BQ69" i="19"/>
  <c r="AV69" i="25"/>
  <c r="BF68" i="19"/>
  <c r="AU69" i="25" s="1"/>
  <c r="S68" i="19"/>
  <c r="AF68" i="19" s="1"/>
  <c r="F68" i="19" s="1"/>
  <c r="Z69" i="25"/>
  <c r="AV69" i="20" s="1"/>
  <c r="K68" i="25"/>
  <c r="I68" i="25"/>
  <c r="Q69" i="19"/>
  <c r="AD69" i="19" s="1"/>
  <c r="D69" i="19" s="1"/>
  <c r="N69" i="22" s="1"/>
  <c r="X70" i="25"/>
  <c r="AU70" i="20" s="1"/>
  <c r="AK73" i="19"/>
  <c r="K73" i="19" s="1"/>
  <c r="L69" i="19"/>
  <c r="T69" i="22" s="1"/>
  <c r="V70" i="22"/>
  <c r="M70" i="19"/>
  <c r="G69" i="25" l="1"/>
  <c r="U68" i="19"/>
  <c r="AH68" i="19" s="1"/>
  <c r="H68" i="19" s="1"/>
  <c r="R68" i="22" s="1"/>
  <c r="AD69" i="25"/>
  <c r="AX69" i="20" s="1"/>
  <c r="AQ71" i="25"/>
  <c r="AR70" i="25"/>
  <c r="D70" i="25" s="1"/>
  <c r="Q70" i="19" s="1"/>
  <c r="AD70" i="19" s="1"/>
  <c r="D70" i="19" s="1"/>
  <c r="N70" i="22" s="1"/>
  <c r="BQ70" i="19"/>
  <c r="AE69" i="25"/>
  <c r="AY69" i="20" s="1"/>
  <c r="BE69" i="19"/>
  <c r="R69" i="19"/>
  <c r="E69" i="19" s="1"/>
  <c r="O69" i="22" s="1"/>
  <c r="BG68" i="19"/>
  <c r="T68" i="19"/>
  <c r="AG68" i="19" s="1"/>
  <c r="G68" i="19" s="1"/>
  <c r="AC69" i="25"/>
  <c r="V73" i="25"/>
  <c r="AS70" i="25"/>
  <c r="E70" i="25" s="1"/>
  <c r="AT69" i="25"/>
  <c r="H69" i="25"/>
  <c r="AN70" i="19"/>
  <c r="X71" i="22" s="1"/>
  <c r="AI88" i="19"/>
  <c r="I88" i="19" s="1"/>
  <c r="S88" i="22" s="1"/>
  <c r="AB70" i="25" l="1"/>
  <c r="AV70" i="25" s="1"/>
  <c r="H70" i="25" s="1"/>
  <c r="BE70" i="19"/>
  <c r="R70" i="19"/>
  <c r="E70" i="19" s="1"/>
  <c r="O70" i="22" s="1"/>
  <c r="Y71" i="25"/>
  <c r="F69" i="25"/>
  <c r="AA70" i="25" s="1"/>
  <c r="AW70" i="20" s="1"/>
  <c r="BU69" i="19"/>
  <c r="AY69" i="25"/>
  <c r="K69" i="25" s="1"/>
  <c r="AW69" i="25"/>
  <c r="I69" i="25" s="1"/>
  <c r="BT69" i="19"/>
  <c r="AX69" i="25"/>
  <c r="J69" i="25" s="1"/>
  <c r="U69" i="19" s="1"/>
  <c r="AH69" i="19" s="1"/>
  <c r="H69" i="19" s="1"/>
  <c r="R69" i="22" s="1"/>
  <c r="C71" i="25"/>
  <c r="X71" i="25"/>
  <c r="AU71" i="20" s="1"/>
  <c r="BH72" i="19"/>
  <c r="N70" i="19"/>
  <c r="U70" i="22" s="1"/>
  <c r="AL70" i="19"/>
  <c r="AI89" i="19"/>
  <c r="I89" i="19" s="1"/>
  <c r="S89" i="22" s="1"/>
  <c r="AE70" i="25" l="1"/>
  <c r="BG69" i="19"/>
  <c r="T69" i="19"/>
  <c r="AG69" i="19" s="1"/>
  <c r="G69" i="19" s="1"/>
  <c r="AC70" i="25"/>
  <c r="BS70" i="19"/>
  <c r="BQ71" i="19"/>
  <c r="BF69" i="19"/>
  <c r="AU70" i="25" s="1"/>
  <c r="S69" i="19"/>
  <c r="AF69" i="19" s="1"/>
  <c r="F69" i="19" s="1"/>
  <c r="Z70" i="25"/>
  <c r="AV70" i="20" s="1"/>
  <c r="AR71" i="25"/>
  <c r="P71" i="19"/>
  <c r="C71" i="19" s="1"/>
  <c r="M71" i="22" s="1"/>
  <c r="BC71" i="19"/>
  <c r="W72" i="25"/>
  <c r="AD70" i="25"/>
  <c r="AX70" i="20" s="1"/>
  <c r="AY70" i="25"/>
  <c r="K70" i="25" s="1"/>
  <c r="AJ73" i="19"/>
  <c r="J73" i="19" s="1"/>
  <c r="L70" i="19"/>
  <c r="T70" i="22" s="1"/>
  <c r="V71" i="22"/>
  <c r="BU70" i="19" l="1"/>
  <c r="AY70" i="20"/>
  <c r="G70" i="25"/>
  <c r="AS71" i="25"/>
  <c r="AT70" i="25"/>
  <c r="AW70" i="25"/>
  <c r="I70" i="25" s="1"/>
  <c r="AC71" i="25" s="1"/>
  <c r="BT70" i="19"/>
  <c r="BO72" i="19"/>
  <c r="AP73" i="25" s="1"/>
  <c r="B73" i="25" s="1"/>
  <c r="AQ72" i="25"/>
  <c r="D71" i="25"/>
  <c r="AX70" i="25"/>
  <c r="M71" i="19"/>
  <c r="AL71" i="19"/>
  <c r="L71" i="19" s="1"/>
  <c r="T71" i="22" s="1"/>
  <c r="AN71" i="19"/>
  <c r="X72" i="22" s="1"/>
  <c r="M90" i="22"/>
  <c r="AI90" i="19"/>
  <c r="I90" i="19" s="1"/>
  <c r="S90" i="22" s="1"/>
  <c r="AW71" i="25" l="1"/>
  <c r="I71" i="25" s="1"/>
  <c r="E71" i="25"/>
  <c r="Q71" i="19"/>
  <c r="AD71" i="19" s="1"/>
  <c r="D71" i="19" s="1"/>
  <c r="N71" i="22" s="1"/>
  <c r="X72" i="25"/>
  <c r="AU72" i="20" s="1"/>
  <c r="T70" i="19"/>
  <c r="AG70" i="19" s="1"/>
  <c r="G70" i="19" s="1"/>
  <c r="BG70" i="19"/>
  <c r="O73" i="19"/>
  <c r="AB73" i="19" s="1"/>
  <c r="B73" i="19" s="1"/>
  <c r="L73" i="22" s="1"/>
  <c r="V74" i="25"/>
  <c r="J70" i="25"/>
  <c r="C72" i="25"/>
  <c r="F70" i="25"/>
  <c r="AB71" i="25"/>
  <c r="AK74" i="19"/>
  <c r="K74" i="19" s="1"/>
  <c r="BH73" i="19"/>
  <c r="V72" i="22"/>
  <c r="N71" i="19"/>
  <c r="U71" i="22" s="1"/>
  <c r="AI91" i="19"/>
  <c r="I91" i="19" s="1"/>
  <c r="S91" i="22" s="1"/>
  <c r="T71" i="19" l="1"/>
  <c r="AG71" i="19" s="1"/>
  <c r="G71" i="19" s="1"/>
  <c r="BG71" i="19"/>
  <c r="S70" i="19"/>
  <c r="AF70" i="19" s="1"/>
  <c r="F70" i="19" s="1"/>
  <c r="BF70" i="19"/>
  <c r="Z71" i="25"/>
  <c r="AV71" i="20" s="1"/>
  <c r="AR72" i="25"/>
  <c r="D72" i="25" s="1"/>
  <c r="AV71" i="25"/>
  <c r="BC72" i="19"/>
  <c r="P72" i="19"/>
  <c r="C72" i="19" s="1"/>
  <c r="M72" i="22" s="1"/>
  <c r="W73" i="25"/>
  <c r="AA71" i="25"/>
  <c r="AW71" i="20" s="1"/>
  <c r="BE71" i="19"/>
  <c r="R71" i="19"/>
  <c r="E71" i="19" s="1"/>
  <c r="O71" i="22" s="1"/>
  <c r="Y72" i="25"/>
  <c r="AE71" i="25"/>
  <c r="AY71" i="20" s="1"/>
  <c r="U70" i="19"/>
  <c r="AH70" i="19" s="1"/>
  <c r="H70" i="19" s="1"/>
  <c r="R70" i="22" s="1"/>
  <c r="AD71" i="25"/>
  <c r="AX71" i="20" s="1"/>
  <c r="AJ74" i="19"/>
  <c r="J74" i="19" s="1"/>
  <c r="M91" i="22"/>
  <c r="Q72" i="19" l="1"/>
  <c r="AD72" i="19" s="1"/>
  <c r="D72" i="19" s="1"/>
  <c r="N72" i="22" s="1"/>
  <c r="X73" i="25"/>
  <c r="AU73" i="20" s="1"/>
  <c r="BT71" i="19"/>
  <c r="AX71" i="25"/>
  <c r="J71" i="25" s="1"/>
  <c r="U71" i="19" s="1"/>
  <c r="AH71" i="19" s="1"/>
  <c r="H71" i="19" s="1"/>
  <c r="R71" i="22" s="1"/>
  <c r="BQ72" i="19"/>
  <c r="AS72" i="25"/>
  <c r="E72" i="25" s="1"/>
  <c r="BU71" i="19"/>
  <c r="BO73" i="19"/>
  <c r="AP74" i="25" s="1"/>
  <c r="B74" i="25" s="1"/>
  <c r="AQ73" i="25"/>
  <c r="C73" i="25" s="1"/>
  <c r="W74" i="25" s="1"/>
  <c r="H71" i="25"/>
  <c r="AT71" i="25"/>
  <c r="BS71" i="19"/>
  <c r="AU71" i="25"/>
  <c r="AY71" i="25"/>
  <c r="M72" i="19"/>
  <c r="BH74" i="19"/>
  <c r="AL72" i="19"/>
  <c r="V73" i="22" s="1"/>
  <c r="AN72" i="19"/>
  <c r="AI92" i="19"/>
  <c r="I92" i="19" s="1"/>
  <c r="S92" i="22" s="1"/>
  <c r="AR73" i="25" l="1"/>
  <c r="D73" i="25" s="1"/>
  <c r="Q73" i="19" s="1"/>
  <c r="AD73" i="19" s="1"/>
  <c r="D73" i="19" s="1"/>
  <c r="N73" i="22" s="1"/>
  <c r="AD72" i="25"/>
  <c r="BE72" i="19"/>
  <c r="R72" i="19"/>
  <c r="E72" i="19" s="1"/>
  <c r="O72" i="22" s="1"/>
  <c r="Y73" i="25"/>
  <c r="BO74" i="19"/>
  <c r="O74" i="19"/>
  <c r="AB74" i="19" s="1"/>
  <c r="B74" i="19" s="1"/>
  <c r="L74" i="22" s="1"/>
  <c r="V75" i="25"/>
  <c r="F71" i="25"/>
  <c r="AQ74" i="25"/>
  <c r="K71" i="25"/>
  <c r="AE72" i="25" s="1"/>
  <c r="AY72" i="20" s="1"/>
  <c r="G71" i="25"/>
  <c r="AC72" i="25"/>
  <c r="BC73" i="19"/>
  <c r="P73" i="19"/>
  <c r="C73" i="19" s="1"/>
  <c r="AK75" i="19"/>
  <c r="K75" i="19" s="1"/>
  <c r="AJ75" i="19"/>
  <c r="J75" i="19" s="1"/>
  <c r="L72" i="19"/>
  <c r="T72" i="22" s="1"/>
  <c r="M73" i="19"/>
  <c r="N72" i="19"/>
  <c r="U72" i="22" s="1"/>
  <c r="X73" i="22"/>
  <c r="M92" i="22"/>
  <c r="BT72" i="19" l="1"/>
  <c r="AX72" i="20"/>
  <c r="AA72" i="25"/>
  <c r="AW72" i="20" s="1"/>
  <c r="AX72" i="25"/>
  <c r="J72" i="25" s="1"/>
  <c r="U72" i="19" s="1"/>
  <c r="AH72" i="19" s="1"/>
  <c r="H72" i="19" s="1"/>
  <c r="R72" i="22" s="1"/>
  <c r="AP75" i="25"/>
  <c r="B75" i="25" s="1"/>
  <c r="AB72" i="25"/>
  <c r="BU72" i="19"/>
  <c r="BF71" i="19"/>
  <c r="AY72" i="25" s="1"/>
  <c r="K72" i="25" s="1"/>
  <c r="S71" i="19"/>
  <c r="AF71" i="19" s="1"/>
  <c r="F71" i="19" s="1"/>
  <c r="Z72" i="25"/>
  <c r="AV72" i="20" s="1"/>
  <c r="BQ73" i="19"/>
  <c r="BS72" i="19"/>
  <c r="AW72" i="25"/>
  <c r="I72" i="25" s="1"/>
  <c r="X74" i="25"/>
  <c r="AU74" i="20" s="1"/>
  <c r="C74" i="25"/>
  <c r="AI93" i="19"/>
  <c r="I93" i="19" s="1"/>
  <c r="S93" i="22" s="1"/>
  <c r="AE73" i="25" l="1"/>
  <c r="BU73" i="19" s="1"/>
  <c r="BG72" i="19"/>
  <c r="T72" i="19"/>
  <c r="AG72" i="19" s="1"/>
  <c r="G72" i="19" s="1"/>
  <c r="AD73" i="25"/>
  <c r="AX73" i="20" s="1"/>
  <c r="O75" i="19"/>
  <c r="AB75" i="19" s="1"/>
  <c r="B75" i="19" s="1"/>
  <c r="L75" i="22" s="1"/>
  <c r="V76" i="25"/>
  <c r="P74" i="19"/>
  <c r="C74" i="19" s="1"/>
  <c r="BC74" i="19"/>
  <c r="W75" i="25"/>
  <c r="AS73" i="25"/>
  <c r="AT72" i="25"/>
  <c r="F72" i="25" s="1"/>
  <c r="AV72" i="25"/>
  <c r="AR74" i="25"/>
  <c r="D74" i="25" s="1"/>
  <c r="Q74" i="19" s="1"/>
  <c r="AD74" i="19" s="1"/>
  <c r="D74" i="19" s="1"/>
  <c r="N74" i="22" s="1"/>
  <c r="AU72" i="25"/>
  <c r="AK76" i="19"/>
  <c r="K76" i="19" s="1"/>
  <c r="AN73" i="19"/>
  <c r="AY73" i="20" l="1"/>
  <c r="AX73" i="25"/>
  <c r="J73" i="25" s="1"/>
  <c r="U73" i="19" s="1"/>
  <c r="AH73" i="19" s="1"/>
  <c r="H73" i="19" s="1"/>
  <c r="R73" i="22" s="1"/>
  <c r="S72" i="19"/>
  <c r="AF72" i="19" s="1"/>
  <c r="F72" i="19" s="1"/>
  <c r="BF72" i="19"/>
  <c r="AY73" i="25" s="1"/>
  <c r="K73" i="25" s="1"/>
  <c r="BO75" i="19"/>
  <c r="AP76" i="25" s="1"/>
  <c r="AQ75" i="25"/>
  <c r="BT73" i="19"/>
  <c r="G72" i="25"/>
  <c r="AA73" i="25" s="1"/>
  <c r="E73" i="25"/>
  <c r="X75" i="25"/>
  <c r="AU75" i="20" s="1"/>
  <c r="H72" i="25"/>
  <c r="Z73" i="25"/>
  <c r="AL73" i="19"/>
  <c r="V74" i="22" s="1"/>
  <c r="N73" i="19"/>
  <c r="U73" i="22" s="1"/>
  <c r="X74" i="22"/>
  <c r="AI94" i="19"/>
  <c r="I94" i="19" s="1"/>
  <c r="S94" i="22" s="1"/>
  <c r="AU73" i="25" l="1"/>
  <c r="G73" i="25" s="1"/>
  <c r="AW73" i="20"/>
  <c r="AT73" i="25"/>
  <c r="F73" i="25" s="1"/>
  <c r="Z74" i="25" s="1"/>
  <c r="AV74" i="20" s="1"/>
  <c r="AV73" i="20"/>
  <c r="AE74" i="25"/>
  <c r="AY74" i="20" s="1"/>
  <c r="BS73" i="19"/>
  <c r="BE73" i="19"/>
  <c r="R73" i="19"/>
  <c r="E73" i="19" s="1"/>
  <c r="O73" i="22" s="1"/>
  <c r="Y74" i="25"/>
  <c r="B76" i="25"/>
  <c r="AC73" i="25"/>
  <c r="AB73" i="25"/>
  <c r="C75" i="25"/>
  <c r="BH75" i="19"/>
  <c r="L73" i="19"/>
  <c r="T73" i="22" s="1"/>
  <c r="M74" i="19"/>
  <c r="BU74" i="19" l="1"/>
  <c r="AA74" i="25"/>
  <c r="AV73" i="25"/>
  <c r="BQ74" i="19"/>
  <c r="AR75" i="25" s="1"/>
  <c r="AS74" i="25"/>
  <c r="E74" i="25" s="1"/>
  <c r="AT74" i="25"/>
  <c r="BC75" i="19"/>
  <c r="P75" i="19"/>
  <c r="C75" i="19" s="1"/>
  <c r="M75" i="22" s="1"/>
  <c r="W76" i="25"/>
  <c r="O76" i="19"/>
  <c r="AB76" i="19" s="1"/>
  <c r="B76" i="19" s="1"/>
  <c r="L76" i="22" s="1"/>
  <c r="V77" i="25"/>
  <c r="AW73" i="25"/>
  <c r="I73" i="25" s="1"/>
  <c r="BF73" i="19"/>
  <c r="AY74" i="25" s="1"/>
  <c r="S73" i="19"/>
  <c r="AF73" i="19" s="1"/>
  <c r="F73" i="19" s="1"/>
  <c r="AN74" i="19"/>
  <c r="AI95" i="19"/>
  <c r="I95" i="19" s="1"/>
  <c r="S95" i="22" s="1"/>
  <c r="BS74" i="19" l="1"/>
  <c r="AW74" i="20"/>
  <c r="BE74" i="19"/>
  <c r="R74" i="19"/>
  <c r="E74" i="19" s="1"/>
  <c r="O74" i="22" s="1"/>
  <c r="Y75" i="25"/>
  <c r="BG73" i="19"/>
  <c r="T73" i="19"/>
  <c r="AG73" i="19" s="1"/>
  <c r="G73" i="19" s="1"/>
  <c r="AD74" i="25"/>
  <c r="AX74" i="20" s="1"/>
  <c r="BO76" i="19"/>
  <c r="AP77" i="25" s="1"/>
  <c r="B77" i="25" s="1"/>
  <c r="AQ76" i="25"/>
  <c r="C76" i="25" s="1"/>
  <c r="H73" i="25"/>
  <c r="AB74" i="25" s="1"/>
  <c r="AV74" i="25" s="1"/>
  <c r="K74" i="25"/>
  <c r="D75" i="25"/>
  <c r="AU74" i="25"/>
  <c r="F74" i="25"/>
  <c r="AJ76" i="19"/>
  <c r="J76" i="19" s="1"/>
  <c r="BH76" i="19"/>
  <c r="N74" i="19"/>
  <c r="U74" i="22" s="1"/>
  <c r="X75" i="22"/>
  <c r="O77" i="19" l="1"/>
  <c r="AB77" i="19" s="1"/>
  <c r="B77" i="19" s="1"/>
  <c r="L77" i="22" s="1"/>
  <c r="V78" i="25"/>
  <c r="W77" i="25"/>
  <c r="P76" i="19"/>
  <c r="C76" i="19" s="1"/>
  <c r="M76" i="22" s="1"/>
  <c r="BC76" i="19"/>
  <c r="H74" i="25"/>
  <c r="AC74" i="25"/>
  <c r="AS75" i="25"/>
  <c r="BQ75" i="19"/>
  <c r="Q75" i="19"/>
  <c r="AD75" i="19" s="1"/>
  <c r="D75" i="19" s="1"/>
  <c r="N75" i="22" s="1"/>
  <c r="X76" i="25"/>
  <c r="AU76" i="20" s="1"/>
  <c r="BF74" i="19"/>
  <c r="S74" i="19"/>
  <c r="AF74" i="19" s="1"/>
  <c r="F74" i="19" s="1"/>
  <c r="Z75" i="25"/>
  <c r="AV75" i="20" s="1"/>
  <c r="BT74" i="19"/>
  <c r="AX74" i="25"/>
  <c r="G74" i="25"/>
  <c r="AA75" i="25" s="1"/>
  <c r="AW75" i="20" s="1"/>
  <c r="AK77" i="19"/>
  <c r="K77" i="19" s="1"/>
  <c r="AL74" i="19"/>
  <c r="V75" i="22" s="1"/>
  <c r="AI96" i="19"/>
  <c r="I96" i="19" s="1"/>
  <c r="S96" i="22" s="1"/>
  <c r="AB75" i="25" l="1"/>
  <c r="AV75" i="25" s="1"/>
  <c r="AU75" i="25"/>
  <c r="G75" i="25" s="1"/>
  <c r="BO77" i="19"/>
  <c r="AP78" i="25" s="1"/>
  <c r="AQ77" i="25"/>
  <c r="BS75" i="19"/>
  <c r="AR76" i="25"/>
  <c r="D76" i="25" s="1"/>
  <c r="E75" i="25"/>
  <c r="J74" i="25"/>
  <c r="AT75" i="25"/>
  <c r="F75" i="25" s="1"/>
  <c r="AA76" i="25" s="1"/>
  <c r="AW76" i="20" s="1"/>
  <c r="AW74" i="25"/>
  <c r="I74" i="25" s="1"/>
  <c r="AJ77" i="19"/>
  <c r="J77" i="19" s="1"/>
  <c r="L74" i="19"/>
  <c r="T74" i="22" s="1"/>
  <c r="M75" i="19"/>
  <c r="Q76" i="19" l="1"/>
  <c r="AD76" i="19" s="1"/>
  <c r="D76" i="19" s="1"/>
  <c r="N76" i="22" s="1"/>
  <c r="X77" i="25"/>
  <c r="AU77" i="20" s="1"/>
  <c r="BS76" i="19"/>
  <c r="H75" i="25"/>
  <c r="AB76" i="25" s="1"/>
  <c r="Z76" i="25"/>
  <c r="AV76" i="20" s="1"/>
  <c r="AD75" i="25"/>
  <c r="AX75" i="20" s="1"/>
  <c r="U74" i="19"/>
  <c r="AH74" i="19" s="1"/>
  <c r="H74" i="19" s="1"/>
  <c r="R74" i="22" s="1"/>
  <c r="AE75" i="25"/>
  <c r="AY75" i="20" s="1"/>
  <c r="BE75" i="19"/>
  <c r="R75" i="19"/>
  <c r="E75" i="19" s="1"/>
  <c r="O75" i="22" s="1"/>
  <c r="Y76" i="25"/>
  <c r="T74" i="19"/>
  <c r="AG74" i="19" s="1"/>
  <c r="G74" i="19" s="1"/>
  <c r="BG74" i="19"/>
  <c r="BF75" i="19"/>
  <c r="AU76" i="25" s="1"/>
  <c r="G76" i="25" s="1"/>
  <c r="S75" i="19"/>
  <c r="AF75" i="19" s="1"/>
  <c r="F75" i="19" s="1"/>
  <c r="B78" i="25"/>
  <c r="AC75" i="25"/>
  <c r="C77" i="25"/>
  <c r="AK78" i="19"/>
  <c r="K78" i="19" s="1"/>
  <c r="AN75" i="19"/>
  <c r="X76" i="22" s="1"/>
  <c r="AI97" i="19"/>
  <c r="I97" i="19" s="1"/>
  <c r="S97" i="22" s="1"/>
  <c r="AT76" i="25" l="1"/>
  <c r="F76" i="25" s="1"/>
  <c r="AA77" i="25" s="1"/>
  <c r="AW77" i="20" s="1"/>
  <c r="BT75" i="19"/>
  <c r="AX75" i="25"/>
  <c r="J75" i="25" s="1"/>
  <c r="U75" i="19" s="1"/>
  <c r="AH75" i="19" s="1"/>
  <c r="H75" i="19" s="1"/>
  <c r="R75" i="22" s="1"/>
  <c r="BQ76" i="19"/>
  <c r="AR77" i="25" s="1"/>
  <c r="AS76" i="25"/>
  <c r="BC77" i="19"/>
  <c r="P77" i="19"/>
  <c r="C77" i="19" s="1"/>
  <c r="M77" i="22" s="1"/>
  <c r="W78" i="25"/>
  <c r="AW75" i="25"/>
  <c r="O78" i="19"/>
  <c r="AB78" i="19" s="1"/>
  <c r="B78" i="19" s="1"/>
  <c r="L78" i="22" s="1"/>
  <c r="V79" i="25"/>
  <c r="AY75" i="25"/>
  <c r="K75" i="25" s="1"/>
  <c r="BU75" i="19"/>
  <c r="AV76" i="25"/>
  <c r="H76" i="25" s="1"/>
  <c r="AB77" i="25" s="1"/>
  <c r="BH77" i="19"/>
  <c r="N75" i="19"/>
  <c r="U75" i="22" s="1"/>
  <c r="AE76" i="25" l="1"/>
  <c r="AY76" i="20" s="1"/>
  <c r="BS77" i="19"/>
  <c r="S76" i="19"/>
  <c r="AF76" i="19" s="1"/>
  <c r="F76" i="19" s="1"/>
  <c r="BF76" i="19"/>
  <c r="AU77" i="25" s="1"/>
  <c r="G77" i="25" s="1"/>
  <c r="BO78" i="19"/>
  <c r="AP79" i="25" s="1"/>
  <c r="AQ78" i="25"/>
  <c r="C78" i="25" s="1"/>
  <c r="W79" i="25" s="1"/>
  <c r="D77" i="25"/>
  <c r="E76" i="25"/>
  <c r="I75" i="25"/>
  <c r="AJ78" i="19"/>
  <c r="J78" i="19" s="1"/>
  <c r="AL75" i="19"/>
  <c r="V76" i="22" s="1"/>
  <c r="AI98" i="19"/>
  <c r="I98" i="19" s="1"/>
  <c r="S98" i="22" s="1"/>
  <c r="AY76" i="25" l="1"/>
  <c r="K76" i="25" s="1"/>
  <c r="BO79" i="19"/>
  <c r="BG75" i="19"/>
  <c r="T75" i="19"/>
  <c r="AG75" i="19" s="1"/>
  <c r="G75" i="19" s="1"/>
  <c r="AC76" i="25"/>
  <c r="Q77" i="19"/>
  <c r="AD77" i="19" s="1"/>
  <c r="D77" i="19" s="1"/>
  <c r="N77" i="22" s="1"/>
  <c r="X78" i="25"/>
  <c r="AU78" i="20" s="1"/>
  <c r="B79" i="25"/>
  <c r="BE76" i="19"/>
  <c r="R76" i="19"/>
  <c r="E76" i="19" s="1"/>
  <c r="O76" i="22" s="1"/>
  <c r="Z77" i="25"/>
  <c r="AV77" i="20" s="1"/>
  <c r="Y77" i="25"/>
  <c r="BC78" i="19"/>
  <c r="P78" i="19"/>
  <c r="C78" i="19" s="1"/>
  <c r="M78" i="22" s="1"/>
  <c r="AD76" i="25"/>
  <c r="AX76" i="20" s="1"/>
  <c r="BU76" i="19"/>
  <c r="L75" i="19"/>
  <c r="T75" i="22" s="1"/>
  <c r="M76" i="19"/>
  <c r="AT77" i="25" l="1"/>
  <c r="F77" i="25" s="1"/>
  <c r="AA78" i="25" s="1"/>
  <c r="BQ77" i="19"/>
  <c r="AR78" i="25" s="1"/>
  <c r="D78" i="25" s="1"/>
  <c r="AS77" i="25"/>
  <c r="O79" i="19"/>
  <c r="AB79" i="19" s="1"/>
  <c r="B79" i="19" s="1"/>
  <c r="L79" i="22" s="1"/>
  <c r="V80" i="25"/>
  <c r="BT76" i="19"/>
  <c r="AX76" i="25"/>
  <c r="J76" i="25" s="1"/>
  <c r="AQ79" i="25"/>
  <c r="C79" i="25" s="1"/>
  <c r="AV77" i="25"/>
  <c r="H77" i="25" s="1"/>
  <c r="AB78" i="25" s="1"/>
  <c r="AW76" i="25"/>
  <c r="I76" i="25" s="1"/>
  <c r="AK79" i="19"/>
  <c r="K79" i="19" s="1"/>
  <c r="AJ79" i="19"/>
  <c r="J79" i="19" s="1"/>
  <c r="AN76" i="19"/>
  <c r="X77" i="22" s="1"/>
  <c r="AI99" i="19"/>
  <c r="I99" i="19" s="1"/>
  <c r="S99" i="22" s="1"/>
  <c r="BS78" i="19" l="1"/>
  <c r="AW78" i="20"/>
  <c r="BF77" i="19"/>
  <c r="AU78" i="25" s="1"/>
  <c r="S77" i="19"/>
  <c r="AF77" i="19" s="1"/>
  <c r="F77" i="19" s="1"/>
  <c r="BH78" i="19" s="1"/>
  <c r="BG76" i="19"/>
  <c r="T76" i="19"/>
  <c r="AG76" i="19" s="1"/>
  <c r="G76" i="19" s="1"/>
  <c r="AD77" i="25"/>
  <c r="AX77" i="20" s="1"/>
  <c r="AC77" i="25"/>
  <c r="AV78" i="25" s="1"/>
  <c r="H78" i="25" s="1"/>
  <c r="Q78" i="19"/>
  <c r="AD78" i="19" s="1"/>
  <c r="D78" i="19" s="1"/>
  <c r="N78" i="22" s="1"/>
  <c r="X79" i="25"/>
  <c r="AU79" i="20" s="1"/>
  <c r="BC79" i="19"/>
  <c r="P79" i="19"/>
  <c r="C79" i="19" s="1"/>
  <c r="M79" i="22" s="1"/>
  <c r="W80" i="25"/>
  <c r="AP80" i="25"/>
  <c r="B80" i="25" s="1"/>
  <c r="O80" i="19" s="1"/>
  <c r="AB80" i="19" s="1"/>
  <c r="B80" i="19" s="1"/>
  <c r="L80" i="22" s="1"/>
  <c r="E77" i="25"/>
  <c r="U76" i="19"/>
  <c r="AH76" i="19" s="1"/>
  <c r="H76" i="19" s="1"/>
  <c r="R76" i="22" s="1"/>
  <c r="AE77" i="25"/>
  <c r="AY77" i="20" s="1"/>
  <c r="AL76" i="19"/>
  <c r="N76" i="19"/>
  <c r="U76" i="22" s="1"/>
  <c r="AX77" i="25" l="1"/>
  <c r="J77" i="25" s="1"/>
  <c r="U77" i="19" s="1"/>
  <c r="AH77" i="19" s="1"/>
  <c r="H77" i="19" s="1"/>
  <c r="R77" i="22" s="1"/>
  <c r="BE77" i="19"/>
  <c r="R77" i="19"/>
  <c r="E77" i="19" s="1"/>
  <c r="O77" i="22" s="1"/>
  <c r="Y78" i="25"/>
  <c r="Z78" i="25"/>
  <c r="AV78" i="20" s="1"/>
  <c r="BO80" i="19"/>
  <c r="AW77" i="25"/>
  <c r="AY77" i="25"/>
  <c r="BT77" i="19"/>
  <c r="V81" i="25"/>
  <c r="AP81" i="25" s="1"/>
  <c r="AQ80" i="25"/>
  <c r="C80" i="25" s="1"/>
  <c r="G78" i="25"/>
  <c r="AK80" i="19"/>
  <c r="K80" i="19" s="1"/>
  <c r="L76" i="19"/>
  <c r="T76" i="22" s="1"/>
  <c r="V77" i="22"/>
  <c r="BU77" i="19" s="1"/>
  <c r="M77" i="19"/>
  <c r="AI100" i="19"/>
  <c r="I100" i="19" s="1"/>
  <c r="S100" i="22" s="1"/>
  <c r="BC80" i="19" l="1"/>
  <c r="P80" i="19"/>
  <c r="C80" i="19" s="1"/>
  <c r="M80" i="22" s="1"/>
  <c r="W81" i="25"/>
  <c r="B81" i="25"/>
  <c r="O81" i="19" s="1"/>
  <c r="AB81" i="19" s="1"/>
  <c r="B81" i="19" s="1"/>
  <c r="L81" i="22" s="1"/>
  <c r="BQ78" i="19"/>
  <c r="AR79" i="25" s="1"/>
  <c r="AS78" i="25"/>
  <c r="I77" i="25"/>
  <c r="K77" i="25"/>
  <c r="AE78" i="25" s="1"/>
  <c r="AB79" i="25"/>
  <c r="AT78" i="25"/>
  <c r="AY78" i="25" l="1"/>
  <c r="K78" i="25" s="1"/>
  <c r="AY78" i="20"/>
  <c r="D79" i="25"/>
  <c r="BG77" i="19"/>
  <c r="T77" i="19"/>
  <c r="AG77" i="19" s="1"/>
  <c r="G77" i="19" s="1"/>
  <c r="AC78" i="25"/>
  <c r="AV79" i="25" s="1"/>
  <c r="AD78" i="25"/>
  <c r="AX78" i="20" s="1"/>
  <c r="V82" i="25"/>
  <c r="BO81" i="19"/>
  <c r="E78" i="25"/>
  <c r="F78" i="25"/>
  <c r="BH79" i="19"/>
  <c r="AL77" i="19"/>
  <c r="AN77" i="19"/>
  <c r="X78" i="22" s="1"/>
  <c r="AI101" i="19"/>
  <c r="I101" i="19" s="1"/>
  <c r="S101" i="22" s="1"/>
  <c r="BE78" i="19" l="1"/>
  <c r="R78" i="19"/>
  <c r="E78" i="19" s="1"/>
  <c r="O78" i="22" s="1"/>
  <c r="Y79" i="25"/>
  <c r="BT78" i="19"/>
  <c r="AX78" i="25"/>
  <c r="J78" i="25" s="1"/>
  <c r="Q79" i="19"/>
  <c r="AD79" i="19" s="1"/>
  <c r="D79" i="19" s="1"/>
  <c r="N79" i="22" s="1"/>
  <c r="X80" i="25"/>
  <c r="AU80" i="20" s="1"/>
  <c r="AP82" i="25"/>
  <c r="AW78" i="25"/>
  <c r="I78" i="25" s="1"/>
  <c r="S78" i="19"/>
  <c r="AF78" i="19" s="1"/>
  <c r="F78" i="19" s="1"/>
  <c r="BF78" i="19"/>
  <c r="H79" i="25"/>
  <c r="Z79" i="25"/>
  <c r="AV79" i="20" s="1"/>
  <c r="AA79" i="25"/>
  <c r="L77" i="19"/>
  <c r="T77" i="22" s="1"/>
  <c r="V78" i="22"/>
  <c r="BU78" i="19" s="1"/>
  <c r="N77" i="19"/>
  <c r="U77" i="22" s="1"/>
  <c r="BS79" i="19" l="1"/>
  <c r="AW79" i="20"/>
  <c r="AD79" i="25"/>
  <c r="BG78" i="19"/>
  <c r="T78" i="19"/>
  <c r="AG78" i="19" s="1"/>
  <c r="G78" i="19" s="1"/>
  <c r="BQ79" i="19"/>
  <c r="AR80" i="25" s="1"/>
  <c r="AS79" i="25"/>
  <c r="E79" i="25" s="1"/>
  <c r="AQ81" i="25"/>
  <c r="AC79" i="25"/>
  <c r="B82" i="25"/>
  <c r="U78" i="19"/>
  <c r="AH78" i="19" s="1"/>
  <c r="H78" i="19" s="1"/>
  <c r="R78" i="22" s="1"/>
  <c r="AE79" i="25"/>
  <c r="AU79" i="25"/>
  <c r="AT79" i="25"/>
  <c r="AJ80" i="19"/>
  <c r="J80" i="19" s="1"/>
  <c r="M78" i="19"/>
  <c r="BT79" i="19" l="1"/>
  <c r="AX79" i="20"/>
  <c r="AY79" i="25"/>
  <c r="K79" i="25" s="1"/>
  <c r="AY79" i="20"/>
  <c r="AX79" i="25"/>
  <c r="J79" i="25" s="1"/>
  <c r="U79" i="19" s="1"/>
  <c r="AH79" i="19" s="1"/>
  <c r="H79" i="19" s="1"/>
  <c r="R79" i="22" s="1"/>
  <c r="BE79" i="19"/>
  <c r="R79" i="19"/>
  <c r="E79" i="19" s="1"/>
  <c r="O79" i="22" s="1"/>
  <c r="Y80" i="25"/>
  <c r="C81" i="25"/>
  <c r="O82" i="19"/>
  <c r="AB82" i="19" s="1"/>
  <c r="B82" i="19" s="1"/>
  <c r="L82" i="22" s="1"/>
  <c r="V83" i="25"/>
  <c r="D80" i="25"/>
  <c r="AW79" i="25"/>
  <c r="I79" i="25" s="1"/>
  <c r="F79" i="25"/>
  <c r="BF79" i="19" s="1"/>
  <c r="G79" i="25"/>
  <c r="AL78" i="19"/>
  <c r="AN78" i="19"/>
  <c r="AI102" i="19"/>
  <c r="I102" i="19" s="1"/>
  <c r="S102" i="22" s="1"/>
  <c r="AE80" i="25" l="1"/>
  <c r="T79" i="19"/>
  <c r="AG79" i="19" s="1"/>
  <c r="G79" i="19" s="1"/>
  <c r="BG79" i="19"/>
  <c r="AC80" i="25"/>
  <c r="AW80" i="25" s="1"/>
  <c r="I80" i="25" s="1"/>
  <c r="AD80" i="25"/>
  <c r="BQ80" i="19"/>
  <c r="AS80" i="25"/>
  <c r="E80" i="25" s="1"/>
  <c r="BE80" i="19" s="1"/>
  <c r="Q80" i="19"/>
  <c r="AD80" i="19" s="1"/>
  <c r="D80" i="19" s="1"/>
  <c r="N80" i="22" s="1"/>
  <c r="X81" i="25"/>
  <c r="AU81" i="20" s="1"/>
  <c r="P81" i="19"/>
  <c r="C81" i="19" s="1"/>
  <c r="M81" i="22" s="1"/>
  <c r="BC81" i="19"/>
  <c r="W82" i="25"/>
  <c r="Z80" i="25"/>
  <c r="AV80" i="20" s="1"/>
  <c r="S79" i="19"/>
  <c r="AF79" i="19" s="1"/>
  <c r="F79" i="19" s="1"/>
  <c r="AA80" i="25"/>
  <c r="AB80" i="25"/>
  <c r="AK81" i="19"/>
  <c r="K81" i="19" s="1"/>
  <c r="BH80" i="19"/>
  <c r="L78" i="19"/>
  <c r="T78" i="22" s="1"/>
  <c r="V79" i="22"/>
  <c r="N78" i="19"/>
  <c r="U78" i="22" s="1"/>
  <c r="X79" i="22"/>
  <c r="BT80" i="19" l="1"/>
  <c r="AX80" i="20"/>
  <c r="AY80" i="25"/>
  <c r="K80" i="25" s="1"/>
  <c r="AY80" i="20"/>
  <c r="BS80" i="19"/>
  <c r="AW80" i="20"/>
  <c r="T80" i="19"/>
  <c r="AG80" i="19" s="1"/>
  <c r="G80" i="19" s="1"/>
  <c r="BG80" i="19"/>
  <c r="R80" i="19"/>
  <c r="E80" i="19" s="1"/>
  <c r="O80" i="22" s="1"/>
  <c r="Y81" i="25"/>
  <c r="BQ81" i="19" s="1"/>
  <c r="AR81" i="25"/>
  <c r="BO82" i="19"/>
  <c r="AP83" i="25" s="1"/>
  <c r="AQ82" i="25"/>
  <c r="BU79" i="19"/>
  <c r="AX80" i="25" s="1"/>
  <c r="J80" i="25" s="1"/>
  <c r="U80" i="19" s="1"/>
  <c r="AH80" i="19" s="1"/>
  <c r="H80" i="19" s="1"/>
  <c r="R80" i="22" s="1"/>
  <c r="AV80" i="25"/>
  <c r="H80" i="25" s="1"/>
  <c r="AU80" i="25"/>
  <c r="AT80" i="25"/>
  <c r="AJ81" i="19"/>
  <c r="J81" i="19" s="1"/>
  <c r="M79" i="19"/>
  <c r="M103" i="22"/>
  <c r="AI103" i="19"/>
  <c r="I103" i="19" s="1"/>
  <c r="S103" i="22" s="1"/>
  <c r="AS81" i="25" l="1"/>
  <c r="E81" i="25" s="1"/>
  <c r="BE81" i="19" s="1"/>
  <c r="B83" i="25"/>
  <c r="C82" i="25"/>
  <c r="D81" i="25"/>
  <c r="AE81" i="25"/>
  <c r="AY81" i="20" s="1"/>
  <c r="AD81" i="25"/>
  <c r="AC81" i="25"/>
  <c r="F80" i="25"/>
  <c r="BF80" i="19" s="1"/>
  <c r="G80" i="25"/>
  <c r="AL79" i="19"/>
  <c r="V80" i="22" s="1"/>
  <c r="BT81" i="19" l="1"/>
  <c r="AX81" i="20"/>
  <c r="AY81" i="25"/>
  <c r="K81" i="25" s="1"/>
  <c r="Y82" i="25"/>
  <c r="BQ82" i="19" s="1"/>
  <c r="R81" i="19"/>
  <c r="E81" i="19" s="1"/>
  <c r="O81" i="22" s="1"/>
  <c r="O83" i="19"/>
  <c r="AB83" i="19" s="1"/>
  <c r="B83" i="19" s="1"/>
  <c r="L83" i="22" s="1"/>
  <c r="V84" i="25"/>
  <c r="Q81" i="19"/>
  <c r="AD81" i="19" s="1"/>
  <c r="D81" i="19" s="1"/>
  <c r="N81" i="22" s="1"/>
  <c r="X82" i="25"/>
  <c r="AU82" i="20" s="1"/>
  <c r="BC82" i="19"/>
  <c r="P82" i="19"/>
  <c r="C82" i="19" s="1"/>
  <c r="M82" i="22" s="1"/>
  <c r="W83" i="25"/>
  <c r="AA81" i="25"/>
  <c r="AW81" i="20" s="1"/>
  <c r="Z81" i="25"/>
  <c r="AV81" i="20" s="1"/>
  <c r="S80" i="19"/>
  <c r="AF80" i="19" s="1"/>
  <c r="F80" i="19" s="1"/>
  <c r="AW81" i="25"/>
  <c r="I81" i="25" s="1"/>
  <c r="AB81" i="25"/>
  <c r="AK82" i="19"/>
  <c r="K82" i="19" s="1"/>
  <c r="M80" i="19"/>
  <c r="L79" i="19"/>
  <c r="T79" i="22" s="1"/>
  <c r="AN79" i="19"/>
  <c r="X80" i="22" s="1"/>
  <c r="AI104" i="19"/>
  <c r="I104" i="19" s="1"/>
  <c r="S104" i="22" s="1"/>
  <c r="AS82" i="25" l="1"/>
  <c r="E82" i="25" s="1"/>
  <c r="BE82" i="19" s="1"/>
  <c r="BO83" i="19"/>
  <c r="AP84" i="25" s="1"/>
  <c r="B84" i="25" s="1"/>
  <c r="O84" i="19" s="1"/>
  <c r="AB84" i="19" s="1"/>
  <c r="B84" i="19" s="1"/>
  <c r="L84" i="22" s="1"/>
  <c r="AQ83" i="25"/>
  <c r="C83" i="25" s="1"/>
  <c r="AR82" i="25"/>
  <c r="AT81" i="25"/>
  <c r="F81" i="25" s="1"/>
  <c r="BF81" i="19" s="1"/>
  <c r="BU80" i="19"/>
  <c r="AX81" i="25" s="1"/>
  <c r="J81" i="25" s="1"/>
  <c r="AU81" i="25"/>
  <c r="G81" i="25" s="1"/>
  <c r="BS81" i="19"/>
  <c r="T81" i="19"/>
  <c r="AG81" i="19" s="1"/>
  <c r="G81" i="19" s="1"/>
  <c r="BG81" i="19"/>
  <c r="AV81" i="25"/>
  <c r="H81" i="25" s="1"/>
  <c r="BH81" i="19"/>
  <c r="N79" i="19"/>
  <c r="U79" i="22" s="1"/>
  <c r="R82" i="19" l="1"/>
  <c r="E82" i="19" s="1"/>
  <c r="O82" i="22" s="1"/>
  <c r="V85" i="25"/>
  <c r="P83" i="19"/>
  <c r="C83" i="19" s="1"/>
  <c r="M83" i="22" s="1"/>
  <c r="BC83" i="19"/>
  <c r="W84" i="25"/>
  <c r="D82" i="25"/>
  <c r="U81" i="19"/>
  <c r="AH81" i="19" s="1"/>
  <c r="H81" i="19" s="1"/>
  <c r="R81" i="22" s="1"/>
  <c r="AE82" i="25"/>
  <c r="AY82" i="20" s="1"/>
  <c r="AD82" i="25"/>
  <c r="Z82" i="25"/>
  <c r="AV82" i="20" s="1"/>
  <c r="S81" i="19"/>
  <c r="AF81" i="19" s="1"/>
  <c r="F81" i="19" s="1"/>
  <c r="AB82" i="25"/>
  <c r="AC82" i="25"/>
  <c r="AA82" i="25"/>
  <c r="AJ82" i="19"/>
  <c r="J82" i="19" s="1"/>
  <c r="AI105" i="19"/>
  <c r="I105" i="19" s="1"/>
  <c r="S105" i="22" s="1"/>
  <c r="BT82" i="19" l="1"/>
  <c r="AX82" i="20"/>
  <c r="BS82" i="19"/>
  <c r="AW82" i="20"/>
  <c r="BO84" i="19"/>
  <c r="AP85" i="25" s="1"/>
  <c r="B85" i="25" s="1"/>
  <c r="Q82" i="19"/>
  <c r="AD82" i="19" s="1"/>
  <c r="D82" i="19" s="1"/>
  <c r="N82" i="22" s="1"/>
  <c r="X83" i="25"/>
  <c r="AU83" i="20" s="1"/>
  <c r="Y83" i="25"/>
  <c r="BQ83" i="19" s="1"/>
  <c r="AY82" i="25"/>
  <c r="K82" i="25" s="1"/>
  <c r="AV82" i="25"/>
  <c r="H82" i="25" s="1"/>
  <c r="AU82" i="25"/>
  <c r="G82" i="25" s="1"/>
  <c r="AW82" i="25"/>
  <c r="BH82" i="19"/>
  <c r="AL80" i="19"/>
  <c r="V81" i="22" s="1"/>
  <c r="AS83" i="25" l="1"/>
  <c r="E83" i="25" s="1"/>
  <c r="BE83" i="19" s="1"/>
  <c r="AR83" i="25"/>
  <c r="AQ84" i="25"/>
  <c r="O85" i="19"/>
  <c r="AB85" i="19" s="1"/>
  <c r="B85" i="19" s="1"/>
  <c r="L85" i="22" s="1"/>
  <c r="V86" i="25"/>
  <c r="AB83" i="25"/>
  <c r="AV83" i="25" s="1"/>
  <c r="I82" i="25"/>
  <c r="AK83" i="19"/>
  <c r="K83" i="19" s="1"/>
  <c r="L80" i="19"/>
  <c r="T80" i="22" s="1"/>
  <c r="M81" i="19"/>
  <c r="AN80" i="19"/>
  <c r="X81" i="22" s="1"/>
  <c r="AT82" i="25" s="1"/>
  <c r="AI106" i="19"/>
  <c r="I106" i="19" s="1"/>
  <c r="S106" i="22" s="1"/>
  <c r="R83" i="19" l="1"/>
  <c r="E83" i="19" s="1"/>
  <c r="O83" i="22" s="1"/>
  <c r="D83" i="25"/>
  <c r="C84" i="25"/>
  <c r="BU81" i="19"/>
  <c r="AX82" i="25" s="1"/>
  <c r="J82" i="25" s="1"/>
  <c r="AD83" i="25" s="1"/>
  <c r="T82" i="19"/>
  <c r="AG82" i="19" s="1"/>
  <c r="G82" i="19" s="1"/>
  <c r="BG82" i="19"/>
  <c r="AC83" i="25"/>
  <c r="H83" i="25"/>
  <c r="F82" i="25"/>
  <c r="AJ83" i="19"/>
  <c r="J83" i="19" s="1"/>
  <c r="N80" i="19"/>
  <c r="U80" i="22" s="1"/>
  <c r="BT83" i="19" l="1"/>
  <c r="AX83" i="20"/>
  <c r="P84" i="19"/>
  <c r="C84" i="19" s="1"/>
  <c r="BC84" i="19"/>
  <c r="W85" i="25"/>
  <c r="Q83" i="19"/>
  <c r="AD83" i="19" s="1"/>
  <c r="D83" i="19" s="1"/>
  <c r="N83" i="22" s="1"/>
  <c r="Y84" i="25"/>
  <c r="BQ84" i="19" s="1"/>
  <c r="X84" i="25"/>
  <c r="AU84" i="20" s="1"/>
  <c r="U82" i="19"/>
  <c r="AH82" i="19" s="1"/>
  <c r="H82" i="19" s="1"/>
  <c r="R82" i="22" s="1"/>
  <c r="AE83" i="25"/>
  <c r="AY83" i="20" s="1"/>
  <c r="S82" i="19"/>
  <c r="AF82" i="19" s="1"/>
  <c r="F82" i="19" s="1"/>
  <c r="BF82" i="19"/>
  <c r="Z83" i="25"/>
  <c r="AV83" i="20" s="1"/>
  <c r="AA83" i="25"/>
  <c r="AW83" i="25"/>
  <c r="AI107" i="19"/>
  <c r="I107" i="19" s="1"/>
  <c r="S107" i="22" s="1"/>
  <c r="BS83" i="19" l="1"/>
  <c r="AW83" i="20"/>
  <c r="BO85" i="19"/>
  <c r="AP86" i="25" s="1"/>
  <c r="AQ85" i="25"/>
  <c r="AY83" i="25"/>
  <c r="K83" i="25" s="1"/>
  <c r="AR84" i="25"/>
  <c r="D84" i="25" s="1"/>
  <c r="Q84" i="19" s="1"/>
  <c r="AD84" i="19" s="1"/>
  <c r="D84" i="19" s="1"/>
  <c r="N84" i="22" s="1"/>
  <c r="AS84" i="25"/>
  <c r="I83" i="25"/>
  <c r="BG83" i="19" s="1"/>
  <c r="AU83" i="25"/>
  <c r="AK84" i="19"/>
  <c r="K84" i="19" s="1"/>
  <c r="BH83" i="19"/>
  <c r="AL81" i="19"/>
  <c r="V82" i="22" s="1"/>
  <c r="AN81" i="19"/>
  <c r="X82" i="22" s="1"/>
  <c r="AI108" i="19"/>
  <c r="I108" i="19" s="1"/>
  <c r="S108" i="22" s="1"/>
  <c r="C85" i="25" l="1"/>
  <c r="X85" i="25"/>
  <c r="AU85" i="20" s="1"/>
  <c r="B86" i="25"/>
  <c r="BU82" i="19"/>
  <c r="AX83" i="25" s="1"/>
  <c r="J83" i="25" s="1"/>
  <c r="AD84" i="25" s="1"/>
  <c r="AC84" i="25"/>
  <c r="AW84" i="25" s="1"/>
  <c r="T83" i="19"/>
  <c r="AG83" i="19" s="1"/>
  <c r="G83" i="19" s="1"/>
  <c r="E84" i="25"/>
  <c r="BE84" i="19" s="1"/>
  <c r="G83" i="25"/>
  <c r="AT83" i="25"/>
  <c r="N81" i="19"/>
  <c r="U81" i="22" s="1"/>
  <c r="L81" i="19"/>
  <c r="T81" i="22" s="1"/>
  <c r="M82" i="19"/>
  <c r="BT84" i="19" l="1"/>
  <c r="AX84" i="20"/>
  <c r="O86" i="19"/>
  <c r="AB86" i="19" s="1"/>
  <c r="B86" i="19" s="1"/>
  <c r="L86" i="22" s="1"/>
  <c r="V87" i="25"/>
  <c r="W86" i="25"/>
  <c r="BC85" i="19"/>
  <c r="P85" i="19"/>
  <c r="C85" i="19" s="1"/>
  <c r="M85" i="22" s="1"/>
  <c r="AR85" i="25"/>
  <c r="U83" i="19"/>
  <c r="AH83" i="19" s="1"/>
  <c r="H83" i="19" s="1"/>
  <c r="R83" i="22" s="1"/>
  <c r="AE84" i="25"/>
  <c r="AY84" i="20" s="1"/>
  <c r="Y85" i="25"/>
  <c r="BQ85" i="19" s="1"/>
  <c r="R84" i="19"/>
  <c r="E84" i="19" s="1"/>
  <c r="O84" i="22" s="1"/>
  <c r="F83" i="25"/>
  <c r="BF83" i="19" s="1"/>
  <c r="AB84" i="25"/>
  <c r="I84" i="25"/>
  <c r="AJ84" i="19"/>
  <c r="J84" i="19" s="1"/>
  <c r="AN82" i="19"/>
  <c r="AI109" i="19"/>
  <c r="I109" i="19" s="1"/>
  <c r="S109" i="22" s="1"/>
  <c r="AY84" i="25" l="1"/>
  <c r="K84" i="25" s="1"/>
  <c r="D85" i="25"/>
  <c r="BO86" i="19"/>
  <c r="AP87" i="25" s="1"/>
  <c r="B87" i="25" s="1"/>
  <c r="AQ86" i="25"/>
  <c r="C86" i="25" s="1"/>
  <c r="T84" i="19"/>
  <c r="BG84" i="19"/>
  <c r="Z84" i="25"/>
  <c r="S83" i="19"/>
  <c r="AF83" i="19" s="1"/>
  <c r="F83" i="19" s="1"/>
  <c r="AA84" i="25"/>
  <c r="AW84" i="20" s="1"/>
  <c r="AV84" i="25"/>
  <c r="BH84" i="19"/>
  <c r="N82" i="19"/>
  <c r="U82" i="22" s="1"/>
  <c r="X83" i="22"/>
  <c r="AS85" i="25" l="1"/>
  <c r="E85" i="25" s="1"/>
  <c r="BE85" i="19" s="1"/>
  <c r="AV84" i="20"/>
  <c r="O87" i="19"/>
  <c r="AB87" i="19" s="1"/>
  <c r="B87" i="19" s="1"/>
  <c r="L87" i="22" s="1"/>
  <c r="V88" i="25"/>
  <c r="BC86" i="19"/>
  <c r="P86" i="19"/>
  <c r="C86" i="19" s="1"/>
  <c r="M86" i="22" s="1"/>
  <c r="W87" i="25"/>
  <c r="Q85" i="19"/>
  <c r="AD85" i="19" s="1"/>
  <c r="D85" i="19" s="1"/>
  <c r="N85" i="22" s="1"/>
  <c r="X86" i="25"/>
  <c r="AU86" i="20" s="1"/>
  <c r="AU84" i="25"/>
  <c r="G84" i="25" s="1"/>
  <c r="BS84" i="19"/>
  <c r="H84" i="25"/>
  <c r="AK85" i="19"/>
  <c r="K85" i="19" s="1"/>
  <c r="AG84" i="19"/>
  <c r="G84" i="19" s="1"/>
  <c r="AL82" i="19"/>
  <c r="V83" i="22" s="1"/>
  <c r="AI110" i="19"/>
  <c r="I110" i="19" s="1"/>
  <c r="S110" i="22" s="1"/>
  <c r="BO87" i="19" l="1"/>
  <c r="AP88" i="25" s="1"/>
  <c r="AQ87" i="25"/>
  <c r="AR86" i="25"/>
  <c r="D86" i="25" s="1"/>
  <c r="Q86" i="19" s="1"/>
  <c r="AD86" i="19" s="1"/>
  <c r="D86" i="19" s="1"/>
  <c r="N86" i="22" s="1"/>
  <c r="AT84" i="25"/>
  <c r="F84" i="25" s="1"/>
  <c r="BF84" i="19" s="1"/>
  <c r="BU83" i="19"/>
  <c r="AX84" i="25" s="1"/>
  <c r="Y86" i="25"/>
  <c r="BQ86" i="19" s="1"/>
  <c r="R85" i="19"/>
  <c r="E85" i="19" s="1"/>
  <c r="O85" i="22" s="1"/>
  <c r="AB85" i="25"/>
  <c r="AC85" i="25"/>
  <c r="AJ85" i="19"/>
  <c r="J85" i="19" s="1"/>
  <c r="BH85" i="19"/>
  <c r="L82" i="19"/>
  <c r="T82" i="22" s="1"/>
  <c r="M83" i="19"/>
  <c r="AN83" i="19"/>
  <c r="C87" i="25" l="1"/>
  <c r="X87" i="25"/>
  <c r="B88" i="25"/>
  <c r="AA85" i="25"/>
  <c r="Z85" i="25"/>
  <c r="J84" i="25"/>
  <c r="S84" i="19"/>
  <c r="AF84" i="19" s="1"/>
  <c r="F84" i="19" s="1"/>
  <c r="AW85" i="25"/>
  <c r="I85" i="25" s="1"/>
  <c r="AV85" i="25"/>
  <c r="AK86" i="19"/>
  <c r="K86" i="19" s="1"/>
  <c r="N83" i="19"/>
  <c r="U83" i="22" s="1"/>
  <c r="X84" i="22"/>
  <c r="AI111" i="19"/>
  <c r="I111" i="19" s="1"/>
  <c r="S111" i="22" s="1"/>
  <c r="BS85" i="19" l="1"/>
  <c r="AW85" i="20"/>
  <c r="AS86" i="25"/>
  <c r="E86" i="25" s="1"/>
  <c r="BE86" i="19" s="1"/>
  <c r="AV85" i="20"/>
  <c r="AR87" i="25"/>
  <c r="D87" i="25" s="1"/>
  <c r="Q87" i="19" s="1"/>
  <c r="AD87" i="19" s="1"/>
  <c r="D87" i="19" s="1"/>
  <c r="N87" i="22" s="1"/>
  <c r="AU87" i="20"/>
  <c r="AU85" i="25"/>
  <c r="G85" i="25" s="1"/>
  <c r="O88" i="19"/>
  <c r="AB88" i="19" s="1"/>
  <c r="B88" i="19" s="1"/>
  <c r="L88" i="22" s="1"/>
  <c r="V89" i="25"/>
  <c r="P87" i="19"/>
  <c r="C87" i="19" s="1"/>
  <c r="M87" i="22" s="1"/>
  <c r="BC87" i="19"/>
  <c r="W88" i="25"/>
  <c r="U84" i="19"/>
  <c r="AH84" i="19" s="1"/>
  <c r="H84" i="19" s="1"/>
  <c r="R84" i="22" s="1"/>
  <c r="AE85" i="25"/>
  <c r="AY85" i="20" s="1"/>
  <c r="AD85" i="25"/>
  <c r="AX85" i="20" s="1"/>
  <c r="T85" i="19"/>
  <c r="AG85" i="19" s="1"/>
  <c r="G85" i="19" s="1"/>
  <c r="BG85" i="19"/>
  <c r="H85" i="25"/>
  <c r="AJ86" i="19"/>
  <c r="J86" i="19" s="1"/>
  <c r="R86" i="19" l="1"/>
  <c r="E86" i="19" s="1"/>
  <c r="O86" i="22" s="1"/>
  <c r="Y87" i="25"/>
  <c r="BQ87" i="19" s="1"/>
  <c r="X88" i="25"/>
  <c r="AU88" i="20" s="1"/>
  <c r="AB86" i="25"/>
  <c r="AV86" i="25" s="1"/>
  <c r="BO88" i="19"/>
  <c r="AP89" i="25" s="1"/>
  <c r="AQ88" i="25"/>
  <c r="C88" i="25" s="1"/>
  <c r="AR88" i="25"/>
  <c r="BT85" i="19"/>
  <c r="AY85" i="25"/>
  <c r="K85" i="25" s="1"/>
  <c r="AC86" i="25"/>
  <c r="AL83" i="19"/>
  <c r="V84" i="22" s="1"/>
  <c r="AN84" i="19"/>
  <c r="AI112" i="19"/>
  <c r="I112" i="19" s="1"/>
  <c r="S112" i="22" s="1"/>
  <c r="B89" i="25" l="1"/>
  <c r="W89" i="25"/>
  <c r="AQ89" i="25" s="1"/>
  <c r="BC88" i="19"/>
  <c r="P88" i="19"/>
  <c r="C88" i="19" s="1"/>
  <c r="M88" i="22" s="1"/>
  <c r="D88" i="25"/>
  <c r="AT85" i="25"/>
  <c r="F85" i="25" s="1"/>
  <c r="BU84" i="19"/>
  <c r="AX85" i="25" s="1"/>
  <c r="AW86" i="25"/>
  <c r="I86" i="25" s="1"/>
  <c r="H86" i="25"/>
  <c r="AK87" i="19"/>
  <c r="K87" i="19" s="1"/>
  <c r="M84" i="19"/>
  <c r="L83" i="19"/>
  <c r="T83" i="22" s="1"/>
  <c r="N84" i="19"/>
  <c r="U84" i="22" s="1"/>
  <c r="X85" i="22"/>
  <c r="BO89" i="19" l="1"/>
  <c r="C89" i="25"/>
  <c r="W90" i="25" s="1"/>
  <c r="O89" i="19"/>
  <c r="AB89" i="19" s="1"/>
  <c r="B89" i="19" s="1"/>
  <c r="L89" i="22" s="1"/>
  <c r="V90" i="25"/>
  <c r="Q88" i="19"/>
  <c r="AD88" i="19" s="1"/>
  <c r="D88" i="19" s="1"/>
  <c r="N88" i="22" s="1"/>
  <c r="X89" i="25"/>
  <c r="AU89" i="20" s="1"/>
  <c r="J85" i="25"/>
  <c r="S85" i="19"/>
  <c r="AF85" i="19" s="1"/>
  <c r="F85" i="19" s="1"/>
  <c r="BF85" i="19"/>
  <c r="T86" i="19"/>
  <c r="BG86" i="19"/>
  <c r="AC87" i="25"/>
  <c r="Z86" i="25"/>
  <c r="AV86" i="20" s="1"/>
  <c r="AA86" i="25"/>
  <c r="BH86" i="19"/>
  <c r="AN85" i="19"/>
  <c r="N85" i="19" s="1"/>
  <c r="U85" i="22" s="1"/>
  <c r="BS86" i="19" l="1"/>
  <c r="AW86" i="20"/>
  <c r="BC89" i="19"/>
  <c r="P89" i="19"/>
  <c r="C89" i="19" s="1"/>
  <c r="M89" i="22" s="1"/>
  <c r="AP90" i="25"/>
  <c r="BO90" i="19"/>
  <c r="AQ90" i="25"/>
  <c r="U85" i="19"/>
  <c r="AH85" i="19" s="1"/>
  <c r="H85" i="19" s="1"/>
  <c r="R85" i="22" s="1"/>
  <c r="AD86" i="25"/>
  <c r="AX86" i="20" s="1"/>
  <c r="AE86" i="25"/>
  <c r="AU86" i="25"/>
  <c r="AS87" i="25"/>
  <c r="AG86" i="19"/>
  <c r="G86" i="19" s="1"/>
  <c r="X86" i="22"/>
  <c r="AI113" i="19"/>
  <c r="I113" i="19" s="1"/>
  <c r="S113" i="22" s="1"/>
  <c r="AY86" i="25" l="1"/>
  <c r="K86" i="25" s="1"/>
  <c r="AY86" i="20"/>
  <c r="C90" i="25"/>
  <c r="B90" i="25"/>
  <c r="BT86" i="19"/>
  <c r="AW87" i="25"/>
  <c r="I87" i="25" s="1"/>
  <c r="T87" i="19" s="1"/>
  <c r="E87" i="25"/>
  <c r="BE87" i="19" s="1"/>
  <c r="G86" i="25"/>
  <c r="AJ87" i="19"/>
  <c r="J87" i="19" s="1"/>
  <c r="AL84" i="19"/>
  <c r="V85" i="22" s="1"/>
  <c r="BC90" i="19" l="1"/>
  <c r="P90" i="19"/>
  <c r="C90" i="19" s="1"/>
  <c r="W91" i="25"/>
  <c r="O90" i="19"/>
  <c r="AB90" i="19" s="1"/>
  <c r="B90" i="19" s="1"/>
  <c r="L90" i="22" s="1"/>
  <c r="V91" i="25"/>
  <c r="BG87" i="19"/>
  <c r="AT86" i="25"/>
  <c r="F86" i="25" s="1"/>
  <c r="BF86" i="19" s="1"/>
  <c r="BU85" i="19"/>
  <c r="AX86" i="25" s="1"/>
  <c r="Y88" i="25"/>
  <c r="BQ88" i="19" s="1"/>
  <c r="AR89" i="25" s="1"/>
  <c r="R87" i="19"/>
  <c r="E87" i="19" s="1"/>
  <c r="O87" i="22" s="1"/>
  <c r="AB87" i="25"/>
  <c r="L84" i="19"/>
  <c r="T84" i="22" s="1"/>
  <c r="M85" i="19"/>
  <c r="AI114" i="19"/>
  <c r="I114" i="19" s="1"/>
  <c r="S114" i="22" s="1"/>
  <c r="BO91" i="19" l="1"/>
  <c r="D89" i="25"/>
  <c r="AP91" i="25"/>
  <c r="B91" i="25" s="1"/>
  <c r="J86" i="25"/>
  <c r="Z87" i="25"/>
  <c r="S86" i="19"/>
  <c r="AF86" i="19" s="1"/>
  <c r="F86" i="19" s="1"/>
  <c r="AV87" i="25"/>
  <c r="AA87" i="25"/>
  <c r="BH87" i="19"/>
  <c r="AK88" i="19"/>
  <c r="K88" i="19" s="1"/>
  <c r="AI115" i="19"/>
  <c r="I115" i="19" s="1"/>
  <c r="S115" i="22" s="1"/>
  <c r="BS87" i="19" l="1"/>
  <c r="AW87" i="20"/>
  <c r="AS88" i="25"/>
  <c r="E88" i="25" s="1"/>
  <c r="BE88" i="19" s="1"/>
  <c r="AV87" i="20"/>
  <c r="O91" i="19"/>
  <c r="AB91" i="19" s="1"/>
  <c r="B91" i="19" s="1"/>
  <c r="L91" i="22" s="1"/>
  <c r="V92" i="25"/>
  <c r="AP92" i="25" s="1"/>
  <c r="Q89" i="19"/>
  <c r="AD89" i="19" s="1"/>
  <c r="D89" i="19" s="1"/>
  <c r="N89" i="22" s="1"/>
  <c r="X90" i="25"/>
  <c r="AU90" i="20" s="1"/>
  <c r="U86" i="19"/>
  <c r="AH86" i="19" s="1"/>
  <c r="H86" i="19" s="1"/>
  <c r="R86" i="22" s="1"/>
  <c r="AE87" i="25"/>
  <c r="AY87" i="20" s="1"/>
  <c r="AD87" i="25"/>
  <c r="AX87" i="20" s="1"/>
  <c r="AU87" i="25"/>
  <c r="G87" i="25" s="1"/>
  <c r="H87" i="25"/>
  <c r="AG87" i="19"/>
  <c r="G87" i="19" s="1"/>
  <c r="AJ88" i="19"/>
  <c r="J88" i="19" s="1"/>
  <c r="AN86" i="19"/>
  <c r="B92" i="25" l="1"/>
  <c r="V93" i="25" s="1"/>
  <c r="AQ91" i="25"/>
  <c r="BT87" i="19"/>
  <c r="AY87" i="25"/>
  <c r="K87" i="25" s="1"/>
  <c r="Y89" i="25"/>
  <c r="BQ89" i="19" s="1"/>
  <c r="AR90" i="25" s="1"/>
  <c r="R88" i="19"/>
  <c r="E88" i="19" s="1"/>
  <c r="O88" i="22" s="1"/>
  <c r="AB88" i="25"/>
  <c r="AC88" i="25"/>
  <c r="AK89" i="19"/>
  <c r="K89" i="19" s="1"/>
  <c r="AL85" i="19"/>
  <c r="V86" i="22" s="1"/>
  <c r="N86" i="19"/>
  <c r="U86" i="22" s="1"/>
  <c r="X87" i="22"/>
  <c r="AI116" i="19"/>
  <c r="I116" i="19" s="1"/>
  <c r="S116" i="22" s="1"/>
  <c r="D90" i="25" l="1"/>
  <c r="C91" i="25"/>
  <c r="O92" i="19"/>
  <c r="AB92" i="19" s="1"/>
  <c r="B92" i="19" s="1"/>
  <c r="L92" i="22" s="1"/>
  <c r="AT87" i="25"/>
  <c r="F87" i="25" s="1"/>
  <c r="BU86" i="19"/>
  <c r="AX87" i="25" s="1"/>
  <c r="AV88" i="25"/>
  <c r="AW88" i="25"/>
  <c r="I88" i="25" s="1"/>
  <c r="L85" i="19"/>
  <c r="T85" i="22" s="1"/>
  <c r="M86" i="19"/>
  <c r="AI117" i="19"/>
  <c r="I117" i="19" s="1"/>
  <c r="S117" i="22" s="1"/>
  <c r="BC91" i="19" l="1"/>
  <c r="P91" i="19"/>
  <c r="C91" i="19" s="1"/>
  <c r="W92" i="25"/>
  <c r="Q90" i="19"/>
  <c r="AD90" i="19" s="1"/>
  <c r="D90" i="19" s="1"/>
  <c r="N90" i="22" s="1"/>
  <c r="X91" i="25"/>
  <c r="AU91" i="20" s="1"/>
  <c r="J87" i="25"/>
  <c r="S87" i="19"/>
  <c r="AF87" i="19" s="1"/>
  <c r="F87" i="19" s="1"/>
  <c r="BF87" i="19"/>
  <c r="T88" i="19"/>
  <c r="AG88" i="19" s="1"/>
  <c r="G88" i="19" s="1"/>
  <c r="BG88" i="19"/>
  <c r="H88" i="25"/>
  <c r="AC89" i="25" s="1"/>
  <c r="Z88" i="25"/>
  <c r="AV88" i="20" s="1"/>
  <c r="AA88" i="25"/>
  <c r="BH88" i="19"/>
  <c r="BS88" i="19" l="1"/>
  <c r="AW88" i="20"/>
  <c r="BO92" i="19"/>
  <c r="AP93" i="25" s="1"/>
  <c r="AQ92" i="25"/>
  <c r="U87" i="19"/>
  <c r="AH87" i="19" s="1"/>
  <c r="H87" i="19" s="1"/>
  <c r="R87" i="22" s="1"/>
  <c r="AD88" i="25"/>
  <c r="AE88" i="25"/>
  <c r="AY88" i="20" s="1"/>
  <c r="AS89" i="25"/>
  <c r="AU88" i="25"/>
  <c r="G88" i="25" s="1"/>
  <c r="AB89" i="25" s="1"/>
  <c r="AI118" i="19"/>
  <c r="I118" i="19" s="1"/>
  <c r="S118" i="22" s="1"/>
  <c r="AW89" i="25" l="1"/>
  <c r="I89" i="25" s="1"/>
  <c r="T89" i="19" s="1"/>
  <c r="AX88" i="20"/>
  <c r="C92" i="25"/>
  <c r="B93" i="25"/>
  <c r="BT88" i="19"/>
  <c r="AY88" i="25"/>
  <c r="K88" i="25" s="1"/>
  <c r="AV89" i="25"/>
  <c r="E89" i="25"/>
  <c r="BE89" i="19" s="1"/>
  <c r="AJ89" i="19"/>
  <c r="J89" i="19" s="1"/>
  <c r="AL86" i="19"/>
  <c r="V87" i="22" s="1"/>
  <c r="AN87" i="19"/>
  <c r="X88" i="22" s="1"/>
  <c r="AI119" i="19"/>
  <c r="I119" i="19" s="1"/>
  <c r="S119" i="22" s="1"/>
  <c r="BG89" i="19" l="1"/>
  <c r="O93" i="19"/>
  <c r="AB93" i="19" s="1"/>
  <c r="B93" i="19" s="1"/>
  <c r="L93" i="22" s="1"/>
  <c r="V94" i="25"/>
  <c r="BC92" i="19"/>
  <c r="P92" i="19"/>
  <c r="C92" i="19" s="1"/>
  <c r="W93" i="25"/>
  <c r="AT88" i="25"/>
  <c r="F88" i="25" s="1"/>
  <c r="BU87" i="19"/>
  <c r="AX88" i="25" s="1"/>
  <c r="Y90" i="25"/>
  <c r="BQ90" i="19" s="1"/>
  <c r="AR91" i="25" s="1"/>
  <c r="R89" i="19"/>
  <c r="E89" i="19" s="1"/>
  <c r="O89" i="22" s="1"/>
  <c r="H89" i="25"/>
  <c r="N87" i="19"/>
  <c r="U87" i="22" s="1"/>
  <c r="M87" i="19"/>
  <c r="L86" i="19"/>
  <c r="T86" i="22" s="1"/>
  <c r="D91" i="25" l="1"/>
  <c r="BO93" i="19"/>
  <c r="AP94" i="25" s="1"/>
  <c r="J88" i="25"/>
  <c r="S88" i="19"/>
  <c r="AF88" i="19" s="1"/>
  <c r="F88" i="19" s="1"/>
  <c r="BF88" i="19"/>
  <c r="AC90" i="25"/>
  <c r="Z89" i="25"/>
  <c r="AV89" i="20" s="1"/>
  <c r="AA89" i="25"/>
  <c r="AG89" i="19"/>
  <c r="G89" i="19" s="1"/>
  <c r="AK90" i="19"/>
  <c r="K90" i="19" s="1"/>
  <c r="BH89" i="19"/>
  <c r="AI120" i="19"/>
  <c r="I120" i="19" s="1"/>
  <c r="S120" i="22" s="1"/>
  <c r="M120" i="22"/>
  <c r="BS89" i="19" l="1"/>
  <c r="AW89" i="20"/>
  <c r="Q91" i="19"/>
  <c r="AD91" i="19" s="1"/>
  <c r="D91" i="19" s="1"/>
  <c r="N91" i="22" s="1"/>
  <c r="X92" i="25"/>
  <c r="AU92" i="20" s="1"/>
  <c r="B94" i="25"/>
  <c r="U88" i="19"/>
  <c r="AH88" i="19" s="1"/>
  <c r="H88" i="19" s="1"/>
  <c r="R88" i="22" s="1"/>
  <c r="AD89" i="25"/>
  <c r="AE89" i="25"/>
  <c r="AY89" i="20" s="1"/>
  <c r="AU89" i="25"/>
  <c r="G89" i="25" s="1"/>
  <c r="AS90" i="25"/>
  <c r="AJ90" i="19"/>
  <c r="J90" i="19" s="1"/>
  <c r="AI121" i="19"/>
  <c r="I121" i="19" s="1"/>
  <c r="S121" i="22" s="1"/>
  <c r="AW90" i="25" l="1"/>
  <c r="I90" i="25" s="1"/>
  <c r="BG90" i="19" s="1"/>
  <c r="AX89" i="20"/>
  <c r="O94" i="19"/>
  <c r="AB94" i="19" s="1"/>
  <c r="B94" i="19" s="1"/>
  <c r="L94" i="22" s="1"/>
  <c r="V95" i="25"/>
  <c r="AQ93" i="25"/>
  <c r="BT89" i="19"/>
  <c r="AY89" i="25"/>
  <c r="K89" i="25" s="1"/>
  <c r="E90" i="25"/>
  <c r="BE90" i="19" s="1"/>
  <c r="AB90" i="25"/>
  <c r="AL87" i="19"/>
  <c r="V88" i="22" s="1"/>
  <c r="T90" i="19" l="1"/>
  <c r="C93" i="25"/>
  <c r="AT89" i="25"/>
  <c r="F89" i="25" s="1"/>
  <c r="BU88" i="19"/>
  <c r="AX89" i="25" s="1"/>
  <c r="Y91" i="25"/>
  <c r="BQ91" i="19" s="1"/>
  <c r="AR92" i="25" s="1"/>
  <c r="D92" i="25" s="1"/>
  <c r="R90" i="19"/>
  <c r="E90" i="19" s="1"/>
  <c r="O90" i="22" s="1"/>
  <c r="AV90" i="25"/>
  <c r="L87" i="19"/>
  <c r="T87" i="22" s="1"/>
  <c r="AK91" i="19"/>
  <c r="K91" i="19" s="1"/>
  <c r="AN88" i="19"/>
  <c r="X89" i="22" s="1"/>
  <c r="M88" i="19"/>
  <c r="AI122" i="19"/>
  <c r="I122" i="19" s="1"/>
  <c r="S122" i="22" s="1"/>
  <c r="Q92" i="19" l="1"/>
  <c r="AD92" i="19" s="1"/>
  <c r="D92" i="19" s="1"/>
  <c r="N92" i="22" s="1"/>
  <c r="X93" i="25"/>
  <c r="AU93" i="20" s="1"/>
  <c r="P93" i="19"/>
  <c r="C93" i="19" s="1"/>
  <c r="M93" i="22" s="1"/>
  <c r="BC93" i="19"/>
  <c r="W94" i="25"/>
  <c r="J89" i="25"/>
  <c r="S89" i="19"/>
  <c r="AF89" i="19" s="1"/>
  <c r="F89" i="19" s="1"/>
  <c r="BF89" i="19"/>
  <c r="H90" i="25"/>
  <c r="Z90" i="25"/>
  <c r="AV90" i="20" s="1"/>
  <c r="AA90" i="25"/>
  <c r="BH90" i="19"/>
  <c r="N88" i="19"/>
  <c r="U88" i="22" s="1"/>
  <c r="BS90" i="19" l="1"/>
  <c r="AW90" i="20"/>
  <c r="BO94" i="19"/>
  <c r="AP95" i="25" s="1"/>
  <c r="AQ94" i="25"/>
  <c r="C94" i="25" s="1"/>
  <c r="U89" i="19"/>
  <c r="AH89" i="19" s="1"/>
  <c r="H89" i="19" s="1"/>
  <c r="R89" i="22" s="1"/>
  <c r="AD90" i="25"/>
  <c r="AX90" i="20" s="1"/>
  <c r="AE90" i="25"/>
  <c r="AY90" i="20" s="1"/>
  <c r="AU90" i="25"/>
  <c r="AS91" i="25"/>
  <c r="AC91" i="25"/>
  <c r="AJ91" i="19"/>
  <c r="J91" i="19" s="1"/>
  <c r="AG90" i="19"/>
  <c r="G90" i="19" s="1"/>
  <c r="AL88" i="19"/>
  <c r="V89" i="22" s="1"/>
  <c r="BU89" i="19" s="1"/>
  <c r="AI123" i="19"/>
  <c r="I123" i="19" s="1"/>
  <c r="S123" i="22" s="1"/>
  <c r="B95" i="25" l="1"/>
  <c r="BC94" i="19"/>
  <c r="P94" i="19"/>
  <c r="C94" i="19" s="1"/>
  <c r="M94" i="22" s="1"/>
  <c r="W95" i="25"/>
  <c r="BT90" i="19"/>
  <c r="AX90" i="25"/>
  <c r="AY90" i="25"/>
  <c r="K90" i="25" s="1"/>
  <c r="AT90" i="25"/>
  <c r="E91" i="25"/>
  <c r="BE91" i="19" s="1"/>
  <c r="AW91" i="25"/>
  <c r="I91" i="25" s="1"/>
  <c r="G90" i="25"/>
  <c r="L88" i="19"/>
  <c r="T88" i="22" s="1"/>
  <c r="AN89" i="19"/>
  <c r="X90" i="22" s="1"/>
  <c r="M89" i="19"/>
  <c r="BO95" i="19" l="1"/>
  <c r="O95" i="19"/>
  <c r="AB95" i="19" s="1"/>
  <c r="B95" i="19" s="1"/>
  <c r="L95" i="22" s="1"/>
  <c r="V96" i="25"/>
  <c r="J90" i="25"/>
  <c r="AE91" i="25" s="1"/>
  <c r="AY91" i="20" s="1"/>
  <c r="T91" i="19"/>
  <c r="AG91" i="19" s="1"/>
  <c r="G91" i="19" s="1"/>
  <c r="BG91" i="19"/>
  <c r="Y92" i="25"/>
  <c r="BQ92" i="19" s="1"/>
  <c r="AR93" i="25" s="1"/>
  <c r="R91" i="19"/>
  <c r="E91" i="19" s="1"/>
  <c r="O91" i="22" s="1"/>
  <c r="AB91" i="25"/>
  <c r="F90" i="25"/>
  <c r="BF90" i="19" s="1"/>
  <c r="AK92" i="19"/>
  <c r="K92" i="19" s="1"/>
  <c r="N89" i="19"/>
  <c r="U89" i="22" s="1"/>
  <c r="AI124" i="19"/>
  <c r="I124" i="19" s="1"/>
  <c r="S124" i="22" s="1"/>
  <c r="D93" i="25" l="1"/>
  <c r="AP96" i="25"/>
  <c r="B96" i="25" s="1"/>
  <c r="AY91" i="25"/>
  <c r="K91" i="25" s="1"/>
  <c r="U90" i="19"/>
  <c r="AH90" i="19" s="1"/>
  <c r="H90" i="19" s="1"/>
  <c r="R90" i="22" s="1"/>
  <c r="AD91" i="25"/>
  <c r="AX91" i="20" s="1"/>
  <c r="Z91" i="25"/>
  <c r="S90" i="19"/>
  <c r="AF90" i="19" s="1"/>
  <c r="F90" i="19" s="1"/>
  <c r="BH91" i="19" s="1"/>
  <c r="AA91" i="25"/>
  <c r="AV91" i="25"/>
  <c r="H91" i="25" s="1"/>
  <c r="AJ92" i="19"/>
  <c r="J92" i="19" s="1"/>
  <c r="BS91" i="19" l="1"/>
  <c r="AW91" i="20"/>
  <c r="AS92" i="25"/>
  <c r="E92" i="25" s="1"/>
  <c r="BE92" i="19" s="1"/>
  <c r="AV91" i="20"/>
  <c r="O96" i="19"/>
  <c r="AB96" i="19" s="1"/>
  <c r="B96" i="19" s="1"/>
  <c r="L96" i="22" s="1"/>
  <c r="V97" i="25"/>
  <c r="Q93" i="19"/>
  <c r="AD93" i="19" s="1"/>
  <c r="D93" i="19" s="1"/>
  <c r="N93" i="22" s="1"/>
  <c r="X94" i="25"/>
  <c r="AU94" i="20" s="1"/>
  <c r="BT91" i="19"/>
  <c r="AC92" i="25"/>
  <c r="AU91" i="25"/>
  <c r="G91" i="25" s="1"/>
  <c r="AL89" i="19"/>
  <c r="V90" i="22" s="1"/>
  <c r="AI125" i="19"/>
  <c r="I125" i="19" s="1"/>
  <c r="S125" i="22" s="1"/>
  <c r="AQ95" i="25" l="1"/>
  <c r="AT91" i="25"/>
  <c r="F91" i="25" s="1"/>
  <c r="BF91" i="19" s="1"/>
  <c r="BU90" i="19"/>
  <c r="AX91" i="25" s="1"/>
  <c r="Y93" i="25"/>
  <c r="BQ93" i="19" s="1"/>
  <c r="AR94" i="25" s="1"/>
  <c r="R92" i="19"/>
  <c r="E92" i="19" s="1"/>
  <c r="O92" i="22" s="1"/>
  <c r="AB92" i="25"/>
  <c r="AW92" i="25"/>
  <c r="I92" i="25" s="1"/>
  <c r="BG92" i="19" s="1"/>
  <c r="AK93" i="19"/>
  <c r="K93" i="19" s="1"/>
  <c r="AN90" i="19"/>
  <c r="X91" i="22" s="1"/>
  <c r="M90" i="19"/>
  <c r="L89" i="19"/>
  <c r="T89" i="22" s="1"/>
  <c r="D94" i="25" l="1"/>
  <c r="C95" i="25"/>
  <c r="S91" i="19"/>
  <c r="AF91" i="19" s="1"/>
  <c r="F91" i="19" s="1"/>
  <c r="AA92" i="25"/>
  <c r="Z92" i="25"/>
  <c r="AV92" i="20" s="1"/>
  <c r="J91" i="25"/>
  <c r="AS93" i="25"/>
  <c r="E93" i="25" s="1"/>
  <c r="BE93" i="19" s="1"/>
  <c r="T92" i="19"/>
  <c r="AV92" i="25"/>
  <c r="H92" i="25" s="1"/>
  <c r="BH92" i="19"/>
  <c r="N90" i="19"/>
  <c r="U90" i="22" s="1"/>
  <c r="AI126" i="19"/>
  <c r="I126" i="19" s="1"/>
  <c r="S126" i="22" s="1"/>
  <c r="BS92" i="19" l="1"/>
  <c r="AW92" i="20"/>
  <c r="AU92" i="25"/>
  <c r="G92" i="25" s="1"/>
  <c r="AB93" i="25" s="1"/>
  <c r="AV93" i="25" s="1"/>
  <c r="P95" i="19"/>
  <c r="C95" i="19" s="1"/>
  <c r="M95" i="22" s="1"/>
  <c r="BC95" i="19"/>
  <c r="W96" i="25"/>
  <c r="Q94" i="19"/>
  <c r="AD94" i="19" s="1"/>
  <c r="D94" i="19" s="1"/>
  <c r="N94" i="22" s="1"/>
  <c r="X95" i="25"/>
  <c r="AU95" i="20" s="1"/>
  <c r="R93" i="19"/>
  <c r="E93" i="19" s="1"/>
  <c r="O93" i="22" s="1"/>
  <c r="Y94" i="25"/>
  <c r="BQ94" i="19" s="1"/>
  <c r="U91" i="19"/>
  <c r="AH91" i="19" s="1"/>
  <c r="H91" i="19" s="1"/>
  <c r="R91" i="22" s="1"/>
  <c r="AE92" i="25"/>
  <c r="AY92" i="20" s="1"/>
  <c r="AD92" i="25"/>
  <c r="AX92" i="20" s="1"/>
  <c r="AC93" i="25"/>
  <c r="AG92" i="19"/>
  <c r="G92" i="19" s="1"/>
  <c r="AJ93" i="19"/>
  <c r="J93" i="19" s="1"/>
  <c r="BO96" i="19" l="1"/>
  <c r="AP97" i="25" s="1"/>
  <c r="AQ96" i="25"/>
  <c r="AR95" i="25"/>
  <c r="BT92" i="19"/>
  <c r="AY92" i="25"/>
  <c r="K92" i="25" s="1"/>
  <c r="AW93" i="25"/>
  <c r="H93" i="25"/>
  <c r="AL90" i="19"/>
  <c r="V91" i="22" s="1"/>
  <c r="AI127" i="19"/>
  <c r="I127" i="19" s="1"/>
  <c r="S127" i="22" s="1"/>
  <c r="D95" i="25" l="1"/>
  <c r="C96" i="25"/>
  <c r="B97" i="25"/>
  <c r="AT92" i="25"/>
  <c r="F92" i="25" s="1"/>
  <c r="BU91" i="19"/>
  <c r="AX92" i="25" s="1"/>
  <c r="I93" i="25"/>
  <c r="BH93" i="19"/>
  <c r="AK94" i="19"/>
  <c r="K94" i="19" s="1"/>
  <c r="L90" i="19"/>
  <c r="T90" i="22" s="1"/>
  <c r="AJ94" i="19"/>
  <c r="J94" i="19" s="1"/>
  <c r="AN91" i="19"/>
  <c r="X92" i="22" s="1"/>
  <c r="M91" i="19"/>
  <c r="O97" i="19" l="1"/>
  <c r="AB97" i="19" s="1"/>
  <c r="B97" i="19" s="1"/>
  <c r="L97" i="22" s="1"/>
  <c r="V98" i="25"/>
  <c r="Q95" i="19"/>
  <c r="AD95" i="19" s="1"/>
  <c r="D95" i="19" s="1"/>
  <c r="N95" i="22" s="1"/>
  <c r="X96" i="25"/>
  <c r="AU96" i="20" s="1"/>
  <c r="P96" i="19"/>
  <c r="C96" i="19" s="1"/>
  <c r="M96" i="22" s="1"/>
  <c r="BC96" i="19"/>
  <c r="W97" i="25"/>
  <c r="J92" i="25"/>
  <c r="S92" i="19"/>
  <c r="AF92" i="19" s="1"/>
  <c r="F92" i="19" s="1"/>
  <c r="BF92" i="19"/>
  <c r="T93" i="19"/>
  <c r="AG93" i="19" s="1"/>
  <c r="G93" i="19" s="1"/>
  <c r="BG93" i="19"/>
  <c r="AC94" i="25"/>
  <c r="Z93" i="25"/>
  <c r="AV93" i="20" s="1"/>
  <c r="AA93" i="25"/>
  <c r="AW93" i="20" s="1"/>
  <c r="N91" i="19"/>
  <c r="U91" i="22" s="1"/>
  <c r="M128" i="22"/>
  <c r="AI128" i="19"/>
  <c r="I128" i="19" s="1"/>
  <c r="S128" i="22" s="1"/>
  <c r="BO97" i="19" l="1"/>
  <c r="AP98" i="25" s="1"/>
  <c r="AQ97" i="25"/>
  <c r="C97" i="25" s="1"/>
  <c r="U92" i="19"/>
  <c r="AH92" i="19" s="1"/>
  <c r="H92" i="19" s="1"/>
  <c r="R92" i="22" s="1"/>
  <c r="AD93" i="25"/>
  <c r="AE93" i="25"/>
  <c r="AY93" i="20" s="1"/>
  <c r="AU93" i="25"/>
  <c r="G93" i="25" s="1"/>
  <c r="BS93" i="19"/>
  <c r="AS94" i="25"/>
  <c r="AK95" i="19"/>
  <c r="K95" i="19" s="1"/>
  <c r="AL91" i="19"/>
  <c r="V92" i="22" s="1"/>
  <c r="AI129" i="19"/>
  <c r="I129" i="19" s="1"/>
  <c r="S129" i="22" s="1"/>
  <c r="AW94" i="25" l="1"/>
  <c r="I94" i="25" s="1"/>
  <c r="AX93" i="20"/>
  <c r="BC97" i="19"/>
  <c r="P97" i="19"/>
  <c r="C97" i="19" s="1"/>
  <c r="M97" i="22" s="1"/>
  <c r="W98" i="25"/>
  <c r="B98" i="25"/>
  <c r="BT93" i="19"/>
  <c r="AT93" i="25"/>
  <c r="F93" i="25" s="1"/>
  <c r="BF93" i="19" s="1"/>
  <c r="BU92" i="19"/>
  <c r="AX93" i="25" s="1"/>
  <c r="AY93" i="25"/>
  <c r="K93" i="25" s="1"/>
  <c r="E94" i="25"/>
  <c r="BE94" i="19" s="1"/>
  <c r="AB94" i="25"/>
  <c r="AV94" i="25" s="1"/>
  <c r="M92" i="19"/>
  <c r="L91" i="19"/>
  <c r="T91" i="22" s="1"/>
  <c r="M129" i="22"/>
  <c r="O98" i="19" l="1"/>
  <c r="AB98" i="19" s="1"/>
  <c r="B98" i="19" s="1"/>
  <c r="L98" i="22" s="1"/>
  <c r="V99" i="25"/>
  <c r="BO98" i="19"/>
  <c r="J93" i="25"/>
  <c r="T94" i="19"/>
  <c r="AG94" i="19" s="1"/>
  <c r="G94" i="19" s="1"/>
  <c r="BG94" i="19"/>
  <c r="Z94" i="25"/>
  <c r="AV94" i="20" s="1"/>
  <c r="S93" i="19"/>
  <c r="AF93" i="19" s="1"/>
  <c r="F93" i="19" s="1"/>
  <c r="Y95" i="25"/>
  <c r="BQ95" i="19" s="1"/>
  <c r="AR96" i="25" s="1"/>
  <c r="R94" i="19"/>
  <c r="E94" i="19" s="1"/>
  <c r="O94" i="22" s="1"/>
  <c r="H94" i="25"/>
  <c r="AC95" i="25" s="1"/>
  <c r="AA94" i="25"/>
  <c r="BH94" i="19"/>
  <c r="AN92" i="19"/>
  <c r="X93" i="22" s="1"/>
  <c r="AI130" i="19"/>
  <c r="I130" i="19" s="1"/>
  <c r="S130" i="22" s="1"/>
  <c r="BS94" i="19" l="1"/>
  <c r="AW94" i="20"/>
  <c r="D96" i="25"/>
  <c r="AP99" i="25"/>
  <c r="U93" i="19"/>
  <c r="AH93" i="19" s="1"/>
  <c r="H93" i="19" s="1"/>
  <c r="R93" i="22" s="1"/>
  <c r="AD94" i="25"/>
  <c r="AX94" i="20" s="1"/>
  <c r="AE94" i="25"/>
  <c r="AY94" i="20" s="1"/>
  <c r="AS95" i="25"/>
  <c r="E95" i="25" s="1"/>
  <c r="BE95" i="19" s="1"/>
  <c r="AU94" i="25"/>
  <c r="G94" i="25" s="1"/>
  <c r="AW95" i="25"/>
  <c r="AJ95" i="19"/>
  <c r="J95" i="19" s="1"/>
  <c r="N92" i="19"/>
  <c r="U92" i="22" s="1"/>
  <c r="B99" i="25" l="1"/>
  <c r="Q96" i="19"/>
  <c r="AD96" i="19" s="1"/>
  <c r="D96" i="19" s="1"/>
  <c r="N96" i="22" s="1"/>
  <c r="X97" i="25"/>
  <c r="AU97" i="20" s="1"/>
  <c r="AY94" i="25"/>
  <c r="K94" i="25" s="1"/>
  <c r="BT94" i="19"/>
  <c r="Y96" i="25"/>
  <c r="BQ96" i="19" s="1"/>
  <c r="R95" i="19"/>
  <c r="E95" i="19" s="1"/>
  <c r="O95" i="22" s="1"/>
  <c r="AB95" i="25"/>
  <c r="I95" i="25"/>
  <c r="AK96" i="19"/>
  <c r="K96" i="19" s="1"/>
  <c r="AL92" i="19"/>
  <c r="V93" i="22" s="1"/>
  <c r="BU93" i="19" s="1"/>
  <c r="AX94" i="25" s="1"/>
  <c r="AI131" i="19"/>
  <c r="I131" i="19" s="1"/>
  <c r="S131" i="22" s="1"/>
  <c r="AQ98" i="25" l="1"/>
  <c r="AR97" i="25"/>
  <c r="O99" i="19"/>
  <c r="AB99" i="19" s="1"/>
  <c r="B99" i="19" s="1"/>
  <c r="L99" i="22" s="1"/>
  <c r="V100" i="25"/>
  <c r="J94" i="25"/>
  <c r="AE95" i="25" s="1"/>
  <c r="AY95" i="20" s="1"/>
  <c r="T95" i="19"/>
  <c r="BG95" i="19"/>
  <c r="AT94" i="25"/>
  <c r="AV95" i="25"/>
  <c r="H95" i="25" s="1"/>
  <c r="AC96" i="25" s="1"/>
  <c r="L92" i="19"/>
  <c r="T92" i="22" s="1"/>
  <c r="AN93" i="19"/>
  <c r="X94" i="22" s="1"/>
  <c r="M93" i="19"/>
  <c r="AI132" i="19"/>
  <c r="I132" i="19" s="1"/>
  <c r="S132" i="22" s="1"/>
  <c r="C98" i="25" l="1"/>
  <c r="D97" i="25"/>
  <c r="U94" i="19"/>
  <c r="AH94" i="19" s="1"/>
  <c r="H94" i="19" s="1"/>
  <c r="R94" i="22" s="1"/>
  <c r="AD95" i="25"/>
  <c r="F94" i="25"/>
  <c r="AG95" i="19"/>
  <c r="G95" i="19" s="1"/>
  <c r="BH95" i="19"/>
  <c r="AL93" i="19"/>
  <c r="V94" i="22" s="1"/>
  <c r="BU94" i="19" s="1"/>
  <c r="N93" i="19"/>
  <c r="U93" i="22" s="1"/>
  <c r="AW96" i="25" l="1"/>
  <c r="I96" i="25" s="1"/>
  <c r="AX95" i="20"/>
  <c r="Q97" i="19"/>
  <c r="AD97" i="19" s="1"/>
  <c r="D97" i="19" s="1"/>
  <c r="N97" i="22" s="1"/>
  <c r="X98" i="25"/>
  <c r="AU98" i="20" s="1"/>
  <c r="P98" i="19"/>
  <c r="C98" i="19" s="1"/>
  <c r="M98" i="22" s="1"/>
  <c r="BC98" i="19"/>
  <c r="W99" i="25"/>
  <c r="BT95" i="19"/>
  <c r="AX95" i="25"/>
  <c r="S94" i="19"/>
  <c r="AF94" i="19" s="1"/>
  <c r="F94" i="19" s="1"/>
  <c r="BF94" i="19"/>
  <c r="AY95" i="25" s="1"/>
  <c r="Z95" i="25"/>
  <c r="AV95" i="20" s="1"/>
  <c r="AA95" i="25"/>
  <c r="AJ96" i="19"/>
  <c r="J96" i="19" s="1"/>
  <c r="L93" i="19"/>
  <c r="T93" i="22" s="1"/>
  <c r="M94" i="19"/>
  <c r="BS95" i="19" l="1"/>
  <c r="AW95" i="20"/>
  <c r="BO99" i="19"/>
  <c r="AP100" i="25" s="1"/>
  <c r="B100" i="25" s="1"/>
  <c r="AQ99" i="25"/>
  <c r="J95" i="25"/>
  <c r="K95" i="25"/>
  <c r="T96" i="19"/>
  <c r="BG96" i="19"/>
  <c r="AU95" i="25"/>
  <c r="G95" i="25" s="1"/>
  <c r="AS96" i="25"/>
  <c r="AT95" i="25"/>
  <c r="F95" i="25" s="1"/>
  <c r="BF95" i="19" s="1"/>
  <c r="AI133" i="19"/>
  <c r="I133" i="19" s="1"/>
  <c r="S133" i="22" s="1"/>
  <c r="O100" i="19" l="1"/>
  <c r="AB100" i="19" s="1"/>
  <c r="B100" i="19" s="1"/>
  <c r="L100" i="22" s="1"/>
  <c r="V101" i="25"/>
  <c r="AE96" i="25"/>
  <c r="C99" i="25"/>
  <c r="U95" i="19"/>
  <c r="AH95" i="19" s="1"/>
  <c r="H95" i="19" s="1"/>
  <c r="R95" i="22" s="1"/>
  <c r="AD96" i="25"/>
  <c r="AX96" i="20" s="1"/>
  <c r="Z96" i="25"/>
  <c r="AV96" i="20" s="1"/>
  <c r="S95" i="19"/>
  <c r="AF95" i="19" s="1"/>
  <c r="F95" i="19" s="1"/>
  <c r="E96" i="25"/>
  <c r="BE96" i="19" s="1"/>
  <c r="AA96" i="25"/>
  <c r="AB96" i="25"/>
  <c r="AK97" i="19"/>
  <c r="K97" i="19" s="1"/>
  <c r="AG96" i="19"/>
  <c r="G96" i="19" s="1"/>
  <c r="BH96" i="19"/>
  <c r="AN94" i="19"/>
  <c r="X95" i="22" s="1"/>
  <c r="AY96" i="25" l="1"/>
  <c r="K96" i="25" s="1"/>
  <c r="AY96" i="20"/>
  <c r="BS96" i="19"/>
  <c r="AW96" i="20"/>
  <c r="BC99" i="19"/>
  <c r="P99" i="19"/>
  <c r="C99" i="19" s="1"/>
  <c r="M99" i="22" s="1"/>
  <c r="W100" i="25"/>
  <c r="BT96" i="19"/>
  <c r="Y97" i="25"/>
  <c r="R96" i="19"/>
  <c r="E96" i="19" s="1"/>
  <c r="O96" i="22" s="1"/>
  <c r="AU96" i="25"/>
  <c r="AV96" i="25"/>
  <c r="H96" i="25" s="1"/>
  <c r="AJ97" i="19"/>
  <c r="J97" i="19" s="1"/>
  <c r="N94" i="19"/>
  <c r="U94" i="22" s="1"/>
  <c r="AL94" i="19"/>
  <c r="V95" i="22" s="1"/>
  <c r="AS97" i="25" l="1"/>
  <c r="E97" i="25" s="1"/>
  <c r="BE97" i="19" s="1"/>
  <c r="BQ97" i="19"/>
  <c r="AR98" i="25" s="1"/>
  <c r="BO100" i="19"/>
  <c r="AP101" i="25" s="1"/>
  <c r="AT96" i="25"/>
  <c r="F96" i="25" s="1"/>
  <c r="BF96" i="19" s="1"/>
  <c r="BU95" i="19"/>
  <c r="AX96" i="25" s="1"/>
  <c r="AC97" i="25"/>
  <c r="G96" i="25"/>
  <c r="BH97" i="19"/>
  <c r="L94" i="19"/>
  <c r="T94" i="22" s="1"/>
  <c r="M95" i="19"/>
  <c r="AI134" i="19"/>
  <c r="I134" i="19" s="1"/>
  <c r="S134" i="22" s="1"/>
  <c r="R97" i="19" l="1"/>
  <c r="E97" i="19" s="1"/>
  <c r="O97" i="22" s="1"/>
  <c r="Y98" i="25"/>
  <c r="BQ98" i="19" s="1"/>
  <c r="B101" i="25"/>
  <c r="D98" i="25"/>
  <c r="J96" i="25"/>
  <c r="AA97" i="25"/>
  <c r="AW97" i="20" s="1"/>
  <c r="Z97" i="25"/>
  <c r="S96" i="19"/>
  <c r="AF96" i="19" s="1"/>
  <c r="F96" i="19" s="1"/>
  <c r="AB97" i="25"/>
  <c r="AV97" i="25" s="1"/>
  <c r="AW97" i="25"/>
  <c r="AJ98" i="19"/>
  <c r="J98" i="19" s="1"/>
  <c r="AK98" i="19"/>
  <c r="K98" i="19" s="1"/>
  <c r="AN95" i="19"/>
  <c r="X96" i="22" s="1"/>
  <c r="AS98" i="25" l="1"/>
  <c r="E98" i="25" s="1"/>
  <c r="BE98" i="19" s="1"/>
  <c r="AV97" i="20"/>
  <c r="O101" i="19"/>
  <c r="AB101" i="19" s="1"/>
  <c r="B101" i="19" s="1"/>
  <c r="L101" i="22" s="1"/>
  <c r="V102" i="25"/>
  <c r="Q98" i="19"/>
  <c r="AD98" i="19" s="1"/>
  <c r="D98" i="19" s="1"/>
  <c r="N98" i="22" s="1"/>
  <c r="X99" i="25"/>
  <c r="AU99" i="20" s="1"/>
  <c r="U96" i="19"/>
  <c r="AH96" i="19" s="1"/>
  <c r="H96" i="19" s="1"/>
  <c r="R96" i="22" s="1"/>
  <c r="AE97" i="25"/>
  <c r="AY97" i="20" s="1"/>
  <c r="AD97" i="25"/>
  <c r="AX97" i="20" s="1"/>
  <c r="AU97" i="25"/>
  <c r="G97" i="25" s="1"/>
  <c r="BS97" i="19"/>
  <c r="H97" i="25"/>
  <c r="I97" i="25"/>
  <c r="N95" i="19"/>
  <c r="U95" i="22" s="1"/>
  <c r="AI135" i="19"/>
  <c r="I135" i="19" s="1"/>
  <c r="S135" i="22" s="1"/>
  <c r="M135" i="22"/>
  <c r="R98" i="19" l="1"/>
  <c r="E98" i="19" s="1"/>
  <c r="O98" i="22" s="1"/>
  <c r="Y99" i="25"/>
  <c r="BQ99" i="19" s="1"/>
  <c r="AQ100" i="25"/>
  <c r="AR99" i="25"/>
  <c r="BT97" i="19"/>
  <c r="AY97" i="25"/>
  <c r="K97" i="25" s="1"/>
  <c r="T97" i="19"/>
  <c r="AG97" i="19" s="1"/>
  <c r="G97" i="19" s="1"/>
  <c r="BG97" i="19"/>
  <c r="AB98" i="25"/>
  <c r="AV98" i="25" s="1"/>
  <c r="AC98" i="25"/>
  <c r="AK99" i="19"/>
  <c r="K99" i="19" s="1"/>
  <c r="AL95" i="19"/>
  <c r="V96" i="22" s="1"/>
  <c r="BU96" i="19" s="1"/>
  <c r="AX97" i="25" s="1"/>
  <c r="J97" i="25" s="1"/>
  <c r="C100" i="25" l="1"/>
  <c r="D99" i="25"/>
  <c r="U97" i="19"/>
  <c r="AH97" i="19" s="1"/>
  <c r="H97" i="19" s="1"/>
  <c r="R97" i="22" s="1"/>
  <c r="AD98" i="25"/>
  <c r="AE98" i="25"/>
  <c r="AY98" i="20" s="1"/>
  <c r="H98" i="25"/>
  <c r="L95" i="19"/>
  <c r="T95" i="22" s="1"/>
  <c r="AW98" i="25"/>
  <c r="AT97" i="25"/>
  <c r="M96" i="19"/>
  <c r="AI136" i="19"/>
  <c r="I136" i="19" s="1"/>
  <c r="S136" i="22" s="1"/>
  <c r="BT98" i="19" l="1"/>
  <c r="AX98" i="20"/>
  <c r="Q99" i="19"/>
  <c r="AD99" i="19" s="1"/>
  <c r="D99" i="19" s="1"/>
  <c r="N99" i="22" s="1"/>
  <c r="X100" i="25"/>
  <c r="AU100" i="20" s="1"/>
  <c r="P100" i="19"/>
  <c r="C100" i="19" s="1"/>
  <c r="M100" i="22" s="1"/>
  <c r="BC100" i="19"/>
  <c r="W101" i="25"/>
  <c r="I98" i="25"/>
  <c r="BG98" i="19" s="1"/>
  <c r="F97" i="25"/>
  <c r="BH98" i="19"/>
  <c r="AN96" i="19"/>
  <c r="X97" i="22" s="1"/>
  <c r="AI137" i="19"/>
  <c r="I137" i="19" s="1"/>
  <c r="S137" i="22" s="1"/>
  <c r="AR100" i="25" l="1"/>
  <c r="BO101" i="19"/>
  <c r="AP102" i="25" s="1"/>
  <c r="B102" i="25" s="1"/>
  <c r="AQ101" i="25"/>
  <c r="S97" i="19"/>
  <c r="AF97" i="19" s="1"/>
  <c r="F97" i="19" s="1"/>
  <c r="BF97" i="19"/>
  <c r="AY98" i="25" s="1"/>
  <c r="K98" i="25" s="1"/>
  <c r="AC99" i="25"/>
  <c r="AW99" i="25" s="1"/>
  <c r="T98" i="19"/>
  <c r="AG98" i="19" s="1"/>
  <c r="G98" i="19" s="1"/>
  <c r="Z98" i="25"/>
  <c r="AV98" i="20" s="1"/>
  <c r="AA98" i="25"/>
  <c r="AJ99" i="19"/>
  <c r="J99" i="19" s="1"/>
  <c r="N96" i="19"/>
  <c r="U96" i="22" s="1"/>
  <c r="AL96" i="19"/>
  <c r="V97" i="22" s="1"/>
  <c r="BU97" i="19" s="1"/>
  <c r="AX98" i="25" s="1"/>
  <c r="J98" i="25" s="1"/>
  <c r="U98" i="19" s="1"/>
  <c r="AH98" i="19" s="1"/>
  <c r="H98" i="19" s="1"/>
  <c r="R98" i="22" s="1"/>
  <c r="BS98" i="19" l="1"/>
  <c r="AW98" i="20"/>
  <c r="O102" i="19"/>
  <c r="AB102" i="19" s="1"/>
  <c r="B102" i="19" s="1"/>
  <c r="L102" i="22" s="1"/>
  <c r="V103" i="25"/>
  <c r="C101" i="25"/>
  <c r="D100" i="25"/>
  <c r="AD99" i="25"/>
  <c r="AE99" i="25"/>
  <c r="AY99" i="20" s="1"/>
  <c r="AU98" i="25"/>
  <c r="G98" i="25" s="1"/>
  <c r="I99" i="25"/>
  <c r="AS99" i="25"/>
  <c r="AT98" i="25"/>
  <c r="M97" i="19"/>
  <c r="L96" i="19"/>
  <c r="T96" i="22" s="1"/>
  <c r="AI138" i="19"/>
  <c r="I138" i="19" s="1"/>
  <c r="S138" i="22" s="1"/>
  <c r="BT99" i="19" l="1"/>
  <c r="AX99" i="20"/>
  <c r="Q100" i="19"/>
  <c r="AD100" i="19" s="1"/>
  <c r="D100" i="19" s="1"/>
  <c r="N100" i="22" s="1"/>
  <c r="X101" i="25"/>
  <c r="AU101" i="20" s="1"/>
  <c r="P101" i="19"/>
  <c r="C101" i="19" s="1"/>
  <c r="M101" i="22" s="1"/>
  <c r="BC101" i="19"/>
  <c r="W102" i="25"/>
  <c r="T99" i="19"/>
  <c r="BG99" i="19"/>
  <c r="AB99" i="25"/>
  <c r="AV99" i="25" s="1"/>
  <c r="F98" i="25"/>
  <c r="BF98" i="19" s="1"/>
  <c r="AY99" i="25" s="1"/>
  <c r="K99" i="25" s="1"/>
  <c r="E99" i="25"/>
  <c r="BE99" i="19" s="1"/>
  <c r="AK100" i="19"/>
  <c r="K100" i="19" s="1"/>
  <c r="AN97" i="19"/>
  <c r="X98" i="22" s="1"/>
  <c r="BO102" i="19" l="1"/>
  <c r="AP103" i="25" s="1"/>
  <c r="AQ102" i="25"/>
  <c r="Y100" i="25"/>
  <c r="BQ100" i="19" s="1"/>
  <c r="AR101" i="25" s="1"/>
  <c r="D101" i="25" s="1"/>
  <c r="R99" i="19"/>
  <c r="E99" i="19" s="1"/>
  <c r="O99" i="22" s="1"/>
  <c r="Z99" i="25"/>
  <c r="AV99" i="20" s="1"/>
  <c r="S98" i="19"/>
  <c r="AF98" i="19" s="1"/>
  <c r="F98" i="19" s="1"/>
  <c r="H99" i="25"/>
  <c r="AA99" i="25"/>
  <c r="BH99" i="19"/>
  <c r="AG99" i="19"/>
  <c r="G99" i="19" s="1"/>
  <c r="N97" i="19"/>
  <c r="U97" i="22" s="1"/>
  <c r="AI139" i="19"/>
  <c r="I139" i="19" s="1"/>
  <c r="S139" i="22" s="1"/>
  <c r="BS99" i="19" l="1"/>
  <c r="AW99" i="20"/>
  <c r="Q101" i="19"/>
  <c r="AD101" i="19" s="1"/>
  <c r="D101" i="19" s="1"/>
  <c r="N101" i="22" s="1"/>
  <c r="X102" i="25"/>
  <c r="AU102" i="20" s="1"/>
  <c r="C102" i="25"/>
  <c r="B103" i="25"/>
  <c r="AS100" i="25"/>
  <c r="E100" i="25" s="1"/>
  <c r="BE100" i="19" s="1"/>
  <c r="AU99" i="25"/>
  <c r="G99" i="25" s="1"/>
  <c r="AC100" i="25"/>
  <c r="AL97" i="19"/>
  <c r="V98" i="22" s="1"/>
  <c r="BU98" i="19" s="1"/>
  <c r="AX99" i="25" s="1"/>
  <c r="AI140" i="19"/>
  <c r="I140" i="19" s="1"/>
  <c r="S140" i="22" s="1"/>
  <c r="O103" i="19" l="1"/>
  <c r="AB103" i="19" s="1"/>
  <c r="B103" i="19" s="1"/>
  <c r="L103" i="22" s="1"/>
  <c r="V104" i="25"/>
  <c r="P102" i="19"/>
  <c r="C102" i="19" s="1"/>
  <c r="M102" i="22" s="1"/>
  <c r="BC102" i="19"/>
  <c r="W103" i="25"/>
  <c r="J99" i="25"/>
  <c r="R100" i="19"/>
  <c r="E100" i="19" s="1"/>
  <c r="O100" i="22" s="1"/>
  <c r="Y101" i="25"/>
  <c r="BQ101" i="19" s="1"/>
  <c r="AR102" i="25" s="1"/>
  <c r="AB100" i="25"/>
  <c r="AT99" i="25"/>
  <c r="F99" i="25" s="1"/>
  <c r="BF99" i="19" s="1"/>
  <c r="AW100" i="25"/>
  <c r="I100" i="25" s="1"/>
  <c r="L97" i="19"/>
  <c r="T97" i="22" s="1"/>
  <c r="AJ100" i="19"/>
  <c r="J100" i="19" s="1"/>
  <c r="M98" i="19"/>
  <c r="D102" i="25" l="1"/>
  <c r="BO103" i="19"/>
  <c r="AP104" i="25" s="1"/>
  <c r="B104" i="25" s="1"/>
  <c r="AQ103" i="25"/>
  <c r="C103" i="25" s="1"/>
  <c r="U99" i="19"/>
  <c r="AH99" i="19" s="1"/>
  <c r="H99" i="19" s="1"/>
  <c r="R99" i="22" s="1"/>
  <c r="AD100" i="25"/>
  <c r="AX100" i="20" s="1"/>
  <c r="AE100" i="25"/>
  <c r="AY100" i="20" s="1"/>
  <c r="T100" i="19"/>
  <c r="AG100" i="19" s="1"/>
  <c r="G100" i="19" s="1"/>
  <c r="BG100" i="19"/>
  <c r="Z100" i="25"/>
  <c r="S99" i="19"/>
  <c r="AF99" i="19" s="1"/>
  <c r="F99" i="19" s="1"/>
  <c r="AV100" i="25"/>
  <c r="AA100" i="25"/>
  <c r="BH100" i="19"/>
  <c r="AN98" i="19"/>
  <c r="X99" i="22" s="1"/>
  <c r="AI141" i="19"/>
  <c r="I141" i="19" s="1"/>
  <c r="S141" i="22" s="1"/>
  <c r="BS100" i="19" l="1"/>
  <c r="AW100" i="20"/>
  <c r="AS101" i="25"/>
  <c r="E101" i="25" s="1"/>
  <c r="BE101" i="19" s="1"/>
  <c r="AV100" i="20"/>
  <c r="O104" i="19"/>
  <c r="AB104" i="19" s="1"/>
  <c r="B104" i="19" s="1"/>
  <c r="L104" i="22" s="1"/>
  <c r="V105" i="25"/>
  <c r="BC103" i="19"/>
  <c r="P103" i="19"/>
  <c r="C103" i="19" s="1"/>
  <c r="Q102" i="19"/>
  <c r="AD102" i="19" s="1"/>
  <c r="D102" i="19" s="1"/>
  <c r="N102" i="22" s="1"/>
  <c r="X103" i="25"/>
  <c r="AU103" i="20" s="1"/>
  <c r="W104" i="25"/>
  <c r="BT100" i="19"/>
  <c r="AY100" i="25"/>
  <c r="K100" i="25" s="1"/>
  <c r="AU100" i="25"/>
  <c r="G100" i="25" s="1"/>
  <c r="H100" i="25"/>
  <c r="AK101" i="19"/>
  <c r="K101" i="19" s="1"/>
  <c r="AJ101" i="19"/>
  <c r="J101" i="19" s="1"/>
  <c r="AL98" i="19"/>
  <c r="V99" i="22" s="1"/>
  <c r="N98" i="19"/>
  <c r="U98" i="22" s="1"/>
  <c r="BO104" i="19" l="1"/>
  <c r="AP105" i="25" s="1"/>
  <c r="B105" i="25" s="1"/>
  <c r="O105" i="19" s="1"/>
  <c r="AB105" i="19" s="1"/>
  <c r="B105" i="19" s="1"/>
  <c r="L105" i="22" s="1"/>
  <c r="AQ104" i="25"/>
  <c r="C104" i="25" s="1"/>
  <c r="AT100" i="25"/>
  <c r="F100" i="25" s="1"/>
  <c r="BF100" i="19" s="1"/>
  <c r="BU99" i="19"/>
  <c r="AX100" i="25" s="1"/>
  <c r="Y102" i="25"/>
  <c r="BQ102" i="19" s="1"/>
  <c r="AR103" i="25" s="1"/>
  <c r="R101" i="19"/>
  <c r="E101" i="19" s="1"/>
  <c r="O101" i="22" s="1"/>
  <c r="AB101" i="25"/>
  <c r="AC101" i="25"/>
  <c r="AK102" i="19"/>
  <c r="K102" i="19" s="1"/>
  <c r="L98" i="19"/>
  <c r="T98" i="22" s="1"/>
  <c r="M99" i="19"/>
  <c r="BC104" i="19" l="1"/>
  <c r="P104" i="19"/>
  <c r="C104" i="19" s="1"/>
  <c r="M104" i="22" s="1"/>
  <c r="W105" i="25"/>
  <c r="D103" i="25"/>
  <c r="V106" i="25"/>
  <c r="J100" i="25"/>
  <c r="Z101" i="25"/>
  <c r="S100" i="19"/>
  <c r="AF100" i="19" s="1"/>
  <c r="F100" i="19" s="1"/>
  <c r="AV101" i="25"/>
  <c r="AW101" i="25"/>
  <c r="AA101" i="25"/>
  <c r="BH101" i="19"/>
  <c r="AI143" i="19"/>
  <c r="I143" i="19" s="1"/>
  <c r="S143" i="22" s="1"/>
  <c r="BS101" i="19" l="1"/>
  <c r="AW101" i="20"/>
  <c r="AS102" i="25"/>
  <c r="E102" i="25" s="1"/>
  <c r="BE102" i="19" s="1"/>
  <c r="AV101" i="20"/>
  <c r="BO105" i="19"/>
  <c r="AP106" i="25" s="1"/>
  <c r="B106" i="25" s="1"/>
  <c r="O106" i="19" s="1"/>
  <c r="AB106" i="19" s="1"/>
  <c r="B106" i="19" s="1"/>
  <c r="L106" i="22" s="1"/>
  <c r="Q103" i="19"/>
  <c r="AD103" i="19" s="1"/>
  <c r="D103" i="19" s="1"/>
  <c r="N103" i="22" s="1"/>
  <c r="X104" i="25"/>
  <c r="AU104" i="20" s="1"/>
  <c r="U100" i="19"/>
  <c r="AH100" i="19" s="1"/>
  <c r="H100" i="19" s="1"/>
  <c r="R100" i="22" s="1"/>
  <c r="AD101" i="25"/>
  <c r="AX101" i="20" s="1"/>
  <c r="AE101" i="25"/>
  <c r="AY101" i="20" s="1"/>
  <c r="AU101" i="25"/>
  <c r="G101" i="25" s="1"/>
  <c r="H101" i="25"/>
  <c r="I101" i="25"/>
  <c r="AL99" i="19"/>
  <c r="V100" i="22" s="1"/>
  <c r="AN99" i="19"/>
  <c r="X100" i="22" s="1"/>
  <c r="Y103" i="25" l="1"/>
  <c r="BQ103" i="19" s="1"/>
  <c r="R102" i="19"/>
  <c r="E102" i="19" s="1"/>
  <c r="O102" i="22" s="1"/>
  <c r="BU100" i="19"/>
  <c r="AX101" i="25" s="1"/>
  <c r="J101" i="25" s="1"/>
  <c r="AQ105" i="25"/>
  <c r="AR104" i="25"/>
  <c r="V107" i="25"/>
  <c r="AY101" i="25"/>
  <c r="K101" i="25" s="1"/>
  <c r="BT101" i="19"/>
  <c r="T101" i="19"/>
  <c r="AG101" i="19" s="1"/>
  <c r="G101" i="19" s="1"/>
  <c r="BG101" i="19"/>
  <c r="AC102" i="25"/>
  <c r="AB102" i="25"/>
  <c r="AT101" i="25"/>
  <c r="AJ102" i="19"/>
  <c r="J102" i="19" s="1"/>
  <c r="N99" i="19"/>
  <c r="U99" i="22" s="1"/>
  <c r="AN100" i="19" s="1"/>
  <c r="L99" i="19"/>
  <c r="T99" i="22" s="1"/>
  <c r="M100" i="19"/>
  <c r="AI144" i="19"/>
  <c r="I144" i="19" s="1"/>
  <c r="S144" i="22" s="1"/>
  <c r="C105" i="25" l="1"/>
  <c r="D104" i="25"/>
  <c r="U101" i="19"/>
  <c r="AH101" i="19" s="1"/>
  <c r="H101" i="19" s="1"/>
  <c r="R101" i="22" s="1"/>
  <c r="AD102" i="25"/>
  <c r="AE102" i="25"/>
  <c r="AY102" i="20" s="1"/>
  <c r="AV102" i="25"/>
  <c r="AW102" i="25"/>
  <c r="F101" i="25"/>
  <c r="N100" i="19"/>
  <c r="U100" i="22" s="1"/>
  <c r="X101" i="22"/>
  <c r="BT102" i="19" l="1"/>
  <c r="AX102" i="20"/>
  <c r="P105" i="19"/>
  <c r="C105" i="19" s="1"/>
  <c r="M105" i="22" s="1"/>
  <c r="BC105" i="19"/>
  <c r="W106" i="25"/>
  <c r="Q104" i="19"/>
  <c r="AD104" i="19" s="1"/>
  <c r="D104" i="19" s="1"/>
  <c r="N104" i="22" s="1"/>
  <c r="X105" i="25"/>
  <c r="AU105" i="20" s="1"/>
  <c r="S101" i="19"/>
  <c r="AF101" i="19" s="1"/>
  <c r="F101" i="19" s="1"/>
  <c r="BF101" i="19"/>
  <c r="AY102" i="25" s="1"/>
  <c r="K102" i="25" s="1"/>
  <c r="I102" i="25"/>
  <c r="Z102" i="25"/>
  <c r="AV102" i="20" s="1"/>
  <c r="AA102" i="25"/>
  <c r="AW102" i="20" s="1"/>
  <c r="H102" i="25"/>
  <c r="AK103" i="19"/>
  <c r="K103" i="19" s="1"/>
  <c r="BH102" i="19"/>
  <c r="AN101" i="19"/>
  <c r="X102" i="22" s="1"/>
  <c r="BO106" i="19" l="1"/>
  <c r="AP107" i="25" s="1"/>
  <c r="B107" i="25" s="1"/>
  <c r="AQ106" i="25"/>
  <c r="AU102" i="25"/>
  <c r="G102" i="25" s="1"/>
  <c r="AB103" i="25" s="1"/>
  <c r="AV103" i="25" s="1"/>
  <c r="BS102" i="19"/>
  <c r="T102" i="19"/>
  <c r="AG102" i="19" s="1"/>
  <c r="G102" i="19" s="1"/>
  <c r="BG102" i="19"/>
  <c r="AS103" i="25"/>
  <c r="AC103" i="25"/>
  <c r="N101" i="19"/>
  <c r="U101" i="22" s="1"/>
  <c r="AL100" i="19"/>
  <c r="V101" i="22" s="1"/>
  <c r="AI145" i="19"/>
  <c r="I145" i="19" s="1"/>
  <c r="S145" i="22" s="1"/>
  <c r="C106" i="25" l="1"/>
  <c r="O107" i="19"/>
  <c r="AB107" i="19" s="1"/>
  <c r="B107" i="19" s="1"/>
  <c r="L107" i="22" s="1"/>
  <c r="V108" i="25"/>
  <c r="BU101" i="19"/>
  <c r="AX102" i="25" s="1"/>
  <c r="J102" i="25" s="1"/>
  <c r="AT102" i="25"/>
  <c r="H103" i="25"/>
  <c r="AW103" i="25"/>
  <c r="E103" i="25"/>
  <c r="BE103" i="19" s="1"/>
  <c r="AJ103" i="19"/>
  <c r="J103" i="19" s="1"/>
  <c r="M101" i="19"/>
  <c r="L100" i="19"/>
  <c r="T100" i="22" s="1"/>
  <c r="P106" i="19" l="1"/>
  <c r="C106" i="19" s="1"/>
  <c r="M106" i="22" s="1"/>
  <c r="BC106" i="19"/>
  <c r="W107" i="25"/>
  <c r="U102" i="19"/>
  <c r="AH102" i="19" s="1"/>
  <c r="H102" i="19" s="1"/>
  <c r="R102" i="22" s="1"/>
  <c r="AE103" i="25"/>
  <c r="AY103" i="20" s="1"/>
  <c r="AD103" i="25"/>
  <c r="Y104" i="25"/>
  <c r="BQ104" i="19" s="1"/>
  <c r="AR105" i="25" s="1"/>
  <c r="R103" i="19"/>
  <c r="E103" i="19" s="1"/>
  <c r="O103" i="22" s="1"/>
  <c r="I103" i="25"/>
  <c r="BG103" i="19" s="1"/>
  <c r="F102" i="25"/>
  <c r="BH103" i="19"/>
  <c r="AI146" i="19"/>
  <c r="I146" i="19" s="1"/>
  <c r="S146" i="22" s="1"/>
  <c r="BT103" i="19" l="1"/>
  <c r="AX103" i="20"/>
  <c r="BO107" i="19"/>
  <c r="AP108" i="25" s="1"/>
  <c r="D105" i="25"/>
  <c r="S102" i="19"/>
  <c r="AF102" i="19" s="1"/>
  <c r="F102" i="19" s="1"/>
  <c r="BF102" i="19"/>
  <c r="AY103" i="25" s="1"/>
  <c r="K103" i="25" s="1"/>
  <c r="AC104" i="25"/>
  <c r="AW104" i="25" s="1"/>
  <c r="T103" i="19"/>
  <c r="AG103" i="19" s="1"/>
  <c r="G103" i="19" s="1"/>
  <c r="Z103" i="25"/>
  <c r="AV103" i="20" s="1"/>
  <c r="AA103" i="25"/>
  <c r="AK104" i="19"/>
  <c r="K104" i="19" s="1"/>
  <c r="AJ104" i="19"/>
  <c r="J104" i="19" s="1"/>
  <c r="BS103" i="19" l="1"/>
  <c r="AW103" i="20"/>
  <c r="Q105" i="19"/>
  <c r="AD105" i="19" s="1"/>
  <c r="D105" i="19" s="1"/>
  <c r="N105" i="22" s="1"/>
  <c r="X106" i="25"/>
  <c r="AU106" i="20" s="1"/>
  <c r="B108" i="25"/>
  <c r="AU103" i="25"/>
  <c r="AS104" i="25"/>
  <c r="I104" i="25"/>
  <c r="AK105" i="19"/>
  <c r="K105" i="19" s="1"/>
  <c r="AN102" i="19"/>
  <c r="X103" i="22" s="1"/>
  <c r="AL101" i="19"/>
  <c r="V102" i="22" s="1"/>
  <c r="AQ107" i="25" l="1"/>
  <c r="O108" i="19"/>
  <c r="AB108" i="19" s="1"/>
  <c r="B108" i="19" s="1"/>
  <c r="L108" i="22" s="1"/>
  <c r="V109" i="25"/>
  <c r="AT103" i="25"/>
  <c r="F103" i="25" s="1"/>
  <c r="BF103" i="19" s="1"/>
  <c r="BU102" i="19"/>
  <c r="AX103" i="25" s="1"/>
  <c r="T104" i="19"/>
  <c r="BG104" i="19"/>
  <c r="E104" i="25"/>
  <c r="BE104" i="19" s="1"/>
  <c r="G103" i="25"/>
  <c r="M102" i="19"/>
  <c r="L101" i="19"/>
  <c r="T101" i="22" s="1"/>
  <c r="N102" i="19"/>
  <c r="U102" i="22" s="1"/>
  <c r="C107" i="25" l="1"/>
  <c r="J103" i="25"/>
  <c r="Y105" i="25"/>
  <c r="BQ105" i="19" s="1"/>
  <c r="AR106" i="25" s="1"/>
  <c r="R104" i="19"/>
  <c r="E104" i="19" s="1"/>
  <c r="O104" i="22" s="1"/>
  <c r="Z104" i="25"/>
  <c r="AV104" i="20" s="1"/>
  <c r="S103" i="19"/>
  <c r="AF103" i="19" s="1"/>
  <c r="F103" i="19" s="1"/>
  <c r="AA104" i="25"/>
  <c r="AB104" i="25"/>
  <c r="AV104" i="25" s="1"/>
  <c r="BH104" i="19"/>
  <c r="AI148" i="19"/>
  <c r="I148" i="19" s="1"/>
  <c r="S148" i="22" s="1"/>
  <c r="BS104" i="19" l="1"/>
  <c r="AW104" i="20"/>
  <c r="D106" i="25"/>
  <c r="P107" i="19"/>
  <c r="C107" i="19" s="1"/>
  <c r="M107" i="22" s="1"/>
  <c r="BC107" i="19"/>
  <c r="W108" i="25"/>
  <c r="AS105" i="25"/>
  <c r="E105" i="25" s="1"/>
  <c r="BE105" i="19" s="1"/>
  <c r="U103" i="19"/>
  <c r="AH103" i="19" s="1"/>
  <c r="H103" i="19" s="1"/>
  <c r="R103" i="22" s="1"/>
  <c r="AD104" i="25"/>
  <c r="AX104" i="20" s="1"/>
  <c r="AE104" i="25"/>
  <c r="AY104" i="20" s="1"/>
  <c r="H104" i="25"/>
  <c r="AU104" i="25"/>
  <c r="G104" i="25" s="1"/>
  <c r="AJ105" i="19"/>
  <c r="J105" i="19" s="1"/>
  <c r="AG104" i="19"/>
  <c r="G104" i="19" s="1"/>
  <c r="AI149" i="19"/>
  <c r="I149" i="19" s="1"/>
  <c r="S149" i="22" s="1"/>
  <c r="Y106" i="25" l="1"/>
  <c r="BQ106" i="19" s="1"/>
  <c r="Q106" i="19"/>
  <c r="AD106" i="19" s="1"/>
  <c r="D106" i="19" s="1"/>
  <c r="N106" i="22" s="1"/>
  <c r="X107" i="25"/>
  <c r="BO108" i="19"/>
  <c r="AP109" i="25" s="1"/>
  <c r="R105" i="19"/>
  <c r="E105" i="19" s="1"/>
  <c r="O105" i="22" s="1"/>
  <c r="AY104" i="25"/>
  <c r="K104" i="25" s="1"/>
  <c r="BT104" i="19"/>
  <c r="AB105" i="25"/>
  <c r="AC105" i="25"/>
  <c r="AN103" i="19"/>
  <c r="X104" i="22" s="1"/>
  <c r="AL102" i="19"/>
  <c r="V103" i="22" s="1"/>
  <c r="AQ108" i="25" l="1"/>
  <c r="C108" i="25" s="1"/>
  <c r="P108" i="19" s="1"/>
  <c r="C108" i="19" s="1"/>
  <c r="M108" i="22" s="1"/>
  <c r="AU107" i="20"/>
  <c r="B109" i="25"/>
  <c r="AR107" i="25"/>
  <c r="D107" i="25" s="1"/>
  <c r="AT104" i="25"/>
  <c r="F104" i="25" s="1"/>
  <c r="BU103" i="19"/>
  <c r="AX104" i="25" s="1"/>
  <c r="AW105" i="25"/>
  <c r="AV105" i="25"/>
  <c r="L102" i="19"/>
  <c r="T102" i="22" s="1"/>
  <c r="AK106" i="19"/>
  <c r="K106" i="19" s="1"/>
  <c r="N103" i="19"/>
  <c r="U103" i="22" s="1"/>
  <c r="M103" i="19"/>
  <c r="AI150" i="19"/>
  <c r="I150" i="19" s="1"/>
  <c r="S150" i="22" s="1"/>
  <c r="W109" i="25" l="1"/>
  <c r="BO109" i="19" s="1"/>
  <c r="BC108" i="19"/>
  <c r="Q107" i="19"/>
  <c r="AD107" i="19" s="1"/>
  <c r="D107" i="19" s="1"/>
  <c r="N107" i="22" s="1"/>
  <c r="X108" i="25"/>
  <c r="AU108" i="20" s="1"/>
  <c r="O109" i="19"/>
  <c r="AB109" i="19" s="1"/>
  <c r="B109" i="19" s="1"/>
  <c r="L109" i="22" s="1"/>
  <c r="V110" i="25"/>
  <c r="J104" i="25"/>
  <c r="S104" i="19"/>
  <c r="AF104" i="19" s="1"/>
  <c r="F104" i="19" s="1"/>
  <c r="BF104" i="19"/>
  <c r="Z105" i="25"/>
  <c r="AV105" i="20" s="1"/>
  <c r="AA105" i="25"/>
  <c r="I105" i="25"/>
  <c r="H105" i="25"/>
  <c r="BH105" i="19"/>
  <c r="AL103" i="19"/>
  <c r="V104" i="22" s="1"/>
  <c r="BU104" i="19" s="1"/>
  <c r="BS105" i="19" l="1"/>
  <c r="AW105" i="20"/>
  <c r="AP110" i="25"/>
  <c r="AQ109" i="25"/>
  <c r="U104" i="19"/>
  <c r="AH104" i="19" s="1"/>
  <c r="H104" i="19" s="1"/>
  <c r="R104" i="22" s="1"/>
  <c r="AD105" i="25"/>
  <c r="AX105" i="20" s="1"/>
  <c r="AE105" i="25"/>
  <c r="AY105" i="20" s="1"/>
  <c r="T105" i="19"/>
  <c r="AG105" i="19" s="1"/>
  <c r="G105" i="19" s="1"/>
  <c r="BG105" i="19"/>
  <c r="AC106" i="25"/>
  <c r="AU105" i="25"/>
  <c r="AS106" i="25"/>
  <c r="E106" i="25" s="1"/>
  <c r="BE106" i="19" s="1"/>
  <c r="AT105" i="25"/>
  <c r="AJ106" i="19"/>
  <c r="J106" i="19" s="1"/>
  <c r="L103" i="19"/>
  <c r="T103" i="22" s="1"/>
  <c r="M104" i="19"/>
  <c r="AI151" i="19"/>
  <c r="I151" i="19" s="1"/>
  <c r="S151" i="22" s="1"/>
  <c r="C109" i="25" l="1"/>
  <c r="B110" i="25"/>
  <c r="BT105" i="19"/>
  <c r="AX105" i="25"/>
  <c r="J105" i="25" s="1"/>
  <c r="AY105" i="25"/>
  <c r="K105" i="25" s="1"/>
  <c r="Y107" i="25"/>
  <c r="BQ107" i="19" s="1"/>
  <c r="AR108" i="25" s="1"/>
  <c r="R106" i="19"/>
  <c r="E106" i="19" s="1"/>
  <c r="O106" i="22" s="1"/>
  <c r="G105" i="25"/>
  <c r="F105" i="25"/>
  <c r="BF105" i="19" s="1"/>
  <c r="AW106" i="25"/>
  <c r="I106" i="25" s="1"/>
  <c r="BH106" i="19"/>
  <c r="AN104" i="19"/>
  <c r="X105" i="22" s="1"/>
  <c r="D108" i="25" l="1"/>
  <c r="O110" i="19"/>
  <c r="AB110" i="19" s="1"/>
  <c r="B110" i="19" s="1"/>
  <c r="L110" i="22" s="1"/>
  <c r="V111" i="25"/>
  <c r="BC109" i="19"/>
  <c r="P109" i="19"/>
  <c r="C109" i="19" s="1"/>
  <c r="M109" i="22" s="1"/>
  <c r="W110" i="25"/>
  <c r="AE106" i="25"/>
  <c r="U105" i="19"/>
  <c r="AH105" i="19" s="1"/>
  <c r="H105" i="19" s="1"/>
  <c r="R105" i="22" s="1"/>
  <c r="AD106" i="25"/>
  <c r="T106" i="19"/>
  <c r="AG106" i="19" s="1"/>
  <c r="G106" i="19" s="1"/>
  <c r="BG106" i="19"/>
  <c r="Z106" i="25"/>
  <c r="S105" i="19"/>
  <c r="AF105" i="19" s="1"/>
  <c r="F105" i="19" s="1"/>
  <c r="AA106" i="25"/>
  <c r="AW106" i="20" s="1"/>
  <c r="AB106" i="25"/>
  <c r="AV106" i="25" s="1"/>
  <c r="AJ107" i="19"/>
  <c r="J107" i="19" s="1"/>
  <c r="AK107" i="19"/>
  <c r="K107" i="19" s="1"/>
  <c r="N104" i="19"/>
  <c r="U104" i="22" s="1"/>
  <c r="AI152" i="19"/>
  <c r="I152" i="19" s="1"/>
  <c r="S152" i="22" s="1"/>
  <c r="AY106" i="25" l="1"/>
  <c r="K106" i="25" s="1"/>
  <c r="AY106" i="20"/>
  <c r="BT106" i="19"/>
  <c r="AX106" i="20"/>
  <c r="AS107" i="25"/>
  <c r="E107" i="25" s="1"/>
  <c r="BE107" i="19" s="1"/>
  <c r="AV106" i="20"/>
  <c r="BO110" i="19"/>
  <c r="AP111" i="25" s="1"/>
  <c r="Q108" i="19"/>
  <c r="AD108" i="19" s="1"/>
  <c r="D108" i="19" s="1"/>
  <c r="N108" i="22" s="1"/>
  <c r="X109" i="25"/>
  <c r="AU109" i="20" s="1"/>
  <c r="AU106" i="25"/>
  <c r="G106" i="25" s="1"/>
  <c r="BS106" i="19"/>
  <c r="H106" i="25"/>
  <c r="BH107" i="19"/>
  <c r="AL104" i="19"/>
  <c r="V105" i="22" s="1"/>
  <c r="BU105" i="19" s="1"/>
  <c r="AX106" i="25" s="1"/>
  <c r="J106" i="25" s="1"/>
  <c r="U106" i="19" s="1"/>
  <c r="AH106" i="19" s="1"/>
  <c r="H106" i="19" s="1"/>
  <c r="R106" i="22" s="1"/>
  <c r="R107" i="19" l="1"/>
  <c r="E107" i="19" s="1"/>
  <c r="O107" i="22" s="1"/>
  <c r="Y108" i="25"/>
  <c r="BQ108" i="19" s="1"/>
  <c r="AR109" i="25" s="1"/>
  <c r="D109" i="25" s="1"/>
  <c r="B111" i="25"/>
  <c r="AQ110" i="25"/>
  <c r="C110" i="25" s="1"/>
  <c r="AD107" i="25"/>
  <c r="AE107" i="25"/>
  <c r="AY107" i="20" s="1"/>
  <c r="AT106" i="25"/>
  <c r="AB107" i="25"/>
  <c r="AC107" i="25"/>
  <c r="AJ108" i="19"/>
  <c r="J108" i="19" s="1"/>
  <c r="AK108" i="19"/>
  <c r="K108" i="19" s="1"/>
  <c r="L104" i="19"/>
  <c r="T104" i="22" s="1"/>
  <c r="M105" i="19"/>
  <c r="AN105" i="19"/>
  <c r="X106" i="22" s="1"/>
  <c r="AI153" i="19"/>
  <c r="I153" i="19" s="1"/>
  <c r="S153" i="22" s="1"/>
  <c r="BT107" i="19" l="1"/>
  <c r="AX107" i="20"/>
  <c r="Q109" i="19"/>
  <c r="AD109" i="19" s="1"/>
  <c r="D109" i="19" s="1"/>
  <c r="N109" i="22" s="1"/>
  <c r="X110" i="25"/>
  <c r="AU110" i="20" s="1"/>
  <c r="W111" i="25"/>
  <c r="P110" i="19"/>
  <c r="C110" i="19" s="1"/>
  <c r="M110" i="22" s="1"/>
  <c r="BC110" i="19"/>
  <c r="O111" i="19"/>
  <c r="AB111" i="19" s="1"/>
  <c r="B111" i="19" s="1"/>
  <c r="L111" i="22" s="1"/>
  <c r="V112" i="25"/>
  <c r="F106" i="25"/>
  <c r="AV107" i="25"/>
  <c r="H107" i="25" s="1"/>
  <c r="AW107" i="25"/>
  <c r="I107" i="25" s="1"/>
  <c r="AK109" i="19"/>
  <c r="K109" i="19" s="1"/>
  <c r="N105" i="19"/>
  <c r="U105" i="22" s="1"/>
  <c r="AI154" i="19"/>
  <c r="I154" i="19" s="1"/>
  <c r="S154" i="22" s="1"/>
  <c r="AQ111" i="25" l="1"/>
  <c r="C111" i="25" s="1"/>
  <c r="BO111" i="19"/>
  <c r="AP112" i="25" s="1"/>
  <c r="S106" i="19"/>
  <c r="AF106" i="19" s="1"/>
  <c r="F106" i="19" s="1"/>
  <c r="BF106" i="19"/>
  <c r="AY107" i="25" s="1"/>
  <c r="K107" i="25" s="1"/>
  <c r="T107" i="19"/>
  <c r="AG107" i="19" s="1"/>
  <c r="G107" i="19" s="1"/>
  <c r="BG107" i="19"/>
  <c r="AC108" i="25"/>
  <c r="AW108" i="25" s="1"/>
  <c r="Z107" i="25"/>
  <c r="AV107" i="20" s="1"/>
  <c r="AA107" i="25"/>
  <c r="BS107" i="19" l="1"/>
  <c r="AW107" i="20"/>
  <c r="W112" i="25"/>
  <c r="BC111" i="19"/>
  <c r="P111" i="19"/>
  <c r="C111" i="19" s="1"/>
  <c r="M111" i="22" s="1"/>
  <c r="B112" i="25"/>
  <c r="AS108" i="25"/>
  <c r="AU107" i="25"/>
  <c r="I108" i="25"/>
  <c r="AN106" i="19"/>
  <c r="AL105" i="19"/>
  <c r="V106" i="22" s="1"/>
  <c r="AI155" i="19"/>
  <c r="I155" i="19" s="1"/>
  <c r="S155" i="22" s="1"/>
  <c r="O112" i="19" l="1"/>
  <c r="AB112" i="19" s="1"/>
  <c r="B112" i="19" s="1"/>
  <c r="L112" i="22" s="1"/>
  <c r="V113" i="25"/>
  <c r="BO112" i="19"/>
  <c r="AT107" i="25"/>
  <c r="F107" i="25" s="1"/>
  <c r="BF107" i="19" s="1"/>
  <c r="BU106" i="19"/>
  <c r="AX107" i="25" s="1"/>
  <c r="T108" i="19"/>
  <c r="BG108" i="19"/>
  <c r="E108" i="25"/>
  <c r="BE108" i="19" s="1"/>
  <c r="G107" i="25"/>
  <c r="L105" i="19"/>
  <c r="T105" i="22" s="1"/>
  <c r="N106" i="19"/>
  <c r="U106" i="22" s="1"/>
  <c r="X107" i="22"/>
  <c r="M106" i="19"/>
  <c r="AP113" i="25" l="1"/>
  <c r="J107" i="25"/>
  <c r="Y109" i="25"/>
  <c r="BQ109" i="19" s="1"/>
  <c r="AR110" i="25" s="1"/>
  <c r="R108" i="19"/>
  <c r="E108" i="19" s="1"/>
  <c r="O108" i="22" s="1"/>
  <c r="Z108" i="25"/>
  <c r="AV108" i="20" s="1"/>
  <c r="S107" i="19"/>
  <c r="AF107" i="19" s="1"/>
  <c r="F107" i="19" s="1"/>
  <c r="AB108" i="25"/>
  <c r="AA108" i="25"/>
  <c r="AW108" i="20" s="1"/>
  <c r="BH108" i="19"/>
  <c r="AG108" i="19"/>
  <c r="G108" i="19" s="1"/>
  <c r="M156" i="22"/>
  <c r="AI156" i="19"/>
  <c r="I156" i="19" s="1"/>
  <c r="S156" i="22" s="1"/>
  <c r="D110" i="25" l="1"/>
  <c r="B113" i="25"/>
  <c r="U107" i="19"/>
  <c r="AH107" i="19" s="1"/>
  <c r="H107" i="19" s="1"/>
  <c r="R107" i="22" s="1"/>
  <c r="AD108" i="25"/>
  <c r="AX108" i="20" s="1"/>
  <c r="AE108" i="25"/>
  <c r="AY108" i="20" s="1"/>
  <c r="AU108" i="25"/>
  <c r="G108" i="25" s="1"/>
  <c r="BS108" i="19"/>
  <c r="AS109" i="25"/>
  <c r="E109" i="25" s="1"/>
  <c r="BE109" i="19" s="1"/>
  <c r="AV108" i="25"/>
  <c r="H108" i="25" s="1"/>
  <c r="AJ109" i="19"/>
  <c r="J109" i="19" s="1"/>
  <c r="AL106" i="19"/>
  <c r="AI157" i="19"/>
  <c r="I157" i="19" s="1"/>
  <c r="S157" i="22" s="1"/>
  <c r="O113" i="19" l="1"/>
  <c r="AB113" i="19" s="1"/>
  <c r="B113" i="19" s="1"/>
  <c r="L113" i="22" s="1"/>
  <c r="V114" i="25"/>
  <c r="Q110" i="19"/>
  <c r="AD110" i="19" s="1"/>
  <c r="D110" i="19" s="1"/>
  <c r="N110" i="22" s="1"/>
  <c r="X111" i="25"/>
  <c r="AU111" i="20" s="1"/>
  <c r="AY108" i="25"/>
  <c r="K108" i="25" s="1"/>
  <c r="BT108" i="19"/>
  <c r="R109" i="19"/>
  <c r="E109" i="19" s="1"/>
  <c r="O109" i="22" s="1"/>
  <c r="Y110" i="25"/>
  <c r="BQ110" i="19" s="1"/>
  <c r="AC109" i="25"/>
  <c r="AB109" i="25"/>
  <c r="AV109" i="25" s="1"/>
  <c r="AN107" i="19"/>
  <c r="X108" i="22" s="1"/>
  <c r="L106" i="19"/>
  <c r="T106" i="22" s="1"/>
  <c r="V107" i="22"/>
  <c r="M157" i="22"/>
  <c r="AQ112" i="25" l="1"/>
  <c r="AR111" i="25"/>
  <c r="AT108" i="25"/>
  <c r="F108" i="25" s="1"/>
  <c r="BU107" i="19"/>
  <c r="AX108" i="25" s="1"/>
  <c r="H109" i="25"/>
  <c r="AW109" i="25"/>
  <c r="I109" i="25" s="1"/>
  <c r="AK110" i="19"/>
  <c r="K110" i="19" s="1"/>
  <c r="N107" i="19"/>
  <c r="U107" i="22" s="1"/>
  <c r="M107" i="19"/>
  <c r="AI158" i="19"/>
  <c r="I158" i="19" s="1"/>
  <c r="S158" i="22" s="1"/>
  <c r="D111" i="25" l="1"/>
  <c r="C112" i="25"/>
  <c r="J108" i="25"/>
  <c r="S108" i="19"/>
  <c r="AF108" i="19" s="1"/>
  <c r="F108" i="19" s="1"/>
  <c r="BF108" i="19"/>
  <c r="T109" i="19"/>
  <c r="AG109" i="19" s="1"/>
  <c r="G109" i="19" s="1"/>
  <c r="BG109" i="19"/>
  <c r="AC110" i="25"/>
  <c r="Z109" i="25"/>
  <c r="AV109" i="20" s="1"/>
  <c r="AA109" i="25"/>
  <c r="BH109" i="19"/>
  <c r="BS109" i="19" l="1"/>
  <c r="AW109" i="20"/>
  <c r="BC112" i="19"/>
  <c r="P112" i="19"/>
  <c r="C112" i="19" s="1"/>
  <c r="M112" i="22" s="1"/>
  <c r="W113" i="25"/>
  <c r="Q111" i="19"/>
  <c r="AD111" i="19" s="1"/>
  <c r="D111" i="19" s="1"/>
  <c r="N111" i="22" s="1"/>
  <c r="X112" i="25"/>
  <c r="AU112" i="20" s="1"/>
  <c r="U108" i="19"/>
  <c r="AH108" i="19" s="1"/>
  <c r="H108" i="19" s="1"/>
  <c r="R108" i="22" s="1"/>
  <c r="AD109" i="25"/>
  <c r="AE109" i="25"/>
  <c r="AY109" i="20" s="1"/>
  <c r="AS110" i="25"/>
  <c r="E110" i="25" s="1"/>
  <c r="BE110" i="19" s="1"/>
  <c r="AU109" i="25"/>
  <c r="AJ110" i="19"/>
  <c r="J110" i="19" s="1"/>
  <c r="AL107" i="19"/>
  <c r="V108" i="22" s="1"/>
  <c r="AI159" i="19"/>
  <c r="I159" i="19" s="1"/>
  <c r="S159" i="22" s="1"/>
  <c r="AW110" i="25" l="1"/>
  <c r="I110" i="25" s="1"/>
  <c r="BG110" i="19" s="1"/>
  <c r="AX109" i="20"/>
  <c r="BO113" i="19"/>
  <c r="AP114" i="25" s="1"/>
  <c r="AQ113" i="25"/>
  <c r="BT109" i="19"/>
  <c r="AT109" i="25"/>
  <c r="F109" i="25" s="1"/>
  <c r="BF109" i="19" s="1"/>
  <c r="BU108" i="19"/>
  <c r="AX109" i="25" s="1"/>
  <c r="AY109" i="25"/>
  <c r="K109" i="25" s="1"/>
  <c r="Y111" i="25"/>
  <c r="BQ111" i="19" s="1"/>
  <c r="AR112" i="25" s="1"/>
  <c r="R110" i="19"/>
  <c r="E110" i="19" s="1"/>
  <c r="O110" i="22" s="1"/>
  <c r="G109" i="25"/>
  <c r="M108" i="19"/>
  <c r="AN108" i="19"/>
  <c r="X109" i="22" s="1"/>
  <c r="L107" i="19"/>
  <c r="T107" i="22" s="1"/>
  <c r="T110" i="19" l="1"/>
  <c r="AG110" i="19" s="1"/>
  <c r="G110" i="19" s="1"/>
  <c r="D112" i="25"/>
  <c r="B114" i="25"/>
  <c r="C113" i="25"/>
  <c r="J109" i="25"/>
  <c r="AE110" i="25" s="1"/>
  <c r="Z110" i="25"/>
  <c r="S109" i="19"/>
  <c r="AF109" i="19" s="1"/>
  <c r="F109" i="19" s="1"/>
  <c r="BH110" i="19" s="1"/>
  <c r="AA110" i="25"/>
  <c r="AB110" i="25"/>
  <c r="AV110" i="25" s="1"/>
  <c r="AK111" i="19"/>
  <c r="K111" i="19" s="1"/>
  <c r="AJ111" i="19"/>
  <c r="J111" i="19" s="1"/>
  <c r="N108" i="19"/>
  <c r="U108" i="22" s="1"/>
  <c r="AI160" i="19"/>
  <c r="I160" i="19" s="1"/>
  <c r="S160" i="22" s="1"/>
  <c r="AY110" i="25" l="1"/>
  <c r="K110" i="25" s="1"/>
  <c r="AY110" i="20"/>
  <c r="BS110" i="19"/>
  <c r="AW110" i="20"/>
  <c r="AS111" i="25"/>
  <c r="E111" i="25" s="1"/>
  <c r="BE111" i="19" s="1"/>
  <c r="AV110" i="20"/>
  <c r="O114" i="19"/>
  <c r="AB114" i="19" s="1"/>
  <c r="B114" i="19" s="1"/>
  <c r="L114" i="22" s="1"/>
  <c r="V115" i="25"/>
  <c r="Q112" i="19"/>
  <c r="AD112" i="19" s="1"/>
  <c r="D112" i="19" s="1"/>
  <c r="N112" i="22" s="1"/>
  <c r="X113" i="25"/>
  <c r="AU113" i="20" s="1"/>
  <c r="BC113" i="19"/>
  <c r="P113" i="19"/>
  <c r="C113" i="19" s="1"/>
  <c r="M113" i="22" s="1"/>
  <c r="W114" i="25"/>
  <c r="U109" i="19"/>
  <c r="AH109" i="19" s="1"/>
  <c r="H109" i="19" s="1"/>
  <c r="R109" i="22" s="1"/>
  <c r="AD110" i="25"/>
  <c r="AX110" i="20" s="1"/>
  <c r="H110" i="25"/>
  <c r="AU110" i="25"/>
  <c r="AK112" i="19"/>
  <c r="K112" i="19" s="1"/>
  <c r="M160" i="22"/>
  <c r="R111" i="19" l="1"/>
  <c r="E111" i="19" s="1"/>
  <c r="O111" i="22" s="1"/>
  <c r="Y112" i="25"/>
  <c r="BQ112" i="19" s="1"/>
  <c r="AR113" i="25" s="1"/>
  <c r="BO114" i="19"/>
  <c r="AP115" i="25" s="1"/>
  <c r="B115" i="25" s="1"/>
  <c r="O115" i="19" s="1"/>
  <c r="AB115" i="19" s="1"/>
  <c r="B115" i="19" s="1"/>
  <c r="L115" i="22" s="1"/>
  <c r="AQ114" i="25"/>
  <c r="C114" i="25" s="1"/>
  <c r="BT110" i="19"/>
  <c r="G110" i="25"/>
  <c r="AB111" i="25" s="1"/>
  <c r="AC111" i="25"/>
  <c r="AL108" i="19"/>
  <c r="V109" i="22" s="1"/>
  <c r="P114" i="19" l="1"/>
  <c r="C114" i="19" s="1"/>
  <c r="M114" i="22" s="1"/>
  <c r="BC114" i="19"/>
  <c r="W115" i="25"/>
  <c r="V116" i="25"/>
  <c r="D113" i="25"/>
  <c r="AT110" i="25"/>
  <c r="F110" i="25" s="1"/>
  <c r="BF110" i="19" s="1"/>
  <c r="BU109" i="19"/>
  <c r="AX110" i="25" s="1"/>
  <c r="AW111" i="25"/>
  <c r="L108" i="19"/>
  <c r="T108" i="22" s="1"/>
  <c r="AV111" i="25"/>
  <c r="H111" i="25" s="1"/>
  <c r="M109" i="19"/>
  <c r="AN109" i="19"/>
  <c r="X110" i="22" s="1"/>
  <c r="AI161" i="19"/>
  <c r="I161" i="19" s="1"/>
  <c r="S161" i="22" s="1"/>
  <c r="M161" i="22"/>
  <c r="BO115" i="19" l="1"/>
  <c r="AP116" i="25" s="1"/>
  <c r="Q113" i="19"/>
  <c r="AD113" i="19" s="1"/>
  <c r="D113" i="19" s="1"/>
  <c r="N113" i="22" s="1"/>
  <c r="X114" i="25"/>
  <c r="AU114" i="20" s="1"/>
  <c r="J110" i="25"/>
  <c r="AA111" i="25"/>
  <c r="AW111" i="20" s="1"/>
  <c r="Z111" i="25"/>
  <c r="S110" i="19"/>
  <c r="AF110" i="19" s="1"/>
  <c r="F110" i="19" s="1"/>
  <c r="I111" i="25"/>
  <c r="BH111" i="19"/>
  <c r="N109" i="19"/>
  <c r="U109" i="22" s="1"/>
  <c r="AS112" i="25" l="1"/>
  <c r="AV111" i="20"/>
  <c r="AQ115" i="25"/>
  <c r="B116" i="25"/>
  <c r="U110" i="19"/>
  <c r="AH110" i="19" s="1"/>
  <c r="H110" i="19" s="1"/>
  <c r="R110" i="22" s="1"/>
  <c r="AE111" i="25"/>
  <c r="AY111" i="20" s="1"/>
  <c r="AD111" i="25"/>
  <c r="AX111" i="20" s="1"/>
  <c r="AU111" i="25"/>
  <c r="G111" i="25" s="1"/>
  <c r="AB112" i="25" s="1"/>
  <c r="BS111" i="19"/>
  <c r="T111" i="19"/>
  <c r="AG111" i="19" s="1"/>
  <c r="G111" i="19" s="1"/>
  <c r="BG111" i="19"/>
  <c r="AC112" i="25"/>
  <c r="E112" i="25"/>
  <c r="BE112" i="19" s="1"/>
  <c r="AL109" i="19"/>
  <c r="V110" i="22" s="1"/>
  <c r="BU110" i="19" s="1"/>
  <c r="AI162" i="19"/>
  <c r="I162" i="19" s="1"/>
  <c r="S162" i="22" s="1"/>
  <c r="C115" i="25" l="1"/>
  <c r="O116" i="19"/>
  <c r="AB116" i="19" s="1"/>
  <c r="B116" i="19" s="1"/>
  <c r="L116" i="22" s="1"/>
  <c r="V117" i="25"/>
  <c r="BT111" i="19"/>
  <c r="AX111" i="25"/>
  <c r="J111" i="25" s="1"/>
  <c r="U111" i="19" s="1"/>
  <c r="AH111" i="19" s="1"/>
  <c r="H111" i="19" s="1"/>
  <c r="R111" i="22" s="1"/>
  <c r="AY111" i="25"/>
  <c r="K111" i="25" s="1"/>
  <c r="Y113" i="25"/>
  <c r="BQ113" i="19" s="1"/>
  <c r="AR114" i="25" s="1"/>
  <c r="R112" i="19"/>
  <c r="E112" i="19" s="1"/>
  <c r="O112" i="22" s="1"/>
  <c r="AT111" i="25"/>
  <c r="AW112" i="25"/>
  <c r="AV112" i="25"/>
  <c r="H112" i="25" s="1"/>
  <c r="AJ112" i="19"/>
  <c r="J112" i="19" s="1"/>
  <c r="BH112" i="19"/>
  <c r="M110" i="19"/>
  <c r="L109" i="19"/>
  <c r="T109" i="22" s="1"/>
  <c r="AI163" i="19"/>
  <c r="I163" i="19" s="1"/>
  <c r="S163" i="22" s="1"/>
  <c r="D114" i="25" l="1"/>
  <c r="BC115" i="19"/>
  <c r="P115" i="19"/>
  <c r="C115" i="19" s="1"/>
  <c r="M115" i="22" s="1"/>
  <c r="W116" i="25"/>
  <c r="AD112" i="25"/>
  <c r="AE112" i="25"/>
  <c r="AY112" i="20" s="1"/>
  <c r="F111" i="25"/>
  <c r="I112" i="25"/>
  <c r="BG112" i="19" s="1"/>
  <c r="AN110" i="19"/>
  <c r="X111" i="22" s="1"/>
  <c r="M163" i="22"/>
  <c r="BT112" i="19" l="1"/>
  <c r="AX112" i="20"/>
  <c r="BO116" i="19"/>
  <c r="AP117" i="25" s="1"/>
  <c r="Q114" i="19"/>
  <c r="AD114" i="19" s="1"/>
  <c r="D114" i="19" s="1"/>
  <c r="N114" i="22" s="1"/>
  <c r="X115" i="25"/>
  <c r="S111" i="19"/>
  <c r="AF111" i="19" s="1"/>
  <c r="F111" i="19" s="1"/>
  <c r="BF111" i="19"/>
  <c r="AY112" i="25" s="1"/>
  <c r="K112" i="25" s="1"/>
  <c r="AC113" i="25"/>
  <c r="AW113" i="25" s="1"/>
  <c r="I113" i="25" s="1"/>
  <c r="T112" i="19"/>
  <c r="AG112" i="19" s="1"/>
  <c r="G112" i="19" s="1"/>
  <c r="Z112" i="25"/>
  <c r="AV112" i="20" s="1"/>
  <c r="AA112" i="25"/>
  <c r="AK113" i="19"/>
  <c r="K113" i="19" s="1"/>
  <c r="AJ113" i="19"/>
  <c r="J113" i="19" s="1"/>
  <c r="N110" i="19"/>
  <c r="U110" i="22" s="1"/>
  <c r="AI164" i="19"/>
  <c r="I164" i="19" s="1"/>
  <c r="S164" i="22" s="1"/>
  <c r="BS112" i="19" l="1"/>
  <c r="AW112" i="20"/>
  <c r="AQ116" i="25"/>
  <c r="C116" i="25" s="1"/>
  <c r="BC116" i="19" s="1"/>
  <c r="AU115" i="20"/>
  <c r="B117" i="25"/>
  <c r="T113" i="19"/>
  <c r="BG113" i="19"/>
  <c r="AS113" i="25"/>
  <c r="AU112" i="25"/>
  <c r="AK114" i="19"/>
  <c r="K114" i="19" s="1"/>
  <c r="AL110" i="19"/>
  <c r="V111" i="22" s="1"/>
  <c r="BU111" i="19" s="1"/>
  <c r="AX112" i="25" s="1"/>
  <c r="J112" i="25" s="1"/>
  <c r="W117" i="25" l="1"/>
  <c r="P116" i="19"/>
  <c r="C116" i="19" s="1"/>
  <c r="M116" i="22" s="1"/>
  <c r="O117" i="19"/>
  <c r="AB117" i="19" s="1"/>
  <c r="B117" i="19" s="1"/>
  <c r="L117" i="22" s="1"/>
  <c r="V118" i="25"/>
  <c r="BO117" i="19"/>
  <c r="U112" i="19"/>
  <c r="AH112" i="19" s="1"/>
  <c r="H112" i="19" s="1"/>
  <c r="R112" i="22" s="1"/>
  <c r="AD113" i="25"/>
  <c r="AE113" i="25"/>
  <c r="AY113" i="20" s="1"/>
  <c r="AT112" i="25"/>
  <c r="F112" i="25" s="1"/>
  <c r="BF112" i="19" s="1"/>
  <c r="E113" i="25"/>
  <c r="BE113" i="19" s="1"/>
  <c r="G112" i="25"/>
  <c r="BH113" i="19"/>
  <c r="M111" i="19"/>
  <c r="L110" i="19"/>
  <c r="T110" i="22" s="1"/>
  <c r="AI165" i="19"/>
  <c r="I165" i="19" s="1"/>
  <c r="S165" i="22" s="1"/>
  <c r="BT113" i="19" l="1"/>
  <c r="AX113" i="20"/>
  <c r="AY113" i="25"/>
  <c r="K113" i="25" s="1"/>
  <c r="AP118" i="25"/>
  <c r="B118" i="25" s="1"/>
  <c r="Z113" i="25"/>
  <c r="AV113" i="20" s="1"/>
  <c r="S112" i="19"/>
  <c r="AF112" i="19" s="1"/>
  <c r="F112" i="19" s="1"/>
  <c r="Y114" i="25"/>
  <c r="BQ114" i="19" s="1"/>
  <c r="AR115" i="25" s="1"/>
  <c r="D115" i="25" s="1"/>
  <c r="R113" i="19"/>
  <c r="E113" i="19" s="1"/>
  <c r="O113" i="22" s="1"/>
  <c r="AA113" i="25"/>
  <c r="AW113" i="20" s="1"/>
  <c r="AB113" i="25"/>
  <c r="AV113" i="25" s="1"/>
  <c r="AG113" i="19"/>
  <c r="G113" i="19" s="1"/>
  <c r="AN111" i="19"/>
  <c r="X112" i="22" s="1"/>
  <c r="O118" i="19" l="1"/>
  <c r="AB118" i="19" s="1"/>
  <c r="B118" i="19" s="1"/>
  <c r="L118" i="22" s="1"/>
  <c r="V119" i="25"/>
  <c r="Q115" i="19"/>
  <c r="AD115" i="19" s="1"/>
  <c r="D115" i="19" s="1"/>
  <c r="N115" i="22" s="1"/>
  <c r="X116" i="25"/>
  <c r="AU116" i="20" s="1"/>
  <c r="AU113" i="25"/>
  <c r="G113" i="25" s="1"/>
  <c r="BS113" i="19"/>
  <c r="AS114" i="25"/>
  <c r="E114" i="25" s="1"/>
  <c r="BE114" i="19" s="1"/>
  <c r="H113" i="25"/>
  <c r="AJ114" i="19"/>
  <c r="J114" i="19" s="1"/>
  <c r="N111" i="19"/>
  <c r="U111" i="22" s="1"/>
  <c r="AL111" i="19"/>
  <c r="AI166" i="19"/>
  <c r="I166" i="19" s="1"/>
  <c r="S166" i="22" s="1"/>
  <c r="AQ117" i="25" l="1"/>
  <c r="Y115" i="25"/>
  <c r="BQ115" i="19" s="1"/>
  <c r="AR116" i="25" s="1"/>
  <c r="D116" i="25" s="1"/>
  <c r="R114" i="19"/>
  <c r="E114" i="19" s="1"/>
  <c r="O114" i="22" s="1"/>
  <c r="AB114" i="25"/>
  <c r="AC114" i="25"/>
  <c r="BH114" i="19"/>
  <c r="L111" i="19"/>
  <c r="T111" i="22" s="1"/>
  <c r="V112" i="22"/>
  <c r="BU112" i="19" s="1"/>
  <c r="AX113" i="25" s="1"/>
  <c r="Q116" i="19" l="1"/>
  <c r="AD116" i="19" s="1"/>
  <c r="D116" i="19" s="1"/>
  <c r="N116" i="22" s="1"/>
  <c r="X117" i="25"/>
  <c r="AU117" i="20" s="1"/>
  <c r="C117" i="25"/>
  <c r="J113" i="25"/>
  <c r="AT113" i="25"/>
  <c r="AW114" i="25"/>
  <c r="I114" i="25" s="1"/>
  <c r="AV114" i="25"/>
  <c r="AK115" i="19"/>
  <c r="K115" i="19" s="1"/>
  <c r="AL112" i="19"/>
  <c r="L112" i="19" s="1"/>
  <c r="T112" i="22" s="1"/>
  <c r="M112" i="19"/>
  <c r="AI167" i="19"/>
  <c r="I167" i="19" s="1"/>
  <c r="S167" i="22" s="1"/>
  <c r="BC117" i="19" l="1"/>
  <c r="P117" i="19"/>
  <c r="C117" i="19" s="1"/>
  <c r="M117" i="22" s="1"/>
  <c r="W118" i="25"/>
  <c r="U113" i="19"/>
  <c r="AH113" i="19" s="1"/>
  <c r="H113" i="19" s="1"/>
  <c r="R113" i="22" s="1"/>
  <c r="AE114" i="25"/>
  <c r="AY114" i="20" s="1"/>
  <c r="AD114" i="25"/>
  <c r="AX114" i="20" s="1"/>
  <c r="T114" i="19"/>
  <c r="AG114" i="19" s="1"/>
  <c r="G114" i="19" s="1"/>
  <c r="BG114" i="19"/>
  <c r="F113" i="25"/>
  <c r="H114" i="25"/>
  <c r="AJ115" i="19"/>
  <c r="J115" i="19" s="1"/>
  <c r="V113" i="22"/>
  <c r="AN112" i="19"/>
  <c r="X113" i="22" s="1"/>
  <c r="AI168" i="19"/>
  <c r="I168" i="19" s="1"/>
  <c r="S168" i="22" s="1"/>
  <c r="BO118" i="19" l="1"/>
  <c r="AP119" i="25" s="1"/>
  <c r="B119" i="25" s="1"/>
  <c r="AQ118" i="25"/>
  <c r="BU113" i="19"/>
  <c r="AX114" i="25" s="1"/>
  <c r="J114" i="25" s="1"/>
  <c r="BT114" i="19"/>
  <c r="S113" i="19"/>
  <c r="AF113" i="19" s="1"/>
  <c r="F113" i="19" s="1"/>
  <c r="BF113" i="19"/>
  <c r="AY114" i="25" s="1"/>
  <c r="Z114" i="25"/>
  <c r="AV114" i="20" s="1"/>
  <c r="AA114" i="25"/>
  <c r="AW114" i="20" s="1"/>
  <c r="AC115" i="25"/>
  <c r="N112" i="19"/>
  <c r="U112" i="22" s="1"/>
  <c r="M113" i="19"/>
  <c r="C118" i="25" l="1"/>
  <c r="O119" i="19"/>
  <c r="AB119" i="19" s="1"/>
  <c r="B119" i="19" s="1"/>
  <c r="L119" i="22" s="1"/>
  <c r="V120" i="25"/>
  <c r="U114" i="19"/>
  <c r="AH114" i="19" s="1"/>
  <c r="H114" i="19" s="1"/>
  <c r="R114" i="22" s="1"/>
  <c r="AD115" i="25"/>
  <c r="AX115" i="20" s="1"/>
  <c r="AU114" i="25"/>
  <c r="G114" i="25" s="1"/>
  <c r="BS114" i="19"/>
  <c r="K114" i="25"/>
  <c r="AE115" i="25" s="1"/>
  <c r="AY115" i="20" s="1"/>
  <c r="AW115" i="25"/>
  <c r="I115" i="25" s="1"/>
  <c r="AS115" i="25"/>
  <c r="AT114" i="25"/>
  <c r="F114" i="25" s="1"/>
  <c r="BF114" i="19" s="1"/>
  <c r="AK116" i="19"/>
  <c r="K116" i="19" s="1"/>
  <c r="AJ116" i="19"/>
  <c r="J116" i="19" s="1"/>
  <c r="BH115" i="19"/>
  <c r="AL113" i="19"/>
  <c r="V114" i="22" s="1"/>
  <c r="AI169" i="19"/>
  <c r="I169" i="19" s="1"/>
  <c r="S169" i="22" s="1"/>
  <c r="AY115" i="25" l="1"/>
  <c r="K115" i="25" s="1"/>
  <c r="BC118" i="19"/>
  <c r="P118" i="19"/>
  <c r="C118" i="19" s="1"/>
  <c r="M118" i="22" s="1"/>
  <c r="W119" i="25"/>
  <c r="BT115" i="19"/>
  <c r="T115" i="19"/>
  <c r="BG115" i="19"/>
  <c r="Z115" i="25"/>
  <c r="AV115" i="20" s="1"/>
  <c r="S114" i="19"/>
  <c r="AF114" i="19" s="1"/>
  <c r="F114" i="19" s="1"/>
  <c r="AA115" i="25"/>
  <c r="AB115" i="25"/>
  <c r="E115" i="25"/>
  <c r="BE115" i="19" s="1"/>
  <c r="AK117" i="19"/>
  <c r="K117" i="19" s="1"/>
  <c r="M114" i="19"/>
  <c r="AN113" i="19"/>
  <c r="X114" i="22" s="1"/>
  <c r="L113" i="19"/>
  <c r="T113" i="22" s="1"/>
  <c r="BS115" i="19" l="1"/>
  <c r="AW115" i="20"/>
  <c r="AT115" i="25"/>
  <c r="F115" i="25" s="1"/>
  <c r="BF115" i="19" s="1"/>
  <c r="BO119" i="19"/>
  <c r="AP120" i="25" s="1"/>
  <c r="B120" i="25" s="1"/>
  <c r="BU114" i="19"/>
  <c r="AX115" i="25" s="1"/>
  <c r="J115" i="25" s="1"/>
  <c r="Y116" i="25"/>
  <c r="R115" i="19"/>
  <c r="E115" i="19" s="1"/>
  <c r="O115" i="22" s="1"/>
  <c r="AV115" i="25"/>
  <c r="AU115" i="25"/>
  <c r="G115" i="25" s="1"/>
  <c r="AG115" i="19"/>
  <c r="G115" i="19" s="1"/>
  <c r="N113" i="19"/>
  <c r="U113" i="22" s="1"/>
  <c r="M170" i="22"/>
  <c r="AI170" i="19"/>
  <c r="I170" i="19" s="1"/>
  <c r="S170" i="22" s="1"/>
  <c r="AS116" i="25" l="1"/>
  <c r="E116" i="25" s="1"/>
  <c r="BE116" i="19" s="1"/>
  <c r="BQ116" i="19"/>
  <c r="AR117" i="25" s="1"/>
  <c r="O120" i="19"/>
  <c r="AB120" i="19" s="1"/>
  <c r="B120" i="19" s="1"/>
  <c r="L120" i="22" s="1"/>
  <c r="V121" i="25"/>
  <c r="U115" i="19"/>
  <c r="AH115" i="19" s="1"/>
  <c r="H115" i="19" s="1"/>
  <c r="R115" i="22" s="1"/>
  <c r="AE116" i="25"/>
  <c r="AY116" i="20" s="1"/>
  <c r="AD116" i="25"/>
  <c r="AX116" i="20" s="1"/>
  <c r="AA116" i="25"/>
  <c r="AW116" i="20" s="1"/>
  <c r="Z116" i="25"/>
  <c r="AV116" i="20" s="1"/>
  <c r="S115" i="19"/>
  <c r="AF115" i="19" s="1"/>
  <c r="F115" i="19" s="1"/>
  <c r="H115" i="25"/>
  <c r="AI171" i="19"/>
  <c r="I171" i="19" s="1"/>
  <c r="S171" i="22" s="1"/>
  <c r="Y117" i="25" l="1"/>
  <c r="BQ117" i="19" s="1"/>
  <c r="R116" i="19"/>
  <c r="E116" i="19" s="1"/>
  <c r="O116" i="22" s="1"/>
  <c r="D117" i="25"/>
  <c r="BT116" i="19"/>
  <c r="AY116" i="25"/>
  <c r="K116" i="25" s="1"/>
  <c r="AU116" i="25"/>
  <c r="G116" i="25" s="1"/>
  <c r="BS116" i="19"/>
  <c r="AB116" i="25"/>
  <c r="AC116" i="25"/>
  <c r="BH116" i="19"/>
  <c r="AL114" i="19"/>
  <c r="V115" i="22" s="1"/>
  <c r="M171" i="22"/>
  <c r="AS117" i="25" l="1"/>
  <c r="E117" i="25" s="1"/>
  <c r="BE117" i="19" s="1"/>
  <c r="Q117" i="19"/>
  <c r="AD117" i="19" s="1"/>
  <c r="D117" i="19" s="1"/>
  <c r="N117" i="22" s="1"/>
  <c r="X118" i="25"/>
  <c r="AU118" i="20" s="1"/>
  <c r="AW116" i="25"/>
  <c r="I116" i="25" s="1"/>
  <c r="AV116" i="25"/>
  <c r="H116" i="25" s="1"/>
  <c r="AB117" i="25" s="1"/>
  <c r="M115" i="19"/>
  <c r="AN114" i="19"/>
  <c r="X115" i="22" s="1"/>
  <c r="AT116" i="25" s="1"/>
  <c r="L114" i="19"/>
  <c r="T114" i="22" s="1"/>
  <c r="AI172" i="19"/>
  <c r="I172" i="19" s="1"/>
  <c r="S172" i="22" s="1"/>
  <c r="Y118" i="25" l="1"/>
  <c r="BQ118" i="19" s="1"/>
  <c r="R117" i="19"/>
  <c r="E117" i="19" s="1"/>
  <c r="O117" i="22" s="1"/>
  <c r="AQ119" i="25"/>
  <c r="AR118" i="25"/>
  <c r="BU115" i="19"/>
  <c r="AX116" i="25" s="1"/>
  <c r="J116" i="25" s="1"/>
  <c r="AD117" i="25" s="1"/>
  <c r="T116" i="19"/>
  <c r="AG116" i="19" s="1"/>
  <c r="G116" i="19" s="1"/>
  <c r="BG116" i="19"/>
  <c r="F116" i="25"/>
  <c r="AC117" i="25"/>
  <c r="AW117" i="25" s="1"/>
  <c r="AV117" i="25"/>
  <c r="AJ117" i="19"/>
  <c r="J117" i="19" s="1"/>
  <c r="N114" i="19"/>
  <c r="U114" i="22" s="1"/>
  <c r="AI173" i="19"/>
  <c r="I173" i="19" s="1"/>
  <c r="S173" i="22" s="1"/>
  <c r="BT117" i="19" l="1"/>
  <c r="AX117" i="20"/>
  <c r="C119" i="25"/>
  <c r="D118" i="25"/>
  <c r="U116" i="19"/>
  <c r="AH116" i="19" s="1"/>
  <c r="H116" i="19" s="1"/>
  <c r="R116" i="22" s="1"/>
  <c r="AE117" i="25"/>
  <c r="AY117" i="20" s="1"/>
  <c r="S116" i="19"/>
  <c r="AF116" i="19" s="1"/>
  <c r="F116" i="19" s="1"/>
  <c r="BF116" i="19"/>
  <c r="I117" i="25"/>
  <c r="Z117" i="25"/>
  <c r="AV117" i="20" s="1"/>
  <c r="AA117" i="25"/>
  <c r="H117" i="25"/>
  <c r="BH117" i="19"/>
  <c r="AL115" i="19"/>
  <c r="BS117" i="19" l="1"/>
  <c r="AW117" i="20"/>
  <c r="AY117" i="25"/>
  <c r="K117" i="25" s="1"/>
  <c r="P119" i="19"/>
  <c r="C119" i="19" s="1"/>
  <c r="M119" i="22" s="1"/>
  <c r="BC119" i="19"/>
  <c r="W120" i="25"/>
  <c r="Q118" i="19"/>
  <c r="AD118" i="19" s="1"/>
  <c r="D118" i="19" s="1"/>
  <c r="N118" i="22" s="1"/>
  <c r="X119" i="25"/>
  <c r="AU119" i="20" s="1"/>
  <c r="T117" i="19"/>
  <c r="BG117" i="19"/>
  <c r="AC118" i="25"/>
  <c r="AS118" i="25"/>
  <c r="AU117" i="25"/>
  <c r="AK118" i="19"/>
  <c r="K118" i="19" s="1"/>
  <c r="AJ118" i="19"/>
  <c r="J118" i="19" s="1"/>
  <c r="L115" i="19"/>
  <c r="T115" i="22" s="1"/>
  <c r="V116" i="22"/>
  <c r="AI174" i="19"/>
  <c r="I174" i="19" s="1"/>
  <c r="S174" i="22" s="1"/>
  <c r="M173" i="22"/>
  <c r="BO120" i="19" l="1"/>
  <c r="AP121" i="25" s="1"/>
  <c r="AQ120" i="25"/>
  <c r="AR119" i="25"/>
  <c r="D119" i="25" s="1"/>
  <c r="Q119" i="19" s="1"/>
  <c r="AD119" i="19" s="1"/>
  <c r="D119" i="19" s="1"/>
  <c r="N119" i="22" s="1"/>
  <c r="AW118" i="25"/>
  <c r="I118" i="25" s="1"/>
  <c r="G117" i="25"/>
  <c r="E118" i="25"/>
  <c r="BE118" i="19" s="1"/>
  <c r="AJ119" i="19"/>
  <c r="J119" i="19" s="1"/>
  <c r="AN115" i="19"/>
  <c r="X116" i="22" s="1"/>
  <c r="AT117" i="25" s="1"/>
  <c r="AG117" i="19"/>
  <c r="G117" i="19" s="1"/>
  <c r="M116" i="19"/>
  <c r="C120" i="25" l="1"/>
  <c r="X120" i="25"/>
  <c r="AU120" i="20" s="1"/>
  <c r="B121" i="25"/>
  <c r="BU116" i="19"/>
  <c r="AX117" i="25" s="1"/>
  <c r="J117" i="25" s="1"/>
  <c r="T118" i="19"/>
  <c r="BG118" i="19"/>
  <c r="Y119" i="25"/>
  <c r="BQ119" i="19" s="1"/>
  <c r="R118" i="19"/>
  <c r="E118" i="19" s="1"/>
  <c r="O118" i="22" s="1"/>
  <c r="AB118" i="25"/>
  <c r="AV118" i="25" s="1"/>
  <c r="F117" i="25"/>
  <c r="BF117" i="19" s="1"/>
  <c r="AK119" i="19"/>
  <c r="K119" i="19" s="1"/>
  <c r="N115" i="19"/>
  <c r="U115" i="22" s="1"/>
  <c r="O121" i="19" l="1"/>
  <c r="AB121" i="19" s="1"/>
  <c r="B121" i="19" s="1"/>
  <c r="L121" i="22" s="1"/>
  <c r="V122" i="25"/>
  <c r="AR120" i="25"/>
  <c r="BC120" i="19"/>
  <c r="P120" i="19"/>
  <c r="C120" i="19" s="1"/>
  <c r="W121" i="25"/>
  <c r="U117" i="19"/>
  <c r="AH117" i="19" s="1"/>
  <c r="H117" i="19" s="1"/>
  <c r="R117" i="22" s="1"/>
  <c r="AD118" i="25"/>
  <c r="AX118" i="20" s="1"/>
  <c r="AE118" i="25"/>
  <c r="AY118" i="20" s="1"/>
  <c r="Z118" i="25"/>
  <c r="AV118" i="20" s="1"/>
  <c r="S117" i="19"/>
  <c r="AF117" i="19" s="1"/>
  <c r="F117" i="19" s="1"/>
  <c r="H118" i="25"/>
  <c r="AA118" i="25"/>
  <c r="AS119" i="25"/>
  <c r="AK120" i="19"/>
  <c r="K120" i="19" s="1"/>
  <c r="AJ120" i="19"/>
  <c r="J120" i="19" s="1"/>
  <c r="AN116" i="19"/>
  <c r="X117" i="22" s="1"/>
  <c r="AL116" i="19"/>
  <c r="V117" i="22" s="1"/>
  <c r="AI175" i="19"/>
  <c r="I175" i="19" s="1"/>
  <c r="S175" i="22" s="1"/>
  <c r="BS118" i="19" l="1"/>
  <c r="AW118" i="20"/>
  <c r="D120" i="25"/>
  <c r="BO121" i="19"/>
  <c r="AP122" i="25" s="1"/>
  <c r="AQ121" i="25"/>
  <c r="C121" i="25" s="1"/>
  <c r="BT118" i="19"/>
  <c r="BU117" i="19"/>
  <c r="AX118" i="25" s="1"/>
  <c r="J118" i="25" s="1"/>
  <c r="AY118" i="25"/>
  <c r="K118" i="25" s="1"/>
  <c r="AC119" i="25"/>
  <c r="E119" i="25"/>
  <c r="BE119" i="19" s="1"/>
  <c r="AU118" i="25"/>
  <c r="AK121" i="19"/>
  <c r="K121" i="19" s="1"/>
  <c r="AT118" i="25"/>
  <c r="AJ121" i="19"/>
  <c r="J121" i="19" s="1"/>
  <c r="N116" i="19"/>
  <c r="U116" i="22" s="1"/>
  <c r="BH118" i="19"/>
  <c r="L116" i="19"/>
  <c r="T116" i="22" s="1"/>
  <c r="M117" i="19"/>
  <c r="BC121" i="19" l="1"/>
  <c r="P121" i="19"/>
  <c r="C121" i="19" s="1"/>
  <c r="M121" i="22" s="1"/>
  <c r="W122" i="25"/>
  <c r="B122" i="25"/>
  <c r="Q120" i="19"/>
  <c r="AD120" i="19" s="1"/>
  <c r="D120" i="19" s="1"/>
  <c r="N120" i="22" s="1"/>
  <c r="X121" i="25"/>
  <c r="AU121" i="20" s="1"/>
  <c r="AD119" i="25"/>
  <c r="U118" i="19"/>
  <c r="AH118" i="19" s="1"/>
  <c r="H118" i="19" s="1"/>
  <c r="R118" i="22" s="1"/>
  <c r="AE119" i="25"/>
  <c r="AY119" i="20" s="1"/>
  <c r="Y120" i="25"/>
  <c r="BQ120" i="19" s="1"/>
  <c r="R119" i="19"/>
  <c r="E119" i="19" s="1"/>
  <c r="O119" i="22" s="1"/>
  <c r="AW119" i="25"/>
  <c r="F118" i="25"/>
  <c r="BF118" i="19" s="1"/>
  <c r="AY119" i="25" s="1"/>
  <c r="G118" i="25"/>
  <c r="AG118" i="19"/>
  <c r="G118" i="19" s="1"/>
  <c r="AN117" i="19"/>
  <c r="X118" i="22" s="1"/>
  <c r="BT119" i="19" l="1"/>
  <c r="AX119" i="20"/>
  <c r="O122" i="19"/>
  <c r="AB122" i="19" s="1"/>
  <c r="B122" i="19" s="1"/>
  <c r="L122" i="22" s="1"/>
  <c r="V123" i="25"/>
  <c r="AR121" i="25"/>
  <c r="D121" i="25" s="1"/>
  <c r="AQ122" i="25"/>
  <c r="C122" i="25" s="1"/>
  <c r="BO122" i="19"/>
  <c r="Z119" i="25"/>
  <c r="AV119" i="20" s="1"/>
  <c r="S118" i="19"/>
  <c r="AF118" i="19" s="1"/>
  <c r="F118" i="19" s="1"/>
  <c r="AA119" i="25"/>
  <c r="AB119" i="25"/>
  <c r="I119" i="25"/>
  <c r="K119" i="25"/>
  <c r="AK122" i="19"/>
  <c r="K122" i="19" s="1"/>
  <c r="BH119" i="19"/>
  <c r="N117" i="19"/>
  <c r="U117" i="22" s="1"/>
  <c r="AI176" i="19"/>
  <c r="I176" i="19" s="1"/>
  <c r="S176" i="22" s="1"/>
  <c r="AS120" i="25" l="1"/>
  <c r="E120" i="25" s="1"/>
  <c r="BE120" i="19" s="1"/>
  <c r="BS119" i="19"/>
  <c r="AW119" i="20"/>
  <c r="P122" i="19"/>
  <c r="C122" i="19" s="1"/>
  <c r="M122" i="22" s="1"/>
  <c r="BC122" i="19"/>
  <c r="W123" i="25"/>
  <c r="Q121" i="19"/>
  <c r="AD121" i="19" s="1"/>
  <c r="D121" i="19" s="1"/>
  <c r="N121" i="22" s="1"/>
  <c r="X122" i="25"/>
  <c r="AU122" i="20" s="1"/>
  <c r="AP123" i="25"/>
  <c r="B123" i="25" s="1"/>
  <c r="T119" i="19"/>
  <c r="AG119" i="19" s="1"/>
  <c r="G119" i="19" s="1"/>
  <c r="BG119" i="19"/>
  <c r="AV119" i="25"/>
  <c r="AU119" i="25"/>
  <c r="AL117" i="19"/>
  <c r="V118" i="22" s="1"/>
  <c r="AQ123" i="25" l="1"/>
  <c r="O123" i="19"/>
  <c r="AB123" i="19" s="1"/>
  <c r="B123" i="19" s="1"/>
  <c r="L123" i="22" s="1"/>
  <c r="V124" i="25"/>
  <c r="BO123" i="19"/>
  <c r="C123" i="25"/>
  <c r="W124" i="25" s="1"/>
  <c r="AT119" i="25"/>
  <c r="F119" i="25" s="1"/>
  <c r="BF119" i="19" s="1"/>
  <c r="BU118" i="19"/>
  <c r="AX119" i="25" s="1"/>
  <c r="J119" i="25" s="1"/>
  <c r="Y121" i="25"/>
  <c r="BQ121" i="19" s="1"/>
  <c r="AR122" i="25" s="1"/>
  <c r="R120" i="19"/>
  <c r="E120" i="19" s="1"/>
  <c r="O120" i="22" s="1"/>
  <c r="G119" i="25"/>
  <c r="H119" i="25"/>
  <c r="L117" i="19"/>
  <c r="T117" i="22" s="1"/>
  <c r="M118" i="19"/>
  <c r="AI177" i="19"/>
  <c r="I177" i="19" s="1"/>
  <c r="S177" i="22" s="1"/>
  <c r="AP124" i="25" l="1"/>
  <c r="B124" i="25" s="1"/>
  <c r="BO124" i="19"/>
  <c r="D122" i="25"/>
  <c r="P123" i="19"/>
  <c r="C123" i="19" s="1"/>
  <c r="M123" i="22" s="1"/>
  <c r="BC123" i="19"/>
  <c r="U119" i="19"/>
  <c r="AH119" i="19" s="1"/>
  <c r="H119" i="19" s="1"/>
  <c r="R119" i="22" s="1"/>
  <c r="AE120" i="25"/>
  <c r="AY120" i="20" s="1"/>
  <c r="AD120" i="25"/>
  <c r="AA120" i="25"/>
  <c r="AW120" i="20" s="1"/>
  <c r="Z120" i="25"/>
  <c r="AV120" i="20" s="1"/>
  <c r="S119" i="19"/>
  <c r="AF119" i="19" s="1"/>
  <c r="F119" i="19" s="1"/>
  <c r="AS121" i="25"/>
  <c r="AB120" i="25"/>
  <c r="AC120" i="25"/>
  <c r="BH120" i="19"/>
  <c r="AL118" i="19"/>
  <c r="V119" i="22" s="1"/>
  <c r="AN118" i="19"/>
  <c r="X119" i="22" s="1"/>
  <c r="BT120" i="19" l="1"/>
  <c r="AX120" i="20"/>
  <c r="Q122" i="19"/>
  <c r="AD122" i="19" s="1"/>
  <c r="D122" i="19" s="1"/>
  <c r="N122" i="22" s="1"/>
  <c r="X123" i="25"/>
  <c r="AU123" i="20" s="1"/>
  <c r="O124" i="19"/>
  <c r="AB124" i="19" s="1"/>
  <c r="B124" i="19" s="1"/>
  <c r="L124" i="22" s="1"/>
  <c r="V125" i="25"/>
  <c r="BU119" i="19"/>
  <c r="AX120" i="25" s="1"/>
  <c r="J120" i="25" s="1"/>
  <c r="U120" i="19" s="1"/>
  <c r="AH120" i="19" s="1"/>
  <c r="H120" i="19" s="1"/>
  <c r="R120" i="22" s="1"/>
  <c r="AY120" i="25"/>
  <c r="K120" i="25" s="1"/>
  <c r="AU120" i="25"/>
  <c r="G120" i="25" s="1"/>
  <c r="BS120" i="19"/>
  <c r="E121" i="25"/>
  <c r="BE121" i="19" s="1"/>
  <c r="AW120" i="25"/>
  <c r="I120" i="25" s="1"/>
  <c r="AV120" i="25"/>
  <c r="AT120" i="25"/>
  <c r="L118" i="19"/>
  <c r="T118" i="22" s="1"/>
  <c r="N118" i="19"/>
  <c r="U118" i="22" s="1"/>
  <c r="AI178" i="19"/>
  <c r="I178" i="19" s="1"/>
  <c r="S178" i="22" s="1"/>
  <c r="AP125" i="25" l="1"/>
  <c r="AQ124" i="25"/>
  <c r="AE121" i="25"/>
  <c r="AY121" i="20" s="1"/>
  <c r="T120" i="19"/>
  <c r="AG120" i="19" s="1"/>
  <c r="G120" i="19" s="1"/>
  <c r="BG120" i="19"/>
  <c r="Y122" i="25"/>
  <c r="BQ122" i="19" s="1"/>
  <c r="AR123" i="25" s="1"/>
  <c r="R121" i="19"/>
  <c r="E121" i="19" s="1"/>
  <c r="O121" i="22" s="1"/>
  <c r="AD121" i="25"/>
  <c r="F120" i="25"/>
  <c r="BF120" i="19" s="1"/>
  <c r="H120" i="25"/>
  <c r="AB121" i="25" s="1"/>
  <c r="M119" i="19"/>
  <c r="AI179" i="19"/>
  <c r="I179" i="19" s="1"/>
  <c r="S179" i="22" s="1"/>
  <c r="BT121" i="19" l="1"/>
  <c r="AX121" i="20"/>
  <c r="AY121" i="25"/>
  <c r="K121" i="25" s="1"/>
  <c r="D123" i="25"/>
  <c r="B125" i="25"/>
  <c r="C124" i="25"/>
  <c r="Z121" i="25"/>
  <c r="AV121" i="20" s="1"/>
  <c r="S120" i="19"/>
  <c r="AF120" i="19" s="1"/>
  <c r="F120" i="19" s="1"/>
  <c r="AA121" i="25"/>
  <c r="AV121" i="25"/>
  <c r="AC121" i="25"/>
  <c r="AL119" i="19"/>
  <c r="V120" i="22" s="1"/>
  <c r="AS122" i="25" l="1"/>
  <c r="E122" i="25" s="1"/>
  <c r="BE122" i="19" s="1"/>
  <c r="BS121" i="19"/>
  <c r="AW121" i="20"/>
  <c r="O125" i="19"/>
  <c r="AB125" i="19" s="1"/>
  <c r="B125" i="19" s="1"/>
  <c r="L125" i="22" s="1"/>
  <c r="V126" i="25"/>
  <c r="BC124" i="19"/>
  <c r="P124" i="19"/>
  <c r="C124" i="19" s="1"/>
  <c r="M124" i="22" s="1"/>
  <c r="W125" i="25"/>
  <c r="Q123" i="19"/>
  <c r="AD123" i="19" s="1"/>
  <c r="D123" i="19" s="1"/>
  <c r="N123" i="22" s="1"/>
  <c r="X124" i="25"/>
  <c r="AU124" i="20" s="1"/>
  <c r="AW121" i="25"/>
  <c r="I121" i="25" s="1"/>
  <c r="AU121" i="25"/>
  <c r="G121" i="25" s="1"/>
  <c r="H121" i="25"/>
  <c r="BH121" i="19"/>
  <c r="L119" i="19"/>
  <c r="T119" i="22" s="1"/>
  <c r="AN119" i="19"/>
  <c r="X120" i="22" s="1"/>
  <c r="AT121" i="25" s="1"/>
  <c r="M120" i="19"/>
  <c r="AI180" i="19"/>
  <c r="I180" i="19" s="1"/>
  <c r="S180" i="22" s="1"/>
  <c r="BO125" i="19" l="1"/>
  <c r="AP126" i="25" s="1"/>
  <c r="AQ125" i="25"/>
  <c r="C125" i="25" s="1"/>
  <c r="BU120" i="19"/>
  <c r="AX121" i="25" s="1"/>
  <c r="J121" i="25" s="1"/>
  <c r="AD122" i="25" s="1"/>
  <c r="T121" i="19"/>
  <c r="AG121" i="19" s="1"/>
  <c r="G121" i="19" s="1"/>
  <c r="BG121" i="19"/>
  <c r="Y123" i="25"/>
  <c r="BQ123" i="19" s="1"/>
  <c r="AR124" i="25" s="1"/>
  <c r="R122" i="19"/>
  <c r="E122" i="19" s="1"/>
  <c r="O122" i="22" s="1"/>
  <c r="AC122" i="25"/>
  <c r="AW122" i="25" s="1"/>
  <c r="F121" i="25"/>
  <c r="BF121" i="19" s="1"/>
  <c r="AB122" i="25"/>
  <c r="AJ122" i="19"/>
  <c r="J122" i="19" s="1"/>
  <c r="N119" i="19"/>
  <c r="U119" i="22" s="1"/>
  <c r="AI181" i="19"/>
  <c r="I181" i="19" s="1"/>
  <c r="S181" i="22" s="1"/>
  <c r="BT122" i="19" l="1"/>
  <c r="AX122" i="20"/>
  <c r="D124" i="25"/>
  <c r="BC125" i="19"/>
  <c r="P125" i="19"/>
  <c r="C125" i="19" s="1"/>
  <c r="M125" i="22" s="1"/>
  <c r="W126" i="25"/>
  <c r="B126" i="25"/>
  <c r="U121" i="19"/>
  <c r="AH121" i="19" s="1"/>
  <c r="H121" i="19" s="1"/>
  <c r="R121" i="22" s="1"/>
  <c r="AE122" i="25"/>
  <c r="AY122" i="20" s="1"/>
  <c r="Z122" i="25"/>
  <c r="S121" i="19"/>
  <c r="AF121" i="19" s="1"/>
  <c r="F121" i="19" s="1"/>
  <c r="AA122" i="25"/>
  <c r="AW122" i="20" s="1"/>
  <c r="I122" i="25"/>
  <c r="AV122" i="25"/>
  <c r="H122" i="25" s="1"/>
  <c r="AI182" i="19"/>
  <c r="I182" i="19" s="1"/>
  <c r="S182" i="22" s="1"/>
  <c r="AS123" i="25" l="1"/>
  <c r="E123" i="25" s="1"/>
  <c r="BE123" i="19" s="1"/>
  <c r="AV122" i="20"/>
  <c r="BO126" i="19"/>
  <c r="O126" i="19"/>
  <c r="AB126" i="19" s="1"/>
  <c r="B126" i="19" s="1"/>
  <c r="L126" i="22" s="1"/>
  <c r="V127" i="25"/>
  <c r="Q124" i="19"/>
  <c r="AD124" i="19" s="1"/>
  <c r="D124" i="19" s="1"/>
  <c r="N124" i="22" s="1"/>
  <c r="X125" i="25"/>
  <c r="AU125" i="20" s="1"/>
  <c r="AY122" i="25"/>
  <c r="K122" i="25" s="1"/>
  <c r="AU122" i="25"/>
  <c r="G122" i="25" s="1"/>
  <c r="AB123" i="25" s="1"/>
  <c r="AV123" i="25" s="1"/>
  <c r="BS122" i="19"/>
  <c r="T122" i="19"/>
  <c r="BG122" i="19"/>
  <c r="AC123" i="25"/>
  <c r="AK123" i="19"/>
  <c r="K123" i="19" s="1"/>
  <c r="AL120" i="19"/>
  <c r="V121" i="22" s="1"/>
  <c r="Y124" i="25" l="1"/>
  <c r="BQ124" i="19" s="1"/>
  <c r="R123" i="19"/>
  <c r="E123" i="19" s="1"/>
  <c r="O123" i="22" s="1"/>
  <c r="AR125" i="25"/>
  <c r="AQ126" i="25"/>
  <c r="AP127" i="25"/>
  <c r="H123" i="25"/>
  <c r="AW123" i="25"/>
  <c r="L120" i="19"/>
  <c r="T120" i="22" s="1"/>
  <c r="AG122" i="19"/>
  <c r="G122" i="19" s="1"/>
  <c r="BH122" i="19"/>
  <c r="M121" i="19"/>
  <c r="AN120" i="19"/>
  <c r="X121" i="22" s="1"/>
  <c r="AT122" i="25" s="1"/>
  <c r="C126" i="25" l="1"/>
  <c r="B127" i="25"/>
  <c r="D125" i="25"/>
  <c r="BU121" i="19"/>
  <c r="AX122" i="25" s="1"/>
  <c r="F122" i="25"/>
  <c r="I123" i="25"/>
  <c r="BG123" i="19" s="1"/>
  <c r="N120" i="19"/>
  <c r="U120" i="22" s="1"/>
  <c r="Q125" i="19" l="1"/>
  <c r="AD125" i="19" s="1"/>
  <c r="D125" i="19" s="1"/>
  <c r="N125" i="22" s="1"/>
  <c r="X126" i="25"/>
  <c r="AU126" i="20" s="1"/>
  <c r="O127" i="19"/>
  <c r="AB127" i="19" s="1"/>
  <c r="B127" i="19" s="1"/>
  <c r="L127" i="22" s="1"/>
  <c r="V128" i="25"/>
  <c r="P126" i="19"/>
  <c r="C126" i="19" s="1"/>
  <c r="M126" i="22" s="1"/>
  <c r="BC126" i="19"/>
  <c r="W127" i="25"/>
  <c r="J122" i="25"/>
  <c r="S122" i="19"/>
  <c r="AF122" i="19" s="1"/>
  <c r="F122" i="19" s="1"/>
  <c r="BF122" i="19"/>
  <c r="AC124" i="25"/>
  <c r="T123" i="19"/>
  <c r="Z123" i="25"/>
  <c r="AV123" i="20" s="1"/>
  <c r="AA123" i="25"/>
  <c r="AJ123" i="19"/>
  <c r="J123" i="19" s="1"/>
  <c r="AL121" i="19"/>
  <c r="V122" i="22" s="1"/>
  <c r="BS123" i="19" l="1"/>
  <c r="AW123" i="20"/>
  <c r="BO127" i="19"/>
  <c r="AP128" i="25" s="1"/>
  <c r="AQ127" i="25"/>
  <c r="C127" i="25" s="1"/>
  <c r="U122" i="19"/>
  <c r="AH122" i="19" s="1"/>
  <c r="H122" i="19" s="1"/>
  <c r="R122" i="22" s="1"/>
  <c r="AD123" i="25"/>
  <c r="AE123" i="25"/>
  <c r="AY123" i="20" s="1"/>
  <c r="AS124" i="25"/>
  <c r="AU123" i="25"/>
  <c r="AG123" i="19"/>
  <c r="G123" i="19" s="1"/>
  <c r="BH123" i="19"/>
  <c r="L121" i="19"/>
  <c r="T121" i="22" s="1"/>
  <c r="M122" i="19"/>
  <c r="AW124" i="25" l="1"/>
  <c r="I124" i="25" s="1"/>
  <c r="BG124" i="19" s="1"/>
  <c r="AX123" i="20"/>
  <c r="B128" i="25"/>
  <c r="BC127" i="19"/>
  <c r="P127" i="19"/>
  <c r="C127" i="19" s="1"/>
  <c r="M127" i="22" s="1"/>
  <c r="W128" i="25"/>
  <c r="BT123" i="19"/>
  <c r="AY123" i="25"/>
  <c r="K123" i="25" s="1"/>
  <c r="E124" i="25"/>
  <c r="BE124" i="19" s="1"/>
  <c r="G123" i="25"/>
  <c r="AJ124" i="19"/>
  <c r="J124" i="19" s="1"/>
  <c r="AK124" i="19"/>
  <c r="K124" i="19" s="1"/>
  <c r="AN121" i="19"/>
  <c r="X122" i="22" s="1"/>
  <c r="T124" i="19" l="1"/>
  <c r="BO128" i="19"/>
  <c r="O128" i="19"/>
  <c r="AB128" i="19" s="1"/>
  <c r="B128" i="19" s="1"/>
  <c r="L128" i="22" s="1"/>
  <c r="V129" i="25"/>
  <c r="AT123" i="25"/>
  <c r="F123" i="25" s="1"/>
  <c r="BF123" i="19" s="1"/>
  <c r="BU122" i="19"/>
  <c r="AX123" i="25" s="1"/>
  <c r="Y125" i="25"/>
  <c r="BQ125" i="19" s="1"/>
  <c r="AR126" i="25" s="1"/>
  <c r="R124" i="19"/>
  <c r="E124" i="19" s="1"/>
  <c r="O124" i="22" s="1"/>
  <c r="AB124" i="25"/>
  <c r="AV124" i="25" s="1"/>
  <c r="N121" i="19"/>
  <c r="U121" i="22" s="1"/>
  <c r="AP129" i="25" l="1"/>
  <c r="D126" i="25"/>
  <c r="J123" i="25"/>
  <c r="Z124" i="25"/>
  <c r="S123" i="19"/>
  <c r="AF123" i="19" s="1"/>
  <c r="F123" i="19" s="1"/>
  <c r="AA124" i="25"/>
  <c r="H124" i="25"/>
  <c r="AK125" i="19"/>
  <c r="K125" i="19" s="1"/>
  <c r="AL122" i="19"/>
  <c r="V123" i="22" s="1"/>
  <c r="BS124" i="19" l="1"/>
  <c r="AW124" i="20"/>
  <c r="AS125" i="25"/>
  <c r="E125" i="25" s="1"/>
  <c r="BE125" i="19" s="1"/>
  <c r="AV124" i="20"/>
  <c r="Q126" i="19"/>
  <c r="AD126" i="19" s="1"/>
  <c r="D126" i="19" s="1"/>
  <c r="N126" i="22" s="1"/>
  <c r="X127" i="25"/>
  <c r="AU127" i="20" s="1"/>
  <c r="B129" i="25"/>
  <c r="U123" i="19"/>
  <c r="AH123" i="19" s="1"/>
  <c r="H123" i="19" s="1"/>
  <c r="R123" i="22" s="1"/>
  <c r="AD124" i="25"/>
  <c r="AX124" i="20" s="1"/>
  <c r="AE124" i="25"/>
  <c r="AY124" i="20" s="1"/>
  <c r="AC125" i="25"/>
  <c r="AU124" i="25"/>
  <c r="L122" i="19"/>
  <c r="T122" i="22" s="1"/>
  <c r="AN122" i="19"/>
  <c r="X123" i="22" s="1"/>
  <c r="AT124" i="25" s="1"/>
  <c r="M123" i="19"/>
  <c r="O129" i="19" l="1"/>
  <c r="AB129" i="19" s="1"/>
  <c r="B129" i="19" s="1"/>
  <c r="L129" i="22" s="1"/>
  <c r="V130" i="25"/>
  <c r="AQ128" i="25"/>
  <c r="AY124" i="25"/>
  <c r="K124" i="25" s="1"/>
  <c r="BT124" i="19"/>
  <c r="BU123" i="19"/>
  <c r="AX124" i="25" s="1"/>
  <c r="Y126" i="25"/>
  <c r="BQ126" i="19" s="1"/>
  <c r="AR127" i="25" s="1"/>
  <c r="R125" i="19"/>
  <c r="E125" i="19" s="1"/>
  <c r="O125" i="22" s="1"/>
  <c r="G124" i="25"/>
  <c r="F124" i="25"/>
  <c r="BF124" i="19" s="1"/>
  <c r="AW125" i="25"/>
  <c r="I125" i="25" s="1"/>
  <c r="BH124" i="19"/>
  <c r="AG124" i="19"/>
  <c r="G124" i="19" s="1"/>
  <c r="N122" i="19"/>
  <c r="U122" i="22" s="1"/>
  <c r="D127" i="25" l="1"/>
  <c r="C128" i="25"/>
  <c r="J124" i="25"/>
  <c r="AE125" i="25" s="1"/>
  <c r="T125" i="19"/>
  <c r="BG125" i="19"/>
  <c r="Z125" i="25"/>
  <c r="S124" i="19"/>
  <c r="AF124" i="19" s="1"/>
  <c r="F124" i="19" s="1"/>
  <c r="AA125" i="25"/>
  <c r="AB125" i="25"/>
  <c r="AJ125" i="19"/>
  <c r="J125" i="19" s="1"/>
  <c r="AL123" i="19"/>
  <c r="V124" i="22" s="1"/>
  <c r="AY125" i="25" l="1"/>
  <c r="K125" i="25" s="1"/>
  <c r="AY125" i="20"/>
  <c r="BS125" i="19"/>
  <c r="AW125" i="20"/>
  <c r="AS126" i="25"/>
  <c r="E126" i="25" s="1"/>
  <c r="BE126" i="19" s="1"/>
  <c r="AV125" i="20"/>
  <c r="BC128" i="19"/>
  <c r="P128" i="19"/>
  <c r="C128" i="19" s="1"/>
  <c r="W129" i="25"/>
  <c r="Q127" i="19"/>
  <c r="AD127" i="19" s="1"/>
  <c r="D127" i="19" s="1"/>
  <c r="N127" i="22" s="1"/>
  <c r="X128" i="25"/>
  <c r="AU128" i="20" s="1"/>
  <c r="U124" i="19"/>
  <c r="AH124" i="19" s="1"/>
  <c r="H124" i="19" s="1"/>
  <c r="R124" i="22" s="1"/>
  <c r="AD125" i="25"/>
  <c r="AX125" i="20" s="1"/>
  <c r="AV125" i="25"/>
  <c r="AU125" i="25"/>
  <c r="G125" i="25" s="1"/>
  <c r="AG125" i="19"/>
  <c r="G125" i="19" s="1"/>
  <c r="L123" i="19"/>
  <c r="T123" i="22" s="1"/>
  <c r="M124" i="19"/>
  <c r="BO129" i="19" l="1"/>
  <c r="AP130" i="25" s="1"/>
  <c r="AQ129" i="25"/>
  <c r="BT125" i="19"/>
  <c r="Y127" i="25"/>
  <c r="BQ127" i="19" s="1"/>
  <c r="AR128" i="25" s="1"/>
  <c r="R126" i="19"/>
  <c r="E126" i="19" s="1"/>
  <c r="O126" i="22" s="1"/>
  <c r="H125" i="25"/>
  <c r="AK126" i="19"/>
  <c r="K126" i="19" s="1"/>
  <c r="BH125" i="19"/>
  <c r="AN123" i="19"/>
  <c r="X124" i="22" s="1"/>
  <c r="D128" i="25" l="1"/>
  <c r="C129" i="25"/>
  <c r="B130" i="25"/>
  <c r="AT125" i="25"/>
  <c r="F125" i="25" s="1"/>
  <c r="BF125" i="19" s="1"/>
  <c r="BU124" i="19"/>
  <c r="AX125" i="25" s="1"/>
  <c r="AB126" i="25"/>
  <c r="AV126" i="25" s="1"/>
  <c r="AC126" i="25"/>
  <c r="AJ126" i="19"/>
  <c r="J126" i="19" s="1"/>
  <c r="N123" i="19"/>
  <c r="U123" i="22" s="1"/>
  <c r="AL124" i="19"/>
  <c r="V125" i="22" s="1"/>
  <c r="O130" i="19" l="1"/>
  <c r="AB130" i="19" s="1"/>
  <c r="B130" i="19" s="1"/>
  <c r="L130" i="22" s="1"/>
  <c r="V131" i="25"/>
  <c r="Q128" i="19"/>
  <c r="AD128" i="19" s="1"/>
  <c r="D128" i="19" s="1"/>
  <c r="N128" i="22" s="1"/>
  <c r="X129" i="25"/>
  <c r="AU129" i="20" s="1"/>
  <c r="P129" i="19"/>
  <c r="C129" i="19" s="1"/>
  <c r="BC129" i="19"/>
  <c r="W130" i="25"/>
  <c r="S125" i="19"/>
  <c r="AF125" i="19" s="1"/>
  <c r="F125" i="19" s="1"/>
  <c r="AA126" i="25"/>
  <c r="Z126" i="25"/>
  <c r="J125" i="25"/>
  <c r="H126" i="25"/>
  <c r="AW126" i="25"/>
  <c r="I126" i="25" s="1"/>
  <c r="M125" i="19"/>
  <c r="L124" i="19"/>
  <c r="T124" i="22" s="1"/>
  <c r="BS126" i="19" l="1"/>
  <c r="AW126" i="20"/>
  <c r="AS127" i="25"/>
  <c r="E127" i="25" s="1"/>
  <c r="BE127" i="19" s="1"/>
  <c r="AV126" i="20"/>
  <c r="AU126" i="25"/>
  <c r="G126" i="25" s="1"/>
  <c r="AB127" i="25" s="1"/>
  <c r="AV127" i="25" s="1"/>
  <c r="BO130" i="19"/>
  <c r="AP131" i="25" s="1"/>
  <c r="B131" i="25" s="1"/>
  <c r="AQ130" i="25"/>
  <c r="U125" i="19"/>
  <c r="AH125" i="19" s="1"/>
  <c r="H125" i="19" s="1"/>
  <c r="R125" i="22" s="1"/>
  <c r="AE126" i="25"/>
  <c r="AY126" i="20" s="1"/>
  <c r="AD126" i="25"/>
  <c r="AX126" i="20" s="1"/>
  <c r="T126" i="19"/>
  <c r="BG126" i="19"/>
  <c r="AC127" i="25"/>
  <c r="AK127" i="19"/>
  <c r="K127" i="19" s="1"/>
  <c r="BH126" i="19"/>
  <c r="AN124" i="19"/>
  <c r="R127" i="19" l="1"/>
  <c r="E127" i="19" s="1"/>
  <c r="O127" i="22" s="1"/>
  <c r="Y128" i="25"/>
  <c r="BQ128" i="19" s="1"/>
  <c r="AR129" i="25" s="1"/>
  <c r="D129" i="25" s="1"/>
  <c r="AW127" i="25"/>
  <c r="I127" i="25" s="1"/>
  <c r="O131" i="19"/>
  <c r="AB131" i="19" s="1"/>
  <c r="B131" i="19" s="1"/>
  <c r="L131" i="22" s="1"/>
  <c r="V132" i="25"/>
  <c r="C130" i="25"/>
  <c r="AY126" i="25"/>
  <c r="K126" i="25" s="1"/>
  <c r="BT126" i="19"/>
  <c r="H127" i="25"/>
  <c r="AJ127" i="19"/>
  <c r="J127" i="19" s="1"/>
  <c r="AG126" i="19"/>
  <c r="G126" i="19" s="1"/>
  <c r="N124" i="19"/>
  <c r="U124" i="22" s="1"/>
  <c r="X125" i="22"/>
  <c r="BC130" i="19" l="1"/>
  <c r="P130" i="19"/>
  <c r="C130" i="19" s="1"/>
  <c r="M130" i="22" s="1"/>
  <c r="W131" i="25"/>
  <c r="Q129" i="19"/>
  <c r="AD129" i="19" s="1"/>
  <c r="D129" i="19" s="1"/>
  <c r="N129" i="22" s="1"/>
  <c r="X130" i="25"/>
  <c r="AU130" i="20" s="1"/>
  <c r="AT126" i="25"/>
  <c r="F126" i="25" s="1"/>
  <c r="BU125" i="19"/>
  <c r="AX126" i="25" s="1"/>
  <c r="T127" i="19"/>
  <c r="BG127" i="19"/>
  <c r="AC128" i="25"/>
  <c r="AL125" i="19"/>
  <c r="V126" i="22" s="1"/>
  <c r="BO131" i="19" l="1"/>
  <c r="AP132" i="25" s="1"/>
  <c r="B132" i="25" s="1"/>
  <c r="AQ131" i="25"/>
  <c r="J126" i="25"/>
  <c r="S126" i="19"/>
  <c r="AF126" i="19" s="1"/>
  <c r="F126" i="19" s="1"/>
  <c r="BF126" i="19"/>
  <c r="Z127" i="25"/>
  <c r="AV127" i="20" s="1"/>
  <c r="AA127" i="25"/>
  <c r="AK128" i="19"/>
  <c r="K128" i="19" s="1"/>
  <c r="L125" i="19"/>
  <c r="T125" i="22" s="1"/>
  <c r="M126" i="19"/>
  <c r="AN125" i="19"/>
  <c r="BS127" i="19" l="1"/>
  <c r="AW127" i="20"/>
  <c r="C131" i="25"/>
  <c r="O132" i="19"/>
  <c r="AB132" i="19" s="1"/>
  <c r="B132" i="19" s="1"/>
  <c r="L132" i="22" s="1"/>
  <c r="V133" i="25"/>
  <c r="U126" i="19"/>
  <c r="AH126" i="19" s="1"/>
  <c r="H126" i="19" s="1"/>
  <c r="R126" i="22" s="1"/>
  <c r="AD127" i="25"/>
  <c r="AX127" i="20" s="1"/>
  <c r="AE127" i="25"/>
  <c r="AY127" i="20" s="1"/>
  <c r="AU127" i="25"/>
  <c r="G127" i="25" s="1"/>
  <c r="AS128" i="25"/>
  <c r="BH127" i="19"/>
  <c r="N125" i="19"/>
  <c r="U125" i="22" s="1"/>
  <c r="X126" i="22"/>
  <c r="BC131" i="19" l="1"/>
  <c r="P131" i="19"/>
  <c r="C131" i="19" s="1"/>
  <c r="M131" i="22" s="1"/>
  <c r="W132" i="25"/>
  <c r="BT127" i="19"/>
  <c r="AW128" i="25"/>
  <c r="I128" i="25" s="1"/>
  <c r="AT127" i="25"/>
  <c r="F127" i="25" s="1"/>
  <c r="BF127" i="19" s="1"/>
  <c r="BU126" i="19"/>
  <c r="AX127" i="25" s="1"/>
  <c r="AY127" i="25"/>
  <c r="K127" i="25" s="1"/>
  <c r="E128" i="25"/>
  <c r="BE128" i="19" s="1"/>
  <c r="AB128" i="25"/>
  <c r="AG127" i="19"/>
  <c r="G127" i="19" s="1"/>
  <c r="M127" i="19"/>
  <c r="AL126" i="19"/>
  <c r="V127" i="22" s="1"/>
  <c r="BO132" i="19" l="1"/>
  <c r="AP133" i="25" s="1"/>
  <c r="B133" i="25" s="1"/>
  <c r="Z128" i="25"/>
  <c r="AV128" i="20" s="1"/>
  <c r="S127" i="19"/>
  <c r="AF127" i="19" s="1"/>
  <c r="F127" i="19" s="1"/>
  <c r="AA128" i="25"/>
  <c r="BG128" i="19"/>
  <c r="T128" i="19"/>
  <c r="J127" i="25"/>
  <c r="Y129" i="25"/>
  <c r="R128" i="19"/>
  <c r="E128" i="19" s="1"/>
  <c r="O128" i="22" s="1"/>
  <c r="AV128" i="25"/>
  <c r="AJ128" i="19"/>
  <c r="J128" i="19" s="1"/>
  <c r="AN126" i="19"/>
  <c r="L126" i="19"/>
  <c r="T126" i="22" s="1"/>
  <c r="BS128" i="19" l="1"/>
  <c r="AW128" i="20"/>
  <c r="AS129" i="25"/>
  <c r="E129" i="25" s="1"/>
  <c r="BE129" i="19" s="1"/>
  <c r="BQ129" i="19"/>
  <c r="AR130" i="25" s="1"/>
  <c r="O133" i="19"/>
  <c r="AB133" i="19" s="1"/>
  <c r="B133" i="19" s="1"/>
  <c r="L133" i="22" s="1"/>
  <c r="V134" i="25"/>
  <c r="AU128" i="25"/>
  <c r="G128" i="25" s="1"/>
  <c r="U127" i="19"/>
  <c r="AH127" i="19" s="1"/>
  <c r="H127" i="19" s="1"/>
  <c r="R127" i="22" s="1"/>
  <c r="AD128" i="25"/>
  <c r="AX128" i="20" s="1"/>
  <c r="AE128" i="25"/>
  <c r="AY128" i="20" s="1"/>
  <c r="H128" i="25"/>
  <c r="AK129" i="19"/>
  <c r="K129" i="19" s="1"/>
  <c r="AG128" i="19"/>
  <c r="G128" i="19" s="1"/>
  <c r="N126" i="19"/>
  <c r="U126" i="22" s="1"/>
  <c r="X127" i="22"/>
  <c r="Y130" i="25" l="1"/>
  <c r="BQ130" i="19" s="1"/>
  <c r="R129" i="19"/>
  <c r="E129" i="19" s="1"/>
  <c r="O129" i="22" s="1"/>
  <c r="D130" i="25"/>
  <c r="AY128" i="25"/>
  <c r="K128" i="25" s="1"/>
  <c r="BT128" i="19"/>
  <c r="AT128" i="25"/>
  <c r="F128" i="25" s="1"/>
  <c r="BU127" i="19"/>
  <c r="AX128" i="25" s="1"/>
  <c r="AB129" i="25"/>
  <c r="AV129" i="25" s="1"/>
  <c r="AC129" i="25"/>
  <c r="BH128" i="19"/>
  <c r="AN127" i="19"/>
  <c r="N127" i="19" s="1"/>
  <c r="U127" i="22" s="1"/>
  <c r="Q130" i="19" l="1"/>
  <c r="AD130" i="19" s="1"/>
  <c r="D130" i="19" s="1"/>
  <c r="N130" i="22" s="1"/>
  <c r="X131" i="25"/>
  <c r="AU131" i="20" s="1"/>
  <c r="J128" i="25"/>
  <c r="AE129" i="25" s="1"/>
  <c r="AY129" i="20" s="1"/>
  <c r="S128" i="19"/>
  <c r="AF128" i="19" s="1"/>
  <c r="F128" i="19" s="1"/>
  <c r="BF128" i="19"/>
  <c r="H129" i="25"/>
  <c r="AW129" i="25"/>
  <c r="I129" i="25" s="1"/>
  <c r="Z129" i="25"/>
  <c r="AV129" i="20" s="1"/>
  <c r="AA129" i="25"/>
  <c r="AJ129" i="19"/>
  <c r="J129" i="19" s="1"/>
  <c r="X128" i="22"/>
  <c r="AL127" i="19"/>
  <c r="V128" i="22" s="1"/>
  <c r="AN128" i="19"/>
  <c r="N128" i="19" s="1"/>
  <c r="U128" i="22" s="1"/>
  <c r="BS129" i="19" l="1"/>
  <c r="AW129" i="20"/>
  <c r="BU128" i="19"/>
  <c r="AQ132" i="25"/>
  <c r="AR131" i="25"/>
  <c r="D131" i="25" s="1"/>
  <c r="Q131" i="19" s="1"/>
  <c r="AD131" i="19" s="1"/>
  <c r="D131" i="19" s="1"/>
  <c r="N131" i="22" s="1"/>
  <c r="AY129" i="25"/>
  <c r="K129" i="25" s="1"/>
  <c r="U128" i="19"/>
  <c r="AH128" i="19" s="1"/>
  <c r="H128" i="19" s="1"/>
  <c r="R128" i="22" s="1"/>
  <c r="AD129" i="25"/>
  <c r="AX129" i="20" s="1"/>
  <c r="T129" i="19"/>
  <c r="BG129" i="19"/>
  <c r="AC130" i="25"/>
  <c r="AU129" i="25"/>
  <c r="G129" i="25" s="1"/>
  <c r="AS130" i="25"/>
  <c r="AT129" i="25"/>
  <c r="BH129" i="19"/>
  <c r="M128" i="19"/>
  <c r="X129" i="22"/>
  <c r="L127" i="19"/>
  <c r="T127" i="22" s="1"/>
  <c r="C132" i="25" l="1"/>
  <c r="AW130" i="25"/>
  <c r="I130" i="25" s="1"/>
  <c r="X132" i="25"/>
  <c r="AU132" i="20" s="1"/>
  <c r="BT129" i="19"/>
  <c r="AX129" i="25"/>
  <c r="J129" i="25" s="1"/>
  <c r="AD130" i="25" s="1"/>
  <c r="F129" i="25"/>
  <c r="BF129" i="19" s="1"/>
  <c r="E130" i="25"/>
  <c r="BE130" i="19" s="1"/>
  <c r="AB130" i="25"/>
  <c r="AV130" i="25" s="1"/>
  <c r="H130" i="25" s="1"/>
  <c r="AJ130" i="19"/>
  <c r="J130" i="19" s="1"/>
  <c r="AK130" i="19"/>
  <c r="K130" i="19" s="1"/>
  <c r="AG129" i="19"/>
  <c r="G129" i="19" s="1"/>
  <c r="BT130" i="19" l="1"/>
  <c r="AX130" i="20"/>
  <c r="P132" i="19"/>
  <c r="C132" i="19" s="1"/>
  <c r="M132" i="22" s="1"/>
  <c r="BC132" i="19"/>
  <c r="W133" i="25"/>
  <c r="U129" i="19"/>
  <c r="AH129" i="19" s="1"/>
  <c r="H129" i="19" s="1"/>
  <c r="R129" i="22" s="1"/>
  <c r="AE130" i="25"/>
  <c r="AY130" i="20" s="1"/>
  <c r="AA130" i="25"/>
  <c r="AW130" i="20" s="1"/>
  <c r="T130" i="19"/>
  <c r="BG130" i="19"/>
  <c r="Y131" i="25"/>
  <c r="BQ131" i="19" s="1"/>
  <c r="AR132" i="25" s="1"/>
  <c r="R130" i="19"/>
  <c r="E130" i="19" s="1"/>
  <c r="O130" i="22" s="1"/>
  <c r="Z130" i="25"/>
  <c r="AV130" i="20" s="1"/>
  <c r="S129" i="19"/>
  <c r="AF129" i="19" s="1"/>
  <c r="F129" i="19" s="1"/>
  <c r="AC131" i="25"/>
  <c r="AN129" i="19"/>
  <c r="X130" i="22" s="1"/>
  <c r="D132" i="25" l="1"/>
  <c r="BO133" i="19"/>
  <c r="AP134" i="25" s="1"/>
  <c r="B134" i="25" s="1"/>
  <c r="AQ133" i="25"/>
  <c r="C133" i="25" s="1"/>
  <c r="AS131" i="25"/>
  <c r="E131" i="25" s="1"/>
  <c r="BE131" i="19" s="1"/>
  <c r="AY130" i="25"/>
  <c r="K130" i="25" s="1"/>
  <c r="AU130" i="25"/>
  <c r="G130" i="25" s="1"/>
  <c r="AB131" i="25" s="1"/>
  <c r="BS130" i="19"/>
  <c r="AW131" i="25"/>
  <c r="AK131" i="19"/>
  <c r="K131" i="19" s="1"/>
  <c r="AG130" i="19"/>
  <c r="G130" i="19" s="1"/>
  <c r="AL128" i="19"/>
  <c r="V129" i="22" s="1"/>
  <c r="N129" i="19"/>
  <c r="U129" i="22" s="1"/>
  <c r="O134" i="19" l="1"/>
  <c r="AB134" i="19" s="1"/>
  <c r="B134" i="19" s="1"/>
  <c r="L134" i="22" s="1"/>
  <c r="V135" i="25"/>
  <c r="BC133" i="19"/>
  <c r="P133" i="19"/>
  <c r="C133" i="19" s="1"/>
  <c r="M133" i="22" s="1"/>
  <c r="Y132" i="25"/>
  <c r="BQ132" i="19" s="1"/>
  <c r="Q132" i="19"/>
  <c r="AD132" i="19" s="1"/>
  <c r="D132" i="19" s="1"/>
  <c r="N132" i="22" s="1"/>
  <c r="X133" i="25"/>
  <c r="AU133" i="20" s="1"/>
  <c r="R131" i="19"/>
  <c r="E131" i="19" s="1"/>
  <c r="O131" i="22" s="1"/>
  <c r="W134" i="25"/>
  <c r="AT130" i="25"/>
  <c r="F130" i="25" s="1"/>
  <c r="BU129" i="19"/>
  <c r="AX130" i="25" s="1"/>
  <c r="J130" i="25" s="1"/>
  <c r="AV131" i="25"/>
  <c r="I131" i="25"/>
  <c r="L128" i="19"/>
  <c r="T128" i="22" s="1"/>
  <c r="BH130" i="19"/>
  <c r="M129" i="19"/>
  <c r="AR133" i="25" l="1"/>
  <c r="BO134" i="19"/>
  <c r="AP135" i="25" s="1"/>
  <c r="B135" i="25" s="1"/>
  <c r="O135" i="19" s="1"/>
  <c r="AB135" i="19" s="1"/>
  <c r="B135" i="19" s="1"/>
  <c r="L135" i="22" s="1"/>
  <c r="AQ134" i="25"/>
  <c r="U130" i="19"/>
  <c r="AH130" i="19" s="1"/>
  <c r="H130" i="19" s="1"/>
  <c r="R130" i="22" s="1"/>
  <c r="AD131" i="25"/>
  <c r="AE131" i="25"/>
  <c r="AY131" i="20" s="1"/>
  <c r="S130" i="19"/>
  <c r="AF130" i="19" s="1"/>
  <c r="F130" i="19" s="1"/>
  <c r="BF130" i="19"/>
  <c r="T131" i="19"/>
  <c r="BG131" i="19"/>
  <c r="H131" i="25"/>
  <c r="AC132" i="25" s="1"/>
  <c r="Z131" i="25"/>
  <c r="AV131" i="20" s="1"/>
  <c r="AA131" i="25"/>
  <c r="BH131" i="19"/>
  <c r="BT131" i="19" l="1"/>
  <c r="AX131" i="20"/>
  <c r="BS131" i="19"/>
  <c r="AW131" i="20"/>
  <c r="V136" i="25"/>
  <c r="C134" i="25"/>
  <c r="D133" i="25"/>
  <c r="AY131" i="25"/>
  <c r="K131" i="25" s="1"/>
  <c r="AU131" i="25"/>
  <c r="AS132" i="25"/>
  <c r="E132" i="25" s="1"/>
  <c r="BE132" i="19" s="1"/>
  <c r="AW132" i="25"/>
  <c r="I132" i="25" s="1"/>
  <c r="AG131" i="19"/>
  <c r="G131" i="19" s="1"/>
  <c r="AJ131" i="19"/>
  <c r="J131" i="19" s="1"/>
  <c r="AL129" i="19"/>
  <c r="V130" i="22" s="1"/>
  <c r="AN130" i="19"/>
  <c r="P134" i="19" l="1"/>
  <c r="C134" i="19" s="1"/>
  <c r="M134" i="22" s="1"/>
  <c r="BC134" i="19"/>
  <c r="W135" i="25"/>
  <c r="Q133" i="19"/>
  <c r="AD133" i="19" s="1"/>
  <c r="D133" i="19" s="1"/>
  <c r="N133" i="22" s="1"/>
  <c r="X134" i="25"/>
  <c r="AU134" i="20" s="1"/>
  <c r="AT131" i="25"/>
  <c r="F131" i="25" s="1"/>
  <c r="BF131" i="19" s="1"/>
  <c r="BU130" i="19"/>
  <c r="AX131" i="25" s="1"/>
  <c r="J131" i="25" s="1"/>
  <c r="T132" i="19"/>
  <c r="BG132" i="19"/>
  <c r="Y133" i="25"/>
  <c r="BQ133" i="19" s="1"/>
  <c r="R132" i="19"/>
  <c r="E132" i="19" s="1"/>
  <c r="O132" i="22" s="1"/>
  <c r="G131" i="25"/>
  <c r="L129" i="19"/>
  <c r="T129" i="22" s="1"/>
  <c r="M130" i="19"/>
  <c r="N130" i="19"/>
  <c r="U130" i="22" s="1"/>
  <c r="X131" i="22"/>
  <c r="AR134" i="25" l="1"/>
  <c r="D134" i="25" s="1"/>
  <c r="Q134" i="19" s="1"/>
  <c r="AD134" i="19" s="1"/>
  <c r="D134" i="19" s="1"/>
  <c r="N134" i="22" s="1"/>
  <c r="BO135" i="19"/>
  <c r="AP136" i="25" s="1"/>
  <c r="AQ135" i="25"/>
  <c r="C135" i="25" s="1"/>
  <c r="W136" i="25" s="1"/>
  <c r="AD132" i="25"/>
  <c r="AX132" i="20" s="1"/>
  <c r="U131" i="19"/>
  <c r="AH131" i="19" s="1"/>
  <c r="H131" i="19" s="1"/>
  <c r="R131" i="22" s="1"/>
  <c r="AE132" i="25"/>
  <c r="Z132" i="25"/>
  <c r="S131" i="19"/>
  <c r="AF131" i="19" s="1"/>
  <c r="F131" i="19" s="1"/>
  <c r="AA132" i="25"/>
  <c r="AB132" i="25"/>
  <c r="AV132" i="25" s="1"/>
  <c r="BH132" i="19"/>
  <c r="AK132" i="19"/>
  <c r="K132" i="19" s="1"/>
  <c r="AJ132" i="19"/>
  <c r="J132" i="19" s="1"/>
  <c r="AG132" i="19"/>
  <c r="G132" i="19" s="1"/>
  <c r="AY132" i="25" l="1"/>
  <c r="K132" i="25" s="1"/>
  <c r="AY132" i="20"/>
  <c r="BS132" i="19"/>
  <c r="AW132" i="20"/>
  <c r="AS133" i="25"/>
  <c r="E133" i="25" s="1"/>
  <c r="BE133" i="19" s="1"/>
  <c r="AV132" i="20"/>
  <c r="B136" i="25"/>
  <c r="BC135" i="19"/>
  <c r="P135" i="19"/>
  <c r="C135" i="19" s="1"/>
  <c r="X135" i="25"/>
  <c r="BO136" i="19"/>
  <c r="BT132" i="19"/>
  <c r="H132" i="25"/>
  <c r="AU132" i="25"/>
  <c r="AL130" i="19"/>
  <c r="V131" i="22" s="1"/>
  <c r="BU131" i="19" s="1"/>
  <c r="AX132" i="25" s="1"/>
  <c r="Y134" i="25" l="1"/>
  <c r="BQ134" i="19" s="1"/>
  <c r="R133" i="19"/>
  <c r="E133" i="19" s="1"/>
  <c r="O133" i="22" s="1"/>
  <c r="AQ136" i="25"/>
  <c r="C136" i="25" s="1"/>
  <c r="BC136" i="19" s="1"/>
  <c r="AU135" i="20"/>
  <c r="AR135" i="25"/>
  <c r="D135" i="25" s="1"/>
  <c r="O136" i="19"/>
  <c r="AB136" i="19" s="1"/>
  <c r="B136" i="19" s="1"/>
  <c r="L136" i="22" s="1"/>
  <c r="V137" i="25"/>
  <c r="J132" i="25"/>
  <c r="AT132" i="25"/>
  <c r="AC133" i="25"/>
  <c r="G132" i="25"/>
  <c r="AB133" i="25" s="1"/>
  <c r="AK133" i="19"/>
  <c r="K133" i="19" s="1"/>
  <c r="AJ133" i="19"/>
  <c r="J133" i="19" s="1"/>
  <c r="L130" i="19"/>
  <c r="T130" i="22" s="1"/>
  <c r="M131" i="19"/>
  <c r="P136" i="19" l="1"/>
  <c r="C136" i="19" s="1"/>
  <c r="M136" i="22" s="1"/>
  <c r="W137" i="25"/>
  <c r="BO137" i="19" s="1"/>
  <c r="Q135" i="19"/>
  <c r="AD135" i="19" s="1"/>
  <c r="D135" i="19" s="1"/>
  <c r="N135" i="22" s="1"/>
  <c r="X136" i="25"/>
  <c r="AU136" i="20" s="1"/>
  <c r="AP137" i="25"/>
  <c r="B137" i="25" s="1"/>
  <c r="U132" i="19"/>
  <c r="AH132" i="19" s="1"/>
  <c r="H132" i="19" s="1"/>
  <c r="R132" i="22" s="1"/>
  <c r="AD133" i="25"/>
  <c r="AX133" i="20" s="1"/>
  <c r="AE133" i="25"/>
  <c r="AY133" i="20" s="1"/>
  <c r="AV133" i="25"/>
  <c r="F132" i="25"/>
  <c r="BF132" i="19" s="1"/>
  <c r="AW133" i="25"/>
  <c r="BH133" i="19"/>
  <c r="AN131" i="19"/>
  <c r="X132" i="22" s="1"/>
  <c r="AQ137" i="25" l="1"/>
  <c r="C137" i="25" s="1"/>
  <c r="O137" i="19"/>
  <c r="AB137" i="19" s="1"/>
  <c r="B137" i="19" s="1"/>
  <c r="L137" i="22" s="1"/>
  <c r="V138" i="25"/>
  <c r="AP138" i="25" s="1"/>
  <c r="AY133" i="25"/>
  <c r="K133" i="25" s="1"/>
  <c r="BT133" i="19"/>
  <c r="Z133" i="25"/>
  <c r="S132" i="19"/>
  <c r="AF132" i="19" s="1"/>
  <c r="F132" i="19" s="1"/>
  <c r="I133" i="25"/>
  <c r="AA133" i="25"/>
  <c r="H133" i="25"/>
  <c r="AK134" i="19"/>
  <c r="K134" i="19" s="1"/>
  <c r="AJ134" i="19"/>
  <c r="J134" i="19" s="1"/>
  <c r="N131" i="19"/>
  <c r="U131" i="22" s="1"/>
  <c r="AL131" i="19"/>
  <c r="V132" i="22" s="1"/>
  <c r="BU132" i="19" s="1"/>
  <c r="AX133" i="25" s="1"/>
  <c r="J133" i="25" s="1"/>
  <c r="M132" i="19"/>
  <c r="BS133" i="19" l="1"/>
  <c r="AW133" i="20"/>
  <c r="AS134" i="25"/>
  <c r="E134" i="25" s="1"/>
  <c r="BE134" i="19" s="1"/>
  <c r="AV133" i="20"/>
  <c r="B138" i="25"/>
  <c r="P137" i="19"/>
  <c r="C137" i="19" s="1"/>
  <c r="M137" i="22" s="1"/>
  <c r="BC137" i="19"/>
  <c r="W138" i="25"/>
  <c r="U133" i="19"/>
  <c r="AH133" i="19" s="1"/>
  <c r="H133" i="19" s="1"/>
  <c r="R133" i="22" s="1"/>
  <c r="AE134" i="25"/>
  <c r="AY134" i="20" s="1"/>
  <c r="AT133" i="25"/>
  <c r="F133" i="25" s="1"/>
  <c r="BF133" i="19" s="1"/>
  <c r="T133" i="19"/>
  <c r="AG133" i="19" s="1"/>
  <c r="G133" i="19" s="1"/>
  <c r="BG133" i="19"/>
  <c r="AU133" i="25"/>
  <c r="G133" i="25" s="1"/>
  <c r="AC134" i="25"/>
  <c r="AW134" i="25" s="1"/>
  <c r="AD134" i="25"/>
  <c r="AK135" i="19"/>
  <c r="K135" i="19" s="1"/>
  <c r="L131" i="19"/>
  <c r="T131" i="22" s="1"/>
  <c r="BT134" i="19" l="1"/>
  <c r="AX134" i="20"/>
  <c r="AY134" i="25"/>
  <c r="K134" i="25" s="1"/>
  <c r="O138" i="19"/>
  <c r="AB138" i="19" s="1"/>
  <c r="B138" i="19" s="1"/>
  <c r="L138" i="22" s="1"/>
  <c r="V139" i="25"/>
  <c r="BO138" i="19"/>
  <c r="Y135" i="25"/>
  <c r="BQ135" i="19" s="1"/>
  <c r="AR136" i="25" s="1"/>
  <c r="R134" i="19"/>
  <c r="E134" i="19" s="1"/>
  <c r="O134" i="22" s="1"/>
  <c r="Z134" i="25"/>
  <c r="AV134" i="20" s="1"/>
  <c r="S133" i="19"/>
  <c r="AF133" i="19" s="1"/>
  <c r="F133" i="19" s="1"/>
  <c r="AA134" i="25"/>
  <c r="AB134" i="25"/>
  <c r="AV134" i="25" s="1"/>
  <c r="I134" i="25"/>
  <c r="BH134" i="19"/>
  <c r="AN132" i="19"/>
  <c r="X133" i="22" s="1"/>
  <c r="BS134" i="19" l="1"/>
  <c r="AW134" i="20"/>
  <c r="AS135" i="25"/>
  <c r="E135" i="25" s="1"/>
  <c r="BE135" i="19" s="1"/>
  <c r="AU134" i="25"/>
  <c r="G134" i="25" s="1"/>
  <c r="D136" i="25"/>
  <c r="AP139" i="25"/>
  <c r="B139" i="25" s="1"/>
  <c r="T134" i="19"/>
  <c r="AG134" i="19" s="1"/>
  <c r="G134" i="19" s="1"/>
  <c r="BG134" i="19"/>
  <c r="H134" i="25"/>
  <c r="AC135" i="25" s="1"/>
  <c r="AW135" i="25" s="1"/>
  <c r="AJ135" i="19"/>
  <c r="J135" i="19" s="1"/>
  <c r="N132" i="19"/>
  <c r="U132" i="22" s="1"/>
  <c r="R135" i="19" l="1"/>
  <c r="E135" i="19" s="1"/>
  <c r="O135" i="22" s="1"/>
  <c r="Y136" i="25"/>
  <c r="BQ136" i="19" s="1"/>
  <c r="O139" i="19"/>
  <c r="AB139" i="19" s="1"/>
  <c r="B139" i="19" s="1"/>
  <c r="L139" i="22" s="1"/>
  <c r="V140" i="25"/>
  <c r="Q136" i="19"/>
  <c r="AD136" i="19" s="1"/>
  <c r="D136" i="19" s="1"/>
  <c r="N136" i="22" s="1"/>
  <c r="X137" i="25"/>
  <c r="AU137" i="20" s="1"/>
  <c r="I135" i="25"/>
  <c r="AB135" i="25"/>
  <c r="AL132" i="19"/>
  <c r="V133" i="22" s="1"/>
  <c r="AQ138" i="25" l="1"/>
  <c r="C138" i="25" s="1"/>
  <c r="AR137" i="25"/>
  <c r="AT134" i="25"/>
  <c r="F134" i="25" s="1"/>
  <c r="BU133" i="19"/>
  <c r="AX134" i="25" s="1"/>
  <c r="J134" i="25" s="1"/>
  <c r="T135" i="19"/>
  <c r="AG135" i="19" s="1"/>
  <c r="G135" i="19" s="1"/>
  <c r="BG135" i="19"/>
  <c r="AV135" i="25"/>
  <c r="H135" i="25" s="1"/>
  <c r="AK136" i="19"/>
  <c r="K136" i="19" s="1"/>
  <c r="BH135" i="19"/>
  <c r="L132" i="19"/>
  <c r="T132" i="22" s="1"/>
  <c r="AN133" i="19"/>
  <c r="X134" i="22" s="1"/>
  <c r="M133" i="19"/>
  <c r="D137" i="25" l="1"/>
  <c r="BC138" i="19"/>
  <c r="P138" i="19"/>
  <c r="C138" i="19" s="1"/>
  <c r="M138" i="22" s="1"/>
  <c r="W139" i="25"/>
  <c r="U134" i="19"/>
  <c r="AH134" i="19" s="1"/>
  <c r="H134" i="19" s="1"/>
  <c r="R134" i="22" s="1"/>
  <c r="AD135" i="25"/>
  <c r="AE135" i="25"/>
  <c r="AY135" i="20" s="1"/>
  <c r="S134" i="19"/>
  <c r="AF134" i="19" s="1"/>
  <c r="F134" i="19" s="1"/>
  <c r="BF134" i="19"/>
  <c r="AC136" i="25"/>
  <c r="Z135" i="25"/>
  <c r="AV135" i="20" s="1"/>
  <c r="AA135" i="25"/>
  <c r="N133" i="19"/>
  <c r="U133" i="22" s="1"/>
  <c r="BT135" i="19" l="1"/>
  <c r="AX135" i="20"/>
  <c r="BS135" i="19"/>
  <c r="AW135" i="20"/>
  <c r="BO139" i="19"/>
  <c r="AP140" i="25" s="1"/>
  <c r="Q137" i="19"/>
  <c r="AD137" i="19" s="1"/>
  <c r="D137" i="19" s="1"/>
  <c r="N137" i="22" s="1"/>
  <c r="X138" i="25"/>
  <c r="AU138" i="20" s="1"/>
  <c r="AY135" i="25"/>
  <c r="K135" i="25" s="1"/>
  <c r="AS136" i="25"/>
  <c r="E136" i="25" s="1"/>
  <c r="BE136" i="19" s="1"/>
  <c r="AW136" i="25"/>
  <c r="AU135" i="25"/>
  <c r="G135" i="25" s="1"/>
  <c r="AL133" i="19"/>
  <c r="V134" i="22" s="1"/>
  <c r="AJ136" i="19"/>
  <c r="J136" i="19" s="1"/>
  <c r="B140" i="25" l="1"/>
  <c r="AQ139" i="25"/>
  <c r="AT135" i="25"/>
  <c r="F135" i="25" s="1"/>
  <c r="BF135" i="19" s="1"/>
  <c r="BU134" i="19"/>
  <c r="AX135" i="25" s="1"/>
  <c r="J135" i="25" s="1"/>
  <c r="Y137" i="25"/>
  <c r="BQ137" i="19" s="1"/>
  <c r="AR138" i="25" s="1"/>
  <c r="R136" i="19"/>
  <c r="E136" i="19" s="1"/>
  <c r="O136" i="22" s="1"/>
  <c r="AB136" i="25"/>
  <c r="I136" i="25"/>
  <c r="M134" i="19"/>
  <c r="L133" i="19"/>
  <c r="T133" i="22" s="1"/>
  <c r="C139" i="25" l="1"/>
  <c r="S135" i="19"/>
  <c r="AF135" i="19" s="1"/>
  <c r="F135" i="19" s="1"/>
  <c r="Z136" i="25"/>
  <c r="AV136" i="20" s="1"/>
  <c r="O140" i="19"/>
  <c r="AB140" i="19" s="1"/>
  <c r="B140" i="19" s="1"/>
  <c r="L140" i="22" s="1"/>
  <c r="V141" i="25"/>
  <c r="D138" i="25"/>
  <c r="AA136" i="25"/>
  <c r="AD136" i="25"/>
  <c r="AX136" i="20" s="1"/>
  <c r="U135" i="19"/>
  <c r="AH135" i="19" s="1"/>
  <c r="H135" i="19" s="1"/>
  <c r="R135" i="22" s="1"/>
  <c r="AE136" i="25"/>
  <c r="AY136" i="20" s="1"/>
  <c r="AS137" i="25"/>
  <c r="E137" i="25" s="1"/>
  <c r="BE137" i="19" s="1"/>
  <c r="T136" i="19"/>
  <c r="BG136" i="19"/>
  <c r="AV136" i="25"/>
  <c r="H136" i="25" s="1"/>
  <c r="BH136" i="19"/>
  <c r="AK137" i="19"/>
  <c r="K137" i="19" s="1"/>
  <c r="AN134" i="19"/>
  <c r="X135" i="22" s="1"/>
  <c r="BS136" i="19" l="1"/>
  <c r="AW136" i="20"/>
  <c r="AU136" i="25"/>
  <c r="G136" i="25" s="1"/>
  <c r="AB137" i="25" s="1"/>
  <c r="BC139" i="19"/>
  <c r="P139" i="19"/>
  <c r="C139" i="19" s="1"/>
  <c r="M139" i="22" s="1"/>
  <c r="W140" i="25"/>
  <c r="Q138" i="19"/>
  <c r="AD138" i="19" s="1"/>
  <c r="D138" i="19" s="1"/>
  <c r="N138" i="22" s="1"/>
  <c r="X139" i="25"/>
  <c r="AU139" i="20" s="1"/>
  <c r="AY136" i="25"/>
  <c r="K136" i="25" s="1"/>
  <c r="BT136" i="19"/>
  <c r="R137" i="19"/>
  <c r="E137" i="19" s="1"/>
  <c r="O137" i="22" s="1"/>
  <c r="Y138" i="25"/>
  <c r="BQ138" i="19" s="1"/>
  <c r="AC137" i="25"/>
  <c r="AG136" i="19"/>
  <c r="G136" i="19" s="1"/>
  <c r="N134" i="19"/>
  <c r="U134" i="22" s="1"/>
  <c r="AR139" i="25" l="1"/>
  <c r="BO140" i="19"/>
  <c r="AP141" i="25" s="1"/>
  <c r="AQ140" i="25"/>
  <c r="AW137" i="25"/>
  <c r="AV137" i="25"/>
  <c r="H137" i="25" s="1"/>
  <c r="AJ137" i="19"/>
  <c r="J137" i="19" s="1"/>
  <c r="AL134" i="19"/>
  <c r="V135" i="22" s="1"/>
  <c r="BU135" i="19" s="1"/>
  <c r="AX136" i="25" s="1"/>
  <c r="B141" i="25" l="1"/>
  <c r="C140" i="25"/>
  <c r="D139" i="25"/>
  <c r="J136" i="25"/>
  <c r="I137" i="25"/>
  <c r="AT136" i="25"/>
  <c r="AJ138" i="19"/>
  <c r="J138" i="19" s="1"/>
  <c r="AN135" i="19"/>
  <c r="X136" i="22" s="1"/>
  <c r="L134" i="19"/>
  <c r="T134" i="22" s="1"/>
  <c r="M135" i="19"/>
  <c r="Q139" i="19" l="1"/>
  <c r="AD139" i="19" s="1"/>
  <c r="D139" i="19" s="1"/>
  <c r="N139" i="22" s="1"/>
  <c r="X140" i="25"/>
  <c r="AU140" i="20" s="1"/>
  <c r="O141" i="19"/>
  <c r="AB141" i="19" s="1"/>
  <c r="B141" i="19" s="1"/>
  <c r="L141" i="22" s="1"/>
  <c r="V142" i="25"/>
  <c r="BC140" i="19"/>
  <c r="P140" i="19"/>
  <c r="C140" i="19" s="1"/>
  <c r="M140" i="22" s="1"/>
  <c r="W141" i="25"/>
  <c r="U136" i="19"/>
  <c r="AH136" i="19" s="1"/>
  <c r="H136" i="19" s="1"/>
  <c r="R136" i="22" s="1"/>
  <c r="AD137" i="25"/>
  <c r="AX137" i="20" s="1"/>
  <c r="AE137" i="25"/>
  <c r="AY137" i="20" s="1"/>
  <c r="T137" i="19"/>
  <c r="AG137" i="19" s="1"/>
  <c r="G137" i="19" s="1"/>
  <c r="BG137" i="19"/>
  <c r="F136" i="25"/>
  <c r="AC138" i="25"/>
  <c r="AK138" i="19"/>
  <c r="K138" i="19" s="1"/>
  <c r="N135" i="19"/>
  <c r="U135" i="22" s="1"/>
  <c r="BO141" i="19" l="1"/>
  <c r="AP142" i="25" s="1"/>
  <c r="B142" i="25" s="1"/>
  <c r="AQ141" i="25"/>
  <c r="BT137" i="19"/>
  <c r="S136" i="19"/>
  <c r="AF136" i="19" s="1"/>
  <c r="F136" i="19" s="1"/>
  <c r="BH137" i="19" s="1"/>
  <c r="BF136" i="19"/>
  <c r="AY137" i="25" s="1"/>
  <c r="AW138" i="25"/>
  <c r="I138" i="25" s="1"/>
  <c r="Z137" i="25"/>
  <c r="AV137" i="20" s="1"/>
  <c r="AA137" i="25"/>
  <c r="BS137" i="19" l="1"/>
  <c r="AW137" i="20"/>
  <c r="O142" i="19"/>
  <c r="AB142" i="19" s="1"/>
  <c r="B142" i="19" s="1"/>
  <c r="L142" i="22" s="1"/>
  <c r="V143" i="25"/>
  <c r="C141" i="25"/>
  <c r="K137" i="25"/>
  <c r="T138" i="19"/>
  <c r="BG138" i="19"/>
  <c r="AU137" i="25"/>
  <c r="AS138" i="25"/>
  <c r="AK139" i="19"/>
  <c r="K139" i="19" s="1"/>
  <c r="BH138" i="19"/>
  <c r="AL135" i="19"/>
  <c r="V136" i="22" s="1"/>
  <c r="BC141" i="19" l="1"/>
  <c r="P141" i="19"/>
  <c r="C141" i="19" s="1"/>
  <c r="M141" i="22" s="1"/>
  <c r="W142" i="25"/>
  <c r="AT137" i="25"/>
  <c r="F137" i="25" s="1"/>
  <c r="BF137" i="19" s="1"/>
  <c r="BU136" i="19"/>
  <c r="AX137" i="25" s="1"/>
  <c r="E138" i="25"/>
  <c r="BE138" i="19" s="1"/>
  <c r="G137" i="25"/>
  <c r="M136" i="19"/>
  <c r="AN136" i="19"/>
  <c r="X137" i="22" s="1"/>
  <c r="L135" i="19"/>
  <c r="T135" i="22" s="1"/>
  <c r="BO142" i="19" l="1"/>
  <c r="AP143" i="25" s="1"/>
  <c r="J137" i="25"/>
  <c r="Y139" i="25"/>
  <c r="BQ139" i="19" s="1"/>
  <c r="AR140" i="25" s="1"/>
  <c r="R138" i="19"/>
  <c r="E138" i="19" s="1"/>
  <c r="O138" i="22" s="1"/>
  <c r="Z138" i="25"/>
  <c r="AV138" i="20" s="1"/>
  <c r="S137" i="19"/>
  <c r="AF137" i="19" s="1"/>
  <c r="F137" i="19" s="1"/>
  <c r="AA138" i="25"/>
  <c r="AB138" i="25"/>
  <c r="AJ139" i="19"/>
  <c r="J139" i="19" s="1"/>
  <c r="N136" i="19"/>
  <c r="U136" i="22" s="1"/>
  <c r="BS138" i="19" l="1"/>
  <c r="AW138" i="20"/>
  <c r="D140" i="25"/>
  <c r="B143" i="25"/>
  <c r="U137" i="19"/>
  <c r="AH137" i="19" s="1"/>
  <c r="H137" i="19" s="1"/>
  <c r="R137" i="22" s="1"/>
  <c r="AD138" i="25"/>
  <c r="AX138" i="20" s="1"/>
  <c r="AE138" i="25"/>
  <c r="AY138" i="20" s="1"/>
  <c r="AS139" i="25"/>
  <c r="E139" i="25" s="1"/>
  <c r="AV138" i="25"/>
  <c r="H138" i="25" s="1"/>
  <c r="AU138" i="25"/>
  <c r="AG138" i="19"/>
  <c r="G138" i="19" s="1"/>
  <c r="O143" i="19" l="1"/>
  <c r="AB143" i="19" s="1"/>
  <c r="B143" i="19" s="1"/>
  <c r="L143" i="22" s="1"/>
  <c r="V144" i="25"/>
  <c r="Q140" i="19"/>
  <c r="AD140" i="19" s="1"/>
  <c r="D140" i="19" s="1"/>
  <c r="N140" i="22" s="1"/>
  <c r="X141" i="25"/>
  <c r="AU141" i="20" s="1"/>
  <c r="AY138" i="25"/>
  <c r="K138" i="25" s="1"/>
  <c r="BT138" i="19"/>
  <c r="Y140" i="25"/>
  <c r="BQ140" i="19" s="1"/>
  <c r="BE139" i="19"/>
  <c r="R139" i="19"/>
  <c r="E139" i="19" s="1"/>
  <c r="O139" i="22" s="1"/>
  <c r="AC139" i="25"/>
  <c r="G138" i="25"/>
  <c r="AK140" i="19"/>
  <c r="K140" i="19" s="1"/>
  <c r="AL136" i="19"/>
  <c r="V137" i="22" s="1"/>
  <c r="AQ142" i="25" l="1"/>
  <c r="C142" i="25" s="1"/>
  <c r="AR141" i="25"/>
  <c r="AT138" i="25"/>
  <c r="F138" i="25" s="1"/>
  <c r="BU137" i="19"/>
  <c r="AX138" i="25" s="1"/>
  <c r="AW139" i="25"/>
  <c r="I139" i="25" s="1"/>
  <c r="AB139" i="25"/>
  <c r="BH139" i="19"/>
  <c r="L136" i="19"/>
  <c r="T136" i="22" s="1"/>
  <c r="AN137" i="19"/>
  <c r="X138" i="22" s="1"/>
  <c r="M137" i="19"/>
  <c r="D141" i="25" l="1"/>
  <c r="P142" i="19"/>
  <c r="C142" i="19" s="1"/>
  <c r="M142" i="22" s="1"/>
  <c r="BC142" i="19"/>
  <c r="W143" i="25"/>
  <c r="J138" i="25"/>
  <c r="AA139" i="25"/>
  <c r="BF138" i="19"/>
  <c r="T139" i="19"/>
  <c r="AG139" i="19" s="1"/>
  <c r="G139" i="19" s="1"/>
  <c r="BG139" i="19"/>
  <c r="Z139" i="25"/>
  <c r="S138" i="19"/>
  <c r="AF138" i="19" s="1"/>
  <c r="F138" i="19" s="1"/>
  <c r="AV139" i="25"/>
  <c r="H139" i="25" s="1"/>
  <c r="AC140" i="25" s="1"/>
  <c r="N137" i="19"/>
  <c r="U137" i="22" s="1"/>
  <c r="BS139" i="19" l="1"/>
  <c r="AW139" i="20"/>
  <c r="AS140" i="25"/>
  <c r="E140" i="25" s="1"/>
  <c r="BE140" i="19" s="1"/>
  <c r="AV139" i="20"/>
  <c r="BO143" i="19"/>
  <c r="AP144" i="25" s="1"/>
  <c r="Q141" i="19"/>
  <c r="AD141" i="19" s="1"/>
  <c r="D141" i="19" s="1"/>
  <c r="N141" i="22" s="1"/>
  <c r="X142" i="25"/>
  <c r="U138" i="19"/>
  <c r="AH138" i="19" s="1"/>
  <c r="H138" i="19" s="1"/>
  <c r="R138" i="22" s="1"/>
  <c r="AD139" i="25"/>
  <c r="AE139" i="25"/>
  <c r="AY139" i="20" s="1"/>
  <c r="AU139" i="25"/>
  <c r="G139" i="25" s="1"/>
  <c r="AB140" i="25" s="1"/>
  <c r="AV140" i="25" s="1"/>
  <c r="AJ140" i="19"/>
  <c r="J140" i="19" s="1"/>
  <c r="Y141" i="25" l="1"/>
  <c r="BQ141" i="19" s="1"/>
  <c r="AR142" i="25" s="1"/>
  <c r="D142" i="25" s="1"/>
  <c r="R140" i="19"/>
  <c r="E140" i="19" s="1"/>
  <c r="O140" i="22" s="1"/>
  <c r="AW140" i="25"/>
  <c r="I140" i="25" s="1"/>
  <c r="T140" i="19" s="1"/>
  <c r="AX139" i="20"/>
  <c r="AQ143" i="25"/>
  <c r="C143" i="25" s="1"/>
  <c r="AU142" i="20"/>
  <c r="B144" i="25"/>
  <c r="BT139" i="19"/>
  <c r="AY139" i="25"/>
  <c r="K139" i="25" s="1"/>
  <c r="H140" i="25"/>
  <c r="BH140" i="19"/>
  <c r="AL137" i="19"/>
  <c r="V138" i="22" s="1"/>
  <c r="BG140" i="19" l="1"/>
  <c r="Q142" i="19"/>
  <c r="AD142" i="19" s="1"/>
  <c r="D142" i="19" s="1"/>
  <c r="N142" i="22" s="1"/>
  <c r="X143" i="25"/>
  <c r="AU143" i="20" s="1"/>
  <c r="BC143" i="19"/>
  <c r="P143" i="19"/>
  <c r="C143" i="19" s="1"/>
  <c r="M143" i="22" s="1"/>
  <c r="W144" i="25"/>
  <c r="O144" i="19"/>
  <c r="AB144" i="19" s="1"/>
  <c r="B144" i="19" s="1"/>
  <c r="L144" i="22" s="1"/>
  <c r="V145" i="25"/>
  <c r="AT139" i="25"/>
  <c r="F139" i="25" s="1"/>
  <c r="BU138" i="19"/>
  <c r="AX139" i="25" s="1"/>
  <c r="AC141" i="25"/>
  <c r="AJ141" i="19"/>
  <c r="J141" i="19" s="1"/>
  <c r="L137" i="19"/>
  <c r="T137" i="22" s="1"/>
  <c r="AK141" i="19"/>
  <c r="K141" i="19" s="1"/>
  <c r="M138" i="19"/>
  <c r="AN138" i="19"/>
  <c r="X139" i="22" s="1"/>
  <c r="BO144" i="19" l="1"/>
  <c r="AP145" i="25" s="1"/>
  <c r="AQ144" i="25"/>
  <c r="J139" i="25"/>
  <c r="S139" i="19"/>
  <c r="AF139" i="19" s="1"/>
  <c r="F139" i="19" s="1"/>
  <c r="BF139" i="19"/>
  <c r="Z140" i="25"/>
  <c r="AV140" i="20" s="1"/>
  <c r="AA140" i="25"/>
  <c r="AG140" i="19"/>
  <c r="G140" i="19" s="1"/>
  <c r="AK142" i="19"/>
  <c r="K142" i="19" s="1"/>
  <c r="N138" i="19"/>
  <c r="U138" i="22" s="1"/>
  <c r="BS140" i="19" l="1"/>
  <c r="AW140" i="20"/>
  <c r="C144" i="25"/>
  <c r="B145" i="25"/>
  <c r="U139" i="19"/>
  <c r="AH139" i="19" s="1"/>
  <c r="H139" i="19" s="1"/>
  <c r="R139" i="22" s="1"/>
  <c r="AD140" i="25"/>
  <c r="AX140" i="20" s="1"/>
  <c r="AE140" i="25"/>
  <c r="AY140" i="20" s="1"/>
  <c r="AS141" i="25"/>
  <c r="E141" i="25" s="1"/>
  <c r="BE141" i="19" s="1"/>
  <c r="AU140" i="25"/>
  <c r="G140" i="25" s="1"/>
  <c r="AL138" i="19"/>
  <c r="V139" i="22" s="1"/>
  <c r="BU139" i="19" s="1"/>
  <c r="M139" i="19"/>
  <c r="O145" i="19" l="1"/>
  <c r="AB145" i="19" s="1"/>
  <c r="B145" i="19" s="1"/>
  <c r="L145" i="22" s="1"/>
  <c r="V146" i="25"/>
  <c r="BC144" i="19"/>
  <c r="P144" i="19"/>
  <c r="C144" i="19" s="1"/>
  <c r="M144" i="22" s="1"/>
  <c r="W145" i="25"/>
  <c r="BT140" i="19"/>
  <c r="AX140" i="25"/>
  <c r="AW141" i="25"/>
  <c r="I141" i="25" s="1"/>
  <c r="AY140" i="25"/>
  <c r="K140" i="25" s="1"/>
  <c r="Y142" i="25"/>
  <c r="BQ142" i="19" s="1"/>
  <c r="AR143" i="25" s="1"/>
  <c r="R141" i="19"/>
  <c r="E141" i="19" s="1"/>
  <c r="O141" i="22" s="1"/>
  <c r="AB141" i="25"/>
  <c r="AT140" i="25"/>
  <c r="AN139" i="19"/>
  <c r="X140" i="22" s="1"/>
  <c r="L138" i="19"/>
  <c r="T138" i="22" s="1"/>
  <c r="BO145" i="19" l="1"/>
  <c r="AP146" i="25" s="1"/>
  <c r="D143" i="25"/>
  <c r="J140" i="25"/>
  <c r="AE141" i="25" s="1"/>
  <c r="AY141" i="20" s="1"/>
  <c r="T141" i="19"/>
  <c r="AG141" i="19" s="1"/>
  <c r="G141" i="19" s="1"/>
  <c r="AI142" i="19" s="1"/>
  <c r="I142" i="19" s="1"/>
  <c r="S142" i="22" s="1"/>
  <c r="BG141" i="19"/>
  <c r="F140" i="25"/>
  <c r="AV141" i="25"/>
  <c r="BH141" i="19"/>
  <c r="N139" i="19"/>
  <c r="U139" i="22" s="1"/>
  <c r="Q143" i="19" l="1"/>
  <c r="AD143" i="19" s="1"/>
  <c r="D143" i="19" s="1"/>
  <c r="N143" i="22" s="1"/>
  <c r="X144" i="25"/>
  <c r="AU144" i="20" s="1"/>
  <c r="B146" i="25"/>
  <c r="U140" i="19"/>
  <c r="AH140" i="19" s="1"/>
  <c r="H140" i="19" s="1"/>
  <c r="R140" i="22" s="1"/>
  <c r="AD141" i="25"/>
  <c r="AX141" i="20" s="1"/>
  <c r="S140" i="19"/>
  <c r="AF140" i="19" s="1"/>
  <c r="F140" i="19" s="1"/>
  <c r="BF140" i="19"/>
  <c r="AY141" i="25" s="1"/>
  <c r="K141" i="25" s="1"/>
  <c r="Z141" i="25"/>
  <c r="AV141" i="20" s="1"/>
  <c r="AA141" i="25"/>
  <c r="H141" i="25"/>
  <c r="BS141" i="19" l="1"/>
  <c r="AW141" i="20"/>
  <c r="AQ145" i="25"/>
  <c r="O146" i="19"/>
  <c r="AB146" i="19" s="1"/>
  <c r="B146" i="19" s="1"/>
  <c r="L146" i="22" s="1"/>
  <c r="V147" i="25"/>
  <c r="BT141" i="19"/>
  <c r="AC142" i="25"/>
  <c r="AU141" i="25"/>
  <c r="AS142" i="25"/>
  <c r="AJ142" i="19"/>
  <c r="J142" i="19" s="1"/>
  <c r="AN140" i="19"/>
  <c r="X141" i="22" s="1"/>
  <c r="AL139" i="19"/>
  <c r="V140" i="22" s="1"/>
  <c r="C145" i="25" l="1"/>
  <c r="AT141" i="25"/>
  <c r="F141" i="25" s="1"/>
  <c r="BF141" i="19" s="1"/>
  <c r="BU140" i="19"/>
  <c r="AX141" i="25" s="1"/>
  <c r="G141" i="25"/>
  <c r="E142" i="25"/>
  <c r="BE142" i="19" s="1"/>
  <c r="AW142" i="25"/>
  <c r="L139" i="19"/>
  <c r="T139" i="22" s="1"/>
  <c r="N140" i="19"/>
  <c r="U140" i="22" s="1"/>
  <c r="M140" i="19"/>
  <c r="BC145" i="19" l="1"/>
  <c r="P145" i="19"/>
  <c r="C145" i="19" s="1"/>
  <c r="M145" i="22" s="1"/>
  <c r="W146" i="25"/>
  <c r="J141" i="25"/>
  <c r="Y143" i="25"/>
  <c r="BQ143" i="19" s="1"/>
  <c r="AR144" i="25" s="1"/>
  <c r="R142" i="19"/>
  <c r="E142" i="19" s="1"/>
  <c r="O142" i="22" s="1"/>
  <c r="Z142" i="25"/>
  <c r="AV142" i="20" s="1"/>
  <c r="S141" i="19"/>
  <c r="AF141" i="19" s="1"/>
  <c r="F141" i="19" s="1"/>
  <c r="I142" i="25"/>
  <c r="AA142" i="25"/>
  <c r="AB142" i="25"/>
  <c r="BH142" i="19"/>
  <c r="AK143" i="19"/>
  <c r="K143" i="19" s="1"/>
  <c r="AJ143" i="19"/>
  <c r="J143" i="19" s="1"/>
  <c r="BS142" i="19" l="1"/>
  <c r="AW142" i="20"/>
  <c r="BO146" i="19"/>
  <c r="AP147" i="25" s="1"/>
  <c r="D144" i="25"/>
  <c r="U141" i="19"/>
  <c r="AH141" i="19" s="1"/>
  <c r="H141" i="19" s="1"/>
  <c r="R141" i="22" s="1"/>
  <c r="AE142" i="25"/>
  <c r="AY142" i="20" s="1"/>
  <c r="AD142" i="25"/>
  <c r="AX142" i="20" s="1"/>
  <c r="AS143" i="25"/>
  <c r="E143" i="25" s="1"/>
  <c r="BE143" i="19" s="1"/>
  <c r="T142" i="19"/>
  <c r="AG142" i="19" s="1"/>
  <c r="G142" i="19" s="1"/>
  <c r="BG142" i="19"/>
  <c r="AV142" i="25"/>
  <c r="AU142" i="25"/>
  <c r="AK144" i="19"/>
  <c r="K144" i="19" s="1"/>
  <c r="Q144" i="19" l="1"/>
  <c r="AD144" i="19" s="1"/>
  <c r="D144" i="19" s="1"/>
  <c r="N144" i="22" s="1"/>
  <c r="X145" i="25"/>
  <c r="AU145" i="20" s="1"/>
  <c r="B147" i="25"/>
  <c r="BT142" i="19"/>
  <c r="AY142" i="25"/>
  <c r="K142" i="25" s="1"/>
  <c r="R143" i="19"/>
  <c r="E143" i="19" s="1"/>
  <c r="O143" i="22" s="1"/>
  <c r="Y144" i="25"/>
  <c r="BQ144" i="19" s="1"/>
  <c r="H142" i="25"/>
  <c r="G142" i="25"/>
  <c r="AL140" i="19"/>
  <c r="V141" i="22" s="1"/>
  <c r="O147" i="19" l="1"/>
  <c r="AB147" i="19" s="1"/>
  <c r="B147" i="19" s="1"/>
  <c r="L147" i="22" s="1"/>
  <c r="V148" i="25"/>
  <c r="AQ146" i="25"/>
  <c r="AR145" i="25"/>
  <c r="D145" i="25" s="1"/>
  <c r="Q145" i="19" s="1"/>
  <c r="AD145" i="19" s="1"/>
  <c r="D145" i="19" s="1"/>
  <c r="N145" i="22" s="1"/>
  <c r="AT142" i="25"/>
  <c r="F142" i="25" s="1"/>
  <c r="BU141" i="19"/>
  <c r="AX142" i="25" s="1"/>
  <c r="AB143" i="25"/>
  <c r="AC143" i="25"/>
  <c r="L140" i="19"/>
  <c r="T140" i="22" s="1"/>
  <c r="AN141" i="19"/>
  <c r="X142" i="22" s="1"/>
  <c r="M141" i="19"/>
  <c r="C146" i="25" l="1"/>
  <c r="X146" i="25"/>
  <c r="AU146" i="20" s="1"/>
  <c r="J142" i="25"/>
  <c r="AA143" i="25"/>
  <c r="BF142" i="19"/>
  <c r="Z143" i="25"/>
  <c r="S142" i="19"/>
  <c r="AF142" i="19" s="1"/>
  <c r="F142" i="19" s="1"/>
  <c r="AW143" i="25"/>
  <c r="I143" i="25" s="1"/>
  <c r="AV143" i="25"/>
  <c r="BH143" i="19"/>
  <c r="N141" i="19"/>
  <c r="U141" i="22" s="1"/>
  <c r="BS143" i="19" l="1"/>
  <c r="AW143" i="20"/>
  <c r="AS144" i="25"/>
  <c r="E144" i="25" s="1"/>
  <c r="BE144" i="19" s="1"/>
  <c r="AV143" i="20"/>
  <c r="P146" i="19"/>
  <c r="C146" i="19" s="1"/>
  <c r="M146" i="22" s="1"/>
  <c r="BC146" i="19"/>
  <c r="W147" i="25"/>
  <c r="U142" i="19"/>
  <c r="AH142" i="19" s="1"/>
  <c r="H142" i="19" s="1"/>
  <c r="R142" i="22" s="1"/>
  <c r="AD143" i="25"/>
  <c r="AX143" i="20" s="1"/>
  <c r="AE143" i="25"/>
  <c r="AY143" i="20" s="1"/>
  <c r="AU143" i="25"/>
  <c r="G143" i="25" s="1"/>
  <c r="T143" i="19"/>
  <c r="AG143" i="19" s="1"/>
  <c r="G143" i="19" s="1"/>
  <c r="BG143" i="19"/>
  <c r="H143" i="25"/>
  <c r="AJ144" i="19"/>
  <c r="J144" i="19" s="1"/>
  <c r="AL141" i="19"/>
  <c r="V142" i="22" s="1"/>
  <c r="BU142" i="19" s="1"/>
  <c r="R144" i="19" l="1"/>
  <c r="E144" i="19" s="1"/>
  <c r="O144" i="22" s="1"/>
  <c r="Y145" i="25"/>
  <c r="BQ145" i="19" s="1"/>
  <c r="AR146" i="25" s="1"/>
  <c r="D146" i="25" s="1"/>
  <c r="BO147" i="19"/>
  <c r="AP148" i="25" s="1"/>
  <c r="AQ147" i="25"/>
  <c r="C147" i="25" s="1"/>
  <c r="BT143" i="19"/>
  <c r="AX143" i="25"/>
  <c r="J143" i="25" s="1"/>
  <c r="AY143" i="25"/>
  <c r="K143" i="25" s="1"/>
  <c r="AT143" i="25"/>
  <c r="AB144" i="25"/>
  <c r="AC144" i="25"/>
  <c r="L141" i="19"/>
  <c r="T141" i="22" s="1"/>
  <c r="M142" i="19"/>
  <c r="P147" i="19" l="1"/>
  <c r="C147" i="19" s="1"/>
  <c r="M147" i="22" s="1"/>
  <c r="BC147" i="19"/>
  <c r="W148" i="25"/>
  <c r="B148" i="25"/>
  <c r="Q146" i="19"/>
  <c r="AD146" i="19" s="1"/>
  <c r="D146" i="19" s="1"/>
  <c r="N146" i="22" s="1"/>
  <c r="X147" i="25"/>
  <c r="AU147" i="20" s="1"/>
  <c r="U143" i="19"/>
  <c r="AH143" i="19" s="1"/>
  <c r="H143" i="19" s="1"/>
  <c r="R143" i="22" s="1"/>
  <c r="AD144" i="25"/>
  <c r="AX144" i="20" s="1"/>
  <c r="AE144" i="25"/>
  <c r="AY144" i="20" s="1"/>
  <c r="AW144" i="25"/>
  <c r="AV144" i="25"/>
  <c r="F143" i="25"/>
  <c r="AK145" i="19"/>
  <c r="K145" i="19" s="1"/>
  <c r="BH144" i="19"/>
  <c r="AN142" i="19"/>
  <c r="X143" i="22" s="1"/>
  <c r="O148" i="19" l="1"/>
  <c r="AB148" i="19" s="1"/>
  <c r="B148" i="19" s="1"/>
  <c r="L148" i="22" s="1"/>
  <c r="V149" i="25"/>
  <c r="BO148" i="19"/>
  <c r="AQ148" i="25"/>
  <c r="C148" i="25" s="1"/>
  <c r="BT144" i="19"/>
  <c r="S143" i="19"/>
  <c r="AF143" i="19" s="1"/>
  <c r="F143" i="19" s="1"/>
  <c r="BF143" i="19"/>
  <c r="AY144" i="25" s="1"/>
  <c r="K144" i="25" s="1"/>
  <c r="Z144" i="25"/>
  <c r="AV144" i="20" s="1"/>
  <c r="AA144" i="25"/>
  <c r="I144" i="25"/>
  <c r="H144" i="25"/>
  <c r="AJ145" i="19"/>
  <c r="J145" i="19" s="1"/>
  <c r="N142" i="19"/>
  <c r="U142" i="22" s="1"/>
  <c r="AL142" i="19"/>
  <c r="V143" i="22" s="1"/>
  <c r="BU143" i="19" s="1"/>
  <c r="AX144" i="25" s="1"/>
  <c r="J144" i="25" s="1"/>
  <c r="U144" i="19" s="1"/>
  <c r="AH144" i="19" s="1"/>
  <c r="H144" i="19" s="1"/>
  <c r="R144" i="22" s="1"/>
  <c r="BS144" i="19" l="1"/>
  <c r="AW144" i="20"/>
  <c r="BC148" i="19"/>
  <c r="P148" i="19"/>
  <c r="C148" i="19" s="1"/>
  <c r="M148" i="22" s="1"/>
  <c r="W149" i="25"/>
  <c r="AP149" i="25"/>
  <c r="AE145" i="25"/>
  <c r="AY145" i="20" s="1"/>
  <c r="T144" i="19"/>
  <c r="AG144" i="19" s="1"/>
  <c r="G144" i="19" s="1"/>
  <c r="BG144" i="19"/>
  <c r="AC145" i="25"/>
  <c r="AD145" i="25"/>
  <c r="AU144" i="25"/>
  <c r="AS145" i="25"/>
  <c r="AT144" i="25"/>
  <c r="F144" i="25" s="1"/>
  <c r="BF144" i="19" s="1"/>
  <c r="M143" i="19"/>
  <c r="L142" i="19"/>
  <c r="T142" i="22" s="1"/>
  <c r="BT145" i="19" l="1"/>
  <c r="AX145" i="20"/>
  <c r="BO149" i="19"/>
  <c r="B149" i="25"/>
  <c r="AY145" i="25"/>
  <c r="K145" i="25" s="1"/>
  <c r="Z145" i="25"/>
  <c r="AV145" i="20" s="1"/>
  <c r="S144" i="19"/>
  <c r="AF144" i="19" s="1"/>
  <c r="F144" i="19" s="1"/>
  <c r="E145" i="25"/>
  <c r="BE145" i="19" s="1"/>
  <c r="AW145" i="25"/>
  <c r="G144" i="25"/>
  <c r="AK146" i="19"/>
  <c r="K146" i="19" s="1"/>
  <c r="BH145" i="19"/>
  <c r="O149" i="19" l="1"/>
  <c r="AB149" i="19" s="1"/>
  <c r="B149" i="19" s="1"/>
  <c r="L149" i="22" s="1"/>
  <c r="V150" i="25"/>
  <c r="Y146" i="25"/>
  <c r="R145" i="19"/>
  <c r="E145" i="19" s="1"/>
  <c r="O145" i="22" s="1"/>
  <c r="AA145" i="25"/>
  <c r="AB145" i="25"/>
  <c r="AV145" i="25" s="1"/>
  <c r="I145" i="25"/>
  <c r="AJ146" i="19"/>
  <c r="J146" i="19" s="1"/>
  <c r="AN143" i="19"/>
  <c r="X144" i="22" s="1"/>
  <c r="BS145" i="19" l="1"/>
  <c r="AW145" i="20"/>
  <c r="AS146" i="25"/>
  <c r="E146" i="25" s="1"/>
  <c r="BE146" i="19" s="1"/>
  <c r="BQ146" i="19"/>
  <c r="AR147" i="25" s="1"/>
  <c r="AP150" i="25"/>
  <c r="B150" i="25" s="1"/>
  <c r="T145" i="19"/>
  <c r="AG145" i="19" s="1"/>
  <c r="G145" i="19" s="1"/>
  <c r="BG145" i="19"/>
  <c r="H145" i="25"/>
  <c r="AC146" i="25" s="1"/>
  <c r="AW146" i="25" s="1"/>
  <c r="AU145" i="25"/>
  <c r="G145" i="25" s="1"/>
  <c r="AK147" i="19"/>
  <c r="K147" i="19" s="1"/>
  <c r="N143" i="19"/>
  <c r="U143" i="22" s="1"/>
  <c r="AL143" i="19"/>
  <c r="V144" i="22" s="1"/>
  <c r="O150" i="19" l="1"/>
  <c r="AB150" i="19" s="1"/>
  <c r="B150" i="19" s="1"/>
  <c r="L150" i="22" s="1"/>
  <c r="V151" i="25"/>
  <c r="D147" i="25"/>
  <c r="AT145" i="25"/>
  <c r="F145" i="25" s="1"/>
  <c r="BF145" i="19" s="1"/>
  <c r="BU144" i="19"/>
  <c r="AX145" i="25" s="1"/>
  <c r="J145" i="25" s="1"/>
  <c r="Y147" i="25"/>
  <c r="BQ147" i="19" s="1"/>
  <c r="R146" i="19"/>
  <c r="E146" i="19" s="1"/>
  <c r="O146" i="22" s="1"/>
  <c r="I146" i="25"/>
  <c r="AB146" i="25"/>
  <c r="L143" i="19"/>
  <c r="T143" i="22" s="1"/>
  <c r="M144" i="19"/>
  <c r="Q147" i="19" l="1"/>
  <c r="AD147" i="19" s="1"/>
  <c r="D147" i="19" s="1"/>
  <c r="N147" i="22" s="1"/>
  <c r="X148" i="25"/>
  <c r="AU148" i="20" s="1"/>
  <c r="U145" i="19"/>
  <c r="AH145" i="19" s="1"/>
  <c r="H145" i="19" s="1"/>
  <c r="R145" i="22" s="1"/>
  <c r="AE146" i="25"/>
  <c r="AY146" i="20" s="1"/>
  <c r="AD146" i="25"/>
  <c r="T146" i="19"/>
  <c r="BG146" i="19"/>
  <c r="Z146" i="25"/>
  <c r="S145" i="19"/>
  <c r="AF145" i="19" s="1"/>
  <c r="F145" i="19" s="1"/>
  <c r="AV146" i="25"/>
  <c r="AA146" i="25"/>
  <c r="BH146" i="19"/>
  <c r="BT146" i="19" l="1"/>
  <c r="AX146" i="20"/>
  <c r="BS146" i="19"/>
  <c r="AW146" i="20"/>
  <c r="AS147" i="25"/>
  <c r="E147" i="25" s="1"/>
  <c r="BE147" i="19" s="1"/>
  <c r="AV146" i="20"/>
  <c r="AQ149" i="25"/>
  <c r="C149" i="25" s="1"/>
  <c r="AR148" i="25"/>
  <c r="AY146" i="25"/>
  <c r="K146" i="25" s="1"/>
  <c r="H146" i="25"/>
  <c r="AU146" i="25"/>
  <c r="AJ147" i="19"/>
  <c r="J147" i="19" s="1"/>
  <c r="AN144" i="19"/>
  <c r="X145" i="22" s="1"/>
  <c r="AG146" i="19"/>
  <c r="G146" i="19" s="1"/>
  <c r="AI147" i="19" s="1"/>
  <c r="I147" i="19" s="1"/>
  <c r="S147" i="22" s="1"/>
  <c r="AL144" i="19"/>
  <c r="V145" i="22" s="1"/>
  <c r="R147" i="19" l="1"/>
  <c r="E147" i="19" s="1"/>
  <c r="O147" i="22" s="1"/>
  <c r="Y148" i="25"/>
  <c r="BQ148" i="19" s="1"/>
  <c r="BC149" i="19"/>
  <c r="P149" i="19"/>
  <c r="C149" i="19" s="1"/>
  <c r="M149" i="22" s="1"/>
  <c r="W150" i="25"/>
  <c r="D148" i="25"/>
  <c r="BU145" i="19"/>
  <c r="AX146" i="25" s="1"/>
  <c r="J146" i="25" s="1"/>
  <c r="AE147" i="25" s="1"/>
  <c r="AY147" i="20" s="1"/>
  <c r="AC147" i="25"/>
  <c r="G146" i="25"/>
  <c r="L144" i="19"/>
  <c r="T144" i="22" s="1"/>
  <c r="AT146" i="25"/>
  <c r="N144" i="19"/>
  <c r="U144" i="22" s="1"/>
  <c r="M145" i="19"/>
  <c r="BO150" i="19" l="1"/>
  <c r="AP151" i="25" s="1"/>
  <c r="Q148" i="19"/>
  <c r="AD148" i="19" s="1"/>
  <c r="D148" i="19" s="1"/>
  <c r="N148" i="22" s="1"/>
  <c r="X149" i="25"/>
  <c r="AU149" i="20" s="1"/>
  <c r="U146" i="19"/>
  <c r="AH146" i="19" s="1"/>
  <c r="H146" i="19" s="1"/>
  <c r="R146" i="22" s="1"/>
  <c r="AD147" i="25"/>
  <c r="AX147" i="20" s="1"/>
  <c r="F146" i="25"/>
  <c r="BF146" i="19" s="1"/>
  <c r="AY147" i="25" s="1"/>
  <c r="AW147" i="25"/>
  <c r="I147" i="25" s="1"/>
  <c r="AB147" i="25"/>
  <c r="AK148" i="19"/>
  <c r="K148" i="19" s="1"/>
  <c r="BH147" i="19"/>
  <c r="AR149" i="25" l="1"/>
  <c r="B151" i="25"/>
  <c r="AQ150" i="25"/>
  <c r="BT147" i="19"/>
  <c r="K147" i="25"/>
  <c r="T147" i="19"/>
  <c r="AG147" i="19" s="1"/>
  <c r="G147" i="19" s="1"/>
  <c r="BG147" i="19"/>
  <c r="Z147" i="25"/>
  <c r="S146" i="19"/>
  <c r="AF146" i="19" s="1"/>
  <c r="F146" i="19" s="1"/>
  <c r="AV147" i="25"/>
  <c r="AA147" i="25"/>
  <c r="AJ148" i="19"/>
  <c r="J148" i="19" s="1"/>
  <c r="M146" i="19"/>
  <c r="AL145" i="19"/>
  <c r="V146" i="22" s="1"/>
  <c r="BS147" i="19" l="1"/>
  <c r="AW147" i="20"/>
  <c r="AS148" i="25"/>
  <c r="E148" i="25" s="1"/>
  <c r="BE148" i="19" s="1"/>
  <c r="AV147" i="20"/>
  <c r="C150" i="25"/>
  <c r="O151" i="19"/>
  <c r="AB151" i="19" s="1"/>
  <c r="B151" i="19" s="1"/>
  <c r="L151" i="22" s="1"/>
  <c r="V152" i="25"/>
  <c r="D149" i="25"/>
  <c r="AU147" i="25"/>
  <c r="H147" i="25"/>
  <c r="AN145" i="19"/>
  <c r="X146" i="22" s="1"/>
  <c r="AT147" i="25" s="1"/>
  <c r="F147" i="25" s="1"/>
  <c r="BF147" i="19" s="1"/>
  <c r="L145" i="19"/>
  <c r="T145" i="22" s="1"/>
  <c r="P150" i="19" l="1"/>
  <c r="C150" i="19" s="1"/>
  <c r="M150" i="22" s="1"/>
  <c r="BC150" i="19"/>
  <c r="W151" i="25"/>
  <c r="Q149" i="19"/>
  <c r="AD149" i="19" s="1"/>
  <c r="D149" i="19" s="1"/>
  <c r="N149" i="22" s="1"/>
  <c r="X150" i="25"/>
  <c r="AU150" i="20" s="1"/>
  <c r="BU146" i="19"/>
  <c r="AX147" i="25" s="1"/>
  <c r="Z148" i="25"/>
  <c r="AV148" i="20" s="1"/>
  <c r="S147" i="19"/>
  <c r="AF147" i="19" s="1"/>
  <c r="F147" i="19" s="1"/>
  <c r="Y149" i="25"/>
  <c r="BQ149" i="19" s="1"/>
  <c r="R148" i="19"/>
  <c r="E148" i="19" s="1"/>
  <c r="O148" i="22" s="1"/>
  <c r="G147" i="25"/>
  <c r="AA148" i="25" s="1"/>
  <c r="AC148" i="25"/>
  <c r="AK149" i="19"/>
  <c r="K149" i="19" s="1"/>
  <c r="N145" i="19"/>
  <c r="U145" i="22" s="1"/>
  <c r="BS148" i="19" l="1"/>
  <c r="AW148" i="20"/>
  <c r="BO151" i="19"/>
  <c r="AP152" i="25" s="1"/>
  <c r="AQ151" i="25"/>
  <c r="AR150" i="25"/>
  <c r="J147" i="25"/>
  <c r="AS149" i="25"/>
  <c r="E149" i="25" s="1"/>
  <c r="BE149" i="19" s="1"/>
  <c r="AW148" i="25"/>
  <c r="I148" i="25" s="1"/>
  <c r="AB148" i="25"/>
  <c r="AU148" i="25"/>
  <c r="BH148" i="19"/>
  <c r="AL146" i="19"/>
  <c r="C151" i="25" l="1"/>
  <c r="D150" i="25"/>
  <c r="B152" i="25"/>
  <c r="U147" i="19"/>
  <c r="AH147" i="19" s="1"/>
  <c r="H147" i="19" s="1"/>
  <c r="R147" i="22" s="1"/>
  <c r="AD148" i="25"/>
  <c r="AX148" i="20" s="1"/>
  <c r="AE148" i="25"/>
  <c r="AY148" i="20" s="1"/>
  <c r="T148" i="19"/>
  <c r="AG148" i="19" s="1"/>
  <c r="G148" i="19" s="1"/>
  <c r="BG148" i="19"/>
  <c r="Y150" i="25"/>
  <c r="BQ150" i="19" s="1"/>
  <c r="R149" i="19"/>
  <c r="E149" i="19" s="1"/>
  <c r="O149" i="22" s="1"/>
  <c r="AV148" i="25"/>
  <c r="G148" i="25"/>
  <c r="AJ149" i="19"/>
  <c r="J149" i="19" s="1"/>
  <c r="AN146" i="19"/>
  <c r="X147" i="22" s="1"/>
  <c r="L146" i="19"/>
  <c r="T146" i="22" s="1"/>
  <c r="V147" i="22"/>
  <c r="BU147" i="19" l="1"/>
  <c r="AX148" i="25" s="1"/>
  <c r="J148" i="25" s="1"/>
  <c r="Q150" i="19"/>
  <c r="AD150" i="19" s="1"/>
  <c r="D150" i="19" s="1"/>
  <c r="N150" i="22" s="1"/>
  <c r="X151" i="25"/>
  <c r="AU151" i="20" s="1"/>
  <c r="BC151" i="19"/>
  <c r="P151" i="19"/>
  <c r="C151" i="19" s="1"/>
  <c r="M151" i="22" s="1"/>
  <c r="W152" i="25"/>
  <c r="O152" i="19"/>
  <c r="AB152" i="19" s="1"/>
  <c r="B152" i="19" s="1"/>
  <c r="L152" i="22" s="1"/>
  <c r="V153" i="25"/>
  <c r="AY148" i="25"/>
  <c r="K148" i="25" s="1"/>
  <c r="BT148" i="19"/>
  <c r="H148" i="25"/>
  <c r="N146" i="19"/>
  <c r="U146" i="22" s="1"/>
  <c r="AT148" i="25"/>
  <c r="M147" i="19"/>
  <c r="AR151" i="25" l="1"/>
  <c r="D151" i="25" s="1"/>
  <c r="BO152" i="19"/>
  <c r="AP153" i="25" s="1"/>
  <c r="B153" i="25" s="1"/>
  <c r="AQ152" i="25"/>
  <c r="C152" i="25" s="1"/>
  <c r="W153" i="25" s="1"/>
  <c r="AE149" i="25"/>
  <c r="AY149" i="20" s="1"/>
  <c r="U148" i="19"/>
  <c r="AH148" i="19" s="1"/>
  <c r="H148" i="19" s="1"/>
  <c r="R148" i="22" s="1"/>
  <c r="AD149" i="25"/>
  <c r="F148" i="25"/>
  <c r="AB149" i="25"/>
  <c r="AC149" i="25"/>
  <c r="AK150" i="19"/>
  <c r="K150" i="19" s="1"/>
  <c r="BT149" i="19" l="1"/>
  <c r="AX149" i="20"/>
  <c r="Q151" i="19"/>
  <c r="AD151" i="19" s="1"/>
  <c r="D151" i="19" s="1"/>
  <c r="N151" i="22" s="1"/>
  <c r="X152" i="25"/>
  <c r="AU152" i="20" s="1"/>
  <c r="O153" i="19"/>
  <c r="AB153" i="19" s="1"/>
  <c r="B153" i="19" s="1"/>
  <c r="L153" i="22" s="1"/>
  <c r="V154" i="25"/>
  <c r="BO153" i="19"/>
  <c r="BC152" i="19"/>
  <c r="P152" i="19"/>
  <c r="C152" i="19" s="1"/>
  <c r="M152" i="22" s="1"/>
  <c r="S148" i="19"/>
  <c r="AF148" i="19" s="1"/>
  <c r="F148" i="19" s="1"/>
  <c r="BF148" i="19"/>
  <c r="AY149" i="25" s="1"/>
  <c r="K149" i="25" s="1"/>
  <c r="Z149" i="25"/>
  <c r="AV149" i="20" s="1"/>
  <c r="AA149" i="25"/>
  <c r="AV149" i="25"/>
  <c r="AW149" i="25"/>
  <c r="AN147" i="19"/>
  <c r="X148" i="22" s="1"/>
  <c r="BH149" i="19"/>
  <c r="AL147" i="19"/>
  <c r="V148" i="22" s="1"/>
  <c r="AQ153" i="25" l="1"/>
  <c r="C153" i="25" s="1"/>
  <c r="W154" i="25" s="1"/>
  <c r="BS149" i="19"/>
  <c r="AW149" i="20"/>
  <c r="AP154" i="25"/>
  <c r="B154" i="25" s="1"/>
  <c r="BU148" i="19"/>
  <c r="AX149" i="25" s="1"/>
  <c r="J149" i="25" s="1"/>
  <c r="U149" i="19" s="1"/>
  <c r="AH149" i="19" s="1"/>
  <c r="H149" i="19" s="1"/>
  <c r="R149" i="22" s="1"/>
  <c r="AU149" i="25"/>
  <c r="G149" i="25" s="1"/>
  <c r="I149" i="25"/>
  <c r="H149" i="25"/>
  <c r="AS150" i="25"/>
  <c r="AT149" i="25"/>
  <c r="N147" i="19"/>
  <c r="U147" i="22" s="1"/>
  <c r="AN148" i="19"/>
  <c r="X149" i="22" s="1"/>
  <c r="AJ150" i="19"/>
  <c r="J150" i="19" s="1"/>
  <c r="L147" i="19"/>
  <c r="T147" i="22" s="1"/>
  <c r="M148" i="19"/>
  <c r="P153" i="19" l="1"/>
  <c r="C153" i="19" s="1"/>
  <c r="M153" i="22" s="1"/>
  <c r="BC153" i="19"/>
  <c r="O154" i="19"/>
  <c r="AB154" i="19" s="1"/>
  <c r="B154" i="19" s="1"/>
  <c r="L154" i="22" s="1"/>
  <c r="V155" i="25"/>
  <c r="BO154" i="19"/>
  <c r="AE150" i="25"/>
  <c r="AY150" i="20" s="1"/>
  <c r="T149" i="19"/>
  <c r="AG149" i="19" s="1"/>
  <c r="G149" i="19" s="1"/>
  <c r="BG149" i="19"/>
  <c r="E150" i="25"/>
  <c r="BE150" i="19" s="1"/>
  <c r="AB150" i="25"/>
  <c r="AV150" i="25" s="1"/>
  <c r="AC150" i="25"/>
  <c r="AD150" i="25"/>
  <c r="F149" i="25"/>
  <c r="BF149" i="19" s="1"/>
  <c r="BH150" i="19"/>
  <c r="N148" i="19"/>
  <c r="U148" i="22" s="1"/>
  <c r="AP155" i="25" l="1"/>
  <c r="BT150" i="19"/>
  <c r="AX150" i="20"/>
  <c r="AY150" i="25"/>
  <c r="K150" i="25" s="1"/>
  <c r="B155" i="25"/>
  <c r="O155" i="19" s="1"/>
  <c r="AB155" i="19" s="1"/>
  <c r="B155" i="19" s="1"/>
  <c r="L155" i="22" s="1"/>
  <c r="Z150" i="25"/>
  <c r="AV150" i="20" s="1"/>
  <c r="S149" i="19"/>
  <c r="AF149" i="19" s="1"/>
  <c r="F149" i="19" s="1"/>
  <c r="Y151" i="25"/>
  <c r="BQ151" i="19" s="1"/>
  <c r="AR152" i="25" s="1"/>
  <c r="R150" i="19"/>
  <c r="E150" i="19" s="1"/>
  <c r="O150" i="22" s="1"/>
  <c r="AA150" i="25"/>
  <c r="AW150" i="20" s="1"/>
  <c r="H150" i="25"/>
  <c r="AW150" i="25"/>
  <c r="AK151" i="19"/>
  <c r="K151" i="19" s="1"/>
  <c r="AN149" i="19"/>
  <c r="X150" i="22" s="1"/>
  <c r="D152" i="25" l="1"/>
  <c r="V156" i="25"/>
  <c r="AU150" i="25"/>
  <c r="G150" i="25" s="1"/>
  <c r="AB151" i="25" s="1"/>
  <c r="BS150" i="19"/>
  <c r="AS151" i="25"/>
  <c r="E151" i="25" s="1"/>
  <c r="BE151" i="19" s="1"/>
  <c r="I150" i="25"/>
  <c r="BG150" i="19" s="1"/>
  <c r="AJ151" i="19"/>
  <c r="J151" i="19" s="1"/>
  <c r="N149" i="19"/>
  <c r="U149" i="22" s="1"/>
  <c r="AL148" i="19"/>
  <c r="V149" i="22" s="1"/>
  <c r="Q152" i="19" l="1"/>
  <c r="AD152" i="19" s="1"/>
  <c r="D152" i="19" s="1"/>
  <c r="N152" i="22" s="1"/>
  <c r="X153" i="25"/>
  <c r="AU153" i="20" s="1"/>
  <c r="Y152" i="25"/>
  <c r="BQ152" i="19" s="1"/>
  <c r="AT150" i="25"/>
  <c r="F150" i="25" s="1"/>
  <c r="BU149" i="19"/>
  <c r="AX150" i="25" s="1"/>
  <c r="J150" i="25" s="1"/>
  <c r="R151" i="19"/>
  <c r="E151" i="19" s="1"/>
  <c r="O151" i="22" s="1"/>
  <c r="AC151" i="25"/>
  <c r="AW151" i="25" s="1"/>
  <c r="I151" i="25" s="1"/>
  <c r="T150" i="19"/>
  <c r="AG150" i="19" s="1"/>
  <c r="G150" i="19" s="1"/>
  <c r="AV151" i="25"/>
  <c r="H151" i="25" s="1"/>
  <c r="L148" i="19"/>
  <c r="T148" i="22" s="1"/>
  <c r="M149" i="19"/>
  <c r="AQ154" i="25" l="1"/>
  <c r="AR153" i="25"/>
  <c r="U150" i="19"/>
  <c r="AH150" i="19" s="1"/>
  <c r="H150" i="19" s="1"/>
  <c r="R150" i="22" s="1"/>
  <c r="AE151" i="25"/>
  <c r="AY151" i="20" s="1"/>
  <c r="AD151" i="25"/>
  <c r="S150" i="19"/>
  <c r="AF150" i="19" s="1"/>
  <c r="F150" i="19" s="1"/>
  <c r="BF150" i="19"/>
  <c r="T151" i="19"/>
  <c r="BG151" i="19"/>
  <c r="Z151" i="25"/>
  <c r="AV151" i="20" s="1"/>
  <c r="AA151" i="25"/>
  <c r="AC152" i="25"/>
  <c r="AK152" i="19"/>
  <c r="K152" i="19" s="1"/>
  <c r="BH151" i="19"/>
  <c r="BT151" i="19" l="1"/>
  <c r="AX151" i="20"/>
  <c r="BS151" i="19"/>
  <c r="AW151" i="20"/>
  <c r="AW152" i="25"/>
  <c r="I152" i="25" s="1"/>
  <c r="C154" i="25"/>
  <c r="D153" i="25"/>
  <c r="AY151" i="25"/>
  <c r="K151" i="25" s="1"/>
  <c r="AU151" i="25"/>
  <c r="AS152" i="25"/>
  <c r="AJ152" i="19"/>
  <c r="J152" i="19" s="1"/>
  <c r="AG151" i="19"/>
  <c r="G151" i="19" s="1"/>
  <c r="AL149" i="19"/>
  <c r="V150" i="22" s="1"/>
  <c r="BC154" i="19" l="1"/>
  <c r="P154" i="19"/>
  <c r="C154" i="19" s="1"/>
  <c r="M154" i="22" s="1"/>
  <c r="W155" i="25"/>
  <c r="Q153" i="19"/>
  <c r="AD153" i="19" s="1"/>
  <c r="D153" i="19" s="1"/>
  <c r="N153" i="22" s="1"/>
  <c r="X154" i="25"/>
  <c r="AU154" i="20" s="1"/>
  <c r="AT151" i="25"/>
  <c r="F151" i="25" s="1"/>
  <c r="BF151" i="19" s="1"/>
  <c r="BU150" i="19"/>
  <c r="AX151" i="25" s="1"/>
  <c r="J151" i="25" s="1"/>
  <c r="T152" i="19"/>
  <c r="BG152" i="19"/>
  <c r="E152" i="25"/>
  <c r="BE152" i="19" s="1"/>
  <c r="G151" i="25"/>
  <c r="BH152" i="19"/>
  <c r="AK153" i="19"/>
  <c r="K153" i="19" s="1"/>
  <c r="M150" i="19"/>
  <c r="AN150" i="19"/>
  <c r="X151" i="22" s="1"/>
  <c r="L149" i="19"/>
  <c r="T149" i="22" s="1"/>
  <c r="BO155" i="19" l="1"/>
  <c r="AP156" i="25" s="1"/>
  <c r="B156" i="25" s="1"/>
  <c r="AQ155" i="25"/>
  <c r="U151" i="19"/>
  <c r="AH151" i="19" s="1"/>
  <c r="H151" i="19" s="1"/>
  <c r="R151" i="22" s="1"/>
  <c r="AD152" i="25"/>
  <c r="AX152" i="20" s="1"/>
  <c r="AE152" i="25"/>
  <c r="AY152" i="20" s="1"/>
  <c r="Y153" i="25"/>
  <c r="BQ153" i="19" s="1"/>
  <c r="AR154" i="25" s="1"/>
  <c r="R152" i="19"/>
  <c r="E152" i="19" s="1"/>
  <c r="O152" i="22" s="1"/>
  <c r="Z152" i="25"/>
  <c r="AV152" i="20" s="1"/>
  <c r="S151" i="19"/>
  <c r="AF151" i="19" s="1"/>
  <c r="F151" i="19" s="1"/>
  <c r="AA152" i="25"/>
  <c r="AB152" i="25"/>
  <c r="N150" i="19"/>
  <c r="U150" i="22" s="1"/>
  <c r="BS152" i="19" l="1"/>
  <c r="AW152" i="20"/>
  <c r="D154" i="25"/>
  <c r="C155" i="25"/>
  <c r="O156" i="19"/>
  <c r="AB156" i="19" s="1"/>
  <c r="B156" i="19" s="1"/>
  <c r="L156" i="22" s="1"/>
  <c r="V157" i="25"/>
  <c r="BT152" i="19"/>
  <c r="AY152" i="25"/>
  <c r="K152" i="25" s="1"/>
  <c r="AS153" i="25"/>
  <c r="E153" i="25" s="1"/>
  <c r="BE153" i="19" s="1"/>
  <c r="AU152" i="25"/>
  <c r="AV152" i="25"/>
  <c r="H152" i="25" s="1"/>
  <c r="AC153" i="25" s="1"/>
  <c r="AW153" i="25" s="1"/>
  <c r="AJ153" i="19"/>
  <c r="J153" i="19" s="1"/>
  <c r="AG152" i="19"/>
  <c r="G152" i="19" s="1"/>
  <c r="AN151" i="19"/>
  <c r="X152" i="22" s="1"/>
  <c r="BC155" i="19" l="1"/>
  <c r="P155" i="19"/>
  <c r="C155" i="19" s="1"/>
  <c r="M155" i="22" s="1"/>
  <c r="W156" i="25"/>
  <c r="Q154" i="19"/>
  <c r="AD154" i="19" s="1"/>
  <c r="D154" i="19" s="1"/>
  <c r="N154" i="22" s="1"/>
  <c r="X155" i="25"/>
  <c r="AU155" i="20" s="1"/>
  <c r="R153" i="19"/>
  <c r="E153" i="19" s="1"/>
  <c r="O153" i="22" s="1"/>
  <c r="Y154" i="25"/>
  <c r="BQ154" i="19" s="1"/>
  <c r="I153" i="25"/>
  <c r="G152" i="25"/>
  <c r="AK154" i="19"/>
  <c r="K154" i="19" s="1"/>
  <c r="N151" i="19"/>
  <c r="U151" i="22" s="1"/>
  <c r="AL150" i="19"/>
  <c r="V151" i="22" s="1"/>
  <c r="BO156" i="19" l="1"/>
  <c r="AP157" i="25" s="1"/>
  <c r="AQ156" i="25"/>
  <c r="AR155" i="25"/>
  <c r="D155" i="25" s="1"/>
  <c r="AT152" i="25"/>
  <c r="F152" i="25" s="1"/>
  <c r="BF152" i="19" s="1"/>
  <c r="BU151" i="19"/>
  <c r="AX152" i="25" s="1"/>
  <c r="T153" i="19"/>
  <c r="BG153" i="19"/>
  <c r="AB153" i="25"/>
  <c r="L150" i="19"/>
  <c r="T150" i="22" s="1"/>
  <c r="M151" i="19"/>
  <c r="Z153" i="25" l="1"/>
  <c r="Q155" i="19"/>
  <c r="AD155" i="19" s="1"/>
  <c r="D155" i="19" s="1"/>
  <c r="N155" i="22" s="1"/>
  <c r="X156" i="25"/>
  <c r="AU156" i="20" s="1"/>
  <c r="B157" i="25"/>
  <c r="S152" i="19"/>
  <c r="AF152" i="19" s="1"/>
  <c r="F152" i="19" s="1"/>
  <c r="C156" i="25"/>
  <c r="AA153" i="25"/>
  <c r="J152" i="25"/>
  <c r="AV153" i="25"/>
  <c r="BH153" i="19"/>
  <c r="BS153" i="19" l="1"/>
  <c r="AW153" i="20"/>
  <c r="AS154" i="25"/>
  <c r="E154" i="25" s="1"/>
  <c r="BE154" i="19" s="1"/>
  <c r="AV153" i="20"/>
  <c r="AU153" i="25"/>
  <c r="G153" i="25" s="1"/>
  <c r="O157" i="19"/>
  <c r="AB157" i="19" s="1"/>
  <c r="B157" i="19" s="1"/>
  <c r="L157" i="22" s="1"/>
  <c r="V158" i="25"/>
  <c r="P156" i="19"/>
  <c r="C156" i="19" s="1"/>
  <c r="BC156" i="19"/>
  <c r="W157" i="25"/>
  <c r="U152" i="19"/>
  <c r="AH152" i="19" s="1"/>
  <c r="H152" i="19" s="1"/>
  <c r="R152" i="22" s="1"/>
  <c r="AD153" i="25"/>
  <c r="AX153" i="20" s="1"/>
  <c r="AE153" i="25"/>
  <c r="AY153" i="20" s="1"/>
  <c r="H153" i="25"/>
  <c r="AG153" i="19"/>
  <c r="G153" i="19" s="1"/>
  <c r="R154" i="19" l="1"/>
  <c r="E154" i="19" s="1"/>
  <c r="O154" i="22" s="1"/>
  <c r="Y155" i="25"/>
  <c r="BQ155" i="19" s="1"/>
  <c r="AR156" i="25" s="1"/>
  <c r="D156" i="25" s="1"/>
  <c r="BO157" i="19"/>
  <c r="AP158" i="25" s="1"/>
  <c r="AQ157" i="25"/>
  <c r="AY153" i="25"/>
  <c r="K153" i="25" s="1"/>
  <c r="BT153" i="19"/>
  <c r="AB154" i="25"/>
  <c r="AC154" i="25"/>
  <c r="AJ154" i="19"/>
  <c r="J154" i="19" s="1"/>
  <c r="AN152" i="19"/>
  <c r="X153" i="22" s="1"/>
  <c r="AL151" i="19"/>
  <c r="V152" i="22" s="1"/>
  <c r="B158" i="25" l="1"/>
  <c r="C157" i="25"/>
  <c r="Q156" i="19"/>
  <c r="AD156" i="19" s="1"/>
  <c r="D156" i="19" s="1"/>
  <c r="N156" i="22" s="1"/>
  <c r="X157" i="25"/>
  <c r="AU157" i="20" s="1"/>
  <c r="AT153" i="25"/>
  <c r="F153" i="25" s="1"/>
  <c r="BU152" i="19"/>
  <c r="AX153" i="25" s="1"/>
  <c r="AW154" i="25"/>
  <c r="AV154" i="25"/>
  <c r="AK155" i="19"/>
  <c r="K155" i="19" s="1"/>
  <c r="L151" i="19"/>
  <c r="T151" i="22" s="1"/>
  <c r="M152" i="19"/>
  <c r="N152" i="19"/>
  <c r="U152" i="22" s="1"/>
  <c r="BC157" i="19" l="1"/>
  <c r="P157" i="19"/>
  <c r="C157" i="19" s="1"/>
  <c r="W158" i="25"/>
  <c r="O158" i="19"/>
  <c r="AB158" i="19" s="1"/>
  <c r="B158" i="19" s="1"/>
  <c r="L158" i="22" s="1"/>
  <c r="V159" i="25"/>
  <c r="J153" i="25"/>
  <c r="S153" i="19"/>
  <c r="AF153" i="19" s="1"/>
  <c r="F153" i="19" s="1"/>
  <c r="BF153" i="19"/>
  <c r="H154" i="25"/>
  <c r="Z154" i="25"/>
  <c r="AV154" i="20" s="1"/>
  <c r="AA154" i="25"/>
  <c r="I154" i="25"/>
  <c r="AJ155" i="19"/>
  <c r="J155" i="19" s="1"/>
  <c r="BH154" i="19"/>
  <c r="BS154" i="19" l="1"/>
  <c r="AW154" i="20"/>
  <c r="BO158" i="19"/>
  <c r="AP159" i="25" s="1"/>
  <c r="AQ158" i="25"/>
  <c r="U153" i="19"/>
  <c r="AH153" i="19" s="1"/>
  <c r="H153" i="19" s="1"/>
  <c r="R153" i="22" s="1"/>
  <c r="AD154" i="25"/>
  <c r="AX154" i="20" s="1"/>
  <c r="AE154" i="25"/>
  <c r="AY154" i="20" s="1"/>
  <c r="T154" i="19"/>
  <c r="AG154" i="19" s="1"/>
  <c r="G154" i="19" s="1"/>
  <c r="BG154" i="19"/>
  <c r="AU154" i="25"/>
  <c r="G154" i="25" s="1"/>
  <c r="AB155" i="25" s="1"/>
  <c r="AS155" i="25"/>
  <c r="E155" i="25" s="1"/>
  <c r="BE155" i="19" s="1"/>
  <c r="AC155" i="25"/>
  <c r="AK156" i="19"/>
  <c r="K156" i="19" s="1"/>
  <c r="AL152" i="19"/>
  <c r="V153" i="22" s="1"/>
  <c r="C158" i="25" l="1"/>
  <c r="B159" i="25"/>
  <c r="AT154" i="25"/>
  <c r="F154" i="25" s="1"/>
  <c r="BF154" i="19" s="1"/>
  <c r="BU153" i="19"/>
  <c r="AX154" i="25" s="1"/>
  <c r="J154" i="25" s="1"/>
  <c r="BT154" i="19"/>
  <c r="AY154" i="25"/>
  <c r="K154" i="25" s="1"/>
  <c r="Y156" i="25"/>
  <c r="BQ156" i="19" s="1"/>
  <c r="AR157" i="25" s="1"/>
  <c r="R155" i="19"/>
  <c r="E155" i="19" s="1"/>
  <c r="O155" i="22" s="1"/>
  <c r="AV155" i="25"/>
  <c r="H155" i="25" s="1"/>
  <c r="AW155" i="25"/>
  <c r="I155" i="25" s="1"/>
  <c r="M153" i="19"/>
  <c r="AN153" i="19"/>
  <c r="X154" i="22" s="1"/>
  <c r="L152" i="19"/>
  <c r="T152" i="22" s="1"/>
  <c r="O159" i="19" l="1"/>
  <c r="AB159" i="19" s="1"/>
  <c r="B159" i="19" s="1"/>
  <c r="L159" i="22" s="1"/>
  <c r="V160" i="25"/>
  <c r="BC158" i="19"/>
  <c r="P158" i="19"/>
  <c r="C158" i="19" s="1"/>
  <c r="M158" i="22" s="1"/>
  <c r="W159" i="25"/>
  <c r="D157" i="25"/>
  <c r="AE155" i="25"/>
  <c r="U154" i="19"/>
  <c r="AH154" i="19" s="1"/>
  <c r="H154" i="19" s="1"/>
  <c r="R154" i="22" s="1"/>
  <c r="AD155" i="25"/>
  <c r="AX155" i="20" s="1"/>
  <c r="T155" i="19"/>
  <c r="BG155" i="19"/>
  <c r="Z155" i="25"/>
  <c r="S154" i="19"/>
  <c r="AF154" i="19" s="1"/>
  <c r="F154" i="19" s="1"/>
  <c r="AC156" i="25"/>
  <c r="AA155" i="25"/>
  <c r="BH155" i="19"/>
  <c r="N153" i="19"/>
  <c r="U153" i="22" s="1"/>
  <c r="AY155" i="25" l="1"/>
  <c r="K155" i="25" s="1"/>
  <c r="AY155" i="20"/>
  <c r="BS155" i="19"/>
  <c r="AW155" i="20"/>
  <c r="AS156" i="25"/>
  <c r="E156" i="25" s="1"/>
  <c r="BE156" i="19" s="1"/>
  <c r="AV155" i="20"/>
  <c r="Q157" i="19"/>
  <c r="AD157" i="19" s="1"/>
  <c r="D157" i="19" s="1"/>
  <c r="N157" i="22" s="1"/>
  <c r="X158" i="25"/>
  <c r="AU158" i="20" s="1"/>
  <c r="BO159" i="19"/>
  <c r="AP160" i="25" s="1"/>
  <c r="AW156" i="25"/>
  <c r="I156" i="25" s="1"/>
  <c r="BT155" i="19"/>
  <c r="AU155" i="25"/>
  <c r="AG155" i="19"/>
  <c r="G155" i="19" s="1"/>
  <c r="AN154" i="19"/>
  <c r="X155" i="22" s="1"/>
  <c r="Y157" i="25" l="1"/>
  <c r="BQ157" i="19" s="1"/>
  <c r="AQ159" i="25"/>
  <c r="C159" i="25" s="1"/>
  <c r="BC159" i="19" s="1"/>
  <c r="R156" i="19"/>
  <c r="E156" i="19" s="1"/>
  <c r="O156" i="22" s="1"/>
  <c r="B160" i="25"/>
  <c r="AR158" i="25"/>
  <c r="T156" i="19"/>
  <c r="BG156" i="19"/>
  <c r="G155" i="25"/>
  <c r="AJ156" i="19"/>
  <c r="J156" i="19" s="1"/>
  <c r="AL153" i="19"/>
  <c r="V154" i="22" s="1"/>
  <c r="N154" i="19"/>
  <c r="U154" i="22" s="1"/>
  <c r="W160" i="25" l="1"/>
  <c r="BO160" i="19" s="1"/>
  <c r="P159" i="19"/>
  <c r="C159" i="19" s="1"/>
  <c r="M159" i="22" s="1"/>
  <c r="D158" i="25"/>
  <c r="O160" i="19"/>
  <c r="AB160" i="19" s="1"/>
  <c r="B160" i="19" s="1"/>
  <c r="L160" i="22" s="1"/>
  <c r="V161" i="25"/>
  <c r="AT155" i="25"/>
  <c r="F155" i="25" s="1"/>
  <c r="BF155" i="19" s="1"/>
  <c r="BU154" i="19"/>
  <c r="AX155" i="25" s="1"/>
  <c r="AB156" i="25"/>
  <c r="AV156" i="25" s="1"/>
  <c r="AJ157" i="19"/>
  <c r="J157" i="19" s="1"/>
  <c r="AG156" i="19"/>
  <c r="G156" i="19" s="1"/>
  <c r="AK157" i="19"/>
  <c r="K157" i="19" s="1"/>
  <c r="L153" i="19"/>
  <c r="T153" i="22" s="1"/>
  <c r="M154" i="19"/>
  <c r="AP161" i="25" l="1"/>
  <c r="Q158" i="19"/>
  <c r="AD158" i="19" s="1"/>
  <c r="D158" i="19" s="1"/>
  <c r="N158" i="22" s="1"/>
  <c r="X159" i="25"/>
  <c r="AU159" i="20" s="1"/>
  <c r="S155" i="19"/>
  <c r="AF155" i="19" s="1"/>
  <c r="F155" i="19" s="1"/>
  <c r="Z156" i="25"/>
  <c r="AA156" i="25"/>
  <c r="J155" i="25"/>
  <c r="H156" i="25"/>
  <c r="BH156" i="19"/>
  <c r="BS156" i="19" l="1"/>
  <c r="AW156" i="20"/>
  <c r="AS157" i="25"/>
  <c r="E157" i="25" s="1"/>
  <c r="BE157" i="19" s="1"/>
  <c r="AV156" i="20"/>
  <c r="AQ160" i="25"/>
  <c r="B161" i="25"/>
  <c r="AU156" i="25"/>
  <c r="G156" i="25" s="1"/>
  <c r="AB157" i="25" s="1"/>
  <c r="U155" i="19"/>
  <c r="AH155" i="19" s="1"/>
  <c r="H155" i="19" s="1"/>
  <c r="R155" i="22" s="1"/>
  <c r="AD156" i="25"/>
  <c r="AX156" i="20" s="1"/>
  <c r="AE156" i="25"/>
  <c r="AY156" i="20" s="1"/>
  <c r="AC157" i="25"/>
  <c r="AK158" i="19"/>
  <c r="K158" i="19" s="1"/>
  <c r="Y158" i="25" l="1"/>
  <c r="BQ158" i="19" s="1"/>
  <c r="AR159" i="25" s="1"/>
  <c r="D159" i="25" s="1"/>
  <c r="R157" i="19"/>
  <c r="E157" i="19" s="1"/>
  <c r="O157" i="22" s="1"/>
  <c r="C160" i="25"/>
  <c r="O161" i="19"/>
  <c r="AB161" i="19" s="1"/>
  <c r="B161" i="19" s="1"/>
  <c r="L161" i="22" s="1"/>
  <c r="V162" i="25"/>
  <c r="AY156" i="25"/>
  <c r="K156" i="25" s="1"/>
  <c r="BT156" i="19"/>
  <c r="AW157" i="25"/>
  <c r="AV157" i="25"/>
  <c r="AN155" i="19"/>
  <c r="X156" i="22" s="1"/>
  <c r="AL154" i="19"/>
  <c r="V155" i="22" s="1"/>
  <c r="P160" i="19" l="1"/>
  <c r="C160" i="19" s="1"/>
  <c r="BC160" i="19"/>
  <c r="W161" i="25"/>
  <c r="Q159" i="19"/>
  <c r="AD159" i="19" s="1"/>
  <c r="D159" i="19" s="1"/>
  <c r="N159" i="22" s="1"/>
  <c r="X160" i="25"/>
  <c r="AU160" i="20" s="1"/>
  <c r="AT156" i="25"/>
  <c r="F156" i="25" s="1"/>
  <c r="BU155" i="19"/>
  <c r="AX156" i="25" s="1"/>
  <c r="I157" i="25"/>
  <c r="H157" i="25"/>
  <c r="L154" i="19"/>
  <c r="T154" i="22" s="1"/>
  <c r="N155" i="19"/>
  <c r="U155" i="22" s="1"/>
  <c r="M155" i="19"/>
  <c r="BO161" i="19" l="1"/>
  <c r="AP162" i="25" s="1"/>
  <c r="B162" i="25" s="1"/>
  <c r="AQ161" i="25"/>
  <c r="J156" i="25"/>
  <c r="S156" i="19"/>
  <c r="AF156" i="19" s="1"/>
  <c r="F156" i="19" s="1"/>
  <c r="BF156" i="19"/>
  <c r="T157" i="19"/>
  <c r="BG157" i="19"/>
  <c r="AC158" i="25"/>
  <c r="Z157" i="25"/>
  <c r="AV157" i="20" s="1"/>
  <c r="AA157" i="25"/>
  <c r="BH157" i="19"/>
  <c r="BS157" i="19" l="1"/>
  <c r="AW157" i="20"/>
  <c r="O162" i="19"/>
  <c r="AB162" i="19" s="1"/>
  <c r="B162" i="19" s="1"/>
  <c r="L162" i="22" s="1"/>
  <c r="V163" i="25"/>
  <c r="C161" i="25"/>
  <c r="U156" i="19"/>
  <c r="AH156" i="19" s="1"/>
  <c r="H156" i="19" s="1"/>
  <c r="R156" i="22" s="1"/>
  <c r="AD157" i="25"/>
  <c r="AX157" i="20" s="1"/>
  <c r="AE157" i="25"/>
  <c r="AY157" i="20" s="1"/>
  <c r="AS158" i="25"/>
  <c r="AU157" i="25"/>
  <c r="G157" i="25" s="1"/>
  <c r="AJ158" i="19"/>
  <c r="J158" i="19" s="1"/>
  <c r="AG157" i="19"/>
  <c r="G157" i="19" s="1"/>
  <c r="AL155" i="19"/>
  <c r="V156" i="22" s="1"/>
  <c r="AW158" i="25" l="1"/>
  <c r="I158" i="25" s="1"/>
  <c r="BG158" i="19" s="1"/>
  <c r="BC161" i="19"/>
  <c r="P161" i="19"/>
  <c r="C161" i="19" s="1"/>
  <c r="W162" i="25"/>
  <c r="BT157" i="19"/>
  <c r="AT157" i="25"/>
  <c r="F157" i="25" s="1"/>
  <c r="BF157" i="19" s="1"/>
  <c r="BU156" i="19"/>
  <c r="AX157" i="25" s="1"/>
  <c r="AY157" i="25"/>
  <c r="K157" i="25" s="1"/>
  <c r="AB158" i="25"/>
  <c r="AV158" i="25" s="1"/>
  <c r="E158" i="25"/>
  <c r="BE158" i="19" s="1"/>
  <c r="AK159" i="19"/>
  <c r="K159" i="19" s="1"/>
  <c r="AN156" i="19"/>
  <c r="X157" i="22" s="1"/>
  <c r="M156" i="19"/>
  <c r="L155" i="19"/>
  <c r="T155" i="22" s="1"/>
  <c r="T158" i="19" l="1"/>
  <c r="BO162" i="19"/>
  <c r="AP163" i="25" s="1"/>
  <c r="B163" i="25" s="1"/>
  <c r="J157" i="25"/>
  <c r="Y159" i="25"/>
  <c r="BQ159" i="19" s="1"/>
  <c r="AR160" i="25" s="1"/>
  <c r="R158" i="19"/>
  <c r="E158" i="19" s="1"/>
  <c r="O158" i="22" s="1"/>
  <c r="Z158" i="25"/>
  <c r="AV158" i="20" s="1"/>
  <c r="S157" i="19"/>
  <c r="AF157" i="19" s="1"/>
  <c r="F157" i="19" s="1"/>
  <c r="H158" i="25"/>
  <c r="AA158" i="25"/>
  <c r="BH158" i="19"/>
  <c r="N156" i="19"/>
  <c r="U156" i="22" s="1"/>
  <c r="BS158" i="19" l="1"/>
  <c r="AW158" i="20"/>
  <c r="D160" i="25"/>
  <c r="O163" i="19"/>
  <c r="AB163" i="19" s="1"/>
  <c r="B163" i="19" s="1"/>
  <c r="L163" i="22" s="1"/>
  <c r="V164" i="25"/>
  <c r="U157" i="19"/>
  <c r="AH157" i="19" s="1"/>
  <c r="H157" i="19" s="1"/>
  <c r="R157" i="22" s="1"/>
  <c r="AD158" i="25"/>
  <c r="AX158" i="20" s="1"/>
  <c r="AE158" i="25"/>
  <c r="AY158" i="20" s="1"/>
  <c r="AS159" i="25"/>
  <c r="E159" i="25" s="1"/>
  <c r="BE159" i="19" s="1"/>
  <c r="AU158" i="25"/>
  <c r="AC159" i="25"/>
  <c r="AG158" i="19"/>
  <c r="G158" i="19" s="1"/>
  <c r="Q160" i="19" l="1"/>
  <c r="AD160" i="19" s="1"/>
  <c r="D160" i="19" s="1"/>
  <c r="N160" i="22" s="1"/>
  <c r="X161" i="25"/>
  <c r="AU161" i="20" s="1"/>
  <c r="AY158" i="25"/>
  <c r="K158" i="25" s="1"/>
  <c r="BT158" i="19"/>
  <c r="R159" i="19"/>
  <c r="E159" i="19" s="1"/>
  <c r="O159" i="22" s="1"/>
  <c r="Y160" i="25"/>
  <c r="BQ160" i="19" s="1"/>
  <c r="AW159" i="25"/>
  <c r="I159" i="25" s="1"/>
  <c r="G158" i="25"/>
  <c r="AJ159" i="19"/>
  <c r="J159" i="19" s="1"/>
  <c r="AL156" i="19"/>
  <c r="V157" i="22" s="1"/>
  <c r="AQ162" i="25" l="1"/>
  <c r="AR161" i="25"/>
  <c r="AT158" i="25"/>
  <c r="F158" i="25" s="1"/>
  <c r="BU157" i="19"/>
  <c r="AX158" i="25" s="1"/>
  <c r="T159" i="19"/>
  <c r="BG159" i="19"/>
  <c r="AB159" i="25"/>
  <c r="AV159" i="25" s="1"/>
  <c r="AN157" i="19"/>
  <c r="X158" i="22" s="1"/>
  <c r="M157" i="19"/>
  <c r="L156" i="19"/>
  <c r="T156" i="22" s="1"/>
  <c r="C162" i="25" l="1"/>
  <c r="D161" i="25"/>
  <c r="J158" i="25"/>
  <c r="AA159" i="25"/>
  <c r="BF158" i="19"/>
  <c r="Z159" i="25"/>
  <c r="S158" i="19"/>
  <c r="AF158" i="19" s="1"/>
  <c r="F158" i="19" s="1"/>
  <c r="H159" i="25"/>
  <c r="AK160" i="19"/>
  <c r="K160" i="19" s="1"/>
  <c r="BH159" i="19"/>
  <c r="N157" i="19"/>
  <c r="U157" i="22" s="1"/>
  <c r="BS159" i="19" l="1"/>
  <c r="AW159" i="20"/>
  <c r="AS160" i="25"/>
  <c r="E160" i="25" s="1"/>
  <c r="BE160" i="19" s="1"/>
  <c r="AV159" i="20"/>
  <c r="Q161" i="19"/>
  <c r="AD161" i="19" s="1"/>
  <c r="D161" i="19" s="1"/>
  <c r="N161" i="22" s="1"/>
  <c r="X162" i="25"/>
  <c r="AU162" i="20" s="1"/>
  <c r="BC162" i="19"/>
  <c r="P162" i="19"/>
  <c r="C162" i="19" s="1"/>
  <c r="M162" i="22" s="1"/>
  <c r="W163" i="25"/>
  <c r="AU159" i="25"/>
  <c r="G159" i="25" s="1"/>
  <c r="U158" i="19"/>
  <c r="AH158" i="19" s="1"/>
  <c r="H158" i="19" s="1"/>
  <c r="R158" i="22" s="1"/>
  <c r="AD159" i="25"/>
  <c r="AX159" i="20" s="1"/>
  <c r="AE159" i="25"/>
  <c r="AY159" i="20" s="1"/>
  <c r="AC160" i="25"/>
  <c r="AJ160" i="19"/>
  <c r="J160" i="19" s="1"/>
  <c r="AG159" i="19"/>
  <c r="G159" i="19" s="1"/>
  <c r="R160" i="19" l="1"/>
  <c r="E160" i="19" s="1"/>
  <c r="O160" i="22" s="1"/>
  <c r="Y161" i="25"/>
  <c r="BQ161" i="19" s="1"/>
  <c r="AR162" i="25"/>
  <c r="BO163" i="19"/>
  <c r="AP164" i="25" s="1"/>
  <c r="B164" i="25" s="1"/>
  <c r="AQ163" i="25"/>
  <c r="C163" i="25" s="1"/>
  <c r="BT159" i="19"/>
  <c r="AY159" i="25"/>
  <c r="K159" i="25" s="1"/>
  <c r="AW160" i="25"/>
  <c r="AB160" i="25"/>
  <c r="AV160" i="25" s="1"/>
  <c r="AK161" i="19"/>
  <c r="K161" i="19" s="1"/>
  <c r="AL157" i="19"/>
  <c r="V158" i="22" s="1"/>
  <c r="AN158" i="19"/>
  <c r="X159" i="22" s="1"/>
  <c r="P163" i="19" l="1"/>
  <c r="C163" i="19" s="1"/>
  <c r="BC163" i="19"/>
  <c r="W164" i="25"/>
  <c r="O164" i="19"/>
  <c r="AB164" i="19" s="1"/>
  <c r="B164" i="19" s="1"/>
  <c r="L164" i="22" s="1"/>
  <c r="V165" i="25"/>
  <c r="D162" i="25"/>
  <c r="AT159" i="25"/>
  <c r="F159" i="25" s="1"/>
  <c r="BU158" i="19"/>
  <c r="AX159" i="25" s="1"/>
  <c r="H160" i="25"/>
  <c r="I160" i="25"/>
  <c r="N158" i="19"/>
  <c r="U158" i="22" s="1"/>
  <c r="L157" i="19"/>
  <c r="T157" i="22" s="1"/>
  <c r="M158" i="19"/>
  <c r="Q162" i="19" l="1"/>
  <c r="AD162" i="19" s="1"/>
  <c r="D162" i="19" s="1"/>
  <c r="N162" i="22" s="1"/>
  <c r="X163" i="25"/>
  <c r="AU163" i="20" s="1"/>
  <c r="BO164" i="19"/>
  <c r="AP165" i="25" s="1"/>
  <c r="B165" i="25" s="1"/>
  <c r="J159" i="25"/>
  <c r="S159" i="19"/>
  <c r="AF159" i="19" s="1"/>
  <c r="F159" i="19" s="1"/>
  <c r="BF159" i="19"/>
  <c r="T160" i="19"/>
  <c r="BG160" i="19"/>
  <c r="AC161" i="25"/>
  <c r="Z160" i="25"/>
  <c r="AV160" i="20" s="1"/>
  <c r="AA160" i="25"/>
  <c r="BH160" i="19"/>
  <c r="BS160" i="19" l="1"/>
  <c r="AW160" i="20"/>
  <c r="O165" i="19"/>
  <c r="AB165" i="19" s="1"/>
  <c r="B165" i="19" s="1"/>
  <c r="L165" i="22" s="1"/>
  <c r="V166" i="25"/>
  <c r="AQ164" i="25"/>
  <c r="U159" i="19"/>
  <c r="AH159" i="19" s="1"/>
  <c r="H159" i="19" s="1"/>
  <c r="R159" i="22" s="1"/>
  <c r="AD160" i="25"/>
  <c r="AE160" i="25"/>
  <c r="AY160" i="20" s="1"/>
  <c r="AU160" i="25"/>
  <c r="G160" i="25" s="1"/>
  <c r="AS161" i="25"/>
  <c r="AG160" i="19"/>
  <c r="G160" i="19" s="1"/>
  <c r="AJ161" i="19"/>
  <c r="J161" i="19" s="1"/>
  <c r="AW161" i="25" l="1"/>
  <c r="I161" i="25" s="1"/>
  <c r="T161" i="19" s="1"/>
  <c r="AX160" i="20"/>
  <c r="C164" i="25"/>
  <c r="BT160" i="19"/>
  <c r="AY160" i="25"/>
  <c r="K160" i="25" s="1"/>
  <c r="AB161" i="25"/>
  <c r="E161" i="25"/>
  <c r="BE161" i="19" s="1"/>
  <c r="AN159" i="19"/>
  <c r="X160" i="22" s="1"/>
  <c r="AL158" i="19"/>
  <c r="V159" i="22" s="1"/>
  <c r="BG161" i="19" l="1"/>
  <c r="BC164" i="19"/>
  <c r="P164" i="19"/>
  <c r="C164" i="19" s="1"/>
  <c r="M164" i="22" s="1"/>
  <c r="W165" i="25"/>
  <c r="AT160" i="25"/>
  <c r="F160" i="25" s="1"/>
  <c r="BF160" i="19" s="1"/>
  <c r="BU159" i="19"/>
  <c r="AX160" i="25" s="1"/>
  <c r="Y162" i="25"/>
  <c r="BQ162" i="19" s="1"/>
  <c r="AR163" i="25" s="1"/>
  <c r="R161" i="19"/>
  <c r="E161" i="19" s="1"/>
  <c r="O161" i="22" s="1"/>
  <c r="AV161" i="25"/>
  <c r="H161" i="25" s="1"/>
  <c r="AK162" i="19"/>
  <c r="K162" i="19" s="1"/>
  <c r="L158" i="19"/>
  <c r="T158" i="22" s="1"/>
  <c r="M159" i="19"/>
  <c r="N159" i="19"/>
  <c r="U159" i="22" s="1"/>
  <c r="BO165" i="19" l="1"/>
  <c r="AP166" i="25" s="1"/>
  <c r="D163" i="25"/>
  <c r="AA161" i="25"/>
  <c r="AU161" i="25" s="1"/>
  <c r="G161" i="25" s="1"/>
  <c r="Z161" i="25"/>
  <c r="J160" i="25"/>
  <c r="S160" i="19"/>
  <c r="AF160" i="19" s="1"/>
  <c r="F160" i="19" s="1"/>
  <c r="AC162" i="25"/>
  <c r="AG161" i="19"/>
  <c r="G161" i="19" s="1"/>
  <c r="BH161" i="19"/>
  <c r="BS161" i="19" l="1"/>
  <c r="AW161" i="20"/>
  <c r="AS162" i="25"/>
  <c r="E162" i="25" s="1"/>
  <c r="BE162" i="19" s="1"/>
  <c r="AV161" i="20"/>
  <c r="Q163" i="19"/>
  <c r="AD163" i="19" s="1"/>
  <c r="D163" i="19" s="1"/>
  <c r="N163" i="22" s="1"/>
  <c r="X164" i="25"/>
  <c r="AU164" i="20" s="1"/>
  <c r="B166" i="25"/>
  <c r="U160" i="19"/>
  <c r="AH160" i="19" s="1"/>
  <c r="H160" i="19" s="1"/>
  <c r="R160" i="22" s="1"/>
  <c r="AD161" i="25"/>
  <c r="AE161" i="25"/>
  <c r="AY161" i="20" s="1"/>
  <c r="AB162" i="25"/>
  <c r="AV162" i="25" s="1"/>
  <c r="R162" i="19" l="1"/>
  <c r="E162" i="19" s="1"/>
  <c r="O162" i="22" s="1"/>
  <c r="AW162" i="25"/>
  <c r="I162" i="25" s="1"/>
  <c r="AX161" i="20"/>
  <c r="Y163" i="25"/>
  <c r="BQ163" i="19" s="1"/>
  <c r="O166" i="19"/>
  <c r="AB166" i="19" s="1"/>
  <c r="B166" i="19" s="1"/>
  <c r="L166" i="22" s="1"/>
  <c r="V167" i="25"/>
  <c r="AQ165" i="25"/>
  <c r="AR164" i="25"/>
  <c r="D164" i="25" s="1"/>
  <c r="AY161" i="25"/>
  <c r="K161" i="25" s="1"/>
  <c r="BT161" i="19"/>
  <c r="H162" i="25"/>
  <c r="AJ162" i="19"/>
  <c r="J162" i="19" s="1"/>
  <c r="AN160" i="19"/>
  <c r="X161" i="22" s="1"/>
  <c r="AL159" i="19"/>
  <c r="V160" i="22" s="1"/>
  <c r="Q164" i="19" l="1"/>
  <c r="AD164" i="19" s="1"/>
  <c r="D164" i="19" s="1"/>
  <c r="N164" i="22" s="1"/>
  <c r="X165" i="25"/>
  <c r="AU165" i="20" s="1"/>
  <c r="C165" i="25"/>
  <c r="AT161" i="25"/>
  <c r="F161" i="25" s="1"/>
  <c r="BU160" i="19"/>
  <c r="AX161" i="25" s="1"/>
  <c r="T162" i="19"/>
  <c r="BG162" i="19"/>
  <c r="AC163" i="25"/>
  <c r="AK163" i="19"/>
  <c r="K163" i="19" s="1"/>
  <c r="M160" i="19"/>
  <c r="L159" i="19"/>
  <c r="T159" i="22" s="1"/>
  <c r="N160" i="19"/>
  <c r="U160" i="22" s="1"/>
  <c r="BC165" i="19" l="1"/>
  <c r="P165" i="19"/>
  <c r="C165" i="19" s="1"/>
  <c r="M165" i="22" s="1"/>
  <c r="W166" i="25"/>
  <c r="J161" i="25"/>
  <c r="S161" i="19"/>
  <c r="AF161" i="19" s="1"/>
  <c r="F161" i="19" s="1"/>
  <c r="BF161" i="19"/>
  <c r="Z162" i="25"/>
  <c r="AV162" i="20" s="1"/>
  <c r="AA162" i="25"/>
  <c r="BH162" i="19"/>
  <c r="BS162" i="19" l="1"/>
  <c r="AW162" i="20"/>
  <c r="BO166" i="19"/>
  <c r="AP167" i="25" s="1"/>
  <c r="AQ166" i="25"/>
  <c r="U161" i="19"/>
  <c r="AH161" i="19" s="1"/>
  <c r="H161" i="19" s="1"/>
  <c r="R161" i="22" s="1"/>
  <c r="AD162" i="25"/>
  <c r="AX162" i="20" s="1"/>
  <c r="AE162" i="25"/>
  <c r="AY162" i="20" s="1"/>
  <c r="AS163" i="25"/>
  <c r="AU162" i="25"/>
  <c r="G162" i="25" s="1"/>
  <c r="AJ163" i="19"/>
  <c r="J163" i="19" s="1"/>
  <c r="AG162" i="19"/>
  <c r="G162" i="19" s="1"/>
  <c r="B167" i="25" l="1"/>
  <c r="C166" i="25"/>
  <c r="BT162" i="19"/>
  <c r="AW163" i="25"/>
  <c r="I163" i="25" s="1"/>
  <c r="AY162" i="25"/>
  <c r="K162" i="25" s="1"/>
  <c r="AB163" i="25"/>
  <c r="AV163" i="25" s="1"/>
  <c r="E163" i="25"/>
  <c r="BE163" i="19" s="1"/>
  <c r="AL160" i="19"/>
  <c r="V161" i="22" s="1"/>
  <c r="AN161" i="19"/>
  <c r="X162" i="22" s="1"/>
  <c r="P166" i="19" l="1"/>
  <c r="C166" i="19" s="1"/>
  <c r="M166" i="22" s="1"/>
  <c r="BC166" i="19"/>
  <c r="W167" i="25"/>
  <c r="O167" i="19"/>
  <c r="AB167" i="19" s="1"/>
  <c r="B167" i="19" s="1"/>
  <c r="L167" i="22" s="1"/>
  <c r="V168" i="25"/>
  <c r="AT162" i="25"/>
  <c r="F162" i="25" s="1"/>
  <c r="BU161" i="19"/>
  <c r="AX162" i="25" s="1"/>
  <c r="T163" i="19"/>
  <c r="BG163" i="19"/>
  <c r="Y164" i="25"/>
  <c r="BQ164" i="19" s="1"/>
  <c r="AR165" i="25" s="1"/>
  <c r="R163" i="19"/>
  <c r="E163" i="19" s="1"/>
  <c r="O163" i="22" s="1"/>
  <c r="H163" i="25"/>
  <c r="AK164" i="19"/>
  <c r="K164" i="19" s="1"/>
  <c r="N161" i="19"/>
  <c r="U161" i="22" s="1"/>
  <c r="M161" i="19"/>
  <c r="L160" i="19"/>
  <c r="T160" i="22" s="1"/>
  <c r="BO167" i="19" l="1"/>
  <c r="AP168" i="25" s="1"/>
  <c r="B168" i="25" s="1"/>
  <c r="D165" i="25"/>
  <c r="J162" i="25"/>
  <c r="S162" i="19"/>
  <c r="AF162" i="19" s="1"/>
  <c r="F162" i="19" s="1"/>
  <c r="BF162" i="19"/>
  <c r="AC164" i="25"/>
  <c r="Z163" i="25"/>
  <c r="AV163" i="20" s="1"/>
  <c r="AA163" i="25"/>
  <c r="BH163" i="19"/>
  <c r="BS163" i="19" l="1"/>
  <c r="AW163" i="20"/>
  <c r="O168" i="19"/>
  <c r="AB168" i="19" s="1"/>
  <c r="B168" i="19" s="1"/>
  <c r="L168" i="22" s="1"/>
  <c r="V169" i="25"/>
  <c r="Q165" i="19"/>
  <c r="AD165" i="19" s="1"/>
  <c r="D165" i="19" s="1"/>
  <c r="N165" i="22" s="1"/>
  <c r="X166" i="25"/>
  <c r="AU166" i="20" s="1"/>
  <c r="U162" i="19"/>
  <c r="AH162" i="19" s="1"/>
  <c r="H162" i="19" s="1"/>
  <c r="R162" i="22" s="1"/>
  <c r="AD163" i="25"/>
  <c r="AE163" i="25"/>
  <c r="AY163" i="20" s="1"/>
  <c r="AU163" i="25"/>
  <c r="AS164" i="25"/>
  <c r="AG163" i="19"/>
  <c r="G163" i="19" s="1"/>
  <c r="AW164" i="25" l="1"/>
  <c r="I164" i="25" s="1"/>
  <c r="T164" i="19" s="1"/>
  <c r="AX163" i="20"/>
  <c r="AQ167" i="25"/>
  <c r="BT163" i="19"/>
  <c r="AY163" i="25"/>
  <c r="K163" i="25" s="1"/>
  <c r="E164" i="25"/>
  <c r="BE164" i="19" s="1"/>
  <c r="G163" i="25"/>
  <c r="AJ164" i="19"/>
  <c r="J164" i="19" s="1"/>
  <c r="AL161" i="19"/>
  <c r="V162" i="22" s="1"/>
  <c r="AN162" i="19"/>
  <c r="X163" i="22" s="1"/>
  <c r="BG164" i="19" l="1"/>
  <c r="C167" i="25"/>
  <c r="AT163" i="25"/>
  <c r="F163" i="25" s="1"/>
  <c r="BF163" i="19" s="1"/>
  <c r="BU162" i="19"/>
  <c r="AX163" i="25" s="1"/>
  <c r="Y165" i="25"/>
  <c r="BQ165" i="19" s="1"/>
  <c r="AR166" i="25" s="1"/>
  <c r="D166" i="25" s="1"/>
  <c r="R164" i="19"/>
  <c r="E164" i="19" s="1"/>
  <c r="O164" i="22" s="1"/>
  <c r="AB164" i="25"/>
  <c r="N162" i="19"/>
  <c r="U162" i="22" s="1"/>
  <c r="L161" i="19"/>
  <c r="T161" i="22" s="1"/>
  <c r="M162" i="19"/>
  <c r="BC167" i="19" l="1"/>
  <c r="P167" i="19"/>
  <c r="C167" i="19" s="1"/>
  <c r="M167" i="22" s="1"/>
  <c r="W168" i="25"/>
  <c r="Q166" i="19"/>
  <c r="AD166" i="19" s="1"/>
  <c r="D166" i="19" s="1"/>
  <c r="N166" i="22" s="1"/>
  <c r="X167" i="25"/>
  <c r="AU167" i="20" s="1"/>
  <c r="J163" i="25"/>
  <c r="Z164" i="25"/>
  <c r="S163" i="19"/>
  <c r="AF163" i="19" s="1"/>
  <c r="F163" i="19" s="1"/>
  <c r="AA164" i="25"/>
  <c r="AV164" i="25"/>
  <c r="BH164" i="19"/>
  <c r="AK165" i="19"/>
  <c r="K165" i="19" s="1"/>
  <c r="BS164" i="19" l="1"/>
  <c r="AW164" i="20"/>
  <c r="AS165" i="25"/>
  <c r="E165" i="25" s="1"/>
  <c r="BE165" i="19" s="1"/>
  <c r="AV164" i="20"/>
  <c r="BO168" i="19"/>
  <c r="AP169" i="25" s="1"/>
  <c r="AQ168" i="25"/>
  <c r="U163" i="19"/>
  <c r="AH163" i="19" s="1"/>
  <c r="H163" i="19" s="1"/>
  <c r="R163" i="22" s="1"/>
  <c r="AD164" i="25"/>
  <c r="AX164" i="20" s="1"/>
  <c r="AE164" i="25"/>
  <c r="AY164" i="20" s="1"/>
  <c r="H164" i="25"/>
  <c r="AU164" i="25"/>
  <c r="AG164" i="19"/>
  <c r="G164" i="19" s="1"/>
  <c r="AL162" i="19"/>
  <c r="V163" i="22" s="1"/>
  <c r="R165" i="19" l="1"/>
  <c r="E165" i="19" s="1"/>
  <c r="O165" i="22" s="1"/>
  <c r="Y166" i="25"/>
  <c r="BQ166" i="19" s="1"/>
  <c r="AR167" i="25" s="1"/>
  <c r="D167" i="25" s="1"/>
  <c r="B169" i="25"/>
  <c r="C168" i="25"/>
  <c r="AY164" i="25"/>
  <c r="K164" i="25" s="1"/>
  <c r="BT164" i="19"/>
  <c r="AT164" i="25"/>
  <c r="F164" i="25" s="1"/>
  <c r="BF164" i="19" s="1"/>
  <c r="BU163" i="19"/>
  <c r="AX164" i="25" s="1"/>
  <c r="AC165" i="25"/>
  <c r="G164" i="25"/>
  <c r="L162" i="19"/>
  <c r="T162" i="22" s="1"/>
  <c r="AJ165" i="19"/>
  <c r="J165" i="19" s="1"/>
  <c r="AN163" i="19"/>
  <c r="X164" i="22" s="1"/>
  <c r="BC168" i="19" l="1"/>
  <c r="P168" i="19"/>
  <c r="C168" i="19" s="1"/>
  <c r="M168" i="22" s="1"/>
  <c r="W169" i="25"/>
  <c r="Q167" i="19"/>
  <c r="AD167" i="19" s="1"/>
  <c r="D167" i="19" s="1"/>
  <c r="N167" i="22" s="1"/>
  <c r="X168" i="25"/>
  <c r="AU168" i="20" s="1"/>
  <c r="O169" i="19"/>
  <c r="AB169" i="19" s="1"/>
  <c r="B169" i="19" s="1"/>
  <c r="L169" i="22" s="1"/>
  <c r="V170" i="25"/>
  <c r="AA165" i="25"/>
  <c r="J164" i="25"/>
  <c r="AE165" i="25" s="1"/>
  <c r="S164" i="19"/>
  <c r="AF164" i="19" s="1"/>
  <c r="F164" i="19" s="1"/>
  <c r="Z165" i="25"/>
  <c r="AB165" i="25"/>
  <c r="AW165" i="25"/>
  <c r="BH165" i="19"/>
  <c r="N163" i="19"/>
  <c r="U163" i="22" s="1"/>
  <c r="M163" i="19"/>
  <c r="AY165" i="25" l="1"/>
  <c r="K165" i="25" s="1"/>
  <c r="AY165" i="20"/>
  <c r="BS165" i="19"/>
  <c r="AW165" i="20"/>
  <c r="AS166" i="25"/>
  <c r="E166" i="25" s="1"/>
  <c r="BE166" i="19" s="1"/>
  <c r="AV165" i="20"/>
  <c r="AU165" i="25"/>
  <c r="G165" i="25" s="1"/>
  <c r="BO169" i="19"/>
  <c r="AP170" i="25" s="1"/>
  <c r="AQ169" i="25"/>
  <c r="U164" i="19"/>
  <c r="AH164" i="19" s="1"/>
  <c r="H164" i="19" s="1"/>
  <c r="R164" i="22" s="1"/>
  <c r="AD165" i="25"/>
  <c r="AX165" i="20" s="1"/>
  <c r="AV165" i="25"/>
  <c r="I165" i="25"/>
  <c r="AJ166" i="19"/>
  <c r="J166" i="19" s="1"/>
  <c r="AK166" i="19"/>
  <c r="K166" i="19" s="1"/>
  <c r="AL163" i="19"/>
  <c r="V164" i="22" s="1"/>
  <c r="Y167" i="25" l="1"/>
  <c r="BQ167" i="19" s="1"/>
  <c r="AR168" i="25" s="1"/>
  <c r="D168" i="25" s="1"/>
  <c r="R166" i="19"/>
  <c r="E166" i="19" s="1"/>
  <c r="O166" i="22" s="1"/>
  <c r="C169" i="25"/>
  <c r="B170" i="25"/>
  <c r="AT165" i="25"/>
  <c r="F165" i="25" s="1"/>
  <c r="BU164" i="19"/>
  <c r="AX165" i="25" s="1"/>
  <c r="J165" i="25" s="1"/>
  <c r="BT165" i="19"/>
  <c r="T165" i="19"/>
  <c r="AG165" i="19" s="1"/>
  <c r="G165" i="19" s="1"/>
  <c r="BG165" i="19"/>
  <c r="H165" i="25"/>
  <c r="AB166" i="25" s="1"/>
  <c r="AV166" i="25" s="1"/>
  <c r="AN164" i="19"/>
  <c r="X165" i="22" s="1"/>
  <c r="M164" i="19"/>
  <c r="L163" i="19"/>
  <c r="T163" i="22" s="1"/>
  <c r="O170" i="19" l="1"/>
  <c r="AB170" i="19" s="1"/>
  <c r="B170" i="19" s="1"/>
  <c r="L170" i="22" s="1"/>
  <c r="V171" i="25"/>
  <c r="P169" i="19"/>
  <c r="C169" i="19" s="1"/>
  <c r="M169" i="22" s="1"/>
  <c r="BC169" i="19"/>
  <c r="W170" i="25"/>
  <c r="Q168" i="19"/>
  <c r="AD168" i="19" s="1"/>
  <c r="D168" i="19" s="1"/>
  <c r="N168" i="22" s="1"/>
  <c r="X169" i="25"/>
  <c r="AU169" i="20" s="1"/>
  <c r="U165" i="19"/>
  <c r="AH165" i="19" s="1"/>
  <c r="H165" i="19" s="1"/>
  <c r="R165" i="22" s="1"/>
  <c r="AE166" i="25"/>
  <c r="AY166" i="20" s="1"/>
  <c r="AD166" i="25"/>
  <c r="S165" i="19"/>
  <c r="AF165" i="19" s="1"/>
  <c r="F165" i="19" s="1"/>
  <c r="BF165" i="19"/>
  <c r="AC166" i="25"/>
  <c r="AW166" i="25" s="1"/>
  <c r="I166" i="25" s="1"/>
  <c r="H166" i="25"/>
  <c r="Z166" i="25"/>
  <c r="AV166" i="20" s="1"/>
  <c r="AA166" i="25"/>
  <c r="AW166" i="20" s="1"/>
  <c r="AK167" i="19"/>
  <c r="K167" i="19" s="1"/>
  <c r="N164" i="19"/>
  <c r="U164" i="22" s="1"/>
  <c r="BH166" i="19"/>
  <c r="BT166" i="19" l="1"/>
  <c r="AX166" i="20"/>
  <c r="AY166" i="25"/>
  <c r="K166" i="25" s="1"/>
  <c r="BO170" i="19"/>
  <c r="AP171" i="25" s="1"/>
  <c r="AQ170" i="25"/>
  <c r="C170" i="25" s="1"/>
  <c r="AU166" i="25"/>
  <c r="G166" i="25" s="1"/>
  <c r="AB167" i="25" s="1"/>
  <c r="BS166" i="19"/>
  <c r="T166" i="19"/>
  <c r="AG166" i="19" s="1"/>
  <c r="G166" i="19" s="1"/>
  <c r="BG166" i="19"/>
  <c r="AS167" i="25"/>
  <c r="AC167" i="25"/>
  <c r="AJ167" i="19"/>
  <c r="J167" i="19" s="1"/>
  <c r="AN165" i="19"/>
  <c r="X166" i="22" s="1"/>
  <c r="BC170" i="19" l="1"/>
  <c r="P170" i="19"/>
  <c r="C170" i="19" s="1"/>
  <c r="W171" i="25"/>
  <c r="B171" i="25"/>
  <c r="AV167" i="25"/>
  <c r="H167" i="25" s="1"/>
  <c r="E167" i="25"/>
  <c r="BE167" i="19" s="1"/>
  <c r="AW167" i="25"/>
  <c r="AK168" i="19"/>
  <c r="K168" i="19" s="1"/>
  <c r="N165" i="19"/>
  <c r="U165" i="22" s="1"/>
  <c r="AL164" i="19"/>
  <c r="V165" i="22" s="1"/>
  <c r="BO171" i="19" l="1"/>
  <c r="O171" i="19"/>
  <c r="AB171" i="19" s="1"/>
  <c r="B171" i="19" s="1"/>
  <c r="L171" i="22" s="1"/>
  <c r="V172" i="25"/>
  <c r="AT166" i="25"/>
  <c r="F166" i="25" s="1"/>
  <c r="BU165" i="19"/>
  <c r="AX166" i="25" s="1"/>
  <c r="J166" i="25" s="1"/>
  <c r="Y168" i="25"/>
  <c r="BQ168" i="19" s="1"/>
  <c r="AR169" i="25" s="1"/>
  <c r="R167" i="19"/>
  <c r="E167" i="19" s="1"/>
  <c r="O167" i="22" s="1"/>
  <c r="I167" i="25"/>
  <c r="BG167" i="19" s="1"/>
  <c r="L164" i="19"/>
  <c r="T164" i="22" s="1"/>
  <c r="M165" i="19"/>
  <c r="D169" i="25" l="1"/>
  <c r="AP172" i="25"/>
  <c r="B172" i="25" s="1"/>
  <c r="O172" i="19" s="1"/>
  <c r="AB172" i="19" s="1"/>
  <c r="B172" i="19" s="1"/>
  <c r="L172" i="22" s="1"/>
  <c r="U166" i="19"/>
  <c r="AH166" i="19" s="1"/>
  <c r="H166" i="19" s="1"/>
  <c r="R166" i="22" s="1"/>
  <c r="AD167" i="25"/>
  <c r="AE167" i="25"/>
  <c r="AY167" i="20" s="1"/>
  <c r="S166" i="19"/>
  <c r="AF166" i="19" s="1"/>
  <c r="F166" i="19" s="1"/>
  <c r="BF166" i="19"/>
  <c r="AC168" i="25"/>
  <c r="T167" i="19"/>
  <c r="Z167" i="25"/>
  <c r="AV167" i="20" s="1"/>
  <c r="AA167" i="25"/>
  <c r="BH167" i="19"/>
  <c r="AW168" i="25" l="1"/>
  <c r="I168" i="25" s="1"/>
  <c r="T168" i="19" s="1"/>
  <c r="BT167" i="19"/>
  <c r="AX167" i="20"/>
  <c r="BS167" i="19"/>
  <c r="AW167" i="20"/>
  <c r="V173" i="25"/>
  <c r="Q169" i="19"/>
  <c r="AD169" i="19" s="1"/>
  <c r="D169" i="19" s="1"/>
  <c r="N169" i="22" s="1"/>
  <c r="X170" i="25"/>
  <c r="AU170" i="20" s="1"/>
  <c r="AY167" i="25"/>
  <c r="K167" i="25" s="1"/>
  <c r="AU167" i="25"/>
  <c r="AS168" i="25"/>
  <c r="AG167" i="19"/>
  <c r="G167" i="19" s="1"/>
  <c r="AJ168" i="19"/>
  <c r="J168" i="19" s="1"/>
  <c r="AL165" i="19"/>
  <c r="V166" i="22" s="1"/>
  <c r="BG168" i="19" l="1"/>
  <c r="AQ171" i="25"/>
  <c r="AT167" i="25"/>
  <c r="F167" i="25" s="1"/>
  <c r="BF167" i="19" s="1"/>
  <c r="BU166" i="19"/>
  <c r="AX167" i="25" s="1"/>
  <c r="G167" i="25"/>
  <c r="E168" i="25"/>
  <c r="BE168" i="19" s="1"/>
  <c r="M166" i="19"/>
  <c r="AN166" i="19"/>
  <c r="X167" i="22" s="1"/>
  <c r="L165" i="19"/>
  <c r="T165" i="22" s="1"/>
  <c r="C171" i="25" l="1"/>
  <c r="J167" i="25"/>
  <c r="Z168" i="25"/>
  <c r="AV168" i="20" s="1"/>
  <c r="S167" i="19"/>
  <c r="AF167" i="19" s="1"/>
  <c r="F167" i="19" s="1"/>
  <c r="Y169" i="25"/>
  <c r="BQ169" i="19" s="1"/>
  <c r="AR170" i="25" s="1"/>
  <c r="R168" i="19"/>
  <c r="E168" i="19" s="1"/>
  <c r="O168" i="22" s="1"/>
  <c r="AA168" i="25"/>
  <c r="AB168" i="25"/>
  <c r="BH168" i="19"/>
  <c r="AK169" i="19"/>
  <c r="K169" i="19" s="1"/>
  <c r="N166" i="19"/>
  <c r="U166" i="22" s="1"/>
  <c r="BS168" i="19" l="1"/>
  <c r="AW168" i="20"/>
  <c r="D170" i="25"/>
  <c r="P171" i="19"/>
  <c r="C171" i="19" s="1"/>
  <c r="BC171" i="19"/>
  <c r="W172" i="25"/>
  <c r="U167" i="19"/>
  <c r="AH167" i="19" s="1"/>
  <c r="H167" i="19" s="1"/>
  <c r="R167" i="22" s="1"/>
  <c r="AD168" i="25"/>
  <c r="AX168" i="20" s="1"/>
  <c r="AE168" i="25"/>
  <c r="AY168" i="20" s="1"/>
  <c r="AS169" i="25"/>
  <c r="E169" i="25" s="1"/>
  <c r="BE169" i="19" s="1"/>
  <c r="AV168" i="25"/>
  <c r="H168" i="25" s="1"/>
  <c r="AU168" i="25"/>
  <c r="AG168" i="19"/>
  <c r="G168" i="19" s="1"/>
  <c r="AJ169" i="19"/>
  <c r="J169" i="19" s="1"/>
  <c r="AN167" i="19"/>
  <c r="X168" i="22" s="1"/>
  <c r="BO172" i="19" l="1"/>
  <c r="AP173" i="25" s="1"/>
  <c r="B173" i="25" s="1"/>
  <c r="Q170" i="19"/>
  <c r="AD170" i="19" s="1"/>
  <c r="D170" i="19" s="1"/>
  <c r="N170" i="22" s="1"/>
  <c r="X171" i="25"/>
  <c r="AY168" i="25"/>
  <c r="K168" i="25" s="1"/>
  <c r="BT168" i="19"/>
  <c r="Y170" i="25"/>
  <c r="BQ170" i="19" s="1"/>
  <c r="R169" i="19"/>
  <c r="E169" i="19" s="1"/>
  <c r="O169" i="22" s="1"/>
  <c r="AC169" i="25"/>
  <c r="G168" i="25"/>
  <c r="N167" i="19"/>
  <c r="U167" i="22" s="1"/>
  <c r="AL166" i="19"/>
  <c r="V167" i="22" s="1"/>
  <c r="AQ172" i="25" l="1"/>
  <c r="C172" i="25" s="1"/>
  <c r="AU171" i="20"/>
  <c r="O173" i="19"/>
  <c r="AB173" i="19" s="1"/>
  <c r="B173" i="19" s="1"/>
  <c r="L173" i="22" s="1"/>
  <c r="V174" i="25"/>
  <c r="AR171" i="25"/>
  <c r="D171" i="25" s="1"/>
  <c r="AT168" i="25"/>
  <c r="F168" i="25" s="1"/>
  <c r="BF168" i="19" s="1"/>
  <c r="BU167" i="19"/>
  <c r="AX168" i="25" s="1"/>
  <c r="AW169" i="25"/>
  <c r="I169" i="25" s="1"/>
  <c r="AB169" i="25"/>
  <c r="BH169" i="19"/>
  <c r="AK170" i="19"/>
  <c r="K170" i="19" s="1"/>
  <c r="L166" i="19"/>
  <c r="T166" i="22" s="1"/>
  <c r="M167" i="19"/>
  <c r="Q171" i="19" l="1"/>
  <c r="AD171" i="19" s="1"/>
  <c r="D171" i="19" s="1"/>
  <c r="N171" i="22" s="1"/>
  <c r="X172" i="25"/>
  <c r="AU172" i="20" s="1"/>
  <c r="BC172" i="19"/>
  <c r="P172" i="19"/>
  <c r="C172" i="19" s="1"/>
  <c r="M172" i="22" s="1"/>
  <c r="W173" i="25"/>
  <c r="J168" i="25"/>
  <c r="T169" i="19"/>
  <c r="BG169" i="19"/>
  <c r="Z169" i="25"/>
  <c r="S168" i="19"/>
  <c r="AF168" i="19" s="1"/>
  <c r="F168" i="19" s="1"/>
  <c r="AA169" i="25"/>
  <c r="AW169" i="20" s="1"/>
  <c r="AV169" i="25"/>
  <c r="AJ170" i="19"/>
  <c r="J170" i="19" s="1"/>
  <c r="AS170" i="25" l="1"/>
  <c r="E170" i="25" s="1"/>
  <c r="BE170" i="19" s="1"/>
  <c r="AV169" i="20"/>
  <c r="BO173" i="19"/>
  <c r="AP174" i="25" s="1"/>
  <c r="B174" i="25" s="1"/>
  <c r="AQ173" i="25"/>
  <c r="C173" i="25" s="1"/>
  <c r="U168" i="19"/>
  <c r="AH168" i="19" s="1"/>
  <c r="H168" i="19" s="1"/>
  <c r="R168" i="22" s="1"/>
  <c r="AD169" i="25"/>
  <c r="AX169" i="20" s="1"/>
  <c r="AE169" i="25"/>
  <c r="AY169" i="20" s="1"/>
  <c r="AU169" i="25"/>
  <c r="G169" i="25" s="1"/>
  <c r="BS169" i="19"/>
  <c r="H169" i="25"/>
  <c r="AK171" i="19"/>
  <c r="K171" i="19" s="1"/>
  <c r="AG169" i="19"/>
  <c r="G169" i="19" s="1"/>
  <c r="AL167" i="19"/>
  <c r="V168" i="22" s="1"/>
  <c r="O174" i="19" l="1"/>
  <c r="AB174" i="19" s="1"/>
  <c r="B174" i="19" s="1"/>
  <c r="L174" i="22" s="1"/>
  <c r="V175" i="25"/>
  <c r="P173" i="19"/>
  <c r="C173" i="19" s="1"/>
  <c r="BC173" i="19"/>
  <c r="W174" i="25"/>
  <c r="AY169" i="25"/>
  <c r="K169" i="25" s="1"/>
  <c r="BT169" i="19"/>
  <c r="AT169" i="25"/>
  <c r="F169" i="25" s="1"/>
  <c r="BF169" i="19" s="1"/>
  <c r="BU168" i="19"/>
  <c r="AX169" i="25" s="1"/>
  <c r="Y171" i="25"/>
  <c r="BQ171" i="19" s="1"/>
  <c r="AR172" i="25" s="1"/>
  <c r="R170" i="19"/>
  <c r="E170" i="19" s="1"/>
  <c r="O170" i="22" s="1"/>
  <c r="AB170" i="25"/>
  <c r="AC170" i="25"/>
  <c r="M168" i="19"/>
  <c r="AN168" i="19"/>
  <c r="X169" i="22" s="1"/>
  <c r="L167" i="19"/>
  <c r="T167" i="22" s="1"/>
  <c r="D172" i="25" l="1"/>
  <c r="BO174" i="19"/>
  <c r="AP175" i="25" s="1"/>
  <c r="B175" i="25" s="1"/>
  <c r="J169" i="25"/>
  <c r="AE170" i="25" s="1"/>
  <c r="AY170" i="20" s="1"/>
  <c r="AA170" i="25"/>
  <c r="Z170" i="25"/>
  <c r="AV170" i="20" s="1"/>
  <c r="S169" i="19"/>
  <c r="AF169" i="19" s="1"/>
  <c r="F169" i="19" s="1"/>
  <c r="AS171" i="25"/>
  <c r="E171" i="25" s="1"/>
  <c r="BE171" i="19" s="1"/>
  <c r="AW170" i="25"/>
  <c r="I170" i="25" s="1"/>
  <c r="AV170" i="25"/>
  <c r="H170" i="25" s="1"/>
  <c r="N168" i="19"/>
  <c r="U168" i="22" s="1"/>
  <c r="BH170" i="19"/>
  <c r="BS170" i="19" l="1"/>
  <c r="AW170" i="20"/>
  <c r="AU170" i="25"/>
  <c r="G170" i="25" s="1"/>
  <c r="AB171" i="25" s="1"/>
  <c r="AV171" i="25" s="1"/>
  <c r="H171" i="25" s="1"/>
  <c r="O175" i="19"/>
  <c r="AB175" i="19" s="1"/>
  <c r="B175" i="19" s="1"/>
  <c r="L175" i="22" s="1"/>
  <c r="V176" i="25"/>
  <c r="Q172" i="19"/>
  <c r="AD172" i="19" s="1"/>
  <c r="D172" i="19" s="1"/>
  <c r="N172" i="22" s="1"/>
  <c r="X173" i="25"/>
  <c r="AU173" i="20" s="1"/>
  <c r="AY170" i="25"/>
  <c r="K170" i="25" s="1"/>
  <c r="U169" i="19"/>
  <c r="AH169" i="19" s="1"/>
  <c r="H169" i="19" s="1"/>
  <c r="R169" i="22" s="1"/>
  <c r="AD170" i="25"/>
  <c r="AX170" i="20" s="1"/>
  <c r="T170" i="19"/>
  <c r="AG170" i="19" s="1"/>
  <c r="G170" i="19" s="1"/>
  <c r="BG170" i="19"/>
  <c r="Y172" i="25"/>
  <c r="BQ172" i="19" s="1"/>
  <c r="R171" i="19"/>
  <c r="E171" i="19" s="1"/>
  <c r="O171" i="22" s="1"/>
  <c r="AC171" i="25"/>
  <c r="AW171" i="25" s="1"/>
  <c r="AJ171" i="19"/>
  <c r="J171" i="19" s="1"/>
  <c r="AQ174" i="25" l="1"/>
  <c r="AR173" i="25"/>
  <c r="BT170" i="19"/>
  <c r="I171" i="25"/>
  <c r="BG171" i="19" s="1"/>
  <c r="AK172" i="19"/>
  <c r="K172" i="19" s="1"/>
  <c r="AL168" i="19"/>
  <c r="V169" i="22" s="1"/>
  <c r="AN169" i="19"/>
  <c r="X170" i="22" s="1"/>
  <c r="D173" i="25" l="1"/>
  <c r="C174" i="25"/>
  <c r="AT170" i="25"/>
  <c r="F170" i="25" s="1"/>
  <c r="BU169" i="19"/>
  <c r="AX170" i="25" s="1"/>
  <c r="AC172" i="25"/>
  <c r="T171" i="19"/>
  <c r="BH171" i="19"/>
  <c r="L168" i="19"/>
  <c r="T168" i="22" s="1"/>
  <c r="N169" i="19"/>
  <c r="U169" i="22" s="1"/>
  <c r="M169" i="19"/>
  <c r="BC174" i="19" l="1"/>
  <c r="P174" i="19"/>
  <c r="C174" i="19" s="1"/>
  <c r="M174" i="22" s="1"/>
  <c r="W175" i="25"/>
  <c r="Q173" i="19"/>
  <c r="AD173" i="19" s="1"/>
  <c r="D173" i="19" s="1"/>
  <c r="N173" i="22" s="1"/>
  <c r="X174" i="25"/>
  <c r="AU174" i="20" s="1"/>
  <c r="J170" i="25"/>
  <c r="S170" i="19"/>
  <c r="AF170" i="19" s="1"/>
  <c r="F170" i="19" s="1"/>
  <c r="BF170" i="19"/>
  <c r="Z171" i="25"/>
  <c r="AV171" i="20" s="1"/>
  <c r="AA171" i="25"/>
  <c r="AG171" i="19"/>
  <c r="G171" i="19" s="1"/>
  <c r="AJ172" i="19"/>
  <c r="J172" i="19" s="1"/>
  <c r="BS171" i="19" l="1"/>
  <c r="AW171" i="20"/>
  <c r="BO175" i="19"/>
  <c r="AP176" i="25" s="1"/>
  <c r="B176" i="25" s="1"/>
  <c r="AQ175" i="25"/>
  <c r="U170" i="19"/>
  <c r="AH170" i="19" s="1"/>
  <c r="H170" i="19" s="1"/>
  <c r="R170" i="22" s="1"/>
  <c r="AD171" i="25"/>
  <c r="AX171" i="20" s="1"/>
  <c r="AE171" i="25"/>
  <c r="AU171" i="25"/>
  <c r="G171" i="25" s="1"/>
  <c r="AS172" i="25"/>
  <c r="AL169" i="19"/>
  <c r="V170" i="22" s="1"/>
  <c r="AY171" i="25" l="1"/>
  <c r="K171" i="25" s="1"/>
  <c r="AY171" i="20"/>
  <c r="C175" i="25"/>
  <c r="O176" i="19"/>
  <c r="AB176" i="19" s="1"/>
  <c r="B176" i="19" s="1"/>
  <c r="L176" i="22" s="1"/>
  <c r="V177" i="25"/>
  <c r="AT171" i="25"/>
  <c r="F171" i="25" s="1"/>
  <c r="BU170" i="19"/>
  <c r="AX171" i="25" s="1"/>
  <c r="BT171" i="19"/>
  <c r="AW172" i="25"/>
  <c r="I172" i="25" s="1"/>
  <c r="E172" i="25"/>
  <c r="BE172" i="19" s="1"/>
  <c r="AB172" i="25"/>
  <c r="BH172" i="19"/>
  <c r="AJ173" i="19"/>
  <c r="J173" i="19" s="1"/>
  <c r="AK173" i="19"/>
  <c r="K173" i="19" s="1"/>
  <c r="AN170" i="19"/>
  <c r="X171" i="22" s="1"/>
  <c r="M170" i="19"/>
  <c r="L169" i="19"/>
  <c r="T169" i="22" s="1"/>
  <c r="BC175" i="19" l="1"/>
  <c r="P175" i="19"/>
  <c r="C175" i="19" s="1"/>
  <c r="M175" i="22" s="1"/>
  <c r="W176" i="25"/>
  <c r="T172" i="19"/>
  <c r="BG172" i="19"/>
  <c r="J171" i="25"/>
  <c r="AA172" i="25"/>
  <c r="BF171" i="19"/>
  <c r="Y173" i="25"/>
  <c r="BQ173" i="19" s="1"/>
  <c r="AR174" i="25" s="1"/>
  <c r="R172" i="19"/>
  <c r="E172" i="19" s="1"/>
  <c r="O172" i="22" s="1"/>
  <c r="Z172" i="25"/>
  <c r="AV172" i="20" s="1"/>
  <c r="S171" i="19"/>
  <c r="AF171" i="19" s="1"/>
  <c r="F171" i="19" s="1"/>
  <c r="AV172" i="25"/>
  <c r="H172" i="25" s="1"/>
  <c r="N170" i="19"/>
  <c r="U170" i="22" s="1"/>
  <c r="BS172" i="19" l="1"/>
  <c r="AW172" i="20"/>
  <c r="D174" i="25"/>
  <c r="BO176" i="19"/>
  <c r="AP177" i="25" s="1"/>
  <c r="AS173" i="25"/>
  <c r="E173" i="25" s="1"/>
  <c r="BE173" i="19" s="1"/>
  <c r="U171" i="19"/>
  <c r="AH171" i="19" s="1"/>
  <c r="H171" i="19" s="1"/>
  <c r="R171" i="22" s="1"/>
  <c r="AE172" i="25"/>
  <c r="AY172" i="20" s="1"/>
  <c r="AD172" i="25"/>
  <c r="AX172" i="20" s="1"/>
  <c r="AU172" i="25"/>
  <c r="G172" i="25" s="1"/>
  <c r="AB173" i="25" s="1"/>
  <c r="AC173" i="25"/>
  <c r="AK174" i="19"/>
  <c r="K174" i="19" s="1"/>
  <c r="AG172" i="19"/>
  <c r="G172" i="19" s="1"/>
  <c r="B177" i="25" l="1"/>
  <c r="Q174" i="19"/>
  <c r="AD174" i="19" s="1"/>
  <c r="D174" i="19" s="1"/>
  <c r="N174" i="22" s="1"/>
  <c r="X175" i="25"/>
  <c r="AU175" i="20" s="1"/>
  <c r="R173" i="19"/>
  <c r="E173" i="19" s="1"/>
  <c r="O173" i="22" s="1"/>
  <c r="Y174" i="25"/>
  <c r="BQ174" i="19" s="1"/>
  <c r="BT172" i="19"/>
  <c r="AY172" i="25"/>
  <c r="K172" i="25" s="1"/>
  <c r="AW173" i="25"/>
  <c r="AV173" i="25"/>
  <c r="H173" i="25" s="1"/>
  <c r="AL170" i="19"/>
  <c r="V171" i="22" s="1"/>
  <c r="AN171" i="19"/>
  <c r="AR175" i="25" l="1"/>
  <c r="AQ176" i="25"/>
  <c r="O177" i="19"/>
  <c r="AB177" i="19" s="1"/>
  <c r="B177" i="19" s="1"/>
  <c r="L177" i="22" s="1"/>
  <c r="V178" i="25"/>
  <c r="AT172" i="25"/>
  <c r="F172" i="25" s="1"/>
  <c r="BU171" i="19"/>
  <c r="AX172" i="25" s="1"/>
  <c r="I173" i="25"/>
  <c r="N171" i="19"/>
  <c r="U171" i="22" s="1"/>
  <c r="X172" i="22"/>
  <c r="L170" i="19"/>
  <c r="T170" i="22" s="1"/>
  <c r="M171" i="19"/>
  <c r="C176" i="25" l="1"/>
  <c r="D175" i="25"/>
  <c r="J172" i="25"/>
  <c r="S172" i="19"/>
  <c r="AF172" i="19" s="1"/>
  <c r="F172" i="19" s="1"/>
  <c r="BF172" i="19"/>
  <c r="T173" i="19"/>
  <c r="AG173" i="19" s="1"/>
  <c r="G173" i="19" s="1"/>
  <c r="BG173" i="19"/>
  <c r="AC174" i="25"/>
  <c r="Z173" i="25"/>
  <c r="AV173" i="20" s="1"/>
  <c r="AA173" i="25"/>
  <c r="BH173" i="19"/>
  <c r="BS173" i="19" l="1"/>
  <c r="AW173" i="20"/>
  <c r="Q175" i="19"/>
  <c r="AD175" i="19" s="1"/>
  <c r="D175" i="19" s="1"/>
  <c r="N175" i="22" s="1"/>
  <c r="X176" i="25"/>
  <c r="AU176" i="20" s="1"/>
  <c r="BC176" i="19"/>
  <c r="P176" i="19"/>
  <c r="C176" i="19" s="1"/>
  <c r="M176" i="22" s="1"/>
  <c r="W177" i="25"/>
  <c r="U172" i="19"/>
  <c r="AH172" i="19" s="1"/>
  <c r="H172" i="19" s="1"/>
  <c r="R172" i="22" s="1"/>
  <c r="AD173" i="25"/>
  <c r="AX173" i="20" s="1"/>
  <c r="AE173" i="25"/>
  <c r="AY173" i="20" s="1"/>
  <c r="AU173" i="25"/>
  <c r="G173" i="25" s="1"/>
  <c r="AS174" i="25"/>
  <c r="AJ174" i="19"/>
  <c r="J174" i="19" s="1"/>
  <c r="BO177" i="19" l="1"/>
  <c r="AP178" i="25" s="1"/>
  <c r="AQ177" i="25"/>
  <c r="C177" i="25" s="1"/>
  <c r="BT173" i="19"/>
  <c r="AW174" i="25"/>
  <c r="I174" i="25" s="1"/>
  <c r="BG174" i="19" s="1"/>
  <c r="AY173" i="25"/>
  <c r="K173" i="25" s="1"/>
  <c r="AB174" i="25"/>
  <c r="E174" i="25"/>
  <c r="BE174" i="19" s="1"/>
  <c r="AL171" i="19"/>
  <c r="V172" i="22" s="1"/>
  <c r="AN172" i="19"/>
  <c r="X173" i="22" s="1"/>
  <c r="BC177" i="19" l="1"/>
  <c r="P177" i="19"/>
  <c r="C177" i="19" s="1"/>
  <c r="M177" i="22" s="1"/>
  <c r="W178" i="25"/>
  <c r="B178" i="25"/>
  <c r="T174" i="19"/>
  <c r="AT173" i="25"/>
  <c r="F173" i="25" s="1"/>
  <c r="BU172" i="19"/>
  <c r="AX173" i="25" s="1"/>
  <c r="Y175" i="25"/>
  <c r="BQ175" i="19" s="1"/>
  <c r="AR176" i="25" s="1"/>
  <c r="R174" i="19"/>
  <c r="E174" i="19" s="1"/>
  <c r="O174" i="22" s="1"/>
  <c r="AV174" i="25"/>
  <c r="H174" i="25" s="1"/>
  <c r="AK175" i="19"/>
  <c r="K175" i="19" s="1"/>
  <c r="L171" i="19"/>
  <c r="T171" i="22" s="1"/>
  <c r="M172" i="19"/>
  <c r="N172" i="19"/>
  <c r="U172" i="22" s="1"/>
  <c r="BO178" i="19" l="1"/>
  <c r="D176" i="25"/>
  <c r="O178" i="19"/>
  <c r="AB178" i="19" s="1"/>
  <c r="B178" i="19" s="1"/>
  <c r="L178" i="22" s="1"/>
  <c r="V179" i="25"/>
  <c r="J173" i="25"/>
  <c r="S173" i="19"/>
  <c r="AF173" i="19" s="1"/>
  <c r="F173" i="19" s="1"/>
  <c r="BF173" i="19"/>
  <c r="AC175" i="25"/>
  <c r="Z174" i="25"/>
  <c r="AV174" i="20" s="1"/>
  <c r="AA174" i="25"/>
  <c r="BH174" i="19"/>
  <c r="BS174" i="19" l="1"/>
  <c r="AW174" i="20"/>
  <c r="Q176" i="19"/>
  <c r="AD176" i="19" s="1"/>
  <c r="D176" i="19" s="1"/>
  <c r="N176" i="22" s="1"/>
  <c r="X177" i="25"/>
  <c r="AU177" i="20" s="1"/>
  <c r="AP179" i="25"/>
  <c r="B179" i="25" s="1"/>
  <c r="U173" i="19"/>
  <c r="AH173" i="19" s="1"/>
  <c r="H173" i="19" s="1"/>
  <c r="R173" i="22" s="1"/>
  <c r="AD174" i="25"/>
  <c r="AX174" i="20" s="1"/>
  <c r="AE174" i="25"/>
  <c r="AY174" i="20" s="1"/>
  <c r="AU174" i="25"/>
  <c r="AS175" i="25"/>
  <c r="AJ175" i="19"/>
  <c r="J175" i="19" s="1"/>
  <c r="AL172" i="19"/>
  <c r="V173" i="22" s="1"/>
  <c r="AG174" i="19"/>
  <c r="G174" i="19" s="1"/>
  <c r="AW175" i="25" l="1"/>
  <c r="I175" i="25" s="1"/>
  <c r="BG175" i="19" s="1"/>
  <c r="O179" i="19"/>
  <c r="AB179" i="19" s="1"/>
  <c r="B179" i="19" s="1"/>
  <c r="L179" i="22" s="1"/>
  <c r="V180" i="25"/>
  <c r="AQ178" i="25"/>
  <c r="BT174" i="19"/>
  <c r="AT174" i="25"/>
  <c r="F174" i="25" s="1"/>
  <c r="BF174" i="19" s="1"/>
  <c r="BU173" i="19"/>
  <c r="AX174" i="25" s="1"/>
  <c r="AY174" i="25"/>
  <c r="K174" i="25" s="1"/>
  <c r="T175" i="19"/>
  <c r="AG175" i="19" s="1"/>
  <c r="G175" i="19" s="1"/>
  <c r="E175" i="25"/>
  <c r="BE175" i="19" s="1"/>
  <c r="G174" i="25"/>
  <c r="AK176" i="19"/>
  <c r="K176" i="19" s="1"/>
  <c r="AN173" i="19"/>
  <c r="X174" i="22" s="1"/>
  <c r="M173" i="19"/>
  <c r="L172" i="19"/>
  <c r="T172" i="22" s="1"/>
  <c r="Z175" i="25" l="1"/>
  <c r="AV175" i="20" s="1"/>
  <c r="C178" i="25"/>
  <c r="S174" i="19"/>
  <c r="AF174" i="19" s="1"/>
  <c r="F174" i="19" s="1"/>
  <c r="J174" i="25"/>
  <c r="Y176" i="25"/>
  <c r="R175" i="19"/>
  <c r="E175" i="19" s="1"/>
  <c r="O175" i="22" s="1"/>
  <c r="AB175" i="25"/>
  <c r="AA175" i="25"/>
  <c r="AW175" i="20" s="1"/>
  <c r="BH175" i="19"/>
  <c r="N173" i="19"/>
  <c r="U173" i="22" s="1"/>
  <c r="AS176" i="25" l="1"/>
  <c r="E176" i="25" s="1"/>
  <c r="BE176" i="19" s="1"/>
  <c r="BQ176" i="19"/>
  <c r="AR177" i="25" s="1"/>
  <c r="BC178" i="19"/>
  <c r="P178" i="19"/>
  <c r="C178" i="19" s="1"/>
  <c r="M178" i="22" s="1"/>
  <c r="W179" i="25"/>
  <c r="U174" i="19"/>
  <c r="AH174" i="19" s="1"/>
  <c r="H174" i="19" s="1"/>
  <c r="R174" i="22" s="1"/>
  <c r="AD175" i="25"/>
  <c r="AX175" i="20" s="1"/>
  <c r="AE175" i="25"/>
  <c r="AY175" i="20" s="1"/>
  <c r="AU175" i="25"/>
  <c r="G175" i="25" s="1"/>
  <c r="BS175" i="19"/>
  <c r="AV175" i="25"/>
  <c r="H175" i="25" s="1"/>
  <c r="AJ176" i="19"/>
  <c r="J176" i="19" s="1"/>
  <c r="D177" i="25" l="1"/>
  <c r="BO179" i="19"/>
  <c r="AP180" i="25" s="1"/>
  <c r="AY175" i="25"/>
  <c r="K175" i="25" s="1"/>
  <c r="BT175" i="19"/>
  <c r="Y177" i="25"/>
  <c r="BQ177" i="19" s="1"/>
  <c r="R176" i="19"/>
  <c r="E176" i="19" s="1"/>
  <c r="O176" i="22" s="1"/>
  <c r="AB176" i="25"/>
  <c r="AV176" i="25" s="1"/>
  <c r="AC176" i="25"/>
  <c r="AL173" i="19"/>
  <c r="V174" i="22" s="1"/>
  <c r="B180" i="25" l="1"/>
  <c r="Q177" i="19"/>
  <c r="AD177" i="19" s="1"/>
  <c r="D177" i="19" s="1"/>
  <c r="N177" i="22" s="1"/>
  <c r="X178" i="25"/>
  <c r="AU178" i="20" s="1"/>
  <c r="AT175" i="25"/>
  <c r="F175" i="25" s="1"/>
  <c r="BU174" i="19"/>
  <c r="AX175" i="25" s="1"/>
  <c r="AW176" i="25"/>
  <c r="H176" i="25"/>
  <c r="AK177" i="19"/>
  <c r="K177" i="19" s="1"/>
  <c r="L173" i="19"/>
  <c r="T173" i="22" s="1"/>
  <c r="AN174" i="19"/>
  <c r="X175" i="22" s="1"/>
  <c r="M174" i="19"/>
  <c r="O180" i="19" l="1"/>
  <c r="AB180" i="19" s="1"/>
  <c r="B180" i="19" s="1"/>
  <c r="L180" i="22" s="1"/>
  <c r="V181" i="25"/>
  <c r="AQ179" i="25"/>
  <c r="AR178" i="25"/>
  <c r="D178" i="25" s="1"/>
  <c r="J175" i="25"/>
  <c r="S175" i="19"/>
  <c r="AF175" i="19" s="1"/>
  <c r="F175" i="19" s="1"/>
  <c r="BF175" i="19"/>
  <c r="Z176" i="25"/>
  <c r="AV176" i="20" s="1"/>
  <c r="AA176" i="25"/>
  <c r="I176" i="25"/>
  <c r="BH176" i="19"/>
  <c r="N174" i="19"/>
  <c r="U174" i="22" s="1"/>
  <c r="BS176" i="19" l="1"/>
  <c r="AW176" i="20"/>
  <c r="Q178" i="19"/>
  <c r="AD178" i="19" s="1"/>
  <c r="D178" i="19" s="1"/>
  <c r="N178" i="22" s="1"/>
  <c r="X179" i="25"/>
  <c r="AU179" i="20" s="1"/>
  <c r="C179" i="25"/>
  <c r="U175" i="19"/>
  <c r="AH175" i="19" s="1"/>
  <c r="H175" i="19" s="1"/>
  <c r="R175" i="22" s="1"/>
  <c r="AD176" i="25"/>
  <c r="AX176" i="20" s="1"/>
  <c r="AE176" i="25"/>
  <c r="AY176" i="20" s="1"/>
  <c r="T176" i="19"/>
  <c r="AG176" i="19" s="1"/>
  <c r="G176" i="19" s="1"/>
  <c r="BG176" i="19"/>
  <c r="AS177" i="25"/>
  <c r="AU176" i="25"/>
  <c r="G176" i="25" s="1"/>
  <c r="AC177" i="25"/>
  <c r="AJ177" i="19"/>
  <c r="J177" i="19" s="1"/>
  <c r="AL174" i="19"/>
  <c r="V175" i="22" s="1"/>
  <c r="P179" i="19" l="1"/>
  <c r="C179" i="19" s="1"/>
  <c r="M179" i="22" s="1"/>
  <c r="BC179" i="19"/>
  <c r="W180" i="25"/>
  <c r="BU175" i="19"/>
  <c r="AX176" i="25" s="1"/>
  <c r="J176" i="25" s="1"/>
  <c r="U176" i="19" s="1"/>
  <c r="AH176" i="19" s="1"/>
  <c r="H176" i="19" s="1"/>
  <c r="R176" i="22" s="1"/>
  <c r="BT176" i="19"/>
  <c r="AY176" i="25"/>
  <c r="K176" i="25" s="1"/>
  <c r="AW177" i="25"/>
  <c r="AT176" i="25"/>
  <c r="F176" i="25" s="1"/>
  <c r="BF176" i="19" s="1"/>
  <c r="E177" i="25"/>
  <c r="BE177" i="19" s="1"/>
  <c r="AB177" i="25"/>
  <c r="L174" i="19"/>
  <c r="T174" i="22" s="1"/>
  <c r="AN175" i="19"/>
  <c r="X176" i="22" s="1"/>
  <c r="M175" i="19"/>
  <c r="BO180" i="19" l="1"/>
  <c r="AP181" i="25" s="1"/>
  <c r="B181" i="25" s="1"/>
  <c r="AQ180" i="25"/>
  <c r="AE177" i="25"/>
  <c r="AD177" i="25"/>
  <c r="Y178" i="25"/>
  <c r="BQ178" i="19" s="1"/>
  <c r="AR179" i="25" s="1"/>
  <c r="R177" i="19"/>
  <c r="E177" i="19" s="1"/>
  <c r="O177" i="22" s="1"/>
  <c r="Z177" i="25"/>
  <c r="AV177" i="20" s="1"/>
  <c r="S176" i="19"/>
  <c r="AF176" i="19" s="1"/>
  <c r="F176" i="19" s="1"/>
  <c r="AA177" i="25"/>
  <c r="AW177" i="20" s="1"/>
  <c r="AV177" i="25"/>
  <c r="H177" i="25" s="1"/>
  <c r="I177" i="25"/>
  <c r="AK178" i="19"/>
  <c r="K178" i="19" s="1"/>
  <c r="BH177" i="19"/>
  <c r="N175" i="19"/>
  <c r="U175" i="22" s="1"/>
  <c r="BT177" i="19" l="1"/>
  <c r="AX177" i="20"/>
  <c r="AY177" i="25"/>
  <c r="K177" i="25" s="1"/>
  <c r="AY177" i="20"/>
  <c r="D179" i="25"/>
  <c r="O181" i="19"/>
  <c r="AB181" i="19" s="1"/>
  <c r="B181" i="19" s="1"/>
  <c r="L181" i="22" s="1"/>
  <c r="V182" i="25"/>
  <c r="C180" i="25"/>
  <c r="AU177" i="25"/>
  <c r="G177" i="25" s="1"/>
  <c r="BS177" i="19"/>
  <c r="T177" i="19"/>
  <c r="AG177" i="19" s="1"/>
  <c r="G177" i="19" s="1"/>
  <c r="BG177" i="19"/>
  <c r="AS178" i="25"/>
  <c r="E178" i="25" s="1"/>
  <c r="AC178" i="25"/>
  <c r="BH178" i="19"/>
  <c r="AL175" i="19"/>
  <c r="V176" i="22" s="1"/>
  <c r="BU176" i="19" s="1"/>
  <c r="AX177" i="25" s="1"/>
  <c r="J177" i="25" s="1"/>
  <c r="P180" i="19" l="1"/>
  <c r="C180" i="19" s="1"/>
  <c r="M180" i="22" s="1"/>
  <c r="BC180" i="19"/>
  <c r="W181" i="25"/>
  <c r="Q179" i="19"/>
  <c r="AD179" i="19" s="1"/>
  <c r="D179" i="19" s="1"/>
  <c r="N179" i="22" s="1"/>
  <c r="X180" i="25"/>
  <c r="AU180" i="20" s="1"/>
  <c r="U177" i="19"/>
  <c r="AH177" i="19" s="1"/>
  <c r="H177" i="19" s="1"/>
  <c r="R177" i="22" s="1"/>
  <c r="AD178" i="25"/>
  <c r="AE178" i="25"/>
  <c r="AY178" i="20" s="1"/>
  <c r="Y179" i="25"/>
  <c r="BQ179" i="19" s="1"/>
  <c r="BE178" i="19"/>
  <c r="R178" i="19"/>
  <c r="E178" i="19" s="1"/>
  <c r="O178" i="22" s="1"/>
  <c r="AT177" i="25"/>
  <c r="AW178" i="25"/>
  <c r="AB178" i="25"/>
  <c r="AJ178" i="19"/>
  <c r="J178" i="19" s="1"/>
  <c r="M176" i="19"/>
  <c r="L175" i="19"/>
  <c r="T175" i="22" s="1"/>
  <c r="BT178" i="19" l="1"/>
  <c r="AX178" i="20"/>
  <c r="BO181" i="19"/>
  <c r="AP182" i="25" s="1"/>
  <c r="B182" i="25" s="1"/>
  <c r="O182" i="19" s="1"/>
  <c r="AB182" i="19" s="1"/>
  <c r="B182" i="19" s="1"/>
  <c r="L182" i="22" s="1"/>
  <c r="AQ181" i="25"/>
  <c r="AR180" i="25"/>
  <c r="D180" i="25" s="1"/>
  <c r="AV178" i="25"/>
  <c r="H178" i="25" s="1"/>
  <c r="F177" i="25"/>
  <c r="I178" i="25"/>
  <c r="AN176" i="19"/>
  <c r="X177" i="22" s="1"/>
  <c r="Q180" i="19" l="1"/>
  <c r="AD180" i="19" s="1"/>
  <c r="D180" i="19" s="1"/>
  <c r="N180" i="22" s="1"/>
  <c r="X181" i="25"/>
  <c r="AU181" i="20" s="1"/>
  <c r="C181" i="25"/>
  <c r="S177" i="19"/>
  <c r="AF177" i="19" s="1"/>
  <c r="F177" i="19" s="1"/>
  <c r="BF177" i="19"/>
  <c r="AY178" i="25" s="1"/>
  <c r="K178" i="25" s="1"/>
  <c r="T178" i="19"/>
  <c r="AG178" i="19" s="1"/>
  <c r="G178" i="19" s="1"/>
  <c r="BG178" i="19"/>
  <c r="Z178" i="25"/>
  <c r="AV178" i="20" s="1"/>
  <c r="AA178" i="25"/>
  <c r="AC179" i="25"/>
  <c r="AW179" i="25" s="1"/>
  <c r="AK179" i="19"/>
  <c r="K179" i="19" s="1"/>
  <c r="AJ179" i="19"/>
  <c r="J179" i="19" s="1"/>
  <c r="N176" i="19"/>
  <c r="U176" i="22" s="1"/>
  <c r="BS178" i="19" l="1"/>
  <c r="AW178" i="20"/>
  <c r="P181" i="19"/>
  <c r="C181" i="19" s="1"/>
  <c r="M181" i="22" s="1"/>
  <c r="BC181" i="19"/>
  <c r="W182" i="25"/>
  <c r="I179" i="25"/>
  <c r="AS179" i="25"/>
  <c r="AU178" i="25"/>
  <c r="G178" i="25" s="1"/>
  <c r="BH179" i="19"/>
  <c r="AL176" i="19"/>
  <c r="V177" i="22" s="1"/>
  <c r="BU177" i="19" s="1"/>
  <c r="AX178" i="25" s="1"/>
  <c r="J178" i="25" s="1"/>
  <c r="BO182" i="19" l="1"/>
  <c r="AQ182" i="25"/>
  <c r="C182" i="25" s="1"/>
  <c r="U178" i="19"/>
  <c r="AH178" i="19" s="1"/>
  <c r="H178" i="19" s="1"/>
  <c r="R178" i="22" s="1"/>
  <c r="AD179" i="25"/>
  <c r="AE179" i="25"/>
  <c r="AY179" i="20" s="1"/>
  <c r="T179" i="19"/>
  <c r="BG179" i="19"/>
  <c r="AB179" i="25"/>
  <c r="E179" i="25"/>
  <c r="BE179" i="19" s="1"/>
  <c r="AT178" i="25"/>
  <c r="AJ180" i="19"/>
  <c r="J180" i="19" s="1"/>
  <c r="AK180" i="19"/>
  <c r="K180" i="19" s="1"/>
  <c r="L176" i="19"/>
  <c r="T176" i="22" s="1"/>
  <c r="M177" i="19"/>
  <c r="BT179" i="19" l="1"/>
  <c r="AX179" i="20"/>
  <c r="BC182" i="19"/>
  <c r="P182" i="19"/>
  <c r="C182" i="19" s="1"/>
  <c r="M182" i="22" s="1"/>
  <c r="Y180" i="25"/>
  <c r="BQ180" i="19" s="1"/>
  <c r="AR181" i="25" s="1"/>
  <c r="D181" i="25" s="1"/>
  <c r="R179" i="19"/>
  <c r="E179" i="19" s="1"/>
  <c r="O179" i="22" s="1"/>
  <c r="F178" i="25"/>
  <c r="AV179" i="25"/>
  <c r="H179" i="25" s="1"/>
  <c r="AN177" i="19"/>
  <c r="X178" i="22" s="1"/>
  <c r="Q181" i="19" l="1"/>
  <c r="AD181" i="19" s="1"/>
  <c r="D181" i="19" s="1"/>
  <c r="N181" i="22" s="1"/>
  <c r="X182" i="25"/>
  <c r="AU182" i="20" s="1"/>
  <c r="S178" i="19"/>
  <c r="AF178" i="19" s="1"/>
  <c r="F178" i="19" s="1"/>
  <c r="BF178" i="19"/>
  <c r="AY179" i="25" s="1"/>
  <c r="K179" i="25" s="1"/>
  <c r="AC180" i="25"/>
  <c r="Z179" i="25"/>
  <c r="AV179" i="20" s="1"/>
  <c r="AA179" i="25"/>
  <c r="AG179" i="19"/>
  <c r="G179" i="19" s="1"/>
  <c r="AK181" i="19"/>
  <c r="K181" i="19" s="1"/>
  <c r="N177" i="19"/>
  <c r="U177" i="22" s="1"/>
  <c r="BS179" i="19" l="1"/>
  <c r="AW179" i="20"/>
  <c r="AU179" i="25"/>
  <c r="G179" i="25" s="1"/>
  <c r="AW180" i="25"/>
  <c r="I180" i="25" s="1"/>
  <c r="AS180" i="25"/>
  <c r="BH180" i="19"/>
  <c r="AL177" i="19"/>
  <c r="V178" i="22" s="1"/>
  <c r="BU178" i="19" s="1"/>
  <c r="AX179" i="25" s="1"/>
  <c r="J179" i="25" l="1"/>
  <c r="T180" i="19"/>
  <c r="BG180" i="19"/>
  <c r="E180" i="25"/>
  <c r="BE180" i="19" s="1"/>
  <c r="AT179" i="25"/>
  <c r="AB180" i="25"/>
  <c r="L177" i="19"/>
  <c r="T177" i="22" s="1"/>
  <c r="M178" i="19"/>
  <c r="U179" i="19" l="1"/>
  <c r="AH179" i="19" s="1"/>
  <c r="H179" i="19" s="1"/>
  <c r="R179" i="22" s="1"/>
  <c r="AD180" i="25"/>
  <c r="AX180" i="20" s="1"/>
  <c r="AE180" i="25"/>
  <c r="AY180" i="20" s="1"/>
  <c r="Y181" i="25"/>
  <c r="BQ181" i="19" s="1"/>
  <c r="AR182" i="25" s="1"/>
  <c r="D182" i="25" s="1"/>
  <c r="Q182" i="19" s="1"/>
  <c r="AD182" i="19" s="1"/>
  <c r="D182" i="19" s="1"/>
  <c r="N182" i="22" s="1"/>
  <c r="R180" i="19"/>
  <c r="E180" i="19" s="1"/>
  <c r="O180" i="22" s="1"/>
  <c r="F179" i="25"/>
  <c r="AV180" i="25"/>
  <c r="H180" i="25" s="1"/>
  <c r="AJ181" i="19"/>
  <c r="J181" i="19" s="1"/>
  <c r="AG180" i="19"/>
  <c r="G180" i="19" s="1"/>
  <c r="AN178" i="19"/>
  <c r="X179" i="22" s="1"/>
  <c r="BT180" i="19" l="1"/>
  <c r="S179" i="19"/>
  <c r="AF179" i="19" s="1"/>
  <c r="F179" i="19" s="1"/>
  <c r="BF179" i="19"/>
  <c r="AY180" i="25" s="1"/>
  <c r="K180" i="25" s="1"/>
  <c r="AC181" i="25"/>
  <c r="Z180" i="25"/>
  <c r="AV180" i="20" s="1"/>
  <c r="AA180" i="25"/>
  <c r="AW180" i="20" s="1"/>
  <c r="N178" i="19"/>
  <c r="U178" i="22" s="1"/>
  <c r="AL178" i="19"/>
  <c r="V179" i="22" s="1"/>
  <c r="BU179" i="19" s="1"/>
  <c r="AX180" i="25" s="1"/>
  <c r="J180" i="25" l="1"/>
  <c r="AE181" i="25" s="1"/>
  <c r="AY181" i="20" s="1"/>
  <c r="AU180" i="25"/>
  <c r="G180" i="25" s="1"/>
  <c r="BS180" i="19"/>
  <c r="AW181" i="25"/>
  <c r="I181" i="25" s="1"/>
  <c r="AT180" i="25"/>
  <c r="AS181" i="25"/>
  <c r="L178" i="19"/>
  <c r="T178" i="22" s="1"/>
  <c r="AK182" i="19"/>
  <c r="K182" i="19" s="1"/>
  <c r="BH181" i="19"/>
  <c r="M179" i="19"/>
  <c r="U180" i="19" l="1"/>
  <c r="AH180" i="19" s="1"/>
  <c r="H180" i="19" s="1"/>
  <c r="R180" i="22" s="1"/>
  <c r="AD181" i="25"/>
  <c r="AX181" i="20" s="1"/>
  <c r="T181" i="19"/>
  <c r="BG181" i="19"/>
  <c r="E181" i="25"/>
  <c r="BE181" i="19" s="1"/>
  <c r="F180" i="25"/>
  <c r="BF180" i="19" s="1"/>
  <c r="AY181" i="25" s="1"/>
  <c r="K181" i="25" s="1"/>
  <c r="AB181" i="25"/>
  <c r="AJ182" i="19"/>
  <c r="J182" i="19" s="1"/>
  <c r="AN179" i="19"/>
  <c r="X180" i="22" s="1"/>
  <c r="BT181" i="19" l="1"/>
  <c r="Z181" i="25"/>
  <c r="AV181" i="20" s="1"/>
  <c r="S180" i="19"/>
  <c r="AF180" i="19" s="1"/>
  <c r="F180" i="19" s="1"/>
  <c r="Y182" i="25"/>
  <c r="R181" i="19"/>
  <c r="E181" i="19" s="1"/>
  <c r="O181" i="22" s="1"/>
  <c r="AV181" i="25"/>
  <c r="AA181" i="25"/>
  <c r="N179" i="19"/>
  <c r="U179" i="22" s="1"/>
  <c r="AG181" i="19"/>
  <c r="G181" i="19" s="1"/>
  <c r="AL179" i="19"/>
  <c r="V180" i="22" s="1"/>
  <c r="BU180" i="19" s="1"/>
  <c r="AX181" i="25" s="1"/>
  <c r="BS181" i="19" l="1"/>
  <c r="AW181" i="20"/>
  <c r="AS182" i="25"/>
  <c r="E182" i="25" s="1"/>
  <c r="R182" i="19" s="1"/>
  <c r="E182" i="19" s="1"/>
  <c r="O182" i="22" s="1"/>
  <c r="BQ182" i="19"/>
  <c r="J181" i="25"/>
  <c r="AT181" i="25"/>
  <c r="F181" i="25" s="1"/>
  <c r="BF181" i="19" s="1"/>
  <c r="AU181" i="25"/>
  <c r="G181" i="25" s="1"/>
  <c r="H181" i="25"/>
  <c r="L179" i="19"/>
  <c r="T179" i="22" s="1"/>
  <c r="M180" i="19"/>
  <c r="BE182" i="19" l="1"/>
  <c r="U181" i="19"/>
  <c r="AH181" i="19" s="1"/>
  <c r="H181" i="19" s="1"/>
  <c r="R181" i="22" s="1"/>
  <c r="AD182" i="25"/>
  <c r="AX182" i="20" s="1"/>
  <c r="AE182" i="25"/>
  <c r="AY182" i="20" s="1"/>
  <c r="AA182" i="25"/>
  <c r="AW182" i="20" s="1"/>
  <c r="Z182" i="25"/>
  <c r="AV182" i="20" s="1"/>
  <c r="S181" i="19"/>
  <c r="AF181" i="19" s="1"/>
  <c r="F181" i="19" s="1"/>
  <c r="AB182" i="25"/>
  <c r="AV182" i="25" s="1"/>
  <c r="H182" i="25" s="1"/>
  <c r="AC182" i="25"/>
  <c r="AW182" i="25" s="1"/>
  <c r="I182" i="25" s="1"/>
  <c r="AN180" i="19"/>
  <c r="X181" i="22" s="1"/>
  <c r="BH182" i="19"/>
  <c r="BT182" i="19" l="1"/>
  <c r="AY182" i="25"/>
  <c r="K182" i="25" s="1"/>
  <c r="AU182" i="25"/>
  <c r="G182" i="25" s="1"/>
  <c r="BS182" i="19"/>
  <c r="T182" i="19"/>
  <c r="AG182" i="19" s="1"/>
  <c r="G182" i="19" s="1"/>
  <c r="BG182" i="19"/>
  <c r="N180" i="19"/>
  <c r="U180" i="22" s="1"/>
  <c r="AL180" i="19"/>
  <c r="V181" i="22" s="1"/>
  <c r="AT182" i="25" l="1"/>
  <c r="F182" i="25" s="1"/>
  <c r="S182" i="19" s="1"/>
  <c r="AF182" i="19" s="1"/>
  <c r="F182" i="19" s="1"/>
  <c r="BU181" i="19"/>
  <c r="AX182" i="25" s="1"/>
  <c r="J182" i="25" s="1"/>
  <c r="U182" i="19" s="1"/>
  <c r="AH182" i="19" s="1"/>
  <c r="H182" i="19" s="1"/>
  <c r="R182" i="22" s="1"/>
  <c r="L180" i="19"/>
  <c r="T180" i="22" s="1"/>
  <c r="M181" i="19"/>
  <c r="BF182" i="19" l="1"/>
  <c r="AN181" i="19"/>
  <c r="X182" i="22" s="1"/>
  <c r="N181" i="19" l="1"/>
  <c r="U181" i="22" s="1"/>
  <c r="AN182" i="19" l="1"/>
  <c r="N182" i="19" s="1"/>
  <c r="U182" i="22" s="1"/>
  <c r="AL181" i="19"/>
  <c r="V182" i="22" s="1"/>
  <c r="BU182" i="19" s="1"/>
  <c r="L181" i="19" l="1"/>
  <c r="T181" i="22" s="1"/>
  <c r="M182" i="19"/>
  <c r="AL182" i="19" l="1"/>
  <c r="L182" i="19" s="1"/>
  <c r="T182" i="22" s="1"/>
</calcChain>
</file>

<file path=xl/sharedStrings.xml><?xml version="1.0" encoding="utf-8"?>
<sst xmlns="http://schemas.openxmlformats.org/spreadsheetml/2006/main" count="715" uniqueCount="308">
  <si>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</si>
  <si>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</si>
  <si>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</si>
  <si>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</si>
  <si>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</si>
  <si>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</si>
  <si>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</si>
  <si>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</si>
  <si>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</si>
  <si>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</si>
  <si>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</si>
  <si>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</si>
  <si>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</si>
  <si>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</si>
  <si>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</si>
  <si>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</si>
  <si>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</si>
  <si>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</si>
  <si>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</si>
  <si>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</si>
  <si>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</si>
  <si>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</si>
  <si>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</si>
  <si>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</si>
  <si>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</si>
  <si>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</si>
  <si>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</si>
  <si>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</si>
  <si>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</si>
  <si>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</si>
  <si>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</si>
  <si>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</si>
  <si>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</si>
  <si>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</si>
  <si>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</si>
  <si>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</si>
  <si>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</si>
  <si>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</si>
  <si>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</si>
  <si>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</si>
  <si>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</si>
  <si>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</si>
  <si>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</si>
  <si>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</si>
  <si>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</si>
  <si>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</si>
  <si>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</si>
  <si>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</si>
  <si>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</si>
  <si>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</si>
  <si>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</si>
  <si>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</si>
  <si>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</si>
  <si>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</si>
  <si>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</si>
  <si>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</si>
  <si>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</si>
  <si>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</si>
  <si>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</si>
  <si>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</si>
  <si>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</si>
  <si>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</si>
  <si>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</si>
  <si>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</si>
  <si>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</si>
  <si>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</si>
  <si>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</si>
  <si>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</si>
  <si>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</si>
  <si>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</si>
  <si>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</si>
  <si>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</si>
  <si>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</si>
  <si>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</si>
  <si>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</si>
  <si>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</si>
  <si>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</si>
  <si>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</si>
  <si>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</si>
  <si>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</si>
  <si>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</si>
  <si>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</si>
  <si>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</si>
  <si>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</si>
  <si>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</si>
  <si>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</si>
  <si>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</si>
  <si>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</si>
  <si>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</si>
  <si>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</si>
  <si>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</si>
  <si>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</si>
  <si>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</si>
  <si>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</si>
  <si>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</si>
  <si>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</si>
  <si>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</si>
  <si>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</si>
  <si>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</si>
  <si>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</si>
  <si>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</si>
  <si>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</si>
  <si>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</si>
  <si>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</si>
  <si>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</si>
  <si>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</si>
  <si>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</si>
  <si>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</si>
  <si>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</si>
  <si>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</si>
  <si>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</si>
  <si>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</si>
  <si>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</si>
  <si>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</si>
  <si>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</si>
  <si>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</si>
  <si>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</si>
  <si>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</si>
  <si>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</si>
  <si>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</si>
  <si>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</si>
  <si>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</si>
  <si>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</si>
  <si>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</si>
  <si>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</si>
  <si>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</si>
  <si>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</si>
  <si>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</si>
  <si>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</si>
  <si>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</si>
  <si>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</si>
  <si>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</si>
  <si>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</si>
  <si>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</si>
  <si>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</si>
  <si>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</si>
  <si>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</si>
  <si>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</si>
  <si>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</si>
  <si>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</si>
  <si>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</si>
  <si>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</si>
  <si>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</si>
  <si>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</si>
  <si>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</si>
  <si>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</si>
  <si>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</si>
  <si>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</si>
  <si>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</si>
  <si>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</si>
  <si>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</si>
  <si>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</si>
  <si>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</si>
  <si>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</si>
  <si>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</si>
  <si>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</si>
  <si>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</si>
  <si>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</si>
  <si>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</si>
  <si>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</si>
  <si>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</si>
  <si>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</si>
  <si>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</si>
  <si>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</si>
  <si>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</si>
  <si>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</si>
  <si>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</si>
  <si>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</si>
  <si>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</si>
  <si>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</si>
  <si>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</si>
  <si>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</si>
  <si>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</si>
  <si>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</si>
  <si>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</si>
  <si>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</si>
  <si>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</si>
  <si>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</si>
  <si>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</si>
  <si>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</si>
  <si>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</si>
  <si>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</si>
  <si>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</si>
  <si>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</si>
  <si>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</si>
  <si>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</si>
  <si>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</si>
  <si>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</si>
  <si>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</si>
  <si>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</si>
  <si>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</si>
  <si>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</si>
  <si>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</si>
  <si>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</si>
  <si>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</si>
  <si>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</si>
  <si>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</si>
  <si>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</si>
  <si>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</si>
  <si>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</si>
  <si>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</si>
  <si>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</si>
  <si>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</si>
  <si>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</si>
  <si>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</si>
  <si>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</si>
  <si>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</si>
  <si>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</si>
  <si>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</si>
  <si>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</si>
  <si>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</si>
  <si>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</si>
  <si>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</si>
  <si>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</si>
  <si>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</si>
  <si>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</si>
  <si>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</si>
  <si>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</si>
  <si>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</si>
  <si>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</si>
  <si>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</si>
  <si>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</si>
  <si>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</si>
  <si>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</si>
  <si>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</si>
  <si>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</si>
  <si>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</si>
  <si>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</si>
  <si>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</si>
  <si>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</si>
  <si>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</si>
  <si>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</si>
  <si>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</si>
  <si>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</si>
  <si>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</si>
  <si>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</si>
  <si>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</si>
  <si>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</si>
  <si>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</si>
  <si>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</si>
  <si>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</si>
  <si>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</si>
  <si>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</si>
  <si>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</si>
  <si>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</si>
  <si>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</si>
  <si>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</si>
  <si>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</si>
  <si>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</si>
  <si>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</si>
  <si>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</si>
  <si>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</si>
  <si>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</si>
  <si>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</si>
  <si>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</si>
  <si>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</si>
  <si>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</si>
  <si>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</si>
  <si>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</si>
  <si>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</si>
  <si>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</si>
  <si>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</si>
  <si>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</si>
  <si>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</si>
  <si>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</si>
  <si>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</si>
  <si>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</si>
  <si>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</si>
  <si>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</si>
  <si>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</si>
  <si>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</si>
  <si>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</si>
  <si>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</si>
  <si>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</si>
  <si>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</si>
  <si>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(Reserved)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</si>
  <si>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</si>
  <si>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</si>
  <si>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</si>
  <si>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</si>
  <si>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</si>
  <si>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</si>
  <si>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</si>
  <si>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</si>
  <si>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</si>
  <si>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</si>
  <si>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</si>
  <si>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</si>
  <si>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</si>
  <si>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</si>
  <si>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</si>
  <si>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</si>
  <si>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</si>
  <si>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</si>
  <si>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</si>
  <si>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</si>
  <si>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</si>
  <si>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</si>
  <si>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</si>
  <si>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</si>
  <si>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</si>
  <si>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</si>
  <si>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</si>
  <si>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</si>
  <si>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</si>
  <si>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</si>
  <si>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</si>
  <si>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gamma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</si>
</sst>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color theme="0"/>
      <name val="宋体"/>
      <family val="2"/>
      <charset val="134"/>
      <scheme val="minor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46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6" fillId="7" borderId="0" xfId="0" applyFont="1" applyFill="1">
      <alignment vertical="center"/>
    </xf>
    <xf numFmtId="0" fontId="11" fillId="3" borderId="1" xfId="0" applyFont="1" applyFill="1" applyBorder="1" applyAlignment="1">
      <alignment vertical="center"/>
    </xf>
    <xf numFmtId="0" fontId="2" fillId="5" borderId="10" xfId="0" applyFont="1" applyFill="1" applyBorder="1">
      <alignment vertical="center"/>
    </xf>
    <xf numFmtId="0" fontId="5" fillId="6" borderId="10" xfId="0" applyFont="1" applyFill="1" applyBorder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8" fillId="7" borderId="0" xfId="0" applyFont="1" applyFill="1" applyAlignment="1">
      <alignment horizontal="center" vertical="center"/>
    </xf>
    <xf numFmtId="0" fontId="12" fillId="27" borderId="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2" fillId="27" borderId="4" xfId="0" applyFont="1" applyFill="1" applyBorder="1" applyAlignment="1">
      <alignment horizontal="center" vertical="center"/>
    </xf>
    <xf numFmtId="0" fontId="12" fillId="27" borderId="2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0" fontId="19" fillId="0" borderId="0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0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22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04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04"/>
      <c r="B3" s="6" t="s">
        <v>25</v>
      </c>
      <c r="C3" s="7" t="s">
        <v>92</v>
      </c>
      <c r="D3" s="6" t="s">
        <v>38</v>
      </c>
    </row>
    <row r="4" spans="1:4" ht="14.25" x14ac:dyDescent="0.15">
      <c r="A4" s="104"/>
      <c r="B4" s="16" t="s">
        <v>26</v>
      </c>
      <c r="C4" s="17" t="s">
        <v>72</v>
      </c>
      <c r="D4" s="18"/>
    </row>
    <row r="5" spans="1:4" ht="14.25" x14ac:dyDescent="0.15">
      <c r="A5" s="104"/>
      <c r="B5" s="6" t="s">
        <v>31</v>
      </c>
      <c r="C5" s="7" t="s">
        <v>32</v>
      </c>
      <c r="D5" s="6" t="s">
        <v>40</v>
      </c>
    </row>
    <row r="6" spans="1:4" ht="14.25" x14ac:dyDescent="0.15">
      <c r="A6" s="104"/>
      <c r="B6" s="6" t="s">
        <v>51</v>
      </c>
      <c r="C6" s="7" t="s">
        <v>53</v>
      </c>
      <c r="D6" s="6" t="s">
        <v>40</v>
      </c>
    </row>
    <row r="7" spans="1:4" ht="14.25" x14ac:dyDescent="0.15">
      <c r="A7" s="104"/>
      <c r="B7" s="6" t="s">
        <v>52</v>
      </c>
      <c r="C7" s="7" t="s">
        <v>54</v>
      </c>
      <c r="D7" s="6" t="s">
        <v>40</v>
      </c>
    </row>
    <row r="8" spans="1:4" ht="14.25" x14ac:dyDescent="0.15">
      <c r="A8" s="104"/>
      <c r="B8" s="6" t="s">
        <v>55</v>
      </c>
      <c r="C8" s="7" t="s">
        <v>56</v>
      </c>
      <c r="D8" s="6" t="s">
        <v>40</v>
      </c>
    </row>
    <row r="9" spans="1:4" ht="14.25" x14ac:dyDescent="0.15">
      <c r="A9" s="104"/>
      <c r="B9" s="6" t="s">
        <v>63</v>
      </c>
      <c r="C9" s="14" t="s">
        <v>64</v>
      </c>
      <c r="D9" s="6" t="s">
        <v>65</v>
      </c>
    </row>
    <row r="10" spans="1:4" ht="14.25" x14ac:dyDescent="0.15">
      <c r="A10" s="104" t="s">
        <v>43</v>
      </c>
      <c r="B10" s="6" t="s">
        <v>60</v>
      </c>
      <c r="C10" s="7">
        <v>58</v>
      </c>
      <c r="D10" s="6"/>
    </row>
    <row r="11" spans="1:4" ht="14.25" x14ac:dyDescent="0.15">
      <c r="A11" s="104"/>
      <c r="B11" s="6" t="s">
        <v>35</v>
      </c>
      <c r="C11" s="7">
        <v>0</v>
      </c>
      <c r="D11" s="6" t="s">
        <v>36</v>
      </c>
    </row>
    <row r="12" spans="1:4" ht="14.25" x14ac:dyDescent="0.15">
      <c r="A12" s="104"/>
      <c r="B12" s="6" t="s">
        <v>61</v>
      </c>
      <c r="C12" s="15" t="s">
        <v>68</v>
      </c>
      <c r="D12" s="6" t="s">
        <v>37</v>
      </c>
    </row>
    <row r="13" spans="1:4" ht="14.25" x14ac:dyDescent="0.15">
      <c r="A13" s="104"/>
      <c r="B13" s="6" t="s">
        <v>69</v>
      </c>
      <c r="C13" s="7">
        <v>1800</v>
      </c>
      <c r="D13" s="6"/>
    </row>
    <row r="14" spans="1:4" ht="14.25" x14ac:dyDescent="0.15">
      <c r="A14" s="104"/>
      <c r="B14" s="16" t="s">
        <v>70</v>
      </c>
      <c r="C14" s="17" t="s">
        <v>71</v>
      </c>
      <c r="D14" s="16" t="s">
        <v>33</v>
      </c>
    </row>
    <row r="15" spans="1:4" ht="14.25" x14ac:dyDescent="0.15">
      <c r="A15" s="104"/>
      <c r="B15" s="6" t="s">
        <v>62</v>
      </c>
      <c r="C15" s="7">
        <v>2</v>
      </c>
      <c r="D15" s="6" t="s">
        <v>34</v>
      </c>
    </row>
    <row r="16" spans="1:4" ht="14.25" x14ac:dyDescent="0.15">
      <c r="A16" s="104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04"/>
      <c r="B17" s="6" t="s">
        <v>90</v>
      </c>
      <c r="C17" s="7">
        <v>450</v>
      </c>
      <c r="D17" s="6"/>
    </row>
    <row r="18" spans="1:4" ht="14.25" x14ac:dyDescent="0.15">
      <c r="A18" s="104"/>
      <c r="B18" s="6" t="s">
        <v>91</v>
      </c>
      <c r="C18" s="7" t="s">
        <v>99</v>
      </c>
      <c r="D18" s="6" t="s">
        <v>38</v>
      </c>
    </row>
    <row r="19" spans="1:4" ht="14.25" x14ac:dyDescent="0.15">
      <c r="A19" s="104"/>
      <c r="B19" s="6" t="s">
        <v>86</v>
      </c>
      <c r="C19" s="7">
        <v>0</v>
      </c>
      <c r="D19" s="6" t="s">
        <v>87</v>
      </c>
    </row>
    <row r="20" spans="1:4" ht="14.25" x14ac:dyDescent="0.15">
      <c r="A20" s="104"/>
      <c r="B20" s="6" t="s">
        <v>216</v>
      </c>
      <c r="C20" s="7"/>
      <c r="D20" s="6"/>
    </row>
    <row r="21" spans="1:4" ht="14.25" x14ac:dyDescent="0.15">
      <c r="A21" s="105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06"/>
      <c r="B22" s="6" t="s">
        <v>86</v>
      </c>
      <c r="C22" s="7">
        <v>0</v>
      </c>
      <c r="D22" s="6" t="s">
        <v>87</v>
      </c>
    </row>
    <row r="23" spans="1:4" ht="14.25" x14ac:dyDescent="0.15">
      <c r="A23" s="106"/>
      <c r="B23" s="6" t="s">
        <v>80</v>
      </c>
      <c r="C23" s="7"/>
      <c r="D23" s="6"/>
    </row>
    <row r="24" spans="1:4" ht="14.25" x14ac:dyDescent="0.15">
      <c r="A24" s="106"/>
      <c r="B24" s="6" t="s">
        <v>80</v>
      </c>
      <c r="C24" s="7"/>
      <c r="D24" s="6"/>
    </row>
    <row r="25" spans="1:4" ht="14.25" x14ac:dyDescent="0.15">
      <c r="A25" s="106"/>
      <c r="B25" s="6" t="s">
        <v>80</v>
      </c>
      <c r="C25" s="7"/>
      <c r="D25" s="6"/>
    </row>
    <row r="26" spans="1:4" ht="14.25" customHeight="1" x14ac:dyDescent="0.15">
      <c r="A26" s="101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2"/>
      <c r="B27" s="6" t="s">
        <v>91</v>
      </c>
      <c r="C27" s="7" t="s">
        <v>115</v>
      </c>
      <c r="D27" s="6" t="s">
        <v>116</v>
      </c>
    </row>
    <row r="28" spans="1:4" ht="14.25" x14ac:dyDescent="0.15">
      <c r="A28" s="102"/>
      <c r="B28" s="6" t="s">
        <v>77</v>
      </c>
      <c r="C28" s="7" t="s">
        <v>100</v>
      </c>
      <c r="D28" s="6" t="s">
        <v>101</v>
      </c>
    </row>
    <row r="29" spans="1:4" ht="14.25" x14ac:dyDescent="0.15">
      <c r="A29" s="102"/>
      <c r="B29" s="6" t="s">
        <v>86</v>
      </c>
      <c r="C29" s="7">
        <v>1</v>
      </c>
      <c r="D29" s="6" t="s">
        <v>87</v>
      </c>
    </row>
    <row r="30" spans="1:4" ht="28.5" x14ac:dyDescent="0.15">
      <c r="A30" s="102"/>
      <c r="B30" s="6" t="s">
        <v>70</v>
      </c>
      <c r="C30" s="7">
        <v>15</v>
      </c>
      <c r="D30" s="22" t="s">
        <v>131</v>
      </c>
    </row>
    <row r="31" spans="1:4" ht="14.25" x14ac:dyDescent="0.15">
      <c r="A31" s="103"/>
      <c r="B31" s="6" t="s">
        <v>127</v>
      </c>
      <c r="C31" s="7" t="s">
        <v>132</v>
      </c>
      <c r="D31" s="6"/>
    </row>
    <row r="32" spans="1:4" ht="14.25" x14ac:dyDescent="0.15">
      <c r="A32" s="101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2"/>
      <c r="B33" s="6" t="s">
        <v>133</v>
      </c>
      <c r="C33" s="7">
        <v>1</v>
      </c>
      <c r="D33" s="6"/>
    </row>
    <row r="34" spans="1:4" ht="14.25" x14ac:dyDescent="0.15">
      <c r="A34" s="102"/>
      <c r="B34" s="6" t="s">
        <v>134</v>
      </c>
      <c r="C34" s="7">
        <v>1</v>
      </c>
      <c r="D34" s="6"/>
    </row>
    <row r="35" spans="1:4" ht="14.25" x14ac:dyDescent="0.15">
      <c r="A35" s="102"/>
      <c r="B35" s="6" t="s">
        <v>135</v>
      </c>
      <c r="C35" s="7">
        <v>1</v>
      </c>
      <c r="D35" s="6"/>
    </row>
    <row r="36" spans="1:4" ht="14.25" x14ac:dyDescent="0.15">
      <c r="A36" s="102"/>
      <c r="B36" s="6" t="s">
        <v>138</v>
      </c>
      <c r="C36" s="7">
        <v>0</v>
      </c>
      <c r="D36" s="6" t="s">
        <v>87</v>
      </c>
    </row>
    <row r="37" spans="1:4" ht="14.25" x14ac:dyDescent="0.15">
      <c r="A37" s="103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5"/>
  <sheetViews>
    <sheetView tabSelected="1" workbookViewId="0">
      <selection activeCell="I3" sqref="I3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101" t="s">
        <v>42</v>
      </c>
      <c r="B2" s="6" t="s">
        <v>140</v>
      </c>
      <c r="C2" s="7" t="s">
        <v>144</v>
      </c>
      <c r="D2" s="6"/>
    </row>
    <row r="3" spans="1:9" ht="15" x14ac:dyDescent="0.15">
      <c r="A3" s="102"/>
      <c r="B3" s="6" t="s">
        <v>141</v>
      </c>
      <c r="C3" s="7" t="s">
        <v>143</v>
      </c>
      <c r="D3" s="6"/>
      <c r="H3" s="65" t="s">
        <v>206</v>
      </c>
      <c r="I3" s="66" t="e">
        <f>Links!A198+'On-Ramps'!K183+ATM_Conf!C12*'On-Ramps'!BM182+ATM_Conf!C13*Links!EL183+C14*'On-Ramps'!BV183</f>
        <v>#DIV/0!</v>
      </c>
    </row>
    <row r="4" spans="1:9" ht="14.25" x14ac:dyDescent="0.15">
      <c r="A4" s="103"/>
      <c r="B4" s="6" t="s">
        <v>142</v>
      </c>
      <c r="C4" s="7" t="s">
        <v>159</v>
      </c>
      <c r="D4" s="6"/>
    </row>
    <row r="5" spans="1:9" ht="14.25" x14ac:dyDescent="0.15">
      <c r="A5" s="104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104"/>
      <c r="B6" s="6" t="s">
        <v>178</v>
      </c>
      <c r="C6" s="7">
        <v>700</v>
      </c>
      <c r="D6" s="6"/>
    </row>
    <row r="7" spans="1:9" ht="14.25" x14ac:dyDescent="0.15">
      <c r="A7" s="104"/>
      <c r="B7" s="6" t="s">
        <v>179</v>
      </c>
      <c r="C7" s="7">
        <v>800</v>
      </c>
      <c r="D7" s="6" t="s">
        <v>180</v>
      </c>
    </row>
    <row r="8" spans="1:9" ht="14.25" x14ac:dyDescent="0.15">
      <c r="A8" s="104"/>
      <c r="B8" s="6" t="s">
        <v>181</v>
      </c>
      <c r="C8" s="7"/>
      <c r="D8" s="6"/>
    </row>
    <row r="9" spans="1:9" ht="14.25" x14ac:dyDescent="0.15">
      <c r="A9" s="104"/>
      <c r="B9" s="6" t="s">
        <v>182</v>
      </c>
      <c r="C9" s="14"/>
      <c r="D9" s="6"/>
    </row>
    <row r="10" spans="1:9" ht="14.25" x14ac:dyDescent="0.15">
      <c r="A10" s="104"/>
      <c r="B10" s="6" t="s">
        <v>184</v>
      </c>
      <c r="C10" s="14"/>
      <c r="D10" s="6"/>
    </row>
    <row r="11" spans="1:9" ht="14.25" x14ac:dyDescent="0.15">
      <c r="A11" s="104"/>
      <c r="B11" s="6" t="s">
        <v>185</v>
      </c>
      <c r="C11" s="14"/>
      <c r="D11" s="6" t="s">
        <v>183</v>
      </c>
    </row>
    <row r="12" spans="1:9" ht="14.25" x14ac:dyDescent="0.15">
      <c r="A12" s="104"/>
      <c r="B12" s="6" t="s">
        <v>204</v>
      </c>
      <c r="C12" s="14">
        <v>0</v>
      </c>
      <c r="D12" s="6" t="s">
        <v>210</v>
      </c>
    </row>
    <row r="13" spans="1:9" ht="14.25" x14ac:dyDescent="0.15">
      <c r="A13" s="104"/>
      <c r="B13" s="6" t="s">
        <v>213</v>
      </c>
      <c r="C13" s="14">
        <v>0</v>
      </c>
      <c r="D13" s="6" t="s">
        <v>211</v>
      </c>
    </row>
    <row r="14" spans="1:9" ht="14.25" x14ac:dyDescent="0.15">
      <c r="A14" s="104"/>
      <c r="B14" s="6" t="s">
        <v>205</v>
      </c>
      <c r="C14" s="14">
        <v>0</v>
      </c>
      <c r="D14" s="6" t="s">
        <v>212</v>
      </c>
    </row>
    <row r="15" spans="1:9" ht="14.25" x14ac:dyDescent="0.15">
      <c r="A15" s="104"/>
      <c r="B15" s="6" t="s">
        <v>214</v>
      </c>
      <c r="C15" s="14">
        <v>0</v>
      </c>
      <c r="D15" s="6" t="s">
        <v>215</v>
      </c>
    </row>
    <row r="16" spans="1:9" ht="14.25" x14ac:dyDescent="0.15">
      <c r="A16" s="104"/>
      <c r="B16" s="6" t="s">
        <v>217</v>
      </c>
      <c r="C16" s="14"/>
      <c r="D16" s="6" t="s">
        <v>218</v>
      </c>
    </row>
    <row r="17" spans="1:4" ht="14.25" x14ac:dyDescent="0.15">
      <c r="A17" s="104"/>
      <c r="B17" s="6" t="s">
        <v>275</v>
      </c>
      <c r="C17" s="14"/>
      <c r="D17" s="6"/>
    </row>
    <row r="18" spans="1:4" ht="14.25" x14ac:dyDescent="0.15">
      <c r="A18" s="104"/>
      <c r="B18" s="6" t="s">
        <v>275</v>
      </c>
      <c r="C18" s="14"/>
      <c r="D18" s="6"/>
    </row>
    <row r="19" spans="1:4" ht="14.25" x14ac:dyDescent="0.15">
      <c r="A19" s="104"/>
      <c r="B19" s="6" t="s">
        <v>275</v>
      </c>
      <c r="C19" s="14"/>
      <c r="D19" s="6"/>
    </row>
    <row r="20" spans="1:4" ht="14.25" x14ac:dyDescent="0.15">
      <c r="A20" s="104" t="s">
        <v>274</v>
      </c>
      <c r="B20" s="6" t="s">
        <v>271</v>
      </c>
      <c r="C20" s="14" t="s">
        <v>270</v>
      </c>
      <c r="D20" s="6"/>
    </row>
    <row r="21" spans="1:4" ht="14.25" x14ac:dyDescent="0.15">
      <c r="A21" s="104"/>
      <c r="B21" s="6" t="s">
        <v>248</v>
      </c>
      <c r="C21" s="14" t="s">
        <v>267</v>
      </c>
      <c r="D21" s="6"/>
    </row>
    <row r="22" spans="1:4" ht="14.25" x14ac:dyDescent="0.15">
      <c r="A22" s="104"/>
      <c r="B22" s="6" t="s">
        <v>268</v>
      </c>
      <c r="C22" s="14" t="s">
        <v>268</v>
      </c>
      <c r="D22" s="6"/>
    </row>
    <row r="23" spans="1:4" ht="14.25" x14ac:dyDescent="0.15">
      <c r="A23" s="104"/>
      <c r="B23" s="6" t="s">
        <v>272</v>
      </c>
      <c r="C23" s="14" t="s">
        <v>269</v>
      </c>
      <c r="D23" s="6"/>
    </row>
    <row r="24" spans="1:4" ht="14.25" x14ac:dyDescent="0.15">
      <c r="A24" s="104"/>
      <c r="B24" s="6" t="s">
        <v>273</v>
      </c>
      <c r="C24" s="14" t="s">
        <v>276</v>
      </c>
      <c r="D24" s="6"/>
    </row>
    <row r="25" spans="1:4" ht="14.25" x14ac:dyDescent="0.15">
      <c r="B25" s="81" t="s">
        <v>282</v>
      </c>
      <c r="C25" s="82" t="s">
        <v>283</v>
      </c>
    </row>
  </sheetData>
  <mergeCells count="3">
    <mergeCell ref="A2:A4"/>
    <mergeCell ref="A5:A19"/>
    <mergeCell ref="A20:A2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topLeftCell="A25" workbookViewId="0">
      <selection sqref="A1:H1"/>
    </sheetView>
  </sheetViews>
  <sheetFormatPr defaultRowHeight="14.25" x14ac:dyDescent="0.15"/>
  <cols>
    <col min="1" max="1" width="9" style="48"/>
    <col min="2" max="2" width="12.875" style="48" customWidth="1"/>
    <col min="3" max="5" width="9" style="48"/>
    <col min="6" max="6" width="11" style="48" customWidth="1"/>
    <col min="7" max="9" width="9" style="48"/>
    <col min="10" max="10" width="13.125" style="48" customWidth="1"/>
    <col min="11" max="13" width="9" style="48"/>
    <col min="14" max="14" width="13.5" style="48" customWidth="1"/>
    <col min="15" max="16384" width="9" style="48"/>
  </cols>
  <sheetData>
    <row r="1" spans="1:16" ht="15" x14ac:dyDescent="0.15">
      <c r="A1" s="107" t="s">
        <v>246</v>
      </c>
      <c r="B1" s="107"/>
      <c r="C1" s="107"/>
      <c r="D1" s="107"/>
      <c r="E1" s="107"/>
      <c r="F1" s="107"/>
      <c r="G1" s="107"/>
      <c r="H1" s="107"/>
      <c r="I1" s="107" t="s">
        <v>247</v>
      </c>
      <c r="J1" s="107"/>
      <c r="K1" s="107"/>
      <c r="L1" s="107"/>
      <c r="M1" s="107"/>
      <c r="N1" s="107"/>
      <c r="O1" s="107"/>
      <c r="P1" s="107"/>
    </row>
    <row r="2" spans="1:16" ht="15" x14ac:dyDescent="0.15">
      <c r="A2" s="108" t="s">
        <v>237</v>
      </c>
      <c r="B2" s="108"/>
      <c r="C2" s="108"/>
      <c r="D2" s="108"/>
      <c r="E2" s="108" t="s">
        <v>238</v>
      </c>
      <c r="F2" s="108"/>
      <c r="G2" s="108"/>
      <c r="H2" s="108"/>
      <c r="I2" s="108" t="s">
        <v>237</v>
      </c>
      <c r="J2" s="108"/>
      <c r="K2" s="108"/>
      <c r="L2" s="108"/>
      <c r="M2" s="109"/>
      <c r="N2" s="109"/>
      <c r="O2" s="109"/>
      <c r="P2" s="109"/>
    </row>
    <row r="3" spans="1:16" ht="15" x14ac:dyDescent="0.15">
      <c r="A3" s="67" t="s">
        <v>219</v>
      </c>
      <c r="B3" s="67" t="s">
        <v>220</v>
      </c>
      <c r="C3" s="67" t="s">
        <v>221</v>
      </c>
      <c r="D3" s="67" t="s">
        <v>222</v>
      </c>
      <c r="E3" s="67" t="s">
        <v>223</v>
      </c>
      <c r="F3" s="67" t="s">
        <v>224</v>
      </c>
      <c r="G3" s="67" t="s">
        <v>225</v>
      </c>
      <c r="H3" s="67" t="s">
        <v>226</v>
      </c>
      <c r="I3" s="67" t="s">
        <v>219</v>
      </c>
      <c r="J3" s="67" t="s">
        <v>220</v>
      </c>
      <c r="K3" s="67" t="s">
        <v>221</v>
      </c>
      <c r="L3" s="67" t="s">
        <v>222</v>
      </c>
      <c r="M3" s="75"/>
      <c r="N3" s="75"/>
      <c r="O3" s="75"/>
      <c r="P3" s="75"/>
    </row>
    <row r="4" spans="1:16" x14ac:dyDescent="0.15">
      <c r="A4" s="73">
        <v>1</v>
      </c>
      <c r="B4" s="73" t="s">
        <v>248</v>
      </c>
      <c r="C4" s="73">
        <v>203</v>
      </c>
      <c r="D4" s="73">
        <v>2</v>
      </c>
      <c r="E4" s="74">
        <v>4</v>
      </c>
      <c r="F4" s="74" t="s">
        <v>249</v>
      </c>
      <c r="G4" s="74">
        <v>3</v>
      </c>
      <c r="H4" s="74">
        <v>42</v>
      </c>
      <c r="I4" s="73">
        <v>1</v>
      </c>
      <c r="J4" s="73" t="s">
        <v>250</v>
      </c>
      <c r="K4" s="73">
        <v>194</v>
      </c>
      <c r="L4" s="73">
        <v>2</v>
      </c>
      <c r="M4" s="76"/>
      <c r="N4" s="76"/>
      <c r="O4" s="76"/>
      <c r="P4" s="76"/>
    </row>
    <row r="5" spans="1:16" x14ac:dyDescent="0.15">
      <c r="A5" s="73">
        <v>7</v>
      </c>
      <c r="B5" s="73" t="s">
        <v>248</v>
      </c>
      <c r="C5" s="73">
        <v>204</v>
      </c>
      <c r="D5" s="73">
        <v>2</v>
      </c>
      <c r="E5" s="74">
        <v>13</v>
      </c>
      <c r="F5" s="74" t="s">
        <v>249</v>
      </c>
      <c r="G5" s="74">
        <v>3</v>
      </c>
      <c r="H5" s="74">
        <v>43</v>
      </c>
      <c r="I5" s="73">
        <v>2</v>
      </c>
      <c r="J5" s="73" t="s">
        <v>250</v>
      </c>
      <c r="K5" s="73">
        <v>194</v>
      </c>
      <c r="L5" s="73">
        <v>3</v>
      </c>
      <c r="M5" s="76"/>
      <c r="N5" s="76"/>
      <c r="O5" s="76"/>
      <c r="P5" s="76"/>
    </row>
    <row r="6" spans="1:16" x14ac:dyDescent="0.15">
      <c r="A6" s="73">
        <v>10</v>
      </c>
      <c r="B6" s="73" t="s">
        <v>248</v>
      </c>
      <c r="C6" s="73">
        <v>203</v>
      </c>
      <c r="D6" s="73">
        <v>3</v>
      </c>
      <c r="E6" s="74">
        <v>22</v>
      </c>
      <c r="F6" s="74" t="s">
        <v>249</v>
      </c>
      <c r="G6" s="74">
        <v>3</v>
      </c>
      <c r="H6" s="74">
        <v>44</v>
      </c>
      <c r="I6" s="73">
        <v>3</v>
      </c>
      <c r="J6" s="73" t="s">
        <v>250</v>
      </c>
      <c r="K6" s="73">
        <v>194</v>
      </c>
      <c r="L6" s="73">
        <v>4</v>
      </c>
      <c r="M6" s="76"/>
      <c r="N6" s="76"/>
      <c r="O6" s="76"/>
      <c r="P6" s="76"/>
    </row>
    <row r="7" spans="1:16" x14ac:dyDescent="0.15">
      <c r="A7" s="73">
        <v>16</v>
      </c>
      <c r="B7" s="73" t="s">
        <v>248</v>
      </c>
      <c r="C7" s="73">
        <v>204</v>
      </c>
      <c r="D7" s="73">
        <v>3</v>
      </c>
      <c r="E7" s="74">
        <v>31</v>
      </c>
      <c r="F7" s="74" t="s">
        <v>249</v>
      </c>
      <c r="G7" s="74">
        <v>3</v>
      </c>
      <c r="H7" s="74">
        <v>45</v>
      </c>
      <c r="I7" s="73">
        <v>4</v>
      </c>
      <c r="J7" s="73" t="s">
        <v>250</v>
      </c>
      <c r="K7" s="73">
        <v>194</v>
      </c>
      <c r="L7" s="73">
        <v>5</v>
      </c>
      <c r="M7" s="76"/>
      <c r="N7" s="76"/>
      <c r="O7" s="76"/>
      <c r="P7" s="76"/>
    </row>
    <row r="8" spans="1:16" x14ac:dyDescent="0.15">
      <c r="A8" s="73">
        <v>19</v>
      </c>
      <c r="B8" s="73" t="s">
        <v>248</v>
      </c>
      <c r="C8" s="73">
        <v>203</v>
      </c>
      <c r="D8" s="73">
        <v>4</v>
      </c>
      <c r="E8" s="74">
        <v>40</v>
      </c>
      <c r="F8" s="74" t="s">
        <v>249</v>
      </c>
      <c r="G8" s="74">
        <v>3</v>
      </c>
      <c r="H8" s="74">
        <v>46</v>
      </c>
      <c r="I8" s="73">
        <v>5</v>
      </c>
      <c r="J8" s="73" t="s">
        <v>250</v>
      </c>
      <c r="K8" s="73">
        <v>194</v>
      </c>
      <c r="L8" s="73">
        <v>6</v>
      </c>
      <c r="M8" s="76"/>
      <c r="N8" s="76"/>
      <c r="O8" s="76"/>
      <c r="P8" s="76"/>
    </row>
    <row r="9" spans="1:16" x14ac:dyDescent="0.15">
      <c r="A9" s="73">
        <v>25</v>
      </c>
      <c r="B9" s="73" t="s">
        <v>248</v>
      </c>
      <c r="C9" s="73">
        <v>204</v>
      </c>
      <c r="D9" s="73">
        <v>4</v>
      </c>
      <c r="E9" s="74">
        <v>206</v>
      </c>
      <c r="F9" s="74" t="s">
        <v>249</v>
      </c>
      <c r="G9" s="74">
        <v>3</v>
      </c>
      <c r="H9" s="74">
        <v>47</v>
      </c>
      <c r="I9" s="73">
        <v>6</v>
      </c>
      <c r="J9" s="73" t="s">
        <v>250</v>
      </c>
      <c r="K9" s="73">
        <v>194</v>
      </c>
      <c r="L9" s="73">
        <v>7</v>
      </c>
      <c r="M9" s="76"/>
      <c r="N9" s="76"/>
      <c r="O9" s="76"/>
      <c r="P9" s="76"/>
    </row>
    <row r="10" spans="1:16" x14ac:dyDescent="0.15">
      <c r="A10" s="73">
        <v>28</v>
      </c>
      <c r="B10" s="73" t="s">
        <v>248</v>
      </c>
      <c r="C10" s="73">
        <v>203</v>
      </c>
      <c r="D10" s="73">
        <v>5</v>
      </c>
      <c r="E10" s="74">
        <v>50</v>
      </c>
      <c r="F10" s="74" t="s">
        <v>249</v>
      </c>
      <c r="G10" s="74">
        <v>3</v>
      </c>
      <c r="H10" s="74">
        <v>48</v>
      </c>
      <c r="I10" s="73">
        <v>7</v>
      </c>
      <c r="J10" s="73" t="s">
        <v>250</v>
      </c>
      <c r="K10" s="73">
        <v>194</v>
      </c>
      <c r="L10" s="73">
        <v>8</v>
      </c>
      <c r="M10" s="76"/>
      <c r="N10" s="76"/>
      <c r="O10" s="76"/>
      <c r="P10" s="76"/>
    </row>
    <row r="11" spans="1:16" x14ac:dyDescent="0.15">
      <c r="A11" s="73">
        <v>34</v>
      </c>
      <c r="B11" s="73" t="s">
        <v>248</v>
      </c>
      <c r="C11" s="73">
        <v>204</v>
      </c>
      <c r="D11" s="73">
        <v>5</v>
      </c>
      <c r="E11" s="74">
        <v>218</v>
      </c>
      <c r="F11" s="74" t="s">
        <v>249</v>
      </c>
      <c r="G11" s="74">
        <v>3</v>
      </c>
      <c r="H11" s="74">
        <v>49</v>
      </c>
      <c r="I11" s="73">
        <v>8</v>
      </c>
      <c r="J11" s="73" t="s">
        <v>250</v>
      </c>
      <c r="K11" s="73">
        <v>194</v>
      </c>
      <c r="L11" s="73">
        <v>9</v>
      </c>
      <c r="M11" s="76"/>
      <c r="N11" s="76"/>
      <c r="O11" s="76"/>
      <c r="P11" s="76"/>
    </row>
    <row r="12" spans="1:16" x14ac:dyDescent="0.15">
      <c r="A12" s="73">
        <v>37</v>
      </c>
      <c r="B12" s="73" t="s">
        <v>248</v>
      </c>
      <c r="C12" s="73">
        <v>203</v>
      </c>
      <c r="D12" s="73">
        <v>6</v>
      </c>
      <c r="E12" s="74">
        <v>62</v>
      </c>
      <c r="F12" s="74" t="s">
        <v>249</v>
      </c>
      <c r="G12" s="74">
        <v>3</v>
      </c>
      <c r="H12" s="74">
        <v>50</v>
      </c>
      <c r="I12" s="73">
        <v>9</v>
      </c>
      <c r="J12" s="73" t="s">
        <v>250</v>
      </c>
      <c r="K12" s="73">
        <v>194</v>
      </c>
      <c r="L12" s="73">
        <v>10</v>
      </c>
      <c r="M12" s="76"/>
      <c r="N12" s="76"/>
      <c r="O12" s="76"/>
      <c r="P12" s="76"/>
    </row>
    <row r="13" spans="1:16" x14ac:dyDescent="0.15">
      <c r="A13" s="73">
        <v>43</v>
      </c>
      <c r="B13" s="73" t="s">
        <v>248</v>
      </c>
      <c r="C13" s="73">
        <v>204</v>
      </c>
      <c r="D13" s="73">
        <v>6</v>
      </c>
      <c r="E13" s="74">
        <v>74</v>
      </c>
      <c r="F13" s="74" t="s">
        <v>249</v>
      </c>
      <c r="G13" s="74">
        <v>3</v>
      </c>
      <c r="H13" s="74">
        <v>51</v>
      </c>
      <c r="I13" s="73"/>
      <c r="J13" s="73"/>
      <c r="K13" s="73"/>
      <c r="L13" s="73"/>
      <c r="M13" s="76"/>
      <c r="N13" s="76"/>
      <c r="O13" s="76"/>
      <c r="P13" s="76"/>
    </row>
    <row r="14" spans="1:16" x14ac:dyDescent="0.15">
      <c r="A14" s="73">
        <v>46</v>
      </c>
      <c r="B14" s="73" t="s">
        <v>248</v>
      </c>
      <c r="C14" s="73">
        <v>203</v>
      </c>
      <c r="D14" s="73">
        <v>7</v>
      </c>
      <c r="E14" s="74">
        <v>86</v>
      </c>
      <c r="F14" s="74" t="s">
        <v>249</v>
      </c>
      <c r="G14" s="74">
        <v>3</v>
      </c>
      <c r="H14" s="74">
        <v>52</v>
      </c>
      <c r="I14" s="73"/>
      <c r="J14" s="73"/>
      <c r="K14" s="73"/>
      <c r="L14" s="73"/>
      <c r="M14" s="76"/>
      <c r="N14" s="76"/>
      <c r="O14" s="76"/>
      <c r="P14" s="76"/>
    </row>
    <row r="15" spans="1:16" x14ac:dyDescent="0.15">
      <c r="A15" s="73">
        <v>210</v>
      </c>
      <c r="B15" s="73" t="s">
        <v>248</v>
      </c>
      <c r="C15" s="73">
        <v>203</v>
      </c>
      <c r="D15" s="73">
        <v>8</v>
      </c>
      <c r="E15" s="74">
        <v>98</v>
      </c>
      <c r="F15" s="74" t="s">
        <v>249</v>
      </c>
      <c r="G15" s="74">
        <v>3</v>
      </c>
      <c r="H15" s="74">
        <v>53</v>
      </c>
      <c r="I15" s="73"/>
      <c r="J15" s="73"/>
      <c r="K15" s="73"/>
      <c r="L15" s="73"/>
      <c r="M15" s="76"/>
      <c r="N15" s="76"/>
      <c r="O15" s="76"/>
      <c r="P15" s="76"/>
    </row>
    <row r="16" spans="1:16" x14ac:dyDescent="0.15">
      <c r="A16" s="73">
        <v>214</v>
      </c>
      <c r="B16" s="73" t="s">
        <v>248</v>
      </c>
      <c r="C16" s="73">
        <v>203</v>
      </c>
      <c r="D16" s="73">
        <v>9</v>
      </c>
      <c r="E16" s="74">
        <v>110</v>
      </c>
      <c r="F16" s="74" t="s">
        <v>249</v>
      </c>
      <c r="G16" s="74">
        <v>3</v>
      </c>
      <c r="H16" s="74">
        <v>54</v>
      </c>
      <c r="I16" s="73"/>
      <c r="J16" s="73"/>
      <c r="K16" s="73"/>
      <c r="L16" s="73"/>
      <c r="M16" s="76"/>
      <c r="N16" s="76"/>
      <c r="O16" s="76"/>
      <c r="P16" s="76"/>
    </row>
    <row r="17" spans="1:8" x14ac:dyDescent="0.15">
      <c r="A17" s="73">
        <v>54</v>
      </c>
      <c r="B17" s="73" t="s">
        <v>248</v>
      </c>
      <c r="C17" s="73">
        <v>204</v>
      </c>
      <c r="D17" s="73">
        <v>9</v>
      </c>
      <c r="E17" s="74">
        <v>121</v>
      </c>
      <c r="F17" s="74" t="s">
        <v>249</v>
      </c>
      <c r="G17" s="74">
        <v>3</v>
      </c>
      <c r="H17" s="74">
        <v>55</v>
      </c>
    </row>
    <row r="18" spans="1:8" x14ac:dyDescent="0.15">
      <c r="A18" s="73">
        <v>58</v>
      </c>
      <c r="B18" s="73" t="s">
        <v>248</v>
      </c>
      <c r="C18" s="73">
        <v>203</v>
      </c>
      <c r="D18" s="73">
        <v>10</v>
      </c>
      <c r="E18" s="74">
        <v>130</v>
      </c>
      <c r="F18" s="74" t="s">
        <v>249</v>
      </c>
      <c r="G18" s="74">
        <v>3</v>
      </c>
      <c r="H18" s="74">
        <v>56</v>
      </c>
    </row>
    <row r="19" spans="1:8" x14ac:dyDescent="0.15">
      <c r="A19" s="73">
        <v>66</v>
      </c>
      <c r="B19" s="73" t="s">
        <v>248</v>
      </c>
      <c r="C19" s="73">
        <v>204</v>
      </c>
      <c r="D19" s="73">
        <v>10</v>
      </c>
      <c r="E19" s="74">
        <v>139</v>
      </c>
      <c r="F19" s="74" t="s">
        <v>249</v>
      </c>
      <c r="G19" s="74">
        <v>3</v>
      </c>
      <c r="H19" s="74">
        <v>57</v>
      </c>
    </row>
    <row r="20" spans="1:8" x14ac:dyDescent="0.15">
      <c r="A20" s="73">
        <v>70</v>
      </c>
      <c r="B20" s="73" t="s">
        <v>248</v>
      </c>
      <c r="C20" s="73">
        <v>203</v>
      </c>
      <c r="D20" s="73">
        <v>11</v>
      </c>
      <c r="E20" s="74">
        <v>148</v>
      </c>
      <c r="F20" s="74" t="s">
        <v>249</v>
      </c>
      <c r="G20" s="74">
        <v>3</v>
      </c>
      <c r="H20" s="74">
        <v>58</v>
      </c>
    </row>
    <row r="21" spans="1:8" x14ac:dyDescent="0.15">
      <c r="A21" s="73">
        <v>78</v>
      </c>
      <c r="B21" s="73" t="s">
        <v>248</v>
      </c>
      <c r="C21" s="73">
        <v>204</v>
      </c>
      <c r="D21" s="73">
        <v>11</v>
      </c>
      <c r="E21" s="74">
        <v>154</v>
      </c>
      <c r="F21" s="74" t="s">
        <v>256</v>
      </c>
      <c r="G21" s="74">
        <v>3</v>
      </c>
      <c r="H21" s="74">
        <v>83</v>
      </c>
    </row>
    <row r="22" spans="1:8" x14ac:dyDescent="0.15">
      <c r="A22" s="73">
        <v>82</v>
      </c>
      <c r="B22" s="73" t="s">
        <v>248</v>
      </c>
      <c r="C22" s="73">
        <v>203</v>
      </c>
      <c r="D22" s="73">
        <v>12</v>
      </c>
      <c r="E22" s="74">
        <v>156</v>
      </c>
      <c r="F22" s="74" t="s">
        <v>251</v>
      </c>
      <c r="G22" s="74">
        <v>3</v>
      </c>
      <c r="H22" s="74">
        <v>84</v>
      </c>
    </row>
    <row r="23" spans="1:8" x14ac:dyDescent="0.15">
      <c r="A23" s="73">
        <v>90</v>
      </c>
      <c r="B23" s="73" t="s">
        <v>248</v>
      </c>
      <c r="C23" s="73">
        <v>204</v>
      </c>
      <c r="D23" s="73">
        <v>12</v>
      </c>
      <c r="E23" s="74">
        <v>158</v>
      </c>
      <c r="F23" s="74" t="s">
        <v>251</v>
      </c>
      <c r="G23" s="74">
        <v>3</v>
      </c>
      <c r="H23" s="74">
        <v>85</v>
      </c>
    </row>
    <row r="24" spans="1:8" x14ac:dyDescent="0.15">
      <c r="A24" s="73">
        <v>94</v>
      </c>
      <c r="B24" s="73" t="s">
        <v>248</v>
      </c>
      <c r="C24" s="73">
        <v>203</v>
      </c>
      <c r="D24" s="73">
        <v>13</v>
      </c>
      <c r="E24" s="74">
        <v>159</v>
      </c>
      <c r="F24" s="74" t="s">
        <v>251</v>
      </c>
      <c r="G24" s="74">
        <v>3</v>
      </c>
      <c r="H24" s="74">
        <v>86</v>
      </c>
    </row>
    <row r="25" spans="1:8" x14ac:dyDescent="0.15">
      <c r="A25" s="73">
        <v>102</v>
      </c>
      <c r="B25" s="73" t="s">
        <v>248</v>
      </c>
      <c r="C25" s="73">
        <v>204</v>
      </c>
      <c r="D25" s="73">
        <v>13</v>
      </c>
      <c r="E25" s="74">
        <v>161</v>
      </c>
      <c r="F25" s="74" t="s">
        <v>251</v>
      </c>
      <c r="G25" s="74">
        <v>3</v>
      </c>
      <c r="H25" s="74">
        <v>87</v>
      </c>
    </row>
    <row r="26" spans="1:8" x14ac:dyDescent="0.15">
      <c r="A26" s="73">
        <v>106</v>
      </c>
      <c r="B26" s="73" t="s">
        <v>248</v>
      </c>
      <c r="C26" s="73">
        <v>203</v>
      </c>
      <c r="D26" s="73">
        <v>14</v>
      </c>
      <c r="E26" s="74">
        <v>162</v>
      </c>
      <c r="F26" s="74" t="s">
        <v>251</v>
      </c>
      <c r="G26" s="74">
        <v>3</v>
      </c>
      <c r="H26" s="74">
        <v>88</v>
      </c>
    </row>
    <row r="27" spans="1:8" x14ac:dyDescent="0.15">
      <c r="A27" s="73">
        <v>226</v>
      </c>
      <c r="B27" s="73" t="s">
        <v>248</v>
      </c>
      <c r="C27" s="73">
        <v>203</v>
      </c>
      <c r="D27" s="73">
        <v>15</v>
      </c>
      <c r="E27" s="74">
        <v>165</v>
      </c>
      <c r="F27" s="74" t="s">
        <v>251</v>
      </c>
      <c r="G27" s="74">
        <v>3</v>
      </c>
      <c r="H27" s="74">
        <v>89</v>
      </c>
    </row>
    <row r="28" spans="1:8" x14ac:dyDescent="0.15">
      <c r="A28" s="73">
        <v>230</v>
      </c>
      <c r="B28" s="73" t="s">
        <v>248</v>
      </c>
      <c r="C28" s="73">
        <v>203</v>
      </c>
      <c r="D28" s="73">
        <v>16</v>
      </c>
      <c r="E28" s="74">
        <v>167</v>
      </c>
      <c r="F28" s="74" t="s">
        <v>252</v>
      </c>
      <c r="G28" s="74">
        <v>3</v>
      </c>
      <c r="H28" s="74">
        <v>90</v>
      </c>
    </row>
    <row r="29" spans="1:8" x14ac:dyDescent="0.15">
      <c r="A29" s="73">
        <v>114</v>
      </c>
      <c r="B29" s="73" t="s">
        <v>248</v>
      </c>
      <c r="C29" s="73">
        <v>204</v>
      </c>
      <c r="D29" s="73">
        <v>16</v>
      </c>
      <c r="E29" s="74">
        <v>169</v>
      </c>
      <c r="F29" s="74" t="s">
        <v>251</v>
      </c>
      <c r="G29" s="74">
        <v>3</v>
      </c>
      <c r="H29" s="74">
        <v>91</v>
      </c>
    </row>
    <row r="30" spans="1:8" x14ac:dyDescent="0.15">
      <c r="A30" s="73">
        <v>118</v>
      </c>
      <c r="B30" s="73" t="s">
        <v>248</v>
      </c>
      <c r="C30" s="73">
        <v>203</v>
      </c>
      <c r="D30" s="73">
        <v>17</v>
      </c>
    </row>
    <row r="31" spans="1:8" x14ac:dyDescent="0.15">
      <c r="A31" s="73">
        <v>124</v>
      </c>
      <c r="B31" s="73" t="s">
        <v>248</v>
      </c>
      <c r="C31" s="73">
        <v>204</v>
      </c>
      <c r="D31" s="73">
        <v>17</v>
      </c>
    </row>
    <row r="32" spans="1:8" x14ac:dyDescent="0.15">
      <c r="A32" s="73">
        <v>127</v>
      </c>
      <c r="B32" s="73" t="s">
        <v>248</v>
      </c>
      <c r="C32" s="73">
        <v>203</v>
      </c>
      <c r="D32" s="73">
        <v>18</v>
      </c>
    </row>
    <row r="33" spans="1:4" x14ac:dyDescent="0.15">
      <c r="A33" s="73">
        <v>133</v>
      </c>
      <c r="B33" s="73" t="s">
        <v>248</v>
      </c>
      <c r="C33" s="73">
        <v>204</v>
      </c>
      <c r="D33" s="73">
        <v>18</v>
      </c>
    </row>
    <row r="34" spans="1:4" x14ac:dyDescent="0.15">
      <c r="A34" s="73">
        <v>136</v>
      </c>
      <c r="B34" s="73" t="s">
        <v>248</v>
      </c>
      <c r="C34" s="73">
        <v>203</v>
      </c>
      <c r="D34" s="73">
        <v>19</v>
      </c>
    </row>
    <row r="35" spans="1:4" x14ac:dyDescent="0.15">
      <c r="A35" s="73">
        <v>142</v>
      </c>
      <c r="B35" s="73" t="s">
        <v>248</v>
      </c>
      <c r="C35" s="73">
        <v>204</v>
      </c>
      <c r="D35" s="73">
        <v>19</v>
      </c>
    </row>
    <row r="36" spans="1:4" x14ac:dyDescent="0.15">
      <c r="A36" s="73">
        <v>145</v>
      </c>
      <c r="B36" s="73" t="s">
        <v>248</v>
      </c>
      <c r="C36" s="73">
        <v>203</v>
      </c>
      <c r="D36" s="73">
        <v>20</v>
      </c>
    </row>
    <row r="37" spans="1:4" x14ac:dyDescent="0.15">
      <c r="A37" s="73">
        <v>151</v>
      </c>
      <c r="B37" s="73" t="s">
        <v>248</v>
      </c>
      <c r="C37" s="73">
        <v>204</v>
      </c>
      <c r="D37" s="73">
        <v>20</v>
      </c>
    </row>
    <row r="38" spans="1:4" x14ac:dyDescent="0.15">
      <c r="A38" s="73">
        <v>170</v>
      </c>
      <c r="B38" s="73" t="s">
        <v>254</v>
      </c>
      <c r="C38" s="73">
        <v>194</v>
      </c>
      <c r="D38" s="73">
        <v>2</v>
      </c>
    </row>
    <row r="39" spans="1:4" x14ac:dyDescent="0.15">
      <c r="A39" s="73">
        <v>171</v>
      </c>
      <c r="B39" s="73" t="s">
        <v>254</v>
      </c>
      <c r="C39" s="73">
        <v>195</v>
      </c>
      <c r="D39" s="73">
        <v>2</v>
      </c>
    </row>
    <row r="40" spans="1:4" x14ac:dyDescent="0.15">
      <c r="A40" s="73">
        <v>172</v>
      </c>
      <c r="B40" s="73" t="s">
        <v>254</v>
      </c>
      <c r="C40" s="73">
        <v>194</v>
      </c>
      <c r="D40" s="73">
        <v>3</v>
      </c>
    </row>
    <row r="41" spans="1:4" x14ac:dyDescent="0.15">
      <c r="A41" s="73">
        <v>173</v>
      </c>
      <c r="B41" s="73" t="s">
        <v>253</v>
      </c>
      <c r="C41" s="73">
        <v>195</v>
      </c>
      <c r="D41" s="73">
        <v>3</v>
      </c>
    </row>
    <row r="42" spans="1:4" x14ac:dyDescent="0.15">
      <c r="A42" s="73">
        <v>174</v>
      </c>
      <c r="B42" s="73" t="s">
        <v>254</v>
      </c>
      <c r="C42" s="73">
        <v>194</v>
      </c>
      <c r="D42" s="73">
        <v>4</v>
      </c>
    </row>
    <row r="43" spans="1:4" x14ac:dyDescent="0.15">
      <c r="A43" s="73">
        <v>175</v>
      </c>
      <c r="B43" s="73" t="s">
        <v>254</v>
      </c>
      <c r="C43" s="73">
        <v>195</v>
      </c>
      <c r="D43" s="73">
        <v>4</v>
      </c>
    </row>
    <row r="44" spans="1:4" x14ac:dyDescent="0.15">
      <c r="A44" s="73">
        <v>176</v>
      </c>
      <c r="B44" s="73" t="s">
        <v>254</v>
      </c>
      <c r="C44" s="73">
        <v>194</v>
      </c>
      <c r="D44" s="73">
        <v>5</v>
      </c>
    </row>
    <row r="45" spans="1:4" x14ac:dyDescent="0.15">
      <c r="A45" s="73">
        <v>177</v>
      </c>
      <c r="B45" s="73" t="s">
        <v>254</v>
      </c>
      <c r="C45" s="73">
        <v>195</v>
      </c>
      <c r="D45" s="73">
        <v>5</v>
      </c>
    </row>
    <row r="46" spans="1:4" x14ac:dyDescent="0.15">
      <c r="A46" s="73">
        <v>178</v>
      </c>
      <c r="B46" s="73" t="s">
        <v>254</v>
      </c>
      <c r="C46" s="73">
        <v>194</v>
      </c>
      <c r="D46" s="73">
        <v>12</v>
      </c>
    </row>
    <row r="47" spans="1:4" x14ac:dyDescent="0.15">
      <c r="A47" s="73">
        <v>180</v>
      </c>
      <c r="B47" s="73" t="s">
        <v>255</v>
      </c>
      <c r="C47" s="73">
        <v>195</v>
      </c>
      <c r="D47" s="73">
        <v>12</v>
      </c>
    </row>
    <row r="48" spans="1:4" x14ac:dyDescent="0.15">
      <c r="A48" s="73">
        <v>182</v>
      </c>
      <c r="B48" s="73" t="s">
        <v>254</v>
      </c>
      <c r="C48" s="73">
        <v>194</v>
      </c>
      <c r="D48" s="73">
        <v>13</v>
      </c>
    </row>
    <row r="49" spans="1:4" x14ac:dyDescent="0.15">
      <c r="A49" s="73">
        <v>183</v>
      </c>
      <c r="B49" s="73" t="s">
        <v>254</v>
      </c>
      <c r="C49" s="73">
        <v>195</v>
      </c>
      <c r="D49" s="73">
        <v>13</v>
      </c>
    </row>
    <row r="50" spans="1:4" x14ac:dyDescent="0.15">
      <c r="A50" s="73">
        <v>184</v>
      </c>
      <c r="B50" s="73" t="s">
        <v>254</v>
      </c>
      <c r="C50" s="73">
        <v>194</v>
      </c>
      <c r="D50" s="73">
        <v>14</v>
      </c>
    </row>
    <row r="51" spans="1:4" x14ac:dyDescent="0.15">
      <c r="A51" s="73">
        <v>185</v>
      </c>
      <c r="B51" s="73" t="s">
        <v>255</v>
      </c>
      <c r="C51" s="73">
        <v>195</v>
      </c>
      <c r="D51" s="73">
        <v>14</v>
      </c>
    </row>
    <row r="52" spans="1:4" x14ac:dyDescent="0.15">
      <c r="A52" s="73">
        <v>186</v>
      </c>
      <c r="B52" s="73" t="s">
        <v>254</v>
      </c>
      <c r="C52" s="73">
        <v>194</v>
      </c>
      <c r="D52" s="73">
        <v>15</v>
      </c>
    </row>
    <row r="53" spans="1:4" x14ac:dyDescent="0.15">
      <c r="A53" s="73">
        <v>187</v>
      </c>
      <c r="B53" s="73" t="s">
        <v>254</v>
      </c>
      <c r="C53" s="73">
        <v>195</v>
      </c>
      <c r="D53" s="73">
        <v>15</v>
      </c>
    </row>
    <row r="54" spans="1:4" x14ac:dyDescent="0.15">
      <c r="A54" s="73">
        <v>188</v>
      </c>
      <c r="B54" s="73" t="s">
        <v>253</v>
      </c>
      <c r="C54" s="73">
        <v>194</v>
      </c>
      <c r="D54" s="73">
        <v>16</v>
      </c>
    </row>
    <row r="55" spans="1:4" x14ac:dyDescent="0.15">
      <c r="A55" s="73">
        <v>189</v>
      </c>
      <c r="B55" s="73" t="s">
        <v>254</v>
      </c>
      <c r="C55" s="73">
        <v>195</v>
      </c>
      <c r="D55" s="73">
        <v>16</v>
      </c>
    </row>
    <row r="56" spans="1:4" x14ac:dyDescent="0.15">
      <c r="A56" s="73">
        <v>190</v>
      </c>
      <c r="B56" s="73" t="s">
        <v>254</v>
      </c>
      <c r="C56" s="73">
        <v>194</v>
      </c>
      <c r="D56" s="73">
        <v>17</v>
      </c>
    </row>
    <row r="57" spans="1:4" x14ac:dyDescent="0.15">
      <c r="A57" s="73">
        <v>191</v>
      </c>
      <c r="B57" s="73" t="s">
        <v>254</v>
      </c>
      <c r="C57" s="73">
        <v>195</v>
      </c>
      <c r="D57" s="73">
        <v>17</v>
      </c>
    </row>
    <row r="58" spans="1:4" x14ac:dyDescent="0.15">
      <c r="A58" s="73">
        <v>192</v>
      </c>
      <c r="B58" s="73" t="s">
        <v>253</v>
      </c>
      <c r="C58" s="73">
        <v>194</v>
      </c>
      <c r="D58" s="73">
        <v>8</v>
      </c>
    </row>
    <row r="59" spans="1:4" x14ac:dyDescent="0.15">
      <c r="A59" s="73">
        <v>194</v>
      </c>
      <c r="B59" s="73" t="s">
        <v>254</v>
      </c>
      <c r="C59" s="73">
        <v>195</v>
      </c>
      <c r="D59" s="73">
        <v>8</v>
      </c>
    </row>
    <row r="60" spans="1:4" x14ac:dyDescent="0.15">
      <c r="A60" s="73">
        <v>196</v>
      </c>
      <c r="B60" s="73" t="s">
        <v>254</v>
      </c>
      <c r="C60" s="73">
        <v>194</v>
      </c>
      <c r="D60" s="73">
        <v>9</v>
      </c>
    </row>
    <row r="61" spans="1:4" x14ac:dyDescent="0.15">
      <c r="A61" s="73">
        <v>198</v>
      </c>
      <c r="B61" s="73" t="s">
        <v>254</v>
      </c>
      <c r="C61" s="73">
        <v>195</v>
      </c>
      <c r="D61" s="73">
        <v>9</v>
      </c>
    </row>
    <row r="62" spans="1:4" x14ac:dyDescent="0.15">
      <c r="A62" s="73">
        <v>200</v>
      </c>
      <c r="B62" s="73" t="s">
        <v>254</v>
      </c>
      <c r="C62" s="73">
        <v>194</v>
      </c>
      <c r="D62" s="73">
        <v>10</v>
      </c>
    </row>
    <row r="63" spans="1:4" x14ac:dyDescent="0.15">
      <c r="A63" s="73">
        <v>202</v>
      </c>
      <c r="B63" s="73" t="s">
        <v>254</v>
      </c>
      <c r="C63" s="73">
        <v>195</v>
      </c>
      <c r="D63" s="73">
        <v>10</v>
      </c>
    </row>
    <row r="64" spans="1:4" x14ac:dyDescent="0.15">
      <c r="A64" s="73">
        <v>204</v>
      </c>
      <c r="B64" s="73" t="s">
        <v>254</v>
      </c>
      <c r="C64" s="73">
        <v>194</v>
      </c>
      <c r="D64" s="73">
        <v>11</v>
      </c>
    </row>
    <row r="65" spans="1:4" x14ac:dyDescent="0.15">
      <c r="A65" s="73">
        <v>205</v>
      </c>
      <c r="B65" s="73" t="s">
        <v>254</v>
      </c>
      <c r="C65" s="73">
        <v>195</v>
      </c>
      <c r="D65" s="73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B205" sqref="B205"/>
    </sheetView>
  </sheetViews>
  <sheetFormatPr defaultRowHeight="13.5" x14ac:dyDescent="0.15"/>
  <cols>
    <col min="1" max="16" width="9" style="60"/>
    <col min="17" max="121" width="9" style="77"/>
    <col min="122" max="16384" width="9" style="60"/>
  </cols>
  <sheetData>
    <row r="1" spans="1:161" ht="14.25" x14ac:dyDescent="0.15">
      <c r="A1" s="116" t="s">
        <v>188</v>
      </c>
      <c r="B1" s="110" t="s">
        <v>168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/>
      <c r="V1" s="110" t="s">
        <v>261</v>
      </c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2"/>
      <c r="AP1" s="110" t="s">
        <v>262</v>
      </c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2"/>
      <c r="BJ1" s="110" t="s">
        <v>263</v>
      </c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2"/>
      <c r="CD1" s="110" t="s">
        <v>186</v>
      </c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2"/>
      <c r="CX1" s="110" t="s">
        <v>187</v>
      </c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2"/>
      <c r="DR1" s="110" t="s">
        <v>264</v>
      </c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2"/>
      <c r="EL1" s="113" t="s">
        <v>190</v>
      </c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5"/>
    </row>
    <row r="2" spans="1:161" ht="14.25" x14ac:dyDescent="0.15">
      <c r="A2" s="117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9">
        <v>1</v>
      </c>
      <c r="EM2" s="49">
        <v>2</v>
      </c>
      <c r="EN2" s="49">
        <v>3</v>
      </c>
      <c r="EO2" s="49">
        <v>4</v>
      </c>
      <c r="EP2" s="49">
        <v>5</v>
      </c>
      <c r="EQ2" s="49">
        <v>6</v>
      </c>
      <c r="ER2" s="49">
        <v>7</v>
      </c>
      <c r="ES2" s="49">
        <v>8</v>
      </c>
      <c r="ET2" s="49">
        <v>9</v>
      </c>
      <c r="EU2" s="49">
        <v>10</v>
      </c>
      <c r="EV2" s="49">
        <v>11</v>
      </c>
      <c r="EW2" s="49">
        <v>12</v>
      </c>
      <c r="EX2" s="49">
        <v>13</v>
      </c>
      <c r="EY2" s="49">
        <v>14</v>
      </c>
      <c r="EZ2" s="49">
        <v>15</v>
      </c>
      <c r="FA2" s="49">
        <v>16</v>
      </c>
      <c r="FB2" s="49">
        <v>17</v>
      </c>
      <c r="FC2" s="49">
        <v>18</v>
      </c>
      <c r="FD2" s="49">
        <v>19</v>
      </c>
      <c r="FE2" s="49">
        <v>20</v>
      </c>
    </row>
    <row r="3" spans="1:161" ht="14.25" x14ac:dyDescent="0.15">
      <c r="A3" s="46">
        <v>1</v>
      </c>
      <c r="B3" s="43" t="e">
        <f>V3*AP3</f>
        <v>#DIV/0!</v>
      </c>
      <c r="C3" s="43" t="e">
        <f t="shared" ref="C3:U3" si="0">W3*AQ3</f>
        <v>#DIV/0!</v>
      </c>
      <c r="D3" s="43" t="e">
        <f t="shared" si="0"/>
        <v>#DIV/0!</v>
      </c>
      <c r="E3" s="43" t="e">
        <f t="shared" si="0"/>
        <v>#DIV/0!</v>
      </c>
      <c r="F3" s="43" t="e">
        <f t="shared" si="0"/>
        <v>#DIV/0!</v>
      </c>
      <c r="G3" s="43" t="e">
        <f t="shared" si="0"/>
        <v>#DIV/0!</v>
      </c>
      <c r="H3" s="43" t="e">
        <f t="shared" si="0"/>
        <v>#DIV/0!</v>
      </c>
      <c r="I3" s="43" t="e">
        <f t="shared" si="0"/>
        <v>#DIV/0!</v>
      </c>
      <c r="J3" s="43" t="e">
        <f t="shared" si="0"/>
        <v>#DIV/0!</v>
      </c>
      <c r="K3" s="43" t="e">
        <f t="shared" si="0"/>
        <v>#DIV/0!</v>
      </c>
      <c r="L3" s="43" t="e">
        <f t="shared" si="0"/>
        <v>#DIV/0!</v>
      </c>
      <c r="M3" s="43" t="e">
        <f t="shared" si="0"/>
        <v>#DIV/0!</v>
      </c>
      <c r="N3" s="43" t="e">
        <f t="shared" si="0"/>
        <v>#DIV/0!</v>
      </c>
      <c r="O3" s="43" t="e">
        <f t="shared" si="0"/>
        <v>#DIV/0!</v>
      </c>
      <c r="P3" s="43" t="e">
        <f t="shared" si="0"/>
        <v>#DIV/0!</v>
      </c>
      <c r="Q3" s="43" t="e">
        <f t="shared" si="0"/>
        <v>#DIV/0!</v>
      </c>
      <c r="R3" s="43" t="e">
        <f t="shared" si="0"/>
        <v>#DIV/0!</v>
      </c>
      <c r="S3" s="43" t="e">
        <f t="shared" si="0"/>
        <v>#DIV/0!</v>
      </c>
      <c r="T3" s="43" t="e">
        <f t="shared" si="0"/>
        <v>#DIV/0!</v>
      </c>
      <c r="U3" s="43" t="e">
        <f t="shared" si="0"/>
        <v>#DIV/0!</v>
      </c>
      <c r="V3" s="49" t="e">
        <f>(B205+B203-B204)/(B191*V191)</f>
        <v>#DIV/0!</v>
      </c>
      <c r="W3" s="49" t="e">
        <f t="shared" ref="W3:AO3" si="1">(C205+C203-C204)/(C191*W191)</f>
        <v>#DIV/0!</v>
      </c>
      <c r="X3" s="49" t="e">
        <f t="shared" si="1"/>
        <v>#DIV/0!</v>
      </c>
      <c r="Y3" s="49" t="e">
        <f t="shared" si="1"/>
        <v>#DIV/0!</v>
      </c>
      <c r="Z3" s="49" t="e">
        <f t="shared" si="1"/>
        <v>#DIV/0!</v>
      </c>
      <c r="AA3" s="49" t="e">
        <f t="shared" si="1"/>
        <v>#DIV/0!</v>
      </c>
      <c r="AB3" s="49" t="e">
        <f t="shared" si="1"/>
        <v>#DIV/0!</v>
      </c>
      <c r="AC3" s="49" t="e">
        <f t="shared" si="1"/>
        <v>#DIV/0!</v>
      </c>
      <c r="AD3" s="49" t="e">
        <f t="shared" si="1"/>
        <v>#DIV/0!</v>
      </c>
      <c r="AE3" s="49" t="e">
        <f t="shared" si="1"/>
        <v>#DIV/0!</v>
      </c>
      <c r="AF3" s="49" t="e">
        <f t="shared" si="1"/>
        <v>#DIV/0!</v>
      </c>
      <c r="AG3" s="49" t="e">
        <f t="shared" si="1"/>
        <v>#DIV/0!</v>
      </c>
      <c r="AH3" s="49" t="e">
        <f t="shared" si="1"/>
        <v>#DIV/0!</v>
      </c>
      <c r="AI3" s="49" t="e">
        <f t="shared" si="1"/>
        <v>#DIV/0!</v>
      </c>
      <c r="AJ3" s="49" t="e">
        <f t="shared" si="1"/>
        <v>#DIV/0!</v>
      </c>
      <c r="AK3" s="49" t="e">
        <f t="shared" si="1"/>
        <v>#DIV/0!</v>
      </c>
      <c r="AL3" s="49" t="e">
        <f t="shared" si="1"/>
        <v>#DIV/0!</v>
      </c>
      <c r="AM3" s="49" t="e">
        <f t="shared" si="1"/>
        <v>#DIV/0!</v>
      </c>
      <c r="AN3" s="49" t="e">
        <f t="shared" si="1"/>
        <v>#DIV/0!</v>
      </c>
      <c r="AO3" s="49" t="e">
        <f t="shared" si="1"/>
        <v>#DIV/0!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53"/>
      <c r="CY3" s="53"/>
      <c r="CZ3" s="53"/>
      <c r="DA3" s="53"/>
      <c r="DB3" s="53"/>
      <c r="DC3" s="53"/>
      <c r="DD3" s="53"/>
      <c r="DE3" s="53"/>
      <c r="DF3" s="53"/>
      <c r="DG3" s="53"/>
      <c r="DH3" s="53"/>
      <c r="DI3" s="53"/>
      <c r="DJ3" s="53"/>
      <c r="DK3" s="53"/>
      <c r="DL3" s="53"/>
      <c r="DM3" s="53"/>
      <c r="DN3" s="53"/>
      <c r="DO3" s="53"/>
      <c r="DP3" s="53"/>
      <c r="DQ3" s="53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</row>
    <row r="4" spans="1:161" ht="14.25" x14ac:dyDescent="0.15">
      <c r="A4" s="46"/>
      <c r="B4" s="43" t="e">
        <f t="shared" ref="B4:B67" si="2">V4*AP4</f>
        <v>#DIV/0!</v>
      </c>
      <c r="C4" s="43" t="e">
        <f t="shared" ref="C4:C67" si="3">W4*AQ4</f>
        <v>#DIV/0!</v>
      </c>
      <c r="D4" s="43" t="e">
        <f t="shared" ref="D4:D67" si="4">X4*AR4</f>
        <v>#DIV/0!</v>
      </c>
      <c r="E4" s="43" t="e">
        <f t="shared" ref="E4:E67" si="5">Y4*AS4</f>
        <v>#DIV/0!</v>
      </c>
      <c r="F4" s="43" t="e">
        <f t="shared" ref="F4:F67" si="6">Z4*AT4</f>
        <v>#DIV/0!</v>
      </c>
      <c r="G4" s="43" t="e">
        <f t="shared" ref="G4:G67" si="7">AA4*AU4</f>
        <v>#DIV/0!</v>
      </c>
      <c r="H4" s="43" t="e">
        <f t="shared" ref="H4:H67" si="8">AB4*AV4</f>
        <v>#DIV/0!</v>
      </c>
      <c r="I4" s="43" t="e">
        <f t="shared" ref="I4:I67" si="9">AC4*AW4</f>
        <v>#DIV/0!</v>
      </c>
      <c r="J4" s="43" t="e">
        <f t="shared" ref="J4:J67" si="10">AD4*AX4</f>
        <v>#DIV/0!</v>
      </c>
      <c r="K4" s="43" t="e">
        <f t="shared" ref="K4:K67" si="11">AE4*AY4</f>
        <v>#DIV/0!</v>
      </c>
      <c r="L4" s="43" t="e">
        <f t="shared" ref="L4:L67" si="12">AF4*AZ4</f>
        <v>#DIV/0!</v>
      </c>
      <c r="M4" s="43" t="e">
        <f t="shared" ref="M4:M67" si="13">AG4*BA4</f>
        <v>#DIV/0!</v>
      </c>
      <c r="N4" s="43" t="e">
        <f t="shared" ref="N4:N67" si="14">AH4*BB4</f>
        <v>#DIV/0!</v>
      </c>
      <c r="O4" s="43" t="e">
        <f t="shared" ref="O4:O67" si="15">AI4*BC4</f>
        <v>#DIV/0!</v>
      </c>
      <c r="P4" s="43" t="e">
        <f t="shared" ref="P4:P67" si="16">AJ4*BD4</f>
        <v>#DIV/0!</v>
      </c>
      <c r="Q4" s="43" t="e">
        <f t="shared" ref="Q4:Q67" si="17">AK4*BE4</f>
        <v>#DIV/0!</v>
      </c>
      <c r="R4" s="43" t="e">
        <f t="shared" ref="R4:R67" si="18">AL4*BF4</f>
        <v>#DIV/0!</v>
      </c>
      <c r="S4" s="43" t="e">
        <f t="shared" ref="S4:S67" si="19">AM4*BG4</f>
        <v>#DIV/0!</v>
      </c>
      <c r="T4" s="43" t="e">
        <f t="shared" ref="T4:T67" si="20">AN4*BH4</f>
        <v>#DIV/0!</v>
      </c>
      <c r="U4" s="43" t="e">
        <f t="shared" ref="U4:U67" si="21">AO4*BI4</f>
        <v>#DIV/0!</v>
      </c>
      <c r="V4" s="53" t="e">
        <f>V3+ATM_Conf!$C$5*(B3)/(B191*V191)</f>
        <v>#DIV/0!</v>
      </c>
      <c r="W4" s="53" t="e">
        <f>W3+ATM_Conf!$C$5*(C3-B3)/(C191*W191)</f>
        <v>#DIV/0!</v>
      </c>
      <c r="X4" s="53" t="e">
        <f>X3+ATM_Conf!$C$5*(D3-C3)/(D191*X191)</f>
        <v>#DIV/0!</v>
      </c>
      <c r="Y4" s="53" t="e">
        <f>Y3+ATM_Conf!$C$5*(E3-D3)/(E191*Y191)</f>
        <v>#DIV/0!</v>
      </c>
      <c r="Z4" s="53" t="e">
        <f>Z3+ATM_Conf!$C$5*(F3-E3)/(F191*Z191)</f>
        <v>#DIV/0!</v>
      </c>
      <c r="AA4" s="53" t="e">
        <f>AA3+ATM_Conf!$C$5*(G3-F3)/(G191*AA191)</f>
        <v>#DIV/0!</v>
      </c>
      <c r="AB4" s="53" t="e">
        <f>AB3+ATM_Conf!$C$5*(H3-G3)/(H191*AB191)</f>
        <v>#DIV/0!</v>
      </c>
      <c r="AC4" s="53" t="e">
        <f>AC3+ATM_Conf!$C$5*(I3-H3)/(I191*AC191)</f>
        <v>#DIV/0!</v>
      </c>
      <c r="AD4" s="53" t="e">
        <f>AD3+ATM_Conf!$C$5*(J3-I3)/(J191*AD191)</f>
        <v>#DIV/0!</v>
      </c>
      <c r="AE4" s="53" t="e">
        <f>AE3+ATM_Conf!$C$5*(K3-J3)/(K191*AE191)</f>
        <v>#DIV/0!</v>
      </c>
      <c r="AF4" s="53" t="e">
        <f>AF3+ATM_Conf!$C$5*(L3)/(L191*AF191)</f>
        <v>#DIV/0!</v>
      </c>
      <c r="AG4" s="53" t="e">
        <f>AG3+ATM_Conf!$C$5*(M3-L3)/(M191*AG191)</f>
        <v>#DIV/0!</v>
      </c>
      <c r="AH4" s="53" t="e">
        <f>AH3+ATM_Conf!$C$5*(N3-M3)/(N191*AH191)</f>
        <v>#DIV/0!</v>
      </c>
      <c r="AI4" s="53" t="e">
        <f>AI3+ATM_Conf!$C$5*(O3-N3)/(O191*AI191)</f>
        <v>#DIV/0!</v>
      </c>
      <c r="AJ4" s="53" t="e">
        <f>AJ3+ATM_Conf!$C$5*(P3-O3)/(P191*AJ191)</f>
        <v>#DIV/0!</v>
      </c>
      <c r="AK4" s="53" t="e">
        <f>AK3+ATM_Conf!$C$5*(Q3-P3)/(Q191*AK191)</f>
        <v>#DIV/0!</v>
      </c>
      <c r="AL4" s="53" t="e">
        <f>AL3+ATM_Conf!$C$5*(R3-Q3)/(R191*AL191)</f>
        <v>#DIV/0!</v>
      </c>
      <c r="AM4" s="53" t="e">
        <f>AM3+ATM_Conf!$C$5*(S3-R3)/(S191*AM191)</f>
        <v>#DIV/0!</v>
      </c>
      <c r="AN4" s="53" t="e">
        <f>AN3+ATM_Conf!$C$5*(T3-S3)/(T191*AN191)</f>
        <v>#DIV/0!</v>
      </c>
      <c r="AO4" s="53" t="e">
        <f>AO3+ATM_Conf!$C$5*(U3-T3)/(U191*AO191)</f>
        <v>#DIV/0!</v>
      </c>
      <c r="AP4" s="43" t="e">
        <f>AP3+(ATM_Conf!$C$5/ATM_Conf!$C$8)*(BJ4*EXP(-(1/CX4)*(V4/CD4)^CX4)-AP3)-(ATM_Conf!$C$5*ATM_Conf!$C$9)/(V191*ATM_Conf!$C$8)*(Nodes!BO3-V3)/(V3+ATM_Conf!$C$10)</f>
        <v>#DIV/0!</v>
      </c>
      <c r="AQ4" s="43" t="e">
        <f>AQ3+(ATM_Conf!$C$5/ATM_Conf!$C$8)*(BK4*EXP(-(1/CY4)*(W4/CE4)^CY4)-AQ3)+(ATM_Conf!$C$5/W191)*AQ3*(AP3-AQ3)-(ATM_Conf!$C$5*ATM_Conf!$C$9)/(W191*ATM_Conf!$C$8)*(X3-W3)/(W3+ATM_Conf!$C$10)</f>
        <v>#DIV/0!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 t="e">
        <f>AS3+(ATM_Conf!$C$5/ATM_Conf!$C$8)*(BM4*EXP(-(1/DA4)*(Y4/CG4)^DA4)-AS3)+(ATM_Conf!$C$5/Y191)*AS3*(AR3-AS3)-(ATM_Conf!$C$5*ATM_Conf!$C$9)/(Y191*ATM_Conf!$C$8)*(Z3-Y3)/(Y3+ATM_Conf!$C$10)</f>
        <v>#DIV/0!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 t="e">
        <f>AV3+(ATM_Conf!$C$5/ATM_Conf!$C$8)*(BP4*EXP(-(1/DD4)*(AB4/CJ4)^DD4)-AV3)+(ATM_Conf!$C$5/AB191)*AV3*(AU3-AV3)-(ATM_Conf!$C$5*ATM_Conf!$C$9)/(AB191*ATM_Conf!$C$8)*(AC3-AB3)/(AB3+ATM_Conf!$C$10)</f>
        <v>#DIV/0!</v>
      </c>
      <c r="AW4" s="43" t="e">
        <f>AW3+(ATM_Conf!$C$5/ATM_Conf!$C$8)*(BQ4*EXP(-(1/DE4)*(AC4/CK4)^DE4)-AW3)+(ATM_Conf!$C$5/AC191)*AW3*(AV3-AW3)-(ATM_Conf!$C$5*ATM_Conf!$C$9)/(AC191*ATM_Conf!$C$8)*(AD3-AC3)/(AC3+ATM_Conf!$C$10)</f>
        <v>#DIV/0!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 t="e">
        <f>BC3+(ATM_Conf!$C$5/ATM_Conf!$C$8)*(BW4*EXP(-(1/DK4)*(AI4/CQ4)^DK4)-BC3)+(ATM_Conf!$C$5/AI191)*BC3*(BB3-BC3)-(ATM_Conf!$C$5*ATM_Conf!$C$9)/(AI191*ATM_Conf!$C$8)*(AJ3-AI3)/(AI3+ATM_Conf!$C$10)</f>
        <v>#DIV/0!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 t="e">
        <f>BF3+(ATM_Conf!$C$5/ATM_Conf!$C$8)*(BZ4*EXP(-(1/DN4)*(AL4/CT4)^DN4)-BF3)+(ATM_Conf!$C$5/AL191)*BF3*(BE3-BF3)-(ATM_Conf!$C$5*ATM_Conf!$C$9)/(AL191*ATM_Conf!$C$8)*(AM3-AL3)/(AL3+ATM_Conf!$C$10)</f>
        <v>#DIV/0!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 t="e">
        <f>BH3+(ATM_Conf!$C$5/ATM_Conf!$C$8)*(CB4*EXP(-(1/DP4)*(AN4/CV4)^DP4)-BH3)+(ATM_Conf!$C$5/AN191)*BH3*(BG3-BH3)-(ATM_Conf!$C$5*ATM_Conf!$C$9)/(AN191*ATM_Conf!$C$8)*(AO3-AN3)/(AN3+ATM_Conf!$C$10)</f>
        <v>#DIV/0!</v>
      </c>
      <c r="BI4" s="43" t="e">
        <f>BI3+(ATM_Conf!$C$5/ATM_Conf!$C$8)*(CC4*EXP(-(1/DQ4)*(AO4/CW4)^DQ4)-BI3)+(ATM_Conf!$C$5/AO191)*BI3*(BH3-BI3)</f>
        <v>#DIV/0!</v>
      </c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43">
        <f>DR$3</f>
        <v>0</v>
      </c>
      <c r="DS4" s="43">
        <f t="shared" ref="DS4:EK14" si="22">DS$3</f>
        <v>0</v>
      </c>
      <c r="DT4" s="43">
        <f t="shared" si="22"/>
        <v>0</v>
      </c>
      <c r="DU4" s="43">
        <f t="shared" si="22"/>
        <v>0</v>
      </c>
      <c r="DV4" s="43">
        <f t="shared" si="22"/>
        <v>0</v>
      </c>
      <c r="DW4" s="43">
        <f t="shared" si="22"/>
        <v>0</v>
      </c>
      <c r="DX4" s="43">
        <f t="shared" si="22"/>
        <v>0</v>
      </c>
      <c r="DY4" s="43">
        <f t="shared" si="22"/>
        <v>0</v>
      </c>
      <c r="DZ4" s="43">
        <f t="shared" si="22"/>
        <v>0</v>
      </c>
      <c r="EA4" s="43">
        <f t="shared" si="22"/>
        <v>0</v>
      </c>
      <c r="EB4" s="43">
        <f t="shared" si="22"/>
        <v>0</v>
      </c>
      <c r="EC4" s="43">
        <f t="shared" si="22"/>
        <v>0</v>
      </c>
      <c r="ED4" s="43">
        <f t="shared" si="22"/>
        <v>0</v>
      </c>
      <c r="EE4" s="43">
        <f t="shared" si="22"/>
        <v>0</v>
      </c>
      <c r="EF4" s="43">
        <f t="shared" si="22"/>
        <v>0</v>
      </c>
      <c r="EG4" s="43">
        <f t="shared" si="22"/>
        <v>0</v>
      </c>
      <c r="EH4" s="43">
        <f t="shared" si="22"/>
        <v>0</v>
      </c>
      <c r="EI4" s="43">
        <f t="shared" si="22"/>
        <v>0</v>
      </c>
      <c r="EJ4" s="43">
        <f t="shared" si="22"/>
        <v>0</v>
      </c>
      <c r="EK4" s="43">
        <f t="shared" si="22"/>
        <v>0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</row>
    <row r="5" spans="1:161" ht="14.25" x14ac:dyDescent="0.15">
      <c r="A5" s="46"/>
      <c r="B5" s="43" t="e">
        <f t="shared" si="2"/>
        <v>#DIV/0!</v>
      </c>
      <c r="C5" s="43" t="e">
        <f t="shared" si="3"/>
        <v>#DIV/0!</v>
      </c>
      <c r="D5" s="43" t="e">
        <f t="shared" si="4"/>
        <v>#DIV/0!</v>
      </c>
      <c r="E5" s="43" t="e">
        <f t="shared" si="5"/>
        <v>#DIV/0!</v>
      </c>
      <c r="F5" s="43" t="e">
        <f t="shared" si="6"/>
        <v>#DIV/0!</v>
      </c>
      <c r="G5" s="43" t="e">
        <f t="shared" si="7"/>
        <v>#DIV/0!</v>
      </c>
      <c r="H5" s="43" t="e">
        <f t="shared" si="8"/>
        <v>#DIV/0!</v>
      </c>
      <c r="I5" s="43" t="e">
        <f t="shared" si="9"/>
        <v>#DIV/0!</v>
      </c>
      <c r="J5" s="43" t="e">
        <f t="shared" si="10"/>
        <v>#DIV/0!</v>
      </c>
      <c r="K5" s="43" t="e">
        <f t="shared" si="11"/>
        <v>#DIV/0!</v>
      </c>
      <c r="L5" s="43" t="e">
        <f t="shared" si="12"/>
        <v>#DIV/0!</v>
      </c>
      <c r="M5" s="43" t="e">
        <f t="shared" si="13"/>
        <v>#DIV/0!</v>
      </c>
      <c r="N5" s="43" t="e">
        <f t="shared" si="14"/>
        <v>#DIV/0!</v>
      </c>
      <c r="O5" s="43" t="e">
        <f t="shared" si="15"/>
        <v>#DIV/0!</v>
      </c>
      <c r="P5" s="43" t="e">
        <f t="shared" si="16"/>
        <v>#DIV/0!</v>
      </c>
      <c r="Q5" s="43" t="e">
        <f t="shared" si="17"/>
        <v>#DIV/0!</v>
      </c>
      <c r="R5" s="43" t="e">
        <f t="shared" si="18"/>
        <v>#DIV/0!</v>
      </c>
      <c r="S5" s="43" t="e">
        <f t="shared" si="19"/>
        <v>#DIV/0!</v>
      </c>
      <c r="T5" s="43" t="e">
        <f t="shared" si="20"/>
        <v>#DIV/0!</v>
      </c>
      <c r="U5" s="43" t="e">
        <f t="shared" si="21"/>
        <v>#DIV/0!</v>
      </c>
      <c r="V5" s="53" t="e">
        <f>V4+ATM_Conf!$C$5*(B4)/(B192*V192)</f>
        <v>#DIV/0!</v>
      </c>
      <c r="W5" s="53" t="e">
        <f>W4+ATM_Conf!$C$5*(C4-B4)/(C192*W192)</f>
        <v>#DIV/0!</v>
      </c>
      <c r="X5" s="53" t="e">
        <f>X4+ATM_Conf!$C$5*(D4-C4)/(D192*X192)</f>
        <v>#DIV/0!</v>
      </c>
      <c r="Y5" s="53" t="e">
        <f>Y4+ATM_Conf!$C$5*(E4-D4)/(E192*Y192)</f>
        <v>#DIV/0!</v>
      </c>
      <c r="Z5" s="53" t="e">
        <f>Z4+ATM_Conf!$C$5*(F4-E4)/(F192*Z192)</f>
        <v>#DIV/0!</v>
      </c>
      <c r="AA5" s="53" t="e">
        <f>AA4+ATM_Conf!$C$5*(G4-F4)/(G192*AA192)</f>
        <v>#DIV/0!</v>
      </c>
      <c r="AB5" s="53" t="e">
        <f>AB4+ATM_Conf!$C$5*(H4-G4)/(H192*AB192)</f>
        <v>#DIV/0!</v>
      </c>
      <c r="AC5" s="53" t="e">
        <f>AC4+ATM_Conf!$C$5*(I4-H4)/(I192*AC192)</f>
        <v>#DIV/0!</v>
      </c>
      <c r="AD5" s="53" t="e">
        <f>AD4+ATM_Conf!$C$5*(J4-I4)/(J192*AD192)</f>
        <v>#DIV/0!</v>
      </c>
      <c r="AE5" s="53" t="e">
        <f>AE4+ATM_Conf!$C$5*(K4-J4)/(K192*AE192)</f>
        <v>#DIV/0!</v>
      </c>
      <c r="AF5" s="53" t="e">
        <f>AF4+ATM_Conf!$C$5*(L4)/(L192*AF192)</f>
        <v>#DIV/0!</v>
      </c>
      <c r="AG5" s="53" t="e">
        <f>AG4+ATM_Conf!$C$5*(M4-L4)/(M192*AG192)</f>
        <v>#DIV/0!</v>
      </c>
      <c r="AH5" s="53" t="e">
        <f>AH4+ATM_Conf!$C$5*(N4-M4)/(N192*AH192)</f>
        <v>#DIV/0!</v>
      </c>
      <c r="AI5" s="53" t="e">
        <f>AI4+ATM_Conf!$C$5*(O4-N4)/(O192*AI192)</f>
        <v>#DIV/0!</v>
      </c>
      <c r="AJ5" s="53" t="e">
        <f>AJ4+ATM_Conf!$C$5*(P4-O4)/(P192*AJ192)</f>
        <v>#DIV/0!</v>
      </c>
      <c r="AK5" s="53" t="e">
        <f>AK4+ATM_Conf!$C$5*(Q4-P4)/(Q192*AK192)</f>
        <v>#DIV/0!</v>
      </c>
      <c r="AL5" s="53" t="e">
        <f>AL4+ATM_Conf!$C$5*(R4-Q4)/(R192*AL192)</f>
        <v>#DIV/0!</v>
      </c>
      <c r="AM5" s="53" t="e">
        <f>AM4+ATM_Conf!$C$5*(S4-R4)/(S192*AM192)</f>
        <v>#DIV/0!</v>
      </c>
      <c r="AN5" s="53" t="e">
        <f>AN4+ATM_Conf!$C$5*(T4-S4)/(T192*AN192)</f>
        <v>#DIV/0!</v>
      </c>
      <c r="AO5" s="53" t="e">
        <f>AO4+ATM_Conf!$C$5*(U4-T4)/(U192*AO192)</f>
        <v>#DIV/0!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AV4+(ATM_Conf!$C$5/ATM_Conf!$C$8)*(BP5*EXP(-(1/DD5)*(AB5/CJ5)^DD5)-AV4)+(ATM_Conf!$C$5/AB192)*AV4*(AU4-AV4)-(ATM_Conf!$C$5*ATM_Conf!$C$9)/(AB192*ATM_Conf!$C$8)*(AC4-AB4)/(AB4+ATM_Conf!$C$10)</f>
        <v>#DIV/0!</v>
      </c>
      <c r="AW5" s="43" t="e">
        <f>AW4+(ATM_Conf!$C$5/ATM_Conf!$C$8)*(BQ5*EXP(-(1/DE5)*(AC5/CK5)^DE5)-AW4)+(ATM_Conf!$C$5/AC192)*AW4*(AV4-AW4)-(ATM_Conf!$C$5*ATM_Conf!$C$9)/(AC192*ATM_Conf!$C$8)*(AD4-AC4)/(AC4+ATM_Conf!$C$10)</f>
        <v>#DIV/0!</v>
      </c>
      <c r="AX5" s="43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3" t="e">
        <f>AY4+(ATM_Conf!$C$5/ATM_Conf!$C$8)*(BS5*EXP(-(1/DG5)*(AE5/CM5)^DG5)-AY4)+(ATM_Conf!$C$5/AE192)*AY4*(Nodes!BF4-AY4)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BA4+(ATM_Conf!$C$5/ATM_Conf!$C$8)*(BU5*EXP(-(1/DI5)*(AG5/CO5)^DI5)-BA4)+(ATM_Conf!$C$5/AG192)*BA4*(Nodes!BI4-BA4)-(ATM_Conf!$C$5*ATM_Conf!$C$9)/(AG192*ATM_Conf!$C$8)*(Nodes!BW4-AG4)/(AG4+ATM_Conf!$C$10)</f>
        <v>#DIV/0!</v>
      </c>
      <c r="BB5" s="43" t="e">
        <f>BB4+(ATM_Conf!$C$5/ATM_Conf!$C$8)*(BV5*EXP(-(1/DJ5)*(AH5/CP5)^DJ5)-BB4)+(ATM_Conf!$C$5/AH192)*BB4*(Nodes!BJ4-BB4)-(ATM_Conf!$C$5*ATM_Conf!$C$9)/(AH192*ATM_Conf!$C$8)*(AI4-AH4)/(AH4+ATM_Conf!$C$10)</f>
        <v>#DIV/0!</v>
      </c>
      <c r="BC5" s="43" t="e">
        <f>BC4+(ATM_Conf!$C$5/ATM_Conf!$C$8)*(BW5*EXP(-(1/DK5)*(AI5/CQ5)^DK5)-BC4)+(ATM_Conf!$C$5/AI192)*BC4*(BB4-BC4)-(ATM_Conf!$C$5*ATM_Conf!$C$9)/(AI192*ATM_Conf!$C$8)*(AJ4-AI4)/(AI4+ATM_Conf!$C$10)</f>
        <v>#DIV/0!</v>
      </c>
      <c r="BD5" s="43" t="e">
        <f>BD4+(ATM_Conf!$C$5/ATM_Conf!$C$8)*(BX5*EXP(-(1/DL5)*(AJ5/CR5)^DL5)-BD4)+(ATM_Conf!$C$5/AJ192)*BD4*(BC4-BD4)-(ATM_Conf!$C$5*ATM_Conf!$C$9)/(AJ192*ATM_Conf!$C$8)*(Nodes!BX4-AJ4)/(AJ4+ATM_Conf!$C$10)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BG4+(ATM_Conf!$C$5/ATM_Conf!$C$8)*(CA5*EXP(-(1/DO5)*(AM5/CU5)^DO5)-BG4)+(ATM_Conf!$C$5/AM192)*BG4*(Nodes!BM4-BG4)-(ATM_Conf!$C$5*ATM_Conf!$C$9)/(AM192*ATM_Conf!$C$8)*(Nodes!CA4-AM4)/(AM4+ATM_Conf!$C$10)</f>
        <v>#DIV/0!</v>
      </c>
      <c r="BH5" s="43" t="e">
        <f>BH4+(ATM_Conf!$C$5/ATM_Conf!$C$8)*(CB5*EXP(-(1/DP5)*(AN5/CV5)^DP5)-BH4)+(ATM_Conf!$C$5/AN192)*BH4*(BG4-BH4)-(ATM_Conf!$C$5*ATM_Conf!$C$9)/(AN192*ATM_Conf!$C$8)*(AO4-AN4)/(AN4+ATM_Conf!$C$10)</f>
        <v>#DIV/0!</v>
      </c>
      <c r="BI5" s="43" t="e">
        <f>BI4+(ATM_Conf!$C$5/ATM_Conf!$C$8)*(CC5*EXP(-(1/DQ5)*(AO5/CW5)^DQ5)-BI4)+(ATM_Conf!$C$5/AO192)*BI4*(BH4-BI4)</f>
        <v>#DIV/0!</v>
      </c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43">
        <f t="shared" ref="DR5:DR14" si="23">DR$3</f>
        <v>0</v>
      </c>
      <c r="DS5" s="43">
        <f t="shared" si="22"/>
        <v>0</v>
      </c>
      <c r="DT5" s="43">
        <f t="shared" si="22"/>
        <v>0</v>
      </c>
      <c r="DU5" s="43">
        <f t="shared" si="22"/>
        <v>0</v>
      </c>
      <c r="DV5" s="43">
        <f t="shared" si="22"/>
        <v>0</v>
      </c>
      <c r="DW5" s="43">
        <f t="shared" si="22"/>
        <v>0</v>
      </c>
      <c r="DX5" s="43">
        <f t="shared" si="22"/>
        <v>0</v>
      </c>
      <c r="DY5" s="43">
        <f t="shared" si="22"/>
        <v>0</v>
      </c>
      <c r="DZ5" s="43">
        <f t="shared" si="22"/>
        <v>0</v>
      </c>
      <c r="EA5" s="43">
        <f t="shared" si="22"/>
        <v>0</v>
      </c>
      <c r="EB5" s="43">
        <f t="shared" si="22"/>
        <v>0</v>
      </c>
      <c r="EC5" s="43">
        <f t="shared" si="22"/>
        <v>0</v>
      </c>
      <c r="ED5" s="43">
        <f t="shared" si="22"/>
        <v>0</v>
      </c>
      <c r="EE5" s="43">
        <f t="shared" si="22"/>
        <v>0</v>
      </c>
      <c r="EF5" s="43">
        <f t="shared" si="22"/>
        <v>0</v>
      </c>
      <c r="EG5" s="43">
        <f t="shared" si="22"/>
        <v>0</v>
      </c>
      <c r="EH5" s="43">
        <f t="shared" si="22"/>
        <v>0</v>
      </c>
      <c r="EI5" s="43">
        <f t="shared" si="22"/>
        <v>0</v>
      </c>
      <c r="EJ5" s="43">
        <f t="shared" si="22"/>
        <v>0</v>
      </c>
      <c r="EK5" s="43">
        <f t="shared" si="22"/>
        <v>0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</row>
    <row r="6" spans="1:161" ht="14.25" x14ac:dyDescent="0.15">
      <c r="A6" s="46"/>
      <c r="B6" s="43" t="e">
        <f t="shared" si="2"/>
        <v>#DIV/0!</v>
      </c>
      <c r="C6" s="43" t="e">
        <f t="shared" si="3"/>
        <v>#DIV/0!</v>
      </c>
      <c r="D6" s="43" t="e">
        <f t="shared" si="4"/>
        <v>#DIV/0!</v>
      </c>
      <c r="E6" s="43" t="e">
        <f t="shared" si="5"/>
        <v>#DIV/0!</v>
      </c>
      <c r="F6" s="43" t="e">
        <f t="shared" si="6"/>
        <v>#DIV/0!</v>
      </c>
      <c r="G6" s="43" t="e">
        <f t="shared" si="7"/>
        <v>#DIV/0!</v>
      </c>
      <c r="H6" s="43" t="e">
        <f t="shared" si="8"/>
        <v>#DIV/0!</v>
      </c>
      <c r="I6" s="43" t="e">
        <f t="shared" si="9"/>
        <v>#DIV/0!</v>
      </c>
      <c r="J6" s="43" t="e">
        <f t="shared" si="10"/>
        <v>#DIV/0!</v>
      </c>
      <c r="K6" s="43" t="e">
        <f t="shared" si="11"/>
        <v>#DIV/0!</v>
      </c>
      <c r="L6" s="43" t="e">
        <f t="shared" si="12"/>
        <v>#DIV/0!</v>
      </c>
      <c r="M6" s="43" t="e">
        <f t="shared" si="13"/>
        <v>#DIV/0!</v>
      </c>
      <c r="N6" s="43" t="e">
        <f t="shared" si="14"/>
        <v>#DIV/0!</v>
      </c>
      <c r="O6" s="43" t="e">
        <f t="shared" si="15"/>
        <v>#DIV/0!</v>
      </c>
      <c r="P6" s="43" t="e">
        <f t="shared" si="16"/>
        <v>#DIV/0!</v>
      </c>
      <c r="Q6" s="43" t="e">
        <f t="shared" si="17"/>
        <v>#DIV/0!</v>
      </c>
      <c r="R6" s="43" t="e">
        <f t="shared" si="18"/>
        <v>#DIV/0!</v>
      </c>
      <c r="S6" s="43" t="e">
        <f t="shared" si="19"/>
        <v>#DIV/0!</v>
      </c>
      <c r="T6" s="43" t="e">
        <f t="shared" si="20"/>
        <v>#DIV/0!</v>
      </c>
      <c r="U6" s="43" t="e">
        <f t="shared" si="21"/>
        <v>#DIV/0!</v>
      </c>
      <c r="V6" s="53" t="e">
        <f>V5+ATM_Conf!$C$5*(B5)/(B193*V193)</f>
        <v>#DIV/0!</v>
      </c>
      <c r="W6" s="53" t="e">
        <f>W5+ATM_Conf!$C$5*(C5-B5)/(C193*W193)</f>
        <v>#DIV/0!</v>
      </c>
      <c r="X6" s="53" t="e">
        <f>X5+ATM_Conf!$C$5*(D5-C5)/(D193*X193)</f>
        <v>#DIV/0!</v>
      </c>
      <c r="Y6" s="53" t="e">
        <f>Y5+ATM_Conf!$C$5*(E5-D5)/(E193*Y193)</f>
        <v>#DIV/0!</v>
      </c>
      <c r="Z6" s="53" t="e">
        <f>Z5+ATM_Conf!$C$5*(F5-E5)/(F193*Z193)</f>
        <v>#DIV/0!</v>
      </c>
      <c r="AA6" s="53" t="e">
        <f>AA5+ATM_Conf!$C$5*(G5-F5)/(G193*AA193)</f>
        <v>#DIV/0!</v>
      </c>
      <c r="AB6" s="53" t="e">
        <f>AB5+ATM_Conf!$C$5*(H5-G5)/(H193*AB193)</f>
        <v>#DIV/0!</v>
      </c>
      <c r="AC6" s="53" t="e">
        <f>AC5+ATM_Conf!$C$5*(I5-H5)/(I193*AC193)</f>
        <v>#DIV/0!</v>
      </c>
      <c r="AD6" s="53" t="e">
        <f>AD5+ATM_Conf!$C$5*(J5-I5)/(J193*AD193)</f>
        <v>#DIV/0!</v>
      </c>
      <c r="AE6" s="53" t="e">
        <f>AE5+ATM_Conf!$C$5*(K5-J5)/(K193*AE193)</f>
        <v>#DIV/0!</v>
      </c>
      <c r="AF6" s="53" t="e">
        <f>AF5+ATM_Conf!$C$5*(L5)/(L193*AF193)</f>
        <v>#DIV/0!</v>
      </c>
      <c r="AG6" s="53" t="e">
        <f>AG5+ATM_Conf!$C$5*(M5-L5)/(M193*AG193)</f>
        <v>#DIV/0!</v>
      </c>
      <c r="AH6" s="53" t="e">
        <f>AH5+ATM_Conf!$C$5*(N5-M5)/(N193*AH193)</f>
        <v>#DIV/0!</v>
      </c>
      <c r="AI6" s="53" t="e">
        <f>AI5+ATM_Conf!$C$5*(O5-N5)/(O193*AI193)</f>
        <v>#DIV/0!</v>
      </c>
      <c r="AJ6" s="53" t="e">
        <f>AJ5+ATM_Conf!$C$5*(P5-O5)/(P193*AJ193)</f>
        <v>#DIV/0!</v>
      </c>
      <c r="AK6" s="53" t="e">
        <f>AK5+ATM_Conf!$C$5*(Q5-P5)/(Q193*AK193)</f>
        <v>#DIV/0!</v>
      </c>
      <c r="AL6" s="53" t="e">
        <f>AL5+ATM_Conf!$C$5*(R5-Q5)/(R193*AL193)</f>
        <v>#DIV/0!</v>
      </c>
      <c r="AM6" s="53" t="e">
        <f>AM5+ATM_Conf!$C$5*(S5-R5)/(S193*AM193)</f>
        <v>#DIV/0!</v>
      </c>
      <c r="AN6" s="53" t="e">
        <f>AN5+ATM_Conf!$C$5*(T5-S5)/(T193*AN193)</f>
        <v>#DIV/0!</v>
      </c>
      <c r="AO6" s="53" t="e">
        <f>AO5+ATM_Conf!$C$5*(U5-T5)/(U193*AO193)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AV5+(ATM_Conf!$C$5/ATM_Conf!$C$8)*(BP6*EXP(-(1/DD6)*(AB6/CJ6)^DD6)-AV5)+(ATM_Conf!$C$5/AB193)*AV5*(AU5-AV5)-(ATM_Conf!$C$5*ATM_Conf!$C$9)/(AB193*ATM_Conf!$C$8)*(AC5-AB5)/(AB5+ATM_Conf!$C$10)</f>
        <v>#DIV/0!</v>
      </c>
      <c r="AW6" s="43" t="e">
        <f>AW5+(ATM_Conf!$C$5/ATM_Conf!$C$8)*(BQ6*EXP(-(1/DE6)*(AC6/CK6)^DE6)-AW5)+(ATM_Conf!$C$5/AC193)*AW5*(AV5-AW5)-(ATM_Conf!$C$5*ATM_Conf!$C$9)/(AC193*ATM_Conf!$C$8)*(AD5-AC5)/(AC5+ATM_Conf!$C$10)</f>
        <v>#DIV/0!</v>
      </c>
      <c r="AX6" s="43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3" t="e">
        <f>AY5+(ATM_Conf!$C$5/ATM_Conf!$C$8)*(BS6*EXP(-(1/DG6)*(AE6/CM6)^DG6)-AY5)+(ATM_Conf!$C$5/AE193)*AY5*(Nodes!BF5-AY5)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BA5+(ATM_Conf!$C$5/ATM_Conf!$C$8)*(BU6*EXP(-(1/DI6)*(AG6/CO6)^DI6)-BA5)+(ATM_Conf!$C$5/AG193)*BA5*(Nodes!BI5-BA5)-(ATM_Conf!$C$5*ATM_Conf!$C$9)/(AG193*ATM_Conf!$C$8)*(Nodes!BW5-AG5)/(AG5+ATM_Conf!$C$10)</f>
        <v>#DIV/0!</v>
      </c>
      <c r="BB6" s="43" t="e">
        <f>BB5+(ATM_Conf!$C$5/ATM_Conf!$C$8)*(BV6*EXP(-(1/DJ6)*(AH6/CP6)^DJ6)-BB5)+(ATM_Conf!$C$5/AH193)*BB5*(Nodes!BJ5-BB5)-(ATM_Conf!$C$5*ATM_Conf!$C$9)/(AH193*ATM_Conf!$C$8)*(AI5-AH5)/(AH5+ATM_Conf!$C$10)</f>
        <v>#DIV/0!</v>
      </c>
      <c r="BC6" s="43" t="e">
        <f>BC5+(ATM_Conf!$C$5/ATM_Conf!$C$8)*(BW6*EXP(-(1/DK6)*(AI6/CQ6)^DK6)-BC5)+(ATM_Conf!$C$5/AI193)*BC5*(BB5-BC5)-(ATM_Conf!$C$5*ATM_Conf!$C$9)/(AI193*ATM_Conf!$C$8)*(AJ5-AI5)/(AI5+ATM_Conf!$C$10)</f>
        <v>#DIV/0!</v>
      </c>
      <c r="BD6" s="43" t="e">
        <f>BD5+(ATM_Conf!$C$5/ATM_Conf!$C$8)*(BX6*EXP(-(1/DL6)*(AJ6/CR6)^DL6)-BD5)+(ATM_Conf!$C$5/AJ193)*BD5*(BC5-BD5)-(ATM_Conf!$C$5*ATM_Conf!$C$9)/(AJ193*ATM_Conf!$C$8)*(Nodes!BX5-AJ5)/(AJ5+ATM_Conf!$C$10)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BG5+(ATM_Conf!$C$5/ATM_Conf!$C$8)*(CA6*EXP(-(1/DO6)*(AM6/CU6)^DO6)-BG5)+(ATM_Conf!$C$5/AM193)*BG5*(Nodes!BM5-BG5)-(ATM_Conf!$C$5*ATM_Conf!$C$9)/(AM193*ATM_Conf!$C$8)*(Nodes!CA5-AM5)/(AM5+ATM_Conf!$C$10)</f>
        <v>#DIV/0!</v>
      </c>
      <c r="BH6" s="43" t="e">
        <f>BH5+(ATM_Conf!$C$5/ATM_Conf!$C$8)*(CB6*EXP(-(1/DP6)*(AN6/CV6)^DP6)-BH5)+(ATM_Conf!$C$5/AN193)*BH5*(BG5-BH5)-(ATM_Conf!$C$5*ATM_Conf!$C$9)/(AN193*ATM_Conf!$C$8)*(AO5-AN5)/(AN5+ATM_Conf!$C$10)</f>
        <v>#DIV/0!</v>
      </c>
      <c r="BI6" s="43" t="e">
        <f>BI5+(ATM_Conf!$C$5/ATM_Conf!$C$8)*(CC6*EXP(-(1/DQ6)*(AO6/CW6)^DQ6)-BI5)+(ATM_Conf!$C$5/AO193)*BI5*(BH5-BI5)</f>
        <v>#DIV/0!</v>
      </c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43">
        <f t="shared" si="23"/>
        <v>0</v>
      </c>
      <c r="DS6" s="43">
        <f t="shared" si="22"/>
        <v>0</v>
      </c>
      <c r="DT6" s="43">
        <f t="shared" si="22"/>
        <v>0</v>
      </c>
      <c r="DU6" s="43">
        <f t="shared" si="22"/>
        <v>0</v>
      </c>
      <c r="DV6" s="43">
        <f t="shared" si="22"/>
        <v>0</v>
      </c>
      <c r="DW6" s="43">
        <f t="shared" si="22"/>
        <v>0</v>
      </c>
      <c r="DX6" s="43">
        <f t="shared" si="22"/>
        <v>0</v>
      </c>
      <c r="DY6" s="43">
        <f t="shared" si="22"/>
        <v>0</v>
      </c>
      <c r="DZ6" s="43">
        <f t="shared" si="22"/>
        <v>0</v>
      </c>
      <c r="EA6" s="43">
        <f t="shared" si="22"/>
        <v>0</v>
      </c>
      <c r="EB6" s="43">
        <f t="shared" si="22"/>
        <v>0</v>
      </c>
      <c r="EC6" s="43">
        <f t="shared" si="22"/>
        <v>0</v>
      </c>
      <c r="ED6" s="43">
        <f t="shared" si="22"/>
        <v>0</v>
      </c>
      <c r="EE6" s="43">
        <f t="shared" si="22"/>
        <v>0</v>
      </c>
      <c r="EF6" s="43">
        <f t="shared" si="22"/>
        <v>0</v>
      </c>
      <c r="EG6" s="43">
        <f t="shared" si="22"/>
        <v>0</v>
      </c>
      <c r="EH6" s="43">
        <f t="shared" si="22"/>
        <v>0</v>
      </c>
      <c r="EI6" s="43">
        <f t="shared" si="22"/>
        <v>0</v>
      </c>
      <c r="EJ6" s="43">
        <f t="shared" si="22"/>
        <v>0</v>
      </c>
      <c r="EK6" s="43">
        <f t="shared" si="22"/>
        <v>0</v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</row>
    <row r="7" spans="1:161" ht="14.25" x14ac:dyDescent="0.15">
      <c r="A7" s="46"/>
      <c r="B7" s="43" t="e">
        <f t="shared" si="2"/>
        <v>#DIV/0!</v>
      </c>
      <c r="C7" s="43" t="e">
        <f t="shared" si="3"/>
        <v>#DIV/0!</v>
      </c>
      <c r="D7" s="43" t="e">
        <f t="shared" si="4"/>
        <v>#DIV/0!</v>
      </c>
      <c r="E7" s="43" t="e">
        <f t="shared" si="5"/>
        <v>#DIV/0!</v>
      </c>
      <c r="F7" s="43" t="e">
        <f t="shared" si="6"/>
        <v>#DIV/0!</v>
      </c>
      <c r="G7" s="43" t="e">
        <f t="shared" si="7"/>
        <v>#DIV/0!</v>
      </c>
      <c r="H7" s="43" t="e">
        <f t="shared" si="8"/>
        <v>#DIV/0!</v>
      </c>
      <c r="I7" s="43" t="e">
        <f t="shared" si="9"/>
        <v>#DIV/0!</v>
      </c>
      <c r="J7" s="43" t="e">
        <f t="shared" si="10"/>
        <v>#DIV/0!</v>
      </c>
      <c r="K7" s="43" t="e">
        <f t="shared" si="11"/>
        <v>#DIV/0!</v>
      </c>
      <c r="L7" s="43" t="e">
        <f t="shared" si="12"/>
        <v>#DIV/0!</v>
      </c>
      <c r="M7" s="43" t="e">
        <f t="shared" si="13"/>
        <v>#DIV/0!</v>
      </c>
      <c r="N7" s="43" t="e">
        <f t="shared" si="14"/>
        <v>#DIV/0!</v>
      </c>
      <c r="O7" s="43" t="e">
        <f t="shared" si="15"/>
        <v>#DIV/0!</v>
      </c>
      <c r="P7" s="43" t="e">
        <f t="shared" si="16"/>
        <v>#DIV/0!</v>
      </c>
      <c r="Q7" s="43" t="e">
        <f t="shared" si="17"/>
        <v>#DIV/0!</v>
      </c>
      <c r="R7" s="43" t="e">
        <f t="shared" si="18"/>
        <v>#DIV/0!</v>
      </c>
      <c r="S7" s="43" t="e">
        <f t="shared" si="19"/>
        <v>#DIV/0!</v>
      </c>
      <c r="T7" s="43" t="e">
        <f t="shared" si="20"/>
        <v>#DIV/0!</v>
      </c>
      <c r="U7" s="43" t="e">
        <f t="shared" si="21"/>
        <v>#DIV/0!</v>
      </c>
      <c r="V7" s="53" t="e">
        <f>V6+ATM_Conf!$C$5*(B6)/(B194*V194)</f>
        <v>#DIV/0!</v>
      </c>
      <c r="W7" s="53" t="e">
        <f>W6+ATM_Conf!$C$5*(C6-B6)/(C194*W194)</f>
        <v>#DIV/0!</v>
      </c>
      <c r="X7" s="53" t="e">
        <f>X6+ATM_Conf!$C$5*(D6-C6)/(D194*X194)</f>
        <v>#DIV/0!</v>
      </c>
      <c r="Y7" s="53" t="e">
        <f>Y6+ATM_Conf!$C$5*(E6-D6)/(E194*Y194)</f>
        <v>#DIV/0!</v>
      </c>
      <c r="Z7" s="53" t="e">
        <f>Z6+ATM_Conf!$C$5*(F6-E6)/(F194*Z194)</f>
        <v>#DIV/0!</v>
      </c>
      <c r="AA7" s="53" t="e">
        <f>AA6+ATM_Conf!$C$5*(G6-F6)/(G194*AA194)</f>
        <v>#DIV/0!</v>
      </c>
      <c r="AB7" s="53" t="e">
        <f>AB6+ATM_Conf!$C$5*(H6-G6)/(H194*AB194)</f>
        <v>#DIV/0!</v>
      </c>
      <c r="AC7" s="53" t="e">
        <f>AC6+ATM_Conf!$C$5*(I6-H6)/(I194*AC194)</f>
        <v>#DIV/0!</v>
      </c>
      <c r="AD7" s="53" t="e">
        <f>AD6+ATM_Conf!$C$5*(J6-I6)/(J194*AD194)</f>
        <v>#DIV/0!</v>
      </c>
      <c r="AE7" s="53" t="e">
        <f>AE6+ATM_Conf!$C$5*(K6-J6)/(K194*AE194)</f>
        <v>#DIV/0!</v>
      </c>
      <c r="AF7" s="53" t="e">
        <f>AF6+ATM_Conf!$C$5*(L6)/(L194*AF194)</f>
        <v>#DIV/0!</v>
      </c>
      <c r="AG7" s="53" t="e">
        <f>AG6+ATM_Conf!$C$5*(M6-L6)/(M194*AG194)</f>
        <v>#DIV/0!</v>
      </c>
      <c r="AH7" s="53" t="e">
        <f>AH6+ATM_Conf!$C$5*(N6-M6)/(N194*AH194)</f>
        <v>#DIV/0!</v>
      </c>
      <c r="AI7" s="53" t="e">
        <f>AI6+ATM_Conf!$C$5*(O6-N6)/(O194*AI194)</f>
        <v>#DIV/0!</v>
      </c>
      <c r="AJ7" s="53" t="e">
        <f>AJ6+ATM_Conf!$C$5*(P6-O6)/(P194*AJ194)</f>
        <v>#DIV/0!</v>
      </c>
      <c r="AK7" s="53" t="e">
        <f>AK6+ATM_Conf!$C$5*(Q6-P6)/(Q194*AK194)</f>
        <v>#DIV/0!</v>
      </c>
      <c r="AL7" s="53" t="e">
        <f>AL6+ATM_Conf!$C$5*(R6-Q6)/(R194*AL194)</f>
        <v>#DIV/0!</v>
      </c>
      <c r="AM7" s="53" t="e">
        <f>AM6+ATM_Conf!$C$5*(S6-R6)/(S194*AM194)</f>
        <v>#DIV/0!</v>
      </c>
      <c r="AN7" s="53" t="e">
        <f>AN6+ATM_Conf!$C$5*(T6-S6)/(T194*AN194)</f>
        <v>#DIV/0!</v>
      </c>
      <c r="AO7" s="53" t="e">
        <f>AO6+ATM_Conf!$C$5*(U6-T6)/(U194*AO194)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AV6+(ATM_Conf!$C$5/ATM_Conf!$C$8)*(BP7*EXP(-(1/DD7)*(AB7/CJ7)^DD7)-AV6)+(ATM_Conf!$C$5/AB194)*AV6*(AU6-AV6)-(ATM_Conf!$C$5*ATM_Conf!$C$9)/(AB194*ATM_Conf!$C$8)*(AC6-AB6)/(AB6+ATM_Conf!$C$10)</f>
        <v>#DIV/0!</v>
      </c>
      <c r="AW7" s="43" t="e">
        <f>AW6+(ATM_Conf!$C$5/ATM_Conf!$C$8)*(BQ7*EXP(-(1/DE7)*(AC7/CK7)^DE7)-AW6)+(ATM_Conf!$C$5/AC194)*AW6*(AV6-AW6)-(ATM_Conf!$C$5*ATM_Conf!$C$9)/(AC194*ATM_Conf!$C$8)*(AD6-AC6)/(AC6+ATM_Conf!$C$10)</f>
        <v>#DIV/0!</v>
      </c>
      <c r="AX7" s="43" t="e">
        <f>AX6+(ATM_Conf!$C$5/ATM_Conf!$C$8)*(BR7*EXP(-(1/DF7)*(AD7/CL7)^DF7)-AX6)+(ATM_Conf!$C$5/AD194)*AX6*(Nodes!BG6-AX6)-(ATM_Conf!$C$5*ATM_Conf!$C$9)/(AD194*ATM_Conf!$C$8)*(Nodes!BU6-AD6)/(AD6+ATM_Conf!$C$10)</f>
        <v>#DIV/0!</v>
      </c>
      <c r="AY7" s="43" t="e">
        <f>AY6+(ATM_Conf!$C$5/ATM_Conf!$C$8)*(BS7*EXP(-(1/DG7)*(AE7/CM7)^DG7)-AY6)+(ATM_Conf!$C$5/AE194)*AY6*(Nodes!BF6-AY6)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BA6+(ATM_Conf!$C$5/ATM_Conf!$C$8)*(BU7*EXP(-(1/DI7)*(AG7/CO7)^DI7)-BA6)+(ATM_Conf!$C$5/AG194)*BA6*(Nodes!BI6-BA6)-(ATM_Conf!$C$5*ATM_Conf!$C$9)/(AG194*ATM_Conf!$C$8)*(Nodes!BW6-AG6)/(AG6+ATM_Conf!$C$10)</f>
        <v>#DIV/0!</v>
      </c>
      <c r="BB7" s="43" t="e">
        <f>BB6+(ATM_Conf!$C$5/ATM_Conf!$C$8)*(BV7*EXP(-(1/DJ7)*(AH7/CP7)^DJ7)-BB6)+(ATM_Conf!$C$5/AH194)*BB6*(Nodes!BJ6-BB6)-(ATM_Conf!$C$5*ATM_Conf!$C$9)/(AH194*ATM_Conf!$C$8)*(AI6-AH6)/(AH6+ATM_Conf!$C$10)</f>
        <v>#DIV/0!</v>
      </c>
      <c r="BC7" s="43" t="e">
        <f>BC6+(ATM_Conf!$C$5/ATM_Conf!$C$8)*(BW7*EXP(-(1/DK7)*(AI7/CQ7)^DK7)-BC6)+(ATM_Conf!$C$5/AI194)*BC6*(BB6-BC6)-(ATM_Conf!$C$5*ATM_Conf!$C$9)/(AI194*ATM_Conf!$C$8)*(AJ6-AI6)/(AI6+ATM_Conf!$C$10)</f>
        <v>#DIV/0!</v>
      </c>
      <c r="BD7" s="43" t="e">
        <f>BD6+(ATM_Conf!$C$5/ATM_Conf!$C$8)*(BX7*EXP(-(1/DL7)*(AJ7/CR7)^DL7)-BD6)+(ATM_Conf!$C$5/AJ194)*BD6*(BC6-BD6)-(ATM_Conf!$C$5*ATM_Conf!$C$9)/(AJ194*ATM_Conf!$C$8)*(Nodes!BX6-AJ6)/(AJ6+ATM_Conf!$C$10)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BG6+(ATM_Conf!$C$5/ATM_Conf!$C$8)*(CA7*EXP(-(1/DO7)*(AM7/CU7)^DO7)-BG6)+(ATM_Conf!$C$5/AM194)*BG6*(Nodes!BM6-BG6)-(ATM_Conf!$C$5*ATM_Conf!$C$9)/(AM194*ATM_Conf!$C$8)*(Nodes!CA6-AM6)/(AM6+ATM_Conf!$C$10)</f>
        <v>#DIV/0!</v>
      </c>
      <c r="BH7" s="43" t="e">
        <f>BH6+(ATM_Conf!$C$5/ATM_Conf!$C$8)*(CB7*EXP(-(1/DP7)*(AN7/CV7)^DP7)-BH6)+(ATM_Conf!$C$5/AN194)*BH6*(BG6-BH6)-(ATM_Conf!$C$5*ATM_Conf!$C$9)/(AN194*ATM_Conf!$C$8)*(AO6-AN6)/(AN6+ATM_Conf!$C$10)</f>
        <v>#DIV/0!</v>
      </c>
      <c r="BI7" s="43" t="e">
        <f>BI6+(ATM_Conf!$C$5/ATM_Conf!$C$8)*(CC7*EXP(-(1/DQ7)*(AO7/CW7)^DQ7)-BI6)+(ATM_Conf!$C$5/AO194)*BI6*(BH6-BI6)</f>
        <v>#DIV/0!</v>
      </c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43">
        <f t="shared" si="23"/>
        <v>0</v>
      </c>
      <c r="DS7" s="43">
        <f t="shared" si="22"/>
        <v>0</v>
      </c>
      <c r="DT7" s="43">
        <f t="shared" si="22"/>
        <v>0</v>
      </c>
      <c r="DU7" s="43">
        <f t="shared" si="22"/>
        <v>0</v>
      </c>
      <c r="DV7" s="43">
        <f t="shared" si="22"/>
        <v>0</v>
      </c>
      <c r="DW7" s="43">
        <f t="shared" si="22"/>
        <v>0</v>
      </c>
      <c r="DX7" s="43">
        <f t="shared" si="22"/>
        <v>0</v>
      </c>
      <c r="DY7" s="43">
        <f t="shared" si="22"/>
        <v>0</v>
      </c>
      <c r="DZ7" s="43">
        <f t="shared" si="22"/>
        <v>0</v>
      </c>
      <c r="EA7" s="43">
        <f t="shared" si="22"/>
        <v>0</v>
      </c>
      <c r="EB7" s="43">
        <f t="shared" si="22"/>
        <v>0</v>
      </c>
      <c r="EC7" s="43">
        <f t="shared" si="22"/>
        <v>0</v>
      </c>
      <c r="ED7" s="43">
        <f t="shared" si="22"/>
        <v>0</v>
      </c>
      <c r="EE7" s="43">
        <f t="shared" si="22"/>
        <v>0</v>
      </c>
      <c r="EF7" s="43">
        <f t="shared" si="22"/>
        <v>0</v>
      </c>
      <c r="EG7" s="43">
        <f t="shared" si="22"/>
        <v>0</v>
      </c>
      <c r="EH7" s="43">
        <f t="shared" si="22"/>
        <v>0</v>
      </c>
      <c r="EI7" s="43">
        <f t="shared" si="22"/>
        <v>0</v>
      </c>
      <c r="EJ7" s="43">
        <f t="shared" si="22"/>
        <v>0</v>
      </c>
      <c r="EK7" s="43">
        <f t="shared" si="22"/>
        <v>0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</row>
    <row r="8" spans="1:161" ht="14.25" x14ac:dyDescent="0.15">
      <c r="A8" s="46"/>
      <c r="B8" s="43" t="e">
        <f t="shared" si="2"/>
        <v>#DIV/0!</v>
      </c>
      <c r="C8" s="43" t="e">
        <f t="shared" si="3"/>
        <v>#DIV/0!</v>
      </c>
      <c r="D8" s="43" t="e">
        <f t="shared" si="4"/>
        <v>#DIV/0!</v>
      </c>
      <c r="E8" s="43" t="e">
        <f t="shared" si="5"/>
        <v>#DIV/0!</v>
      </c>
      <c r="F8" s="43" t="e">
        <f t="shared" si="6"/>
        <v>#DIV/0!</v>
      </c>
      <c r="G8" s="43" t="e">
        <f t="shared" si="7"/>
        <v>#DIV/0!</v>
      </c>
      <c r="H8" s="43" t="e">
        <f t="shared" si="8"/>
        <v>#DIV/0!</v>
      </c>
      <c r="I8" s="43" t="e">
        <f t="shared" si="9"/>
        <v>#DIV/0!</v>
      </c>
      <c r="J8" s="43" t="e">
        <f t="shared" si="10"/>
        <v>#DIV/0!</v>
      </c>
      <c r="K8" s="43" t="e">
        <f t="shared" si="11"/>
        <v>#DIV/0!</v>
      </c>
      <c r="L8" s="43" t="e">
        <f t="shared" si="12"/>
        <v>#DIV/0!</v>
      </c>
      <c r="M8" s="43" t="e">
        <f t="shared" si="13"/>
        <v>#DIV/0!</v>
      </c>
      <c r="N8" s="43" t="e">
        <f t="shared" si="14"/>
        <v>#DIV/0!</v>
      </c>
      <c r="O8" s="43" t="e">
        <f t="shared" si="15"/>
        <v>#DIV/0!</v>
      </c>
      <c r="P8" s="43" t="e">
        <f t="shared" si="16"/>
        <v>#DIV/0!</v>
      </c>
      <c r="Q8" s="43" t="e">
        <f t="shared" si="17"/>
        <v>#DIV/0!</v>
      </c>
      <c r="R8" s="43" t="e">
        <f t="shared" si="18"/>
        <v>#DIV/0!</v>
      </c>
      <c r="S8" s="43" t="e">
        <f t="shared" si="19"/>
        <v>#DIV/0!</v>
      </c>
      <c r="T8" s="43" t="e">
        <f t="shared" si="20"/>
        <v>#DIV/0!</v>
      </c>
      <c r="U8" s="43" t="e">
        <f t="shared" si="21"/>
        <v>#DIV/0!</v>
      </c>
      <c r="V8" s="53" t="e">
        <f>V7+ATM_Conf!$C$5*(B7)/(B195*V195)</f>
        <v>#DIV/0!</v>
      </c>
      <c r="W8" s="53" t="e">
        <f>W7+ATM_Conf!$C$5*(C7-B7)/(C195*W195)</f>
        <v>#DIV/0!</v>
      </c>
      <c r="X8" s="53" t="e">
        <f>X7+ATM_Conf!$C$5*(D7-C7)/(D195*X195)</f>
        <v>#DIV/0!</v>
      </c>
      <c r="Y8" s="53" t="e">
        <f>Y7+ATM_Conf!$C$5*(E7-D7)/(E195*Y195)</f>
        <v>#DIV/0!</v>
      </c>
      <c r="Z8" s="53" t="e">
        <f>Z7+ATM_Conf!$C$5*(F7-E7)/(F195*Z195)</f>
        <v>#DIV/0!</v>
      </c>
      <c r="AA8" s="53" t="e">
        <f>AA7+ATM_Conf!$C$5*(G7-F7)/(G195*AA195)</f>
        <v>#DIV/0!</v>
      </c>
      <c r="AB8" s="53" t="e">
        <f>AB7+ATM_Conf!$C$5*(H7-G7)/(H195*AB195)</f>
        <v>#DIV/0!</v>
      </c>
      <c r="AC8" s="53" t="e">
        <f>AC7+ATM_Conf!$C$5*(I7-H7)/(I195*AC195)</f>
        <v>#DIV/0!</v>
      </c>
      <c r="AD8" s="53" t="e">
        <f>AD7+ATM_Conf!$C$5*(J7-I7)/(J195*AD195)</f>
        <v>#DIV/0!</v>
      </c>
      <c r="AE8" s="53" t="e">
        <f>AE7+ATM_Conf!$C$5*(K7-J7)/(K195*AE195)</f>
        <v>#DIV/0!</v>
      </c>
      <c r="AF8" s="53" t="e">
        <f>AF7+ATM_Conf!$C$5*(L7)/(L195*AF195)</f>
        <v>#DIV/0!</v>
      </c>
      <c r="AG8" s="53" t="e">
        <f>AG7+ATM_Conf!$C$5*(M7-L7)/(M195*AG195)</f>
        <v>#DIV/0!</v>
      </c>
      <c r="AH8" s="53" t="e">
        <f>AH7+ATM_Conf!$C$5*(N7-M7)/(N195*AH195)</f>
        <v>#DIV/0!</v>
      </c>
      <c r="AI8" s="53" t="e">
        <f>AI7+ATM_Conf!$C$5*(O7-N7)/(O195*AI195)</f>
        <v>#DIV/0!</v>
      </c>
      <c r="AJ8" s="53" t="e">
        <f>AJ7+ATM_Conf!$C$5*(P7-O7)/(P195*AJ195)</f>
        <v>#DIV/0!</v>
      </c>
      <c r="AK8" s="53" t="e">
        <f>AK7+ATM_Conf!$C$5*(Q7-P7)/(Q195*AK195)</f>
        <v>#DIV/0!</v>
      </c>
      <c r="AL8" s="53" t="e">
        <f>AL7+ATM_Conf!$C$5*(R7-Q7)/(R195*AL195)</f>
        <v>#DIV/0!</v>
      </c>
      <c r="AM8" s="53" t="e">
        <f>AM7+ATM_Conf!$C$5*(S7-R7)/(S195*AM195)</f>
        <v>#DIV/0!</v>
      </c>
      <c r="AN8" s="53" t="e">
        <f>AN7+ATM_Conf!$C$5*(T7-S7)/(T195*AN195)</f>
        <v>#DIV/0!</v>
      </c>
      <c r="AO8" s="53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43">
        <f t="shared" si="23"/>
        <v>0</v>
      </c>
      <c r="DS8" s="43">
        <f t="shared" si="22"/>
        <v>0</v>
      </c>
      <c r="DT8" s="43">
        <f t="shared" si="22"/>
        <v>0</v>
      </c>
      <c r="DU8" s="43">
        <f t="shared" si="22"/>
        <v>0</v>
      </c>
      <c r="DV8" s="43">
        <f t="shared" si="22"/>
        <v>0</v>
      </c>
      <c r="DW8" s="43">
        <f t="shared" si="22"/>
        <v>0</v>
      </c>
      <c r="DX8" s="43">
        <f t="shared" si="22"/>
        <v>0</v>
      </c>
      <c r="DY8" s="43">
        <f t="shared" si="22"/>
        <v>0</v>
      </c>
      <c r="DZ8" s="43">
        <f t="shared" si="22"/>
        <v>0</v>
      </c>
      <c r="EA8" s="43">
        <f t="shared" si="22"/>
        <v>0</v>
      </c>
      <c r="EB8" s="43">
        <f t="shared" si="22"/>
        <v>0</v>
      </c>
      <c r="EC8" s="43">
        <f t="shared" si="22"/>
        <v>0</v>
      </c>
      <c r="ED8" s="43">
        <f t="shared" si="22"/>
        <v>0</v>
      </c>
      <c r="EE8" s="43">
        <f t="shared" si="22"/>
        <v>0</v>
      </c>
      <c r="EF8" s="43">
        <f t="shared" si="22"/>
        <v>0</v>
      </c>
      <c r="EG8" s="43">
        <f t="shared" si="22"/>
        <v>0</v>
      </c>
      <c r="EH8" s="43">
        <f t="shared" si="22"/>
        <v>0</v>
      </c>
      <c r="EI8" s="43">
        <f t="shared" si="22"/>
        <v>0</v>
      </c>
      <c r="EJ8" s="43">
        <f t="shared" si="22"/>
        <v>0</v>
      </c>
      <c r="EK8" s="43">
        <f t="shared" si="22"/>
        <v>0</v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</row>
    <row r="9" spans="1:161" ht="14.25" x14ac:dyDescent="0.15">
      <c r="A9" s="46"/>
      <c r="B9" s="43" t="e">
        <f t="shared" si="2"/>
        <v>#DIV/0!</v>
      </c>
      <c r="C9" s="43" t="e">
        <f t="shared" si="3"/>
        <v>#DIV/0!</v>
      </c>
      <c r="D9" s="43" t="e">
        <f t="shared" si="4"/>
        <v>#DIV/0!</v>
      </c>
      <c r="E9" s="43" t="e">
        <f t="shared" si="5"/>
        <v>#DIV/0!</v>
      </c>
      <c r="F9" s="43" t="e">
        <f t="shared" si="6"/>
        <v>#DIV/0!</v>
      </c>
      <c r="G9" s="43" t="e">
        <f t="shared" si="7"/>
        <v>#DIV/0!</v>
      </c>
      <c r="H9" s="43" t="e">
        <f t="shared" si="8"/>
        <v>#DIV/0!</v>
      </c>
      <c r="I9" s="43" t="e">
        <f t="shared" si="9"/>
        <v>#DIV/0!</v>
      </c>
      <c r="J9" s="43" t="e">
        <f t="shared" si="10"/>
        <v>#DIV/0!</v>
      </c>
      <c r="K9" s="43" t="e">
        <f t="shared" si="11"/>
        <v>#DIV/0!</v>
      </c>
      <c r="L9" s="43" t="e">
        <f t="shared" si="12"/>
        <v>#DIV/0!</v>
      </c>
      <c r="M9" s="43" t="e">
        <f t="shared" si="13"/>
        <v>#DIV/0!</v>
      </c>
      <c r="N9" s="43" t="e">
        <f t="shared" si="14"/>
        <v>#DIV/0!</v>
      </c>
      <c r="O9" s="43" t="e">
        <f t="shared" si="15"/>
        <v>#DIV/0!</v>
      </c>
      <c r="P9" s="43" t="e">
        <f t="shared" si="16"/>
        <v>#DIV/0!</v>
      </c>
      <c r="Q9" s="43" t="e">
        <f t="shared" si="17"/>
        <v>#DIV/0!</v>
      </c>
      <c r="R9" s="43" t="e">
        <f t="shared" si="18"/>
        <v>#DIV/0!</v>
      </c>
      <c r="S9" s="43" t="e">
        <f t="shared" si="19"/>
        <v>#DIV/0!</v>
      </c>
      <c r="T9" s="43" t="e">
        <f t="shared" si="20"/>
        <v>#DIV/0!</v>
      </c>
      <c r="U9" s="43" t="e">
        <f t="shared" si="21"/>
        <v>#DIV/0!</v>
      </c>
      <c r="V9" s="53" t="e">
        <f>V8+ATM_Conf!$C$5*(B8)/(B196*V196)</f>
        <v>#DIV/0!</v>
      </c>
      <c r="W9" s="53" t="e">
        <f>W8+ATM_Conf!$C$5*(C8-B8)/(C196*W196)</f>
        <v>#DIV/0!</v>
      </c>
      <c r="X9" s="53" t="e">
        <f>X8+ATM_Conf!$C$5*(D8-C8)/(D196*X196)</f>
        <v>#DIV/0!</v>
      </c>
      <c r="Y9" s="53" t="e">
        <f>Y8+ATM_Conf!$C$5*(E8-D8)/(E196*Y196)</f>
        <v>#DIV/0!</v>
      </c>
      <c r="Z9" s="53" t="e">
        <f>Z8+ATM_Conf!$C$5*(F8-E8)/(F196*Z196)</f>
        <v>#DIV/0!</v>
      </c>
      <c r="AA9" s="53" t="e">
        <f>AA8+ATM_Conf!$C$5*(G8-F8)/(G196*AA196)</f>
        <v>#DIV/0!</v>
      </c>
      <c r="AB9" s="53" t="e">
        <f>AB8+ATM_Conf!$C$5*(H8-G8)/(H196*AB196)</f>
        <v>#DIV/0!</v>
      </c>
      <c r="AC9" s="53" t="e">
        <f>AC8+ATM_Conf!$C$5*(I8-H8)/(I196*AC196)</f>
        <v>#DIV/0!</v>
      </c>
      <c r="AD9" s="53" t="e">
        <f>AD8+ATM_Conf!$C$5*(J8-I8)/(J196*AD196)</f>
        <v>#DIV/0!</v>
      </c>
      <c r="AE9" s="53" t="e">
        <f>AE8+ATM_Conf!$C$5*(K8-J8)/(K196*AE196)</f>
        <v>#DIV/0!</v>
      </c>
      <c r="AF9" s="53" t="e">
        <f>AF8+ATM_Conf!$C$5*(L8)/(L196*AF196)</f>
        <v>#DIV/0!</v>
      </c>
      <c r="AG9" s="53" t="e">
        <f>AG8+ATM_Conf!$C$5*(M8-L8)/(M196*AG196)</f>
        <v>#DIV/0!</v>
      </c>
      <c r="AH9" s="53" t="e">
        <f>AH8+ATM_Conf!$C$5*(N8-M8)/(N196*AH196)</f>
        <v>#DIV/0!</v>
      </c>
      <c r="AI9" s="53" t="e">
        <f>AI8+ATM_Conf!$C$5*(O8-N8)/(O196*AI196)</f>
        <v>#DIV/0!</v>
      </c>
      <c r="AJ9" s="53" t="e">
        <f>AJ8+ATM_Conf!$C$5*(P8-O8)/(P196*AJ196)</f>
        <v>#DIV/0!</v>
      </c>
      <c r="AK9" s="53" t="e">
        <f>AK8+ATM_Conf!$C$5*(Q8-P8)/(Q196*AK196)</f>
        <v>#DIV/0!</v>
      </c>
      <c r="AL9" s="53" t="e">
        <f>AL8+ATM_Conf!$C$5*(R8-Q8)/(R196*AL196)</f>
        <v>#DIV/0!</v>
      </c>
      <c r="AM9" s="53" t="e">
        <f>AM8+ATM_Conf!$C$5*(S8-R8)/(S196*AM196)</f>
        <v>#DIV/0!</v>
      </c>
      <c r="AN9" s="53" t="e">
        <f>AN8+ATM_Conf!$C$5*(T8-S8)/(T196*AN196)</f>
        <v>#DIV/0!</v>
      </c>
      <c r="AO9" s="53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43">
        <f t="shared" si="23"/>
        <v>0</v>
      </c>
      <c r="DS9" s="43">
        <f t="shared" si="22"/>
        <v>0</v>
      </c>
      <c r="DT9" s="43">
        <f t="shared" si="22"/>
        <v>0</v>
      </c>
      <c r="DU9" s="43">
        <f t="shared" si="22"/>
        <v>0</v>
      </c>
      <c r="DV9" s="43">
        <f t="shared" si="22"/>
        <v>0</v>
      </c>
      <c r="DW9" s="43">
        <f t="shared" si="22"/>
        <v>0</v>
      </c>
      <c r="DX9" s="43">
        <f t="shared" si="22"/>
        <v>0</v>
      </c>
      <c r="DY9" s="43">
        <f t="shared" si="22"/>
        <v>0</v>
      </c>
      <c r="DZ9" s="43">
        <f t="shared" si="22"/>
        <v>0</v>
      </c>
      <c r="EA9" s="43">
        <f t="shared" si="22"/>
        <v>0</v>
      </c>
      <c r="EB9" s="43">
        <f t="shared" si="22"/>
        <v>0</v>
      </c>
      <c r="EC9" s="43">
        <f t="shared" si="22"/>
        <v>0</v>
      </c>
      <c r="ED9" s="43">
        <f t="shared" si="22"/>
        <v>0</v>
      </c>
      <c r="EE9" s="43">
        <f t="shared" si="22"/>
        <v>0</v>
      </c>
      <c r="EF9" s="43">
        <f t="shared" si="22"/>
        <v>0</v>
      </c>
      <c r="EG9" s="43">
        <f t="shared" si="22"/>
        <v>0</v>
      </c>
      <c r="EH9" s="43">
        <f t="shared" si="22"/>
        <v>0</v>
      </c>
      <c r="EI9" s="43">
        <f t="shared" si="22"/>
        <v>0</v>
      </c>
      <c r="EJ9" s="43">
        <f t="shared" si="22"/>
        <v>0</v>
      </c>
      <c r="EK9" s="43">
        <f t="shared" si="22"/>
        <v>0</v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</row>
    <row r="10" spans="1:161" ht="14.25" x14ac:dyDescent="0.15">
      <c r="A10" s="46"/>
      <c r="B10" s="43" t="e">
        <f t="shared" si="2"/>
        <v>#DIV/0!</v>
      </c>
      <c r="C10" s="43" t="e">
        <f t="shared" si="3"/>
        <v>#DIV/0!</v>
      </c>
      <c r="D10" s="43" t="e">
        <f t="shared" si="4"/>
        <v>#DIV/0!</v>
      </c>
      <c r="E10" s="43" t="e">
        <f t="shared" si="5"/>
        <v>#DIV/0!</v>
      </c>
      <c r="F10" s="43" t="e">
        <f t="shared" si="6"/>
        <v>#DIV/0!</v>
      </c>
      <c r="G10" s="43" t="e">
        <f t="shared" si="7"/>
        <v>#DIV/0!</v>
      </c>
      <c r="H10" s="43" t="e">
        <f t="shared" si="8"/>
        <v>#DIV/0!</v>
      </c>
      <c r="I10" s="43" t="e">
        <f t="shared" si="9"/>
        <v>#DIV/0!</v>
      </c>
      <c r="J10" s="43" t="e">
        <f t="shared" si="10"/>
        <v>#DIV/0!</v>
      </c>
      <c r="K10" s="43" t="e">
        <f t="shared" si="11"/>
        <v>#DIV/0!</v>
      </c>
      <c r="L10" s="43" t="e">
        <f t="shared" si="12"/>
        <v>#DIV/0!</v>
      </c>
      <c r="M10" s="43" t="e">
        <f t="shared" si="13"/>
        <v>#DIV/0!</v>
      </c>
      <c r="N10" s="43" t="e">
        <f t="shared" si="14"/>
        <v>#DIV/0!</v>
      </c>
      <c r="O10" s="43" t="e">
        <f t="shared" si="15"/>
        <v>#DIV/0!</v>
      </c>
      <c r="P10" s="43" t="e">
        <f t="shared" si="16"/>
        <v>#DIV/0!</v>
      </c>
      <c r="Q10" s="43" t="e">
        <f t="shared" si="17"/>
        <v>#DIV/0!</v>
      </c>
      <c r="R10" s="43" t="e">
        <f t="shared" si="18"/>
        <v>#DIV/0!</v>
      </c>
      <c r="S10" s="43" t="e">
        <f t="shared" si="19"/>
        <v>#DIV/0!</v>
      </c>
      <c r="T10" s="43" t="e">
        <f t="shared" si="20"/>
        <v>#DIV/0!</v>
      </c>
      <c r="U10" s="43" t="e">
        <f t="shared" si="21"/>
        <v>#DIV/0!</v>
      </c>
      <c r="V10" s="53" t="e">
        <f>V9+ATM_Conf!$C$5*(B9)/(B197*V197)</f>
        <v>#DIV/0!</v>
      </c>
      <c r="W10" s="53" t="e">
        <f>W9+ATM_Conf!$C$5*(C9-B9)/(C197*W197)</f>
        <v>#DIV/0!</v>
      </c>
      <c r="X10" s="53" t="e">
        <f>X9+ATM_Conf!$C$5*(D9-C9)/(D197*X197)</f>
        <v>#DIV/0!</v>
      </c>
      <c r="Y10" s="53" t="e">
        <f>Y9+ATM_Conf!$C$5*(E9-D9)/(E197*Y197)</f>
        <v>#DIV/0!</v>
      </c>
      <c r="Z10" s="53" t="e">
        <f>Z9+ATM_Conf!$C$5*(F9-E9)/(F197*Z197)</f>
        <v>#DIV/0!</v>
      </c>
      <c r="AA10" s="53" t="e">
        <f>AA9+ATM_Conf!$C$5*(G9-F9)/(G197*AA197)</f>
        <v>#DIV/0!</v>
      </c>
      <c r="AB10" s="53" t="e">
        <f>AB9+ATM_Conf!$C$5*(H9-G9)/(H197*AB197)</f>
        <v>#DIV/0!</v>
      </c>
      <c r="AC10" s="53" t="e">
        <f>AC9+ATM_Conf!$C$5*(I9-H9)/(I197*AC197)</f>
        <v>#DIV/0!</v>
      </c>
      <c r="AD10" s="53" t="e">
        <f>AD9+ATM_Conf!$C$5*(J9-I9)/(J197*AD197)</f>
        <v>#DIV/0!</v>
      </c>
      <c r="AE10" s="53" t="e">
        <f>AE9+ATM_Conf!$C$5*(K9-J9)/(K197*AE197)</f>
        <v>#DIV/0!</v>
      </c>
      <c r="AF10" s="53" t="e">
        <f>AF9+ATM_Conf!$C$5*(L9)/(L197*AF197)</f>
        <v>#DIV/0!</v>
      </c>
      <c r="AG10" s="53" t="e">
        <f>AG9+ATM_Conf!$C$5*(M9-L9)/(M197*AG197)</f>
        <v>#DIV/0!</v>
      </c>
      <c r="AH10" s="53" t="e">
        <f>AH9+ATM_Conf!$C$5*(N9-M9)/(N197*AH197)</f>
        <v>#DIV/0!</v>
      </c>
      <c r="AI10" s="53" t="e">
        <f>AI9+ATM_Conf!$C$5*(O9-N9)/(O197*AI197)</f>
        <v>#DIV/0!</v>
      </c>
      <c r="AJ10" s="53" t="e">
        <f>AJ9+ATM_Conf!$C$5*(P9-O9)/(P197*AJ197)</f>
        <v>#DIV/0!</v>
      </c>
      <c r="AK10" s="53" t="e">
        <f>AK9+ATM_Conf!$C$5*(Q9-P9)/(Q197*AK197)</f>
        <v>#DIV/0!</v>
      </c>
      <c r="AL10" s="53" t="e">
        <f>AL9+ATM_Conf!$C$5*(R9-Q9)/(R197*AL197)</f>
        <v>#DIV/0!</v>
      </c>
      <c r="AM10" s="53" t="e">
        <f>AM9+ATM_Conf!$C$5*(S9-R9)/(S197*AM197)</f>
        <v>#DIV/0!</v>
      </c>
      <c r="AN10" s="53" t="e">
        <f>AN9+ATM_Conf!$C$5*(T9-S9)/(T197*AN197)</f>
        <v>#DIV/0!</v>
      </c>
      <c r="AO10" s="53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3" t="e">
        <f>AY9+(ATM_Conf!$C$5/ATM_Conf!$C$8)*(BS10*EXP(-(1/DG10)*(AE10/CM10)^DG10)-AY9)+(ATM_Conf!$C$5/AE197)*AY9*(Nodes!BF9-AY9)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43">
        <f t="shared" si="23"/>
        <v>0</v>
      </c>
      <c r="DS10" s="43">
        <f t="shared" si="22"/>
        <v>0</v>
      </c>
      <c r="DT10" s="43">
        <f t="shared" si="22"/>
        <v>0</v>
      </c>
      <c r="DU10" s="43">
        <f t="shared" si="22"/>
        <v>0</v>
      </c>
      <c r="DV10" s="43">
        <f t="shared" si="22"/>
        <v>0</v>
      </c>
      <c r="DW10" s="43">
        <f t="shared" si="22"/>
        <v>0</v>
      </c>
      <c r="DX10" s="43">
        <f t="shared" si="22"/>
        <v>0</v>
      </c>
      <c r="DY10" s="43">
        <f t="shared" si="22"/>
        <v>0</v>
      </c>
      <c r="DZ10" s="43">
        <f t="shared" si="22"/>
        <v>0</v>
      </c>
      <c r="EA10" s="43">
        <f t="shared" si="22"/>
        <v>0</v>
      </c>
      <c r="EB10" s="43">
        <f t="shared" si="22"/>
        <v>0</v>
      </c>
      <c r="EC10" s="43">
        <f t="shared" si="22"/>
        <v>0</v>
      </c>
      <c r="ED10" s="43">
        <f t="shared" si="22"/>
        <v>0</v>
      </c>
      <c r="EE10" s="43">
        <f t="shared" si="22"/>
        <v>0</v>
      </c>
      <c r="EF10" s="43">
        <f t="shared" si="22"/>
        <v>0</v>
      </c>
      <c r="EG10" s="43">
        <f t="shared" si="22"/>
        <v>0</v>
      </c>
      <c r="EH10" s="43">
        <f t="shared" si="22"/>
        <v>0</v>
      </c>
      <c r="EI10" s="43">
        <f t="shared" si="22"/>
        <v>0</v>
      </c>
      <c r="EJ10" s="43">
        <f t="shared" si="22"/>
        <v>0</v>
      </c>
      <c r="EK10" s="43">
        <f t="shared" si="22"/>
        <v>0</v>
      </c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47"/>
      <c r="FC10" s="47"/>
      <c r="FD10" s="47"/>
      <c r="FE10" s="47"/>
    </row>
    <row r="11" spans="1:161" ht="14.25" x14ac:dyDescent="0.15">
      <c r="A11" s="46"/>
      <c r="B11" s="43" t="e">
        <f t="shared" si="2"/>
        <v>#DIV/0!</v>
      </c>
      <c r="C11" s="43" t="e">
        <f t="shared" si="3"/>
        <v>#DIV/0!</v>
      </c>
      <c r="D11" s="43" t="e">
        <f t="shared" si="4"/>
        <v>#DIV/0!</v>
      </c>
      <c r="E11" s="43" t="e">
        <f t="shared" si="5"/>
        <v>#DIV/0!</v>
      </c>
      <c r="F11" s="43" t="e">
        <f t="shared" si="6"/>
        <v>#DIV/0!</v>
      </c>
      <c r="G11" s="43" t="e">
        <f t="shared" si="7"/>
        <v>#DIV/0!</v>
      </c>
      <c r="H11" s="43" t="e">
        <f t="shared" si="8"/>
        <v>#DIV/0!</v>
      </c>
      <c r="I11" s="43" t="e">
        <f t="shared" si="9"/>
        <v>#DIV/0!</v>
      </c>
      <c r="J11" s="43" t="e">
        <f t="shared" si="10"/>
        <v>#DIV/0!</v>
      </c>
      <c r="K11" s="43" t="e">
        <f t="shared" si="11"/>
        <v>#DIV/0!</v>
      </c>
      <c r="L11" s="43" t="e">
        <f t="shared" si="12"/>
        <v>#DIV/0!</v>
      </c>
      <c r="M11" s="43" t="e">
        <f t="shared" si="13"/>
        <v>#DIV/0!</v>
      </c>
      <c r="N11" s="43" t="e">
        <f t="shared" si="14"/>
        <v>#DIV/0!</v>
      </c>
      <c r="O11" s="43" t="e">
        <f t="shared" si="15"/>
        <v>#DIV/0!</v>
      </c>
      <c r="P11" s="43" t="e">
        <f t="shared" si="16"/>
        <v>#DIV/0!</v>
      </c>
      <c r="Q11" s="43" t="e">
        <f t="shared" si="17"/>
        <v>#DIV/0!</v>
      </c>
      <c r="R11" s="43" t="e">
        <f t="shared" si="18"/>
        <v>#DIV/0!</v>
      </c>
      <c r="S11" s="43" t="e">
        <f t="shared" si="19"/>
        <v>#DIV/0!</v>
      </c>
      <c r="T11" s="43" t="e">
        <f t="shared" si="20"/>
        <v>#DIV/0!</v>
      </c>
      <c r="U11" s="43" t="e">
        <f t="shared" si="21"/>
        <v>#DIV/0!</v>
      </c>
      <c r="V11" s="53" t="e">
        <f>V10+ATM_Conf!$C$5*(B10)/(B198*V198)</f>
        <v>#DIV/0!</v>
      </c>
      <c r="W11" s="53" t="e">
        <f>W10+ATM_Conf!$C$5*(C10-B10)/(C198*W198)</f>
        <v>#DIV/0!</v>
      </c>
      <c r="X11" s="53" t="e">
        <f>X10+ATM_Conf!$C$5*(D10-C10)/(D198*X198)</f>
        <v>#DIV/0!</v>
      </c>
      <c r="Y11" s="53" t="e">
        <f>Y10+ATM_Conf!$C$5*(E10-D10)/(E198*Y198)</f>
        <v>#DIV/0!</v>
      </c>
      <c r="Z11" s="53" t="e">
        <f>Z10+ATM_Conf!$C$5*(F10-E10)/(F198*Z198)</f>
        <v>#DIV/0!</v>
      </c>
      <c r="AA11" s="53" t="e">
        <f>AA10+ATM_Conf!$C$5*(G10-F10)/(G198*AA198)</f>
        <v>#DIV/0!</v>
      </c>
      <c r="AB11" s="53" t="e">
        <f>AB10+ATM_Conf!$C$5*(H10-G10)/(H198*AB198)</f>
        <v>#DIV/0!</v>
      </c>
      <c r="AC11" s="53" t="e">
        <f>AC10+ATM_Conf!$C$5*(I10-H10)/(I198*AC198)</f>
        <v>#DIV/0!</v>
      </c>
      <c r="AD11" s="53" t="e">
        <f>AD10+ATM_Conf!$C$5*(J10-I10)/(J198*AD198)</f>
        <v>#DIV/0!</v>
      </c>
      <c r="AE11" s="53" t="e">
        <f>AE10+ATM_Conf!$C$5*(K10-J10)/(K198*AE198)</f>
        <v>#DIV/0!</v>
      </c>
      <c r="AF11" s="53" t="e">
        <f>AF10+ATM_Conf!$C$5*(L10)/(L198*AF198)</f>
        <v>#DIV/0!</v>
      </c>
      <c r="AG11" s="53" t="e">
        <f>AG10+ATM_Conf!$C$5*(M10-L10)/(M198*AG198)</f>
        <v>#DIV/0!</v>
      </c>
      <c r="AH11" s="53" t="e">
        <f>AH10+ATM_Conf!$C$5*(N10-M10)/(N198*AH198)</f>
        <v>#DIV/0!</v>
      </c>
      <c r="AI11" s="53" t="e">
        <f>AI10+ATM_Conf!$C$5*(O10-N10)/(O198*AI198)</f>
        <v>#DIV/0!</v>
      </c>
      <c r="AJ11" s="53" t="e">
        <f>AJ10+ATM_Conf!$C$5*(P10-O10)/(P198*AJ198)</f>
        <v>#DIV/0!</v>
      </c>
      <c r="AK11" s="53" t="e">
        <f>AK10+ATM_Conf!$C$5*(Q10-P10)/(Q198*AK198)</f>
        <v>#DIV/0!</v>
      </c>
      <c r="AL11" s="53" t="e">
        <f>AL10+ATM_Conf!$C$5*(R10-Q10)/(R198*AL198)</f>
        <v>#DIV/0!</v>
      </c>
      <c r="AM11" s="53" t="e">
        <f>AM10+ATM_Conf!$C$5*(S10-R10)/(S198*AM198)</f>
        <v>#DIV/0!</v>
      </c>
      <c r="AN11" s="53" t="e">
        <f>AN10+ATM_Conf!$C$5*(T10-S10)/(T198*AN198)</f>
        <v>#DIV/0!</v>
      </c>
      <c r="AO11" s="53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43">
        <f t="shared" si="23"/>
        <v>0</v>
      </c>
      <c r="DS11" s="43">
        <f t="shared" si="22"/>
        <v>0</v>
      </c>
      <c r="DT11" s="43">
        <f t="shared" si="22"/>
        <v>0</v>
      </c>
      <c r="DU11" s="43">
        <f t="shared" si="22"/>
        <v>0</v>
      </c>
      <c r="DV11" s="43">
        <f t="shared" si="22"/>
        <v>0</v>
      </c>
      <c r="DW11" s="43">
        <f t="shared" si="22"/>
        <v>0</v>
      </c>
      <c r="DX11" s="43">
        <f t="shared" si="22"/>
        <v>0</v>
      </c>
      <c r="DY11" s="43">
        <f t="shared" si="22"/>
        <v>0</v>
      </c>
      <c r="DZ11" s="43">
        <f t="shared" si="22"/>
        <v>0</v>
      </c>
      <c r="EA11" s="43">
        <f t="shared" si="22"/>
        <v>0</v>
      </c>
      <c r="EB11" s="43">
        <f t="shared" si="22"/>
        <v>0</v>
      </c>
      <c r="EC11" s="43">
        <f t="shared" si="22"/>
        <v>0</v>
      </c>
      <c r="ED11" s="43">
        <f t="shared" si="22"/>
        <v>0</v>
      </c>
      <c r="EE11" s="43">
        <f t="shared" si="22"/>
        <v>0</v>
      </c>
      <c r="EF11" s="43">
        <f t="shared" si="22"/>
        <v>0</v>
      </c>
      <c r="EG11" s="43">
        <f t="shared" si="22"/>
        <v>0</v>
      </c>
      <c r="EH11" s="43">
        <f t="shared" si="22"/>
        <v>0</v>
      </c>
      <c r="EI11" s="43">
        <f t="shared" si="22"/>
        <v>0</v>
      </c>
      <c r="EJ11" s="43">
        <f t="shared" si="22"/>
        <v>0</v>
      </c>
      <c r="EK11" s="43">
        <f t="shared" si="22"/>
        <v>0</v>
      </c>
      <c r="EL11" s="47"/>
      <c r="EM11" s="47"/>
      <c r="EN11" s="47"/>
      <c r="EO11" s="47"/>
      <c r="EP11" s="47"/>
      <c r="EQ11" s="47"/>
      <c r="ER11" s="47"/>
      <c r="ES11" s="47"/>
      <c r="ET11" s="47"/>
      <c r="EU11" s="47"/>
      <c r="EV11" s="47"/>
      <c r="EW11" s="47"/>
      <c r="EX11" s="47"/>
      <c r="EY11" s="47"/>
      <c r="EZ11" s="47"/>
      <c r="FA11" s="47"/>
      <c r="FB11" s="47"/>
      <c r="FC11" s="47"/>
      <c r="FD11" s="47"/>
      <c r="FE11" s="47"/>
    </row>
    <row r="12" spans="1:161" ht="14.25" x14ac:dyDescent="0.15">
      <c r="A12" s="46"/>
      <c r="B12" s="43" t="e">
        <f t="shared" si="2"/>
        <v>#DIV/0!</v>
      </c>
      <c r="C12" s="43" t="e">
        <f t="shared" si="3"/>
        <v>#DIV/0!</v>
      </c>
      <c r="D12" s="43" t="e">
        <f t="shared" si="4"/>
        <v>#DIV/0!</v>
      </c>
      <c r="E12" s="43" t="e">
        <f t="shared" si="5"/>
        <v>#DIV/0!</v>
      </c>
      <c r="F12" s="43" t="e">
        <f t="shared" si="6"/>
        <v>#DIV/0!</v>
      </c>
      <c r="G12" s="43" t="e">
        <f t="shared" si="7"/>
        <v>#DIV/0!</v>
      </c>
      <c r="H12" s="43" t="e">
        <f t="shared" si="8"/>
        <v>#DIV/0!</v>
      </c>
      <c r="I12" s="43" t="e">
        <f t="shared" si="9"/>
        <v>#DIV/0!</v>
      </c>
      <c r="J12" s="43" t="e">
        <f t="shared" si="10"/>
        <v>#DIV/0!</v>
      </c>
      <c r="K12" s="43" t="e">
        <f t="shared" si="11"/>
        <v>#DIV/0!</v>
      </c>
      <c r="L12" s="43" t="e">
        <f t="shared" si="12"/>
        <v>#DIV/0!</v>
      </c>
      <c r="M12" s="43" t="e">
        <f t="shared" si="13"/>
        <v>#DIV/0!</v>
      </c>
      <c r="N12" s="43" t="e">
        <f t="shared" si="14"/>
        <v>#DIV/0!</v>
      </c>
      <c r="O12" s="43" t="e">
        <f t="shared" si="15"/>
        <v>#DIV/0!</v>
      </c>
      <c r="P12" s="43" t="e">
        <f t="shared" si="16"/>
        <v>#DIV/0!</v>
      </c>
      <c r="Q12" s="43" t="e">
        <f t="shared" si="17"/>
        <v>#DIV/0!</v>
      </c>
      <c r="R12" s="43" t="e">
        <f t="shared" si="18"/>
        <v>#DIV/0!</v>
      </c>
      <c r="S12" s="43" t="e">
        <f t="shared" si="19"/>
        <v>#DIV/0!</v>
      </c>
      <c r="T12" s="43" t="e">
        <f t="shared" si="20"/>
        <v>#DIV/0!</v>
      </c>
      <c r="U12" s="43" t="e">
        <f t="shared" si="21"/>
        <v>#DIV/0!</v>
      </c>
      <c r="V12" s="53" t="e">
        <f>V11+ATM_Conf!$C$5*(B11)/(B199*V199)</f>
        <v>#DIV/0!</v>
      </c>
      <c r="W12" s="53" t="e">
        <f>W11+ATM_Conf!$C$5*(C11-B11)/(C199*W199)</f>
        <v>#DIV/0!</v>
      </c>
      <c r="X12" s="53" t="e">
        <f>X11+ATM_Conf!$C$5*(D11-C11)/(D199*X199)</f>
        <v>#DIV/0!</v>
      </c>
      <c r="Y12" s="53" t="e">
        <f>Y11+ATM_Conf!$C$5*(E11-D11)/(E199*Y199)</f>
        <v>#DIV/0!</v>
      </c>
      <c r="Z12" s="53" t="e">
        <f>Z11+ATM_Conf!$C$5*(F11-E11)/(F199*Z199)</f>
        <v>#DIV/0!</v>
      </c>
      <c r="AA12" s="53" t="e">
        <f>AA11+ATM_Conf!$C$5*(G11-F11)/(G199*AA199)</f>
        <v>#DIV/0!</v>
      </c>
      <c r="AB12" s="53" t="e">
        <f>AB11+ATM_Conf!$C$5*(H11-G11)/(H199*AB199)</f>
        <v>#DIV/0!</v>
      </c>
      <c r="AC12" s="53" t="e">
        <f>AC11+ATM_Conf!$C$5*(I11-H11)/(I199*AC199)</f>
        <v>#DIV/0!</v>
      </c>
      <c r="AD12" s="53" t="e">
        <f>AD11+ATM_Conf!$C$5*(J11-I11)/(J199*AD199)</f>
        <v>#DIV/0!</v>
      </c>
      <c r="AE12" s="53" t="e">
        <f>AE11+ATM_Conf!$C$5*(K11-J11)/(K199*AE199)</f>
        <v>#DIV/0!</v>
      </c>
      <c r="AF12" s="53" t="e">
        <f>AF11+ATM_Conf!$C$5*(L11)/(L199*AF199)</f>
        <v>#DIV/0!</v>
      </c>
      <c r="AG12" s="53" t="e">
        <f>AG11+ATM_Conf!$C$5*(M11-L11)/(M199*AG199)</f>
        <v>#DIV/0!</v>
      </c>
      <c r="AH12" s="53" t="e">
        <f>AH11+ATM_Conf!$C$5*(N11-M11)/(N199*AH199)</f>
        <v>#DIV/0!</v>
      </c>
      <c r="AI12" s="53" t="e">
        <f>AI11+ATM_Conf!$C$5*(O11-N11)/(O199*AI199)</f>
        <v>#DIV/0!</v>
      </c>
      <c r="AJ12" s="53" t="e">
        <f>AJ11+ATM_Conf!$C$5*(P11-O11)/(P199*AJ199)</f>
        <v>#DIV/0!</v>
      </c>
      <c r="AK12" s="53" t="e">
        <f>AK11+ATM_Conf!$C$5*(Q11-P11)/(Q199*AK199)</f>
        <v>#DIV/0!</v>
      </c>
      <c r="AL12" s="53" t="e">
        <f>AL11+ATM_Conf!$C$5*(R11-Q11)/(R199*AL199)</f>
        <v>#DIV/0!</v>
      </c>
      <c r="AM12" s="53" t="e">
        <f>AM11+ATM_Conf!$C$5*(S11-R11)/(S199*AM199)</f>
        <v>#DIV/0!</v>
      </c>
      <c r="AN12" s="53" t="e">
        <f>AN11+ATM_Conf!$C$5*(T11-S11)/(T199*AN199)</f>
        <v>#DIV/0!</v>
      </c>
      <c r="AO12" s="53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43">
        <f t="shared" si="23"/>
        <v>0</v>
      </c>
      <c r="DS12" s="43">
        <f t="shared" si="22"/>
        <v>0</v>
      </c>
      <c r="DT12" s="43">
        <f t="shared" si="22"/>
        <v>0</v>
      </c>
      <c r="DU12" s="43">
        <f t="shared" si="22"/>
        <v>0</v>
      </c>
      <c r="DV12" s="43">
        <f t="shared" si="22"/>
        <v>0</v>
      </c>
      <c r="DW12" s="43">
        <f t="shared" si="22"/>
        <v>0</v>
      </c>
      <c r="DX12" s="43">
        <f t="shared" si="22"/>
        <v>0</v>
      </c>
      <c r="DY12" s="43">
        <f t="shared" si="22"/>
        <v>0</v>
      </c>
      <c r="DZ12" s="43">
        <f t="shared" si="22"/>
        <v>0</v>
      </c>
      <c r="EA12" s="43">
        <f t="shared" si="22"/>
        <v>0</v>
      </c>
      <c r="EB12" s="43">
        <f t="shared" si="22"/>
        <v>0</v>
      </c>
      <c r="EC12" s="43">
        <f t="shared" si="22"/>
        <v>0</v>
      </c>
      <c r="ED12" s="43">
        <f t="shared" si="22"/>
        <v>0</v>
      </c>
      <c r="EE12" s="43">
        <f t="shared" si="22"/>
        <v>0</v>
      </c>
      <c r="EF12" s="43">
        <f t="shared" si="22"/>
        <v>0</v>
      </c>
      <c r="EG12" s="43">
        <f t="shared" si="22"/>
        <v>0</v>
      </c>
      <c r="EH12" s="43">
        <f t="shared" si="22"/>
        <v>0</v>
      </c>
      <c r="EI12" s="43">
        <f t="shared" si="22"/>
        <v>0</v>
      </c>
      <c r="EJ12" s="43">
        <f t="shared" si="22"/>
        <v>0</v>
      </c>
      <c r="EK12" s="43">
        <f t="shared" si="22"/>
        <v>0</v>
      </c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</row>
    <row r="13" spans="1:161" ht="14.25" x14ac:dyDescent="0.15">
      <c r="A13" s="46"/>
      <c r="B13" s="43" t="e">
        <f t="shared" si="2"/>
        <v>#DIV/0!</v>
      </c>
      <c r="C13" s="43" t="e">
        <f t="shared" si="3"/>
        <v>#DIV/0!</v>
      </c>
      <c r="D13" s="43" t="e">
        <f t="shared" si="4"/>
        <v>#DIV/0!</v>
      </c>
      <c r="E13" s="43" t="e">
        <f t="shared" si="5"/>
        <v>#DIV/0!</v>
      </c>
      <c r="F13" s="43" t="e">
        <f t="shared" si="6"/>
        <v>#DIV/0!</v>
      </c>
      <c r="G13" s="43" t="e">
        <f t="shared" si="7"/>
        <v>#DIV/0!</v>
      </c>
      <c r="H13" s="43" t="e">
        <f t="shared" si="8"/>
        <v>#DIV/0!</v>
      </c>
      <c r="I13" s="43" t="e">
        <f t="shared" si="9"/>
        <v>#DIV/0!</v>
      </c>
      <c r="J13" s="43" t="e">
        <f t="shared" si="10"/>
        <v>#DIV/0!</v>
      </c>
      <c r="K13" s="43" t="e">
        <f t="shared" si="11"/>
        <v>#DIV/0!</v>
      </c>
      <c r="L13" s="43" t="e">
        <f t="shared" si="12"/>
        <v>#DIV/0!</v>
      </c>
      <c r="M13" s="43" t="e">
        <f t="shared" si="13"/>
        <v>#DIV/0!</v>
      </c>
      <c r="N13" s="43" t="e">
        <f t="shared" si="14"/>
        <v>#DIV/0!</v>
      </c>
      <c r="O13" s="43" t="e">
        <f t="shared" si="15"/>
        <v>#DIV/0!</v>
      </c>
      <c r="P13" s="43" t="e">
        <f t="shared" si="16"/>
        <v>#DIV/0!</v>
      </c>
      <c r="Q13" s="43" t="e">
        <f t="shared" si="17"/>
        <v>#DIV/0!</v>
      </c>
      <c r="R13" s="43" t="e">
        <f t="shared" si="18"/>
        <v>#DIV/0!</v>
      </c>
      <c r="S13" s="43" t="e">
        <f t="shared" si="19"/>
        <v>#DIV/0!</v>
      </c>
      <c r="T13" s="43" t="e">
        <f t="shared" si="20"/>
        <v>#DIV/0!</v>
      </c>
      <c r="U13" s="43" t="e">
        <f t="shared" si="21"/>
        <v>#DIV/0!</v>
      </c>
      <c r="V13" s="53" t="e">
        <f>V12+ATM_Conf!$C$5*(B12)/(B200*V200)</f>
        <v>#DIV/0!</v>
      </c>
      <c r="W13" s="53" t="e">
        <f>W12+ATM_Conf!$C$5*(C12-B12)/(C200*W200)</f>
        <v>#DIV/0!</v>
      </c>
      <c r="X13" s="53" t="e">
        <f>X12+ATM_Conf!$C$5*(D12-C12)/(D200*X200)</f>
        <v>#DIV/0!</v>
      </c>
      <c r="Y13" s="53" t="e">
        <f>Y12+ATM_Conf!$C$5*(E12-D12)/(E200*Y200)</f>
        <v>#DIV/0!</v>
      </c>
      <c r="Z13" s="53" t="e">
        <f>Z12+ATM_Conf!$C$5*(F12-E12)/(F200*Z200)</f>
        <v>#DIV/0!</v>
      </c>
      <c r="AA13" s="53" t="e">
        <f>AA12+ATM_Conf!$C$5*(G12-F12)/(G200*AA200)</f>
        <v>#DIV/0!</v>
      </c>
      <c r="AB13" s="53" t="e">
        <f>AB12+ATM_Conf!$C$5*(H12-G12)/(H200*AB200)</f>
        <v>#DIV/0!</v>
      </c>
      <c r="AC13" s="53" t="e">
        <f>AC12+ATM_Conf!$C$5*(I12-H12)/(I200*AC200)</f>
        <v>#DIV/0!</v>
      </c>
      <c r="AD13" s="53" t="e">
        <f>AD12+ATM_Conf!$C$5*(J12-I12)/(J200*AD200)</f>
        <v>#DIV/0!</v>
      </c>
      <c r="AE13" s="53" t="e">
        <f>AE12+ATM_Conf!$C$5*(K12-J12)/(K200*AE200)</f>
        <v>#DIV/0!</v>
      </c>
      <c r="AF13" s="53" t="e">
        <f>AF12+ATM_Conf!$C$5*(L12)/(L200*AF200)</f>
        <v>#DIV/0!</v>
      </c>
      <c r="AG13" s="53" t="e">
        <f>AG12+ATM_Conf!$C$5*(M12-L12)/(M200*AG200)</f>
        <v>#DIV/0!</v>
      </c>
      <c r="AH13" s="53" t="e">
        <f>AH12+ATM_Conf!$C$5*(N12-M12)/(N200*AH200)</f>
        <v>#DIV/0!</v>
      </c>
      <c r="AI13" s="53" t="e">
        <f>AI12+ATM_Conf!$C$5*(O12-N12)/(O200*AI200)</f>
        <v>#DIV/0!</v>
      </c>
      <c r="AJ13" s="53" t="e">
        <f>AJ12+ATM_Conf!$C$5*(P12-O12)/(P200*AJ200)</f>
        <v>#DIV/0!</v>
      </c>
      <c r="AK13" s="53" t="e">
        <f>AK12+ATM_Conf!$C$5*(Q12-P12)/(Q200*AK200)</f>
        <v>#DIV/0!</v>
      </c>
      <c r="AL13" s="53" t="e">
        <f>AL12+ATM_Conf!$C$5*(R12-Q12)/(R200*AL200)</f>
        <v>#DIV/0!</v>
      </c>
      <c r="AM13" s="53" t="e">
        <f>AM12+ATM_Conf!$C$5*(S12-R12)/(S200*AM200)</f>
        <v>#DIV/0!</v>
      </c>
      <c r="AN13" s="53" t="e">
        <f>AN12+ATM_Conf!$C$5*(T12-S12)/(T200*AN200)</f>
        <v>#DIV/0!</v>
      </c>
      <c r="AO13" s="53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43">
        <f t="shared" si="23"/>
        <v>0</v>
      </c>
      <c r="DS13" s="43">
        <f t="shared" si="22"/>
        <v>0</v>
      </c>
      <c r="DT13" s="43">
        <f t="shared" si="22"/>
        <v>0</v>
      </c>
      <c r="DU13" s="43">
        <f t="shared" si="22"/>
        <v>0</v>
      </c>
      <c r="DV13" s="43">
        <f t="shared" si="22"/>
        <v>0</v>
      </c>
      <c r="DW13" s="43">
        <f t="shared" si="22"/>
        <v>0</v>
      </c>
      <c r="DX13" s="43">
        <f t="shared" si="22"/>
        <v>0</v>
      </c>
      <c r="DY13" s="43">
        <f t="shared" si="22"/>
        <v>0</v>
      </c>
      <c r="DZ13" s="43">
        <f t="shared" si="22"/>
        <v>0</v>
      </c>
      <c r="EA13" s="43">
        <f t="shared" si="22"/>
        <v>0</v>
      </c>
      <c r="EB13" s="43">
        <f t="shared" si="22"/>
        <v>0</v>
      </c>
      <c r="EC13" s="43">
        <f t="shared" si="22"/>
        <v>0</v>
      </c>
      <c r="ED13" s="43">
        <f t="shared" si="22"/>
        <v>0</v>
      </c>
      <c r="EE13" s="43">
        <f t="shared" si="22"/>
        <v>0</v>
      </c>
      <c r="EF13" s="43">
        <f t="shared" si="22"/>
        <v>0</v>
      </c>
      <c r="EG13" s="43">
        <f t="shared" si="22"/>
        <v>0</v>
      </c>
      <c r="EH13" s="43">
        <f t="shared" si="22"/>
        <v>0</v>
      </c>
      <c r="EI13" s="43">
        <f t="shared" si="22"/>
        <v>0</v>
      </c>
      <c r="EJ13" s="43">
        <f t="shared" si="22"/>
        <v>0</v>
      </c>
      <c r="EK13" s="43">
        <f t="shared" si="22"/>
        <v>0</v>
      </c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47"/>
      <c r="FC13" s="47"/>
      <c r="FD13" s="47"/>
      <c r="FE13" s="47"/>
    </row>
    <row r="14" spans="1:161" ht="14.25" x14ac:dyDescent="0.15">
      <c r="A14" s="46"/>
      <c r="B14" s="43" t="e">
        <f t="shared" si="2"/>
        <v>#DIV/0!</v>
      </c>
      <c r="C14" s="43" t="e">
        <f t="shared" si="3"/>
        <v>#DIV/0!</v>
      </c>
      <c r="D14" s="43" t="e">
        <f t="shared" si="4"/>
        <v>#DIV/0!</v>
      </c>
      <c r="E14" s="43" t="e">
        <f t="shared" si="5"/>
        <v>#DIV/0!</v>
      </c>
      <c r="F14" s="43" t="e">
        <f t="shared" si="6"/>
        <v>#DIV/0!</v>
      </c>
      <c r="G14" s="43" t="e">
        <f t="shared" si="7"/>
        <v>#DIV/0!</v>
      </c>
      <c r="H14" s="43" t="e">
        <f t="shared" si="8"/>
        <v>#DIV/0!</v>
      </c>
      <c r="I14" s="43" t="e">
        <f t="shared" si="9"/>
        <v>#DIV/0!</v>
      </c>
      <c r="J14" s="43" t="e">
        <f t="shared" si="10"/>
        <v>#DIV/0!</v>
      </c>
      <c r="K14" s="43" t="e">
        <f t="shared" si="11"/>
        <v>#DIV/0!</v>
      </c>
      <c r="L14" s="43" t="e">
        <f t="shared" si="12"/>
        <v>#DIV/0!</v>
      </c>
      <c r="M14" s="43" t="e">
        <f t="shared" si="13"/>
        <v>#DIV/0!</v>
      </c>
      <c r="N14" s="43" t="e">
        <f t="shared" si="14"/>
        <v>#DIV/0!</v>
      </c>
      <c r="O14" s="43" t="e">
        <f t="shared" si="15"/>
        <v>#DIV/0!</v>
      </c>
      <c r="P14" s="43" t="e">
        <f t="shared" si="16"/>
        <v>#DIV/0!</v>
      </c>
      <c r="Q14" s="43" t="e">
        <f t="shared" si="17"/>
        <v>#DIV/0!</v>
      </c>
      <c r="R14" s="43" t="e">
        <f t="shared" si="18"/>
        <v>#DIV/0!</v>
      </c>
      <c r="S14" s="43" t="e">
        <f t="shared" si="19"/>
        <v>#DIV/0!</v>
      </c>
      <c r="T14" s="43" t="e">
        <f t="shared" si="20"/>
        <v>#DIV/0!</v>
      </c>
      <c r="U14" s="43" t="e">
        <f t="shared" si="21"/>
        <v>#DIV/0!</v>
      </c>
      <c r="V14" s="53" t="e">
        <f>V13+ATM_Conf!$C$5*(B13)/(B201*V201)</f>
        <v>#DIV/0!</v>
      </c>
      <c r="W14" s="53" t="e">
        <f>W13+ATM_Conf!$C$5*(C13-B13)/(C201*W201)</f>
        <v>#DIV/0!</v>
      </c>
      <c r="X14" s="53" t="e">
        <f>X13+ATM_Conf!$C$5*(D13-C13)/(D201*X201)</f>
        <v>#DIV/0!</v>
      </c>
      <c r="Y14" s="53" t="e">
        <f>Y13+ATM_Conf!$C$5*(E13-D13)/(E201*Y201)</f>
        <v>#DIV/0!</v>
      </c>
      <c r="Z14" s="53" t="e">
        <f>Z13+ATM_Conf!$C$5*(F13-E13)/(F201*Z201)</f>
        <v>#DIV/0!</v>
      </c>
      <c r="AA14" s="53" t="e">
        <f>AA13+ATM_Conf!$C$5*(G13-F13)/(G201*AA201)</f>
        <v>#DIV/0!</v>
      </c>
      <c r="AB14" s="53" t="e">
        <f>AB13+ATM_Conf!$C$5*(H13-G13)/(H201*AB201)</f>
        <v>#DIV/0!</v>
      </c>
      <c r="AC14" s="53" t="e">
        <f>AC13+ATM_Conf!$C$5*(I13-H13)/(I201*AC201)</f>
        <v>#DIV/0!</v>
      </c>
      <c r="AD14" s="53" t="e">
        <f>AD13+ATM_Conf!$C$5*(J13-I13)/(J201*AD201)</f>
        <v>#DIV/0!</v>
      </c>
      <c r="AE14" s="53" t="e">
        <f>AE13+ATM_Conf!$C$5*(K13-J13)/(K201*AE201)</f>
        <v>#DIV/0!</v>
      </c>
      <c r="AF14" s="53" t="e">
        <f>AF13+ATM_Conf!$C$5*(L13)/(L201*AF201)</f>
        <v>#DIV/0!</v>
      </c>
      <c r="AG14" s="53" t="e">
        <f>AG13+ATM_Conf!$C$5*(M13-L13)/(M201*AG201)</f>
        <v>#DIV/0!</v>
      </c>
      <c r="AH14" s="53" t="e">
        <f>AH13+ATM_Conf!$C$5*(N13-M13)/(N201*AH201)</f>
        <v>#DIV/0!</v>
      </c>
      <c r="AI14" s="53" t="e">
        <f>AI13+ATM_Conf!$C$5*(O13-N13)/(O201*AI201)</f>
        <v>#DIV/0!</v>
      </c>
      <c r="AJ14" s="53" t="e">
        <f>AJ13+ATM_Conf!$C$5*(P13-O13)/(P201*AJ201)</f>
        <v>#DIV/0!</v>
      </c>
      <c r="AK14" s="53" t="e">
        <f>AK13+ATM_Conf!$C$5*(Q13-P13)/(Q201*AK201)</f>
        <v>#DIV/0!</v>
      </c>
      <c r="AL14" s="53" t="e">
        <f>AL13+ATM_Conf!$C$5*(R13-Q13)/(R201*AL201)</f>
        <v>#DIV/0!</v>
      </c>
      <c r="AM14" s="53" t="e">
        <f>AM13+ATM_Conf!$C$5*(S13-R13)/(S201*AM201)</f>
        <v>#DIV/0!</v>
      </c>
      <c r="AN14" s="53" t="e">
        <f>AN13+ATM_Conf!$C$5*(T13-S13)/(T201*AN201)</f>
        <v>#DIV/0!</v>
      </c>
      <c r="AO14" s="53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43">
        <f t="shared" si="23"/>
        <v>0</v>
      </c>
      <c r="DS14" s="43">
        <f t="shared" si="22"/>
        <v>0</v>
      </c>
      <c r="DT14" s="43">
        <f t="shared" si="22"/>
        <v>0</v>
      </c>
      <c r="DU14" s="43">
        <f t="shared" si="22"/>
        <v>0</v>
      </c>
      <c r="DV14" s="43">
        <f t="shared" si="22"/>
        <v>0</v>
      </c>
      <c r="DW14" s="43">
        <f t="shared" si="22"/>
        <v>0</v>
      </c>
      <c r="DX14" s="43">
        <f t="shared" si="22"/>
        <v>0</v>
      </c>
      <c r="DY14" s="43">
        <f t="shared" si="22"/>
        <v>0</v>
      </c>
      <c r="DZ14" s="43">
        <f t="shared" si="22"/>
        <v>0</v>
      </c>
      <c r="EA14" s="43">
        <f t="shared" si="22"/>
        <v>0</v>
      </c>
      <c r="EB14" s="43">
        <f t="shared" si="22"/>
        <v>0</v>
      </c>
      <c r="EC14" s="43">
        <f t="shared" si="22"/>
        <v>0</v>
      </c>
      <c r="ED14" s="43">
        <f t="shared" si="22"/>
        <v>0</v>
      </c>
      <c r="EE14" s="43">
        <f t="shared" si="22"/>
        <v>0</v>
      </c>
      <c r="EF14" s="43">
        <f t="shared" si="22"/>
        <v>0</v>
      </c>
      <c r="EG14" s="43">
        <f t="shared" si="22"/>
        <v>0</v>
      </c>
      <c r="EH14" s="43">
        <f t="shared" si="22"/>
        <v>0</v>
      </c>
      <c r="EI14" s="43">
        <f t="shared" si="22"/>
        <v>0</v>
      </c>
      <c r="EJ14" s="43">
        <f t="shared" si="22"/>
        <v>0</v>
      </c>
      <c r="EK14" s="43">
        <f t="shared" si="22"/>
        <v>0</v>
      </c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</row>
    <row r="15" spans="1:161" ht="14.25" x14ac:dyDescent="0.15">
      <c r="A15" s="46"/>
      <c r="B15" s="43" t="e">
        <f t="shared" si="2"/>
        <v>#DIV/0!</v>
      </c>
      <c r="C15" s="43" t="e">
        <f t="shared" si="3"/>
        <v>#DIV/0!</v>
      </c>
      <c r="D15" s="43" t="e">
        <f t="shared" si="4"/>
        <v>#DIV/0!</v>
      </c>
      <c r="E15" s="43" t="e">
        <f t="shared" si="5"/>
        <v>#DIV/0!</v>
      </c>
      <c r="F15" s="43" t="e">
        <f t="shared" si="6"/>
        <v>#DIV/0!</v>
      </c>
      <c r="G15" s="43" t="e">
        <f t="shared" si="7"/>
        <v>#DIV/0!</v>
      </c>
      <c r="H15" s="43" t="e">
        <f t="shared" si="8"/>
        <v>#DIV/0!</v>
      </c>
      <c r="I15" s="43" t="e">
        <f t="shared" si="9"/>
        <v>#DIV/0!</v>
      </c>
      <c r="J15" s="43" t="e">
        <f t="shared" si="10"/>
        <v>#DIV/0!</v>
      </c>
      <c r="K15" s="43" t="e">
        <f t="shared" si="11"/>
        <v>#DIV/0!</v>
      </c>
      <c r="L15" s="43" t="e">
        <f t="shared" si="12"/>
        <v>#DIV/0!</v>
      </c>
      <c r="M15" s="43" t="e">
        <f t="shared" si="13"/>
        <v>#DIV/0!</v>
      </c>
      <c r="N15" s="43" t="e">
        <f t="shared" si="14"/>
        <v>#DIV/0!</v>
      </c>
      <c r="O15" s="43" t="e">
        <f t="shared" si="15"/>
        <v>#DIV/0!</v>
      </c>
      <c r="P15" s="43" t="e">
        <f t="shared" si="16"/>
        <v>#DIV/0!</v>
      </c>
      <c r="Q15" s="43" t="e">
        <f t="shared" si="17"/>
        <v>#DIV/0!</v>
      </c>
      <c r="R15" s="43" t="e">
        <f t="shared" si="18"/>
        <v>#DIV/0!</v>
      </c>
      <c r="S15" s="43" t="e">
        <f t="shared" si="19"/>
        <v>#DIV/0!</v>
      </c>
      <c r="T15" s="43" t="e">
        <f t="shared" si="20"/>
        <v>#DIV/0!</v>
      </c>
      <c r="U15" s="43" t="e">
        <f t="shared" si="21"/>
        <v>#DIV/0!</v>
      </c>
      <c r="V15" s="53" t="e">
        <f>V14+ATM_Conf!$C$5*(B14)/(B202*V202)</f>
        <v>#DIV/0!</v>
      </c>
      <c r="W15" s="53" t="e">
        <f>W14+ATM_Conf!$C$5*(C14-B14)/(C202*W202)</f>
        <v>#DIV/0!</v>
      </c>
      <c r="X15" s="53" t="e">
        <f>X14+ATM_Conf!$C$5*(D14-C14)/(D202*X202)</f>
        <v>#DIV/0!</v>
      </c>
      <c r="Y15" s="53" t="e">
        <f>Y14+ATM_Conf!$C$5*(E14-D14)/(E202*Y202)</f>
        <v>#DIV/0!</v>
      </c>
      <c r="Z15" s="53" t="e">
        <f>Z14+ATM_Conf!$C$5*(F14-E14)/(F202*Z202)</f>
        <v>#DIV/0!</v>
      </c>
      <c r="AA15" s="53" t="e">
        <f>AA14+ATM_Conf!$C$5*(G14-F14)/(G202*AA202)</f>
        <v>#DIV/0!</v>
      </c>
      <c r="AB15" s="53" t="e">
        <f>AB14+ATM_Conf!$C$5*(H14-G14)/(H202*AB202)</f>
        <v>#DIV/0!</v>
      </c>
      <c r="AC15" s="53" t="e">
        <f>AC14+ATM_Conf!$C$5*(I14-H14)/(I202*AC202)</f>
        <v>#DIV/0!</v>
      </c>
      <c r="AD15" s="53" t="e">
        <f>AD14+ATM_Conf!$C$5*(J14-I14)/(J202*AD202)</f>
        <v>#DIV/0!</v>
      </c>
      <c r="AE15" s="53" t="e">
        <f>AE14+ATM_Conf!$C$5*(K14-J14)/(K202*AE202)</f>
        <v>#DIV/0!</v>
      </c>
      <c r="AF15" s="53" t="e">
        <f>AF14+ATM_Conf!$C$5*(L14)/(L202*AF202)</f>
        <v>#DIV/0!</v>
      </c>
      <c r="AG15" s="53" t="e">
        <f>AG14+ATM_Conf!$C$5*(M14-L14)/(M202*AG202)</f>
        <v>#DIV/0!</v>
      </c>
      <c r="AH15" s="53" t="e">
        <f>AH14+ATM_Conf!$C$5*(N14-M14)/(N202*AH202)</f>
        <v>#DIV/0!</v>
      </c>
      <c r="AI15" s="53" t="e">
        <f>AI14+ATM_Conf!$C$5*(O14-N14)/(O202*AI202)</f>
        <v>#DIV/0!</v>
      </c>
      <c r="AJ15" s="53" t="e">
        <f>AJ14+ATM_Conf!$C$5*(P14-O14)/(P202*AJ202)</f>
        <v>#DIV/0!</v>
      </c>
      <c r="AK15" s="53" t="e">
        <f>AK14+ATM_Conf!$C$5*(Q14-P14)/(Q202*AK202)</f>
        <v>#DIV/0!</v>
      </c>
      <c r="AL15" s="53" t="e">
        <f>AL14+ATM_Conf!$C$5*(R14-Q14)/(R202*AL202)</f>
        <v>#DIV/0!</v>
      </c>
      <c r="AM15" s="53" t="e">
        <f>AM14+ATM_Conf!$C$5*(S14-R14)/(S202*AM202)</f>
        <v>#DIV/0!</v>
      </c>
      <c r="AN15" s="53" t="e">
        <f>AN14+ATM_Conf!$C$5*(T14-S14)/(T202*AN202)</f>
        <v>#DIV/0!</v>
      </c>
      <c r="AO15" s="53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47">
        <f>(DR15-DR3)^2</f>
        <v>0</v>
      </c>
      <c r="EM15" s="47">
        <f t="shared" ref="EM15:FE15" si="24">(DS15-DS3)^2</f>
        <v>0</v>
      </c>
      <c r="EN15" s="47">
        <f t="shared" si="24"/>
        <v>0</v>
      </c>
      <c r="EO15" s="47">
        <f t="shared" si="24"/>
        <v>0</v>
      </c>
      <c r="EP15" s="47">
        <f t="shared" si="24"/>
        <v>0</v>
      </c>
      <c r="EQ15" s="47">
        <f t="shared" si="24"/>
        <v>0</v>
      </c>
      <c r="ER15" s="47">
        <f t="shared" si="24"/>
        <v>0</v>
      </c>
      <c r="ES15" s="47">
        <f t="shared" si="24"/>
        <v>0</v>
      </c>
      <c r="ET15" s="47">
        <f t="shared" si="24"/>
        <v>0</v>
      </c>
      <c r="EU15" s="47">
        <f t="shared" si="24"/>
        <v>0</v>
      </c>
      <c r="EV15" s="47">
        <f t="shared" si="24"/>
        <v>0</v>
      </c>
      <c r="EW15" s="47">
        <f t="shared" si="24"/>
        <v>0</v>
      </c>
      <c r="EX15" s="47">
        <f t="shared" si="24"/>
        <v>0</v>
      </c>
      <c r="EY15" s="47">
        <f t="shared" si="24"/>
        <v>0</v>
      </c>
      <c r="EZ15" s="47">
        <f t="shared" si="24"/>
        <v>0</v>
      </c>
      <c r="FA15" s="47">
        <f t="shared" si="24"/>
        <v>0</v>
      </c>
      <c r="FB15" s="47">
        <f t="shared" si="24"/>
        <v>0</v>
      </c>
      <c r="FC15" s="47">
        <f t="shared" si="24"/>
        <v>0</v>
      </c>
      <c r="FD15" s="47">
        <f t="shared" si="24"/>
        <v>0</v>
      </c>
      <c r="FE15" s="47">
        <f t="shared" si="24"/>
        <v>0</v>
      </c>
    </row>
    <row r="16" spans="1:161" ht="14.25" x14ac:dyDescent="0.15">
      <c r="A16" s="46"/>
      <c r="B16" s="43" t="e">
        <f t="shared" si="2"/>
        <v>#DIV/0!</v>
      </c>
      <c r="C16" s="43" t="e">
        <f t="shared" si="3"/>
        <v>#DIV/0!</v>
      </c>
      <c r="D16" s="43" t="e">
        <f t="shared" si="4"/>
        <v>#DIV/0!</v>
      </c>
      <c r="E16" s="43" t="e">
        <f t="shared" si="5"/>
        <v>#DIV/0!</v>
      </c>
      <c r="F16" s="43" t="e">
        <f t="shared" si="6"/>
        <v>#DIV/0!</v>
      </c>
      <c r="G16" s="43" t="e">
        <f t="shared" si="7"/>
        <v>#DIV/0!</v>
      </c>
      <c r="H16" s="43" t="e">
        <f t="shared" si="8"/>
        <v>#DIV/0!</v>
      </c>
      <c r="I16" s="43" t="e">
        <f t="shared" si="9"/>
        <v>#DIV/0!</v>
      </c>
      <c r="J16" s="43" t="e">
        <f t="shared" si="10"/>
        <v>#DIV/0!</v>
      </c>
      <c r="K16" s="43" t="e">
        <f t="shared" si="11"/>
        <v>#DIV/0!</v>
      </c>
      <c r="L16" s="43" t="e">
        <f t="shared" si="12"/>
        <v>#DIV/0!</v>
      </c>
      <c r="M16" s="43" t="e">
        <f t="shared" si="13"/>
        <v>#DIV/0!</v>
      </c>
      <c r="N16" s="43" t="e">
        <f t="shared" si="14"/>
        <v>#DIV/0!</v>
      </c>
      <c r="O16" s="43" t="e">
        <f t="shared" si="15"/>
        <v>#DIV/0!</v>
      </c>
      <c r="P16" s="43" t="e">
        <f t="shared" si="16"/>
        <v>#DIV/0!</v>
      </c>
      <c r="Q16" s="43" t="e">
        <f t="shared" si="17"/>
        <v>#DIV/0!</v>
      </c>
      <c r="R16" s="43" t="e">
        <f t="shared" si="18"/>
        <v>#DIV/0!</v>
      </c>
      <c r="S16" s="43" t="e">
        <f t="shared" si="19"/>
        <v>#DIV/0!</v>
      </c>
      <c r="T16" s="43" t="e">
        <f t="shared" si="20"/>
        <v>#DIV/0!</v>
      </c>
      <c r="U16" s="43" t="e">
        <f t="shared" si="21"/>
        <v>#DIV/0!</v>
      </c>
      <c r="V16" s="53" t="e">
        <f>V15+ATM_Conf!$C$5*(B15)/(B203*V203)</f>
        <v>#DIV/0!</v>
      </c>
      <c r="W16" s="53" t="e">
        <f>W15+ATM_Conf!$C$5*(C15-B15)/(C203*W203)</f>
        <v>#DIV/0!</v>
      </c>
      <c r="X16" s="53" t="e">
        <f>X15+ATM_Conf!$C$5*(D15-C15)/(D203*X203)</f>
        <v>#DIV/0!</v>
      </c>
      <c r="Y16" s="53" t="e">
        <f>Y15+ATM_Conf!$C$5*(E15-D15)/(E203*Y203)</f>
        <v>#DIV/0!</v>
      </c>
      <c r="Z16" s="53" t="e">
        <f>Z15+ATM_Conf!$C$5*(F15-E15)/(F203*Z203)</f>
        <v>#DIV/0!</v>
      </c>
      <c r="AA16" s="53" t="e">
        <f>AA15+ATM_Conf!$C$5*(G15-F15)/(G203*AA203)</f>
        <v>#DIV/0!</v>
      </c>
      <c r="AB16" s="53" t="e">
        <f>AB15+ATM_Conf!$C$5*(H15-G15)/(H203*AB203)</f>
        <v>#DIV/0!</v>
      </c>
      <c r="AC16" s="53" t="e">
        <f>AC15+ATM_Conf!$C$5*(I15-H15)/(I203*AC203)</f>
        <v>#DIV/0!</v>
      </c>
      <c r="AD16" s="53" t="e">
        <f>AD15+ATM_Conf!$C$5*(J15-I15)/(J203*AD203)</f>
        <v>#DIV/0!</v>
      </c>
      <c r="AE16" s="53" t="e">
        <f>AE15+ATM_Conf!$C$5*(K15-J15)/(K203*AE203)</f>
        <v>#DIV/0!</v>
      </c>
      <c r="AF16" s="53" t="e">
        <f>AF15+ATM_Conf!$C$5*(L15)/(L203*AF203)</f>
        <v>#DIV/0!</v>
      </c>
      <c r="AG16" s="53" t="e">
        <f>AG15+ATM_Conf!$C$5*(M15-L15)/(M203*AG203)</f>
        <v>#DIV/0!</v>
      </c>
      <c r="AH16" s="53" t="e">
        <f>AH15+ATM_Conf!$C$5*(N15-M15)/(N203*AH203)</f>
        <v>#DIV/0!</v>
      </c>
      <c r="AI16" s="53" t="e">
        <f>AI15+ATM_Conf!$C$5*(O15-N15)/(O203*AI203)</f>
        <v>#DIV/0!</v>
      </c>
      <c r="AJ16" s="53" t="e">
        <f>AJ15+ATM_Conf!$C$5*(P15-O15)/(P203*AJ203)</f>
        <v>#DIV/0!</v>
      </c>
      <c r="AK16" s="53" t="e">
        <f>AK15+ATM_Conf!$C$5*(Q15-P15)/(Q203*AK203)</f>
        <v>#DIV/0!</v>
      </c>
      <c r="AL16" s="53" t="e">
        <f>AL15+ATM_Conf!$C$5*(R15-Q15)/(R203*AL203)</f>
        <v>#DIV/0!</v>
      </c>
      <c r="AM16" s="53" t="e">
        <f>AM15+ATM_Conf!$C$5*(S15-R15)/(S203*AM203)</f>
        <v>#DIV/0!</v>
      </c>
      <c r="AN16" s="53" t="e">
        <f>AN15+ATM_Conf!$C$5*(T15-S15)/(T203*AN203)</f>
        <v>#DIV/0!</v>
      </c>
      <c r="AO16" s="53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43">
        <f>DR$15</f>
        <v>0</v>
      </c>
      <c r="DS16" s="43">
        <f t="shared" ref="DS16:EK26" si="25">DS$15</f>
        <v>0</v>
      </c>
      <c r="DT16" s="43">
        <f t="shared" si="25"/>
        <v>0</v>
      </c>
      <c r="DU16" s="43">
        <f t="shared" si="25"/>
        <v>0</v>
      </c>
      <c r="DV16" s="43">
        <f t="shared" si="25"/>
        <v>0</v>
      </c>
      <c r="DW16" s="43">
        <f t="shared" si="25"/>
        <v>0</v>
      </c>
      <c r="DX16" s="43">
        <f t="shared" si="25"/>
        <v>0</v>
      </c>
      <c r="DY16" s="43">
        <f t="shared" si="25"/>
        <v>0</v>
      </c>
      <c r="DZ16" s="43">
        <f t="shared" si="25"/>
        <v>0</v>
      </c>
      <c r="EA16" s="43">
        <f t="shared" si="25"/>
        <v>0</v>
      </c>
      <c r="EB16" s="43">
        <f t="shared" si="25"/>
        <v>0</v>
      </c>
      <c r="EC16" s="43">
        <f t="shared" si="25"/>
        <v>0</v>
      </c>
      <c r="ED16" s="43">
        <f t="shared" si="25"/>
        <v>0</v>
      </c>
      <c r="EE16" s="43">
        <f t="shared" si="25"/>
        <v>0</v>
      </c>
      <c r="EF16" s="43">
        <f t="shared" si="25"/>
        <v>0</v>
      </c>
      <c r="EG16" s="43">
        <f t="shared" si="25"/>
        <v>0</v>
      </c>
      <c r="EH16" s="43">
        <f t="shared" si="25"/>
        <v>0</v>
      </c>
      <c r="EI16" s="43">
        <f t="shared" si="25"/>
        <v>0</v>
      </c>
      <c r="EJ16" s="43">
        <f t="shared" si="25"/>
        <v>0</v>
      </c>
      <c r="EK16" s="43">
        <f t="shared" si="25"/>
        <v>0</v>
      </c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</row>
    <row r="17" spans="1:161" ht="14.25" x14ac:dyDescent="0.15">
      <c r="A17" s="46"/>
      <c r="B17" s="43" t="e">
        <f t="shared" si="2"/>
        <v>#DIV/0!</v>
      </c>
      <c r="C17" s="43" t="e">
        <f t="shared" si="3"/>
        <v>#DIV/0!</v>
      </c>
      <c r="D17" s="43" t="e">
        <f t="shared" si="4"/>
        <v>#DIV/0!</v>
      </c>
      <c r="E17" s="43" t="e">
        <f t="shared" si="5"/>
        <v>#DIV/0!</v>
      </c>
      <c r="F17" s="43" t="e">
        <f t="shared" si="6"/>
        <v>#DIV/0!</v>
      </c>
      <c r="G17" s="43" t="e">
        <f t="shared" si="7"/>
        <v>#DIV/0!</v>
      </c>
      <c r="H17" s="43" t="e">
        <f t="shared" si="8"/>
        <v>#DIV/0!</v>
      </c>
      <c r="I17" s="43" t="e">
        <f t="shared" si="9"/>
        <v>#DIV/0!</v>
      </c>
      <c r="J17" s="43" t="e">
        <f t="shared" si="10"/>
        <v>#DIV/0!</v>
      </c>
      <c r="K17" s="43" t="e">
        <f t="shared" si="11"/>
        <v>#DIV/0!</v>
      </c>
      <c r="L17" s="43" t="e">
        <f t="shared" si="12"/>
        <v>#DIV/0!</v>
      </c>
      <c r="M17" s="43" t="e">
        <f t="shared" si="13"/>
        <v>#DIV/0!</v>
      </c>
      <c r="N17" s="43" t="e">
        <f t="shared" si="14"/>
        <v>#DIV/0!</v>
      </c>
      <c r="O17" s="43" t="e">
        <f t="shared" si="15"/>
        <v>#DIV/0!</v>
      </c>
      <c r="P17" s="43" t="e">
        <f t="shared" si="16"/>
        <v>#DIV/0!</v>
      </c>
      <c r="Q17" s="43" t="e">
        <f t="shared" si="17"/>
        <v>#DIV/0!</v>
      </c>
      <c r="R17" s="43" t="e">
        <f t="shared" si="18"/>
        <v>#DIV/0!</v>
      </c>
      <c r="S17" s="43" t="e">
        <f t="shared" si="19"/>
        <v>#DIV/0!</v>
      </c>
      <c r="T17" s="43" t="e">
        <f t="shared" si="20"/>
        <v>#DIV/0!</v>
      </c>
      <c r="U17" s="43" t="e">
        <f t="shared" si="21"/>
        <v>#DIV/0!</v>
      </c>
      <c r="V17" s="53" t="e">
        <f>V16+ATM_Conf!$C$5*(B16)/(B204*V204)</f>
        <v>#DIV/0!</v>
      </c>
      <c r="W17" s="53" t="e">
        <f>W16+ATM_Conf!$C$5*(C16-B16)/(C204*W204)</f>
        <v>#DIV/0!</v>
      </c>
      <c r="X17" s="53" t="e">
        <f>X16+ATM_Conf!$C$5*(D16-C16)/(D204*X204)</f>
        <v>#DIV/0!</v>
      </c>
      <c r="Y17" s="53" t="e">
        <f>Y16+ATM_Conf!$C$5*(E16-D16)/(E204*Y204)</f>
        <v>#DIV/0!</v>
      </c>
      <c r="Z17" s="53" t="e">
        <f>Z16+ATM_Conf!$C$5*(F16-E16)/(F204*Z204)</f>
        <v>#DIV/0!</v>
      </c>
      <c r="AA17" s="53" t="e">
        <f>AA16+ATM_Conf!$C$5*(G16-F16)/(G204*AA204)</f>
        <v>#DIV/0!</v>
      </c>
      <c r="AB17" s="53" t="e">
        <f>AB16+ATM_Conf!$C$5*(H16-G16)/(H204*AB204)</f>
        <v>#DIV/0!</v>
      </c>
      <c r="AC17" s="53" t="e">
        <f>AC16+ATM_Conf!$C$5*(I16-H16)/(I204*AC204)</f>
        <v>#DIV/0!</v>
      </c>
      <c r="AD17" s="53" t="e">
        <f>AD16+ATM_Conf!$C$5*(J16-I16)/(J204*AD204)</f>
        <v>#DIV/0!</v>
      </c>
      <c r="AE17" s="53" t="e">
        <f>AE16+ATM_Conf!$C$5*(K16-J16)/(K204*AE204)</f>
        <v>#DIV/0!</v>
      </c>
      <c r="AF17" s="53" t="e">
        <f>AF16+ATM_Conf!$C$5*(L16)/(L204*AF204)</f>
        <v>#DIV/0!</v>
      </c>
      <c r="AG17" s="53" t="e">
        <f>AG16+ATM_Conf!$C$5*(M16-L16)/(M204*AG204)</f>
        <v>#DIV/0!</v>
      </c>
      <c r="AH17" s="53" t="e">
        <f>AH16+ATM_Conf!$C$5*(N16-M16)/(N204*AH204)</f>
        <v>#DIV/0!</v>
      </c>
      <c r="AI17" s="53" t="e">
        <f>AI16+ATM_Conf!$C$5*(O16-N16)/(O204*AI204)</f>
        <v>#DIV/0!</v>
      </c>
      <c r="AJ17" s="53" t="e">
        <f>AJ16+ATM_Conf!$C$5*(P16-O16)/(P204*AJ204)</f>
        <v>#DIV/0!</v>
      </c>
      <c r="AK17" s="53" t="e">
        <f>AK16+ATM_Conf!$C$5*(Q16-P16)/(Q204*AK204)</f>
        <v>#DIV/0!</v>
      </c>
      <c r="AL17" s="53" t="e">
        <f>AL16+ATM_Conf!$C$5*(R16-Q16)/(R204*AL204)</f>
        <v>#DIV/0!</v>
      </c>
      <c r="AM17" s="53" t="e">
        <f>AM16+ATM_Conf!$C$5*(S16-R16)/(S204*AM204)</f>
        <v>#DIV/0!</v>
      </c>
      <c r="AN17" s="53" t="e">
        <f>AN16+ATM_Conf!$C$5*(T16-S16)/(T204*AN204)</f>
        <v>#DIV/0!</v>
      </c>
      <c r="AO17" s="53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43">
        <f t="shared" ref="DR17:DR26" si="26">DR$15</f>
        <v>0</v>
      </c>
      <c r="DS17" s="43">
        <f t="shared" si="25"/>
        <v>0</v>
      </c>
      <c r="DT17" s="43">
        <f t="shared" si="25"/>
        <v>0</v>
      </c>
      <c r="DU17" s="43">
        <f t="shared" si="25"/>
        <v>0</v>
      </c>
      <c r="DV17" s="43">
        <f t="shared" si="25"/>
        <v>0</v>
      </c>
      <c r="DW17" s="43">
        <f t="shared" si="25"/>
        <v>0</v>
      </c>
      <c r="DX17" s="43">
        <f t="shared" si="25"/>
        <v>0</v>
      </c>
      <c r="DY17" s="43">
        <f t="shared" si="25"/>
        <v>0</v>
      </c>
      <c r="DZ17" s="43">
        <f t="shared" si="25"/>
        <v>0</v>
      </c>
      <c r="EA17" s="43">
        <f t="shared" si="25"/>
        <v>0</v>
      </c>
      <c r="EB17" s="43">
        <f t="shared" si="25"/>
        <v>0</v>
      </c>
      <c r="EC17" s="43">
        <f t="shared" si="25"/>
        <v>0</v>
      </c>
      <c r="ED17" s="43">
        <f t="shared" si="25"/>
        <v>0</v>
      </c>
      <c r="EE17" s="43">
        <f t="shared" si="25"/>
        <v>0</v>
      </c>
      <c r="EF17" s="43">
        <f t="shared" si="25"/>
        <v>0</v>
      </c>
      <c r="EG17" s="43">
        <f t="shared" si="25"/>
        <v>0</v>
      </c>
      <c r="EH17" s="43">
        <f t="shared" si="25"/>
        <v>0</v>
      </c>
      <c r="EI17" s="43">
        <f t="shared" si="25"/>
        <v>0</v>
      </c>
      <c r="EJ17" s="43">
        <f t="shared" si="25"/>
        <v>0</v>
      </c>
      <c r="EK17" s="43">
        <f t="shared" si="25"/>
        <v>0</v>
      </c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</row>
    <row r="18" spans="1:161" ht="14.25" x14ac:dyDescent="0.15">
      <c r="A18" s="46"/>
      <c r="B18" s="43" t="e">
        <f t="shared" si="2"/>
        <v>#DIV/0!</v>
      </c>
      <c r="C18" s="43" t="e">
        <f t="shared" si="3"/>
        <v>#DIV/0!</v>
      </c>
      <c r="D18" s="43" t="e">
        <f t="shared" si="4"/>
        <v>#DIV/0!</v>
      </c>
      <c r="E18" s="43" t="e">
        <f t="shared" si="5"/>
        <v>#DIV/0!</v>
      </c>
      <c r="F18" s="43" t="e">
        <f t="shared" si="6"/>
        <v>#DIV/0!</v>
      </c>
      <c r="G18" s="43" t="e">
        <f t="shared" si="7"/>
        <v>#DIV/0!</v>
      </c>
      <c r="H18" s="43" t="e">
        <f t="shared" si="8"/>
        <v>#DIV/0!</v>
      </c>
      <c r="I18" s="43" t="e">
        <f t="shared" si="9"/>
        <v>#DIV/0!</v>
      </c>
      <c r="J18" s="43" t="e">
        <f t="shared" si="10"/>
        <v>#DIV/0!</v>
      </c>
      <c r="K18" s="43" t="e">
        <f t="shared" si="11"/>
        <v>#DIV/0!</v>
      </c>
      <c r="L18" s="43" t="e">
        <f t="shared" si="12"/>
        <v>#DIV/0!</v>
      </c>
      <c r="M18" s="43" t="e">
        <f t="shared" si="13"/>
        <v>#DIV/0!</v>
      </c>
      <c r="N18" s="43" t="e">
        <f t="shared" si="14"/>
        <v>#DIV/0!</v>
      </c>
      <c r="O18" s="43" t="e">
        <f t="shared" si="15"/>
        <v>#DIV/0!</v>
      </c>
      <c r="P18" s="43" t="e">
        <f t="shared" si="16"/>
        <v>#DIV/0!</v>
      </c>
      <c r="Q18" s="43" t="e">
        <f t="shared" si="17"/>
        <v>#DIV/0!</v>
      </c>
      <c r="R18" s="43" t="e">
        <f t="shared" si="18"/>
        <v>#DIV/0!</v>
      </c>
      <c r="S18" s="43" t="e">
        <f t="shared" si="19"/>
        <v>#DIV/0!</v>
      </c>
      <c r="T18" s="43" t="e">
        <f t="shared" si="20"/>
        <v>#DIV/0!</v>
      </c>
      <c r="U18" s="43" t="e">
        <f t="shared" si="21"/>
        <v>#DIV/0!</v>
      </c>
      <c r="V18" s="53" t="e">
        <f>V17+ATM_Conf!$C$5*(B17)/(B205*V205)</f>
        <v>#DIV/0!</v>
      </c>
      <c r="W18" s="53" t="e">
        <f>W17+ATM_Conf!$C$5*(C17-B17)/(C205*W205)</f>
        <v>#DIV/0!</v>
      </c>
      <c r="X18" s="53" t="e">
        <f>X17+ATM_Conf!$C$5*(D17-C17)/(D205*X205)</f>
        <v>#DIV/0!</v>
      </c>
      <c r="Y18" s="53" t="e">
        <f>Y17+ATM_Conf!$C$5*(E17-D17)/(E205*Y205)</f>
        <v>#DIV/0!</v>
      </c>
      <c r="Z18" s="53" t="e">
        <f>Z17+ATM_Conf!$C$5*(F17-E17)/(F205*Z205)</f>
        <v>#DIV/0!</v>
      </c>
      <c r="AA18" s="53" t="e">
        <f>AA17+ATM_Conf!$C$5*(G17-F17)/(G205*AA205)</f>
        <v>#DIV/0!</v>
      </c>
      <c r="AB18" s="53" t="e">
        <f>AB17+ATM_Conf!$C$5*(H17-G17)/(H205*AB205)</f>
        <v>#DIV/0!</v>
      </c>
      <c r="AC18" s="53" t="e">
        <f>AC17+ATM_Conf!$C$5*(I17-H17)/(I205*AC205)</f>
        <v>#DIV/0!</v>
      </c>
      <c r="AD18" s="53" t="e">
        <f>AD17+ATM_Conf!$C$5*(J17-I17)/(J205*AD205)</f>
        <v>#DIV/0!</v>
      </c>
      <c r="AE18" s="53" t="e">
        <f>AE17+ATM_Conf!$C$5*(K17-J17)/(K205*AE205)</f>
        <v>#DIV/0!</v>
      </c>
      <c r="AF18" s="53" t="e">
        <f>AF17+ATM_Conf!$C$5*(L17)/(L205*AF205)</f>
        <v>#DIV/0!</v>
      </c>
      <c r="AG18" s="53" t="e">
        <f>AG17+ATM_Conf!$C$5*(M17-L17)/(M205*AG205)</f>
        <v>#DIV/0!</v>
      </c>
      <c r="AH18" s="53" t="e">
        <f>AH17+ATM_Conf!$C$5*(N17-M17)/(N205*AH205)</f>
        <v>#DIV/0!</v>
      </c>
      <c r="AI18" s="53" t="e">
        <f>AI17+ATM_Conf!$C$5*(O17-N17)/(O205*AI205)</f>
        <v>#DIV/0!</v>
      </c>
      <c r="AJ18" s="53" t="e">
        <f>AJ17+ATM_Conf!$C$5*(P17-O17)/(P205*AJ205)</f>
        <v>#DIV/0!</v>
      </c>
      <c r="AK18" s="53" t="e">
        <f>AK17+ATM_Conf!$C$5*(Q17-P17)/(Q205*AK205)</f>
        <v>#DIV/0!</v>
      </c>
      <c r="AL18" s="53" t="e">
        <f>AL17+ATM_Conf!$C$5*(R17-Q17)/(R205*AL205)</f>
        <v>#DIV/0!</v>
      </c>
      <c r="AM18" s="53" t="e">
        <f>AM17+ATM_Conf!$C$5*(S17-R17)/(S205*AM205)</f>
        <v>#DIV/0!</v>
      </c>
      <c r="AN18" s="53" t="e">
        <f>AN17+ATM_Conf!$C$5*(T17-S17)/(T205*AN205)</f>
        <v>#DIV/0!</v>
      </c>
      <c r="AO18" s="53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43">
        <f t="shared" si="26"/>
        <v>0</v>
      </c>
      <c r="DS18" s="43">
        <f t="shared" si="25"/>
        <v>0</v>
      </c>
      <c r="DT18" s="43">
        <f t="shared" si="25"/>
        <v>0</v>
      </c>
      <c r="DU18" s="43">
        <f t="shared" si="25"/>
        <v>0</v>
      </c>
      <c r="DV18" s="43">
        <f t="shared" si="25"/>
        <v>0</v>
      </c>
      <c r="DW18" s="43">
        <f t="shared" si="25"/>
        <v>0</v>
      </c>
      <c r="DX18" s="43">
        <f t="shared" si="25"/>
        <v>0</v>
      </c>
      <c r="DY18" s="43">
        <f t="shared" si="25"/>
        <v>0</v>
      </c>
      <c r="DZ18" s="43">
        <f t="shared" si="25"/>
        <v>0</v>
      </c>
      <c r="EA18" s="43">
        <f t="shared" si="25"/>
        <v>0</v>
      </c>
      <c r="EB18" s="43">
        <f t="shared" si="25"/>
        <v>0</v>
      </c>
      <c r="EC18" s="43">
        <f t="shared" si="25"/>
        <v>0</v>
      </c>
      <c r="ED18" s="43">
        <f t="shared" si="25"/>
        <v>0</v>
      </c>
      <c r="EE18" s="43">
        <f t="shared" si="25"/>
        <v>0</v>
      </c>
      <c r="EF18" s="43">
        <f t="shared" si="25"/>
        <v>0</v>
      </c>
      <c r="EG18" s="43">
        <f t="shared" si="25"/>
        <v>0</v>
      </c>
      <c r="EH18" s="43">
        <f t="shared" si="25"/>
        <v>0</v>
      </c>
      <c r="EI18" s="43">
        <f t="shared" si="25"/>
        <v>0</v>
      </c>
      <c r="EJ18" s="43">
        <f t="shared" si="25"/>
        <v>0</v>
      </c>
      <c r="EK18" s="43">
        <f t="shared" si="25"/>
        <v>0</v>
      </c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</row>
    <row r="19" spans="1:161" ht="14.25" x14ac:dyDescent="0.15">
      <c r="A19" s="46"/>
      <c r="B19" s="43" t="e">
        <f t="shared" si="2"/>
        <v>#DIV/0!</v>
      </c>
      <c r="C19" s="43" t="e">
        <f t="shared" si="3"/>
        <v>#DIV/0!</v>
      </c>
      <c r="D19" s="43" t="e">
        <f t="shared" si="4"/>
        <v>#DIV/0!</v>
      </c>
      <c r="E19" s="43" t="e">
        <f t="shared" si="5"/>
        <v>#DIV/0!</v>
      </c>
      <c r="F19" s="43" t="e">
        <f t="shared" si="6"/>
        <v>#DIV/0!</v>
      </c>
      <c r="G19" s="43" t="e">
        <f t="shared" si="7"/>
        <v>#DIV/0!</v>
      </c>
      <c r="H19" s="43" t="e">
        <f t="shared" si="8"/>
        <v>#DIV/0!</v>
      </c>
      <c r="I19" s="43" t="e">
        <f t="shared" si="9"/>
        <v>#DIV/0!</v>
      </c>
      <c r="J19" s="43" t="e">
        <f t="shared" si="10"/>
        <v>#DIV/0!</v>
      </c>
      <c r="K19" s="43" t="e">
        <f t="shared" si="11"/>
        <v>#DIV/0!</v>
      </c>
      <c r="L19" s="43" t="e">
        <f t="shared" si="12"/>
        <v>#DIV/0!</v>
      </c>
      <c r="M19" s="43" t="e">
        <f t="shared" si="13"/>
        <v>#DIV/0!</v>
      </c>
      <c r="N19" s="43" t="e">
        <f t="shared" si="14"/>
        <v>#DIV/0!</v>
      </c>
      <c r="O19" s="43" t="e">
        <f t="shared" si="15"/>
        <v>#DIV/0!</v>
      </c>
      <c r="P19" s="43" t="e">
        <f t="shared" si="16"/>
        <v>#DIV/0!</v>
      </c>
      <c r="Q19" s="43" t="e">
        <f t="shared" si="17"/>
        <v>#DIV/0!</v>
      </c>
      <c r="R19" s="43" t="e">
        <f t="shared" si="18"/>
        <v>#DIV/0!</v>
      </c>
      <c r="S19" s="43" t="e">
        <f t="shared" si="19"/>
        <v>#DIV/0!</v>
      </c>
      <c r="T19" s="43" t="e">
        <f t="shared" si="20"/>
        <v>#DIV/0!</v>
      </c>
      <c r="U19" s="43" t="e">
        <f t="shared" si="21"/>
        <v>#DIV/0!</v>
      </c>
      <c r="V19" s="53" t="e">
        <f>V18+ATM_Conf!$C$5*(B18)/(B206*V206)</f>
        <v>#DIV/0!</v>
      </c>
      <c r="W19" s="53" t="e">
        <f>W18+ATM_Conf!$C$5*(C18-B18)/(C206*W206)</f>
        <v>#DIV/0!</v>
      </c>
      <c r="X19" s="53" t="e">
        <f>X18+ATM_Conf!$C$5*(D18-C18)/(D206*X206)</f>
        <v>#DIV/0!</v>
      </c>
      <c r="Y19" s="53" t="e">
        <f>Y18+ATM_Conf!$C$5*(E18-D18)/(E206*Y206)</f>
        <v>#DIV/0!</v>
      </c>
      <c r="Z19" s="53" t="e">
        <f>Z18+ATM_Conf!$C$5*(F18-E18)/(F206*Z206)</f>
        <v>#DIV/0!</v>
      </c>
      <c r="AA19" s="53" t="e">
        <f>AA18+ATM_Conf!$C$5*(G18-F18)/(G206*AA206)</f>
        <v>#DIV/0!</v>
      </c>
      <c r="AB19" s="53" t="e">
        <f>AB18+ATM_Conf!$C$5*(H18-G18)/(H206*AB206)</f>
        <v>#DIV/0!</v>
      </c>
      <c r="AC19" s="53" t="e">
        <f>AC18+ATM_Conf!$C$5*(I18-H18)/(I206*AC206)</f>
        <v>#DIV/0!</v>
      </c>
      <c r="AD19" s="53" t="e">
        <f>AD18+ATM_Conf!$C$5*(J18-I18)/(J206*AD206)</f>
        <v>#DIV/0!</v>
      </c>
      <c r="AE19" s="53" t="e">
        <f>AE18+ATM_Conf!$C$5*(K18-J18)/(K206*AE206)</f>
        <v>#DIV/0!</v>
      </c>
      <c r="AF19" s="53" t="e">
        <f>AF18+ATM_Conf!$C$5*(L18)/(L206*AF206)</f>
        <v>#DIV/0!</v>
      </c>
      <c r="AG19" s="53" t="e">
        <f>AG18+ATM_Conf!$C$5*(M18-L18)/(M206*AG206)</f>
        <v>#DIV/0!</v>
      </c>
      <c r="AH19" s="53" t="e">
        <f>AH18+ATM_Conf!$C$5*(N18-M18)/(N206*AH206)</f>
        <v>#DIV/0!</v>
      </c>
      <c r="AI19" s="53" t="e">
        <f>AI18+ATM_Conf!$C$5*(O18-N18)/(O206*AI206)</f>
        <v>#DIV/0!</v>
      </c>
      <c r="AJ19" s="53" t="e">
        <f>AJ18+ATM_Conf!$C$5*(P18-O18)/(P206*AJ206)</f>
        <v>#DIV/0!</v>
      </c>
      <c r="AK19" s="53" t="e">
        <f>AK18+ATM_Conf!$C$5*(Q18-P18)/(Q206*AK206)</f>
        <v>#DIV/0!</v>
      </c>
      <c r="AL19" s="53" t="e">
        <f>AL18+ATM_Conf!$C$5*(R18-Q18)/(R206*AL206)</f>
        <v>#DIV/0!</v>
      </c>
      <c r="AM19" s="53" t="e">
        <f>AM18+ATM_Conf!$C$5*(S18-R18)/(S206*AM206)</f>
        <v>#DIV/0!</v>
      </c>
      <c r="AN19" s="53" t="e">
        <f>AN18+ATM_Conf!$C$5*(T18-S18)/(T206*AN206)</f>
        <v>#DIV/0!</v>
      </c>
      <c r="AO19" s="53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43">
        <f t="shared" si="26"/>
        <v>0</v>
      </c>
      <c r="DS19" s="43">
        <f t="shared" si="25"/>
        <v>0</v>
      </c>
      <c r="DT19" s="43">
        <f t="shared" si="25"/>
        <v>0</v>
      </c>
      <c r="DU19" s="43">
        <f t="shared" si="25"/>
        <v>0</v>
      </c>
      <c r="DV19" s="43">
        <f t="shared" si="25"/>
        <v>0</v>
      </c>
      <c r="DW19" s="43">
        <f t="shared" si="25"/>
        <v>0</v>
      </c>
      <c r="DX19" s="43">
        <f t="shared" si="25"/>
        <v>0</v>
      </c>
      <c r="DY19" s="43">
        <f t="shared" si="25"/>
        <v>0</v>
      </c>
      <c r="DZ19" s="43">
        <f t="shared" si="25"/>
        <v>0</v>
      </c>
      <c r="EA19" s="43">
        <f t="shared" si="25"/>
        <v>0</v>
      </c>
      <c r="EB19" s="43">
        <f t="shared" si="25"/>
        <v>0</v>
      </c>
      <c r="EC19" s="43">
        <f t="shared" si="25"/>
        <v>0</v>
      </c>
      <c r="ED19" s="43">
        <f t="shared" si="25"/>
        <v>0</v>
      </c>
      <c r="EE19" s="43">
        <f t="shared" si="25"/>
        <v>0</v>
      </c>
      <c r="EF19" s="43">
        <f t="shared" si="25"/>
        <v>0</v>
      </c>
      <c r="EG19" s="43">
        <f t="shared" si="25"/>
        <v>0</v>
      </c>
      <c r="EH19" s="43">
        <f t="shared" si="25"/>
        <v>0</v>
      </c>
      <c r="EI19" s="43">
        <f t="shared" si="25"/>
        <v>0</v>
      </c>
      <c r="EJ19" s="43">
        <f t="shared" si="25"/>
        <v>0</v>
      </c>
      <c r="EK19" s="43">
        <f t="shared" si="25"/>
        <v>0</v>
      </c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</row>
    <row r="20" spans="1:161" ht="14.25" x14ac:dyDescent="0.15">
      <c r="A20" s="46"/>
      <c r="B20" s="43" t="e">
        <f t="shared" si="2"/>
        <v>#DIV/0!</v>
      </c>
      <c r="C20" s="43" t="e">
        <f t="shared" si="3"/>
        <v>#DIV/0!</v>
      </c>
      <c r="D20" s="43" t="e">
        <f t="shared" si="4"/>
        <v>#DIV/0!</v>
      </c>
      <c r="E20" s="43" t="e">
        <f t="shared" si="5"/>
        <v>#DIV/0!</v>
      </c>
      <c r="F20" s="43" t="e">
        <f t="shared" si="6"/>
        <v>#DIV/0!</v>
      </c>
      <c r="G20" s="43" t="e">
        <f t="shared" si="7"/>
        <v>#DIV/0!</v>
      </c>
      <c r="H20" s="43" t="e">
        <f t="shared" si="8"/>
        <v>#DIV/0!</v>
      </c>
      <c r="I20" s="43" t="e">
        <f t="shared" si="9"/>
        <v>#DIV/0!</v>
      </c>
      <c r="J20" s="43" t="e">
        <f t="shared" si="10"/>
        <v>#DIV/0!</v>
      </c>
      <c r="K20" s="43" t="e">
        <f t="shared" si="11"/>
        <v>#DIV/0!</v>
      </c>
      <c r="L20" s="43" t="e">
        <f t="shared" si="12"/>
        <v>#DIV/0!</v>
      </c>
      <c r="M20" s="43" t="e">
        <f t="shared" si="13"/>
        <v>#DIV/0!</v>
      </c>
      <c r="N20" s="43" t="e">
        <f t="shared" si="14"/>
        <v>#DIV/0!</v>
      </c>
      <c r="O20" s="43" t="e">
        <f t="shared" si="15"/>
        <v>#DIV/0!</v>
      </c>
      <c r="P20" s="43" t="e">
        <f t="shared" si="16"/>
        <v>#DIV/0!</v>
      </c>
      <c r="Q20" s="43" t="e">
        <f t="shared" si="17"/>
        <v>#DIV/0!</v>
      </c>
      <c r="R20" s="43" t="e">
        <f t="shared" si="18"/>
        <v>#DIV/0!</v>
      </c>
      <c r="S20" s="43" t="e">
        <f t="shared" si="19"/>
        <v>#DIV/0!</v>
      </c>
      <c r="T20" s="43" t="e">
        <f t="shared" si="20"/>
        <v>#DIV/0!</v>
      </c>
      <c r="U20" s="43" t="e">
        <f t="shared" si="21"/>
        <v>#DIV/0!</v>
      </c>
      <c r="V20" s="53" t="e">
        <f>V19+ATM_Conf!$C$5*(B19)/(B207*V207)</f>
        <v>#DIV/0!</v>
      </c>
      <c r="W20" s="53" t="e">
        <f>W19+ATM_Conf!$C$5*(C19-B19)/(C207*W207)</f>
        <v>#DIV/0!</v>
      </c>
      <c r="X20" s="53" t="e">
        <f>X19+ATM_Conf!$C$5*(D19-C19)/(D207*X207)</f>
        <v>#DIV/0!</v>
      </c>
      <c r="Y20" s="53" t="e">
        <f>Y19+ATM_Conf!$C$5*(E19-D19)/(E207*Y207)</f>
        <v>#DIV/0!</v>
      </c>
      <c r="Z20" s="53" t="e">
        <f>Z19+ATM_Conf!$C$5*(F19-E19)/(F207*Z207)</f>
        <v>#DIV/0!</v>
      </c>
      <c r="AA20" s="53" t="e">
        <f>AA19+ATM_Conf!$C$5*(G19-F19)/(G207*AA207)</f>
        <v>#DIV/0!</v>
      </c>
      <c r="AB20" s="53" t="e">
        <f>AB19+ATM_Conf!$C$5*(H19-G19)/(H207*AB207)</f>
        <v>#DIV/0!</v>
      </c>
      <c r="AC20" s="53" t="e">
        <f>AC19+ATM_Conf!$C$5*(I19-H19)/(I207*AC207)</f>
        <v>#DIV/0!</v>
      </c>
      <c r="AD20" s="53" t="e">
        <f>AD19+ATM_Conf!$C$5*(J19-I19)/(J207*AD207)</f>
        <v>#DIV/0!</v>
      </c>
      <c r="AE20" s="53" t="e">
        <f>AE19+ATM_Conf!$C$5*(K19-J19)/(K207*AE207)</f>
        <v>#DIV/0!</v>
      </c>
      <c r="AF20" s="53" t="e">
        <f>AF19+ATM_Conf!$C$5*(L19)/(L207*AF207)</f>
        <v>#DIV/0!</v>
      </c>
      <c r="AG20" s="53" t="e">
        <f>AG19+ATM_Conf!$C$5*(M19-L19)/(M207*AG207)</f>
        <v>#DIV/0!</v>
      </c>
      <c r="AH20" s="53" t="e">
        <f>AH19+ATM_Conf!$C$5*(N19-M19)/(N207*AH207)</f>
        <v>#DIV/0!</v>
      </c>
      <c r="AI20" s="53" t="e">
        <f>AI19+ATM_Conf!$C$5*(O19-N19)/(O207*AI207)</f>
        <v>#DIV/0!</v>
      </c>
      <c r="AJ20" s="53" t="e">
        <f>AJ19+ATM_Conf!$C$5*(P19-O19)/(P207*AJ207)</f>
        <v>#DIV/0!</v>
      </c>
      <c r="AK20" s="53" t="e">
        <f>AK19+ATM_Conf!$C$5*(Q19-P19)/(Q207*AK207)</f>
        <v>#DIV/0!</v>
      </c>
      <c r="AL20" s="53" t="e">
        <f>AL19+ATM_Conf!$C$5*(R19-Q19)/(R207*AL207)</f>
        <v>#DIV/0!</v>
      </c>
      <c r="AM20" s="53" t="e">
        <f>AM19+ATM_Conf!$C$5*(S19-R19)/(S207*AM207)</f>
        <v>#DIV/0!</v>
      </c>
      <c r="AN20" s="53" t="e">
        <f>AN19+ATM_Conf!$C$5*(T19-S19)/(T207*AN207)</f>
        <v>#DIV/0!</v>
      </c>
      <c r="AO20" s="53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43">
        <f t="shared" si="26"/>
        <v>0</v>
      </c>
      <c r="DS20" s="43">
        <f t="shared" si="25"/>
        <v>0</v>
      </c>
      <c r="DT20" s="43">
        <f t="shared" si="25"/>
        <v>0</v>
      </c>
      <c r="DU20" s="43">
        <f t="shared" si="25"/>
        <v>0</v>
      </c>
      <c r="DV20" s="43">
        <f t="shared" si="25"/>
        <v>0</v>
      </c>
      <c r="DW20" s="43">
        <f t="shared" si="25"/>
        <v>0</v>
      </c>
      <c r="DX20" s="43">
        <f t="shared" si="25"/>
        <v>0</v>
      </c>
      <c r="DY20" s="43">
        <f t="shared" si="25"/>
        <v>0</v>
      </c>
      <c r="DZ20" s="43">
        <f t="shared" si="25"/>
        <v>0</v>
      </c>
      <c r="EA20" s="43">
        <f t="shared" si="25"/>
        <v>0</v>
      </c>
      <c r="EB20" s="43">
        <f t="shared" si="25"/>
        <v>0</v>
      </c>
      <c r="EC20" s="43">
        <f t="shared" si="25"/>
        <v>0</v>
      </c>
      <c r="ED20" s="43">
        <f t="shared" si="25"/>
        <v>0</v>
      </c>
      <c r="EE20" s="43">
        <f t="shared" si="25"/>
        <v>0</v>
      </c>
      <c r="EF20" s="43">
        <f t="shared" si="25"/>
        <v>0</v>
      </c>
      <c r="EG20" s="43">
        <f t="shared" si="25"/>
        <v>0</v>
      </c>
      <c r="EH20" s="43">
        <f t="shared" si="25"/>
        <v>0</v>
      </c>
      <c r="EI20" s="43">
        <f t="shared" si="25"/>
        <v>0</v>
      </c>
      <c r="EJ20" s="43">
        <f t="shared" si="25"/>
        <v>0</v>
      </c>
      <c r="EK20" s="43">
        <f t="shared" si="25"/>
        <v>0</v>
      </c>
      <c r="EL20" s="47"/>
      <c r="EM20" s="47"/>
      <c r="EN20" s="47"/>
      <c r="EO20" s="47"/>
      <c r="EP20" s="47"/>
      <c r="EQ20" s="47"/>
      <c r="ER20" s="47"/>
      <c r="ES20" s="47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</row>
    <row r="21" spans="1:161" ht="14.25" x14ac:dyDescent="0.15">
      <c r="A21" s="46"/>
      <c r="B21" s="43" t="e">
        <f t="shared" si="2"/>
        <v>#DIV/0!</v>
      </c>
      <c r="C21" s="43" t="e">
        <f t="shared" si="3"/>
        <v>#DIV/0!</v>
      </c>
      <c r="D21" s="43" t="e">
        <f t="shared" si="4"/>
        <v>#DIV/0!</v>
      </c>
      <c r="E21" s="43" t="e">
        <f t="shared" si="5"/>
        <v>#DIV/0!</v>
      </c>
      <c r="F21" s="43" t="e">
        <f t="shared" si="6"/>
        <v>#DIV/0!</v>
      </c>
      <c r="G21" s="43" t="e">
        <f t="shared" si="7"/>
        <v>#DIV/0!</v>
      </c>
      <c r="H21" s="43" t="e">
        <f t="shared" si="8"/>
        <v>#DIV/0!</v>
      </c>
      <c r="I21" s="43" t="e">
        <f t="shared" si="9"/>
        <v>#DIV/0!</v>
      </c>
      <c r="J21" s="43" t="e">
        <f t="shared" si="10"/>
        <v>#DIV/0!</v>
      </c>
      <c r="K21" s="43" t="e">
        <f t="shared" si="11"/>
        <v>#DIV/0!</v>
      </c>
      <c r="L21" s="43" t="e">
        <f t="shared" si="12"/>
        <v>#DIV/0!</v>
      </c>
      <c r="M21" s="43" t="e">
        <f t="shared" si="13"/>
        <v>#DIV/0!</v>
      </c>
      <c r="N21" s="43" t="e">
        <f t="shared" si="14"/>
        <v>#DIV/0!</v>
      </c>
      <c r="O21" s="43" t="e">
        <f t="shared" si="15"/>
        <v>#DIV/0!</v>
      </c>
      <c r="P21" s="43" t="e">
        <f t="shared" si="16"/>
        <v>#DIV/0!</v>
      </c>
      <c r="Q21" s="43" t="e">
        <f t="shared" si="17"/>
        <v>#DIV/0!</v>
      </c>
      <c r="R21" s="43" t="e">
        <f t="shared" si="18"/>
        <v>#DIV/0!</v>
      </c>
      <c r="S21" s="43" t="e">
        <f t="shared" si="19"/>
        <v>#DIV/0!</v>
      </c>
      <c r="T21" s="43" t="e">
        <f t="shared" si="20"/>
        <v>#DIV/0!</v>
      </c>
      <c r="U21" s="43" t="e">
        <f t="shared" si="21"/>
        <v>#DIV/0!</v>
      </c>
      <c r="V21" s="53" t="e">
        <f>V20+ATM_Conf!$C$5*(B20)/(B208*V208)</f>
        <v>#DIV/0!</v>
      </c>
      <c r="W21" s="53" t="e">
        <f>W20+ATM_Conf!$C$5*(C20-B20)/(C208*W208)</f>
        <v>#DIV/0!</v>
      </c>
      <c r="X21" s="53" t="e">
        <f>X20+ATM_Conf!$C$5*(D20-C20)/(D208*X208)</f>
        <v>#DIV/0!</v>
      </c>
      <c r="Y21" s="53" t="e">
        <f>Y20+ATM_Conf!$C$5*(E20-D20)/(E208*Y208)</f>
        <v>#DIV/0!</v>
      </c>
      <c r="Z21" s="53" t="e">
        <f>Z20+ATM_Conf!$C$5*(F20-E20)/(F208*Z208)</f>
        <v>#DIV/0!</v>
      </c>
      <c r="AA21" s="53" t="e">
        <f>AA20+ATM_Conf!$C$5*(G20-F20)/(G208*AA208)</f>
        <v>#DIV/0!</v>
      </c>
      <c r="AB21" s="53" t="e">
        <f>AB20+ATM_Conf!$C$5*(H20-G20)/(H208*AB208)</f>
        <v>#DIV/0!</v>
      </c>
      <c r="AC21" s="53" t="e">
        <f>AC20+ATM_Conf!$C$5*(I20-H20)/(I208*AC208)</f>
        <v>#DIV/0!</v>
      </c>
      <c r="AD21" s="53" t="e">
        <f>AD20+ATM_Conf!$C$5*(J20-I20)/(J208*AD208)</f>
        <v>#DIV/0!</v>
      </c>
      <c r="AE21" s="53" t="e">
        <f>AE20+ATM_Conf!$C$5*(K20-J20)/(K208*AE208)</f>
        <v>#DIV/0!</v>
      </c>
      <c r="AF21" s="53" t="e">
        <f>AF20+ATM_Conf!$C$5*(L20)/(L208*AF208)</f>
        <v>#DIV/0!</v>
      </c>
      <c r="AG21" s="53" t="e">
        <f>AG20+ATM_Conf!$C$5*(M20-L20)/(M208*AG208)</f>
        <v>#DIV/0!</v>
      </c>
      <c r="AH21" s="53" t="e">
        <f>AH20+ATM_Conf!$C$5*(N20-M20)/(N208*AH208)</f>
        <v>#DIV/0!</v>
      </c>
      <c r="AI21" s="53" t="e">
        <f>AI20+ATM_Conf!$C$5*(O20-N20)/(O208*AI208)</f>
        <v>#DIV/0!</v>
      </c>
      <c r="AJ21" s="53" t="e">
        <f>AJ20+ATM_Conf!$C$5*(P20-O20)/(P208*AJ208)</f>
        <v>#DIV/0!</v>
      </c>
      <c r="AK21" s="53" t="e">
        <f>AK20+ATM_Conf!$C$5*(Q20-P20)/(Q208*AK208)</f>
        <v>#DIV/0!</v>
      </c>
      <c r="AL21" s="53" t="e">
        <f>AL20+ATM_Conf!$C$5*(R20-Q20)/(R208*AL208)</f>
        <v>#DIV/0!</v>
      </c>
      <c r="AM21" s="53" t="e">
        <f>AM20+ATM_Conf!$C$5*(S20-R20)/(S208*AM208)</f>
        <v>#DIV/0!</v>
      </c>
      <c r="AN21" s="53" t="e">
        <f>AN20+ATM_Conf!$C$5*(T20-S20)/(T208*AN208)</f>
        <v>#DIV/0!</v>
      </c>
      <c r="AO21" s="53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43">
        <f t="shared" si="26"/>
        <v>0</v>
      </c>
      <c r="DS21" s="43">
        <f t="shared" si="25"/>
        <v>0</v>
      </c>
      <c r="DT21" s="43">
        <f t="shared" si="25"/>
        <v>0</v>
      </c>
      <c r="DU21" s="43">
        <f t="shared" si="25"/>
        <v>0</v>
      </c>
      <c r="DV21" s="43">
        <f t="shared" si="25"/>
        <v>0</v>
      </c>
      <c r="DW21" s="43">
        <f t="shared" si="25"/>
        <v>0</v>
      </c>
      <c r="DX21" s="43">
        <f t="shared" si="25"/>
        <v>0</v>
      </c>
      <c r="DY21" s="43">
        <f t="shared" si="25"/>
        <v>0</v>
      </c>
      <c r="DZ21" s="43">
        <f t="shared" si="25"/>
        <v>0</v>
      </c>
      <c r="EA21" s="43">
        <f t="shared" si="25"/>
        <v>0</v>
      </c>
      <c r="EB21" s="43">
        <f t="shared" si="25"/>
        <v>0</v>
      </c>
      <c r="EC21" s="43">
        <f t="shared" si="25"/>
        <v>0</v>
      </c>
      <c r="ED21" s="43">
        <f t="shared" si="25"/>
        <v>0</v>
      </c>
      <c r="EE21" s="43">
        <f t="shared" si="25"/>
        <v>0</v>
      </c>
      <c r="EF21" s="43">
        <f t="shared" si="25"/>
        <v>0</v>
      </c>
      <c r="EG21" s="43">
        <f t="shared" si="25"/>
        <v>0</v>
      </c>
      <c r="EH21" s="43">
        <f t="shared" si="25"/>
        <v>0</v>
      </c>
      <c r="EI21" s="43">
        <f t="shared" si="25"/>
        <v>0</v>
      </c>
      <c r="EJ21" s="43">
        <f t="shared" si="25"/>
        <v>0</v>
      </c>
      <c r="EK21" s="43">
        <f t="shared" si="25"/>
        <v>0</v>
      </c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</row>
    <row r="22" spans="1:161" ht="14.25" x14ac:dyDescent="0.15">
      <c r="A22" s="46"/>
      <c r="B22" s="43" t="e">
        <f t="shared" si="2"/>
        <v>#DIV/0!</v>
      </c>
      <c r="C22" s="43" t="e">
        <f t="shared" si="3"/>
        <v>#DIV/0!</v>
      </c>
      <c r="D22" s="43" t="e">
        <f t="shared" si="4"/>
        <v>#DIV/0!</v>
      </c>
      <c r="E22" s="43" t="e">
        <f t="shared" si="5"/>
        <v>#DIV/0!</v>
      </c>
      <c r="F22" s="43" t="e">
        <f t="shared" si="6"/>
        <v>#DIV/0!</v>
      </c>
      <c r="G22" s="43" t="e">
        <f t="shared" si="7"/>
        <v>#DIV/0!</v>
      </c>
      <c r="H22" s="43" t="e">
        <f t="shared" si="8"/>
        <v>#DIV/0!</v>
      </c>
      <c r="I22" s="43" t="e">
        <f t="shared" si="9"/>
        <v>#DIV/0!</v>
      </c>
      <c r="J22" s="43" t="e">
        <f t="shared" si="10"/>
        <v>#DIV/0!</v>
      </c>
      <c r="K22" s="43" t="e">
        <f t="shared" si="11"/>
        <v>#DIV/0!</v>
      </c>
      <c r="L22" s="43" t="e">
        <f t="shared" si="12"/>
        <v>#DIV/0!</v>
      </c>
      <c r="M22" s="43" t="e">
        <f t="shared" si="13"/>
        <v>#DIV/0!</v>
      </c>
      <c r="N22" s="43" t="e">
        <f t="shared" si="14"/>
        <v>#DIV/0!</v>
      </c>
      <c r="O22" s="43" t="e">
        <f t="shared" si="15"/>
        <v>#DIV/0!</v>
      </c>
      <c r="P22" s="43" t="e">
        <f t="shared" si="16"/>
        <v>#DIV/0!</v>
      </c>
      <c r="Q22" s="43" t="e">
        <f t="shared" si="17"/>
        <v>#DIV/0!</v>
      </c>
      <c r="R22" s="43" t="e">
        <f t="shared" si="18"/>
        <v>#DIV/0!</v>
      </c>
      <c r="S22" s="43" t="e">
        <f t="shared" si="19"/>
        <v>#DIV/0!</v>
      </c>
      <c r="T22" s="43" t="e">
        <f t="shared" si="20"/>
        <v>#DIV/0!</v>
      </c>
      <c r="U22" s="43" t="e">
        <f t="shared" si="21"/>
        <v>#DIV/0!</v>
      </c>
      <c r="V22" s="53" t="e">
        <f>V21+ATM_Conf!$C$5*(B21)/(B209*V209)</f>
        <v>#DIV/0!</v>
      </c>
      <c r="W22" s="53" t="e">
        <f>W21+ATM_Conf!$C$5*(C21-B21)/(C209*W209)</f>
        <v>#DIV/0!</v>
      </c>
      <c r="X22" s="53" t="e">
        <f>X21+ATM_Conf!$C$5*(D21-C21)/(D209*X209)</f>
        <v>#DIV/0!</v>
      </c>
      <c r="Y22" s="53" t="e">
        <f>Y21+ATM_Conf!$C$5*(E21-D21)/(E209*Y209)</f>
        <v>#DIV/0!</v>
      </c>
      <c r="Z22" s="53" t="e">
        <f>Z21+ATM_Conf!$C$5*(F21-E21)/(F209*Z209)</f>
        <v>#DIV/0!</v>
      </c>
      <c r="AA22" s="53" t="e">
        <f>AA21+ATM_Conf!$C$5*(G21-F21)/(G209*AA209)</f>
        <v>#DIV/0!</v>
      </c>
      <c r="AB22" s="53" t="e">
        <f>AB21+ATM_Conf!$C$5*(H21-G21)/(H209*AB209)</f>
        <v>#DIV/0!</v>
      </c>
      <c r="AC22" s="53" t="e">
        <f>AC21+ATM_Conf!$C$5*(I21-H21)/(I209*AC209)</f>
        <v>#DIV/0!</v>
      </c>
      <c r="AD22" s="53" t="e">
        <f>AD21+ATM_Conf!$C$5*(J21-I21)/(J209*AD209)</f>
        <v>#DIV/0!</v>
      </c>
      <c r="AE22" s="53" t="e">
        <f>AE21+ATM_Conf!$C$5*(K21-J21)/(K209*AE209)</f>
        <v>#DIV/0!</v>
      </c>
      <c r="AF22" s="53" t="e">
        <f>AF21+ATM_Conf!$C$5*(L21)/(L209*AF209)</f>
        <v>#DIV/0!</v>
      </c>
      <c r="AG22" s="53" t="e">
        <f>AG21+ATM_Conf!$C$5*(M21-L21)/(M209*AG209)</f>
        <v>#DIV/0!</v>
      </c>
      <c r="AH22" s="53" t="e">
        <f>AH21+ATM_Conf!$C$5*(N21-M21)/(N209*AH209)</f>
        <v>#DIV/0!</v>
      </c>
      <c r="AI22" s="53" t="e">
        <f>AI21+ATM_Conf!$C$5*(O21-N21)/(O209*AI209)</f>
        <v>#DIV/0!</v>
      </c>
      <c r="AJ22" s="53" t="e">
        <f>AJ21+ATM_Conf!$C$5*(P21-O21)/(P209*AJ209)</f>
        <v>#DIV/0!</v>
      </c>
      <c r="AK22" s="53" t="e">
        <f>AK21+ATM_Conf!$C$5*(Q21-P21)/(Q209*AK209)</f>
        <v>#DIV/0!</v>
      </c>
      <c r="AL22" s="53" t="e">
        <f>AL21+ATM_Conf!$C$5*(R21-Q21)/(R209*AL209)</f>
        <v>#DIV/0!</v>
      </c>
      <c r="AM22" s="53" t="e">
        <f>AM21+ATM_Conf!$C$5*(S21-R21)/(S209*AM209)</f>
        <v>#DIV/0!</v>
      </c>
      <c r="AN22" s="53" t="e">
        <f>AN21+ATM_Conf!$C$5*(T21-S21)/(T209*AN209)</f>
        <v>#DIV/0!</v>
      </c>
      <c r="AO22" s="53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43">
        <f t="shared" si="26"/>
        <v>0</v>
      </c>
      <c r="DS22" s="43">
        <f t="shared" si="25"/>
        <v>0</v>
      </c>
      <c r="DT22" s="43">
        <f t="shared" si="25"/>
        <v>0</v>
      </c>
      <c r="DU22" s="43">
        <f t="shared" si="25"/>
        <v>0</v>
      </c>
      <c r="DV22" s="43">
        <f t="shared" si="25"/>
        <v>0</v>
      </c>
      <c r="DW22" s="43">
        <f t="shared" si="25"/>
        <v>0</v>
      </c>
      <c r="DX22" s="43">
        <f t="shared" si="25"/>
        <v>0</v>
      </c>
      <c r="DY22" s="43">
        <f t="shared" si="25"/>
        <v>0</v>
      </c>
      <c r="DZ22" s="43">
        <f t="shared" si="25"/>
        <v>0</v>
      </c>
      <c r="EA22" s="43">
        <f t="shared" si="25"/>
        <v>0</v>
      </c>
      <c r="EB22" s="43">
        <f t="shared" si="25"/>
        <v>0</v>
      </c>
      <c r="EC22" s="43">
        <f t="shared" si="25"/>
        <v>0</v>
      </c>
      <c r="ED22" s="43">
        <f t="shared" si="25"/>
        <v>0</v>
      </c>
      <c r="EE22" s="43">
        <f t="shared" si="25"/>
        <v>0</v>
      </c>
      <c r="EF22" s="43">
        <f t="shared" si="25"/>
        <v>0</v>
      </c>
      <c r="EG22" s="43">
        <f t="shared" si="25"/>
        <v>0</v>
      </c>
      <c r="EH22" s="43">
        <f t="shared" si="25"/>
        <v>0</v>
      </c>
      <c r="EI22" s="43">
        <f t="shared" si="25"/>
        <v>0</v>
      </c>
      <c r="EJ22" s="43">
        <f t="shared" si="25"/>
        <v>0</v>
      </c>
      <c r="EK22" s="43">
        <f t="shared" si="25"/>
        <v>0</v>
      </c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</row>
    <row r="23" spans="1:161" ht="14.25" x14ac:dyDescent="0.15">
      <c r="A23" s="46"/>
      <c r="B23" s="43" t="e">
        <f t="shared" si="2"/>
        <v>#DIV/0!</v>
      </c>
      <c r="C23" s="43" t="e">
        <f t="shared" si="3"/>
        <v>#DIV/0!</v>
      </c>
      <c r="D23" s="43" t="e">
        <f t="shared" si="4"/>
        <v>#DIV/0!</v>
      </c>
      <c r="E23" s="43" t="e">
        <f t="shared" si="5"/>
        <v>#DIV/0!</v>
      </c>
      <c r="F23" s="43" t="e">
        <f t="shared" si="6"/>
        <v>#DIV/0!</v>
      </c>
      <c r="G23" s="43" t="e">
        <f t="shared" si="7"/>
        <v>#DIV/0!</v>
      </c>
      <c r="H23" s="43" t="e">
        <f t="shared" si="8"/>
        <v>#DIV/0!</v>
      </c>
      <c r="I23" s="43" t="e">
        <f t="shared" si="9"/>
        <v>#DIV/0!</v>
      </c>
      <c r="J23" s="43" t="e">
        <f t="shared" si="10"/>
        <v>#DIV/0!</v>
      </c>
      <c r="K23" s="43" t="e">
        <f t="shared" si="11"/>
        <v>#DIV/0!</v>
      </c>
      <c r="L23" s="43" t="e">
        <f t="shared" si="12"/>
        <v>#DIV/0!</v>
      </c>
      <c r="M23" s="43" t="e">
        <f t="shared" si="13"/>
        <v>#DIV/0!</v>
      </c>
      <c r="N23" s="43" t="e">
        <f t="shared" si="14"/>
        <v>#DIV/0!</v>
      </c>
      <c r="O23" s="43" t="e">
        <f t="shared" si="15"/>
        <v>#DIV/0!</v>
      </c>
      <c r="P23" s="43" t="e">
        <f t="shared" si="16"/>
        <v>#DIV/0!</v>
      </c>
      <c r="Q23" s="43" t="e">
        <f t="shared" si="17"/>
        <v>#DIV/0!</v>
      </c>
      <c r="R23" s="43" t="e">
        <f t="shared" si="18"/>
        <v>#DIV/0!</v>
      </c>
      <c r="S23" s="43" t="e">
        <f t="shared" si="19"/>
        <v>#DIV/0!</v>
      </c>
      <c r="T23" s="43" t="e">
        <f t="shared" si="20"/>
        <v>#DIV/0!</v>
      </c>
      <c r="U23" s="43" t="e">
        <f t="shared" si="21"/>
        <v>#DIV/0!</v>
      </c>
      <c r="V23" s="53" t="e">
        <f>V22+ATM_Conf!$C$5*(B22)/(B210*V210)</f>
        <v>#DIV/0!</v>
      </c>
      <c r="W23" s="53" t="e">
        <f>W22+ATM_Conf!$C$5*(C22-B22)/(C210*W210)</f>
        <v>#DIV/0!</v>
      </c>
      <c r="X23" s="53" t="e">
        <f>X22+ATM_Conf!$C$5*(D22-C22)/(D210*X210)</f>
        <v>#DIV/0!</v>
      </c>
      <c r="Y23" s="53" t="e">
        <f>Y22+ATM_Conf!$C$5*(E22-D22)/(E210*Y210)</f>
        <v>#DIV/0!</v>
      </c>
      <c r="Z23" s="53" t="e">
        <f>Z22+ATM_Conf!$C$5*(F22-E22)/(F210*Z210)</f>
        <v>#DIV/0!</v>
      </c>
      <c r="AA23" s="53" t="e">
        <f>AA22+ATM_Conf!$C$5*(G22-F22)/(G210*AA210)</f>
        <v>#DIV/0!</v>
      </c>
      <c r="AB23" s="53" t="e">
        <f>AB22+ATM_Conf!$C$5*(H22-G22)/(H210*AB210)</f>
        <v>#DIV/0!</v>
      </c>
      <c r="AC23" s="53" t="e">
        <f>AC22+ATM_Conf!$C$5*(I22-H22)/(I210*AC210)</f>
        <v>#DIV/0!</v>
      </c>
      <c r="AD23" s="53" t="e">
        <f>AD22+ATM_Conf!$C$5*(J22-I22)/(J210*AD210)</f>
        <v>#DIV/0!</v>
      </c>
      <c r="AE23" s="53" t="e">
        <f>AE22+ATM_Conf!$C$5*(K22-J22)/(K210*AE210)</f>
        <v>#DIV/0!</v>
      </c>
      <c r="AF23" s="53" t="e">
        <f>AF22+ATM_Conf!$C$5*(L22)/(L210*AF210)</f>
        <v>#DIV/0!</v>
      </c>
      <c r="AG23" s="53" t="e">
        <f>AG22+ATM_Conf!$C$5*(M22-L22)/(M210*AG210)</f>
        <v>#DIV/0!</v>
      </c>
      <c r="AH23" s="53" t="e">
        <f>AH22+ATM_Conf!$C$5*(N22-M22)/(N210*AH210)</f>
        <v>#DIV/0!</v>
      </c>
      <c r="AI23" s="53" t="e">
        <f>AI22+ATM_Conf!$C$5*(O22-N22)/(O210*AI210)</f>
        <v>#DIV/0!</v>
      </c>
      <c r="AJ23" s="53" t="e">
        <f>AJ22+ATM_Conf!$C$5*(P22-O22)/(P210*AJ210)</f>
        <v>#DIV/0!</v>
      </c>
      <c r="AK23" s="53" t="e">
        <f>AK22+ATM_Conf!$C$5*(Q22-P22)/(Q210*AK210)</f>
        <v>#DIV/0!</v>
      </c>
      <c r="AL23" s="53" t="e">
        <f>AL22+ATM_Conf!$C$5*(R22-Q22)/(R210*AL210)</f>
        <v>#DIV/0!</v>
      </c>
      <c r="AM23" s="53" t="e">
        <f>AM22+ATM_Conf!$C$5*(S22-R22)/(S210*AM210)</f>
        <v>#DIV/0!</v>
      </c>
      <c r="AN23" s="53" t="e">
        <f>AN22+ATM_Conf!$C$5*(T22-S22)/(T210*AN210)</f>
        <v>#DIV/0!</v>
      </c>
      <c r="AO23" s="53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43">
        <f t="shared" si="26"/>
        <v>0</v>
      </c>
      <c r="DS23" s="43">
        <f t="shared" si="25"/>
        <v>0</v>
      </c>
      <c r="DT23" s="43">
        <f t="shared" si="25"/>
        <v>0</v>
      </c>
      <c r="DU23" s="43">
        <f t="shared" si="25"/>
        <v>0</v>
      </c>
      <c r="DV23" s="43">
        <f t="shared" si="25"/>
        <v>0</v>
      </c>
      <c r="DW23" s="43">
        <f t="shared" si="25"/>
        <v>0</v>
      </c>
      <c r="DX23" s="43">
        <f t="shared" si="25"/>
        <v>0</v>
      </c>
      <c r="DY23" s="43">
        <f t="shared" si="25"/>
        <v>0</v>
      </c>
      <c r="DZ23" s="43">
        <f t="shared" si="25"/>
        <v>0</v>
      </c>
      <c r="EA23" s="43">
        <f t="shared" si="25"/>
        <v>0</v>
      </c>
      <c r="EB23" s="43">
        <f t="shared" si="25"/>
        <v>0</v>
      </c>
      <c r="EC23" s="43">
        <f t="shared" si="25"/>
        <v>0</v>
      </c>
      <c r="ED23" s="43">
        <f t="shared" si="25"/>
        <v>0</v>
      </c>
      <c r="EE23" s="43">
        <f t="shared" si="25"/>
        <v>0</v>
      </c>
      <c r="EF23" s="43">
        <f t="shared" si="25"/>
        <v>0</v>
      </c>
      <c r="EG23" s="43">
        <f t="shared" si="25"/>
        <v>0</v>
      </c>
      <c r="EH23" s="43">
        <f t="shared" si="25"/>
        <v>0</v>
      </c>
      <c r="EI23" s="43">
        <f t="shared" si="25"/>
        <v>0</v>
      </c>
      <c r="EJ23" s="43">
        <f t="shared" si="25"/>
        <v>0</v>
      </c>
      <c r="EK23" s="43">
        <f t="shared" si="25"/>
        <v>0</v>
      </c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</row>
    <row r="24" spans="1:161" ht="14.25" x14ac:dyDescent="0.15">
      <c r="A24" s="46"/>
      <c r="B24" s="43" t="e">
        <f t="shared" si="2"/>
        <v>#DIV/0!</v>
      </c>
      <c r="C24" s="43" t="e">
        <f t="shared" si="3"/>
        <v>#DIV/0!</v>
      </c>
      <c r="D24" s="43" t="e">
        <f t="shared" si="4"/>
        <v>#DIV/0!</v>
      </c>
      <c r="E24" s="43" t="e">
        <f t="shared" si="5"/>
        <v>#DIV/0!</v>
      </c>
      <c r="F24" s="43" t="e">
        <f t="shared" si="6"/>
        <v>#DIV/0!</v>
      </c>
      <c r="G24" s="43" t="e">
        <f t="shared" si="7"/>
        <v>#DIV/0!</v>
      </c>
      <c r="H24" s="43" t="e">
        <f t="shared" si="8"/>
        <v>#DIV/0!</v>
      </c>
      <c r="I24" s="43" t="e">
        <f t="shared" si="9"/>
        <v>#DIV/0!</v>
      </c>
      <c r="J24" s="43" t="e">
        <f t="shared" si="10"/>
        <v>#DIV/0!</v>
      </c>
      <c r="K24" s="43" t="e">
        <f t="shared" si="11"/>
        <v>#DIV/0!</v>
      </c>
      <c r="L24" s="43" t="e">
        <f t="shared" si="12"/>
        <v>#DIV/0!</v>
      </c>
      <c r="M24" s="43" t="e">
        <f t="shared" si="13"/>
        <v>#DIV/0!</v>
      </c>
      <c r="N24" s="43" t="e">
        <f t="shared" si="14"/>
        <v>#DIV/0!</v>
      </c>
      <c r="O24" s="43" t="e">
        <f t="shared" si="15"/>
        <v>#DIV/0!</v>
      </c>
      <c r="P24" s="43" t="e">
        <f t="shared" si="16"/>
        <v>#DIV/0!</v>
      </c>
      <c r="Q24" s="43" t="e">
        <f t="shared" si="17"/>
        <v>#DIV/0!</v>
      </c>
      <c r="R24" s="43" t="e">
        <f t="shared" si="18"/>
        <v>#DIV/0!</v>
      </c>
      <c r="S24" s="43" t="e">
        <f t="shared" si="19"/>
        <v>#DIV/0!</v>
      </c>
      <c r="T24" s="43" t="e">
        <f t="shared" si="20"/>
        <v>#DIV/0!</v>
      </c>
      <c r="U24" s="43" t="e">
        <f t="shared" si="21"/>
        <v>#DIV/0!</v>
      </c>
      <c r="V24" s="53" t="e">
        <f>V23+ATM_Conf!$C$5*(B23)/(B211*V211)</f>
        <v>#DIV/0!</v>
      </c>
      <c r="W24" s="53" t="e">
        <f>W23+ATM_Conf!$C$5*(C23-B23)/(C211*W211)</f>
        <v>#DIV/0!</v>
      </c>
      <c r="X24" s="53" t="e">
        <f>X23+ATM_Conf!$C$5*(D23-C23)/(D211*X211)</f>
        <v>#DIV/0!</v>
      </c>
      <c r="Y24" s="53" t="e">
        <f>Y23+ATM_Conf!$C$5*(E23-D23)/(E211*Y211)</f>
        <v>#DIV/0!</v>
      </c>
      <c r="Z24" s="53" t="e">
        <f>Z23+ATM_Conf!$C$5*(F23-E23)/(F211*Z211)</f>
        <v>#DIV/0!</v>
      </c>
      <c r="AA24" s="53" t="e">
        <f>AA23+ATM_Conf!$C$5*(G23-F23)/(G211*AA211)</f>
        <v>#DIV/0!</v>
      </c>
      <c r="AB24" s="53" t="e">
        <f>AB23+ATM_Conf!$C$5*(H23-G23)/(H211*AB211)</f>
        <v>#DIV/0!</v>
      </c>
      <c r="AC24" s="53" t="e">
        <f>AC23+ATM_Conf!$C$5*(I23-H23)/(I211*AC211)</f>
        <v>#DIV/0!</v>
      </c>
      <c r="AD24" s="53" t="e">
        <f>AD23+ATM_Conf!$C$5*(J23-I23)/(J211*AD211)</f>
        <v>#DIV/0!</v>
      </c>
      <c r="AE24" s="53" t="e">
        <f>AE23+ATM_Conf!$C$5*(K23-J23)/(K211*AE211)</f>
        <v>#DIV/0!</v>
      </c>
      <c r="AF24" s="53" t="e">
        <f>AF23+ATM_Conf!$C$5*(L23)/(L211*AF211)</f>
        <v>#DIV/0!</v>
      </c>
      <c r="AG24" s="53" t="e">
        <f>AG23+ATM_Conf!$C$5*(M23-L23)/(M211*AG211)</f>
        <v>#DIV/0!</v>
      </c>
      <c r="AH24" s="53" t="e">
        <f>AH23+ATM_Conf!$C$5*(N23-M23)/(N211*AH211)</f>
        <v>#DIV/0!</v>
      </c>
      <c r="AI24" s="53" t="e">
        <f>AI23+ATM_Conf!$C$5*(O23-N23)/(O211*AI211)</f>
        <v>#DIV/0!</v>
      </c>
      <c r="AJ24" s="53" t="e">
        <f>AJ23+ATM_Conf!$C$5*(P23-O23)/(P211*AJ211)</f>
        <v>#DIV/0!</v>
      </c>
      <c r="AK24" s="53" t="e">
        <f>AK23+ATM_Conf!$C$5*(Q23-P23)/(Q211*AK211)</f>
        <v>#DIV/0!</v>
      </c>
      <c r="AL24" s="53" t="e">
        <f>AL23+ATM_Conf!$C$5*(R23-Q23)/(R211*AL211)</f>
        <v>#DIV/0!</v>
      </c>
      <c r="AM24" s="53" t="e">
        <f>AM23+ATM_Conf!$C$5*(S23-R23)/(S211*AM211)</f>
        <v>#DIV/0!</v>
      </c>
      <c r="AN24" s="53" t="e">
        <f>AN23+ATM_Conf!$C$5*(T23-S23)/(T211*AN211)</f>
        <v>#DIV/0!</v>
      </c>
      <c r="AO24" s="53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43">
        <f t="shared" si="26"/>
        <v>0</v>
      </c>
      <c r="DS24" s="43">
        <f t="shared" si="25"/>
        <v>0</v>
      </c>
      <c r="DT24" s="43">
        <f t="shared" si="25"/>
        <v>0</v>
      </c>
      <c r="DU24" s="43">
        <f t="shared" si="25"/>
        <v>0</v>
      </c>
      <c r="DV24" s="43">
        <f t="shared" si="25"/>
        <v>0</v>
      </c>
      <c r="DW24" s="43">
        <f t="shared" si="25"/>
        <v>0</v>
      </c>
      <c r="DX24" s="43">
        <f t="shared" si="25"/>
        <v>0</v>
      </c>
      <c r="DY24" s="43">
        <f t="shared" si="25"/>
        <v>0</v>
      </c>
      <c r="DZ24" s="43">
        <f t="shared" si="25"/>
        <v>0</v>
      </c>
      <c r="EA24" s="43">
        <f t="shared" si="25"/>
        <v>0</v>
      </c>
      <c r="EB24" s="43">
        <f t="shared" si="25"/>
        <v>0</v>
      </c>
      <c r="EC24" s="43">
        <f t="shared" si="25"/>
        <v>0</v>
      </c>
      <c r="ED24" s="43">
        <f t="shared" si="25"/>
        <v>0</v>
      </c>
      <c r="EE24" s="43">
        <f t="shared" si="25"/>
        <v>0</v>
      </c>
      <c r="EF24" s="43">
        <f t="shared" si="25"/>
        <v>0</v>
      </c>
      <c r="EG24" s="43">
        <f t="shared" si="25"/>
        <v>0</v>
      </c>
      <c r="EH24" s="43">
        <f t="shared" si="25"/>
        <v>0</v>
      </c>
      <c r="EI24" s="43">
        <f t="shared" si="25"/>
        <v>0</v>
      </c>
      <c r="EJ24" s="43">
        <f t="shared" si="25"/>
        <v>0</v>
      </c>
      <c r="EK24" s="43">
        <f t="shared" si="25"/>
        <v>0</v>
      </c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</row>
    <row r="25" spans="1:161" ht="14.25" x14ac:dyDescent="0.15">
      <c r="A25" s="46"/>
      <c r="B25" s="43" t="e">
        <f t="shared" si="2"/>
        <v>#DIV/0!</v>
      </c>
      <c r="C25" s="43" t="e">
        <f t="shared" si="3"/>
        <v>#DIV/0!</v>
      </c>
      <c r="D25" s="43" t="e">
        <f t="shared" si="4"/>
        <v>#DIV/0!</v>
      </c>
      <c r="E25" s="43" t="e">
        <f t="shared" si="5"/>
        <v>#DIV/0!</v>
      </c>
      <c r="F25" s="43" t="e">
        <f t="shared" si="6"/>
        <v>#DIV/0!</v>
      </c>
      <c r="G25" s="43" t="e">
        <f t="shared" si="7"/>
        <v>#DIV/0!</v>
      </c>
      <c r="H25" s="43" t="e">
        <f t="shared" si="8"/>
        <v>#DIV/0!</v>
      </c>
      <c r="I25" s="43" t="e">
        <f t="shared" si="9"/>
        <v>#DIV/0!</v>
      </c>
      <c r="J25" s="43" t="e">
        <f t="shared" si="10"/>
        <v>#DIV/0!</v>
      </c>
      <c r="K25" s="43" t="e">
        <f t="shared" si="11"/>
        <v>#DIV/0!</v>
      </c>
      <c r="L25" s="43" t="e">
        <f t="shared" si="12"/>
        <v>#DIV/0!</v>
      </c>
      <c r="M25" s="43" t="e">
        <f t="shared" si="13"/>
        <v>#DIV/0!</v>
      </c>
      <c r="N25" s="43" t="e">
        <f t="shared" si="14"/>
        <v>#DIV/0!</v>
      </c>
      <c r="O25" s="43" t="e">
        <f t="shared" si="15"/>
        <v>#DIV/0!</v>
      </c>
      <c r="P25" s="43" t="e">
        <f t="shared" si="16"/>
        <v>#DIV/0!</v>
      </c>
      <c r="Q25" s="43" t="e">
        <f t="shared" si="17"/>
        <v>#DIV/0!</v>
      </c>
      <c r="R25" s="43" t="e">
        <f t="shared" si="18"/>
        <v>#DIV/0!</v>
      </c>
      <c r="S25" s="43" t="e">
        <f t="shared" si="19"/>
        <v>#DIV/0!</v>
      </c>
      <c r="T25" s="43" t="e">
        <f t="shared" si="20"/>
        <v>#DIV/0!</v>
      </c>
      <c r="U25" s="43" t="e">
        <f t="shared" si="21"/>
        <v>#DIV/0!</v>
      </c>
      <c r="V25" s="53" t="e">
        <f>V24+ATM_Conf!$C$5*(B24)/(B212*V212)</f>
        <v>#DIV/0!</v>
      </c>
      <c r="W25" s="53" t="e">
        <f>W24+ATM_Conf!$C$5*(C24-B24)/(C212*W212)</f>
        <v>#DIV/0!</v>
      </c>
      <c r="X25" s="53" t="e">
        <f>X24+ATM_Conf!$C$5*(D24-C24)/(D212*X212)</f>
        <v>#DIV/0!</v>
      </c>
      <c r="Y25" s="53" t="e">
        <f>Y24+ATM_Conf!$C$5*(E24-D24)/(E212*Y212)</f>
        <v>#DIV/0!</v>
      </c>
      <c r="Z25" s="53" t="e">
        <f>Z24+ATM_Conf!$C$5*(F24-E24)/(F212*Z212)</f>
        <v>#DIV/0!</v>
      </c>
      <c r="AA25" s="53" t="e">
        <f>AA24+ATM_Conf!$C$5*(G24-F24)/(G212*AA212)</f>
        <v>#DIV/0!</v>
      </c>
      <c r="AB25" s="53" t="e">
        <f>AB24+ATM_Conf!$C$5*(H24-G24)/(H212*AB212)</f>
        <v>#DIV/0!</v>
      </c>
      <c r="AC25" s="53" t="e">
        <f>AC24+ATM_Conf!$C$5*(I24-H24)/(I212*AC212)</f>
        <v>#DIV/0!</v>
      </c>
      <c r="AD25" s="53" t="e">
        <f>AD24+ATM_Conf!$C$5*(J24-I24)/(J212*AD212)</f>
        <v>#DIV/0!</v>
      </c>
      <c r="AE25" s="53" t="e">
        <f>AE24+ATM_Conf!$C$5*(K24-J24)/(K212*AE212)</f>
        <v>#DIV/0!</v>
      </c>
      <c r="AF25" s="53" t="e">
        <f>AF24+ATM_Conf!$C$5*(L24)/(L212*AF212)</f>
        <v>#DIV/0!</v>
      </c>
      <c r="AG25" s="53" t="e">
        <f>AG24+ATM_Conf!$C$5*(M24-L24)/(M212*AG212)</f>
        <v>#DIV/0!</v>
      </c>
      <c r="AH25" s="53" t="e">
        <f>AH24+ATM_Conf!$C$5*(N24-M24)/(N212*AH212)</f>
        <v>#DIV/0!</v>
      </c>
      <c r="AI25" s="53" t="e">
        <f>AI24+ATM_Conf!$C$5*(O24-N24)/(O212*AI212)</f>
        <v>#DIV/0!</v>
      </c>
      <c r="AJ25" s="53" t="e">
        <f>AJ24+ATM_Conf!$C$5*(P24-O24)/(P212*AJ212)</f>
        <v>#DIV/0!</v>
      </c>
      <c r="AK25" s="53" t="e">
        <f>AK24+ATM_Conf!$C$5*(Q24-P24)/(Q212*AK212)</f>
        <v>#DIV/0!</v>
      </c>
      <c r="AL25" s="53" t="e">
        <f>AL24+ATM_Conf!$C$5*(R24-Q24)/(R212*AL212)</f>
        <v>#DIV/0!</v>
      </c>
      <c r="AM25" s="53" t="e">
        <f>AM24+ATM_Conf!$C$5*(S24-R24)/(S212*AM212)</f>
        <v>#DIV/0!</v>
      </c>
      <c r="AN25" s="53" t="e">
        <f>AN24+ATM_Conf!$C$5*(T24-S24)/(T212*AN212)</f>
        <v>#DIV/0!</v>
      </c>
      <c r="AO25" s="53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3"/>
      <c r="CY25" s="53"/>
      <c r="CZ25" s="53"/>
      <c r="DA25" s="53"/>
      <c r="DB25" s="53"/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  <c r="DR25" s="43">
        <f t="shared" si="26"/>
        <v>0</v>
      </c>
      <c r="DS25" s="43">
        <f t="shared" si="25"/>
        <v>0</v>
      </c>
      <c r="DT25" s="43">
        <f t="shared" si="25"/>
        <v>0</v>
      </c>
      <c r="DU25" s="43">
        <f t="shared" si="25"/>
        <v>0</v>
      </c>
      <c r="DV25" s="43">
        <f t="shared" si="25"/>
        <v>0</v>
      </c>
      <c r="DW25" s="43">
        <f t="shared" si="25"/>
        <v>0</v>
      </c>
      <c r="DX25" s="43">
        <f t="shared" si="25"/>
        <v>0</v>
      </c>
      <c r="DY25" s="43">
        <f t="shared" si="25"/>
        <v>0</v>
      </c>
      <c r="DZ25" s="43">
        <f t="shared" si="25"/>
        <v>0</v>
      </c>
      <c r="EA25" s="43">
        <f t="shared" si="25"/>
        <v>0</v>
      </c>
      <c r="EB25" s="43">
        <f t="shared" si="25"/>
        <v>0</v>
      </c>
      <c r="EC25" s="43">
        <f t="shared" si="25"/>
        <v>0</v>
      </c>
      <c r="ED25" s="43">
        <f t="shared" si="25"/>
        <v>0</v>
      </c>
      <c r="EE25" s="43">
        <f t="shared" si="25"/>
        <v>0</v>
      </c>
      <c r="EF25" s="43">
        <f t="shared" si="25"/>
        <v>0</v>
      </c>
      <c r="EG25" s="43">
        <f t="shared" si="25"/>
        <v>0</v>
      </c>
      <c r="EH25" s="43">
        <f t="shared" si="25"/>
        <v>0</v>
      </c>
      <c r="EI25" s="43">
        <f t="shared" si="25"/>
        <v>0</v>
      </c>
      <c r="EJ25" s="43">
        <f t="shared" si="25"/>
        <v>0</v>
      </c>
      <c r="EK25" s="43">
        <f t="shared" si="25"/>
        <v>0</v>
      </c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</row>
    <row r="26" spans="1:161" ht="14.25" x14ac:dyDescent="0.15">
      <c r="A26" s="46"/>
      <c r="B26" s="43" t="e">
        <f t="shared" si="2"/>
        <v>#DIV/0!</v>
      </c>
      <c r="C26" s="43" t="e">
        <f t="shared" si="3"/>
        <v>#DIV/0!</v>
      </c>
      <c r="D26" s="43" t="e">
        <f t="shared" si="4"/>
        <v>#DIV/0!</v>
      </c>
      <c r="E26" s="43" t="e">
        <f t="shared" si="5"/>
        <v>#DIV/0!</v>
      </c>
      <c r="F26" s="43" t="e">
        <f t="shared" si="6"/>
        <v>#DIV/0!</v>
      </c>
      <c r="G26" s="43" t="e">
        <f t="shared" si="7"/>
        <v>#DIV/0!</v>
      </c>
      <c r="H26" s="43" t="e">
        <f t="shared" si="8"/>
        <v>#DIV/0!</v>
      </c>
      <c r="I26" s="43" t="e">
        <f t="shared" si="9"/>
        <v>#DIV/0!</v>
      </c>
      <c r="J26" s="43" t="e">
        <f t="shared" si="10"/>
        <v>#DIV/0!</v>
      </c>
      <c r="K26" s="43" t="e">
        <f t="shared" si="11"/>
        <v>#DIV/0!</v>
      </c>
      <c r="L26" s="43" t="e">
        <f t="shared" si="12"/>
        <v>#DIV/0!</v>
      </c>
      <c r="M26" s="43" t="e">
        <f t="shared" si="13"/>
        <v>#DIV/0!</v>
      </c>
      <c r="N26" s="43" t="e">
        <f t="shared" si="14"/>
        <v>#DIV/0!</v>
      </c>
      <c r="O26" s="43" t="e">
        <f t="shared" si="15"/>
        <v>#DIV/0!</v>
      </c>
      <c r="P26" s="43" t="e">
        <f t="shared" si="16"/>
        <v>#DIV/0!</v>
      </c>
      <c r="Q26" s="43" t="e">
        <f t="shared" si="17"/>
        <v>#DIV/0!</v>
      </c>
      <c r="R26" s="43" t="e">
        <f t="shared" si="18"/>
        <v>#DIV/0!</v>
      </c>
      <c r="S26" s="43" t="e">
        <f t="shared" si="19"/>
        <v>#DIV/0!</v>
      </c>
      <c r="T26" s="43" t="e">
        <f t="shared" si="20"/>
        <v>#DIV/0!</v>
      </c>
      <c r="U26" s="43" t="e">
        <f t="shared" si="21"/>
        <v>#DIV/0!</v>
      </c>
      <c r="V26" s="53" t="e">
        <f>V25+ATM_Conf!$C$5*(B25)/(B213*V213)</f>
        <v>#DIV/0!</v>
      </c>
      <c r="W26" s="53" t="e">
        <f>W25+ATM_Conf!$C$5*(C25-B25)/(C213*W213)</f>
        <v>#DIV/0!</v>
      </c>
      <c r="X26" s="53" t="e">
        <f>X25+ATM_Conf!$C$5*(D25-C25)/(D213*X213)</f>
        <v>#DIV/0!</v>
      </c>
      <c r="Y26" s="53" t="e">
        <f>Y25+ATM_Conf!$C$5*(E25-D25)/(E213*Y213)</f>
        <v>#DIV/0!</v>
      </c>
      <c r="Z26" s="53" t="e">
        <f>Z25+ATM_Conf!$C$5*(F25-E25)/(F213*Z213)</f>
        <v>#DIV/0!</v>
      </c>
      <c r="AA26" s="53" t="e">
        <f>AA25+ATM_Conf!$C$5*(G25-F25)/(G213*AA213)</f>
        <v>#DIV/0!</v>
      </c>
      <c r="AB26" s="53" t="e">
        <f>AB25+ATM_Conf!$C$5*(H25-G25)/(H213*AB213)</f>
        <v>#DIV/0!</v>
      </c>
      <c r="AC26" s="53" t="e">
        <f>AC25+ATM_Conf!$C$5*(I25-H25)/(I213*AC213)</f>
        <v>#DIV/0!</v>
      </c>
      <c r="AD26" s="53" t="e">
        <f>AD25+ATM_Conf!$C$5*(J25-I25)/(J213*AD213)</f>
        <v>#DIV/0!</v>
      </c>
      <c r="AE26" s="53" t="e">
        <f>AE25+ATM_Conf!$C$5*(K25-J25)/(K213*AE213)</f>
        <v>#DIV/0!</v>
      </c>
      <c r="AF26" s="53" t="e">
        <f>AF25+ATM_Conf!$C$5*(L25)/(L213*AF213)</f>
        <v>#DIV/0!</v>
      </c>
      <c r="AG26" s="53" t="e">
        <f>AG25+ATM_Conf!$C$5*(M25-L25)/(M213*AG213)</f>
        <v>#DIV/0!</v>
      </c>
      <c r="AH26" s="53" t="e">
        <f>AH25+ATM_Conf!$C$5*(N25-M25)/(N213*AH213)</f>
        <v>#DIV/0!</v>
      </c>
      <c r="AI26" s="53" t="e">
        <f>AI25+ATM_Conf!$C$5*(O25-N25)/(O213*AI213)</f>
        <v>#DIV/0!</v>
      </c>
      <c r="AJ26" s="53" t="e">
        <f>AJ25+ATM_Conf!$C$5*(P25-O25)/(P213*AJ213)</f>
        <v>#DIV/0!</v>
      </c>
      <c r="AK26" s="53" t="e">
        <f>AK25+ATM_Conf!$C$5*(Q25-P25)/(Q213*AK213)</f>
        <v>#DIV/0!</v>
      </c>
      <c r="AL26" s="53" t="e">
        <f>AL25+ATM_Conf!$C$5*(R25-Q25)/(R213*AL213)</f>
        <v>#DIV/0!</v>
      </c>
      <c r="AM26" s="53" t="e">
        <f>AM25+ATM_Conf!$C$5*(S25-R25)/(S213*AM213)</f>
        <v>#DIV/0!</v>
      </c>
      <c r="AN26" s="53" t="e">
        <f>AN25+ATM_Conf!$C$5*(T25-S25)/(T213*AN213)</f>
        <v>#DIV/0!</v>
      </c>
      <c r="AO26" s="53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43">
        <f t="shared" si="26"/>
        <v>0</v>
      </c>
      <c r="DS26" s="43">
        <f t="shared" si="25"/>
        <v>0</v>
      </c>
      <c r="DT26" s="43">
        <f t="shared" si="25"/>
        <v>0</v>
      </c>
      <c r="DU26" s="43">
        <f t="shared" si="25"/>
        <v>0</v>
      </c>
      <c r="DV26" s="43">
        <f t="shared" si="25"/>
        <v>0</v>
      </c>
      <c r="DW26" s="43">
        <f t="shared" si="25"/>
        <v>0</v>
      </c>
      <c r="DX26" s="43">
        <f t="shared" si="25"/>
        <v>0</v>
      </c>
      <c r="DY26" s="43">
        <f t="shared" si="25"/>
        <v>0</v>
      </c>
      <c r="DZ26" s="43">
        <f t="shared" si="25"/>
        <v>0</v>
      </c>
      <c r="EA26" s="43">
        <f t="shared" si="25"/>
        <v>0</v>
      </c>
      <c r="EB26" s="43">
        <f t="shared" si="25"/>
        <v>0</v>
      </c>
      <c r="EC26" s="43">
        <f t="shared" si="25"/>
        <v>0</v>
      </c>
      <c r="ED26" s="43">
        <f t="shared" si="25"/>
        <v>0</v>
      </c>
      <c r="EE26" s="43">
        <f t="shared" si="25"/>
        <v>0</v>
      </c>
      <c r="EF26" s="43">
        <f t="shared" si="25"/>
        <v>0</v>
      </c>
      <c r="EG26" s="43">
        <f t="shared" si="25"/>
        <v>0</v>
      </c>
      <c r="EH26" s="43">
        <f t="shared" si="25"/>
        <v>0</v>
      </c>
      <c r="EI26" s="43">
        <f t="shared" si="25"/>
        <v>0</v>
      </c>
      <c r="EJ26" s="43">
        <f t="shared" si="25"/>
        <v>0</v>
      </c>
      <c r="EK26" s="43">
        <f t="shared" si="25"/>
        <v>0</v>
      </c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</row>
    <row r="27" spans="1:161" ht="14.25" x14ac:dyDescent="0.15">
      <c r="A27" s="46"/>
      <c r="B27" s="43" t="e">
        <f t="shared" si="2"/>
        <v>#DIV/0!</v>
      </c>
      <c r="C27" s="43" t="e">
        <f t="shared" si="3"/>
        <v>#DIV/0!</v>
      </c>
      <c r="D27" s="43" t="e">
        <f t="shared" si="4"/>
        <v>#DIV/0!</v>
      </c>
      <c r="E27" s="43" t="e">
        <f t="shared" si="5"/>
        <v>#DIV/0!</v>
      </c>
      <c r="F27" s="43" t="e">
        <f t="shared" si="6"/>
        <v>#DIV/0!</v>
      </c>
      <c r="G27" s="43" t="e">
        <f t="shared" si="7"/>
        <v>#DIV/0!</v>
      </c>
      <c r="H27" s="43" t="e">
        <f t="shared" si="8"/>
        <v>#DIV/0!</v>
      </c>
      <c r="I27" s="43" t="e">
        <f t="shared" si="9"/>
        <v>#DIV/0!</v>
      </c>
      <c r="J27" s="43" t="e">
        <f t="shared" si="10"/>
        <v>#DIV/0!</v>
      </c>
      <c r="K27" s="43" t="e">
        <f t="shared" si="11"/>
        <v>#DIV/0!</v>
      </c>
      <c r="L27" s="43" t="e">
        <f t="shared" si="12"/>
        <v>#DIV/0!</v>
      </c>
      <c r="M27" s="43" t="e">
        <f t="shared" si="13"/>
        <v>#DIV/0!</v>
      </c>
      <c r="N27" s="43" t="e">
        <f t="shared" si="14"/>
        <v>#DIV/0!</v>
      </c>
      <c r="O27" s="43" t="e">
        <f t="shared" si="15"/>
        <v>#DIV/0!</v>
      </c>
      <c r="P27" s="43" t="e">
        <f t="shared" si="16"/>
        <v>#DIV/0!</v>
      </c>
      <c r="Q27" s="43" t="e">
        <f t="shared" si="17"/>
        <v>#DIV/0!</v>
      </c>
      <c r="R27" s="43" t="e">
        <f t="shared" si="18"/>
        <v>#DIV/0!</v>
      </c>
      <c r="S27" s="43" t="e">
        <f t="shared" si="19"/>
        <v>#DIV/0!</v>
      </c>
      <c r="T27" s="43" t="e">
        <f t="shared" si="20"/>
        <v>#DIV/0!</v>
      </c>
      <c r="U27" s="43" t="e">
        <f t="shared" si="21"/>
        <v>#DIV/0!</v>
      </c>
      <c r="V27" s="53" t="e">
        <f>V26+ATM_Conf!$C$5*(B26)/(B214*V214)</f>
        <v>#DIV/0!</v>
      </c>
      <c r="W27" s="53" t="e">
        <f>W26+ATM_Conf!$C$5*(C26-B26)/(C214*W214)</f>
        <v>#DIV/0!</v>
      </c>
      <c r="X27" s="53" t="e">
        <f>X26+ATM_Conf!$C$5*(D26-C26)/(D214*X214)</f>
        <v>#DIV/0!</v>
      </c>
      <c r="Y27" s="53" t="e">
        <f>Y26+ATM_Conf!$C$5*(E26-D26)/(E214*Y214)</f>
        <v>#DIV/0!</v>
      </c>
      <c r="Z27" s="53" t="e">
        <f>Z26+ATM_Conf!$C$5*(F26-E26)/(F214*Z214)</f>
        <v>#DIV/0!</v>
      </c>
      <c r="AA27" s="53" t="e">
        <f>AA26+ATM_Conf!$C$5*(G26-F26)/(G214*AA214)</f>
        <v>#DIV/0!</v>
      </c>
      <c r="AB27" s="53" t="e">
        <f>AB26+ATM_Conf!$C$5*(H26-G26)/(H214*AB214)</f>
        <v>#DIV/0!</v>
      </c>
      <c r="AC27" s="53" t="e">
        <f>AC26+ATM_Conf!$C$5*(I26-H26)/(I214*AC214)</f>
        <v>#DIV/0!</v>
      </c>
      <c r="AD27" s="53" t="e">
        <f>AD26+ATM_Conf!$C$5*(J26-I26)/(J214*AD214)</f>
        <v>#DIV/0!</v>
      </c>
      <c r="AE27" s="53" t="e">
        <f>AE26+ATM_Conf!$C$5*(K26-J26)/(K214*AE214)</f>
        <v>#DIV/0!</v>
      </c>
      <c r="AF27" s="53" t="e">
        <f>AF26+ATM_Conf!$C$5*(L26)/(L214*AF214)</f>
        <v>#DIV/0!</v>
      </c>
      <c r="AG27" s="53" t="e">
        <f>AG26+ATM_Conf!$C$5*(M26-L26)/(M214*AG214)</f>
        <v>#DIV/0!</v>
      </c>
      <c r="AH27" s="53" t="e">
        <f>AH26+ATM_Conf!$C$5*(N26-M26)/(N214*AH214)</f>
        <v>#DIV/0!</v>
      </c>
      <c r="AI27" s="53" t="e">
        <f>AI26+ATM_Conf!$C$5*(O26-N26)/(O214*AI214)</f>
        <v>#DIV/0!</v>
      </c>
      <c r="AJ27" s="53" t="e">
        <f>AJ26+ATM_Conf!$C$5*(P26-O26)/(P214*AJ214)</f>
        <v>#DIV/0!</v>
      </c>
      <c r="AK27" s="53" t="e">
        <f>AK26+ATM_Conf!$C$5*(Q26-P26)/(Q214*AK214)</f>
        <v>#DIV/0!</v>
      </c>
      <c r="AL27" s="53" t="e">
        <f>AL26+ATM_Conf!$C$5*(R26-Q26)/(R214*AL214)</f>
        <v>#DIV/0!</v>
      </c>
      <c r="AM27" s="53" t="e">
        <f>AM26+ATM_Conf!$C$5*(S26-R26)/(S214*AM214)</f>
        <v>#DIV/0!</v>
      </c>
      <c r="AN27" s="53" t="e">
        <f>AN26+ATM_Conf!$C$5*(T26-S26)/(T214*AN214)</f>
        <v>#DIV/0!</v>
      </c>
      <c r="AO27" s="53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47">
        <f>(DR27-DR15)^2</f>
        <v>0</v>
      </c>
      <c r="EM27" s="47">
        <f t="shared" ref="EM27:FE27" si="27">(DS27-DS15)^2</f>
        <v>0</v>
      </c>
      <c r="EN27" s="47">
        <f t="shared" si="27"/>
        <v>0</v>
      </c>
      <c r="EO27" s="47">
        <f t="shared" si="27"/>
        <v>0</v>
      </c>
      <c r="EP27" s="47">
        <f t="shared" si="27"/>
        <v>0</v>
      </c>
      <c r="EQ27" s="47">
        <f t="shared" si="27"/>
        <v>0</v>
      </c>
      <c r="ER27" s="47">
        <f t="shared" si="27"/>
        <v>0</v>
      </c>
      <c r="ES27" s="47">
        <f t="shared" si="27"/>
        <v>0</v>
      </c>
      <c r="ET27" s="47">
        <f t="shared" si="27"/>
        <v>0</v>
      </c>
      <c r="EU27" s="47">
        <f t="shared" si="27"/>
        <v>0</v>
      </c>
      <c r="EV27" s="47">
        <f t="shared" si="27"/>
        <v>0</v>
      </c>
      <c r="EW27" s="47">
        <f t="shared" si="27"/>
        <v>0</v>
      </c>
      <c r="EX27" s="47">
        <f t="shared" si="27"/>
        <v>0</v>
      </c>
      <c r="EY27" s="47">
        <f t="shared" si="27"/>
        <v>0</v>
      </c>
      <c r="EZ27" s="47">
        <f t="shared" si="27"/>
        <v>0</v>
      </c>
      <c r="FA27" s="47">
        <f t="shared" si="27"/>
        <v>0</v>
      </c>
      <c r="FB27" s="47">
        <f t="shared" si="27"/>
        <v>0</v>
      </c>
      <c r="FC27" s="47">
        <f t="shared" si="27"/>
        <v>0</v>
      </c>
      <c r="FD27" s="47">
        <f t="shared" si="27"/>
        <v>0</v>
      </c>
      <c r="FE27" s="47">
        <f t="shared" si="27"/>
        <v>0</v>
      </c>
    </row>
    <row r="28" spans="1:161" ht="14.25" x14ac:dyDescent="0.15">
      <c r="A28" s="46"/>
      <c r="B28" s="43" t="e">
        <f t="shared" si="2"/>
        <v>#DIV/0!</v>
      </c>
      <c r="C28" s="43" t="e">
        <f t="shared" si="3"/>
        <v>#DIV/0!</v>
      </c>
      <c r="D28" s="43" t="e">
        <f t="shared" si="4"/>
        <v>#DIV/0!</v>
      </c>
      <c r="E28" s="43" t="e">
        <f t="shared" si="5"/>
        <v>#DIV/0!</v>
      </c>
      <c r="F28" s="43" t="e">
        <f t="shared" si="6"/>
        <v>#DIV/0!</v>
      </c>
      <c r="G28" s="43" t="e">
        <f t="shared" si="7"/>
        <v>#DIV/0!</v>
      </c>
      <c r="H28" s="43" t="e">
        <f t="shared" si="8"/>
        <v>#DIV/0!</v>
      </c>
      <c r="I28" s="43" t="e">
        <f t="shared" si="9"/>
        <v>#DIV/0!</v>
      </c>
      <c r="J28" s="43" t="e">
        <f t="shared" si="10"/>
        <v>#DIV/0!</v>
      </c>
      <c r="K28" s="43" t="e">
        <f t="shared" si="11"/>
        <v>#DIV/0!</v>
      </c>
      <c r="L28" s="43" t="e">
        <f t="shared" si="12"/>
        <v>#DIV/0!</v>
      </c>
      <c r="M28" s="43" t="e">
        <f t="shared" si="13"/>
        <v>#DIV/0!</v>
      </c>
      <c r="N28" s="43" t="e">
        <f t="shared" si="14"/>
        <v>#DIV/0!</v>
      </c>
      <c r="O28" s="43" t="e">
        <f t="shared" si="15"/>
        <v>#DIV/0!</v>
      </c>
      <c r="P28" s="43" t="e">
        <f t="shared" si="16"/>
        <v>#DIV/0!</v>
      </c>
      <c r="Q28" s="43" t="e">
        <f t="shared" si="17"/>
        <v>#DIV/0!</v>
      </c>
      <c r="R28" s="43" t="e">
        <f t="shared" si="18"/>
        <v>#DIV/0!</v>
      </c>
      <c r="S28" s="43" t="e">
        <f t="shared" si="19"/>
        <v>#DIV/0!</v>
      </c>
      <c r="T28" s="43" t="e">
        <f t="shared" si="20"/>
        <v>#DIV/0!</v>
      </c>
      <c r="U28" s="43" t="e">
        <f t="shared" si="21"/>
        <v>#DIV/0!</v>
      </c>
      <c r="V28" s="53" t="e">
        <f>V27+ATM_Conf!$C$5*(B27)/(B215*V215)</f>
        <v>#DIV/0!</v>
      </c>
      <c r="W28" s="53" t="e">
        <f>W27+ATM_Conf!$C$5*(C27-B27)/(C215*W215)</f>
        <v>#DIV/0!</v>
      </c>
      <c r="X28" s="53" t="e">
        <f>X27+ATM_Conf!$C$5*(D27-C27)/(D215*X215)</f>
        <v>#DIV/0!</v>
      </c>
      <c r="Y28" s="53" t="e">
        <f>Y27+ATM_Conf!$C$5*(E27-D27)/(E215*Y215)</f>
        <v>#DIV/0!</v>
      </c>
      <c r="Z28" s="53" t="e">
        <f>Z27+ATM_Conf!$C$5*(F27-E27)/(F215*Z215)</f>
        <v>#DIV/0!</v>
      </c>
      <c r="AA28" s="53" t="e">
        <f>AA27+ATM_Conf!$C$5*(G27-F27)/(G215*AA215)</f>
        <v>#DIV/0!</v>
      </c>
      <c r="AB28" s="53" t="e">
        <f>AB27+ATM_Conf!$C$5*(H27-G27)/(H215*AB215)</f>
        <v>#DIV/0!</v>
      </c>
      <c r="AC28" s="53" t="e">
        <f>AC27+ATM_Conf!$C$5*(I27-H27)/(I215*AC215)</f>
        <v>#DIV/0!</v>
      </c>
      <c r="AD28" s="53" t="e">
        <f>AD27+ATM_Conf!$C$5*(J27-I27)/(J215*AD215)</f>
        <v>#DIV/0!</v>
      </c>
      <c r="AE28" s="53" t="e">
        <f>AE27+ATM_Conf!$C$5*(K27-J27)/(K215*AE215)</f>
        <v>#DIV/0!</v>
      </c>
      <c r="AF28" s="53" t="e">
        <f>AF27+ATM_Conf!$C$5*(L27)/(L215*AF215)</f>
        <v>#DIV/0!</v>
      </c>
      <c r="AG28" s="53" t="e">
        <f>AG27+ATM_Conf!$C$5*(M27-L27)/(M215*AG215)</f>
        <v>#DIV/0!</v>
      </c>
      <c r="AH28" s="53" t="e">
        <f>AH27+ATM_Conf!$C$5*(N27-M27)/(N215*AH215)</f>
        <v>#DIV/0!</v>
      </c>
      <c r="AI28" s="53" t="e">
        <f>AI27+ATM_Conf!$C$5*(O27-N27)/(O215*AI215)</f>
        <v>#DIV/0!</v>
      </c>
      <c r="AJ28" s="53" t="e">
        <f>AJ27+ATM_Conf!$C$5*(P27-O27)/(P215*AJ215)</f>
        <v>#DIV/0!</v>
      </c>
      <c r="AK28" s="53" t="e">
        <f>AK27+ATM_Conf!$C$5*(Q27-P27)/(Q215*AK215)</f>
        <v>#DIV/0!</v>
      </c>
      <c r="AL28" s="53" t="e">
        <f>AL27+ATM_Conf!$C$5*(R27-Q27)/(R215*AL215)</f>
        <v>#DIV/0!</v>
      </c>
      <c r="AM28" s="53" t="e">
        <f>AM27+ATM_Conf!$C$5*(S27-R27)/(S215*AM215)</f>
        <v>#DIV/0!</v>
      </c>
      <c r="AN28" s="53" t="e">
        <f>AN27+ATM_Conf!$C$5*(T27-S27)/(T215*AN215)</f>
        <v>#DIV/0!</v>
      </c>
      <c r="AO28" s="53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43">
        <f>DR$27</f>
        <v>0</v>
      </c>
      <c r="DS28" s="43">
        <f t="shared" ref="DS28:EK38" si="28">DS$27</f>
        <v>0</v>
      </c>
      <c r="DT28" s="43">
        <f t="shared" si="28"/>
        <v>0</v>
      </c>
      <c r="DU28" s="43">
        <f t="shared" si="28"/>
        <v>0</v>
      </c>
      <c r="DV28" s="43">
        <f t="shared" si="28"/>
        <v>0</v>
      </c>
      <c r="DW28" s="43">
        <f t="shared" si="28"/>
        <v>0</v>
      </c>
      <c r="DX28" s="43">
        <f t="shared" si="28"/>
        <v>0</v>
      </c>
      <c r="DY28" s="43">
        <f t="shared" si="28"/>
        <v>0</v>
      </c>
      <c r="DZ28" s="43">
        <f t="shared" si="28"/>
        <v>0</v>
      </c>
      <c r="EA28" s="43">
        <f t="shared" si="28"/>
        <v>0</v>
      </c>
      <c r="EB28" s="43">
        <f t="shared" si="28"/>
        <v>0</v>
      </c>
      <c r="EC28" s="43">
        <f t="shared" si="28"/>
        <v>0</v>
      </c>
      <c r="ED28" s="43">
        <f t="shared" si="28"/>
        <v>0</v>
      </c>
      <c r="EE28" s="43">
        <f t="shared" si="28"/>
        <v>0</v>
      </c>
      <c r="EF28" s="43">
        <f t="shared" si="28"/>
        <v>0</v>
      </c>
      <c r="EG28" s="43">
        <f t="shared" si="28"/>
        <v>0</v>
      </c>
      <c r="EH28" s="43">
        <f t="shared" si="28"/>
        <v>0</v>
      </c>
      <c r="EI28" s="43">
        <f t="shared" si="28"/>
        <v>0</v>
      </c>
      <c r="EJ28" s="43">
        <f t="shared" si="28"/>
        <v>0</v>
      </c>
      <c r="EK28" s="43">
        <f t="shared" si="28"/>
        <v>0</v>
      </c>
      <c r="EL28" s="47"/>
      <c r="EM28" s="47"/>
      <c r="EN28" s="47"/>
      <c r="EO28" s="47"/>
      <c r="EP28" s="47"/>
      <c r="EQ28" s="47"/>
      <c r="ER28" s="47"/>
      <c r="ES28" s="47"/>
      <c r="ET28" s="47"/>
      <c r="EU28" s="47"/>
      <c r="EV28" s="47"/>
      <c r="EW28" s="47"/>
      <c r="EX28" s="47"/>
      <c r="EY28" s="47"/>
      <c r="EZ28" s="47"/>
      <c r="FA28" s="47"/>
      <c r="FB28" s="47"/>
      <c r="FC28" s="47"/>
      <c r="FD28" s="47"/>
      <c r="FE28" s="47"/>
    </row>
    <row r="29" spans="1:161" ht="14.25" x14ac:dyDescent="0.15">
      <c r="A29" s="46"/>
      <c r="B29" s="43" t="e">
        <f t="shared" si="2"/>
        <v>#DIV/0!</v>
      </c>
      <c r="C29" s="43" t="e">
        <f t="shared" si="3"/>
        <v>#DIV/0!</v>
      </c>
      <c r="D29" s="43" t="e">
        <f t="shared" si="4"/>
        <v>#DIV/0!</v>
      </c>
      <c r="E29" s="43" t="e">
        <f t="shared" si="5"/>
        <v>#DIV/0!</v>
      </c>
      <c r="F29" s="43" t="e">
        <f t="shared" si="6"/>
        <v>#DIV/0!</v>
      </c>
      <c r="G29" s="43" t="e">
        <f t="shared" si="7"/>
        <v>#DIV/0!</v>
      </c>
      <c r="H29" s="43" t="e">
        <f t="shared" si="8"/>
        <v>#DIV/0!</v>
      </c>
      <c r="I29" s="43" t="e">
        <f t="shared" si="9"/>
        <v>#DIV/0!</v>
      </c>
      <c r="J29" s="43" t="e">
        <f t="shared" si="10"/>
        <v>#DIV/0!</v>
      </c>
      <c r="K29" s="43" t="e">
        <f t="shared" si="11"/>
        <v>#DIV/0!</v>
      </c>
      <c r="L29" s="43" t="e">
        <f t="shared" si="12"/>
        <v>#DIV/0!</v>
      </c>
      <c r="M29" s="43" t="e">
        <f t="shared" si="13"/>
        <v>#DIV/0!</v>
      </c>
      <c r="N29" s="43" t="e">
        <f t="shared" si="14"/>
        <v>#DIV/0!</v>
      </c>
      <c r="O29" s="43" t="e">
        <f t="shared" si="15"/>
        <v>#DIV/0!</v>
      </c>
      <c r="P29" s="43" t="e">
        <f t="shared" si="16"/>
        <v>#DIV/0!</v>
      </c>
      <c r="Q29" s="43" t="e">
        <f t="shared" si="17"/>
        <v>#DIV/0!</v>
      </c>
      <c r="R29" s="43" t="e">
        <f t="shared" si="18"/>
        <v>#DIV/0!</v>
      </c>
      <c r="S29" s="43" t="e">
        <f t="shared" si="19"/>
        <v>#DIV/0!</v>
      </c>
      <c r="T29" s="43" t="e">
        <f t="shared" si="20"/>
        <v>#DIV/0!</v>
      </c>
      <c r="U29" s="43" t="e">
        <f t="shared" si="21"/>
        <v>#DIV/0!</v>
      </c>
      <c r="V29" s="53" t="e">
        <f>V28+ATM_Conf!$C$5*(B28)/(B216*V216)</f>
        <v>#DIV/0!</v>
      </c>
      <c r="W29" s="53" t="e">
        <f>W28+ATM_Conf!$C$5*(C28-B28)/(C216*W216)</f>
        <v>#DIV/0!</v>
      </c>
      <c r="X29" s="53" t="e">
        <f>X28+ATM_Conf!$C$5*(D28-C28)/(D216*X216)</f>
        <v>#DIV/0!</v>
      </c>
      <c r="Y29" s="53" t="e">
        <f>Y28+ATM_Conf!$C$5*(E28-D28)/(E216*Y216)</f>
        <v>#DIV/0!</v>
      </c>
      <c r="Z29" s="53" t="e">
        <f>Z28+ATM_Conf!$C$5*(F28-E28)/(F216*Z216)</f>
        <v>#DIV/0!</v>
      </c>
      <c r="AA29" s="53" t="e">
        <f>AA28+ATM_Conf!$C$5*(G28-F28)/(G216*AA216)</f>
        <v>#DIV/0!</v>
      </c>
      <c r="AB29" s="53" t="e">
        <f>AB28+ATM_Conf!$C$5*(H28-G28)/(H216*AB216)</f>
        <v>#DIV/0!</v>
      </c>
      <c r="AC29" s="53" t="e">
        <f>AC28+ATM_Conf!$C$5*(I28-H28)/(I216*AC216)</f>
        <v>#DIV/0!</v>
      </c>
      <c r="AD29" s="53" t="e">
        <f>AD28+ATM_Conf!$C$5*(J28-I28)/(J216*AD216)</f>
        <v>#DIV/0!</v>
      </c>
      <c r="AE29" s="53" t="e">
        <f>AE28+ATM_Conf!$C$5*(K28-J28)/(K216*AE216)</f>
        <v>#DIV/0!</v>
      </c>
      <c r="AF29" s="53" t="e">
        <f>AF28+ATM_Conf!$C$5*(L28)/(L216*AF216)</f>
        <v>#DIV/0!</v>
      </c>
      <c r="AG29" s="53" t="e">
        <f>AG28+ATM_Conf!$C$5*(M28-L28)/(M216*AG216)</f>
        <v>#DIV/0!</v>
      </c>
      <c r="AH29" s="53" t="e">
        <f>AH28+ATM_Conf!$C$5*(N28-M28)/(N216*AH216)</f>
        <v>#DIV/0!</v>
      </c>
      <c r="AI29" s="53" t="e">
        <f>AI28+ATM_Conf!$C$5*(O28-N28)/(O216*AI216)</f>
        <v>#DIV/0!</v>
      </c>
      <c r="AJ29" s="53" t="e">
        <f>AJ28+ATM_Conf!$C$5*(P28-O28)/(P216*AJ216)</f>
        <v>#DIV/0!</v>
      </c>
      <c r="AK29" s="53" t="e">
        <f>AK28+ATM_Conf!$C$5*(Q28-P28)/(Q216*AK216)</f>
        <v>#DIV/0!</v>
      </c>
      <c r="AL29" s="53" t="e">
        <f>AL28+ATM_Conf!$C$5*(R28-Q28)/(R216*AL216)</f>
        <v>#DIV/0!</v>
      </c>
      <c r="AM29" s="53" t="e">
        <f>AM28+ATM_Conf!$C$5*(S28-R28)/(S216*AM216)</f>
        <v>#DIV/0!</v>
      </c>
      <c r="AN29" s="53" t="e">
        <f>AN28+ATM_Conf!$C$5*(T28-S28)/(T216*AN216)</f>
        <v>#DIV/0!</v>
      </c>
      <c r="AO29" s="53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43">
        <f t="shared" ref="DR29:DR38" si="29">DR$27</f>
        <v>0</v>
      </c>
      <c r="DS29" s="43">
        <f t="shared" si="28"/>
        <v>0</v>
      </c>
      <c r="DT29" s="43">
        <f t="shared" si="28"/>
        <v>0</v>
      </c>
      <c r="DU29" s="43">
        <f t="shared" si="28"/>
        <v>0</v>
      </c>
      <c r="DV29" s="43">
        <f t="shared" si="28"/>
        <v>0</v>
      </c>
      <c r="DW29" s="43">
        <f t="shared" si="28"/>
        <v>0</v>
      </c>
      <c r="DX29" s="43">
        <f t="shared" si="28"/>
        <v>0</v>
      </c>
      <c r="DY29" s="43">
        <f t="shared" si="28"/>
        <v>0</v>
      </c>
      <c r="DZ29" s="43">
        <f t="shared" si="28"/>
        <v>0</v>
      </c>
      <c r="EA29" s="43">
        <f t="shared" si="28"/>
        <v>0</v>
      </c>
      <c r="EB29" s="43">
        <f t="shared" si="28"/>
        <v>0</v>
      </c>
      <c r="EC29" s="43">
        <f t="shared" si="28"/>
        <v>0</v>
      </c>
      <c r="ED29" s="43">
        <f t="shared" si="28"/>
        <v>0</v>
      </c>
      <c r="EE29" s="43">
        <f t="shared" si="28"/>
        <v>0</v>
      </c>
      <c r="EF29" s="43">
        <f t="shared" si="28"/>
        <v>0</v>
      </c>
      <c r="EG29" s="43">
        <f t="shared" si="28"/>
        <v>0</v>
      </c>
      <c r="EH29" s="43">
        <f t="shared" si="28"/>
        <v>0</v>
      </c>
      <c r="EI29" s="43">
        <f t="shared" si="28"/>
        <v>0</v>
      </c>
      <c r="EJ29" s="43">
        <f t="shared" si="28"/>
        <v>0</v>
      </c>
      <c r="EK29" s="43">
        <f t="shared" si="28"/>
        <v>0</v>
      </c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</row>
    <row r="30" spans="1:161" ht="14.25" x14ac:dyDescent="0.15">
      <c r="A30" s="46"/>
      <c r="B30" s="43" t="e">
        <f t="shared" si="2"/>
        <v>#DIV/0!</v>
      </c>
      <c r="C30" s="43" t="e">
        <f t="shared" si="3"/>
        <v>#DIV/0!</v>
      </c>
      <c r="D30" s="43" t="e">
        <f t="shared" si="4"/>
        <v>#DIV/0!</v>
      </c>
      <c r="E30" s="43" t="e">
        <f t="shared" si="5"/>
        <v>#DIV/0!</v>
      </c>
      <c r="F30" s="43" t="e">
        <f t="shared" si="6"/>
        <v>#DIV/0!</v>
      </c>
      <c r="G30" s="43" t="e">
        <f t="shared" si="7"/>
        <v>#DIV/0!</v>
      </c>
      <c r="H30" s="43" t="e">
        <f t="shared" si="8"/>
        <v>#DIV/0!</v>
      </c>
      <c r="I30" s="43" t="e">
        <f t="shared" si="9"/>
        <v>#DIV/0!</v>
      </c>
      <c r="J30" s="43" t="e">
        <f t="shared" si="10"/>
        <v>#DIV/0!</v>
      </c>
      <c r="K30" s="43" t="e">
        <f t="shared" si="11"/>
        <v>#DIV/0!</v>
      </c>
      <c r="L30" s="43" t="e">
        <f t="shared" si="12"/>
        <v>#DIV/0!</v>
      </c>
      <c r="M30" s="43" t="e">
        <f t="shared" si="13"/>
        <v>#DIV/0!</v>
      </c>
      <c r="N30" s="43" t="e">
        <f t="shared" si="14"/>
        <v>#DIV/0!</v>
      </c>
      <c r="O30" s="43" t="e">
        <f t="shared" si="15"/>
        <v>#DIV/0!</v>
      </c>
      <c r="P30" s="43" t="e">
        <f t="shared" si="16"/>
        <v>#DIV/0!</v>
      </c>
      <c r="Q30" s="43" t="e">
        <f t="shared" si="17"/>
        <v>#DIV/0!</v>
      </c>
      <c r="R30" s="43" t="e">
        <f t="shared" si="18"/>
        <v>#DIV/0!</v>
      </c>
      <c r="S30" s="43" t="e">
        <f t="shared" si="19"/>
        <v>#DIV/0!</v>
      </c>
      <c r="T30" s="43" t="e">
        <f t="shared" si="20"/>
        <v>#DIV/0!</v>
      </c>
      <c r="U30" s="43" t="e">
        <f t="shared" si="21"/>
        <v>#DIV/0!</v>
      </c>
      <c r="V30" s="53" t="e">
        <f>V29+ATM_Conf!$C$5*(B29)/(B217*V217)</f>
        <v>#DIV/0!</v>
      </c>
      <c r="W30" s="53" t="e">
        <f>W29+ATM_Conf!$C$5*(C29-B29)/(C217*W217)</f>
        <v>#DIV/0!</v>
      </c>
      <c r="X30" s="53" t="e">
        <f>X29+ATM_Conf!$C$5*(D29-C29)/(D217*X217)</f>
        <v>#DIV/0!</v>
      </c>
      <c r="Y30" s="53" t="e">
        <f>Y29+ATM_Conf!$C$5*(E29-D29)/(E217*Y217)</f>
        <v>#DIV/0!</v>
      </c>
      <c r="Z30" s="53" t="e">
        <f>Z29+ATM_Conf!$C$5*(F29-E29)/(F217*Z217)</f>
        <v>#DIV/0!</v>
      </c>
      <c r="AA30" s="53" t="e">
        <f>AA29+ATM_Conf!$C$5*(G29-F29)/(G217*AA217)</f>
        <v>#DIV/0!</v>
      </c>
      <c r="AB30" s="53" t="e">
        <f>AB29+ATM_Conf!$C$5*(H29-G29)/(H217*AB217)</f>
        <v>#DIV/0!</v>
      </c>
      <c r="AC30" s="53" t="e">
        <f>AC29+ATM_Conf!$C$5*(I29-H29)/(I217*AC217)</f>
        <v>#DIV/0!</v>
      </c>
      <c r="AD30" s="53" t="e">
        <f>AD29+ATM_Conf!$C$5*(J29-I29)/(J217*AD217)</f>
        <v>#DIV/0!</v>
      </c>
      <c r="AE30" s="53" t="e">
        <f>AE29+ATM_Conf!$C$5*(K29-J29)/(K217*AE217)</f>
        <v>#DIV/0!</v>
      </c>
      <c r="AF30" s="53" t="e">
        <f>AF29+ATM_Conf!$C$5*(L29)/(L217*AF217)</f>
        <v>#DIV/0!</v>
      </c>
      <c r="AG30" s="53" t="e">
        <f>AG29+ATM_Conf!$C$5*(M29-L29)/(M217*AG217)</f>
        <v>#DIV/0!</v>
      </c>
      <c r="AH30" s="53" t="e">
        <f>AH29+ATM_Conf!$C$5*(N29-M29)/(N217*AH217)</f>
        <v>#DIV/0!</v>
      </c>
      <c r="AI30" s="53" t="e">
        <f>AI29+ATM_Conf!$C$5*(O29-N29)/(O217*AI217)</f>
        <v>#DIV/0!</v>
      </c>
      <c r="AJ30" s="53" t="e">
        <f>AJ29+ATM_Conf!$C$5*(P29-O29)/(P217*AJ217)</f>
        <v>#DIV/0!</v>
      </c>
      <c r="AK30" s="53" t="e">
        <f>AK29+ATM_Conf!$C$5*(Q29-P29)/(Q217*AK217)</f>
        <v>#DIV/0!</v>
      </c>
      <c r="AL30" s="53" t="e">
        <f>AL29+ATM_Conf!$C$5*(R29-Q29)/(R217*AL217)</f>
        <v>#DIV/0!</v>
      </c>
      <c r="AM30" s="53" t="e">
        <f>AM29+ATM_Conf!$C$5*(S29-R29)/(S217*AM217)</f>
        <v>#DIV/0!</v>
      </c>
      <c r="AN30" s="53" t="e">
        <f>AN29+ATM_Conf!$C$5*(T29-S29)/(T217*AN217)</f>
        <v>#DIV/0!</v>
      </c>
      <c r="AO30" s="53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3"/>
      <c r="CY30" s="53"/>
      <c r="CZ30" s="53"/>
      <c r="DA30" s="53"/>
      <c r="DB30" s="53"/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  <c r="DR30" s="43">
        <f t="shared" si="29"/>
        <v>0</v>
      </c>
      <c r="DS30" s="43">
        <f t="shared" si="28"/>
        <v>0</v>
      </c>
      <c r="DT30" s="43">
        <f t="shared" si="28"/>
        <v>0</v>
      </c>
      <c r="DU30" s="43">
        <f t="shared" si="28"/>
        <v>0</v>
      </c>
      <c r="DV30" s="43">
        <f t="shared" si="28"/>
        <v>0</v>
      </c>
      <c r="DW30" s="43">
        <f t="shared" si="28"/>
        <v>0</v>
      </c>
      <c r="DX30" s="43">
        <f t="shared" si="28"/>
        <v>0</v>
      </c>
      <c r="DY30" s="43">
        <f t="shared" si="28"/>
        <v>0</v>
      </c>
      <c r="DZ30" s="43">
        <f t="shared" si="28"/>
        <v>0</v>
      </c>
      <c r="EA30" s="43">
        <f t="shared" si="28"/>
        <v>0</v>
      </c>
      <c r="EB30" s="43">
        <f t="shared" si="28"/>
        <v>0</v>
      </c>
      <c r="EC30" s="43">
        <f t="shared" si="28"/>
        <v>0</v>
      </c>
      <c r="ED30" s="43">
        <f t="shared" si="28"/>
        <v>0</v>
      </c>
      <c r="EE30" s="43">
        <f t="shared" si="28"/>
        <v>0</v>
      </c>
      <c r="EF30" s="43">
        <f t="shared" si="28"/>
        <v>0</v>
      </c>
      <c r="EG30" s="43">
        <f t="shared" si="28"/>
        <v>0</v>
      </c>
      <c r="EH30" s="43">
        <f t="shared" si="28"/>
        <v>0</v>
      </c>
      <c r="EI30" s="43">
        <f t="shared" si="28"/>
        <v>0</v>
      </c>
      <c r="EJ30" s="43">
        <f t="shared" si="28"/>
        <v>0</v>
      </c>
      <c r="EK30" s="43">
        <f t="shared" si="28"/>
        <v>0</v>
      </c>
      <c r="EL30" s="47"/>
      <c r="EM30" s="47"/>
      <c r="EN30" s="47"/>
      <c r="EO30" s="47"/>
      <c r="EP30" s="47"/>
      <c r="EQ30" s="47"/>
      <c r="ER30" s="47"/>
      <c r="ES30" s="47"/>
      <c r="ET30" s="47"/>
      <c r="EU30" s="47"/>
      <c r="EV30" s="47"/>
      <c r="EW30" s="47"/>
      <c r="EX30" s="47"/>
      <c r="EY30" s="47"/>
      <c r="EZ30" s="47"/>
      <c r="FA30" s="47"/>
      <c r="FB30" s="47"/>
      <c r="FC30" s="47"/>
      <c r="FD30" s="47"/>
      <c r="FE30" s="47"/>
    </row>
    <row r="31" spans="1:161" ht="14.25" x14ac:dyDescent="0.15">
      <c r="A31" s="46"/>
      <c r="B31" s="43" t="e">
        <f t="shared" si="2"/>
        <v>#DIV/0!</v>
      </c>
      <c r="C31" s="43" t="e">
        <f t="shared" si="3"/>
        <v>#DIV/0!</v>
      </c>
      <c r="D31" s="43" t="e">
        <f t="shared" si="4"/>
        <v>#DIV/0!</v>
      </c>
      <c r="E31" s="43" t="e">
        <f t="shared" si="5"/>
        <v>#DIV/0!</v>
      </c>
      <c r="F31" s="43" t="e">
        <f t="shared" si="6"/>
        <v>#DIV/0!</v>
      </c>
      <c r="G31" s="43" t="e">
        <f t="shared" si="7"/>
        <v>#DIV/0!</v>
      </c>
      <c r="H31" s="43" t="e">
        <f t="shared" si="8"/>
        <v>#DIV/0!</v>
      </c>
      <c r="I31" s="43" t="e">
        <f t="shared" si="9"/>
        <v>#DIV/0!</v>
      </c>
      <c r="J31" s="43" t="e">
        <f t="shared" si="10"/>
        <v>#DIV/0!</v>
      </c>
      <c r="K31" s="43" t="e">
        <f t="shared" si="11"/>
        <v>#DIV/0!</v>
      </c>
      <c r="L31" s="43" t="e">
        <f t="shared" si="12"/>
        <v>#DIV/0!</v>
      </c>
      <c r="M31" s="43" t="e">
        <f t="shared" si="13"/>
        <v>#DIV/0!</v>
      </c>
      <c r="N31" s="43" t="e">
        <f t="shared" si="14"/>
        <v>#DIV/0!</v>
      </c>
      <c r="O31" s="43" t="e">
        <f t="shared" si="15"/>
        <v>#DIV/0!</v>
      </c>
      <c r="P31" s="43" t="e">
        <f t="shared" si="16"/>
        <v>#DIV/0!</v>
      </c>
      <c r="Q31" s="43" t="e">
        <f t="shared" si="17"/>
        <v>#DIV/0!</v>
      </c>
      <c r="R31" s="43" t="e">
        <f t="shared" si="18"/>
        <v>#DIV/0!</v>
      </c>
      <c r="S31" s="43" t="e">
        <f t="shared" si="19"/>
        <v>#DIV/0!</v>
      </c>
      <c r="T31" s="43" t="e">
        <f t="shared" si="20"/>
        <v>#DIV/0!</v>
      </c>
      <c r="U31" s="43" t="e">
        <f t="shared" si="21"/>
        <v>#DIV/0!</v>
      </c>
      <c r="V31" s="53" t="e">
        <f>V30+ATM_Conf!$C$5*(B30)/(B218*V218)</f>
        <v>#DIV/0!</v>
      </c>
      <c r="W31" s="53" t="e">
        <f>W30+ATM_Conf!$C$5*(C30-B30)/(C218*W218)</f>
        <v>#DIV/0!</v>
      </c>
      <c r="X31" s="53" t="e">
        <f>X30+ATM_Conf!$C$5*(D30-C30)/(D218*X218)</f>
        <v>#DIV/0!</v>
      </c>
      <c r="Y31" s="53" t="e">
        <f>Y30+ATM_Conf!$C$5*(E30-D30)/(E218*Y218)</f>
        <v>#DIV/0!</v>
      </c>
      <c r="Z31" s="53" t="e">
        <f>Z30+ATM_Conf!$C$5*(F30-E30)/(F218*Z218)</f>
        <v>#DIV/0!</v>
      </c>
      <c r="AA31" s="53" t="e">
        <f>AA30+ATM_Conf!$C$5*(G30-F30)/(G218*AA218)</f>
        <v>#DIV/0!</v>
      </c>
      <c r="AB31" s="53" t="e">
        <f>AB30+ATM_Conf!$C$5*(H30-G30)/(H218*AB218)</f>
        <v>#DIV/0!</v>
      </c>
      <c r="AC31" s="53" t="e">
        <f>AC30+ATM_Conf!$C$5*(I30-H30)/(I218*AC218)</f>
        <v>#DIV/0!</v>
      </c>
      <c r="AD31" s="53" t="e">
        <f>AD30+ATM_Conf!$C$5*(J30-I30)/(J218*AD218)</f>
        <v>#DIV/0!</v>
      </c>
      <c r="AE31" s="53" t="e">
        <f>AE30+ATM_Conf!$C$5*(K30-J30)/(K218*AE218)</f>
        <v>#DIV/0!</v>
      </c>
      <c r="AF31" s="53" t="e">
        <f>AF30+ATM_Conf!$C$5*(L30)/(L218*AF218)</f>
        <v>#DIV/0!</v>
      </c>
      <c r="AG31" s="53" t="e">
        <f>AG30+ATM_Conf!$C$5*(M30-L30)/(M218*AG218)</f>
        <v>#DIV/0!</v>
      </c>
      <c r="AH31" s="53" t="e">
        <f>AH30+ATM_Conf!$C$5*(N30-M30)/(N218*AH218)</f>
        <v>#DIV/0!</v>
      </c>
      <c r="AI31" s="53" t="e">
        <f>AI30+ATM_Conf!$C$5*(O30-N30)/(O218*AI218)</f>
        <v>#DIV/0!</v>
      </c>
      <c r="AJ31" s="53" t="e">
        <f>AJ30+ATM_Conf!$C$5*(P30-O30)/(P218*AJ218)</f>
        <v>#DIV/0!</v>
      </c>
      <c r="AK31" s="53" t="e">
        <f>AK30+ATM_Conf!$C$5*(Q30-P30)/(Q218*AK218)</f>
        <v>#DIV/0!</v>
      </c>
      <c r="AL31" s="53" t="e">
        <f>AL30+ATM_Conf!$C$5*(R30-Q30)/(R218*AL218)</f>
        <v>#DIV/0!</v>
      </c>
      <c r="AM31" s="53" t="e">
        <f>AM30+ATM_Conf!$C$5*(S30-R30)/(S218*AM218)</f>
        <v>#DIV/0!</v>
      </c>
      <c r="AN31" s="53" t="e">
        <f>AN30+ATM_Conf!$C$5*(T30-S30)/(T218*AN218)</f>
        <v>#DIV/0!</v>
      </c>
      <c r="AO31" s="53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43">
        <f t="shared" si="29"/>
        <v>0</v>
      </c>
      <c r="DS31" s="43">
        <f t="shared" si="28"/>
        <v>0</v>
      </c>
      <c r="DT31" s="43">
        <f t="shared" si="28"/>
        <v>0</v>
      </c>
      <c r="DU31" s="43">
        <f t="shared" si="28"/>
        <v>0</v>
      </c>
      <c r="DV31" s="43">
        <f t="shared" si="28"/>
        <v>0</v>
      </c>
      <c r="DW31" s="43">
        <f t="shared" si="28"/>
        <v>0</v>
      </c>
      <c r="DX31" s="43">
        <f t="shared" si="28"/>
        <v>0</v>
      </c>
      <c r="DY31" s="43">
        <f t="shared" si="28"/>
        <v>0</v>
      </c>
      <c r="DZ31" s="43">
        <f t="shared" si="28"/>
        <v>0</v>
      </c>
      <c r="EA31" s="43">
        <f t="shared" si="28"/>
        <v>0</v>
      </c>
      <c r="EB31" s="43">
        <f t="shared" si="28"/>
        <v>0</v>
      </c>
      <c r="EC31" s="43">
        <f t="shared" si="28"/>
        <v>0</v>
      </c>
      <c r="ED31" s="43">
        <f t="shared" si="28"/>
        <v>0</v>
      </c>
      <c r="EE31" s="43">
        <f t="shared" si="28"/>
        <v>0</v>
      </c>
      <c r="EF31" s="43">
        <f t="shared" si="28"/>
        <v>0</v>
      </c>
      <c r="EG31" s="43">
        <f t="shared" si="28"/>
        <v>0</v>
      </c>
      <c r="EH31" s="43">
        <f t="shared" si="28"/>
        <v>0</v>
      </c>
      <c r="EI31" s="43">
        <f t="shared" si="28"/>
        <v>0</v>
      </c>
      <c r="EJ31" s="43">
        <f t="shared" si="28"/>
        <v>0</v>
      </c>
      <c r="EK31" s="43">
        <f t="shared" si="28"/>
        <v>0</v>
      </c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</row>
    <row r="32" spans="1:161" ht="14.25" x14ac:dyDescent="0.15">
      <c r="A32" s="46"/>
      <c r="B32" s="43" t="e">
        <f t="shared" si="2"/>
        <v>#DIV/0!</v>
      </c>
      <c r="C32" s="43" t="e">
        <f t="shared" si="3"/>
        <v>#DIV/0!</v>
      </c>
      <c r="D32" s="43" t="e">
        <f t="shared" si="4"/>
        <v>#DIV/0!</v>
      </c>
      <c r="E32" s="43" t="e">
        <f t="shared" si="5"/>
        <v>#DIV/0!</v>
      </c>
      <c r="F32" s="43" t="e">
        <f t="shared" si="6"/>
        <v>#DIV/0!</v>
      </c>
      <c r="G32" s="43" t="e">
        <f t="shared" si="7"/>
        <v>#DIV/0!</v>
      </c>
      <c r="H32" s="43" t="e">
        <f t="shared" si="8"/>
        <v>#DIV/0!</v>
      </c>
      <c r="I32" s="43" t="e">
        <f t="shared" si="9"/>
        <v>#DIV/0!</v>
      </c>
      <c r="J32" s="43" t="e">
        <f t="shared" si="10"/>
        <v>#DIV/0!</v>
      </c>
      <c r="K32" s="43" t="e">
        <f t="shared" si="11"/>
        <v>#DIV/0!</v>
      </c>
      <c r="L32" s="43" t="e">
        <f t="shared" si="12"/>
        <v>#DIV/0!</v>
      </c>
      <c r="M32" s="43" t="e">
        <f t="shared" si="13"/>
        <v>#DIV/0!</v>
      </c>
      <c r="N32" s="43" t="e">
        <f t="shared" si="14"/>
        <v>#DIV/0!</v>
      </c>
      <c r="O32" s="43" t="e">
        <f t="shared" si="15"/>
        <v>#DIV/0!</v>
      </c>
      <c r="P32" s="43" t="e">
        <f t="shared" si="16"/>
        <v>#DIV/0!</v>
      </c>
      <c r="Q32" s="43" t="e">
        <f t="shared" si="17"/>
        <v>#DIV/0!</v>
      </c>
      <c r="R32" s="43" t="e">
        <f t="shared" si="18"/>
        <v>#DIV/0!</v>
      </c>
      <c r="S32" s="43" t="e">
        <f t="shared" si="19"/>
        <v>#DIV/0!</v>
      </c>
      <c r="T32" s="43" t="e">
        <f t="shared" si="20"/>
        <v>#DIV/0!</v>
      </c>
      <c r="U32" s="43" t="e">
        <f t="shared" si="21"/>
        <v>#DIV/0!</v>
      </c>
      <c r="V32" s="53" t="e">
        <f>V31+ATM_Conf!$C$5*(B31)/(B219*V219)</f>
        <v>#DIV/0!</v>
      </c>
      <c r="W32" s="53" t="e">
        <f>W31+ATM_Conf!$C$5*(C31-B31)/(C219*W219)</f>
        <v>#DIV/0!</v>
      </c>
      <c r="X32" s="53" t="e">
        <f>X31+ATM_Conf!$C$5*(D31-C31)/(D219*X219)</f>
        <v>#DIV/0!</v>
      </c>
      <c r="Y32" s="53" t="e">
        <f>Y31+ATM_Conf!$C$5*(E31-D31)/(E219*Y219)</f>
        <v>#DIV/0!</v>
      </c>
      <c r="Z32" s="53" t="e">
        <f>Z31+ATM_Conf!$C$5*(F31-E31)/(F219*Z219)</f>
        <v>#DIV/0!</v>
      </c>
      <c r="AA32" s="53" t="e">
        <f>AA31+ATM_Conf!$C$5*(G31-F31)/(G219*AA219)</f>
        <v>#DIV/0!</v>
      </c>
      <c r="AB32" s="53" t="e">
        <f>AB31+ATM_Conf!$C$5*(H31-G31)/(H219*AB219)</f>
        <v>#DIV/0!</v>
      </c>
      <c r="AC32" s="53" t="e">
        <f>AC31+ATM_Conf!$C$5*(I31-H31)/(I219*AC219)</f>
        <v>#DIV/0!</v>
      </c>
      <c r="AD32" s="53" t="e">
        <f>AD31+ATM_Conf!$C$5*(J31-I31)/(J219*AD219)</f>
        <v>#DIV/0!</v>
      </c>
      <c r="AE32" s="53" t="e">
        <f>AE31+ATM_Conf!$C$5*(K31-J31)/(K219*AE219)</f>
        <v>#DIV/0!</v>
      </c>
      <c r="AF32" s="53" t="e">
        <f>AF31+ATM_Conf!$C$5*(L31)/(L219*AF219)</f>
        <v>#DIV/0!</v>
      </c>
      <c r="AG32" s="53" t="e">
        <f>AG31+ATM_Conf!$C$5*(M31-L31)/(M219*AG219)</f>
        <v>#DIV/0!</v>
      </c>
      <c r="AH32" s="53" t="e">
        <f>AH31+ATM_Conf!$C$5*(N31-M31)/(N219*AH219)</f>
        <v>#DIV/0!</v>
      </c>
      <c r="AI32" s="53" t="e">
        <f>AI31+ATM_Conf!$C$5*(O31-N31)/(O219*AI219)</f>
        <v>#DIV/0!</v>
      </c>
      <c r="AJ32" s="53" t="e">
        <f>AJ31+ATM_Conf!$C$5*(P31-O31)/(P219*AJ219)</f>
        <v>#DIV/0!</v>
      </c>
      <c r="AK32" s="53" t="e">
        <f>AK31+ATM_Conf!$C$5*(Q31-P31)/(Q219*AK219)</f>
        <v>#DIV/0!</v>
      </c>
      <c r="AL32" s="53" t="e">
        <f>AL31+ATM_Conf!$C$5*(R31-Q31)/(R219*AL219)</f>
        <v>#DIV/0!</v>
      </c>
      <c r="AM32" s="53" t="e">
        <f>AM31+ATM_Conf!$C$5*(S31-R31)/(S219*AM219)</f>
        <v>#DIV/0!</v>
      </c>
      <c r="AN32" s="53" t="e">
        <f>AN31+ATM_Conf!$C$5*(T31-S31)/(T219*AN219)</f>
        <v>#DIV/0!</v>
      </c>
      <c r="AO32" s="53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43">
        <f t="shared" si="29"/>
        <v>0</v>
      </c>
      <c r="DS32" s="43">
        <f t="shared" si="28"/>
        <v>0</v>
      </c>
      <c r="DT32" s="43">
        <f t="shared" si="28"/>
        <v>0</v>
      </c>
      <c r="DU32" s="43">
        <f t="shared" si="28"/>
        <v>0</v>
      </c>
      <c r="DV32" s="43">
        <f t="shared" si="28"/>
        <v>0</v>
      </c>
      <c r="DW32" s="43">
        <f t="shared" si="28"/>
        <v>0</v>
      </c>
      <c r="DX32" s="43">
        <f t="shared" si="28"/>
        <v>0</v>
      </c>
      <c r="DY32" s="43">
        <f t="shared" si="28"/>
        <v>0</v>
      </c>
      <c r="DZ32" s="43">
        <f t="shared" si="28"/>
        <v>0</v>
      </c>
      <c r="EA32" s="43">
        <f t="shared" si="28"/>
        <v>0</v>
      </c>
      <c r="EB32" s="43">
        <f t="shared" si="28"/>
        <v>0</v>
      </c>
      <c r="EC32" s="43">
        <f t="shared" si="28"/>
        <v>0</v>
      </c>
      <c r="ED32" s="43">
        <f t="shared" si="28"/>
        <v>0</v>
      </c>
      <c r="EE32" s="43">
        <f t="shared" si="28"/>
        <v>0</v>
      </c>
      <c r="EF32" s="43">
        <f t="shared" si="28"/>
        <v>0</v>
      </c>
      <c r="EG32" s="43">
        <f t="shared" si="28"/>
        <v>0</v>
      </c>
      <c r="EH32" s="43">
        <f t="shared" si="28"/>
        <v>0</v>
      </c>
      <c r="EI32" s="43">
        <f t="shared" si="28"/>
        <v>0</v>
      </c>
      <c r="EJ32" s="43">
        <f t="shared" si="28"/>
        <v>0</v>
      </c>
      <c r="EK32" s="43">
        <f t="shared" si="28"/>
        <v>0</v>
      </c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</row>
    <row r="33" spans="1:161" ht="14.25" x14ac:dyDescent="0.15">
      <c r="A33" s="46"/>
      <c r="B33" s="43" t="e">
        <f t="shared" si="2"/>
        <v>#DIV/0!</v>
      </c>
      <c r="C33" s="43" t="e">
        <f t="shared" si="3"/>
        <v>#DIV/0!</v>
      </c>
      <c r="D33" s="43" t="e">
        <f t="shared" si="4"/>
        <v>#DIV/0!</v>
      </c>
      <c r="E33" s="43" t="e">
        <f t="shared" si="5"/>
        <v>#DIV/0!</v>
      </c>
      <c r="F33" s="43" t="e">
        <f t="shared" si="6"/>
        <v>#DIV/0!</v>
      </c>
      <c r="G33" s="43" t="e">
        <f t="shared" si="7"/>
        <v>#DIV/0!</v>
      </c>
      <c r="H33" s="43" t="e">
        <f t="shared" si="8"/>
        <v>#DIV/0!</v>
      </c>
      <c r="I33" s="43" t="e">
        <f t="shared" si="9"/>
        <v>#DIV/0!</v>
      </c>
      <c r="J33" s="43" t="e">
        <f t="shared" si="10"/>
        <v>#DIV/0!</v>
      </c>
      <c r="K33" s="43" t="e">
        <f t="shared" si="11"/>
        <v>#DIV/0!</v>
      </c>
      <c r="L33" s="43" t="e">
        <f t="shared" si="12"/>
        <v>#DIV/0!</v>
      </c>
      <c r="M33" s="43" t="e">
        <f t="shared" si="13"/>
        <v>#DIV/0!</v>
      </c>
      <c r="N33" s="43" t="e">
        <f t="shared" si="14"/>
        <v>#DIV/0!</v>
      </c>
      <c r="O33" s="43" t="e">
        <f t="shared" si="15"/>
        <v>#DIV/0!</v>
      </c>
      <c r="P33" s="43" t="e">
        <f t="shared" si="16"/>
        <v>#DIV/0!</v>
      </c>
      <c r="Q33" s="43" t="e">
        <f t="shared" si="17"/>
        <v>#DIV/0!</v>
      </c>
      <c r="R33" s="43" t="e">
        <f t="shared" si="18"/>
        <v>#DIV/0!</v>
      </c>
      <c r="S33" s="43" t="e">
        <f t="shared" si="19"/>
        <v>#DIV/0!</v>
      </c>
      <c r="T33" s="43" t="e">
        <f t="shared" si="20"/>
        <v>#DIV/0!</v>
      </c>
      <c r="U33" s="43" t="e">
        <f t="shared" si="21"/>
        <v>#DIV/0!</v>
      </c>
      <c r="V33" s="53" t="e">
        <f>V32+ATM_Conf!$C$5*(B32)/(B220*V220)</f>
        <v>#DIV/0!</v>
      </c>
      <c r="W33" s="53" t="e">
        <f>W32+ATM_Conf!$C$5*(C32-B32)/(C220*W220)</f>
        <v>#DIV/0!</v>
      </c>
      <c r="X33" s="53" t="e">
        <f>X32+ATM_Conf!$C$5*(D32-C32)/(D220*X220)</f>
        <v>#DIV/0!</v>
      </c>
      <c r="Y33" s="53" t="e">
        <f>Y32+ATM_Conf!$C$5*(E32-D32)/(E220*Y220)</f>
        <v>#DIV/0!</v>
      </c>
      <c r="Z33" s="53" t="e">
        <f>Z32+ATM_Conf!$C$5*(F32-E32)/(F220*Z220)</f>
        <v>#DIV/0!</v>
      </c>
      <c r="AA33" s="53" t="e">
        <f>AA32+ATM_Conf!$C$5*(G32-F32)/(G220*AA220)</f>
        <v>#DIV/0!</v>
      </c>
      <c r="AB33" s="53" t="e">
        <f>AB32+ATM_Conf!$C$5*(H32-G32)/(H220*AB220)</f>
        <v>#DIV/0!</v>
      </c>
      <c r="AC33" s="53" t="e">
        <f>AC32+ATM_Conf!$C$5*(I32-H32)/(I220*AC220)</f>
        <v>#DIV/0!</v>
      </c>
      <c r="AD33" s="53" t="e">
        <f>AD32+ATM_Conf!$C$5*(J32-I32)/(J220*AD220)</f>
        <v>#DIV/0!</v>
      </c>
      <c r="AE33" s="53" t="e">
        <f>AE32+ATM_Conf!$C$5*(K32-J32)/(K220*AE220)</f>
        <v>#DIV/0!</v>
      </c>
      <c r="AF33" s="53" t="e">
        <f>AF32+ATM_Conf!$C$5*(L32)/(L220*AF220)</f>
        <v>#DIV/0!</v>
      </c>
      <c r="AG33" s="53" t="e">
        <f>AG32+ATM_Conf!$C$5*(M32-L32)/(M220*AG220)</f>
        <v>#DIV/0!</v>
      </c>
      <c r="AH33" s="53" t="e">
        <f>AH32+ATM_Conf!$C$5*(N32-M32)/(N220*AH220)</f>
        <v>#DIV/0!</v>
      </c>
      <c r="AI33" s="53" t="e">
        <f>AI32+ATM_Conf!$C$5*(O32-N32)/(O220*AI220)</f>
        <v>#DIV/0!</v>
      </c>
      <c r="AJ33" s="53" t="e">
        <f>AJ32+ATM_Conf!$C$5*(P32-O32)/(P220*AJ220)</f>
        <v>#DIV/0!</v>
      </c>
      <c r="AK33" s="53" t="e">
        <f>AK32+ATM_Conf!$C$5*(Q32-P32)/(Q220*AK220)</f>
        <v>#DIV/0!</v>
      </c>
      <c r="AL33" s="53" t="e">
        <f>AL32+ATM_Conf!$C$5*(R32-Q32)/(R220*AL220)</f>
        <v>#DIV/0!</v>
      </c>
      <c r="AM33" s="53" t="e">
        <f>AM32+ATM_Conf!$C$5*(S32-R32)/(S220*AM220)</f>
        <v>#DIV/0!</v>
      </c>
      <c r="AN33" s="53" t="e">
        <f>AN32+ATM_Conf!$C$5*(T32-S32)/(T220*AN220)</f>
        <v>#DIV/0!</v>
      </c>
      <c r="AO33" s="53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43">
        <f t="shared" si="29"/>
        <v>0</v>
      </c>
      <c r="DS33" s="43">
        <f t="shared" si="28"/>
        <v>0</v>
      </c>
      <c r="DT33" s="43">
        <f t="shared" si="28"/>
        <v>0</v>
      </c>
      <c r="DU33" s="43">
        <f t="shared" si="28"/>
        <v>0</v>
      </c>
      <c r="DV33" s="43">
        <f t="shared" si="28"/>
        <v>0</v>
      </c>
      <c r="DW33" s="43">
        <f t="shared" si="28"/>
        <v>0</v>
      </c>
      <c r="DX33" s="43">
        <f t="shared" si="28"/>
        <v>0</v>
      </c>
      <c r="DY33" s="43">
        <f t="shared" si="28"/>
        <v>0</v>
      </c>
      <c r="DZ33" s="43">
        <f t="shared" si="28"/>
        <v>0</v>
      </c>
      <c r="EA33" s="43">
        <f t="shared" si="28"/>
        <v>0</v>
      </c>
      <c r="EB33" s="43">
        <f t="shared" si="28"/>
        <v>0</v>
      </c>
      <c r="EC33" s="43">
        <f t="shared" si="28"/>
        <v>0</v>
      </c>
      <c r="ED33" s="43">
        <f t="shared" si="28"/>
        <v>0</v>
      </c>
      <c r="EE33" s="43">
        <f t="shared" si="28"/>
        <v>0</v>
      </c>
      <c r="EF33" s="43">
        <f t="shared" si="28"/>
        <v>0</v>
      </c>
      <c r="EG33" s="43">
        <f t="shared" si="28"/>
        <v>0</v>
      </c>
      <c r="EH33" s="43">
        <f t="shared" si="28"/>
        <v>0</v>
      </c>
      <c r="EI33" s="43">
        <f t="shared" si="28"/>
        <v>0</v>
      </c>
      <c r="EJ33" s="43">
        <f t="shared" si="28"/>
        <v>0</v>
      </c>
      <c r="EK33" s="43">
        <f t="shared" si="28"/>
        <v>0</v>
      </c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</row>
    <row r="34" spans="1:161" ht="14.25" x14ac:dyDescent="0.15">
      <c r="A34" s="46"/>
      <c r="B34" s="43" t="e">
        <f t="shared" si="2"/>
        <v>#DIV/0!</v>
      </c>
      <c r="C34" s="43" t="e">
        <f t="shared" si="3"/>
        <v>#DIV/0!</v>
      </c>
      <c r="D34" s="43" t="e">
        <f t="shared" si="4"/>
        <v>#DIV/0!</v>
      </c>
      <c r="E34" s="43" t="e">
        <f t="shared" si="5"/>
        <v>#DIV/0!</v>
      </c>
      <c r="F34" s="43" t="e">
        <f t="shared" si="6"/>
        <v>#DIV/0!</v>
      </c>
      <c r="G34" s="43" t="e">
        <f t="shared" si="7"/>
        <v>#DIV/0!</v>
      </c>
      <c r="H34" s="43" t="e">
        <f t="shared" si="8"/>
        <v>#DIV/0!</v>
      </c>
      <c r="I34" s="43" t="e">
        <f t="shared" si="9"/>
        <v>#DIV/0!</v>
      </c>
      <c r="J34" s="43" t="e">
        <f t="shared" si="10"/>
        <v>#DIV/0!</v>
      </c>
      <c r="K34" s="43" t="e">
        <f t="shared" si="11"/>
        <v>#DIV/0!</v>
      </c>
      <c r="L34" s="43" t="e">
        <f t="shared" si="12"/>
        <v>#DIV/0!</v>
      </c>
      <c r="M34" s="43" t="e">
        <f t="shared" si="13"/>
        <v>#DIV/0!</v>
      </c>
      <c r="N34" s="43" t="e">
        <f t="shared" si="14"/>
        <v>#DIV/0!</v>
      </c>
      <c r="O34" s="43" t="e">
        <f t="shared" si="15"/>
        <v>#DIV/0!</v>
      </c>
      <c r="P34" s="43" t="e">
        <f t="shared" si="16"/>
        <v>#DIV/0!</v>
      </c>
      <c r="Q34" s="43" t="e">
        <f t="shared" si="17"/>
        <v>#DIV/0!</v>
      </c>
      <c r="R34" s="43" t="e">
        <f t="shared" si="18"/>
        <v>#DIV/0!</v>
      </c>
      <c r="S34" s="43" t="e">
        <f t="shared" si="19"/>
        <v>#DIV/0!</v>
      </c>
      <c r="T34" s="43" t="e">
        <f t="shared" si="20"/>
        <v>#DIV/0!</v>
      </c>
      <c r="U34" s="43" t="e">
        <f t="shared" si="21"/>
        <v>#DIV/0!</v>
      </c>
      <c r="V34" s="53" t="e">
        <f>V33+ATM_Conf!$C$5*(B33)/(B221*V221)</f>
        <v>#DIV/0!</v>
      </c>
      <c r="W34" s="53" t="e">
        <f>W33+ATM_Conf!$C$5*(C33-B33)/(C221*W221)</f>
        <v>#DIV/0!</v>
      </c>
      <c r="X34" s="53" t="e">
        <f>X33+ATM_Conf!$C$5*(D33-C33)/(D221*X221)</f>
        <v>#DIV/0!</v>
      </c>
      <c r="Y34" s="53" t="e">
        <f>Y33+ATM_Conf!$C$5*(E33-D33)/(E221*Y221)</f>
        <v>#DIV/0!</v>
      </c>
      <c r="Z34" s="53" t="e">
        <f>Z33+ATM_Conf!$C$5*(F33-E33)/(F221*Z221)</f>
        <v>#DIV/0!</v>
      </c>
      <c r="AA34" s="53" t="e">
        <f>AA33+ATM_Conf!$C$5*(G33-F33)/(G221*AA221)</f>
        <v>#DIV/0!</v>
      </c>
      <c r="AB34" s="53" t="e">
        <f>AB33+ATM_Conf!$C$5*(H33-G33)/(H221*AB221)</f>
        <v>#DIV/0!</v>
      </c>
      <c r="AC34" s="53" t="e">
        <f>AC33+ATM_Conf!$C$5*(I33-H33)/(I221*AC221)</f>
        <v>#DIV/0!</v>
      </c>
      <c r="AD34" s="53" t="e">
        <f>AD33+ATM_Conf!$C$5*(J33-I33)/(J221*AD221)</f>
        <v>#DIV/0!</v>
      </c>
      <c r="AE34" s="53" t="e">
        <f>AE33+ATM_Conf!$C$5*(K33-J33)/(K221*AE221)</f>
        <v>#DIV/0!</v>
      </c>
      <c r="AF34" s="53" t="e">
        <f>AF33+ATM_Conf!$C$5*(L33)/(L221*AF221)</f>
        <v>#DIV/0!</v>
      </c>
      <c r="AG34" s="53" t="e">
        <f>AG33+ATM_Conf!$C$5*(M33-L33)/(M221*AG221)</f>
        <v>#DIV/0!</v>
      </c>
      <c r="AH34" s="53" t="e">
        <f>AH33+ATM_Conf!$C$5*(N33-M33)/(N221*AH221)</f>
        <v>#DIV/0!</v>
      </c>
      <c r="AI34" s="53" t="e">
        <f>AI33+ATM_Conf!$C$5*(O33-N33)/(O221*AI221)</f>
        <v>#DIV/0!</v>
      </c>
      <c r="AJ34" s="53" t="e">
        <f>AJ33+ATM_Conf!$C$5*(P33-O33)/(P221*AJ221)</f>
        <v>#DIV/0!</v>
      </c>
      <c r="AK34" s="53" t="e">
        <f>AK33+ATM_Conf!$C$5*(Q33-P33)/(Q221*AK221)</f>
        <v>#DIV/0!</v>
      </c>
      <c r="AL34" s="53" t="e">
        <f>AL33+ATM_Conf!$C$5*(R33-Q33)/(R221*AL221)</f>
        <v>#DIV/0!</v>
      </c>
      <c r="AM34" s="53" t="e">
        <f>AM33+ATM_Conf!$C$5*(S33-R33)/(S221*AM221)</f>
        <v>#DIV/0!</v>
      </c>
      <c r="AN34" s="53" t="e">
        <f>AN33+ATM_Conf!$C$5*(T33-S33)/(T221*AN221)</f>
        <v>#DIV/0!</v>
      </c>
      <c r="AO34" s="53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43">
        <f t="shared" si="29"/>
        <v>0</v>
      </c>
      <c r="DS34" s="43">
        <f t="shared" si="28"/>
        <v>0</v>
      </c>
      <c r="DT34" s="43">
        <f t="shared" si="28"/>
        <v>0</v>
      </c>
      <c r="DU34" s="43">
        <f t="shared" si="28"/>
        <v>0</v>
      </c>
      <c r="DV34" s="43">
        <f t="shared" si="28"/>
        <v>0</v>
      </c>
      <c r="DW34" s="43">
        <f t="shared" si="28"/>
        <v>0</v>
      </c>
      <c r="DX34" s="43">
        <f t="shared" si="28"/>
        <v>0</v>
      </c>
      <c r="DY34" s="43">
        <f t="shared" si="28"/>
        <v>0</v>
      </c>
      <c r="DZ34" s="43">
        <f t="shared" si="28"/>
        <v>0</v>
      </c>
      <c r="EA34" s="43">
        <f t="shared" si="28"/>
        <v>0</v>
      </c>
      <c r="EB34" s="43">
        <f t="shared" si="28"/>
        <v>0</v>
      </c>
      <c r="EC34" s="43">
        <f t="shared" si="28"/>
        <v>0</v>
      </c>
      <c r="ED34" s="43">
        <f t="shared" si="28"/>
        <v>0</v>
      </c>
      <c r="EE34" s="43">
        <f t="shared" si="28"/>
        <v>0</v>
      </c>
      <c r="EF34" s="43">
        <f t="shared" si="28"/>
        <v>0</v>
      </c>
      <c r="EG34" s="43">
        <f t="shared" si="28"/>
        <v>0</v>
      </c>
      <c r="EH34" s="43">
        <f t="shared" si="28"/>
        <v>0</v>
      </c>
      <c r="EI34" s="43">
        <f t="shared" si="28"/>
        <v>0</v>
      </c>
      <c r="EJ34" s="43">
        <f t="shared" si="28"/>
        <v>0</v>
      </c>
      <c r="EK34" s="43">
        <f t="shared" si="28"/>
        <v>0</v>
      </c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</row>
    <row r="35" spans="1:161" ht="14.25" x14ac:dyDescent="0.15">
      <c r="A35" s="46"/>
      <c r="B35" s="43" t="e">
        <f t="shared" si="2"/>
        <v>#DIV/0!</v>
      </c>
      <c r="C35" s="43" t="e">
        <f t="shared" si="3"/>
        <v>#DIV/0!</v>
      </c>
      <c r="D35" s="43" t="e">
        <f t="shared" si="4"/>
        <v>#DIV/0!</v>
      </c>
      <c r="E35" s="43" t="e">
        <f t="shared" si="5"/>
        <v>#DIV/0!</v>
      </c>
      <c r="F35" s="43" t="e">
        <f t="shared" si="6"/>
        <v>#DIV/0!</v>
      </c>
      <c r="G35" s="43" t="e">
        <f t="shared" si="7"/>
        <v>#DIV/0!</v>
      </c>
      <c r="H35" s="43" t="e">
        <f t="shared" si="8"/>
        <v>#DIV/0!</v>
      </c>
      <c r="I35" s="43" t="e">
        <f t="shared" si="9"/>
        <v>#DIV/0!</v>
      </c>
      <c r="J35" s="43" t="e">
        <f t="shared" si="10"/>
        <v>#DIV/0!</v>
      </c>
      <c r="K35" s="43" t="e">
        <f t="shared" si="11"/>
        <v>#DIV/0!</v>
      </c>
      <c r="L35" s="43" t="e">
        <f t="shared" si="12"/>
        <v>#DIV/0!</v>
      </c>
      <c r="M35" s="43" t="e">
        <f t="shared" si="13"/>
        <v>#DIV/0!</v>
      </c>
      <c r="N35" s="43" t="e">
        <f t="shared" si="14"/>
        <v>#DIV/0!</v>
      </c>
      <c r="O35" s="43" t="e">
        <f t="shared" si="15"/>
        <v>#DIV/0!</v>
      </c>
      <c r="P35" s="43" t="e">
        <f t="shared" si="16"/>
        <v>#DIV/0!</v>
      </c>
      <c r="Q35" s="43" t="e">
        <f t="shared" si="17"/>
        <v>#DIV/0!</v>
      </c>
      <c r="R35" s="43" t="e">
        <f t="shared" si="18"/>
        <v>#DIV/0!</v>
      </c>
      <c r="S35" s="43" t="e">
        <f t="shared" si="19"/>
        <v>#DIV/0!</v>
      </c>
      <c r="T35" s="43" t="e">
        <f t="shared" si="20"/>
        <v>#DIV/0!</v>
      </c>
      <c r="U35" s="43" t="e">
        <f t="shared" si="21"/>
        <v>#DIV/0!</v>
      </c>
      <c r="V35" s="53" t="e">
        <f>V34+ATM_Conf!$C$5*(B34)/(B222*V222)</f>
        <v>#DIV/0!</v>
      </c>
      <c r="W35" s="53" t="e">
        <f>W34+ATM_Conf!$C$5*(C34-B34)/(C222*W222)</f>
        <v>#DIV/0!</v>
      </c>
      <c r="X35" s="53" t="e">
        <f>X34+ATM_Conf!$C$5*(D34-C34)/(D222*X222)</f>
        <v>#DIV/0!</v>
      </c>
      <c r="Y35" s="53" t="e">
        <f>Y34+ATM_Conf!$C$5*(E34-D34)/(E222*Y222)</f>
        <v>#DIV/0!</v>
      </c>
      <c r="Z35" s="53" t="e">
        <f>Z34+ATM_Conf!$C$5*(F34-E34)/(F222*Z222)</f>
        <v>#DIV/0!</v>
      </c>
      <c r="AA35" s="53" t="e">
        <f>AA34+ATM_Conf!$C$5*(G34-F34)/(G222*AA222)</f>
        <v>#DIV/0!</v>
      </c>
      <c r="AB35" s="53" t="e">
        <f>AB34+ATM_Conf!$C$5*(H34-G34)/(H222*AB222)</f>
        <v>#DIV/0!</v>
      </c>
      <c r="AC35" s="53" t="e">
        <f>AC34+ATM_Conf!$C$5*(I34-H34)/(I222*AC222)</f>
        <v>#DIV/0!</v>
      </c>
      <c r="AD35" s="53" t="e">
        <f>AD34+ATM_Conf!$C$5*(J34-I34)/(J222*AD222)</f>
        <v>#DIV/0!</v>
      </c>
      <c r="AE35" s="53" t="e">
        <f>AE34+ATM_Conf!$C$5*(K34-J34)/(K222*AE222)</f>
        <v>#DIV/0!</v>
      </c>
      <c r="AF35" s="53" t="e">
        <f>AF34+ATM_Conf!$C$5*(L34)/(L222*AF222)</f>
        <v>#DIV/0!</v>
      </c>
      <c r="AG35" s="53" t="e">
        <f>AG34+ATM_Conf!$C$5*(M34-L34)/(M222*AG222)</f>
        <v>#DIV/0!</v>
      </c>
      <c r="AH35" s="53" t="e">
        <f>AH34+ATM_Conf!$C$5*(N34-M34)/(N222*AH222)</f>
        <v>#DIV/0!</v>
      </c>
      <c r="AI35" s="53" t="e">
        <f>AI34+ATM_Conf!$C$5*(O34-N34)/(O222*AI222)</f>
        <v>#DIV/0!</v>
      </c>
      <c r="AJ35" s="53" t="e">
        <f>AJ34+ATM_Conf!$C$5*(P34-O34)/(P222*AJ222)</f>
        <v>#DIV/0!</v>
      </c>
      <c r="AK35" s="53" t="e">
        <f>AK34+ATM_Conf!$C$5*(Q34-P34)/(Q222*AK222)</f>
        <v>#DIV/0!</v>
      </c>
      <c r="AL35" s="53" t="e">
        <f>AL34+ATM_Conf!$C$5*(R34-Q34)/(R222*AL222)</f>
        <v>#DIV/0!</v>
      </c>
      <c r="AM35" s="53" t="e">
        <f>AM34+ATM_Conf!$C$5*(S34-R34)/(S222*AM222)</f>
        <v>#DIV/0!</v>
      </c>
      <c r="AN35" s="53" t="e">
        <f>AN34+ATM_Conf!$C$5*(T34-S34)/(T222*AN222)</f>
        <v>#DIV/0!</v>
      </c>
      <c r="AO35" s="53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43">
        <f t="shared" si="29"/>
        <v>0</v>
      </c>
      <c r="DS35" s="43">
        <f t="shared" si="28"/>
        <v>0</v>
      </c>
      <c r="DT35" s="43">
        <f t="shared" si="28"/>
        <v>0</v>
      </c>
      <c r="DU35" s="43">
        <f t="shared" si="28"/>
        <v>0</v>
      </c>
      <c r="DV35" s="43">
        <f t="shared" si="28"/>
        <v>0</v>
      </c>
      <c r="DW35" s="43">
        <f t="shared" si="28"/>
        <v>0</v>
      </c>
      <c r="DX35" s="43">
        <f t="shared" si="28"/>
        <v>0</v>
      </c>
      <c r="DY35" s="43">
        <f t="shared" si="28"/>
        <v>0</v>
      </c>
      <c r="DZ35" s="43">
        <f t="shared" si="28"/>
        <v>0</v>
      </c>
      <c r="EA35" s="43">
        <f t="shared" si="28"/>
        <v>0</v>
      </c>
      <c r="EB35" s="43">
        <f t="shared" si="28"/>
        <v>0</v>
      </c>
      <c r="EC35" s="43">
        <f t="shared" si="28"/>
        <v>0</v>
      </c>
      <c r="ED35" s="43">
        <f t="shared" si="28"/>
        <v>0</v>
      </c>
      <c r="EE35" s="43">
        <f t="shared" si="28"/>
        <v>0</v>
      </c>
      <c r="EF35" s="43">
        <f t="shared" si="28"/>
        <v>0</v>
      </c>
      <c r="EG35" s="43">
        <f t="shared" si="28"/>
        <v>0</v>
      </c>
      <c r="EH35" s="43">
        <f t="shared" si="28"/>
        <v>0</v>
      </c>
      <c r="EI35" s="43">
        <f t="shared" si="28"/>
        <v>0</v>
      </c>
      <c r="EJ35" s="43">
        <f t="shared" si="28"/>
        <v>0</v>
      </c>
      <c r="EK35" s="43">
        <f t="shared" si="28"/>
        <v>0</v>
      </c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</row>
    <row r="36" spans="1:161" ht="14.25" x14ac:dyDescent="0.15">
      <c r="A36" s="46"/>
      <c r="B36" s="43" t="e">
        <f t="shared" si="2"/>
        <v>#DIV/0!</v>
      </c>
      <c r="C36" s="43" t="e">
        <f t="shared" si="3"/>
        <v>#DIV/0!</v>
      </c>
      <c r="D36" s="43" t="e">
        <f t="shared" si="4"/>
        <v>#DIV/0!</v>
      </c>
      <c r="E36" s="43" t="e">
        <f t="shared" si="5"/>
        <v>#DIV/0!</v>
      </c>
      <c r="F36" s="43" t="e">
        <f t="shared" si="6"/>
        <v>#DIV/0!</v>
      </c>
      <c r="G36" s="43" t="e">
        <f t="shared" si="7"/>
        <v>#DIV/0!</v>
      </c>
      <c r="H36" s="43" t="e">
        <f t="shared" si="8"/>
        <v>#DIV/0!</v>
      </c>
      <c r="I36" s="43" t="e">
        <f t="shared" si="9"/>
        <v>#DIV/0!</v>
      </c>
      <c r="J36" s="43" t="e">
        <f t="shared" si="10"/>
        <v>#DIV/0!</v>
      </c>
      <c r="K36" s="43" t="e">
        <f t="shared" si="11"/>
        <v>#DIV/0!</v>
      </c>
      <c r="L36" s="43" t="e">
        <f t="shared" si="12"/>
        <v>#DIV/0!</v>
      </c>
      <c r="M36" s="43" t="e">
        <f t="shared" si="13"/>
        <v>#DIV/0!</v>
      </c>
      <c r="N36" s="43" t="e">
        <f t="shared" si="14"/>
        <v>#DIV/0!</v>
      </c>
      <c r="O36" s="43" t="e">
        <f t="shared" si="15"/>
        <v>#DIV/0!</v>
      </c>
      <c r="P36" s="43" t="e">
        <f t="shared" si="16"/>
        <v>#DIV/0!</v>
      </c>
      <c r="Q36" s="43" t="e">
        <f t="shared" si="17"/>
        <v>#DIV/0!</v>
      </c>
      <c r="R36" s="43" t="e">
        <f t="shared" si="18"/>
        <v>#DIV/0!</v>
      </c>
      <c r="S36" s="43" t="e">
        <f t="shared" si="19"/>
        <v>#DIV/0!</v>
      </c>
      <c r="T36" s="43" t="e">
        <f t="shared" si="20"/>
        <v>#DIV/0!</v>
      </c>
      <c r="U36" s="43" t="e">
        <f t="shared" si="21"/>
        <v>#DIV/0!</v>
      </c>
      <c r="V36" s="53" t="e">
        <f>V35+ATM_Conf!$C$5*(B35)/(B223*V223)</f>
        <v>#DIV/0!</v>
      </c>
      <c r="W36" s="53" t="e">
        <f>W35+ATM_Conf!$C$5*(C35-B35)/(C223*W223)</f>
        <v>#DIV/0!</v>
      </c>
      <c r="X36" s="53" t="e">
        <f>X35+ATM_Conf!$C$5*(D35-C35)/(D223*X223)</f>
        <v>#DIV/0!</v>
      </c>
      <c r="Y36" s="53" t="e">
        <f>Y35+ATM_Conf!$C$5*(E35-D35)/(E223*Y223)</f>
        <v>#DIV/0!</v>
      </c>
      <c r="Z36" s="53" t="e">
        <f>Z35+ATM_Conf!$C$5*(F35-E35)/(F223*Z223)</f>
        <v>#DIV/0!</v>
      </c>
      <c r="AA36" s="53" t="e">
        <f>AA35+ATM_Conf!$C$5*(G35-F35)/(G223*AA223)</f>
        <v>#DIV/0!</v>
      </c>
      <c r="AB36" s="53" t="e">
        <f>AB35+ATM_Conf!$C$5*(H35-G35)/(H223*AB223)</f>
        <v>#DIV/0!</v>
      </c>
      <c r="AC36" s="53" t="e">
        <f>AC35+ATM_Conf!$C$5*(I35-H35)/(I223*AC223)</f>
        <v>#DIV/0!</v>
      </c>
      <c r="AD36" s="53" t="e">
        <f>AD35+ATM_Conf!$C$5*(J35-I35)/(J223*AD223)</f>
        <v>#DIV/0!</v>
      </c>
      <c r="AE36" s="53" t="e">
        <f>AE35+ATM_Conf!$C$5*(K35-J35)/(K223*AE223)</f>
        <v>#DIV/0!</v>
      </c>
      <c r="AF36" s="53" t="e">
        <f>AF35+ATM_Conf!$C$5*(L35)/(L223*AF223)</f>
        <v>#DIV/0!</v>
      </c>
      <c r="AG36" s="53" t="e">
        <f>AG35+ATM_Conf!$C$5*(M35-L35)/(M223*AG223)</f>
        <v>#DIV/0!</v>
      </c>
      <c r="AH36" s="53" t="e">
        <f>AH35+ATM_Conf!$C$5*(N35-M35)/(N223*AH223)</f>
        <v>#DIV/0!</v>
      </c>
      <c r="AI36" s="53" t="e">
        <f>AI35+ATM_Conf!$C$5*(O35-N35)/(O223*AI223)</f>
        <v>#DIV/0!</v>
      </c>
      <c r="AJ36" s="53" t="e">
        <f>AJ35+ATM_Conf!$C$5*(P35-O35)/(P223*AJ223)</f>
        <v>#DIV/0!</v>
      </c>
      <c r="AK36" s="53" t="e">
        <f>AK35+ATM_Conf!$C$5*(Q35-P35)/(Q223*AK223)</f>
        <v>#DIV/0!</v>
      </c>
      <c r="AL36" s="53" t="e">
        <f>AL35+ATM_Conf!$C$5*(R35-Q35)/(R223*AL223)</f>
        <v>#DIV/0!</v>
      </c>
      <c r="AM36" s="53" t="e">
        <f>AM35+ATM_Conf!$C$5*(S35-R35)/(S223*AM223)</f>
        <v>#DIV/0!</v>
      </c>
      <c r="AN36" s="53" t="e">
        <f>AN35+ATM_Conf!$C$5*(T35-S35)/(T223*AN223)</f>
        <v>#DIV/0!</v>
      </c>
      <c r="AO36" s="53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43">
        <f t="shared" si="29"/>
        <v>0</v>
      </c>
      <c r="DS36" s="43">
        <f t="shared" si="28"/>
        <v>0</v>
      </c>
      <c r="DT36" s="43">
        <f t="shared" si="28"/>
        <v>0</v>
      </c>
      <c r="DU36" s="43">
        <f t="shared" si="28"/>
        <v>0</v>
      </c>
      <c r="DV36" s="43">
        <f t="shared" si="28"/>
        <v>0</v>
      </c>
      <c r="DW36" s="43">
        <f t="shared" si="28"/>
        <v>0</v>
      </c>
      <c r="DX36" s="43">
        <f t="shared" si="28"/>
        <v>0</v>
      </c>
      <c r="DY36" s="43">
        <f t="shared" si="28"/>
        <v>0</v>
      </c>
      <c r="DZ36" s="43">
        <f t="shared" si="28"/>
        <v>0</v>
      </c>
      <c r="EA36" s="43">
        <f t="shared" si="28"/>
        <v>0</v>
      </c>
      <c r="EB36" s="43">
        <f t="shared" si="28"/>
        <v>0</v>
      </c>
      <c r="EC36" s="43">
        <f t="shared" si="28"/>
        <v>0</v>
      </c>
      <c r="ED36" s="43">
        <f t="shared" si="28"/>
        <v>0</v>
      </c>
      <c r="EE36" s="43">
        <f t="shared" si="28"/>
        <v>0</v>
      </c>
      <c r="EF36" s="43">
        <f t="shared" si="28"/>
        <v>0</v>
      </c>
      <c r="EG36" s="43">
        <f t="shared" si="28"/>
        <v>0</v>
      </c>
      <c r="EH36" s="43">
        <f t="shared" si="28"/>
        <v>0</v>
      </c>
      <c r="EI36" s="43">
        <f t="shared" si="28"/>
        <v>0</v>
      </c>
      <c r="EJ36" s="43">
        <f t="shared" si="28"/>
        <v>0</v>
      </c>
      <c r="EK36" s="43">
        <f t="shared" si="28"/>
        <v>0</v>
      </c>
      <c r="EL36" s="47"/>
      <c r="EM36" s="47"/>
      <c r="EN36" s="47"/>
      <c r="EO36" s="47"/>
      <c r="EP36" s="47"/>
      <c r="EQ36" s="47"/>
      <c r="ER36" s="47"/>
      <c r="ES36" s="47"/>
      <c r="ET36" s="47"/>
      <c r="EU36" s="47"/>
      <c r="EV36" s="47"/>
      <c r="EW36" s="47"/>
      <c r="EX36" s="47"/>
      <c r="EY36" s="47"/>
      <c r="EZ36" s="47"/>
      <c r="FA36" s="47"/>
      <c r="FB36" s="47"/>
      <c r="FC36" s="47"/>
      <c r="FD36" s="47"/>
      <c r="FE36" s="47"/>
    </row>
    <row r="37" spans="1:161" ht="14.25" x14ac:dyDescent="0.15">
      <c r="A37" s="46"/>
      <c r="B37" s="43" t="e">
        <f t="shared" si="2"/>
        <v>#DIV/0!</v>
      </c>
      <c r="C37" s="43" t="e">
        <f t="shared" si="3"/>
        <v>#DIV/0!</v>
      </c>
      <c r="D37" s="43" t="e">
        <f t="shared" si="4"/>
        <v>#DIV/0!</v>
      </c>
      <c r="E37" s="43" t="e">
        <f t="shared" si="5"/>
        <v>#DIV/0!</v>
      </c>
      <c r="F37" s="43" t="e">
        <f t="shared" si="6"/>
        <v>#DIV/0!</v>
      </c>
      <c r="G37" s="43" t="e">
        <f t="shared" si="7"/>
        <v>#DIV/0!</v>
      </c>
      <c r="H37" s="43" t="e">
        <f t="shared" si="8"/>
        <v>#DIV/0!</v>
      </c>
      <c r="I37" s="43" t="e">
        <f t="shared" si="9"/>
        <v>#DIV/0!</v>
      </c>
      <c r="J37" s="43" t="e">
        <f t="shared" si="10"/>
        <v>#DIV/0!</v>
      </c>
      <c r="K37" s="43" t="e">
        <f t="shared" si="11"/>
        <v>#DIV/0!</v>
      </c>
      <c r="L37" s="43" t="e">
        <f t="shared" si="12"/>
        <v>#DIV/0!</v>
      </c>
      <c r="M37" s="43" t="e">
        <f t="shared" si="13"/>
        <v>#DIV/0!</v>
      </c>
      <c r="N37" s="43" t="e">
        <f t="shared" si="14"/>
        <v>#DIV/0!</v>
      </c>
      <c r="O37" s="43" t="e">
        <f t="shared" si="15"/>
        <v>#DIV/0!</v>
      </c>
      <c r="P37" s="43" t="e">
        <f t="shared" si="16"/>
        <v>#DIV/0!</v>
      </c>
      <c r="Q37" s="43" t="e">
        <f t="shared" si="17"/>
        <v>#DIV/0!</v>
      </c>
      <c r="R37" s="43" t="e">
        <f t="shared" si="18"/>
        <v>#DIV/0!</v>
      </c>
      <c r="S37" s="43" t="e">
        <f t="shared" si="19"/>
        <v>#DIV/0!</v>
      </c>
      <c r="T37" s="43" t="e">
        <f t="shared" si="20"/>
        <v>#DIV/0!</v>
      </c>
      <c r="U37" s="43" t="e">
        <f t="shared" si="21"/>
        <v>#DIV/0!</v>
      </c>
      <c r="V37" s="53" t="e">
        <f>V36+ATM_Conf!$C$5*(B36)/(B224*V224)</f>
        <v>#DIV/0!</v>
      </c>
      <c r="W37" s="53" t="e">
        <f>W36+ATM_Conf!$C$5*(C36-B36)/(C224*W224)</f>
        <v>#DIV/0!</v>
      </c>
      <c r="X37" s="53" t="e">
        <f>X36+ATM_Conf!$C$5*(D36-C36)/(D224*X224)</f>
        <v>#DIV/0!</v>
      </c>
      <c r="Y37" s="53" t="e">
        <f>Y36+ATM_Conf!$C$5*(E36-D36)/(E224*Y224)</f>
        <v>#DIV/0!</v>
      </c>
      <c r="Z37" s="53" t="e">
        <f>Z36+ATM_Conf!$C$5*(F36-E36)/(F224*Z224)</f>
        <v>#DIV/0!</v>
      </c>
      <c r="AA37" s="53" t="e">
        <f>AA36+ATM_Conf!$C$5*(G36-F36)/(G224*AA224)</f>
        <v>#DIV/0!</v>
      </c>
      <c r="AB37" s="53" t="e">
        <f>AB36+ATM_Conf!$C$5*(H36-G36)/(H224*AB224)</f>
        <v>#DIV/0!</v>
      </c>
      <c r="AC37" s="53" t="e">
        <f>AC36+ATM_Conf!$C$5*(I36-H36)/(I224*AC224)</f>
        <v>#DIV/0!</v>
      </c>
      <c r="AD37" s="53" t="e">
        <f>AD36+ATM_Conf!$C$5*(J36-I36)/(J224*AD224)</f>
        <v>#DIV/0!</v>
      </c>
      <c r="AE37" s="53" t="e">
        <f>AE36+ATM_Conf!$C$5*(K36-J36)/(K224*AE224)</f>
        <v>#DIV/0!</v>
      </c>
      <c r="AF37" s="53" t="e">
        <f>AF36+ATM_Conf!$C$5*(L36)/(L224*AF224)</f>
        <v>#DIV/0!</v>
      </c>
      <c r="AG37" s="53" t="e">
        <f>AG36+ATM_Conf!$C$5*(M36-L36)/(M224*AG224)</f>
        <v>#DIV/0!</v>
      </c>
      <c r="AH37" s="53" t="e">
        <f>AH36+ATM_Conf!$C$5*(N36-M36)/(N224*AH224)</f>
        <v>#DIV/0!</v>
      </c>
      <c r="AI37" s="53" t="e">
        <f>AI36+ATM_Conf!$C$5*(O36-N36)/(O224*AI224)</f>
        <v>#DIV/0!</v>
      </c>
      <c r="AJ37" s="53" t="e">
        <f>AJ36+ATM_Conf!$C$5*(P36-O36)/(P224*AJ224)</f>
        <v>#DIV/0!</v>
      </c>
      <c r="AK37" s="53" t="e">
        <f>AK36+ATM_Conf!$C$5*(Q36-P36)/(Q224*AK224)</f>
        <v>#DIV/0!</v>
      </c>
      <c r="AL37" s="53" t="e">
        <f>AL36+ATM_Conf!$C$5*(R36-Q36)/(R224*AL224)</f>
        <v>#DIV/0!</v>
      </c>
      <c r="AM37" s="53" t="e">
        <f>AM36+ATM_Conf!$C$5*(S36-R36)/(S224*AM224)</f>
        <v>#DIV/0!</v>
      </c>
      <c r="AN37" s="53" t="e">
        <f>AN36+ATM_Conf!$C$5*(T36-S36)/(T224*AN224)</f>
        <v>#DIV/0!</v>
      </c>
      <c r="AO37" s="53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43">
        <f t="shared" si="29"/>
        <v>0</v>
      </c>
      <c r="DS37" s="43">
        <f t="shared" si="28"/>
        <v>0</v>
      </c>
      <c r="DT37" s="43">
        <f t="shared" si="28"/>
        <v>0</v>
      </c>
      <c r="DU37" s="43">
        <f t="shared" si="28"/>
        <v>0</v>
      </c>
      <c r="DV37" s="43">
        <f t="shared" si="28"/>
        <v>0</v>
      </c>
      <c r="DW37" s="43">
        <f t="shared" si="28"/>
        <v>0</v>
      </c>
      <c r="DX37" s="43">
        <f t="shared" si="28"/>
        <v>0</v>
      </c>
      <c r="DY37" s="43">
        <f t="shared" si="28"/>
        <v>0</v>
      </c>
      <c r="DZ37" s="43">
        <f t="shared" si="28"/>
        <v>0</v>
      </c>
      <c r="EA37" s="43">
        <f t="shared" si="28"/>
        <v>0</v>
      </c>
      <c r="EB37" s="43">
        <f t="shared" si="28"/>
        <v>0</v>
      </c>
      <c r="EC37" s="43">
        <f t="shared" si="28"/>
        <v>0</v>
      </c>
      <c r="ED37" s="43">
        <f t="shared" si="28"/>
        <v>0</v>
      </c>
      <c r="EE37" s="43">
        <f t="shared" si="28"/>
        <v>0</v>
      </c>
      <c r="EF37" s="43">
        <f t="shared" si="28"/>
        <v>0</v>
      </c>
      <c r="EG37" s="43">
        <f t="shared" si="28"/>
        <v>0</v>
      </c>
      <c r="EH37" s="43">
        <f t="shared" si="28"/>
        <v>0</v>
      </c>
      <c r="EI37" s="43">
        <f t="shared" si="28"/>
        <v>0</v>
      </c>
      <c r="EJ37" s="43">
        <f t="shared" si="28"/>
        <v>0</v>
      </c>
      <c r="EK37" s="43">
        <f t="shared" si="28"/>
        <v>0</v>
      </c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</row>
    <row r="38" spans="1:161" ht="14.25" x14ac:dyDescent="0.15">
      <c r="A38" s="46"/>
      <c r="B38" s="43" t="e">
        <f t="shared" si="2"/>
        <v>#DIV/0!</v>
      </c>
      <c r="C38" s="43" t="e">
        <f t="shared" si="3"/>
        <v>#DIV/0!</v>
      </c>
      <c r="D38" s="43" t="e">
        <f t="shared" si="4"/>
        <v>#DIV/0!</v>
      </c>
      <c r="E38" s="43" t="e">
        <f t="shared" si="5"/>
        <v>#DIV/0!</v>
      </c>
      <c r="F38" s="43" t="e">
        <f t="shared" si="6"/>
        <v>#DIV/0!</v>
      </c>
      <c r="G38" s="43" t="e">
        <f t="shared" si="7"/>
        <v>#DIV/0!</v>
      </c>
      <c r="H38" s="43" t="e">
        <f t="shared" si="8"/>
        <v>#DIV/0!</v>
      </c>
      <c r="I38" s="43" t="e">
        <f t="shared" si="9"/>
        <v>#DIV/0!</v>
      </c>
      <c r="J38" s="43" t="e">
        <f t="shared" si="10"/>
        <v>#DIV/0!</v>
      </c>
      <c r="K38" s="43" t="e">
        <f t="shared" si="11"/>
        <v>#DIV/0!</v>
      </c>
      <c r="L38" s="43" t="e">
        <f t="shared" si="12"/>
        <v>#DIV/0!</v>
      </c>
      <c r="M38" s="43" t="e">
        <f t="shared" si="13"/>
        <v>#DIV/0!</v>
      </c>
      <c r="N38" s="43" t="e">
        <f t="shared" si="14"/>
        <v>#DIV/0!</v>
      </c>
      <c r="O38" s="43" t="e">
        <f t="shared" si="15"/>
        <v>#DIV/0!</v>
      </c>
      <c r="P38" s="43" t="e">
        <f t="shared" si="16"/>
        <v>#DIV/0!</v>
      </c>
      <c r="Q38" s="43" t="e">
        <f t="shared" si="17"/>
        <v>#DIV/0!</v>
      </c>
      <c r="R38" s="43" t="e">
        <f t="shared" si="18"/>
        <v>#DIV/0!</v>
      </c>
      <c r="S38" s="43" t="e">
        <f t="shared" si="19"/>
        <v>#DIV/0!</v>
      </c>
      <c r="T38" s="43" t="e">
        <f t="shared" si="20"/>
        <v>#DIV/0!</v>
      </c>
      <c r="U38" s="43" t="e">
        <f t="shared" si="21"/>
        <v>#DIV/0!</v>
      </c>
      <c r="V38" s="53" t="e">
        <f>V37+ATM_Conf!$C$5*(B37)/(B225*V225)</f>
        <v>#DIV/0!</v>
      </c>
      <c r="W38" s="53" t="e">
        <f>W37+ATM_Conf!$C$5*(C37-B37)/(C225*W225)</f>
        <v>#DIV/0!</v>
      </c>
      <c r="X38" s="53" t="e">
        <f>X37+ATM_Conf!$C$5*(D37-C37)/(D225*X225)</f>
        <v>#DIV/0!</v>
      </c>
      <c r="Y38" s="53" t="e">
        <f>Y37+ATM_Conf!$C$5*(E37-D37)/(E225*Y225)</f>
        <v>#DIV/0!</v>
      </c>
      <c r="Z38" s="53" t="e">
        <f>Z37+ATM_Conf!$C$5*(F37-E37)/(F225*Z225)</f>
        <v>#DIV/0!</v>
      </c>
      <c r="AA38" s="53" t="e">
        <f>AA37+ATM_Conf!$C$5*(G37-F37)/(G225*AA225)</f>
        <v>#DIV/0!</v>
      </c>
      <c r="AB38" s="53" t="e">
        <f>AB37+ATM_Conf!$C$5*(H37-G37)/(H225*AB225)</f>
        <v>#DIV/0!</v>
      </c>
      <c r="AC38" s="53" t="e">
        <f>AC37+ATM_Conf!$C$5*(I37-H37)/(I225*AC225)</f>
        <v>#DIV/0!</v>
      </c>
      <c r="AD38" s="53" t="e">
        <f>AD37+ATM_Conf!$C$5*(J37-I37)/(J225*AD225)</f>
        <v>#DIV/0!</v>
      </c>
      <c r="AE38" s="53" t="e">
        <f>AE37+ATM_Conf!$C$5*(K37-J37)/(K225*AE225)</f>
        <v>#DIV/0!</v>
      </c>
      <c r="AF38" s="53" t="e">
        <f>AF37+ATM_Conf!$C$5*(L37)/(L225*AF225)</f>
        <v>#DIV/0!</v>
      </c>
      <c r="AG38" s="53" t="e">
        <f>AG37+ATM_Conf!$C$5*(M37-L37)/(M225*AG225)</f>
        <v>#DIV/0!</v>
      </c>
      <c r="AH38" s="53" t="e">
        <f>AH37+ATM_Conf!$C$5*(N37-M37)/(N225*AH225)</f>
        <v>#DIV/0!</v>
      </c>
      <c r="AI38" s="53" t="e">
        <f>AI37+ATM_Conf!$C$5*(O37-N37)/(O225*AI225)</f>
        <v>#DIV/0!</v>
      </c>
      <c r="AJ38" s="53" t="e">
        <f>AJ37+ATM_Conf!$C$5*(P37-O37)/(P225*AJ225)</f>
        <v>#DIV/0!</v>
      </c>
      <c r="AK38" s="53" t="e">
        <f>AK37+ATM_Conf!$C$5*(Q37-P37)/(Q225*AK225)</f>
        <v>#DIV/0!</v>
      </c>
      <c r="AL38" s="53" t="e">
        <f>AL37+ATM_Conf!$C$5*(R37-Q37)/(R225*AL225)</f>
        <v>#DIV/0!</v>
      </c>
      <c r="AM38" s="53" t="e">
        <f>AM37+ATM_Conf!$C$5*(S37-R37)/(S225*AM225)</f>
        <v>#DIV/0!</v>
      </c>
      <c r="AN38" s="53" t="e">
        <f>AN37+ATM_Conf!$C$5*(T37-S37)/(T225*AN225)</f>
        <v>#DIV/0!</v>
      </c>
      <c r="AO38" s="53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43">
        <f t="shared" si="29"/>
        <v>0</v>
      </c>
      <c r="DS38" s="43">
        <f t="shared" si="28"/>
        <v>0</v>
      </c>
      <c r="DT38" s="43">
        <f t="shared" si="28"/>
        <v>0</v>
      </c>
      <c r="DU38" s="43">
        <f t="shared" si="28"/>
        <v>0</v>
      </c>
      <c r="DV38" s="43">
        <f t="shared" si="28"/>
        <v>0</v>
      </c>
      <c r="DW38" s="43">
        <f t="shared" si="28"/>
        <v>0</v>
      </c>
      <c r="DX38" s="43">
        <f t="shared" si="28"/>
        <v>0</v>
      </c>
      <c r="DY38" s="43">
        <f t="shared" si="28"/>
        <v>0</v>
      </c>
      <c r="DZ38" s="43">
        <f t="shared" si="28"/>
        <v>0</v>
      </c>
      <c r="EA38" s="43">
        <f t="shared" si="28"/>
        <v>0</v>
      </c>
      <c r="EB38" s="43">
        <f t="shared" si="28"/>
        <v>0</v>
      </c>
      <c r="EC38" s="43">
        <f t="shared" si="28"/>
        <v>0</v>
      </c>
      <c r="ED38" s="43">
        <f t="shared" si="28"/>
        <v>0</v>
      </c>
      <c r="EE38" s="43">
        <f t="shared" si="28"/>
        <v>0</v>
      </c>
      <c r="EF38" s="43">
        <f t="shared" si="28"/>
        <v>0</v>
      </c>
      <c r="EG38" s="43">
        <f t="shared" si="28"/>
        <v>0</v>
      </c>
      <c r="EH38" s="43">
        <f t="shared" si="28"/>
        <v>0</v>
      </c>
      <c r="EI38" s="43">
        <f t="shared" si="28"/>
        <v>0</v>
      </c>
      <c r="EJ38" s="43">
        <f t="shared" si="28"/>
        <v>0</v>
      </c>
      <c r="EK38" s="43">
        <f t="shared" si="28"/>
        <v>0</v>
      </c>
      <c r="EL38" s="47"/>
      <c r="EM38" s="47"/>
      <c r="EN38" s="47"/>
      <c r="EO38" s="47"/>
      <c r="EP38" s="47"/>
      <c r="EQ38" s="47"/>
      <c r="ER38" s="47"/>
      <c r="ES38" s="47"/>
      <c r="ET38" s="47"/>
      <c r="EU38" s="47"/>
      <c r="EV38" s="47"/>
      <c r="EW38" s="47"/>
      <c r="EX38" s="47"/>
      <c r="EY38" s="47"/>
      <c r="EZ38" s="47"/>
      <c r="FA38" s="47"/>
      <c r="FB38" s="47"/>
      <c r="FC38" s="47"/>
      <c r="FD38" s="47"/>
      <c r="FE38" s="47"/>
    </row>
    <row r="39" spans="1:161" ht="14.25" x14ac:dyDescent="0.15">
      <c r="A39" s="46"/>
      <c r="B39" s="43" t="e">
        <f t="shared" si="2"/>
        <v>#DIV/0!</v>
      </c>
      <c r="C39" s="43" t="e">
        <f t="shared" si="3"/>
        <v>#DIV/0!</v>
      </c>
      <c r="D39" s="43" t="e">
        <f t="shared" si="4"/>
        <v>#DIV/0!</v>
      </c>
      <c r="E39" s="43" t="e">
        <f t="shared" si="5"/>
        <v>#DIV/0!</v>
      </c>
      <c r="F39" s="43" t="e">
        <f t="shared" si="6"/>
        <v>#DIV/0!</v>
      </c>
      <c r="G39" s="43" t="e">
        <f t="shared" si="7"/>
        <v>#DIV/0!</v>
      </c>
      <c r="H39" s="43" t="e">
        <f t="shared" si="8"/>
        <v>#DIV/0!</v>
      </c>
      <c r="I39" s="43" t="e">
        <f t="shared" si="9"/>
        <v>#DIV/0!</v>
      </c>
      <c r="J39" s="43" t="e">
        <f t="shared" si="10"/>
        <v>#DIV/0!</v>
      </c>
      <c r="K39" s="43" t="e">
        <f t="shared" si="11"/>
        <v>#DIV/0!</v>
      </c>
      <c r="L39" s="43" t="e">
        <f t="shared" si="12"/>
        <v>#DIV/0!</v>
      </c>
      <c r="M39" s="43" t="e">
        <f t="shared" si="13"/>
        <v>#DIV/0!</v>
      </c>
      <c r="N39" s="43" t="e">
        <f t="shared" si="14"/>
        <v>#DIV/0!</v>
      </c>
      <c r="O39" s="43" t="e">
        <f t="shared" si="15"/>
        <v>#DIV/0!</v>
      </c>
      <c r="P39" s="43" t="e">
        <f t="shared" si="16"/>
        <v>#DIV/0!</v>
      </c>
      <c r="Q39" s="43" t="e">
        <f t="shared" si="17"/>
        <v>#DIV/0!</v>
      </c>
      <c r="R39" s="43" t="e">
        <f t="shared" si="18"/>
        <v>#DIV/0!</v>
      </c>
      <c r="S39" s="43" t="e">
        <f t="shared" si="19"/>
        <v>#DIV/0!</v>
      </c>
      <c r="T39" s="43" t="e">
        <f t="shared" si="20"/>
        <v>#DIV/0!</v>
      </c>
      <c r="U39" s="43" t="e">
        <f t="shared" si="21"/>
        <v>#DIV/0!</v>
      </c>
      <c r="V39" s="53" t="e">
        <f>V38+ATM_Conf!$C$5*(B38)/(B226*V226)</f>
        <v>#DIV/0!</v>
      </c>
      <c r="W39" s="53" t="e">
        <f>W38+ATM_Conf!$C$5*(C38-B38)/(C226*W226)</f>
        <v>#DIV/0!</v>
      </c>
      <c r="X39" s="53" t="e">
        <f>X38+ATM_Conf!$C$5*(D38-C38)/(D226*X226)</f>
        <v>#DIV/0!</v>
      </c>
      <c r="Y39" s="53" t="e">
        <f>Y38+ATM_Conf!$C$5*(E38-D38)/(E226*Y226)</f>
        <v>#DIV/0!</v>
      </c>
      <c r="Z39" s="53" t="e">
        <f>Z38+ATM_Conf!$C$5*(F38-E38)/(F226*Z226)</f>
        <v>#DIV/0!</v>
      </c>
      <c r="AA39" s="53" t="e">
        <f>AA38+ATM_Conf!$C$5*(G38-F38)/(G226*AA226)</f>
        <v>#DIV/0!</v>
      </c>
      <c r="AB39" s="53" t="e">
        <f>AB38+ATM_Conf!$C$5*(H38-G38)/(H226*AB226)</f>
        <v>#DIV/0!</v>
      </c>
      <c r="AC39" s="53" t="e">
        <f>AC38+ATM_Conf!$C$5*(I38-H38)/(I226*AC226)</f>
        <v>#DIV/0!</v>
      </c>
      <c r="AD39" s="53" t="e">
        <f>AD38+ATM_Conf!$C$5*(J38-I38)/(J226*AD226)</f>
        <v>#DIV/0!</v>
      </c>
      <c r="AE39" s="53" t="e">
        <f>AE38+ATM_Conf!$C$5*(K38-J38)/(K226*AE226)</f>
        <v>#DIV/0!</v>
      </c>
      <c r="AF39" s="53" t="e">
        <f>AF38+ATM_Conf!$C$5*(L38)/(L226*AF226)</f>
        <v>#DIV/0!</v>
      </c>
      <c r="AG39" s="53" t="e">
        <f>AG38+ATM_Conf!$C$5*(M38-L38)/(M226*AG226)</f>
        <v>#DIV/0!</v>
      </c>
      <c r="AH39" s="53" t="e">
        <f>AH38+ATM_Conf!$C$5*(N38-M38)/(N226*AH226)</f>
        <v>#DIV/0!</v>
      </c>
      <c r="AI39" s="53" t="e">
        <f>AI38+ATM_Conf!$C$5*(O38-N38)/(O226*AI226)</f>
        <v>#DIV/0!</v>
      </c>
      <c r="AJ39" s="53" t="e">
        <f>AJ38+ATM_Conf!$C$5*(P38-O38)/(P226*AJ226)</f>
        <v>#DIV/0!</v>
      </c>
      <c r="AK39" s="53" t="e">
        <f>AK38+ATM_Conf!$C$5*(Q38-P38)/(Q226*AK226)</f>
        <v>#DIV/0!</v>
      </c>
      <c r="AL39" s="53" t="e">
        <f>AL38+ATM_Conf!$C$5*(R38-Q38)/(R226*AL226)</f>
        <v>#DIV/0!</v>
      </c>
      <c r="AM39" s="53" t="e">
        <f>AM38+ATM_Conf!$C$5*(S38-R38)/(S226*AM226)</f>
        <v>#DIV/0!</v>
      </c>
      <c r="AN39" s="53" t="e">
        <f>AN38+ATM_Conf!$C$5*(T38-S38)/(T226*AN226)</f>
        <v>#DIV/0!</v>
      </c>
      <c r="AO39" s="53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62"/>
      <c r="DS39" s="62"/>
      <c r="DT39" s="62"/>
      <c r="DU39" s="62"/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  <c r="EI39" s="62"/>
      <c r="EJ39" s="62"/>
      <c r="EK39" s="62"/>
      <c r="EL39" s="47">
        <f>(DR39-DR27)^2</f>
        <v>0</v>
      </c>
      <c r="EM39" s="47">
        <f t="shared" ref="EM39:FE39" si="30">(DS39-DS27)^2</f>
        <v>0</v>
      </c>
      <c r="EN39" s="47">
        <f t="shared" si="30"/>
        <v>0</v>
      </c>
      <c r="EO39" s="47">
        <f t="shared" si="30"/>
        <v>0</v>
      </c>
      <c r="EP39" s="47">
        <f t="shared" si="30"/>
        <v>0</v>
      </c>
      <c r="EQ39" s="47">
        <f t="shared" si="30"/>
        <v>0</v>
      </c>
      <c r="ER39" s="47">
        <f t="shared" si="30"/>
        <v>0</v>
      </c>
      <c r="ES39" s="47">
        <f t="shared" si="30"/>
        <v>0</v>
      </c>
      <c r="ET39" s="47">
        <f t="shared" si="30"/>
        <v>0</v>
      </c>
      <c r="EU39" s="47">
        <f t="shared" si="30"/>
        <v>0</v>
      </c>
      <c r="EV39" s="47">
        <f t="shared" si="30"/>
        <v>0</v>
      </c>
      <c r="EW39" s="47">
        <f t="shared" si="30"/>
        <v>0</v>
      </c>
      <c r="EX39" s="47">
        <f t="shared" si="30"/>
        <v>0</v>
      </c>
      <c r="EY39" s="47">
        <f t="shared" si="30"/>
        <v>0</v>
      </c>
      <c r="EZ39" s="47">
        <f t="shared" si="30"/>
        <v>0</v>
      </c>
      <c r="FA39" s="47">
        <f t="shared" si="30"/>
        <v>0</v>
      </c>
      <c r="FB39" s="47">
        <f t="shared" si="30"/>
        <v>0</v>
      </c>
      <c r="FC39" s="47">
        <f t="shared" si="30"/>
        <v>0</v>
      </c>
      <c r="FD39" s="47">
        <f t="shared" si="30"/>
        <v>0</v>
      </c>
      <c r="FE39" s="47">
        <f t="shared" si="30"/>
        <v>0</v>
      </c>
    </row>
    <row r="40" spans="1:161" ht="14.25" x14ac:dyDescent="0.15">
      <c r="A40" s="46"/>
      <c r="B40" s="43" t="e">
        <f t="shared" si="2"/>
        <v>#DIV/0!</v>
      </c>
      <c r="C40" s="43" t="e">
        <f t="shared" si="3"/>
        <v>#DIV/0!</v>
      </c>
      <c r="D40" s="43" t="e">
        <f t="shared" si="4"/>
        <v>#DIV/0!</v>
      </c>
      <c r="E40" s="43" t="e">
        <f t="shared" si="5"/>
        <v>#DIV/0!</v>
      </c>
      <c r="F40" s="43" t="e">
        <f t="shared" si="6"/>
        <v>#DIV/0!</v>
      </c>
      <c r="G40" s="43" t="e">
        <f t="shared" si="7"/>
        <v>#DIV/0!</v>
      </c>
      <c r="H40" s="43" t="e">
        <f t="shared" si="8"/>
        <v>#DIV/0!</v>
      </c>
      <c r="I40" s="43" t="e">
        <f t="shared" si="9"/>
        <v>#DIV/0!</v>
      </c>
      <c r="J40" s="43" t="e">
        <f t="shared" si="10"/>
        <v>#DIV/0!</v>
      </c>
      <c r="K40" s="43" t="e">
        <f t="shared" si="11"/>
        <v>#DIV/0!</v>
      </c>
      <c r="L40" s="43" t="e">
        <f t="shared" si="12"/>
        <v>#DIV/0!</v>
      </c>
      <c r="M40" s="43" t="e">
        <f t="shared" si="13"/>
        <v>#DIV/0!</v>
      </c>
      <c r="N40" s="43" t="e">
        <f t="shared" si="14"/>
        <v>#DIV/0!</v>
      </c>
      <c r="O40" s="43" t="e">
        <f t="shared" si="15"/>
        <v>#DIV/0!</v>
      </c>
      <c r="P40" s="43" t="e">
        <f t="shared" si="16"/>
        <v>#DIV/0!</v>
      </c>
      <c r="Q40" s="43" t="e">
        <f t="shared" si="17"/>
        <v>#DIV/0!</v>
      </c>
      <c r="R40" s="43" t="e">
        <f t="shared" si="18"/>
        <v>#DIV/0!</v>
      </c>
      <c r="S40" s="43" t="e">
        <f t="shared" si="19"/>
        <v>#DIV/0!</v>
      </c>
      <c r="T40" s="43" t="e">
        <f t="shared" si="20"/>
        <v>#DIV/0!</v>
      </c>
      <c r="U40" s="43" t="e">
        <f t="shared" si="21"/>
        <v>#DIV/0!</v>
      </c>
      <c r="V40" s="53" t="e">
        <f>V39+ATM_Conf!$C$5*(B39)/(B227*V227)</f>
        <v>#DIV/0!</v>
      </c>
      <c r="W40" s="53" t="e">
        <f>W39+ATM_Conf!$C$5*(C39-B39)/(C227*W227)</f>
        <v>#DIV/0!</v>
      </c>
      <c r="X40" s="53" t="e">
        <f>X39+ATM_Conf!$C$5*(D39-C39)/(D227*X227)</f>
        <v>#DIV/0!</v>
      </c>
      <c r="Y40" s="53" t="e">
        <f>Y39+ATM_Conf!$C$5*(E39-D39)/(E227*Y227)</f>
        <v>#DIV/0!</v>
      </c>
      <c r="Z40" s="53" t="e">
        <f>Z39+ATM_Conf!$C$5*(F39-E39)/(F227*Z227)</f>
        <v>#DIV/0!</v>
      </c>
      <c r="AA40" s="53" t="e">
        <f>AA39+ATM_Conf!$C$5*(G39-F39)/(G227*AA227)</f>
        <v>#DIV/0!</v>
      </c>
      <c r="AB40" s="53" t="e">
        <f>AB39+ATM_Conf!$C$5*(H39-G39)/(H227*AB227)</f>
        <v>#DIV/0!</v>
      </c>
      <c r="AC40" s="53" t="e">
        <f>AC39+ATM_Conf!$C$5*(I39-H39)/(I227*AC227)</f>
        <v>#DIV/0!</v>
      </c>
      <c r="AD40" s="53" t="e">
        <f>AD39+ATM_Conf!$C$5*(J39-I39)/(J227*AD227)</f>
        <v>#DIV/0!</v>
      </c>
      <c r="AE40" s="53" t="e">
        <f>AE39+ATM_Conf!$C$5*(K39-J39)/(K227*AE227)</f>
        <v>#DIV/0!</v>
      </c>
      <c r="AF40" s="53" t="e">
        <f>AF39+ATM_Conf!$C$5*(L39)/(L227*AF227)</f>
        <v>#DIV/0!</v>
      </c>
      <c r="AG40" s="53" t="e">
        <f>AG39+ATM_Conf!$C$5*(M39-L39)/(M227*AG227)</f>
        <v>#DIV/0!</v>
      </c>
      <c r="AH40" s="53" t="e">
        <f>AH39+ATM_Conf!$C$5*(N39-M39)/(N227*AH227)</f>
        <v>#DIV/0!</v>
      </c>
      <c r="AI40" s="53" t="e">
        <f>AI39+ATM_Conf!$C$5*(O39-N39)/(O227*AI227)</f>
        <v>#DIV/0!</v>
      </c>
      <c r="AJ40" s="53" t="e">
        <f>AJ39+ATM_Conf!$C$5*(P39-O39)/(P227*AJ227)</f>
        <v>#DIV/0!</v>
      </c>
      <c r="AK40" s="53" t="e">
        <f>AK39+ATM_Conf!$C$5*(Q39-P39)/(Q227*AK227)</f>
        <v>#DIV/0!</v>
      </c>
      <c r="AL40" s="53" t="e">
        <f>AL39+ATM_Conf!$C$5*(R39-Q39)/(R227*AL227)</f>
        <v>#DIV/0!</v>
      </c>
      <c r="AM40" s="53" t="e">
        <f>AM39+ATM_Conf!$C$5*(S39-R39)/(S227*AM227)</f>
        <v>#DIV/0!</v>
      </c>
      <c r="AN40" s="53" t="e">
        <f>AN39+ATM_Conf!$C$5*(T39-S39)/(T227*AN227)</f>
        <v>#DIV/0!</v>
      </c>
      <c r="AO40" s="53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43">
        <f>DR$39</f>
        <v>0</v>
      </c>
      <c r="DS40" s="43">
        <f t="shared" ref="DS40:EK50" si="31">DS$39</f>
        <v>0</v>
      </c>
      <c r="DT40" s="43">
        <f t="shared" si="31"/>
        <v>0</v>
      </c>
      <c r="DU40" s="43">
        <f t="shared" si="31"/>
        <v>0</v>
      </c>
      <c r="DV40" s="43">
        <f t="shared" si="31"/>
        <v>0</v>
      </c>
      <c r="DW40" s="43">
        <f t="shared" si="31"/>
        <v>0</v>
      </c>
      <c r="DX40" s="43">
        <f t="shared" si="31"/>
        <v>0</v>
      </c>
      <c r="DY40" s="43">
        <f t="shared" si="31"/>
        <v>0</v>
      </c>
      <c r="DZ40" s="43">
        <f t="shared" si="31"/>
        <v>0</v>
      </c>
      <c r="EA40" s="43">
        <f t="shared" si="31"/>
        <v>0</v>
      </c>
      <c r="EB40" s="43">
        <f t="shared" si="31"/>
        <v>0</v>
      </c>
      <c r="EC40" s="43">
        <f t="shared" si="31"/>
        <v>0</v>
      </c>
      <c r="ED40" s="43">
        <f t="shared" si="31"/>
        <v>0</v>
      </c>
      <c r="EE40" s="43">
        <f t="shared" si="31"/>
        <v>0</v>
      </c>
      <c r="EF40" s="43">
        <f t="shared" si="31"/>
        <v>0</v>
      </c>
      <c r="EG40" s="43">
        <f t="shared" si="31"/>
        <v>0</v>
      </c>
      <c r="EH40" s="43">
        <f t="shared" si="31"/>
        <v>0</v>
      </c>
      <c r="EI40" s="43">
        <f t="shared" si="31"/>
        <v>0</v>
      </c>
      <c r="EJ40" s="43">
        <f t="shared" si="31"/>
        <v>0</v>
      </c>
      <c r="EK40" s="43">
        <f t="shared" si="31"/>
        <v>0</v>
      </c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</row>
    <row r="41" spans="1:161" ht="14.25" x14ac:dyDescent="0.15">
      <c r="A41" s="46"/>
      <c r="B41" s="43" t="e">
        <f t="shared" si="2"/>
        <v>#DIV/0!</v>
      </c>
      <c r="C41" s="43" t="e">
        <f t="shared" si="3"/>
        <v>#DIV/0!</v>
      </c>
      <c r="D41" s="43" t="e">
        <f t="shared" si="4"/>
        <v>#DIV/0!</v>
      </c>
      <c r="E41" s="43" t="e">
        <f t="shared" si="5"/>
        <v>#DIV/0!</v>
      </c>
      <c r="F41" s="43" t="e">
        <f t="shared" si="6"/>
        <v>#DIV/0!</v>
      </c>
      <c r="G41" s="43" t="e">
        <f t="shared" si="7"/>
        <v>#DIV/0!</v>
      </c>
      <c r="H41" s="43" t="e">
        <f t="shared" si="8"/>
        <v>#DIV/0!</v>
      </c>
      <c r="I41" s="43" t="e">
        <f t="shared" si="9"/>
        <v>#DIV/0!</v>
      </c>
      <c r="J41" s="43" t="e">
        <f t="shared" si="10"/>
        <v>#DIV/0!</v>
      </c>
      <c r="K41" s="43" t="e">
        <f t="shared" si="11"/>
        <v>#DIV/0!</v>
      </c>
      <c r="L41" s="43" t="e">
        <f t="shared" si="12"/>
        <v>#DIV/0!</v>
      </c>
      <c r="M41" s="43" t="e">
        <f t="shared" si="13"/>
        <v>#DIV/0!</v>
      </c>
      <c r="N41" s="43" t="e">
        <f t="shared" si="14"/>
        <v>#DIV/0!</v>
      </c>
      <c r="O41" s="43" t="e">
        <f t="shared" si="15"/>
        <v>#DIV/0!</v>
      </c>
      <c r="P41" s="43" t="e">
        <f t="shared" si="16"/>
        <v>#DIV/0!</v>
      </c>
      <c r="Q41" s="43" t="e">
        <f t="shared" si="17"/>
        <v>#DIV/0!</v>
      </c>
      <c r="R41" s="43" t="e">
        <f t="shared" si="18"/>
        <v>#DIV/0!</v>
      </c>
      <c r="S41" s="43" t="e">
        <f t="shared" si="19"/>
        <v>#DIV/0!</v>
      </c>
      <c r="T41" s="43" t="e">
        <f t="shared" si="20"/>
        <v>#DIV/0!</v>
      </c>
      <c r="U41" s="43" t="e">
        <f t="shared" si="21"/>
        <v>#DIV/0!</v>
      </c>
      <c r="V41" s="53" t="e">
        <f>V40+ATM_Conf!$C$5*(B40)/(B228*V228)</f>
        <v>#DIV/0!</v>
      </c>
      <c r="W41" s="53" t="e">
        <f>W40+ATM_Conf!$C$5*(C40-B40)/(C228*W228)</f>
        <v>#DIV/0!</v>
      </c>
      <c r="X41" s="53" t="e">
        <f>X40+ATM_Conf!$C$5*(D40-C40)/(D228*X228)</f>
        <v>#DIV/0!</v>
      </c>
      <c r="Y41" s="53" t="e">
        <f>Y40+ATM_Conf!$C$5*(E40-D40)/(E228*Y228)</f>
        <v>#DIV/0!</v>
      </c>
      <c r="Z41" s="53" t="e">
        <f>Z40+ATM_Conf!$C$5*(F40-E40)/(F228*Z228)</f>
        <v>#DIV/0!</v>
      </c>
      <c r="AA41" s="53" t="e">
        <f>AA40+ATM_Conf!$C$5*(G40-F40)/(G228*AA228)</f>
        <v>#DIV/0!</v>
      </c>
      <c r="AB41" s="53" t="e">
        <f>AB40+ATM_Conf!$C$5*(H40-G40)/(H228*AB228)</f>
        <v>#DIV/0!</v>
      </c>
      <c r="AC41" s="53" t="e">
        <f>AC40+ATM_Conf!$C$5*(I40-H40)/(I228*AC228)</f>
        <v>#DIV/0!</v>
      </c>
      <c r="AD41" s="53" t="e">
        <f>AD40+ATM_Conf!$C$5*(J40-I40)/(J228*AD228)</f>
        <v>#DIV/0!</v>
      </c>
      <c r="AE41" s="53" t="e">
        <f>AE40+ATM_Conf!$C$5*(K40-J40)/(K228*AE228)</f>
        <v>#DIV/0!</v>
      </c>
      <c r="AF41" s="53" t="e">
        <f>AF40+ATM_Conf!$C$5*(L40)/(L228*AF228)</f>
        <v>#DIV/0!</v>
      </c>
      <c r="AG41" s="53" t="e">
        <f>AG40+ATM_Conf!$C$5*(M40-L40)/(M228*AG228)</f>
        <v>#DIV/0!</v>
      </c>
      <c r="AH41" s="53" t="e">
        <f>AH40+ATM_Conf!$C$5*(N40-M40)/(N228*AH228)</f>
        <v>#DIV/0!</v>
      </c>
      <c r="AI41" s="53" t="e">
        <f>AI40+ATM_Conf!$C$5*(O40-N40)/(O228*AI228)</f>
        <v>#DIV/0!</v>
      </c>
      <c r="AJ41" s="53" t="e">
        <f>AJ40+ATM_Conf!$C$5*(P40-O40)/(P228*AJ228)</f>
        <v>#DIV/0!</v>
      </c>
      <c r="AK41" s="53" t="e">
        <f>AK40+ATM_Conf!$C$5*(Q40-P40)/(Q228*AK228)</f>
        <v>#DIV/0!</v>
      </c>
      <c r="AL41" s="53" t="e">
        <f>AL40+ATM_Conf!$C$5*(R40-Q40)/(R228*AL228)</f>
        <v>#DIV/0!</v>
      </c>
      <c r="AM41" s="53" t="e">
        <f>AM40+ATM_Conf!$C$5*(S40-R40)/(S228*AM228)</f>
        <v>#DIV/0!</v>
      </c>
      <c r="AN41" s="53" t="e">
        <f>AN40+ATM_Conf!$C$5*(T40-S40)/(T228*AN228)</f>
        <v>#DIV/0!</v>
      </c>
      <c r="AO41" s="53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43">
        <f t="shared" ref="DR41:DR50" si="32">DR$39</f>
        <v>0</v>
      </c>
      <c r="DS41" s="43">
        <f t="shared" si="31"/>
        <v>0</v>
      </c>
      <c r="DT41" s="43">
        <f t="shared" si="31"/>
        <v>0</v>
      </c>
      <c r="DU41" s="43">
        <f t="shared" si="31"/>
        <v>0</v>
      </c>
      <c r="DV41" s="43">
        <f t="shared" si="31"/>
        <v>0</v>
      </c>
      <c r="DW41" s="43">
        <f t="shared" si="31"/>
        <v>0</v>
      </c>
      <c r="DX41" s="43">
        <f t="shared" si="31"/>
        <v>0</v>
      </c>
      <c r="DY41" s="43">
        <f t="shared" si="31"/>
        <v>0</v>
      </c>
      <c r="DZ41" s="43">
        <f t="shared" si="31"/>
        <v>0</v>
      </c>
      <c r="EA41" s="43">
        <f t="shared" si="31"/>
        <v>0</v>
      </c>
      <c r="EB41" s="43">
        <f t="shared" si="31"/>
        <v>0</v>
      </c>
      <c r="EC41" s="43">
        <f t="shared" si="31"/>
        <v>0</v>
      </c>
      <c r="ED41" s="43">
        <f t="shared" si="31"/>
        <v>0</v>
      </c>
      <c r="EE41" s="43">
        <f t="shared" si="31"/>
        <v>0</v>
      </c>
      <c r="EF41" s="43">
        <f t="shared" si="31"/>
        <v>0</v>
      </c>
      <c r="EG41" s="43">
        <f t="shared" si="31"/>
        <v>0</v>
      </c>
      <c r="EH41" s="43">
        <f t="shared" si="31"/>
        <v>0</v>
      </c>
      <c r="EI41" s="43">
        <f t="shared" si="31"/>
        <v>0</v>
      </c>
      <c r="EJ41" s="43">
        <f t="shared" si="31"/>
        <v>0</v>
      </c>
      <c r="EK41" s="43">
        <f t="shared" si="31"/>
        <v>0</v>
      </c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</row>
    <row r="42" spans="1:161" ht="14.25" x14ac:dyDescent="0.15">
      <c r="A42" s="46"/>
      <c r="B42" s="43" t="e">
        <f t="shared" si="2"/>
        <v>#DIV/0!</v>
      </c>
      <c r="C42" s="43" t="e">
        <f t="shared" si="3"/>
        <v>#DIV/0!</v>
      </c>
      <c r="D42" s="43" t="e">
        <f t="shared" si="4"/>
        <v>#DIV/0!</v>
      </c>
      <c r="E42" s="43" t="e">
        <f t="shared" si="5"/>
        <v>#DIV/0!</v>
      </c>
      <c r="F42" s="43" t="e">
        <f t="shared" si="6"/>
        <v>#DIV/0!</v>
      </c>
      <c r="G42" s="43" t="e">
        <f t="shared" si="7"/>
        <v>#DIV/0!</v>
      </c>
      <c r="H42" s="43" t="e">
        <f t="shared" si="8"/>
        <v>#DIV/0!</v>
      </c>
      <c r="I42" s="43" t="e">
        <f t="shared" si="9"/>
        <v>#DIV/0!</v>
      </c>
      <c r="J42" s="43" t="e">
        <f t="shared" si="10"/>
        <v>#DIV/0!</v>
      </c>
      <c r="K42" s="43" t="e">
        <f t="shared" si="11"/>
        <v>#DIV/0!</v>
      </c>
      <c r="L42" s="43" t="e">
        <f t="shared" si="12"/>
        <v>#DIV/0!</v>
      </c>
      <c r="M42" s="43" t="e">
        <f t="shared" si="13"/>
        <v>#DIV/0!</v>
      </c>
      <c r="N42" s="43" t="e">
        <f t="shared" si="14"/>
        <v>#DIV/0!</v>
      </c>
      <c r="O42" s="43" t="e">
        <f t="shared" si="15"/>
        <v>#DIV/0!</v>
      </c>
      <c r="P42" s="43" t="e">
        <f t="shared" si="16"/>
        <v>#DIV/0!</v>
      </c>
      <c r="Q42" s="43" t="e">
        <f t="shared" si="17"/>
        <v>#DIV/0!</v>
      </c>
      <c r="R42" s="43" t="e">
        <f t="shared" si="18"/>
        <v>#DIV/0!</v>
      </c>
      <c r="S42" s="43" t="e">
        <f t="shared" si="19"/>
        <v>#DIV/0!</v>
      </c>
      <c r="T42" s="43" t="e">
        <f t="shared" si="20"/>
        <v>#DIV/0!</v>
      </c>
      <c r="U42" s="43" t="e">
        <f t="shared" si="21"/>
        <v>#DIV/0!</v>
      </c>
      <c r="V42" s="53" t="e">
        <f>V41+ATM_Conf!$C$5*(B41)/(B229*V229)</f>
        <v>#DIV/0!</v>
      </c>
      <c r="W42" s="53" t="e">
        <f>W41+ATM_Conf!$C$5*(C41-B41)/(C229*W229)</f>
        <v>#DIV/0!</v>
      </c>
      <c r="X42" s="53" t="e">
        <f>X41+ATM_Conf!$C$5*(D41-C41)/(D229*X229)</f>
        <v>#DIV/0!</v>
      </c>
      <c r="Y42" s="53" t="e">
        <f>Y41+ATM_Conf!$C$5*(E41-D41)/(E229*Y229)</f>
        <v>#DIV/0!</v>
      </c>
      <c r="Z42" s="53" t="e">
        <f>Z41+ATM_Conf!$C$5*(F41-E41)/(F229*Z229)</f>
        <v>#DIV/0!</v>
      </c>
      <c r="AA42" s="53" t="e">
        <f>AA41+ATM_Conf!$C$5*(G41-F41)/(G229*AA229)</f>
        <v>#DIV/0!</v>
      </c>
      <c r="AB42" s="53" t="e">
        <f>AB41+ATM_Conf!$C$5*(H41-G41)/(H229*AB229)</f>
        <v>#DIV/0!</v>
      </c>
      <c r="AC42" s="53" t="e">
        <f>AC41+ATM_Conf!$C$5*(I41-H41)/(I229*AC229)</f>
        <v>#DIV/0!</v>
      </c>
      <c r="AD42" s="53" t="e">
        <f>AD41+ATM_Conf!$C$5*(J41-I41)/(J229*AD229)</f>
        <v>#DIV/0!</v>
      </c>
      <c r="AE42" s="53" t="e">
        <f>AE41+ATM_Conf!$C$5*(K41-J41)/(K229*AE229)</f>
        <v>#DIV/0!</v>
      </c>
      <c r="AF42" s="53" t="e">
        <f>AF41+ATM_Conf!$C$5*(L41)/(L229*AF229)</f>
        <v>#DIV/0!</v>
      </c>
      <c r="AG42" s="53" t="e">
        <f>AG41+ATM_Conf!$C$5*(M41-L41)/(M229*AG229)</f>
        <v>#DIV/0!</v>
      </c>
      <c r="AH42" s="53" t="e">
        <f>AH41+ATM_Conf!$C$5*(N41-M41)/(N229*AH229)</f>
        <v>#DIV/0!</v>
      </c>
      <c r="AI42" s="53" t="e">
        <f>AI41+ATM_Conf!$C$5*(O41-N41)/(O229*AI229)</f>
        <v>#DIV/0!</v>
      </c>
      <c r="AJ42" s="53" t="e">
        <f>AJ41+ATM_Conf!$C$5*(P41-O41)/(P229*AJ229)</f>
        <v>#DIV/0!</v>
      </c>
      <c r="AK42" s="53" t="e">
        <f>AK41+ATM_Conf!$C$5*(Q41-P41)/(Q229*AK229)</f>
        <v>#DIV/0!</v>
      </c>
      <c r="AL42" s="53" t="e">
        <f>AL41+ATM_Conf!$C$5*(R41-Q41)/(R229*AL229)</f>
        <v>#DIV/0!</v>
      </c>
      <c r="AM42" s="53" t="e">
        <f>AM41+ATM_Conf!$C$5*(S41-R41)/(S229*AM229)</f>
        <v>#DIV/0!</v>
      </c>
      <c r="AN42" s="53" t="e">
        <f>AN41+ATM_Conf!$C$5*(T41-S41)/(T229*AN229)</f>
        <v>#DIV/0!</v>
      </c>
      <c r="AO42" s="53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43">
        <f t="shared" si="32"/>
        <v>0</v>
      </c>
      <c r="DS42" s="43">
        <f t="shared" si="31"/>
        <v>0</v>
      </c>
      <c r="DT42" s="43">
        <f t="shared" si="31"/>
        <v>0</v>
      </c>
      <c r="DU42" s="43">
        <f t="shared" si="31"/>
        <v>0</v>
      </c>
      <c r="DV42" s="43">
        <f t="shared" si="31"/>
        <v>0</v>
      </c>
      <c r="DW42" s="43">
        <f t="shared" si="31"/>
        <v>0</v>
      </c>
      <c r="DX42" s="43">
        <f t="shared" si="31"/>
        <v>0</v>
      </c>
      <c r="DY42" s="43">
        <f t="shared" si="31"/>
        <v>0</v>
      </c>
      <c r="DZ42" s="43">
        <f t="shared" si="31"/>
        <v>0</v>
      </c>
      <c r="EA42" s="43">
        <f t="shared" si="31"/>
        <v>0</v>
      </c>
      <c r="EB42" s="43">
        <f t="shared" si="31"/>
        <v>0</v>
      </c>
      <c r="EC42" s="43">
        <f t="shared" si="31"/>
        <v>0</v>
      </c>
      <c r="ED42" s="43">
        <f t="shared" si="31"/>
        <v>0</v>
      </c>
      <c r="EE42" s="43">
        <f t="shared" si="31"/>
        <v>0</v>
      </c>
      <c r="EF42" s="43">
        <f t="shared" si="31"/>
        <v>0</v>
      </c>
      <c r="EG42" s="43">
        <f t="shared" si="31"/>
        <v>0</v>
      </c>
      <c r="EH42" s="43">
        <f t="shared" si="31"/>
        <v>0</v>
      </c>
      <c r="EI42" s="43">
        <f t="shared" si="31"/>
        <v>0</v>
      </c>
      <c r="EJ42" s="43">
        <f t="shared" si="31"/>
        <v>0</v>
      </c>
      <c r="EK42" s="43">
        <f t="shared" si="31"/>
        <v>0</v>
      </c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</row>
    <row r="43" spans="1:161" ht="14.25" x14ac:dyDescent="0.15">
      <c r="A43" s="46"/>
      <c r="B43" s="43" t="e">
        <f t="shared" si="2"/>
        <v>#DIV/0!</v>
      </c>
      <c r="C43" s="43" t="e">
        <f t="shared" si="3"/>
        <v>#DIV/0!</v>
      </c>
      <c r="D43" s="43" t="e">
        <f t="shared" si="4"/>
        <v>#DIV/0!</v>
      </c>
      <c r="E43" s="43" t="e">
        <f t="shared" si="5"/>
        <v>#DIV/0!</v>
      </c>
      <c r="F43" s="43" t="e">
        <f t="shared" si="6"/>
        <v>#DIV/0!</v>
      </c>
      <c r="G43" s="43" t="e">
        <f t="shared" si="7"/>
        <v>#DIV/0!</v>
      </c>
      <c r="H43" s="43" t="e">
        <f t="shared" si="8"/>
        <v>#DIV/0!</v>
      </c>
      <c r="I43" s="43" t="e">
        <f t="shared" si="9"/>
        <v>#DIV/0!</v>
      </c>
      <c r="J43" s="43" t="e">
        <f t="shared" si="10"/>
        <v>#DIV/0!</v>
      </c>
      <c r="K43" s="43" t="e">
        <f t="shared" si="11"/>
        <v>#DIV/0!</v>
      </c>
      <c r="L43" s="43" t="e">
        <f t="shared" si="12"/>
        <v>#DIV/0!</v>
      </c>
      <c r="M43" s="43" t="e">
        <f t="shared" si="13"/>
        <v>#DIV/0!</v>
      </c>
      <c r="N43" s="43" t="e">
        <f t="shared" si="14"/>
        <v>#DIV/0!</v>
      </c>
      <c r="O43" s="43" t="e">
        <f t="shared" si="15"/>
        <v>#DIV/0!</v>
      </c>
      <c r="P43" s="43" t="e">
        <f t="shared" si="16"/>
        <v>#DIV/0!</v>
      </c>
      <c r="Q43" s="43" t="e">
        <f t="shared" si="17"/>
        <v>#DIV/0!</v>
      </c>
      <c r="R43" s="43" t="e">
        <f t="shared" si="18"/>
        <v>#DIV/0!</v>
      </c>
      <c r="S43" s="43" t="e">
        <f t="shared" si="19"/>
        <v>#DIV/0!</v>
      </c>
      <c r="T43" s="43" t="e">
        <f t="shared" si="20"/>
        <v>#DIV/0!</v>
      </c>
      <c r="U43" s="43" t="e">
        <f t="shared" si="21"/>
        <v>#DIV/0!</v>
      </c>
      <c r="V43" s="53" t="e">
        <f>V42+ATM_Conf!$C$5*(B42)/(B230*V230)</f>
        <v>#DIV/0!</v>
      </c>
      <c r="W43" s="53" t="e">
        <f>W42+ATM_Conf!$C$5*(C42-B42)/(C230*W230)</f>
        <v>#DIV/0!</v>
      </c>
      <c r="X43" s="53" t="e">
        <f>X42+ATM_Conf!$C$5*(D42-C42)/(D230*X230)</f>
        <v>#DIV/0!</v>
      </c>
      <c r="Y43" s="53" t="e">
        <f>Y42+ATM_Conf!$C$5*(E42-D42)/(E230*Y230)</f>
        <v>#DIV/0!</v>
      </c>
      <c r="Z43" s="53" t="e">
        <f>Z42+ATM_Conf!$C$5*(F42-E42)/(F230*Z230)</f>
        <v>#DIV/0!</v>
      </c>
      <c r="AA43" s="53" t="e">
        <f>AA42+ATM_Conf!$C$5*(G42-F42)/(G230*AA230)</f>
        <v>#DIV/0!</v>
      </c>
      <c r="AB43" s="53" t="e">
        <f>AB42+ATM_Conf!$C$5*(H42-G42)/(H230*AB230)</f>
        <v>#DIV/0!</v>
      </c>
      <c r="AC43" s="53" t="e">
        <f>AC42+ATM_Conf!$C$5*(I42-H42)/(I230*AC230)</f>
        <v>#DIV/0!</v>
      </c>
      <c r="AD43" s="53" t="e">
        <f>AD42+ATM_Conf!$C$5*(J42-I42)/(J230*AD230)</f>
        <v>#DIV/0!</v>
      </c>
      <c r="AE43" s="53" t="e">
        <f>AE42+ATM_Conf!$C$5*(K42-J42)/(K230*AE230)</f>
        <v>#DIV/0!</v>
      </c>
      <c r="AF43" s="53" t="e">
        <f>AF42+ATM_Conf!$C$5*(L42)/(L230*AF230)</f>
        <v>#DIV/0!</v>
      </c>
      <c r="AG43" s="53" t="e">
        <f>AG42+ATM_Conf!$C$5*(M42-L42)/(M230*AG230)</f>
        <v>#DIV/0!</v>
      </c>
      <c r="AH43" s="53" t="e">
        <f>AH42+ATM_Conf!$C$5*(N42-M42)/(N230*AH230)</f>
        <v>#DIV/0!</v>
      </c>
      <c r="AI43" s="53" t="e">
        <f>AI42+ATM_Conf!$C$5*(O42-N42)/(O230*AI230)</f>
        <v>#DIV/0!</v>
      </c>
      <c r="AJ43" s="53" t="e">
        <f>AJ42+ATM_Conf!$C$5*(P42-O42)/(P230*AJ230)</f>
        <v>#DIV/0!</v>
      </c>
      <c r="AK43" s="53" t="e">
        <f>AK42+ATM_Conf!$C$5*(Q42-P42)/(Q230*AK230)</f>
        <v>#DIV/0!</v>
      </c>
      <c r="AL43" s="53" t="e">
        <f>AL42+ATM_Conf!$C$5*(R42-Q42)/(R230*AL230)</f>
        <v>#DIV/0!</v>
      </c>
      <c r="AM43" s="53" t="e">
        <f>AM42+ATM_Conf!$C$5*(S42-R42)/(S230*AM230)</f>
        <v>#DIV/0!</v>
      </c>
      <c r="AN43" s="53" t="e">
        <f>AN42+ATM_Conf!$C$5*(T42-S42)/(T230*AN230)</f>
        <v>#DIV/0!</v>
      </c>
      <c r="AO43" s="53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43">
        <f t="shared" si="32"/>
        <v>0</v>
      </c>
      <c r="DS43" s="43">
        <f t="shared" si="31"/>
        <v>0</v>
      </c>
      <c r="DT43" s="43">
        <f t="shared" si="31"/>
        <v>0</v>
      </c>
      <c r="DU43" s="43">
        <f t="shared" si="31"/>
        <v>0</v>
      </c>
      <c r="DV43" s="43">
        <f t="shared" si="31"/>
        <v>0</v>
      </c>
      <c r="DW43" s="43">
        <f t="shared" si="31"/>
        <v>0</v>
      </c>
      <c r="DX43" s="43">
        <f t="shared" si="31"/>
        <v>0</v>
      </c>
      <c r="DY43" s="43">
        <f t="shared" si="31"/>
        <v>0</v>
      </c>
      <c r="DZ43" s="43">
        <f t="shared" si="31"/>
        <v>0</v>
      </c>
      <c r="EA43" s="43">
        <f t="shared" si="31"/>
        <v>0</v>
      </c>
      <c r="EB43" s="43">
        <f t="shared" si="31"/>
        <v>0</v>
      </c>
      <c r="EC43" s="43">
        <f t="shared" si="31"/>
        <v>0</v>
      </c>
      <c r="ED43" s="43">
        <f t="shared" si="31"/>
        <v>0</v>
      </c>
      <c r="EE43" s="43">
        <f t="shared" si="31"/>
        <v>0</v>
      </c>
      <c r="EF43" s="43">
        <f t="shared" si="31"/>
        <v>0</v>
      </c>
      <c r="EG43" s="43">
        <f t="shared" si="31"/>
        <v>0</v>
      </c>
      <c r="EH43" s="43">
        <f t="shared" si="31"/>
        <v>0</v>
      </c>
      <c r="EI43" s="43">
        <f t="shared" si="31"/>
        <v>0</v>
      </c>
      <c r="EJ43" s="43">
        <f t="shared" si="31"/>
        <v>0</v>
      </c>
      <c r="EK43" s="43">
        <f t="shared" si="31"/>
        <v>0</v>
      </c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</row>
    <row r="44" spans="1:161" ht="14.25" x14ac:dyDescent="0.15">
      <c r="A44" s="46"/>
      <c r="B44" s="43" t="e">
        <f t="shared" si="2"/>
        <v>#DIV/0!</v>
      </c>
      <c r="C44" s="43" t="e">
        <f t="shared" si="3"/>
        <v>#DIV/0!</v>
      </c>
      <c r="D44" s="43" t="e">
        <f t="shared" si="4"/>
        <v>#DIV/0!</v>
      </c>
      <c r="E44" s="43" t="e">
        <f t="shared" si="5"/>
        <v>#DIV/0!</v>
      </c>
      <c r="F44" s="43" t="e">
        <f t="shared" si="6"/>
        <v>#DIV/0!</v>
      </c>
      <c r="G44" s="43" t="e">
        <f t="shared" si="7"/>
        <v>#DIV/0!</v>
      </c>
      <c r="H44" s="43" t="e">
        <f t="shared" si="8"/>
        <v>#DIV/0!</v>
      </c>
      <c r="I44" s="43" t="e">
        <f t="shared" si="9"/>
        <v>#DIV/0!</v>
      </c>
      <c r="J44" s="43" t="e">
        <f t="shared" si="10"/>
        <v>#DIV/0!</v>
      </c>
      <c r="K44" s="43" t="e">
        <f t="shared" si="11"/>
        <v>#DIV/0!</v>
      </c>
      <c r="L44" s="43" t="e">
        <f t="shared" si="12"/>
        <v>#DIV/0!</v>
      </c>
      <c r="M44" s="43" t="e">
        <f t="shared" si="13"/>
        <v>#DIV/0!</v>
      </c>
      <c r="N44" s="43" t="e">
        <f t="shared" si="14"/>
        <v>#DIV/0!</v>
      </c>
      <c r="O44" s="43" t="e">
        <f t="shared" si="15"/>
        <v>#DIV/0!</v>
      </c>
      <c r="P44" s="43" t="e">
        <f t="shared" si="16"/>
        <v>#DIV/0!</v>
      </c>
      <c r="Q44" s="43" t="e">
        <f t="shared" si="17"/>
        <v>#DIV/0!</v>
      </c>
      <c r="R44" s="43" t="e">
        <f t="shared" si="18"/>
        <v>#DIV/0!</v>
      </c>
      <c r="S44" s="43" t="e">
        <f t="shared" si="19"/>
        <v>#DIV/0!</v>
      </c>
      <c r="T44" s="43" t="e">
        <f t="shared" si="20"/>
        <v>#DIV/0!</v>
      </c>
      <c r="U44" s="43" t="e">
        <f t="shared" si="21"/>
        <v>#DIV/0!</v>
      </c>
      <c r="V44" s="53" t="e">
        <f>V43+ATM_Conf!$C$5*(B43)/(B231*V231)</f>
        <v>#DIV/0!</v>
      </c>
      <c r="W44" s="53" t="e">
        <f>W43+ATM_Conf!$C$5*(C43-B43)/(C231*W231)</f>
        <v>#DIV/0!</v>
      </c>
      <c r="X44" s="53" t="e">
        <f>X43+ATM_Conf!$C$5*(D43-C43)/(D231*X231)</f>
        <v>#DIV/0!</v>
      </c>
      <c r="Y44" s="53" t="e">
        <f>Y43+ATM_Conf!$C$5*(E43-D43)/(E231*Y231)</f>
        <v>#DIV/0!</v>
      </c>
      <c r="Z44" s="53" t="e">
        <f>Z43+ATM_Conf!$C$5*(F43-E43)/(F231*Z231)</f>
        <v>#DIV/0!</v>
      </c>
      <c r="AA44" s="53" t="e">
        <f>AA43+ATM_Conf!$C$5*(G43-F43)/(G231*AA231)</f>
        <v>#DIV/0!</v>
      </c>
      <c r="AB44" s="53" t="e">
        <f>AB43+ATM_Conf!$C$5*(H43-G43)/(H231*AB231)</f>
        <v>#DIV/0!</v>
      </c>
      <c r="AC44" s="53" t="e">
        <f>AC43+ATM_Conf!$C$5*(I43-H43)/(I231*AC231)</f>
        <v>#DIV/0!</v>
      </c>
      <c r="AD44" s="53" t="e">
        <f>AD43+ATM_Conf!$C$5*(J43-I43)/(J231*AD231)</f>
        <v>#DIV/0!</v>
      </c>
      <c r="AE44" s="53" t="e">
        <f>AE43+ATM_Conf!$C$5*(K43-J43)/(K231*AE231)</f>
        <v>#DIV/0!</v>
      </c>
      <c r="AF44" s="53" t="e">
        <f>AF43+ATM_Conf!$C$5*(L43)/(L231*AF231)</f>
        <v>#DIV/0!</v>
      </c>
      <c r="AG44" s="53" t="e">
        <f>AG43+ATM_Conf!$C$5*(M43-L43)/(M231*AG231)</f>
        <v>#DIV/0!</v>
      </c>
      <c r="AH44" s="53" t="e">
        <f>AH43+ATM_Conf!$C$5*(N43-M43)/(N231*AH231)</f>
        <v>#DIV/0!</v>
      </c>
      <c r="AI44" s="53" t="e">
        <f>AI43+ATM_Conf!$C$5*(O43-N43)/(O231*AI231)</f>
        <v>#DIV/0!</v>
      </c>
      <c r="AJ44" s="53" t="e">
        <f>AJ43+ATM_Conf!$C$5*(P43-O43)/(P231*AJ231)</f>
        <v>#DIV/0!</v>
      </c>
      <c r="AK44" s="53" t="e">
        <f>AK43+ATM_Conf!$C$5*(Q43-P43)/(Q231*AK231)</f>
        <v>#DIV/0!</v>
      </c>
      <c r="AL44" s="53" t="e">
        <f>AL43+ATM_Conf!$C$5*(R43-Q43)/(R231*AL231)</f>
        <v>#DIV/0!</v>
      </c>
      <c r="AM44" s="53" t="e">
        <f>AM43+ATM_Conf!$C$5*(S43-R43)/(S231*AM231)</f>
        <v>#DIV/0!</v>
      </c>
      <c r="AN44" s="53" t="e">
        <f>AN43+ATM_Conf!$C$5*(T43-S43)/(T231*AN231)</f>
        <v>#DIV/0!</v>
      </c>
      <c r="AO44" s="53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43">
        <f t="shared" si="32"/>
        <v>0</v>
      </c>
      <c r="DS44" s="43">
        <f t="shared" si="31"/>
        <v>0</v>
      </c>
      <c r="DT44" s="43">
        <f t="shared" si="31"/>
        <v>0</v>
      </c>
      <c r="DU44" s="43">
        <f t="shared" si="31"/>
        <v>0</v>
      </c>
      <c r="DV44" s="43">
        <f t="shared" si="31"/>
        <v>0</v>
      </c>
      <c r="DW44" s="43">
        <f t="shared" si="31"/>
        <v>0</v>
      </c>
      <c r="DX44" s="43">
        <f t="shared" si="31"/>
        <v>0</v>
      </c>
      <c r="DY44" s="43">
        <f t="shared" si="31"/>
        <v>0</v>
      </c>
      <c r="DZ44" s="43">
        <f t="shared" si="31"/>
        <v>0</v>
      </c>
      <c r="EA44" s="43">
        <f t="shared" si="31"/>
        <v>0</v>
      </c>
      <c r="EB44" s="43">
        <f t="shared" si="31"/>
        <v>0</v>
      </c>
      <c r="EC44" s="43">
        <f t="shared" si="31"/>
        <v>0</v>
      </c>
      <c r="ED44" s="43">
        <f t="shared" si="31"/>
        <v>0</v>
      </c>
      <c r="EE44" s="43">
        <f t="shared" si="31"/>
        <v>0</v>
      </c>
      <c r="EF44" s="43">
        <f t="shared" si="31"/>
        <v>0</v>
      </c>
      <c r="EG44" s="43">
        <f t="shared" si="31"/>
        <v>0</v>
      </c>
      <c r="EH44" s="43">
        <f t="shared" si="31"/>
        <v>0</v>
      </c>
      <c r="EI44" s="43">
        <f t="shared" si="31"/>
        <v>0</v>
      </c>
      <c r="EJ44" s="43">
        <f t="shared" si="31"/>
        <v>0</v>
      </c>
      <c r="EK44" s="43">
        <f t="shared" si="31"/>
        <v>0</v>
      </c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</row>
    <row r="45" spans="1:161" ht="14.25" x14ac:dyDescent="0.15">
      <c r="A45" s="46"/>
      <c r="B45" s="43" t="e">
        <f t="shared" si="2"/>
        <v>#DIV/0!</v>
      </c>
      <c r="C45" s="43" t="e">
        <f t="shared" si="3"/>
        <v>#DIV/0!</v>
      </c>
      <c r="D45" s="43" t="e">
        <f t="shared" si="4"/>
        <v>#DIV/0!</v>
      </c>
      <c r="E45" s="43" t="e">
        <f t="shared" si="5"/>
        <v>#DIV/0!</v>
      </c>
      <c r="F45" s="43" t="e">
        <f t="shared" si="6"/>
        <v>#DIV/0!</v>
      </c>
      <c r="G45" s="43" t="e">
        <f t="shared" si="7"/>
        <v>#DIV/0!</v>
      </c>
      <c r="H45" s="43" t="e">
        <f t="shared" si="8"/>
        <v>#DIV/0!</v>
      </c>
      <c r="I45" s="43" t="e">
        <f t="shared" si="9"/>
        <v>#DIV/0!</v>
      </c>
      <c r="J45" s="43" t="e">
        <f t="shared" si="10"/>
        <v>#DIV/0!</v>
      </c>
      <c r="K45" s="43" t="e">
        <f t="shared" si="11"/>
        <v>#DIV/0!</v>
      </c>
      <c r="L45" s="43" t="e">
        <f t="shared" si="12"/>
        <v>#DIV/0!</v>
      </c>
      <c r="M45" s="43" t="e">
        <f t="shared" si="13"/>
        <v>#DIV/0!</v>
      </c>
      <c r="N45" s="43" t="e">
        <f t="shared" si="14"/>
        <v>#DIV/0!</v>
      </c>
      <c r="O45" s="43" t="e">
        <f t="shared" si="15"/>
        <v>#DIV/0!</v>
      </c>
      <c r="P45" s="43" t="e">
        <f t="shared" si="16"/>
        <v>#DIV/0!</v>
      </c>
      <c r="Q45" s="43" t="e">
        <f t="shared" si="17"/>
        <v>#DIV/0!</v>
      </c>
      <c r="R45" s="43" t="e">
        <f t="shared" si="18"/>
        <v>#DIV/0!</v>
      </c>
      <c r="S45" s="43" t="e">
        <f t="shared" si="19"/>
        <v>#DIV/0!</v>
      </c>
      <c r="T45" s="43" t="e">
        <f t="shared" si="20"/>
        <v>#DIV/0!</v>
      </c>
      <c r="U45" s="43" t="e">
        <f t="shared" si="21"/>
        <v>#DIV/0!</v>
      </c>
      <c r="V45" s="53" t="e">
        <f>V44+ATM_Conf!$C$5*(B44)/(B232*V232)</f>
        <v>#DIV/0!</v>
      </c>
      <c r="W45" s="53" t="e">
        <f>W44+ATM_Conf!$C$5*(C44-B44)/(C232*W232)</f>
        <v>#DIV/0!</v>
      </c>
      <c r="X45" s="53" t="e">
        <f>X44+ATM_Conf!$C$5*(D44-C44)/(D232*X232)</f>
        <v>#DIV/0!</v>
      </c>
      <c r="Y45" s="53" t="e">
        <f>Y44+ATM_Conf!$C$5*(E44-D44)/(E232*Y232)</f>
        <v>#DIV/0!</v>
      </c>
      <c r="Z45" s="53" t="e">
        <f>Z44+ATM_Conf!$C$5*(F44-E44)/(F232*Z232)</f>
        <v>#DIV/0!</v>
      </c>
      <c r="AA45" s="53" t="e">
        <f>AA44+ATM_Conf!$C$5*(G44-F44)/(G232*AA232)</f>
        <v>#DIV/0!</v>
      </c>
      <c r="AB45" s="53" t="e">
        <f>AB44+ATM_Conf!$C$5*(H44-G44)/(H232*AB232)</f>
        <v>#DIV/0!</v>
      </c>
      <c r="AC45" s="53" t="e">
        <f>AC44+ATM_Conf!$C$5*(I44-H44)/(I232*AC232)</f>
        <v>#DIV/0!</v>
      </c>
      <c r="AD45" s="53" t="e">
        <f>AD44+ATM_Conf!$C$5*(J44-I44)/(J232*AD232)</f>
        <v>#DIV/0!</v>
      </c>
      <c r="AE45" s="53" t="e">
        <f>AE44+ATM_Conf!$C$5*(K44-J44)/(K232*AE232)</f>
        <v>#DIV/0!</v>
      </c>
      <c r="AF45" s="53" t="e">
        <f>AF44+ATM_Conf!$C$5*(L44)/(L232*AF232)</f>
        <v>#DIV/0!</v>
      </c>
      <c r="AG45" s="53" t="e">
        <f>AG44+ATM_Conf!$C$5*(M44-L44)/(M232*AG232)</f>
        <v>#DIV/0!</v>
      </c>
      <c r="AH45" s="53" t="e">
        <f>AH44+ATM_Conf!$C$5*(N44-M44)/(N232*AH232)</f>
        <v>#DIV/0!</v>
      </c>
      <c r="AI45" s="53" t="e">
        <f>AI44+ATM_Conf!$C$5*(O44-N44)/(O232*AI232)</f>
        <v>#DIV/0!</v>
      </c>
      <c r="AJ45" s="53" t="e">
        <f>AJ44+ATM_Conf!$C$5*(P44-O44)/(P232*AJ232)</f>
        <v>#DIV/0!</v>
      </c>
      <c r="AK45" s="53" t="e">
        <f>AK44+ATM_Conf!$C$5*(Q44-P44)/(Q232*AK232)</f>
        <v>#DIV/0!</v>
      </c>
      <c r="AL45" s="53" t="e">
        <f>AL44+ATM_Conf!$C$5*(R44-Q44)/(R232*AL232)</f>
        <v>#DIV/0!</v>
      </c>
      <c r="AM45" s="53" t="e">
        <f>AM44+ATM_Conf!$C$5*(S44-R44)/(S232*AM232)</f>
        <v>#DIV/0!</v>
      </c>
      <c r="AN45" s="53" t="e">
        <f>AN44+ATM_Conf!$C$5*(T44-S44)/(T232*AN232)</f>
        <v>#DIV/0!</v>
      </c>
      <c r="AO45" s="53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43">
        <f t="shared" si="32"/>
        <v>0</v>
      </c>
      <c r="DS45" s="43">
        <f t="shared" si="31"/>
        <v>0</v>
      </c>
      <c r="DT45" s="43">
        <f t="shared" si="31"/>
        <v>0</v>
      </c>
      <c r="DU45" s="43">
        <f t="shared" si="31"/>
        <v>0</v>
      </c>
      <c r="DV45" s="43">
        <f t="shared" si="31"/>
        <v>0</v>
      </c>
      <c r="DW45" s="43">
        <f t="shared" si="31"/>
        <v>0</v>
      </c>
      <c r="DX45" s="43">
        <f t="shared" si="31"/>
        <v>0</v>
      </c>
      <c r="DY45" s="43">
        <f t="shared" si="31"/>
        <v>0</v>
      </c>
      <c r="DZ45" s="43">
        <f t="shared" si="31"/>
        <v>0</v>
      </c>
      <c r="EA45" s="43">
        <f t="shared" si="31"/>
        <v>0</v>
      </c>
      <c r="EB45" s="43">
        <f t="shared" si="31"/>
        <v>0</v>
      </c>
      <c r="EC45" s="43">
        <f t="shared" si="31"/>
        <v>0</v>
      </c>
      <c r="ED45" s="43">
        <f t="shared" si="31"/>
        <v>0</v>
      </c>
      <c r="EE45" s="43">
        <f t="shared" si="31"/>
        <v>0</v>
      </c>
      <c r="EF45" s="43">
        <f t="shared" si="31"/>
        <v>0</v>
      </c>
      <c r="EG45" s="43">
        <f t="shared" si="31"/>
        <v>0</v>
      </c>
      <c r="EH45" s="43">
        <f t="shared" si="31"/>
        <v>0</v>
      </c>
      <c r="EI45" s="43">
        <f t="shared" si="31"/>
        <v>0</v>
      </c>
      <c r="EJ45" s="43">
        <f t="shared" si="31"/>
        <v>0</v>
      </c>
      <c r="EK45" s="43">
        <f t="shared" si="31"/>
        <v>0</v>
      </c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</row>
    <row r="46" spans="1:161" ht="14.25" x14ac:dyDescent="0.15">
      <c r="A46" s="46"/>
      <c r="B46" s="43" t="e">
        <f t="shared" si="2"/>
        <v>#DIV/0!</v>
      </c>
      <c r="C46" s="43" t="e">
        <f t="shared" si="3"/>
        <v>#DIV/0!</v>
      </c>
      <c r="D46" s="43" t="e">
        <f t="shared" si="4"/>
        <v>#DIV/0!</v>
      </c>
      <c r="E46" s="43" t="e">
        <f t="shared" si="5"/>
        <v>#DIV/0!</v>
      </c>
      <c r="F46" s="43" t="e">
        <f t="shared" si="6"/>
        <v>#DIV/0!</v>
      </c>
      <c r="G46" s="43" t="e">
        <f t="shared" si="7"/>
        <v>#DIV/0!</v>
      </c>
      <c r="H46" s="43" t="e">
        <f t="shared" si="8"/>
        <v>#DIV/0!</v>
      </c>
      <c r="I46" s="43" t="e">
        <f t="shared" si="9"/>
        <v>#DIV/0!</v>
      </c>
      <c r="J46" s="43" t="e">
        <f t="shared" si="10"/>
        <v>#DIV/0!</v>
      </c>
      <c r="K46" s="43" t="e">
        <f t="shared" si="11"/>
        <v>#DIV/0!</v>
      </c>
      <c r="L46" s="43" t="e">
        <f t="shared" si="12"/>
        <v>#DIV/0!</v>
      </c>
      <c r="M46" s="43" t="e">
        <f t="shared" si="13"/>
        <v>#DIV/0!</v>
      </c>
      <c r="N46" s="43" t="e">
        <f t="shared" si="14"/>
        <v>#DIV/0!</v>
      </c>
      <c r="O46" s="43" t="e">
        <f t="shared" si="15"/>
        <v>#DIV/0!</v>
      </c>
      <c r="P46" s="43" t="e">
        <f t="shared" si="16"/>
        <v>#DIV/0!</v>
      </c>
      <c r="Q46" s="43" t="e">
        <f t="shared" si="17"/>
        <v>#DIV/0!</v>
      </c>
      <c r="R46" s="43" t="e">
        <f t="shared" si="18"/>
        <v>#DIV/0!</v>
      </c>
      <c r="S46" s="43" t="e">
        <f t="shared" si="19"/>
        <v>#DIV/0!</v>
      </c>
      <c r="T46" s="43" t="e">
        <f t="shared" si="20"/>
        <v>#DIV/0!</v>
      </c>
      <c r="U46" s="43" t="e">
        <f t="shared" si="21"/>
        <v>#DIV/0!</v>
      </c>
      <c r="V46" s="53" t="e">
        <f>V45+ATM_Conf!$C$5*(B45)/(B233*V233)</f>
        <v>#DIV/0!</v>
      </c>
      <c r="W46" s="53" t="e">
        <f>W45+ATM_Conf!$C$5*(C45-B45)/(C233*W233)</f>
        <v>#DIV/0!</v>
      </c>
      <c r="X46" s="53" t="e">
        <f>X45+ATM_Conf!$C$5*(D45-C45)/(D233*X233)</f>
        <v>#DIV/0!</v>
      </c>
      <c r="Y46" s="53" t="e">
        <f>Y45+ATM_Conf!$C$5*(E45-D45)/(E233*Y233)</f>
        <v>#DIV/0!</v>
      </c>
      <c r="Z46" s="53" t="e">
        <f>Z45+ATM_Conf!$C$5*(F45-E45)/(F233*Z233)</f>
        <v>#DIV/0!</v>
      </c>
      <c r="AA46" s="53" t="e">
        <f>AA45+ATM_Conf!$C$5*(G45-F45)/(G233*AA233)</f>
        <v>#DIV/0!</v>
      </c>
      <c r="AB46" s="53" t="e">
        <f>AB45+ATM_Conf!$C$5*(H45-G45)/(H233*AB233)</f>
        <v>#DIV/0!</v>
      </c>
      <c r="AC46" s="53" t="e">
        <f>AC45+ATM_Conf!$C$5*(I45-H45)/(I233*AC233)</f>
        <v>#DIV/0!</v>
      </c>
      <c r="AD46" s="53" t="e">
        <f>AD45+ATM_Conf!$C$5*(J45-I45)/(J233*AD233)</f>
        <v>#DIV/0!</v>
      </c>
      <c r="AE46" s="53" t="e">
        <f>AE45+ATM_Conf!$C$5*(K45-J45)/(K233*AE233)</f>
        <v>#DIV/0!</v>
      </c>
      <c r="AF46" s="53" t="e">
        <f>AF45+ATM_Conf!$C$5*(L45)/(L233*AF233)</f>
        <v>#DIV/0!</v>
      </c>
      <c r="AG46" s="53" t="e">
        <f>AG45+ATM_Conf!$C$5*(M45-L45)/(M233*AG233)</f>
        <v>#DIV/0!</v>
      </c>
      <c r="AH46" s="53" t="e">
        <f>AH45+ATM_Conf!$C$5*(N45-M45)/(N233*AH233)</f>
        <v>#DIV/0!</v>
      </c>
      <c r="AI46" s="53" t="e">
        <f>AI45+ATM_Conf!$C$5*(O45-N45)/(O233*AI233)</f>
        <v>#DIV/0!</v>
      </c>
      <c r="AJ46" s="53" t="e">
        <f>AJ45+ATM_Conf!$C$5*(P45-O45)/(P233*AJ233)</f>
        <v>#DIV/0!</v>
      </c>
      <c r="AK46" s="53" t="e">
        <f>AK45+ATM_Conf!$C$5*(Q45-P45)/(Q233*AK233)</f>
        <v>#DIV/0!</v>
      </c>
      <c r="AL46" s="53" t="e">
        <f>AL45+ATM_Conf!$C$5*(R45-Q45)/(R233*AL233)</f>
        <v>#DIV/0!</v>
      </c>
      <c r="AM46" s="53" t="e">
        <f>AM45+ATM_Conf!$C$5*(S45-R45)/(S233*AM233)</f>
        <v>#DIV/0!</v>
      </c>
      <c r="AN46" s="53" t="e">
        <f>AN45+ATM_Conf!$C$5*(T45-S45)/(T233*AN233)</f>
        <v>#DIV/0!</v>
      </c>
      <c r="AO46" s="53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43">
        <f t="shared" si="32"/>
        <v>0</v>
      </c>
      <c r="DS46" s="43">
        <f t="shared" si="31"/>
        <v>0</v>
      </c>
      <c r="DT46" s="43">
        <f t="shared" si="31"/>
        <v>0</v>
      </c>
      <c r="DU46" s="43">
        <f t="shared" si="31"/>
        <v>0</v>
      </c>
      <c r="DV46" s="43">
        <f t="shared" si="31"/>
        <v>0</v>
      </c>
      <c r="DW46" s="43">
        <f t="shared" si="31"/>
        <v>0</v>
      </c>
      <c r="DX46" s="43">
        <f t="shared" si="31"/>
        <v>0</v>
      </c>
      <c r="DY46" s="43">
        <f t="shared" si="31"/>
        <v>0</v>
      </c>
      <c r="DZ46" s="43">
        <f t="shared" si="31"/>
        <v>0</v>
      </c>
      <c r="EA46" s="43">
        <f t="shared" si="31"/>
        <v>0</v>
      </c>
      <c r="EB46" s="43">
        <f t="shared" si="31"/>
        <v>0</v>
      </c>
      <c r="EC46" s="43">
        <f t="shared" si="31"/>
        <v>0</v>
      </c>
      <c r="ED46" s="43">
        <f t="shared" si="31"/>
        <v>0</v>
      </c>
      <c r="EE46" s="43">
        <f t="shared" si="31"/>
        <v>0</v>
      </c>
      <c r="EF46" s="43">
        <f t="shared" si="31"/>
        <v>0</v>
      </c>
      <c r="EG46" s="43">
        <f t="shared" si="31"/>
        <v>0</v>
      </c>
      <c r="EH46" s="43">
        <f t="shared" si="31"/>
        <v>0</v>
      </c>
      <c r="EI46" s="43">
        <f t="shared" si="31"/>
        <v>0</v>
      </c>
      <c r="EJ46" s="43">
        <f t="shared" si="31"/>
        <v>0</v>
      </c>
      <c r="EK46" s="43">
        <f t="shared" si="31"/>
        <v>0</v>
      </c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</row>
    <row r="47" spans="1:161" ht="14.25" x14ac:dyDescent="0.15">
      <c r="A47" s="46"/>
      <c r="B47" s="43" t="e">
        <f t="shared" si="2"/>
        <v>#DIV/0!</v>
      </c>
      <c r="C47" s="43" t="e">
        <f t="shared" si="3"/>
        <v>#DIV/0!</v>
      </c>
      <c r="D47" s="43" t="e">
        <f t="shared" si="4"/>
        <v>#DIV/0!</v>
      </c>
      <c r="E47" s="43" t="e">
        <f t="shared" si="5"/>
        <v>#DIV/0!</v>
      </c>
      <c r="F47" s="43" t="e">
        <f t="shared" si="6"/>
        <v>#DIV/0!</v>
      </c>
      <c r="G47" s="43" t="e">
        <f t="shared" si="7"/>
        <v>#DIV/0!</v>
      </c>
      <c r="H47" s="43" t="e">
        <f t="shared" si="8"/>
        <v>#DIV/0!</v>
      </c>
      <c r="I47" s="43" t="e">
        <f t="shared" si="9"/>
        <v>#DIV/0!</v>
      </c>
      <c r="J47" s="43" t="e">
        <f t="shared" si="10"/>
        <v>#DIV/0!</v>
      </c>
      <c r="K47" s="43" t="e">
        <f t="shared" si="11"/>
        <v>#DIV/0!</v>
      </c>
      <c r="L47" s="43" t="e">
        <f t="shared" si="12"/>
        <v>#DIV/0!</v>
      </c>
      <c r="M47" s="43" t="e">
        <f t="shared" si="13"/>
        <v>#DIV/0!</v>
      </c>
      <c r="N47" s="43" t="e">
        <f t="shared" si="14"/>
        <v>#DIV/0!</v>
      </c>
      <c r="O47" s="43" t="e">
        <f t="shared" si="15"/>
        <v>#DIV/0!</v>
      </c>
      <c r="P47" s="43" t="e">
        <f t="shared" si="16"/>
        <v>#DIV/0!</v>
      </c>
      <c r="Q47" s="43" t="e">
        <f t="shared" si="17"/>
        <v>#DIV/0!</v>
      </c>
      <c r="R47" s="43" t="e">
        <f t="shared" si="18"/>
        <v>#DIV/0!</v>
      </c>
      <c r="S47" s="43" t="e">
        <f t="shared" si="19"/>
        <v>#DIV/0!</v>
      </c>
      <c r="T47" s="43" t="e">
        <f t="shared" si="20"/>
        <v>#DIV/0!</v>
      </c>
      <c r="U47" s="43" t="e">
        <f t="shared" si="21"/>
        <v>#DIV/0!</v>
      </c>
      <c r="V47" s="53" t="e">
        <f>V46+ATM_Conf!$C$5*(B46)/(B234*V234)</f>
        <v>#DIV/0!</v>
      </c>
      <c r="W47" s="53" t="e">
        <f>W46+ATM_Conf!$C$5*(C46-B46)/(C234*W234)</f>
        <v>#DIV/0!</v>
      </c>
      <c r="X47" s="53" t="e">
        <f>X46+ATM_Conf!$C$5*(D46-C46)/(D234*X234)</f>
        <v>#DIV/0!</v>
      </c>
      <c r="Y47" s="53" t="e">
        <f>Y46+ATM_Conf!$C$5*(E46-D46)/(E234*Y234)</f>
        <v>#DIV/0!</v>
      </c>
      <c r="Z47" s="53" t="e">
        <f>Z46+ATM_Conf!$C$5*(F46-E46)/(F234*Z234)</f>
        <v>#DIV/0!</v>
      </c>
      <c r="AA47" s="53" t="e">
        <f>AA46+ATM_Conf!$C$5*(G46-F46)/(G234*AA234)</f>
        <v>#DIV/0!</v>
      </c>
      <c r="AB47" s="53" t="e">
        <f>AB46+ATM_Conf!$C$5*(H46-G46)/(H234*AB234)</f>
        <v>#DIV/0!</v>
      </c>
      <c r="AC47" s="53" t="e">
        <f>AC46+ATM_Conf!$C$5*(I46-H46)/(I234*AC234)</f>
        <v>#DIV/0!</v>
      </c>
      <c r="AD47" s="53" t="e">
        <f>AD46+ATM_Conf!$C$5*(J46-I46)/(J234*AD234)</f>
        <v>#DIV/0!</v>
      </c>
      <c r="AE47" s="53" t="e">
        <f>AE46+ATM_Conf!$C$5*(K46-J46)/(K234*AE234)</f>
        <v>#DIV/0!</v>
      </c>
      <c r="AF47" s="53" t="e">
        <f>AF46+ATM_Conf!$C$5*(L46)/(L234*AF234)</f>
        <v>#DIV/0!</v>
      </c>
      <c r="AG47" s="53" t="e">
        <f>AG46+ATM_Conf!$C$5*(M46-L46)/(M234*AG234)</f>
        <v>#DIV/0!</v>
      </c>
      <c r="AH47" s="53" t="e">
        <f>AH46+ATM_Conf!$C$5*(N46-M46)/(N234*AH234)</f>
        <v>#DIV/0!</v>
      </c>
      <c r="AI47" s="53" t="e">
        <f>AI46+ATM_Conf!$C$5*(O46-N46)/(O234*AI234)</f>
        <v>#DIV/0!</v>
      </c>
      <c r="AJ47" s="53" t="e">
        <f>AJ46+ATM_Conf!$C$5*(P46-O46)/(P234*AJ234)</f>
        <v>#DIV/0!</v>
      </c>
      <c r="AK47" s="53" t="e">
        <f>AK46+ATM_Conf!$C$5*(Q46-P46)/(Q234*AK234)</f>
        <v>#DIV/0!</v>
      </c>
      <c r="AL47" s="53" t="e">
        <f>AL46+ATM_Conf!$C$5*(R46-Q46)/(R234*AL234)</f>
        <v>#DIV/0!</v>
      </c>
      <c r="AM47" s="53" t="e">
        <f>AM46+ATM_Conf!$C$5*(S46-R46)/(S234*AM234)</f>
        <v>#DIV/0!</v>
      </c>
      <c r="AN47" s="53" t="e">
        <f>AN46+ATM_Conf!$C$5*(T46-S46)/(T234*AN234)</f>
        <v>#DIV/0!</v>
      </c>
      <c r="AO47" s="53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43">
        <f t="shared" si="32"/>
        <v>0</v>
      </c>
      <c r="DS47" s="43">
        <f t="shared" si="31"/>
        <v>0</v>
      </c>
      <c r="DT47" s="43">
        <f t="shared" si="31"/>
        <v>0</v>
      </c>
      <c r="DU47" s="43">
        <f t="shared" si="31"/>
        <v>0</v>
      </c>
      <c r="DV47" s="43">
        <f t="shared" si="31"/>
        <v>0</v>
      </c>
      <c r="DW47" s="43">
        <f t="shared" si="31"/>
        <v>0</v>
      </c>
      <c r="DX47" s="43">
        <f t="shared" si="31"/>
        <v>0</v>
      </c>
      <c r="DY47" s="43">
        <f t="shared" si="31"/>
        <v>0</v>
      </c>
      <c r="DZ47" s="43">
        <f t="shared" si="31"/>
        <v>0</v>
      </c>
      <c r="EA47" s="43">
        <f t="shared" si="31"/>
        <v>0</v>
      </c>
      <c r="EB47" s="43">
        <f t="shared" si="31"/>
        <v>0</v>
      </c>
      <c r="EC47" s="43">
        <f t="shared" si="31"/>
        <v>0</v>
      </c>
      <c r="ED47" s="43">
        <f t="shared" si="31"/>
        <v>0</v>
      </c>
      <c r="EE47" s="43">
        <f t="shared" si="31"/>
        <v>0</v>
      </c>
      <c r="EF47" s="43">
        <f t="shared" si="31"/>
        <v>0</v>
      </c>
      <c r="EG47" s="43">
        <f t="shared" si="31"/>
        <v>0</v>
      </c>
      <c r="EH47" s="43">
        <f t="shared" si="31"/>
        <v>0</v>
      </c>
      <c r="EI47" s="43">
        <f t="shared" si="31"/>
        <v>0</v>
      </c>
      <c r="EJ47" s="43">
        <f t="shared" si="31"/>
        <v>0</v>
      </c>
      <c r="EK47" s="43">
        <f t="shared" si="31"/>
        <v>0</v>
      </c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</row>
    <row r="48" spans="1:161" ht="14.25" x14ac:dyDescent="0.15">
      <c r="A48" s="46"/>
      <c r="B48" s="43" t="e">
        <f t="shared" si="2"/>
        <v>#DIV/0!</v>
      </c>
      <c r="C48" s="43" t="e">
        <f t="shared" si="3"/>
        <v>#DIV/0!</v>
      </c>
      <c r="D48" s="43" t="e">
        <f t="shared" si="4"/>
        <v>#DIV/0!</v>
      </c>
      <c r="E48" s="43" t="e">
        <f t="shared" si="5"/>
        <v>#DIV/0!</v>
      </c>
      <c r="F48" s="43" t="e">
        <f t="shared" si="6"/>
        <v>#DIV/0!</v>
      </c>
      <c r="G48" s="43" t="e">
        <f t="shared" si="7"/>
        <v>#DIV/0!</v>
      </c>
      <c r="H48" s="43" t="e">
        <f t="shared" si="8"/>
        <v>#DIV/0!</v>
      </c>
      <c r="I48" s="43" t="e">
        <f t="shared" si="9"/>
        <v>#DIV/0!</v>
      </c>
      <c r="J48" s="43" t="e">
        <f t="shared" si="10"/>
        <v>#DIV/0!</v>
      </c>
      <c r="K48" s="43" t="e">
        <f t="shared" si="11"/>
        <v>#DIV/0!</v>
      </c>
      <c r="L48" s="43" t="e">
        <f t="shared" si="12"/>
        <v>#DIV/0!</v>
      </c>
      <c r="M48" s="43" t="e">
        <f t="shared" si="13"/>
        <v>#DIV/0!</v>
      </c>
      <c r="N48" s="43" t="e">
        <f t="shared" si="14"/>
        <v>#DIV/0!</v>
      </c>
      <c r="O48" s="43" t="e">
        <f t="shared" si="15"/>
        <v>#DIV/0!</v>
      </c>
      <c r="P48" s="43" t="e">
        <f t="shared" si="16"/>
        <v>#DIV/0!</v>
      </c>
      <c r="Q48" s="43" t="e">
        <f t="shared" si="17"/>
        <v>#DIV/0!</v>
      </c>
      <c r="R48" s="43" t="e">
        <f t="shared" si="18"/>
        <v>#DIV/0!</v>
      </c>
      <c r="S48" s="43" t="e">
        <f t="shared" si="19"/>
        <v>#DIV/0!</v>
      </c>
      <c r="T48" s="43" t="e">
        <f t="shared" si="20"/>
        <v>#DIV/0!</v>
      </c>
      <c r="U48" s="43" t="e">
        <f t="shared" si="21"/>
        <v>#DIV/0!</v>
      </c>
      <c r="V48" s="53" t="e">
        <f>V47+ATM_Conf!$C$5*(B47)/(B235*V235)</f>
        <v>#DIV/0!</v>
      </c>
      <c r="W48" s="53" t="e">
        <f>W47+ATM_Conf!$C$5*(C47-B47)/(C235*W235)</f>
        <v>#DIV/0!</v>
      </c>
      <c r="X48" s="53" t="e">
        <f>X47+ATM_Conf!$C$5*(D47-C47)/(D235*X235)</f>
        <v>#DIV/0!</v>
      </c>
      <c r="Y48" s="53" t="e">
        <f>Y47+ATM_Conf!$C$5*(E47-D47)/(E235*Y235)</f>
        <v>#DIV/0!</v>
      </c>
      <c r="Z48" s="53" t="e">
        <f>Z47+ATM_Conf!$C$5*(F47-E47)/(F235*Z235)</f>
        <v>#DIV/0!</v>
      </c>
      <c r="AA48" s="53" t="e">
        <f>AA47+ATM_Conf!$C$5*(G47-F47)/(G235*AA235)</f>
        <v>#DIV/0!</v>
      </c>
      <c r="AB48" s="53" t="e">
        <f>AB47+ATM_Conf!$C$5*(H47-G47)/(H235*AB235)</f>
        <v>#DIV/0!</v>
      </c>
      <c r="AC48" s="53" t="e">
        <f>AC47+ATM_Conf!$C$5*(I47-H47)/(I235*AC235)</f>
        <v>#DIV/0!</v>
      </c>
      <c r="AD48" s="53" t="e">
        <f>AD47+ATM_Conf!$C$5*(J47-I47)/(J235*AD235)</f>
        <v>#DIV/0!</v>
      </c>
      <c r="AE48" s="53" t="e">
        <f>AE47+ATM_Conf!$C$5*(K47-J47)/(K235*AE235)</f>
        <v>#DIV/0!</v>
      </c>
      <c r="AF48" s="53" t="e">
        <f>AF47+ATM_Conf!$C$5*(L47)/(L235*AF235)</f>
        <v>#DIV/0!</v>
      </c>
      <c r="AG48" s="53" t="e">
        <f>AG47+ATM_Conf!$C$5*(M47-L47)/(M235*AG235)</f>
        <v>#DIV/0!</v>
      </c>
      <c r="AH48" s="53" t="e">
        <f>AH47+ATM_Conf!$C$5*(N47-M47)/(N235*AH235)</f>
        <v>#DIV/0!</v>
      </c>
      <c r="AI48" s="53" t="e">
        <f>AI47+ATM_Conf!$C$5*(O47-N47)/(O235*AI235)</f>
        <v>#DIV/0!</v>
      </c>
      <c r="AJ48" s="53" t="e">
        <f>AJ47+ATM_Conf!$C$5*(P47-O47)/(P235*AJ235)</f>
        <v>#DIV/0!</v>
      </c>
      <c r="AK48" s="53" t="e">
        <f>AK47+ATM_Conf!$C$5*(Q47-P47)/(Q235*AK235)</f>
        <v>#DIV/0!</v>
      </c>
      <c r="AL48" s="53" t="e">
        <f>AL47+ATM_Conf!$C$5*(R47-Q47)/(R235*AL235)</f>
        <v>#DIV/0!</v>
      </c>
      <c r="AM48" s="53" t="e">
        <f>AM47+ATM_Conf!$C$5*(S47-R47)/(S235*AM235)</f>
        <v>#DIV/0!</v>
      </c>
      <c r="AN48" s="53" t="e">
        <f>AN47+ATM_Conf!$C$5*(T47-S47)/(T235*AN235)</f>
        <v>#DIV/0!</v>
      </c>
      <c r="AO48" s="53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43">
        <f t="shared" si="32"/>
        <v>0</v>
      </c>
      <c r="DS48" s="43">
        <f t="shared" si="31"/>
        <v>0</v>
      </c>
      <c r="DT48" s="43">
        <f t="shared" si="31"/>
        <v>0</v>
      </c>
      <c r="DU48" s="43">
        <f t="shared" si="31"/>
        <v>0</v>
      </c>
      <c r="DV48" s="43">
        <f t="shared" si="31"/>
        <v>0</v>
      </c>
      <c r="DW48" s="43">
        <f t="shared" si="31"/>
        <v>0</v>
      </c>
      <c r="DX48" s="43">
        <f t="shared" si="31"/>
        <v>0</v>
      </c>
      <c r="DY48" s="43">
        <f t="shared" si="31"/>
        <v>0</v>
      </c>
      <c r="DZ48" s="43">
        <f t="shared" si="31"/>
        <v>0</v>
      </c>
      <c r="EA48" s="43">
        <f t="shared" si="31"/>
        <v>0</v>
      </c>
      <c r="EB48" s="43">
        <f t="shared" si="31"/>
        <v>0</v>
      </c>
      <c r="EC48" s="43">
        <f t="shared" si="31"/>
        <v>0</v>
      </c>
      <c r="ED48" s="43">
        <f t="shared" si="31"/>
        <v>0</v>
      </c>
      <c r="EE48" s="43">
        <f t="shared" si="31"/>
        <v>0</v>
      </c>
      <c r="EF48" s="43">
        <f t="shared" si="31"/>
        <v>0</v>
      </c>
      <c r="EG48" s="43">
        <f t="shared" si="31"/>
        <v>0</v>
      </c>
      <c r="EH48" s="43">
        <f t="shared" si="31"/>
        <v>0</v>
      </c>
      <c r="EI48" s="43">
        <f t="shared" si="31"/>
        <v>0</v>
      </c>
      <c r="EJ48" s="43">
        <f t="shared" si="31"/>
        <v>0</v>
      </c>
      <c r="EK48" s="43">
        <f t="shared" si="31"/>
        <v>0</v>
      </c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</row>
    <row r="49" spans="1:161" ht="14.25" x14ac:dyDescent="0.15">
      <c r="A49" s="46"/>
      <c r="B49" s="43" t="e">
        <f t="shared" si="2"/>
        <v>#DIV/0!</v>
      </c>
      <c r="C49" s="43" t="e">
        <f t="shared" si="3"/>
        <v>#DIV/0!</v>
      </c>
      <c r="D49" s="43" t="e">
        <f t="shared" si="4"/>
        <v>#DIV/0!</v>
      </c>
      <c r="E49" s="43" t="e">
        <f t="shared" si="5"/>
        <v>#DIV/0!</v>
      </c>
      <c r="F49" s="43" t="e">
        <f t="shared" si="6"/>
        <v>#DIV/0!</v>
      </c>
      <c r="G49" s="43" t="e">
        <f t="shared" si="7"/>
        <v>#DIV/0!</v>
      </c>
      <c r="H49" s="43" t="e">
        <f t="shared" si="8"/>
        <v>#DIV/0!</v>
      </c>
      <c r="I49" s="43" t="e">
        <f t="shared" si="9"/>
        <v>#DIV/0!</v>
      </c>
      <c r="J49" s="43" t="e">
        <f t="shared" si="10"/>
        <v>#DIV/0!</v>
      </c>
      <c r="K49" s="43" t="e">
        <f t="shared" si="11"/>
        <v>#DIV/0!</v>
      </c>
      <c r="L49" s="43" t="e">
        <f t="shared" si="12"/>
        <v>#DIV/0!</v>
      </c>
      <c r="M49" s="43" t="e">
        <f t="shared" si="13"/>
        <v>#DIV/0!</v>
      </c>
      <c r="N49" s="43" t="e">
        <f t="shared" si="14"/>
        <v>#DIV/0!</v>
      </c>
      <c r="O49" s="43" t="e">
        <f t="shared" si="15"/>
        <v>#DIV/0!</v>
      </c>
      <c r="P49" s="43" t="e">
        <f t="shared" si="16"/>
        <v>#DIV/0!</v>
      </c>
      <c r="Q49" s="43" t="e">
        <f t="shared" si="17"/>
        <v>#DIV/0!</v>
      </c>
      <c r="R49" s="43" t="e">
        <f t="shared" si="18"/>
        <v>#DIV/0!</v>
      </c>
      <c r="S49" s="43" t="e">
        <f t="shared" si="19"/>
        <v>#DIV/0!</v>
      </c>
      <c r="T49" s="43" t="e">
        <f t="shared" si="20"/>
        <v>#DIV/0!</v>
      </c>
      <c r="U49" s="43" t="e">
        <f t="shared" si="21"/>
        <v>#DIV/0!</v>
      </c>
      <c r="V49" s="53" t="e">
        <f>V48+ATM_Conf!$C$5*(B48)/(B236*V236)</f>
        <v>#DIV/0!</v>
      </c>
      <c r="W49" s="53" t="e">
        <f>W48+ATM_Conf!$C$5*(C48-B48)/(C236*W236)</f>
        <v>#DIV/0!</v>
      </c>
      <c r="X49" s="53" t="e">
        <f>X48+ATM_Conf!$C$5*(D48-C48)/(D236*X236)</f>
        <v>#DIV/0!</v>
      </c>
      <c r="Y49" s="53" t="e">
        <f>Y48+ATM_Conf!$C$5*(E48-D48)/(E236*Y236)</f>
        <v>#DIV/0!</v>
      </c>
      <c r="Z49" s="53" t="e">
        <f>Z48+ATM_Conf!$C$5*(F48-E48)/(F236*Z236)</f>
        <v>#DIV/0!</v>
      </c>
      <c r="AA49" s="53" t="e">
        <f>AA48+ATM_Conf!$C$5*(G48-F48)/(G236*AA236)</f>
        <v>#DIV/0!</v>
      </c>
      <c r="AB49" s="53" t="e">
        <f>AB48+ATM_Conf!$C$5*(H48-G48)/(H236*AB236)</f>
        <v>#DIV/0!</v>
      </c>
      <c r="AC49" s="53" t="e">
        <f>AC48+ATM_Conf!$C$5*(I48-H48)/(I236*AC236)</f>
        <v>#DIV/0!</v>
      </c>
      <c r="AD49" s="53" t="e">
        <f>AD48+ATM_Conf!$C$5*(J48-I48)/(J236*AD236)</f>
        <v>#DIV/0!</v>
      </c>
      <c r="AE49" s="53" t="e">
        <f>AE48+ATM_Conf!$C$5*(K48-J48)/(K236*AE236)</f>
        <v>#DIV/0!</v>
      </c>
      <c r="AF49" s="53" t="e">
        <f>AF48+ATM_Conf!$C$5*(L48)/(L236*AF236)</f>
        <v>#DIV/0!</v>
      </c>
      <c r="AG49" s="53" t="e">
        <f>AG48+ATM_Conf!$C$5*(M48-L48)/(M236*AG236)</f>
        <v>#DIV/0!</v>
      </c>
      <c r="AH49" s="53" t="e">
        <f>AH48+ATM_Conf!$C$5*(N48-M48)/(N236*AH236)</f>
        <v>#DIV/0!</v>
      </c>
      <c r="AI49" s="53" t="e">
        <f>AI48+ATM_Conf!$C$5*(O48-N48)/(O236*AI236)</f>
        <v>#DIV/0!</v>
      </c>
      <c r="AJ49" s="53" t="e">
        <f>AJ48+ATM_Conf!$C$5*(P48-O48)/(P236*AJ236)</f>
        <v>#DIV/0!</v>
      </c>
      <c r="AK49" s="53" t="e">
        <f>AK48+ATM_Conf!$C$5*(Q48-P48)/(Q236*AK236)</f>
        <v>#DIV/0!</v>
      </c>
      <c r="AL49" s="53" t="e">
        <f>AL48+ATM_Conf!$C$5*(R48-Q48)/(R236*AL236)</f>
        <v>#DIV/0!</v>
      </c>
      <c r="AM49" s="53" t="e">
        <f>AM48+ATM_Conf!$C$5*(S48-R48)/(S236*AM236)</f>
        <v>#DIV/0!</v>
      </c>
      <c r="AN49" s="53" t="e">
        <f>AN48+ATM_Conf!$C$5*(T48-S48)/(T236*AN236)</f>
        <v>#DIV/0!</v>
      </c>
      <c r="AO49" s="53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43">
        <f t="shared" si="32"/>
        <v>0</v>
      </c>
      <c r="DS49" s="43">
        <f t="shared" si="31"/>
        <v>0</v>
      </c>
      <c r="DT49" s="43">
        <f t="shared" si="31"/>
        <v>0</v>
      </c>
      <c r="DU49" s="43">
        <f t="shared" si="31"/>
        <v>0</v>
      </c>
      <c r="DV49" s="43">
        <f t="shared" si="31"/>
        <v>0</v>
      </c>
      <c r="DW49" s="43">
        <f t="shared" si="31"/>
        <v>0</v>
      </c>
      <c r="DX49" s="43">
        <f t="shared" si="31"/>
        <v>0</v>
      </c>
      <c r="DY49" s="43">
        <f t="shared" si="31"/>
        <v>0</v>
      </c>
      <c r="DZ49" s="43">
        <f t="shared" si="31"/>
        <v>0</v>
      </c>
      <c r="EA49" s="43">
        <f t="shared" si="31"/>
        <v>0</v>
      </c>
      <c r="EB49" s="43">
        <f t="shared" si="31"/>
        <v>0</v>
      </c>
      <c r="EC49" s="43">
        <f t="shared" si="31"/>
        <v>0</v>
      </c>
      <c r="ED49" s="43">
        <f t="shared" si="31"/>
        <v>0</v>
      </c>
      <c r="EE49" s="43">
        <f t="shared" si="31"/>
        <v>0</v>
      </c>
      <c r="EF49" s="43">
        <f t="shared" si="31"/>
        <v>0</v>
      </c>
      <c r="EG49" s="43">
        <f t="shared" si="31"/>
        <v>0</v>
      </c>
      <c r="EH49" s="43">
        <f t="shared" si="31"/>
        <v>0</v>
      </c>
      <c r="EI49" s="43">
        <f t="shared" si="31"/>
        <v>0</v>
      </c>
      <c r="EJ49" s="43">
        <f t="shared" si="31"/>
        <v>0</v>
      </c>
      <c r="EK49" s="43">
        <f t="shared" si="31"/>
        <v>0</v>
      </c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</row>
    <row r="50" spans="1:161" ht="14.25" x14ac:dyDescent="0.15">
      <c r="A50" s="46"/>
      <c r="B50" s="43" t="e">
        <f t="shared" si="2"/>
        <v>#DIV/0!</v>
      </c>
      <c r="C50" s="43" t="e">
        <f t="shared" si="3"/>
        <v>#DIV/0!</v>
      </c>
      <c r="D50" s="43" t="e">
        <f t="shared" si="4"/>
        <v>#DIV/0!</v>
      </c>
      <c r="E50" s="43" t="e">
        <f t="shared" si="5"/>
        <v>#DIV/0!</v>
      </c>
      <c r="F50" s="43" t="e">
        <f t="shared" si="6"/>
        <v>#DIV/0!</v>
      </c>
      <c r="G50" s="43" t="e">
        <f t="shared" si="7"/>
        <v>#DIV/0!</v>
      </c>
      <c r="H50" s="43" t="e">
        <f t="shared" si="8"/>
        <v>#DIV/0!</v>
      </c>
      <c r="I50" s="43" t="e">
        <f t="shared" si="9"/>
        <v>#DIV/0!</v>
      </c>
      <c r="J50" s="43" t="e">
        <f t="shared" si="10"/>
        <v>#DIV/0!</v>
      </c>
      <c r="K50" s="43" t="e">
        <f t="shared" si="11"/>
        <v>#DIV/0!</v>
      </c>
      <c r="L50" s="43" t="e">
        <f t="shared" si="12"/>
        <v>#DIV/0!</v>
      </c>
      <c r="M50" s="43" t="e">
        <f t="shared" si="13"/>
        <v>#DIV/0!</v>
      </c>
      <c r="N50" s="43" t="e">
        <f t="shared" si="14"/>
        <v>#DIV/0!</v>
      </c>
      <c r="O50" s="43" t="e">
        <f t="shared" si="15"/>
        <v>#DIV/0!</v>
      </c>
      <c r="P50" s="43" t="e">
        <f t="shared" si="16"/>
        <v>#DIV/0!</v>
      </c>
      <c r="Q50" s="43" t="e">
        <f t="shared" si="17"/>
        <v>#DIV/0!</v>
      </c>
      <c r="R50" s="43" t="e">
        <f t="shared" si="18"/>
        <v>#DIV/0!</v>
      </c>
      <c r="S50" s="43" t="e">
        <f t="shared" si="19"/>
        <v>#DIV/0!</v>
      </c>
      <c r="T50" s="43" t="e">
        <f t="shared" si="20"/>
        <v>#DIV/0!</v>
      </c>
      <c r="U50" s="43" t="e">
        <f t="shared" si="21"/>
        <v>#DIV/0!</v>
      </c>
      <c r="V50" s="53" t="e">
        <f>V49+ATM_Conf!$C$5*(B49)/(B237*V237)</f>
        <v>#DIV/0!</v>
      </c>
      <c r="W50" s="53" t="e">
        <f>W49+ATM_Conf!$C$5*(C49-B49)/(C237*W237)</f>
        <v>#DIV/0!</v>
      </c>
      <c r="X50" s="53" t="e">
        <f>X49+ATM_Conf!$C$5*(D49-C49)/(D237*X237)</f>
        <v>#DIV/0!</v>
      </c>
      <c r="Y50" s="53" t="e">
        <f>Y49+ATM_Conf!$C$5*(E49-D49)/(E237*Y237)</f>
        <v>#DIV/0!</v>
      </c>
      <c r="Z50" s="53" t="e">
        <f>Z49+ATM_Conf!$C$5*(F49-E49)/(F237*Z237)</f>
        <v>#DIV/0!</v>
      </c>
      <c r="AA50" s="53" t="e">
        <f>AA49+ATM_Conf!$C$5*(G49-F49)/(G237*AA237)</f>
        <v>#DIV/0!</v>
      </c>
      <c r="AB50" s="53" t="e">
        <f>AB49+ATM_Conf!$C$5*(H49-G49)/(H237*AB237)</f>
        <v>#DIV/0!</v>
      </c>
      <c r="AC50" s="53" t="e">
        <f>AC49+ATM_Conf!$C$5*(I49-H49)/(I237*AC237)</f>
        <v>#DIV/0!</v>
      </c>
      <c r="AD50" s="53" t="e">
        <f>AD49+ATM_Conf!$C$5*(J49-I49)/(J237*AD237)</f>
        <v>#DIV/0!</v>
      </c>
      <c r="AE50" s="53" t="e">
        <f>AE49+ATM_Conf!$C$5*(K49-J49)/(K237*AE237)</f>
        <v>#DIV/0!</v>
      </c>
      <c r="AF50" s="53" t="e">
        <f>AF49+ATM_Conf!$C$5*(L49)/(L237*AF237)</f>
        <v>#DIV/0!</v>
      </c>
      <c r="AG50" s="53" t="e">
        <f>AG49+ATM_Conf!$C$5*(M49-L49)/(M237*AG237)</f>
        <v>#DIV/0!</v>
      </c>
      <c r="AH50" s="53" t="e">
        <f>AH49+ATM_Conf!$C$5*(N49-M49)/(N237*AH237)</f>
        <v>#DIV/0!</v>
      </c>
      <c r="AI50" s="53" t="e">
        <f>AI49+ATM_Conf!$C$5*(O49-N49)/(O237*AI237)</f>
        <v>#DIV/0!</v>
      </c>
      <c r="AJ50" s="53" t="e">
        <f>AJ49+ATM_Conf!$C$5*(P49-O49)/(P237*AJ237)</f>
        <v>#DIV/0!</v>
      </c>
      <c r="AK50" s="53" t="e">
        <f>AK49+ATM_Conf!$C$5*(Q49-P49)/(Q237*AK237)</f>
        <v>#DIV/0!</v>
      </c>
      <c r="AL50" s="53" t="e">
        <f>AL49+ATM_Conf!$C$5*(R49-Q49)/(R237*AL237)</f>
        <v>#DIV/0!</v>
      </c>
      <c r="AM50" s="53" t="e">
        <f>AM49+ATM_Conf!$C$5*(S49-R49)/(S237*AM237)</f>
        <v>#DIV/0!</v>
      </c>
      <c r="AN50" s="53" t="e">
        <f>AN49+ATM_Conf!$C$5*(T49-S49)/(T237*AN237)</f>
        <v>#DIV/0!</v>
      </c>
      <c r="AO50" s="53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43">
        <f t="shared" si="32"/>
        <v>0</v>
      </c>
      <c r="DS50" s="43">
        <f t="shared" si="31"/>
        <v>0</v>
      </c>
      <c r="DT50" s="43">
        <f t="shared" si="31"/>
        <v>0</v>
      </c>
      <c r="DU50" s="43">
        <f t="shared" si="31"/>
        <v>0</v>
      </c>
      <c r="DV50" s="43">
        <f t="shared" si="31"/>
        <v>0</v>
      </c>
      <c r="DW50" s="43">
        <f t="shared" si="31"/>
        <v>0</v>
      </c>
      <c r="DX50" s="43">
        <f t="shared" si="31"/>
        <v>0</v>
      </c>
      <c r="DY50" s="43">
        <f t="shared" si="31"/>
        <v>0</v>
      </c>
      <c r="DZ50" s="43">
        <f t="shared" si="31"/>
        <v>0</v>
      </c>
      <c r="EA50" s="43">
        <f t="shared" si="31"/>
        <v>0</v>
      </c>
      <c r="EB50" s="43">
        <f t="shared" si="31"/>
        <v>0</v>
      </c>
      <c r="EC50" s="43">
        <f t="shared" si="31"/>
        <v>0</v>
      </c>
      <c r="ED50" s="43">
        <f t="shared" si="31"/>
        <v>0</v>
      </c>
      <c r="EE50" s="43">
        <f t="shared" si="31"/>
        <v>0</v>
      </c>
      <c r="EF50" s="43">
        <f t="shared" si="31"/>
        <v>0</v>
      </c>
      <c r="EG50" s="43">
        <f t="shared" si="31"/>
        <v>0</v>
      </c>
      <c r="EH50" s="43">
        <f t="shared" si="31"/>
        <v>0</v>
      </c>
      <c r="EI50" s="43">
        <f t="shared" si="31"/>
        <v>0</v>
      </c>
      <c r="EJ50" s="43">
        <f t="shared" si="31"/>
        <v>0</v>
      </c>
      <c r="EK50" s="43">
        <f t="shared" si="31"/>
        <v>0</v>
      </c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</row>
    <row r="51" spans="1:161" ht="14.25" x14ac:dyDescent="0.15">
      <c r="A51" s="46"/>
      <c r="B51" s="43" t="e">
        <f t="shared" si="2"/>
        <v>#DIV/0!</v>
      </c>
      <c r="C51" s="43" t="e">
        <f t="shared" si="3"/>
        <v>#DIV/0!</v>
      </c>
      <c r="D51" s="43" t="e">
        <f t="shared" si="4"/>
        <v>#DIV/0!</v>
      </c>
      <c r="E51" s="43" t="e">
        <f t="shared" si="5"/>
        <v>#DIV/0!</v>
      </c>
      <c r="F51" s="43" t="e">
        <f t="shared" si="6"/>
        <v>#DIV/0!</v>
      </c>
      <c r="G51" s="43" t="e">
        <f t="shared" si="7"/>
        <v>#DIV/0!</v>
      </c>
      <c r="H51" s="43" t="e">
        <f t="shared" si="8"/>
        <v>#DIV/0!</v>
      </c>
      <c r="I51" s="43" t="e">
        <f t="shared" si="9"/>
        <v>#DIV/0!</v>
      </c>
      <c r="J51" s="43" t="e">
        <f t="shared" si="10"/>
        <v>#DIV/0!</v>
      </c>
      <c r="K51" s="43" t="e">
        <f t="shared" si="11"/>
        <v>#DIV/0!</v>
      </c>
      <c r="L51" s="43" t="e">
        <f t="shared" si="12"/>
        <v>#DIV/0!</v>
      </c>
      <c r="M51" s="43" t="e">
        <f t="shared" si="13"/>
        <v>#DIV/0!</v>
      </c>
      <c r="N51" s="43" t="e">
        <f t="shared" si="14"/>
        <v>#DIV/0!</v>
      </c>
      <c r="O51" s="43" t="e">
        <f t="shared" si="15"/>
        <v>#DIV/0!</v>
      </c>
      <c r="P51" s="43" t="e">
        <f t="shared" si="16"/>
        <v>#DIV/0!</v>
      </c>
      <c r="Q51" s="43" t="e">
        <f t="shared" si="17"/>
        <v>#DIV/0!</v>
      </c>
      <c r="R51" s="43" t="e">
        <f t="shared" si="18"/>
        <v>#DIV/0!</v>
      </c>
      <c r="S51" s="43" t="e">
        <f t="shared" si="19"/>
        <v>#DIV/0!</v>
      </c>
      <c r="T51" s="43" t="e">
        <f t="shared" si="20"/>
        <v>#DIV/0!</v>
      </c>
      <c r="U51" s="43" t="e">
        <f t="shared" si="21"/>
        <v>#DIV/0!</v>
      </c>
      <c r="V51" s="53" t="e">
        <f>V50+ATM_Conf!$C$5*(B50)/(B238*V238)</f>
        <v>#DIV/0!</v>
      </c>
      <c r="W51" s="53" t="e">
        <f>W50+ATM_Conf!$C$5*(C50-B50)/(C238*W238)</f>
        <v>#DIV/0!</v>
      </c>
      <c r="X51" s="53" t="e">
        <f>X50+ATM_Conf!$C$5*(D50-C50)/(D238*X238)</f>
        <v>#DIV/0!</v>
      </c>
      <c r="Y51" s="53" t="e">
        <f>Y50+ATM_Conf!$C$5*(E50-D50)/(E238*Y238)</f>
        <v>#DIV/0!</v>
      </c>
      <c r="Z51" s="53" t="e">
        <f>Z50+ATM_Conf!$C$5*(F50-E50)/(F238*Z238)</f>
        <v>#DIV/0!</v>
      </c>
      <c r="AA51" s="53" t="e">
        <f>AA50+ATM_Conf!$C$5*(G50-F50)/(G238*AA238)</f>
        <v>#DIV/0!</v>
      </c>
      <c r="AB51" s="53" t="e">
        <f>AB50+ATM_Conf!$C$5*(H50-G50)/(H238*AB238)</f>
        <v>#DIV/0!</v>
      </c>
      <c r="AC51" s="53" t="e">
        <f>AC50+ATM_Conf!$C$5*(I50-H50)/(I238*AC238)</f>
        <v>#DIV/0!</v>
      </c>
      <c r="AD51" s="53" t="e">
        <f>AD50+ATM_Conf!$C$5*(J50-I50)/(J238*AD238)</f>
        <v>#DIV/0!</v>
      </c>
      <c r="AE51" s="53" t="e">
        <f>AE50+ATM_Conf!$C$5*(K50-J50)/(K238*AE238)</f>
        <v>#DIV/0!</v>
      </c>
      <c r="AF51" s="53" t="e">
        <f>AF50+ATM_Conf!$C$5*(L50)/(L238*AF238)</f>
        <v>#DIV/0!</v>
      </c>
      <c r="AG51" s="53" t="e">
        <f>AG50+ATM_Conf!$C$5*(M50-L50)/(M238*AG238)</f>
        <v>#DIV/0!</v>
      </c>
      <c r="AH51" s="53" t="e">
        <f>AH50+ATM_Conf!$C$5*(N50-M50)/(N238*AH238)</f>
        <v>#DIV/0!</v>
      </c>
      <c r="AI51" s="53" t="e">
        <f>AI50+ATM_Conf!$C$5*(O50-N50)/(O238*AI238)</f>
        <v>#DIV/0!</v>
      </c>
      <c r="AJ51" s="53" t="e">
        <f>AJ50+ATM_Conf!$C$5*(P50-O50)/(P238*AJ238)</f>
        <v>#DIV/0!</v>
      </c>
      <c r="AK51" s="53" t="e">
        <f>AK50+ATM_Conf!$C$5*(Q50-P50)/(Q238*AK238)</f>
        <v>#DIV/0!</v>
      </c>
      <c r="AL51" s="53" t="e">
        <f>AL50+ATM_Conf!$C$5*(R50-Q50)/(R238*AL238)</f>
        <v>#DIV/0!</v>
      </c>
      <c r="AM51" s="53" t="e">
        <f>AM50+ATM_Conf!$C$5*(S50-R50)/(S238*AM238)</f>
        <v>#DIV/0!</v>
      </c>
      <c r="AN51" s="53" t="e">
        <f>AN50+ATM_Conf!$C$5*(T50-S50)/(T238*AN238)</f>
        <v>#DIV/0!</v>
      </c>
      <c r="AO51" s="53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47">
        <f>(DR51-DR39)^2</f>
        <v>0</v>
      </c>
      <c r="EM51" s="47">
        <f t="shared" ref="EM51:FE51" si="33">(DS51-DS39)^2</f>
        <v>0</v>
      </c>
      <c r="EN51" s="47">
        <f t="shared" si="33"/>
        <v>0</v>
      </c>
      <c r="EO51" s="47">
        <f t="shared" si="33"/>
        <v>0</v>
      </c>
      <c r="EP51" s="47">
        <f t="shared" si="33"/>
        <v>0</v>
      </c>
      <c r="EQ51" s="47">
        <f t="shared" si="33"/>
        <v>0</v>
      </c>
      <c r="ER51" s="47">
        <f t="shared" si="33"/>
        <v>0</v>
      </c>
      <c r="ES51" s="47">
        <f t="shared" si="33"/>
        <v>0</v>
      </c>
      <c r="ET51" s="47">
        <f t="shared" si="33"/>
        <v>0</v>
      </c>
      <c r="EU51" s="47">
        <f t="shared" si="33"/>
        <v>0</v>
      </c>
      <c r="EV51" s="47">
        <f t="shared" si="33"/>
        <v>0</v>
      </c>
      <c r="EW51" s="47">
        <f t="shared" si="33"/>
        <v>0</v>
      </c>
      <c r="EX51" s="47">
        <f t="shared" si="33"/>
        <v>0</v>
      </c>
      <c r="EY51" s="47">
        <f t="shared" si="33"/>
        <v>0</v>
      </c>
      <c r="EZ51" s="47">
        <f t="shared" si="33"/>
        <v>0</v>
      </c>
      <c r="FA51" s="47">
        <f t="shared" si="33"/>
        <v>0</v>
      </c>
      <c r="FB51" s="47">
        <f t="shared" si="33"/>
        <v>0</v>
      </c>
      <c r="FC51" s="47">
        <f t="shared" si="33"/>
        <v>0</v>
      </c>
      <c r="FD51" s="47">
        <f t="shared" si="33"/>
        <v>0</v>
      </c>
      <c r="FE51" s="47">
        <f t="shared" si="33"/>
        <v>0</v>
      </c>
    </row>
    <row r="52" spans="1:161" ht="14.25" x14ac:dyDescent="0.15">
      <c r="A52" s="46"/>
      <c r="B52" s="43" t="e">
        <f t="shared" si="2"/>
        <v>#DIV/0!</v>
      </c>
      <c r="C52" s="43" t="e">
        <f t="shared" si="3"/>
        <v>#DIV/0!</v>
      </c>
      <c r="D52" s="43" t="e">
        <f t="shared" si="4"/>
        <v>#DIV/0!</v>
      </c>
      <c r="E52" s="43" t="e">
        <f t="shared" si="5"/>
        <v>#DIV/0!</v>
      </c>
      <c r="F52" s="43" t="e">
        <f t="shared" si="6"/>
        <v>#DIV/0!</v>
      </c>
      <c r="G52" s="43" t="e">
        <f t="shared" si="7"/>
        <v>#DIV/0!</v>
      </c>
      <c r="H52" s="43" t="e">
        <f t="shared" si="8"/>
        <v>#DIV/0!</v>
      </c>
      <c r="I52" s="43" t="e">
        <f t="shared" si="9"/>
        <v>#DIV/0!</v>
      </c>
      <c r="J52" s="43" t="e">
        <f t="shared" si="10"/>
        <v>#DIV/0!</v>
      </c>
      <c r="K52" s="43" t="e">
        <f t="shared" si="11"/>
        <v>#DIV/0!</v>
      </c>
      <c r="L52" s="43" t="e">
        <f t="shared" si="12"/>
        <v>#DIV/0!</v>
      </c>
      <c r="M52" s="43" t="e">
        <f t="shared" si="13"/>
        <v>#DIV/0!</v>
      </c>
      <c r="N52" s="43" t="e">
        <f t="shared" si="14"/>
        <v>#DIV/0!</v>
      </c>
      <c r="O52" s="43" t="e">
        <f t="shared" si="15"/>
        <v>#DIV/0!</v>
      </c>
      <c r="P52" s="43" t="e">
        <f t="shared" si="16"/>
        <v>#DIV/0!</v>
      </c>
      <c r="Q52" s="43" t="e">
        <f t="shared" si="17"/>
        <v>#DIV/0!</v>
      </c>
      <c r="R52" s="43" t="e">
        <f t="shared" si="18"/>
        <v>#DIV/0!</v>
      </c>
      <c r="S52" s="43" t="e">
        <f t="shared" si="19"/>
        <v>#DIV/0!</v>
      </c>
      <c r="T52" s="43" t="e">
        <f t="shared" si="20"/>
        <v>#DIV/0!</v>
      </c>
      <c r="U52" s="43" t="e">
        <f t="shared" si="21"/>
        <v>#DIV/0!</v>
      </c>
      <c r="V52" s="53" t="e">
        <f>V51+ATM_Conf!$C$5*(B51)/(B239*V239)</f>
        <v>#DIV/0!</v>
      </c>
      <c r="W52" s="53" t="e">
        <f>W51+ATM_Conf!$C$5*(C51-B51)/(C239*W239)</f>
        <v>#DIV/0!</v>
      </c>
      <c r="X52" s="53" t="e">
        <f>X51+ATM_Conf!$C$5*(D51-C51)/(D239*X239)</f>
        <v>#DIV/0!</v>
      </c>
      <c r="Y52" s="53" t="e">
        <f>Y51+ATM_Conf!$C$5*(E51-D51)/(E239*Y239)</f>
        <v>#DIV/0!</v>
      </c>
      <c r="Z52" s="53" t="e">
        <f>Z51+ATM_Conf!$C$5*(F51-E51)/(F239*Z239)</f>
        <v>#DIV/0!</v>
      </c>
      <c r="AA52" s="53" t="e">
        <f>AA51+ATM_Conf!$C$5*(G51-F51)/(G239*AA239)</f>
        <v>#DIV/0!</v>
      </c>
      <c r="AB52" s="53" t="e">
        <f>AB51+ATM_Conf!$C$5*(H51-G51)/(H239*AB239)</f>
        <v>#DIV/0!</v>
      </c>
      <c r="AC52" s="53" t="e">
        <f>AC51+ATM_Conf!$C$5*(I51-H51)/(I239*AC239)</f>
        <v>#DIV/0!</v>
      </c>
      <c r="AD52" s="53" t="e">
        <f>AD51+ATM_Conf!$C$5*(J51-I51)/(J239*AD239)</f>
        <v>#DIV/0!</v>
      </c>
      <c r="AE52" s="53" t="e">
        <f>AE51+ATM_Conf!$C$5*(K51-J51)/(K239*AE239)</f>
        <v>#DIV/0!</v>
      </c>
      <c r="AF52" s="53" t="e">
        <f>AF51+ATM_Conf!$C$5*(L51)/(L239*AF239)</f>
        <v>#DIV/0!</v>
      </c>
      <c r="AG52" s="53" t="e">
        <f>AG51+ATM_Conf!$C$5*(M51-L51)/(M239*AG239)</f>
        <v>#DIV/0!</v>
      </c>
      <c r="AH52" s="53" t="e">
        <f>AH51+ATM_Conf!$C$5*(N51-M51)/(N239*AH239)</f>
        <v>#DIV/0!</v>
      </c>
      <c r="AI52" s="53" t="e">
        <f>AI51+ATM_Conf!$C$5*(O51-N51)/(O239*AI239)</f>
        <v>#DIV/0!</v>
      </c>
      <c r="AJ52" s="53" t="e">
        <f>AJ51+ATM_Conf!$C$5*(P51-O51)/(P239*AJ239)</f>
        <v>#DIV/0!</v>
      </c>
      <c r="AK52" s="53" t="e">
        <f>AK51+ATM_Conf!$C$5*(Q51-P51)/(Q239*AK239)</f>
        <v>#DIV/0!</v>
      </c>
      <c r="AL52" s="53" t="e">
        <f>AL51+ATM_Conf!$C$5*(R51-Q51)/(R239*AL239)</f>
        <v>#DIV/0!</v>
      </c>
      <c r="AM52" s="53" t="e">
        <f>AM51+ATM_Conf!$C$5*(S51-R51)/(S239*AM239)</f>
        <v>#DIV/0!</v>
      </c>
      <c r="AN52" s="53" t="e">
        <f>AN51+ATM_Conf!$C$5*(T51-S51)/(T239*AN239)</f>
        <v>#DIV/0!</v>
      </c>
      <c r="AO52" s="53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43">
        <f>DR$51</f>
        <v>0</v>
      </c>
      <c r="DS52" s="43">
        <f t="shared" ref="DS52:EK62" si="34">DS$51</f>
        <v>0</v>
      </c>
      <c r="DT52" s="43">
        <f t="shared" si="34"/>
        <v>0</v>
      </c>
      <c r="DU52" s="43">
        <f t="shared" si="34"/>
        <v>0</v>
      </c>
      <c r="DV52" s="43">
        <f t="shared" si="34"/>
        <v>0</v>
      </c>
      <c r="DW52" s="43">
        <f t="shared" si="34"/>
        <v>0</v>
      </c>
      <c r="DX52" s="43">
        <f t="shared" si="34"/>
        <v>0</v>
      </c>
      <c r="DY52" s="43">
        <f t="shared" si="34"/>
        <v>0</v>
      </c>
      <c r="DZ52" s="43">
        <f t="shared" si="34"/>
        <v>0</v>
      </c>
      <c r="EA52" s="43">
        <f t="shared" si="34"/>
        <v>0</v>
      </c>
      <c r="EB52" s="43">
        <f t="shared" si="34"/>
        <v>0</v>
      </c>
      <c r="EC52" s="43">
        <f t="shared" si="34"/>
        <v>0</v>
      </c>
      <c r="ED52" s="43">
        <f t="shared" si="34"/>
        <v>0</v>
      </c>
      <c r="EE52" s="43">
        <f t="shared" si="34"/>
        <v>0</v>
      </c>
      <c r="EF52" s="43">
        <f t="shared" si="34"/>
        <v>0</v>
      </c>
      <c r="EG52" s="43">
        <f t="shared" si="34"/>
        <v>0</v>
      </c>
      <c r="EH52" s="43">
        <f t="shared" si="34"/>
        <v>0</v>
      </c>
      <c r="EI52" s="43">
        <f t="shared" si="34"/>
        <v>0</v>
      </c>
      <c r="EJ52" s="43">
        <f t="shared" si="34"/>
        <v>0</v>
      </c>
      <c r="EK52" s="43">
        <f t="shared" si="34"/>
        <v>0</v>
      </c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</row>
    <row r="53" spans="1:161" ht="14.25" x14ac:dyDescent="0.15">
      <c r="A53" s="46"/>
      <c r="B53" s="43" t="e">
        <f t="shared" si="2"/>
        <v>#DIV/0!</v>
      </c>
      <c r="C53" s="43" t="e">
        <f t="shared" si="3"/>
        <v>#DIV/0!</v>
      </c>
      <c r="D53" s="43" t="e">
        <f t="shared" si="4"/>
        <v>#DIV/0!</v>
      </c>
      <c r="E53" s="43" t="e">
        <f t="shared" si="5"/>
        <v>#DIV/0!</v>
      </c>
      <c r="F53" s="43" t="e">
        <f t="shared" si="6"/>
        <v>#DIV/0!</v>
      </c>
      <c r="G53" s="43" t="e">
        <f t="shared" si="7"/>
        <v>#DIV/0!</v>
      </c>
      <c r="H53" s="43" t="e">
        <f t="shared" si="8"/>
        <v>#DIV/0!</v>
      </c>
      <c r="I53" s="43" t="e">
        <f t="shared" si="9"/>
        <v>#DIV/0!</v>
      </c>
      <c r="J53" s="43" t="e">
        <f t="shared" si="10"/>
        <v>#DIV/0!</v>
      </c>
      <c r="K53" s="43" t="e">
        <f t="shared" si="11"/>
        <v>#DIV/0!</v>
      </c>
      <c r="L53" s="43" t="e">
        <f t="shared" si="12"/>
        <v>#DIV/0!</v>
      </c>
      <c r="M53" s="43" t="e">
        <f t="shared" si="13"/>
        <v>#DIV/0!</v>
      </c>
      <c r="N53" s="43" t="e">
        <f t="shared" si="14"/>
        <v>#DIV/0!</v>
      </c>
      <c r="O53" s="43" t="e">
        <f t="shared" si="15"/>
        <v>#DIV/0!</v>
      </c>
      <c r="P53" s="43" t="e">
        <f t="shared" si="16"/>
        <v>#DIV/0!</v>
      </c>
      <c r="Q53" s="43" t="e">
        <f t="shared" si="17"/>
        <v>#DIV/0!</v>
      </c>
      <c r="R53" s="43" t="e">
        <f t="shared" si="18"/>
        <v>#DIV/0!</v>
      </c>
      <c r="S53" s="43" t="e">
        <f t="shared" si="19"/>
        <v>#DIV/0!</v>
      </c>
      <c r="T53" s="43" t="e">
        <f t="shared" si="20"/>
        <v>#DIV/0!</v>
      </c>
      <c r="U53" s="43" t="e">
        <f t="shared" si="21"/>
        <v>#DIV/0!</v>
      </c>
      <c r="V53" s="53" t="e">
        <f>V52+ATM_Conf!$C$5*(B52)/(B240*V240)</f>
        <v>#DIV/0!</v>
      </c>
      <c r="W53" s="53" t="e">
        <f>W52+ATM_Conf!$C$5*(C52-B52)/(C240*W240)</f>
        <v>#DIV/0!</v>
      </c>
      <c r="X53" s="53" t="e">
        <f>X52+ATM_Conf!$C$5*(D52-C52)/(D240*X240)</f>
        <v>#DIV/0!</v>
      </c>
      <c r="Y53" s="53" t="e">
        <f>Y52+ATM_Conf!$C$5*(E52-D52)/(E240*Y240)</f>
        <v>#DIV/0!</v>
      </c>
      <c r="Z53" s="53" t="e">
        <f>Z52+ATM_Conf!$C$5*(F52-E52)/(F240*Z240)</f>
        <v>#DIV/0!</v>
      </c>
      <c r="AA53" s="53" t="e">
        <f>AA52+ATM_Conf!$C$5*(G52-F52)/(G240*AA240)</f>
        <v>#DIV/0!</v>
      </c>
      <c r="AB53" s="53" t="e">
        <f>AB52+ATM_Conf!$C$5*(H52-G52)/(H240*AB240)</f>
        <v>#DIV/0!</v>
      </c>
      <c r="AC53" s="53" t="e">
        <f>AC52+ATM_Conf!$C$5*(I52-H52)/(I240*AC240)</f>
        <v>#DIV/0!</v>
      </c>
      <c r="AD53" s="53" t="e">
        <f>AD52+ATM_Conf!$C$5*(J52-I52)/(J240*AD240)</f>
        <v>#DIV/0!</v>
      </c>
      <c r="AE53" s="53" t="e">
        <f>AE52+ATM_Conf!$C$5*(K52-J52)/(K240*AE240)</f>
        <v>#DIV/0!</v>
      </c>
      <c r="AF53" s="53" t="e">
        <f>AF52+ATM_Conf!$C$5*(L52)/(L240*AF240)</f>
        <v>#DIV/0!</v>
      </c>
      <c r="AG53" s="53" t="e">
        <f>AG52+ATM_Conf!$C$5*(M52-L52)/(M240*AG240)</f>
        <v>#DIV/0!</v>
      </c>
      <c r="AH53" s="53" t="e">
        <f>AH52+ATM_Conf!$C$5*(N52-M52)/(N240*AH240)</f>
        <v>#DIV/0!</v>
      </c>
      <c r="AI53" s="53" t="e">
        <f>AI52+ATM_Conf!$C$5*(O52-N52)/(O240*AI240)</f>
        <v>#DIV/0!</v>
      </c>
      <c r="AJ53" s="53" t="e">
        <f>AJ52+ATM_Conf!$C$5*(P52-O52)/(P240*AJ240)</f>
        <v>#DIV/0!</v>
      </c>
      <c r="AK53" s="53" t="e">
        <f>AK52+ATM_Conf!$C$5*(Q52-P52)/(Q240*AK240)</f>
        <v>#DIV/0!</v>
      </c>
      <c r="AL53" s="53" t="e">
        <f>AL52+ATM_Conf!$C$5*(R52-Q52)/(R240*AL240)</f>
        <v>#DIV/0!</v>
      </c>
      <c r="AM53" s="53" t="e">
        <f>AM52+ATM_Conf!$C$5*(S52-R52)/(S240*AM240)</f>
        <v>#DIV/0!</v>
      </c>
      <c r="AN53" s="53" t="e">
        <f>AN52+ATM_Conf!$C$5*(T52-S52)/(T240*AN240)</f>
        <v>#DIV/0!</v>
      </c>
      <c r="AO53" s="53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43">
        <f t="shared" ref="DR53:DR62" si="35">DR$51</f>
        <v>0</v>
      </c>
      <c r="DS53" s="43">
        <f t="shared" si="34"/>
        <v>0</v>
      </c>
      <c r="DT53" s="43">
        <f t="shared" si="34"/>
        <v>0</v>
      </c>
      <c r="DU53" s="43">
        <f t="shared" si="34"/>
        <v>0</v>
      </c>
      <c r="DV53" s="43">
        <f t="shared" si="34"/>
        <v>0</v>
      </c>
      <c r="DW53" s="43">
        <f t="shared" si="34"/>
        <v>0</v>
      </c>
      <c r="DX53" s="43">
        <f t="shared" si="34"/>
        <v>0</v>
      </c>
      <c r="DY53" s="43">
        <f t="shared" si="34"/>
        <v>0</v>
      </c>
      <c r="DZ53" s="43">
        <f t="shared" si="34"/>
        <v>0</v>
      </c>
      <c r="EA53" s="43">
        <f t="shared" si="34"/>
        <v>0</v>
      </c>
      <c r="EB53" s="43">
        <f t="shared" si="34"/>
        <v>0</v>
      </c>
      <c r="EC53" s="43">
        <f t="shared" si="34"/>
        <v>0</v>
      </c>
      <c r="ED53" s="43">
        <f t="shared" si="34"/>
        <v>0</v>
      </c>
      <c r="EE53" s="43">
        <f t="shared" si="34"/>
        <v>0</v>
      </c>
      <c r="EF53" s="43">
        <f t="shared" si="34"/>
        <v>0</v>
      </c>
      <c r="EG53" s="43">
        <f t="shared" si="34"/>
        <v>0</v>
      </c>
      <c r="EH53" s="43">
        <f t="shared" si="34"/>
        <v>0</v>
      </c>
      <c r="EI53" s="43">
        <f t="shared" si="34"/>
        <v>0</v>
      </c>
      <c r="EJ53" s="43">
        <f t="shared" si="34"/>
        <v>0</v>
      </c>
      <c r="EK53" s="43">
        <f t="shared" si="34"/>
        <v>0</v>
      </c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</row>
    <row r="54" spans="1:161" ht="14.25" x14ac:dyDescent="0.15">
      <c r="A54" s="46"/>
      <c r="B54" s="43" t="e">
        <f t="shared" si="2"/>
        <v>#DIV/0!</v>
      </c>
      <c r="C54" s="43" t="e">
        <f t="shared" si="3"/>
        <v>#DIV/0!</v>
      </c>
      <c r="D54" s="43" t="e">
        <f t="shared" si="4"/>
        <v>#DIV/0!</v>
      </c>
      <c r="E54" s="43" t="e">
        <f t="shared" si="5"/>
        <v>#DIV/0!</v>
      </c>
      <c r="F54" s="43" t="e">
        <f t="shared" si="6"/>
        <v>#DIV/0!</v>
      </c>
      <c r="G54" s="43" t="e">
        <f t="shared" si="7"/>
        <v>#DIV/0!</v>
      </c>
      <c r="H54" s="43" t="e">
        <f t="shared" si="8"/>
        <v>#DIV/0!</v>
      </c>
      <c r="I54" s="43" t="e">
        <f t="shared" si="9"/>
        <v>#DIV/0!</v>
      </c>
      <c r="J54" s="43" t="e">
        <f t="shared" si="10"/>
        <v>#DIV/0!</v>
      </c>
      <c r="K54" s="43" t="e">
        <f t="shared" si="11"/>
        <v>#DIV/0!</v>
      </c>
      <c r="L54" s="43" t="e">
        <f t="shared" si="12"/>
        <v>#DIV/0!</v>
      </c>
      <c r="M54" s="43" t="e">
        <f t="shared" si="13"/>
        <v>#DIV/0!</v>
      </c>
      <c r="N54" s="43" t="e">
        <f t="shared" si="14"/>
        <v>#DIV/0!</v>
      </c>
      <c r="O54" s="43" t="e">
        <f t="shared" si="15"/>
        <v>#DIV/0!</v>
      </c>
      <c r="P54" s="43" t="e">
        <f t="shared" si="16"/>
        <v>#DIV/0!</v>
      </c>
      <c r="Q54" s="43" t="e">
        <f t="shared" si="17"/>
        <v>#DIV/0!</v>
      </c>
      <c r="R54" s="43" t="e">
        <f t="shared" si="18"/>
        <v>#DIV/0!</v>
      </c>
      <c r="S54" s="43" t="e">
        <f t="shared" si="19"/>
        <v>#DIV/0!</v>
      </c>
      <c r="T54" s="43" t="e">
        <f t="shared" si="20"/>
        <v>#DIV/0!</v>
      </c>
      <c r="U54" s="43" t="e">
        <f t="shared" si="21"/>
        <v>#DIV/0!</v>
      </c>
      <c r="V54" s="53" t="e">
        <f>V53+ATM_Conf!$C$5*(B53)/(B241*V241)</f>
        <v>#DIV/0!</v>
      </c>
      <c r="W54" s="53" t="e">
        <f>W53+ATM_Conf!$C$5*(C53-B53)/(C241*W241)</f>
        <v>#DIV/0!</v>
      </c>
      <c r="X54" s="53" t="e">
        <f>X53+ATM_Conf!$C$5*(D53-C53)/(D241*X241)</f>
        <v>#DIV/0!</v>
      </c>
      <c r="Y54" s="53" t="e">
        <f>Y53+ATM_Conf!$C$5*(E53-D53)/(E241*Y241)</f>
        <v>#DIV/0!</v>
      </c>
      <c r="Z54" s="53" t="e">
        <f>Z53+ATM_Conf!$C$5*(F53-E53)/(F241*Z241)</f>
        <v>#DIV/0!</v>
      </c>
      <c r="AA54" s="53" t="e">
        <f>AA53+ATM_Conf!$C$5*(G53-F53)/(G241*AA241)</f>
        <v>#DIV/0!</v>
      </c>
      <c r="AB54" s="53" t="e">
        <f>AB53+ATM_Conf!$C$5*(H53-G53)/(H241*AB241)</f>
        <v>#DIV/0!</v>
      </c>
      <c r="AC54" s="53" t="e">
        <f>AC53+ATM_Conf!$C$5*(I53-H53)/(I241*AC241)</f>
        <v>#DIV/0!</v>
      </c>
      <c r="AD54" s="53" t="e">
        <f>AD53+ATM_Conf!$C$5*(J53-I53)/(J241*AD241)</f>
        <v>#DIV/0!</v>
      </c>
      <c r="AE54" s="53" t="e">
        <f>AE53+ATM_Conf!$C$5*(K53-J53)/(K241*AE241)</f>
        <v>#DIV/0!</v>
      </c>
      <c r="AF54" s="53" t="e">
        <f>AF53+ATM_Conf!$C$5*(L53)/(L241*AF241)</f>
        <v>#DIV/0!</v>
      </c>
      <c r="AG54" s="53" t="e">
        <f>AG53+ATM_Conf!$C$5*(M53-L53)/(M241*AG241)</f>
        <v>#DIV/0!</v>
      </c>
      <c r="AH54" s="53" t="e">
        <f>AH53+ATM_Conf!$C$5*(N53-M53)/(N241*AH241)</f>
        <v>#DIV/0!</v>
      </c>
      <c r="AI54" s="53" t="e">
        <f>AI53+ATM_Conf!$C$5*(O53-N53)/(O241*AI241)</f>
        <v>#DIV/0!</v>
      </c>
      <c r="AJ54" s="53" t="e">
        <f>AJ53+ATM_Conf!$C$5*(P53-O53)/(P241*AJ241)</f>
        <v>#DIV/0!</v>
      </c>
      <c r="AK54" s="53" t="e">
        <f>AK53+ATM_Conf!$C$5*(Q53-P53)/(Q241*AK241)</f>
        <v>#DIV/0!</v>
      </c>
      <c r="AL54" s="53" t="e">
        <f>AL53+ATM_Conf!$C$5*(R53-Q53)/(R241*AL241)</f>
        <v>#DIV/0!</v>
      </c>
      <c r="AM54" s="53" t="e">
        <f>AM53+ATM_Conf!$C$5*(S53-R53)/(S241*AM241)</f>
        <v>#DIV/0!</v>
      </c>
      <c r="AN54" s="53" t="e">
        <f>AN53+ATM_Conf!$C$5*(T53-S53)/(T241*AN241)</f>
        <v>#DIV/0!</v>
      </c>
      <c r="AO54" s="53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43">
        <f t="shared" si="35"/>
        <v>0</v>
      </c>
      <c r="DS54" s="43">
        <f t="shared" si="34"/>
        <v>0</v>
      </c>
      <c r="DT54" s="43">
        <f t="shared" si="34"/>
        <v>0</v>
      </c>
      <c r="DU54" s="43">
        <f t="shared" si="34"/>
        <v>0</v>
      </c>
      <c r="DV54" s="43">
        <f t="shared" si="34"/>
        <v>0</v>
      </c>
      <c r="DW54" s="43">
        <f t="shared" si="34"/>
        <v>0</v>
      </c>
      <c r="DX54" s="43">
        <f t="shared" si="34"/>
        <v>0</v>
      </c>
      <c r="DY54" s="43">
        <f t="shared" si="34"/>
        <v>0</v>
      </c>
      <c r="DZ54" s="43">
        <f t="shared" si="34"/>
        <v>0</v>
      </c>
      <c r="EA54" s="43">
        <f t="shared" si="34"/>
        <v>0</v>
      </c>
      <c r="EB54" s="43">
        <f t="shared" si="34"/>
        <v>0</v>
      </c>
      <c r="EC54" s="43">
        <f t="shared" si="34"/>
        <v>0</v>
      </c>
      <c r="ED54" s="43">
        <f t="shared" si="34"/>
        <v>0</v>
      </c>
      <c r="EE54" s="43">
        <f t="shared" si="34"/>
        <v>0</v>
      </c>
      <c r="EF54" s="43">
        <f t="shared" si="34"/>
        <v>0</v>
      </c>
      <c r="EG54" s="43">
        <f t="shared" si="34"/>
        <v>0</v>
      </c>
      <c r="EH54" s="43">
        <f t="shared" si="34"/>
        <v>0</v>
      </c>
      <c r="EI54" s="43">
        <f t="shared" si="34"/>
        <v>0</v>
      </c>
      <c r="EJ54" s="43">
        <f t="shared" si="34"/>
        <v>0</v>
      </c>
      <c r="EK54" s="43">
        <f t="shared" si="34"/>
        <v>0</v>
      </c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</row>
    <row r="55" spans="1:161" ht="14.25" x14ac:dyDescent="0.15">
      <c r="A55" s="46"/>
      <c r="B55" s="43" t="e">
        <f t="shared" si="2"/>
        <v>#DIV/0!</v>
      </c>
      <c r="C55" s="43" t="e">
        <f t="shared" si="3"/>
        <v>#DIV/0!</v>
      </c>
      <c r="D55" s="43" t="e">
        <f t="shared" si="4"/>
        <v>#DIV/0!</v>
      </c>
      <c r="E55" s="43" t="e">
        <f t="shared" si="5"/>
        <v>#DIV/0!</v>
      </c>
      <c r="F55" s="43" t="e">
        <f t="shared" si="6"/>
        <v>#DIV/0!</v>
      </c>
      <c r="G55" s="43" t="e">
        <f t="shared" si="7"/>
        <v>#DIV/0!</v>
      </c>
      <c r="H55" s="43" t="e">
        <f t="shared" si="8"/>
        <v>#DIV/0!</v>
      </c>
      <c r="I55" s="43" t="e">
        <f t="shared" si="9"/>
        <v>#DIV/0!</v>
      </c>
      <c r="J55" s="43" t="e">
        <f t="shared" si="10"/>
        <v>#DIV/0!</v>
      </c>
      <c r="K55" s="43" t="e">
        <f t="shared" si="11"/>
        <v>#DIV/0!</v>
      </c>
      <c r="L55" s="43" t="e">
        <f t="shared" si="12"/>
        <v>#DIV/0!</v>
      </c>
      <c r="M55" s="43" t="e">
        <f t="shared" si="13"/>
        <v>#DIV/0!</v>
      </c>
      <c r="N55" s="43" t="e">
        <f t="shared" si="14"/>
        <v>#DIV/0!</v>
      </c>
      <c r="O55" s="43" t="e">
        <f t="shared" si="15"/>
        <v>#DIV/0!</v>
      </c>
      <c r="P55" s="43" t="e">
        <f t="shared" si="16"/>
        <v>#DIV/0!</v>
      </c>
      <c r="Q55" s="43" t="e">
        <f t="shared" si="17"/>
        <v>#DIV/0!</v>
      </c>
      <c r="R55" s="43" t="e">
        <f t="shared" si="18"/>
        <v>#DIV/0!</v>
      </c>
      <c r="S55" s="43" t="e">
        <f t="shared" si="19"/>
        <v>#DIV/0!</v>
      </c>
      <c r="T55" s="43" t="e">
        <f t="shared" si="20"/>
        <v>#DIV/0!</v>
      </c>
      <c r="U55" s="43" t="e">
        <f t="shared" si="21"/>
        <v>#DIV/0!</v>
      </c>
      <c r="V55" s="53" t="e">
        <f>V54+ATM_Conf!$C$5*(B54)/(B242*V242)</f>
        <v>#DIV/0!</v>
      </c>
      <c r="W55" s="53" t="e">
        <f>W54+ATM_Conf!$C$5*(C54-B54)/(C242*W242)</f>
        <v>#DIV/0!</v>
      </c>
      <c r="X55" s="53" t="e">
        <f>X54+ATM_Conf!$C$5*(D54-C54)/(D242*X242)</f>
        <v>#DIV/0!</v>
      </c>
      <c r="Y55" s="53" t="e">
        <f>Y54+ATM_Conf!$C$5*(E54-D54)/(E242*Y242)</f>
        <v>#DIV/0!</v>
      </c>
      <c r="Z55" s="53" t="e">
        <f>Z54+ATM_Conf!$C$5*(F54-E54)/(F242*Z242)</f>
        <v>#DIV/0!</v>
      </c>
      <c r="AA55" s="53" t="e">
        <f>AA54+ATM_Conf!$C$5*(G54-F54)/(G242*AA242)</f>
        <v>#DIV/0!</v>
      </c>
      <c r="AB55" s="53" t="e">
        <f>AB54+ATM_Conf!$C$5*(H54-G54)/(H242*AB242)</f>
        <v>#DIV/0!</v>
      </c>
      <c r="AC55" s="53" t="e">
        <f>AC54+ATM_Conf!$C$5*(I54-H54)/(I242*AC242)</f>
        <v>#DIV/0!</v>
      </c>
      <c r="AD55" s="53" t="e">
        <f>AD54+ATM_Conf!$C$5*(J54-I54)/(J242*AD242)</f>
        <v>#DIV/0!</v>
      </c>
      <c r="AE55" s="53" t="e">
        <f>AE54+ATM_Conf!$C$5*(K54-J54)/(K242*AE242)</f>
        <v>#DIV/0!</v>
      </c>
      <c r="AF55" s="53" t="e">
        <f>AF54+ATM_Conf!$C$5*(L54)/(L242*AF242)</f>
        <v>#DIV/0!</v>
      </c>
      <c r="AG55" s="53" t="e">
        <f>AG54+ATM_Conf!$C$5*(M54-L54)/(M242*AG242)</f>
        <v>#DIV/0!</v>
      </c>
      <c r="AH55" s="53" t="e">
        <f>AH54+ATM_Conf!$C$5*(N54-M54)/(N242*AH242)</f>
        <v>#DIV/0!</v>
      </c>
      <c r="AI55" s="53" t="e">
        <f>AI54+ATM_Conf!$C$5*(O54-N54)/(O242*AI242)</f>
        <v>#DIV/0!</v>
      </c>
      <c r="AJ55" s="53" t="e">
        <f>AJ54+ATM_Conf!$C$5*(P54-O54)/(P242*AJ242)</f>
        <v>#DIV/0!</v>
      </c>
      <c r="AK55" s="53" t="e">
        <f>AK54+ATM_Conf!$C$5*(Q54-P54)/(Q242*AK242)</f>
        <v>#DIV/0!</v>
      </c>
      <c r="AL55" s="53" t="e">
        <f>AL54+ATM_Conf!$C$5*(R54-Q54)/(R242*AL242)</f>
        <v>#DIV/0!</v>
      </c>
      <c r="AM55" s="53" t="e">
        <f>AM54+ATM_Conf!$C$5*(S54-R54)/(S242*AM242)</f>
        <v>#DIV/0!</v>
      </c>
      <c r="AN55" s="53" t="e">
        <f>AN54+ATM_Conf!$C$5*(T54-S54)/(T242*AN242)</f>
        <v>#DIV/0!</v>
      </c>
      <c r="AO55" s="53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43">
        <f t="shared" si="35"/>
        <v>0</v>
      </c>
      <c r="DS55" s="43">
        <f t="shared" si="34"/>
        <v>0</v>
      </c>
      <c r="DT55" s="43">
        <f t="shared" si="34"/>
        <v>0</v>
      </c>
      <c r="DU55" s="43">
        <f t="shared" si="34"/>
        <v>0</v>
      </c>
      <c r="DV55" s="43">
        <f t="shared" si="34"/>
        <v>0</v>
      </c>
      <c r="DW55" s="43">
        <f t="shared" si="34"/>
        <v>0</v>
      </c>
      <c r="DX55" s="43">
        <f t="shared" si="34"/>
        <v>0</v>
      </c>
      <c r="DY55" s="43">
        <f t="shared" si="34"/>
        <v>0</v>
      </c>
      <c r="DZ55" s="43">
        <f t="shared" si="34"/>
        <v>0</v>
      </c>
      <c r="EA55" s="43">
        <f t="shared" si="34"/>
        <v>0</v>
      </c>
      <c r="EB55" s="43">
        <f t="shared" si="34"/>
        <v>0</v>
      </c>
      <c r="EC55" s="43">
        <f t="shared" si="34"/>
        <v>0</v>
      </c>
      <c r="ED55" s="43">
        <f t="shared" si="34"/>
        <v>0</v>
      </c>
      <c r="EE55" s="43">
        <f t="shared" si="34"/>
        <v>0</v>
      </c>
      <c r="EF55" s="43">
        <f t="shared" si="34"/>
        <v>0</v>
      </c>
      <c r="EG55" s="43">
        <f t="shared" si="34"/>
        <v>0</v>
      </c>
      <c r="EH55" s="43">
        <f t="shared" si="34"/>
        <v>0</v>
      </c>
      <c r="EI55" s="43">
        <f t="shared" si="34"/>
        <v>0</v>
      </c>
      <c r="EJ55" s="43">
        <f t="shared" si="34"/>
        <v>0</v>
      </c>
      <c r="EK55" s="43">
        <f t="shared" si="34"/>
        <v>0</v>
      </c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</row>
    <row r="56" spans="1:161" ht="14.25" x14ac:dyDescent="0.15">
      <c r="A56" s="46"/>
      <c r="B56" s="43" t="e">
        <f t="shared" si="2"/>
        <v>#DIV/0!</v>
      </c>
      <c r="C56" s="43" t="e">
        <f t="shared" si="3"/>
        <v>#DIV/0!</v>
      </c>
      <c r="D56" s="43" t="e">
        <f t="shared" si="4"/>
        <v>#DIV/0!</v>
      </c>
      <c r="E56" s="43" t="e">
        <f t="shared" si="5"/>
        <v>#DIV/0!</v>
      </c>
      <c r="F56" s="43" t="e">
        <f t="shared" si="6"/>
        <v>#DIV/0!</v>
      </c>
      <c r="G56" s="43" t="e">
        <f t="shared" si="7"/>
        <v>#DIV/0!</v>
      </c>
      <c r="H56" s="43" t="e">
        <f t="shared" si="8"/>
        <v>#DIV/0!</v>
      </c>
      <c r="I56" s="43" t="e">
        <f t="shared" si="9"/>
        <v>#DIV/0!</v>
      </c>
      <c r="J56" s="43" t="e">
        <f t="shared" si="10"/>
        <v>#DIV/0!</v>
      </c>
      <c r="K56" s="43" t="e">
        <f t="shared" si="11"/>
        <v>#DIV/0!</v>
      </c>
      <c r="L56" s="43" t="e">
        <f t="shared" si="12"/>
        <v>#DIV/0!</v>
      </c>
      <c r="M56" s="43" t="e">
        <f t="shared" si="13"/>
        <v>#DIV/0!</v>
      </c>
      <c r="N56" s="43" t="e">
        <f t="shared" si="14"/>
        <v>#DIV/0!</v>
      </c>
      <c r="O56" s="43" t="e">
        <f t="shared" si="15"/>
        <v>#DIV/0!</v>
      </c>
      <c r="P56" s="43" t="e">
        <f t="shared" si="16"/>
        <v>#DIV/0!</v>
      </c>
      <c r="Q56" s="43" t="e">
        <f t="shared" si="17"/>
        <v>#DIV/0!</v>
      </c>
      <c r="R56" s="43" t="e">
        <f t="shared" si="18"/>
        <v>#DIV/0!</v>
      </c>
      <c r="S56" s="43" t="e">
        <f t="shared" si="19"/>
        <v>#DIV/0!</v>
      </c>
      <c r="T56" s="43" t="e">
        <f t="shared" si="20"/>
        <v>#DIV/0!</v>
      </c>
      <c r="U56" s="43" t="e">
        <f t="shared" si="21"/>
        <v>#DIV/0!</v>
      </c>
      <c r="V56" s="53" t="e">
        <f>V55+ATM_Conf!$C$5*(B55)/(B243*V243)</f>
        <v>#DIV/0!</v>
      </c>
      <c r="W56" s="53" t="e">
        <f>W55+ATM_Conf!$C$5*(C55-B55)/(C243*W243)</f>
        <v>#DIV/0!</v>
      </c>
      <c r="X56" s="53" t="e">
        <f>X55+ATM_Conf!$C$5*(D55-C55)/(D243*X243)</f>
        <v>#DIV/0!</v>
      </c>
      <c r="Y56" s="53" t="e">
        <f>Y55+ATM_Conf!$C$5*(E55-D55)/(E243*Y243)</f>
        <v>#DIV/0!</v>
      </c>
      <c r="Z56" s="53" t="e">
        <f>Z55+ATM_Conf!$C$5*(F55-E55)/(F243*Z243)</f>
        <v>#DIV/0!</v>
      </c>
      <c r="AA56" s="53" t="e">
        <f>AA55+ATM_Conf!$C$5*(G55-F55)/(G243*AA243)</f>
        <v>#DIV/0!</v>
      </c>
      <c r="AB56" s="53" t="e">
        <f>AB55+ATM_Conf!$C$5*(H55-G55)/(H243*AB243)</f>
        <v>#DIV/0!</v>
      </c>
      <c r="AC56" s="53" t="e">
        <f>AC55+ATM_Conf!$C$5*(I55-H55)/(I243*AC243)</f>
        <v>#DIV/0!</v>
      </c>
      <c r="AD56" s="53" t="e">
        <f>AD55+ATM_Conf!$C$5*(J55-I55)/(J243*AD243)</f>
        <v>#DIV/0!</v>
      </c>
      <c r="AE56" s="53" t="e">
        <f>AE55+ATM_Conf!$C$5*(K55-J55)/(K243*AE243)</f>
        <v>#DIV/0!</v>
      </c>
      <c r="AF56" s="53" t="e">
        <f>AF55+ATM_Conf!$C$5*(L55)/(L243*AF243)</f>
        <v>#DIV/0!</v>
      </c>
      <c r="AG56" s="53" t="e">
        <f>AG55+ATM_Conf!$C$5*(M55-L55)/(M243*AG243)</f>
        <v>#DIV/0!</v>
      </c>
      <c r="AH56" s="53" t="e">
        <f>AH55+ATM_Conf!$C$5*(N55-M55)/(N243*AH243)</f>
        <v>#DIV/0!</v>
      </c>
      <c r="AI56" s="53" t="e">
        <f>AI55+ATM_Conf!$C$5*(O55-N55)/(O243*AI243)</f>
        <v>#DIV/0!</v>
      </c>
      <c r="AJ56" s="53" t="e">
        <f>AJ55+ATM_Conf!$C$5*(P55-O55)/(P243*AJ243)</f>
        <v>#DIV/0!</v>
      </c>
      <c r="AK56" s="53" t="e">
        <f>AK55+ATM_Conf!$C$5*(Q55-P55)/(Q243*AK243)</f>
        <v>#DIV/0!</v>
      </c>
      <c r="AL56" s="53" t="e">
        <f>AL55+ATM_Conf!$C$5*(R55-Q55)/(R243*AL243)</f>
        <v>#DIV/0!</v>
      </c>
      <c r="AM56" s="53" t="e">
        <f>AM55+ATM_Conf!$C$5*(S55-R55)/(S243*AM243)</f>
        <v>#DIV/0!</v>
      </c>
      <c r="AN56" s="53" t="e">
        <f>AN55+ATM_Conf!$C$5*(T55-S55)/(T243*AN243)</f>
        <v>#DIV/0!</v>
      </c>
      <c r="AO56" s="53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43">
        <f t="shared" si="35"/>
        <v>0</v>
      </c>
      <c r="DS56" s="43">
        <f t="shared" si="34"/>
        <v>0</v>
      </c>
      <c r="DT56" s="43">
        <f t="shared" si="34"/>
        <v>0</v>
      </c>
      <c r="DU56" s="43">
        <f t="shared" si="34"/>
        <v>0</v>
      </c>
      <c r="DV56" s="43">
        <f t="shared" si="34"/>
        <v>0</v>
      </c>
      <c r="DW56" s="43">
        <f t="shared" si="34"/>
        <v>0</v>
      </c>
      <c r="DX56" s="43">
        <f t="shared" si="34"/>
        <v>0</v>
      </c>
      <c r="DY56" s="43">
        <f t="shared" si="34"/>
        <v>0</v>
      </c>
      <c r="DZ56" s="43">
        <f t="shared" si="34"/>
        <v>0</v>
      </c>
      <c r="EA56" s="43">
        <f t="shared" si="34"/>
        <v>0</v>
      </c>
      <c r="EB56" s="43">
        <f t="shared" si="34"/>
        <v>0</v>
      </c>
      <c r="EC56" s="43">
        <f t="shared" si="34"/>
        <v>0</v>
      </c>
      <c r="ED56" s="43">
        <f t="shared" si="34"/>
        <v>0</v>
      </c>
      <c r="EE56" s="43">
        <f t="shared" si="34"/>
        <v>0</v>
      </c>
      <c r="EF56" s="43">
        <f t="shared" si="34"/>
        <v>0</v>
      </c>
      <c r="EG56" s="43">
        <f t="shared" si="34"/>
        <v>0</v>
      </c>
      <c r="EH56" s="43">
        <f t="shared" si="34"/>
        <v>0</v>
      </c>
      <c r="EI56" s="43">
        <f t="shared" si="34"/>
        <v>0</v>
      </c>
      <c r="EJ56" s="43">
        <f t="shared" si="34"/>
        <v>0</v>
      </c>
      <c r="EK56" s="43">
        <f t="shared" si="34"/>
        <v>0</v>
      </c>
      <c r="EL56" s="47"/>
      <c r="EM56" s="47"/>
      <c r="EN56" s="47"/>
      <c r="EO56" s="47"/>
      <c r="EP56" s="47"/>
      <c r="EQ56" s="47"/>
      <c r="ER56" s="47"/>
      <c r="ES56" s="47"/>
      <c r="ET56" s="47"/>
      <c r="EU56" s="47"/>
      <c r="EV56" s="47"/>
      <c r="EW56" s="47"/>
      <c r="EX56" s="47"/>
      <c r="EY56" s="47"/>
      <c r="EZ56" s="47"/>
      <c r="FA56" s="47"/>
      <c r="FB56" s="47"/>
      <c r="FC56" s="47"/>
      <c r="FD56" s="47"/>
      <c r="FE56" s="47"/>
    </row>
    <row r="57" spans="1:161" ht="14.25" x14ac:dyDescent="0.15">
      <c r="A57" s="46"/>
      <c r="B57" s="43" t="e">
        <f t="shared" si="2"/>
        <v>#DIV/0!</v>
      </c>
      <c r="C57" s="43" t="e">
        <f t="shared" si="3"/>
        <v>#DIV/0!</v>
      </c>
      <c r="D57" s="43" t="e">
        <f t="shared" si="4"/>
        <v>#DIV/0!</v>
      </c>
      <c r="E57" s="43" t="e">
        <f t="shared" si="5"/>
        <v>#DIV/0!</v>
      </c>
      <c r="F57" s="43" t="e">
        <f t="shared" si="6"/>
        <v>#DIV/0!</v>
      </c>
      <c r="G57" s="43" t="e">
        <f t="shared" si="7"/>
        <v>#DIV/0!</v>
      </c>
      <c r="H57" s="43" t="e">
        <f t="shared" si="8"/>
        <v>#DIV/0!</v>
      </c>
      <c r="I57" s="43" t="e">
        <f t="shared" si="9"/>
        <v>#DIV/0!</v>
      </c>
      <c r="J57" s="43" t="e">
        <f t="shared" si="10"/>
        <v>#DIV/0!</v>
      </c>
      <c r="K57" s="43" t="e">
        <f t="shared" si="11"/>
        <v>#DIV/0!</v>
      </c>
      <c r="L57" s="43" t="e">
        <f t="shared" si="12"/>
        <v>#DIV/0!</v>
      </c>
      <c r="M57" s="43" t="e">
        <f t="shared" si="13"/>
        <v>#DIV/0!</v>
      </c>
      <c r="N57" s="43" t="e">
        <f t="shared" si="14"/>
        <v>#DIV/0!</v>
      </c>
      <c r="O57" s="43" t="e">
        <f t="shared" si="15"/>
        <v>#DIV/0!</v>
      </c>
      <c r="P57" s="43" t="e">
        <f t="shared" si="16"/>
        <v>#DIV/0!</v>
      </c>
      <c r="Q57" s="43" t="e">
        <f t="shared" si="17"/>
        <v>#DIV/0!</v>
      </c>
      <c r="R57" s="43" t="e">
        <f t="shared" si="18"/>
        <v>#DIV/0!</v>
      </c>
      <c r="S57" s="43" t="e">
        <f t="shared" si="19"/>
        <v>#DIV/0!</v>
      </c>
      <c r="T57" s="43" t="e">
        <f t="shared" si="20"/>
        <v>#DIV/0!</v>
      </c>
      <c r="U57" s="43" t="e">
        <f t="shared" si="21"/>
        <v>#DIV/0!</v>
      </c>
      <c r="V57" s="53" t="e">
        <f>V56+ATM_Conf!$C$5*(B56)/(B244*V244)</f>
        <v>#DIV/0!</v>
      </c>
      <c r="W57" s="53" t="e">
        <f>W56+ATM_Conf!$C$5*(C56-B56)/(C244*W244)</f>
        <v>#DIV/0!</v>
      </c>
      <c r="X57" s="53" t="e">
        <f>X56+ATM_Conf!$C$5*(D56-C56)/(D244*X244)</f>
        <v>#DIV/0!</v>
      </c>
      <c r="Y57" s="53" t="e">
        <f>Y56+ATM_Conf!$C$5*(E56-D56)/(E244*Y244)</f>
        <v>#DIV/0!</v>
      </c>
      <c r="Z57" s="53" t="e">
        <f>Z56+ATM_Conf!$C$5*(F56-E56)/(F244*Z244)</f>
        <v>#DIV/0!</v>
      </c>
      <c r="AA57" s="53" t="e">
        <f>AA56+ATM_Conf!$C$5*(G56-F56)/(G244*AA244)</f>
        <v>#DIV/0!</v>
      </c>
      <c r="AB57" s="53" t="e">
        <f>AB56+ATM_Conf!$C$5*(H56-G56)/(H244*AB244)</f>
        <v>#DIV/0!</v>
      </c>
      <c r="AC57" s="53" t="e">
        <f>AC56+ATM_Conf!$C$5*(I56-H56)/(I244*AC244)</f>
        <v>#DIV/0!</v>
      </c>
      <c r="AD57" s="53" t="e">
        <f>AD56+ATM_Conf!$C$5*(J56-I56)/(J244*AD244)</f>
        <v>#DIV/0!</v>
      </c>
      <c r="AE57" s="53" t="e">
        <f>AE56+ATM_Conf!$C$5*(K56-J56)/(K244*AE244)</f>
        <v>#DIV/0!</v>
      </c>
      <c r="AF57" s="53" t="e">
        <f>AF56+ATM_Conf!$C$5*(L56)/(L244*AF244)</f>
        <v>#DIV/0!</v>
      </c>
      <c r="AG57" s="53" t="e">
        <f>AG56+ATM_Conf!$C$5*(M56-L56)/(M244*AG244)</f>
        <v>#DIV/0!</v>
      </c>
      <c r="AH57" s="53" t="e">
        <f>AH56+ATM_Conf!$C$5*(N56-M56)/(N244*AH244)</f>
        <v>#DIV/0!</v>
      </c>
      <c r="AI57" s="53" t="e">
        <f>AI56+ATM_Conf!$C$5*(O56-N56)/(O244*AI244)</f>
        <v>#DIV/0!</v>
      </c>
      <c r="AJ57" s="53" t="e">
        <f>AJ56+ATM_Conf!$C$5*(P56-O56)/(P244*AJ244)</f>
        <v>#DIV/0!</v>
      </c>
      <c r="AK57" s="53" t="e">
        <f>AK56+ATM_Conf!$C$5*(Q56-P56)/(Q244*AK244)</f>
        <v>#DIV/0!</v>
      </c>
      <c r="AL57" s="53" t="e">
        <f>AL56+ATM_Conf!$C$5*(R56-Q56)/(R244*AL244)</f>
        <v>#DIV/0!</v>
      </c>
      <c r="AM57" s="53" t="e">
        <f>AM56+ATM_Conf!$C$5*(S56-R56)/(S244*AM244)</f>
        <v>#DIV/0!</v>
      </c>
      <c r="AN57" s="53" t="e">
        <f>AN56+ATM_Conf!$C$5*(T56-S56)/(T244*AN244)</f>
        <v>#DIV/0!</v>
      </c>
      <c r="AO57" s="53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43">
        <f t="shared" si="35"/>
        <v>0</v>
      </c>
      <c r="DS57" s="43">
        <f t="shared" si="34"/>
        <v>0</v>
      </c>
      <c r="DT57" s="43">
        <f t="shared" si="34"/>
        <v>0</v>
      </c>
      <c r="DU57" s="43">
        <f t="shared" si="34"/>
        <v>0</v>
      </c>
      <c r="DV57" s="43">
        <f t="shared" si="34"/>
        <v>0</v>
      </c>
      <c r="DW57" s="43">
        <f t="shared" si="34"/>
        <v>0</v>
      </c>
      <c r="DX57" s="43">
        <f t="shared" si="34"/>
        <v>0</v>
      </c>
      <c r="DY57" s="43">
        <f t="shared" si="34"/>
        <v>0</v>
      </c>
      <c r="DZ57" s="43">
        <f t="shared" si="34"/>
        <v>0</v>
      </c>
      <c r="EA57" s="43">
        <f t="shared" si="34"/>
        <v>0</v>
      </c>
      <c r="EB57" s="43">
        <f t="shared" si="34"/>
        <v>0</v>
      </c>
      <c r="EC57" s="43">
        <f t="shared" si="34"/>
        <v>0</v>
      </c>
      <c r="ED57" s="43">
        <f t="shared" si="34"/>
        <v>0</v>
      </c>
      <c r="EE57" s="43">
        <f t="shared" si="34"/>
        <v>0</v>
      </c>
      <c r="EF57" s="43">
        <f t="shared" si="34"/>
        <v>0</v>
      </c>
      <c r="EG57" s="43">
        <f t="shared" si="34"/>
        <v>0</v>
      </c>
      <c r="EH57" s="43">
        <f t="shared" si="34"/>
        <v>0</v>
      </c>
      <c r="EI57" s="43">
        <f t="shared" si="34"/>
        <v>0</v>
      </c>
      <c r="EJ57" s="43">
        <f t="shared" si="34"/>
        <v>0</v>
      </c>
      <c r="EK57" s="43">
        <f t="shared" si="34"/>
        <v>0</v>
      </c>
      <c r="EL57" s="47"/>
      <c r="EM57" s="47"/>
      <c r="EN57" s="47"/>
      <c r="EO57" s="47"/>
      <c r="EP57" s="47"/>
      <c r="EQ57" s="47"/>
      <c r="ER57" s="47"/>
      <c r="ES57" s="47"/>
      <c r="ET57" s="47"/>
      <c r="EU57" s="47"/>
      <c r="EV57" s="47"/>
      <c r="EW57" s="47"/>
      <c r="EX57" s="47"/>
      <c r="EY57" s="47"/>
      <c r="EZ57" s="47"/>
      <c r="FA57" s="47"/>
      <c r="FB57" s="47"/>
      <c r="FC57" s="47"/>
      <c r="FD57" s="47"/>
      <c r="FE57" s="47"/>
    </row>
    <row r="58" spans="1:161" ht="14.25" x14ac:dyDescent="0.15">
      <c r="A58" s="46"/>
      <c r="B58" s="43" t="e">
        <f t="shared" si="2"/>
        <v>#DIV/0!</v>
      </c>
      <c r="C58" s="43" t="e">
        <f t="shared" si="3"/>
        <v>#DIV/0!</v>
      </c>
      <c r="D58" s="43" t="e">
        <f t="shared" si="4"/>
        <v>#DIV/0!</v>
      </c>
      <c r="E58" s="43" t="e">
        <f t="shared" si="5"/>
        <v>#DIV/0!</v>
      </c>
      <c r="F58" s="43" t="e">
        <f t="shared" si="6"/>
        <v>#DIV/0!</v>
      </c>
      <c r="G58" s="43" t="e">
        <f t="shared" si="7"/>
        <v>#DIV/0!</v>
      </c>
      <c r="H58" s="43" t="e">
        <f t="shared" si="8"/>
        <v>#DIV/0!</v>
      </c>
      <c r="I58" s="43" t="e">
        <f t="shared" si="9"/>
        <v>#DIV/0!</v>
      </c>
      <c r="J58" s="43" t="e">
        <f t="shared" si="10"/>
        <v>#DIV/0!</v>
      </c>
      <c r="K58" s="43" t="e">
        <f t="shared" si="11"/>
        <v>#DIV/0!</v>
      </c>
      <c r="L58" s="43" t="e">
        <f t="shared" si="12"/>
        <v>#DIV/0!</v>
      </c>
      <c r="M58" s="43" t="e">
        <f t="shared" si="13"/>
        <v>#DIV/0!</v>
      </c>
      <c r="N58" s="43" t="e">
        <f t="shared" si="14"/>
        <v>#DIV/0!</v>
      </c>
      <c r="O58" s="43" t="e">
        <f t="shared" si="15"/>
        <v>#DIV/0!</v>
      </c>
      <c r="P58" s="43" t="e">
        <f t="shared" si="16"/>
        <v>#DIV/0!</v>
      </c>
      <c r="Q58" s="43" t="e">
        <f t="shared" si="17"/>
        <v>#DIV/0!</v>
      </c>
      <c r="R58" s="43" t="e">
        <f t="shared" si="18"/>
        <v>#DIV/0!</v>
      </c>
      <c r="S58" s="43" t="e">
        <f t="shared" si="19"/>
        <v>#DIV/0!</v>
      </c>
      <c r="T58" s="43" t="e">
        <f t="shared" si="20"/>
        <v>#DIV/0!</v>
      </c>
      <c r="U58" s="43" t="e">
        <f t="shared" si="21"/>
        <v>#DIV/0!</v>
      </c>
      <c r="V58" s="53" t="e">
        <f>V57+ATM_Conf!$C$5*(B57)/(B245*V245)</f>
        <v>#DIV/0!</v>
      </c>
      <c r="W58" s="53" t="e">
        <f>W57+ATM_Conf!$C$5*(C57-B57)/(C245*W245)</f>
        <v>#DIV/0!</v>
      </c>
      <c r="X58" s="53" t="e">
        <f>X57+ATM_Conf!$C$5*(D57-C57)/(D245*X245)</f>
        <v>#DIV/0!</v>
      </c>
      <c r="Y58" s="53" t="e">
        <f>Y57+ATM_Conf!$C$5*(E57-D57)/(E245*Y245)</f>
        <v>#DIV/0!</v>
      </c>
      <c r="Z58" s="53" t="e">
        <f>Z57+ATM_Conf!$C$5*(F57-E57)/(F245*Z245)</f>
        <v>#DIV/0!</v>
      </c>
      <c r="AA58" s="53" t="e">
        <f>AA57+ATM_Conf!$C$5*(G57-F57)/(G245*AA245)</f>
        <v>#DIV/0!</v>
      </c>
      <c r="AB58" s="53" t="e">
        <f>AB57+ATM_Conf!$C$5*(H57-G57)/(H245*AB245)</f>
        <v>#DIV/0!</v>
      </c>
      <c r="AC58" s="53" t="e">
        <f>AC57+ATM_Conf!$C$5*(I57-H57)/(I245*AC245)</f>
        <v>#DIV/0!</v>
      </c>
      <c r="AD58" s="53" t="e">
        <f>AD57+ATM_Conf!$C$5*(J57-I57)/(J245*AD245)</f>
        <v>#DIV/0!</v>
      </c>
      <c r="AE58" s="53" t="e">
        <f>AE57+ATM_Conf!$C$5*(K57-J57)/(K245*AE245)</f>
        <v>#DIV/0!</v>
      </c>
      <c r="AF58" s="53" t="e">
        <f>AF57+ATM_Conf!$C$5*(L57)/(L245*AF245)</f>
        <v>#DIV/0!</v>
      </c>
      <c r="AG58" s="53" t="e">
        <f>AG57+ATM_Conf!$C$5*(M57-L57)/(M245*AG245)</f>
        <v>#DIV/0!</v>
      </c>
      <c r="AH58" s="53" t="e">
        <f>AH57+ATM_Conf!$C$5*(N57-M57)/(N245*AH245)</f>
        <v>#DIV/0!</v>
      </c>
      <c r="AI58" s="53" t="e">
        <f>AI57+ATM_Conf!$C$5*(O57-N57)/(O245*AI245)</f>
        <v>#DIV/0!</v>
      </c>
      <c r="AJ58" s="53" t="e">
        <f>AJ57+ATM_Conf!$C$5*(P57-O57)/(P245*AJ245)</f>
        <v>#DIV/0!</v>
      </c>
      <c r="AK58" s="53" t="e">
        <f>AK57+ATM_Conf!$C$5*(Q57-P57)/(Q245*AK245)</f>
        <v>#DIV/0!</v>
      </c>
      <c r="AL58" s="53" t="e">
        <f>AL57+ATM_Conf!$C$5*(R57-Q57)/(R245*AL245)</f>
        <v>#DIV/0!</v>
      </c>
      <c r="AM58" s="53" t="e">
        <f>AM57+ATM_Conf!$C$5*(S57-R57)/(S245*AM245)</f>
        <v>#DIV/0!</v>
      </c>
      <c r="AN58" s="53" t="e">
        <f>AN57+ATM_Conf!$C$5*(T57-S57)/(T245*AN245)</f>
        <v>#DIV/0!</v>
      </c>
      <c r="AO58" s="53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43">
        <f t="shared" si="35"/>
        <v>0</v>
      </c>
      <c r="DS58" s="43">
        <f t="shared" si="34"/>
        <v>0</v>
      </c>
      <c r="DT58" s="43">
        <f t="shared" si="34"/>
        <v>0</v>
      </c>
      <c r="DU58" s="43">
        <f t="shared" si="34"/>
        <v>0</v>
      </c>
      <c r="DV58" s="43">
        <f t="shared" si="34"/>
        <v>0</v>
      </c>
      <c r="DW58" s="43">
        <f t="shared" si="34"/>
        <v>0</v>
      </c>
      <c r="DX58" s="43">
        <f t="shared" si="34"/>
        <v>0</v>
      </c>
      <c r="DY58" s="43">
        <f t="shared" si="34"/>
        <v>0</v>
      </c>
      <c r="DZ58" s="43">
        <f t="shared" si="34"/>
        <v>0</v>
      </c>
      <c r="EA58" s="43">
        <f t="shared" si="34"/>
        <v>0</v>
      </c>
      <c r="EB58" s="43">
        <f t="shared" si="34"/>
        <v>0</v>
      </c>
      <c r="EC58" s="43">
        <f t="shared" si="34"/>
        <v>0</v>
      </c>
      <c r="ED58" s="43">
        <f t="shared" si="34"/>
        <v>0</v>
      </c>
      <c r="EE58" s="43">
        <f t="shared" si="34"/>
        <v>0</v>
      </c>
      <c r="EF58" s="43">
        <f t="shared" si="34"/>
        <v>0</v>
      </c>
      <c r="EG58" s="43">
        <f t="shared" si="34"/>
        <v>0</v>
      </c>
      <c r="EH58" s="43">
        <f t="shared" si="34"/>
        <v>0</v>
      </c>
      <c r="EI58" s="43">
        <f t="shared" si="34"/>
        <v>0</v>
      </c>
      <c r="EJ58" s="43">
        <f t="shared" si="34"/>
        <v>0</v>
      </c>
      <c r="EK58" s="43">
        <f t="shared" si="34"/>
        <v>0</v>
      </c>
      <c r="EL58" s="47"/>
      <c r="EM58" s="47"/>
      <c r="EN58" s="47"/>
      <c r="EO58" s="47"/>
      <c r="EP58" s="47"/>
      <c r="EQ58" s="47"/>
      <c r="ER58" s="47"/>
      <c r="ES58" s="47"/>
      <c r="ET58" s="47"/>
      <c r="EU58" s="47"/>
      <c r="EV58" s="47"/>
      <c r="EW58" s="47"/>
      <c r="EX58" s="47"/>
      <c r="EY58" s="47"/>
      <c r="EZ58" s="47"/>
      <c r="FA58" s="47"/>
      <c r="FB58" s="47"/>
      <c r="FC58" s="47"/>
      <c r="FD58" s="47"/>
      <c r="FE58" s="47"/>
    </row>
    <row r="59" spans="1:161" ht="14.25" x14ac:dyDescent="0.15">
      <c r="A59" s="46"/>
      <c r="B59" s="43" t="e">
        <f t="shared" si="2"/>
        <v>#DIV/0!</v>
      </c>
      <c r="C59" s="43" t="e">
        <f t="shared" si="3"/>
        <v>#DIV/0!</v>
      </c>
      <c r="D59" s="43" t="e">
        <f t="shared" si="4"/>
        <v>#DIV/0!</v>
      </c>
      <c r="E59" s="43" t="e">
        <f t="shared" si="5"/>
        <v>#DIV/0!</v>
      </c>
      <c r="F59" s="43" t="e">
        <f t="shared" si="6"/>
        <v>#DIV/0!</v>
      </c>
      <c r="G59" s="43" t="e">
        <f t="shared" si="7"/>
        <v>#DIV/0!</v>
      </c>
      <c r="H59" s="43" t="e">
        <f t="shared" si="8"/>
        <v>#DIV/0!</v>
      </c>
      <c r="I59" s="43" t="e">
        <f t="shared" si="9"/>
        <v>#DIV/0!</v>
      </c>
      <c r="J59" s="43" t="e">
        <f t="shared" si="10"/>
        <v>#DIV/0!</v>
      </c>
      <c r="K59" s="43" t="e">
        <f t="shared" si="11"/>
        <v>#DIV/0!</v>
      </c>
      <c r="L59" s="43" t="e">
        <f t="shared" si="12"/>
        <v>#DIV/0!</v>
      </c>
      <c r="M59" s="43" t="e">
        <f t="shared" si="13"/>
        <v>#DIV/0!</v>
      </c>
      <c r="N59" s="43" t="e">
        <f t="shared" si="14"/>
        <v>#DIV/0!</v>
      </c>
      <c r="O59" s="43" t="e">
        <f t="shared" si="15"/>
        <v>#DIV/0!</v>
      </c>
      <c r="P59" s="43" t="e">
        <f t="shared" si="16"/>
        <v>#DIV/0!</v>
      </c>
      <c r="Q59" s="43" t="e">
        <f t="shared" si="17"/>
        <v>#DIV/0!</v>
      </c>
      <c r="R59" s="43" t="e">
        <f t="shared" si="18"/>
        <v>#DIV/0!</v>
      </c>
      <c r="S59" s="43" t="e">
        <f t="shared" si="19"/>
        <v>#DIV/0!</v>
      </c>
      <c r="T59" s="43" t="e">
        <f t="shared" si="20"/>
        <v>#DIV/0!</v>
      </c>
      <c r="U59" s="43" t="e">
        <f t="shared" si="21"/>
        <v>#DIV/0!</v>
      </c>
      <c r="V59" s="53" t="e">
        <f>V58+ATM_Conf!$C$5*(B58)/(B246*V246)</f>
        <v>#DIV/0!</v>
      </c>
      <c r="W59" s="53" t="e">
        <f>W58+ATM_Conf!$C$5*(C58-B58)/(C246*W246)</f>
        <v>#DIV/0!</v>
      </c>
      <c r="X59" s="53" t="e">
        <f>X58+ATM_Conf!$C$5*(D58-C58)/(D246*X246)</f>
        <v>#DIV/0!</v>
      </c>
      <c r="Y59" s="53" t="e">
        <f>Y58+ATM_Conf!$C$5*(E58-D58)/(E246*Y246)</f>
        <v>#DIV/0!</v>
      </c>
      <c r="Z59" s="53" t="e">
        <f>Z58+ATM_Conf!$C$5*(F58-E58)/(F246*Z246)</f>
        <v>#DIV/0!</v>
      </c>
      <c r="AA59" s="53" t="e">
        <f>AA58+ATM_Conf!$C$5*(G58-F58)/(G246*AA246)</f>
        <v>#DIV/0!</v>
      </c>
      <c r="AB59" s="53" t="e">
        <f>AB58+ATM_Conf!$C$5*(H58-G58)/(H246*AB246)</f>
        <v>#DIV/0!</v>
      </c>
      <c r="AC59" s="53" t="e">
        <f>AC58+ATM_Conf!$C$5*(I58-H58)/(I246*AC246)</f>
        <v>#DIV/0!</v>
      </c>
      <c r="AD59" s="53" t="e">
        <f>AD58+ATM_Conf!$C$5*(J58-I58)/(J246*AD246)</f>
        <v>#DIV/0!</v>
      </c>
      <c r="AE59" s="53" t="e">
        <f>AE58+ATM_Conf!$C$5*(K58-J58)/(K246*AE246)</f>
        <v>#DIV/0!</v>
      </c>
      <c r="AF59" s="53" t="e">
        <f>AF58+ATM_Conf!$C$5*(L58)/(L246*AF246)</f>
        <v>#DIV/0!</v>
      </c>
      <c r="AG59" s="53" t="e">
        <f>AG58+ATM_Conf!$C$5*(M58-L58)/(M246*AG246)</f>
        <v>#DIV/0!</v>
      </c>
      <c r="AH59" s="53" t="e">
        <f>AH58+ATM_Conf!$C$5*(N58-M58)/(N246*AH246)</f>
        <v>#DIV/0!</v>
      </c>
      <c r="AI59" s="53" t="e">
        <f>AI58+ATM_Conf!$C$5*(O58-N58)/(O246*AI246)</f>
        <v>#DIV/0!</v>
      </c>
      <c r="AJ59" s="53" t="e">
        <f>AJ58+ATM_Conf!$C$5*(P58-O58)/(P246*AJ246)</f>
        <v>#DIV/0!</v>
      </c>
      <c r="AK59" s="53" t="e">
        <f>AK58+ATM_Conf!$C$5*(Q58-P58)/(Q246*AK246)</f>
        <v>#DIV/0!</v>
      </c>
      <c r="AL59" s="53" t="e">
        <f>AL58+ATM_Conf!$C$5*(R58-Q58)/(R246*AL246)</f>
        <v>#DIV/0!</v>
      </c>
      <c r="AM59" s="53" t="e">
        <f>AM58+ATM_Conf!$C$5*(S58-R58)/(S246*AM246)</f>
        <v>#DIV/0!</v>
      </c>
      <c r="AN59" s="53" t="e">
        <f>AN58+ATM_Conf!$C$5*(T58-S58)/(T246*AN246)</f>
        <v>#DIV/0!</v>
      </c>
      <c r="AO59" s="53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43">
        <f t="shared" si="35"/>
        <v>0</v>
      </c>
      <c r="DS59" s="43">
        <f t="shared" si="34"/>
        <v>0</v>
      </c>
      <c r="DT59" s="43">
        <f t="shared" si="34"/>
        <v>0</v>
      </c>
      <c r="DU59" s="43">
        <f t="shared" si="34"/>
        <v>0</v>
      </c>
      <c r="DV59" s="43">
        <f t="shared" si="34"/>
        <v>0</v>
      </c>
      <c r="DW59" s="43">
        <f t="shared" si="34"/>
        <v>0</v>
      </c>
      <c r="DX59" s="43">
        <f t="shared" si="34"/>
        <v>0</v>
      </c>
      <c r="DY59" s="43">
        <f t="shared" si="34"/>
        <v>0</v>
      </c>
      <c r="DZ59" s="43">
        <f t="shared" si="34"/>
        <v>0</v>
      </c>
      <c r="EA59" s="43">
        <f t="shared" si="34"/>
        <v>0</v>
      </c>
      <c r="EB59" s="43">
        <f t="shared" si="34"/>
        <v>0</v>
      </c>
      <c r="EC59" s="43">
        <f t="shared" si="34"/>
        <v>0</v>
      </c>
      <c r="ED59" s="43">
        <f t="shared" si="34"/>
        <v>0</v>
      </c>
      <c r="EE59" s="43">
        <f t="shared" si="34"/>
        <v>0</v>
      </c>
      <c r="EF59" s="43">
        <f t="shared" si="34"/>
        <v>0</v>
      </c>
      <c r="EG59" s="43">
        <f t="shared" si="34"/>
        <v>0</v>
      </c>
      <c r="EH59" s="43">
        <f t="shared" si="34"/>
        <v>0</v>
      </c>
      <c r="EI59" s="43">
        <f t="shared" si="34"/>
        <v>0</v>
      </c>
      <c r="EJ59" s="43">
        <f t="shared" si="34"/>
        <v>0</v>
      </c>
      <c r="EK59" s="43">
        <f t="shared" si="34"/>
        <v>0</v>
      </c>
      <c r="EL59" s="47"/>
      <c r="EM59" s="47"/>
      <c r="EN59" s="47"/>
      <c r="EO59" s="47"/>
      <c r="EP59" s="47"/>
      <c r="EQ59" s="47"/>
      <c r="ER59" s="47"/>
      <c r="ES59" s="47"/>
      <c r="ET59" s="47"/>
      <c r="EU59" s="47"/>
      <c r="EV59" s="47"/>
      <c r="EW59" s="47"/>
      <c r="EX59" s="47"/>
      <c r="EY59" s="47"/>
      <c r="EZ59" s="47"/>
      <c r="FA59" s="47"/>
      <c r="FB59" s="47"/>
      <c r="FC59" s="47"/>
      <c r="FD59" s="47"/>
      <c r="FE59" s="47"/>
    </row>
    <row r="60" spans="1:161" ht="14.25" x14ac:dyDescent="0.15">
      <c r="A60" s="46"/>
      <c r="B60" s="43" t="e">
        <f t="shared" si="2"/>
        <v>#DIV/0!</v>
      </c>
      <c r="C60" s="43" t="e">
        <f t="shared" si="3"/>
        <v>#DIV/0!</v>
      </c>
      <c r="D60" s="43" t="e">
        <f t="shared" si="4"/>
        <v>#DIV/0!</v>
      </c>
      <c r="E60" s="43" t="e">
        <f t="shared" si="5"/>
        <v>#DIV/0!</v>
      </c>
      <c r="F60" s="43" t="e">
        <f t="shared" si="6"/>
        <v>#DIV/0!</v>
      </c>
      <c r="G60" s="43" t="e">
        <f t="shared" si="7"/>
        <v>#DIV/0!</v>
      </c>
      <c r="H60" s="43" t="e">
        <f t="shared" si="8"/>
        <v>#DIV/0!</v>
      </c>
      <c r="I60" s="43" t="e">
        <f t="shared" si="9"/>
        <v>#DIV/0!</v>
      </c>
      <c r="J60" s="43" t="e">
        <f t="shared" si="10"/>
        <v>#DIV/0!</v>
      </c>
      <c r="K60" s="43" t="e">
        <f t="shared" si="11"/>
        <v>#DIV/0!</v>
      </c>
      <c r="L60" s="43" t="e">
        <f t="shared" si="12"/>
        <v>#DIV/0!</v>
      </c>
      <c r="M60" s="43" t="e">
        <f t="shared" si="13"/>
        <v>#DIV/0!</v>
      </c>
      <c r="N60" s="43" t="e">
        <f t="shared" si="14"/>
        <v>#DIV/0!</v>
      </c>
      <c r="O60" s="43" t="e">
        <f t="shared" si="15"/>
        <v>#DIV/0!</v>
      </c>
      <c r="P60" s="43" t="e">
        <f t="shared" si="16"/>
        <v>#DIV/0!</v>
      </c>
      <c r="Q60" s="43" t="e">
        <f t="shared" si="17"/>
        <v>#DIV/0!</v>
      </c>
      <c r="R60" s="43" t="e">
        <f t="shared" si="18"/>
        <v>#DIV/0!</v>
      </c>
      <c r="S60" s="43" t="e">
        <f t="shared" si="19"/>
        <v>#DIV/0!</v>
      </c>
      <c r="T60" s="43" t="e">
        <f t="shared" si="20"/>
        <v>#DIV/0!</v>
      </c>
      <c r="U60" s="43" t="e">
        <f t="shared" si="21"/>
        <v>#DIV/0!</v>
      </c>
      <c r="V60" s="53" t="e">
        <f>V59+ATM_Conf!$C$5*(B59)/(B247*V247)</f>
        <v>#DIV/0!</v>
      </c>
      <c r="W60" s="53" t="e">
        <f>W59+ATM_Conf!$C$5*(C59-B59)/(C247*W247)</f>
        <v>#DIV/0!</v>
      </c>
      <c r="X60" s="53" t="e">
        <f>X59+ATM_Conf!$C$5*(D59-C59)/(D247*X247)</f>
        <v>#DIV/0!</v>
      </c>
      <c r="Y60" s="53" t="e">
        <f>Y59+ATM_Conf!$C$5*(E59-D59)/(E247*Y247)</f>
        <v>#DIV/0!</v>
      </c>
      <c r="Z60" s="53" t="e">
        <f>Z59+ATM_Conf!$C$5*(F59-E59)/(F247*Z247)</f>
        <v>#DIV/0!</v>
      </c>
      <c r="AA60" s="53" t="e">
        <f>AA59+ATM_Conf!$C$5*(G59-F59)/(G247*AA247)</f>
        <v>#DIV/0!</v>
      </c>
      <c r="AB60" s="53" t="e">
        <f>AB59+ATM_Conf!$C$5*(H59-G59)/(H247*AB247)</f>
        <v>#DIV/0!</v>
      </c>
      <c r="AC60" s="53" t="e">
        <f>AC59+ATM_Conf!$C$5*(I59-H59)/(I247*AC247)</f>
        <v>#DIV/0!</v>
      </c>
      <c r="AD60" s="53" t="e">
        <f>AD59+ATM_Conf!$C$5*(J59-I59)/(J247*AD247)</f>
        <v>#DIV/0!</v>
      </c>
      <c r="AE60" s="53" t="e">
        <f>AE59+ATM_Conf!$C$5*(K59-J59)/(K247*AE247)</f>
        <v>#DIV/0!</v>
      </c>
      <c r="AF60" s="53" t="e">
        <f>AF59+ATM_Conf!$C$5*(L59)/(L247*AF247)</f>
        <v>#DIV/0!</v>
      </c>
      <c r="AG60" s="53" t="e">
        <f>AG59+ATM_Conf!$C$5*(M59-L59)/(M247*AG247)</f>
        <v>#DIV/0!</v>
      </c>
      <c r="AH60" s="53" t="e">
        <f>AH59+ATM_Conf!$C$5*(N59-M59)/(N247*AH247)</f>
        <v>#DIV/0!</v>
      </c>
      <c r="AI60" s="53" t="e">
        <f>AI59+ATM_Conf!$C$5*(O59-N59)/(O247*AI247)</f>
        <v>#DIV/0!</v>
      </c>
      <c r="AJ60" s="53" t="e">
        <f>AJ59+ATM_Conf!$C$5*(P59-O59)/(P247*AJ247)</f>
        <v>#DIV/0!</v>
      </c>
      <c r="AK60" s="53" t="e">
        <f>AK59+ATM_Conf!$C$5*(Q59-P59)/(Q247*AK247)</f>
        <v>#DIV/0!</v>
      </c>
      <c r="AL60" s="53" t="e">
        <f>AL59+ATM_Conf!$C$5*(R59-Q59)/(R247*AL247)</f>
        <v>#DIV/0!</v>
      </c>
      <c r="AM60" s="53" t="e">
        <f>AM59+ATM_Conf!$C$5*(S59-R59)/(S247*AM247)</f>
        <v>#DIV/0!</v>
      </c>
      <c r="AN60" s="53" t="e">
        <f>AN59+ATM_Conf!$C$5*(T59-S59)/(T247*AN247)</f>
        <v>#DIV/0!</v>
      </c>
      <c r="AO60" s="53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43">
        <f t="shared" si="35"/>
        <v>0</v>
      </c>
      <c r="DS60" s="43">
        <f t="shared" si="34"/>
        <v>0</v>
      </c>
      <c r="DT60" s="43">
        <f t="shared" si="34"/>
        <v>0</v>
      </c>
      <c r="DU60" s="43">
        <f t="shared" si="34"/>
        <v>0</v>
      </c>
      <c r="DV60" s="43">
        <f t="shared" si="34"/>
        <v>0</v>
      </c>
      <c r="DW60" s="43">
        <f t="shared" si="34"/>
        <v>0</v>
      </c>
      <c r="DX60" s="43">
        <f t="shared" si="34"/>
        <v>0</v>
      </c>
      <c r="DY60" s="43">
        <f t="shared" si="34"/>
        <v>0</v>
      </c>
      <c r="DZ60" s="43">
        <f t="shared" si="34"/>
        <v>0</v>
      </c>
      <c r="EA60" s="43">
        <f t="shared" si="34"/>
        <v>0</v>
      </c>
      <c r="EB60" s="43">
        <f t="shared" si="34"/>
        <v>0</v>
      </c>
      <c r="EC60" s="43">
        <f t="shared" si="34"/>
        <v>0</v>
      </c>
      <c r="ED60" s="43">
        <f t="shared" si="34"/>
        <v>0</v>
      </c>
      <c r="EE60" s="43">
        <f t="shared" si="34"/>
        <v>0</v>
      </c>
      <c r="EF60" s="43">
        <f t="shared" si="34"/>
        <v>0</v>
      </c>
      <c r="EG60" s="43">
        <f t="shared" si="34"/>
        <v>0</v>
      </c>
      <c r="EH60" s="43">
        <f t="shared" si="34"/>
        <v>0</v>
      </c>
      <c r="EI60" s="43">
        <f t="shared" si="34"/>
        <v>0</v>
      </c>
      <c r="EJ60" s="43">
        <f t="shared" si="34"/>
        <v>0</v>
      </c>
      <c r="EK60" s="43">
        <f t="shared" si="34"/>
        <v>0</v>
      </c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</row>
    <row r="61" spans="1:161" ht="14.25" x14ac:dyDescent="0.15">
      <c r="A61" s="46"/>
      <c r="B61" s="43" t="e">
        <f t="shared" si="2"/>
        <v>#DIV/0!</v>
      </c>
      <c r="C61" s="43" t="e">
        <f t="shared" si="3"/>
        <v>#DIV/0!</v>
      </c>
      <c r="D61" s="43" t="e">
        <f t="shared" si="4"/>
        <v>#DIV/0!</v>
      </c>
      <c r="E61" s="43" t="e">
        <f t="shared" si="5"/>
        <v>#DIV/0!</v>
      </c>
      <c r="F61" s="43" t="e">
        <f t="shared" si="6"/>
        <v>#DIV/0!</v>
      </c>
      <c r="G61" s="43" t="e">
        <f t="shared" si="7"/>
        <v>#DIV/0!</v>
      </c>
      <c r="H61" s="43" t="e">
        <f t="shared" si="8"/>
        <v>#DIV/0!</v>
      </c>
      <c r="I61" s="43" t="e">
        <f t="shared" si="9"/>
        <v>#DIV/0!</v>
      </c>
      <c r="J61" s="43" t="e">
        <f t="shared" si="10"/>
        <v>#DIV/0!</v>
      </c>
      <c r="K61" s="43" t="e">
        <f t="shared" si="11"/>
        <v>#DIV/0!</v>
      </c>
      <c r="L61" s="43" t="e">
        <f t="shared" si="12"/>
        <v>#DIV/0!</v>
      </c>
      <c r="M61" s="43" t="e">
        <f t="shared" si="13"/>
        <v>#DIV/0!</v>
      </c>
      <c r="N61" s="43" t="e">
        <f t="shared" si="14"/>
        <v>#DIV/0!</v>
      </c>
      <c r="O61" s="43" t="e">
        <f t="shared" si="15"/>
        <v>#DIV/0!</v>
      </c>
      <c r="P61" s="43" t="e">
        <f t="shared" si="16"/>
        <v>#DIV/0!</v>
      </c>
      <c r="Q61" s="43" t="e">
        <f t="shared" si="17"/>
        <v>#DIV/0!</v>
      </c>
      <c r="R61" s="43" t="e">
        <f t="shared" si="18"/>
        <v>#DIV/0!</v>
      </c>
      <c r="S61" s="43" t="e">
        <f t="shared" si="19"/>
        <v>#DIV/0!</v>
      </c>
      <c r="T61" s="43" t="e">
        <f t="shared" si="20"/>
        <v>#DIV/0!</v>
      </c>
      <c r="U61" s="43" t="e">
        <f t="shared" si="21"/>
        <v>#DIV/0!</v>
      </c>
      <c r="V61" s="53" t="e">
        <f>V60+ATM_Conf!$C$5*(B60)/(B248*V248)</f>
        <v>#DIV/0!</v>
      </c>
      <c r="W61" s="53" t="e">
        <f>W60+ATM_Conf!$C$5*(C60-B60)/(C248*W248)</f>
        <v>#DIV/0!</v>
      </c>
      <c r="X61" s="53" t="e">
        <f>X60+ATM_Conf!$C$5*(D60-C60)/(D248*X248)</f>
        <v>#DIV/0!</v>
      </c>
      <c r="Y61" s="53" t="e">
        <f>Y60+ATM_Conf!$C$5*(E60-D60)/(E248*Y248)</f>
        <v>#DIV/0!</v>
      </c>
      <c r="Z61" s="53" t="e">
        <f>Z60+ATM_Conf!$C$5*(F60-E60)/(F248*Z248)</f>
        <v>#DIV/0!</v>
      </c>
      <c r="AA61" s="53" t="e">
        <f>AA60+ATM_Conf!$C$5*(G60-F60)/(G248*AA248)</f>
        <v>#DIV/0!</v>
      </c>
      <c r="AB61" s="53" t="e">
        <f>AB60+ATM_Conf!$C$5*(H60-G60)/(H248*AB248)</f>
        <v>#DIV/0!</v>
      </c>
      <c r="AC61" s="53" t="e">
        <f>AC60+ATM_Conf!$C$5*(I60-H60)/(I248*AC248)</f>
        <v>#DIV/0!</v>
      </c>
      <c r="AD61" s="53" t="e">
        <f>AD60+ATM_Conf!$C$5*(J60-I60)/(J248*AD248)</f>
        <v>#DIV/0!</v>
      </c>
      <c r="AE61" s="53" t="e">
        <f>AE60+ATM_Conf!$C$5*(K60-J60)/(K248*AE248)</f>
        <v>#DIV/0!</v>
      </c>
      <c r="AF61" s="53" t="e">
        <f>AF60+ATM_Conf!$C$5*(L60)/(L248*AF248)</f>
        <v>#DIV/0!</v>
      </c>
      <c r="AG61" s="53" t="e">
        <f>AG60+ATM_Conf!$C$5*(M60-L60)/(M248*AG248)</f>
        <v>#DIV/0!</v>
      </c>
      <c r="AH61" s="53" t="e">
        <f>AH60+ATM_Conf!$C$5*(N60-M60)/(N248*AH248)</f>
        <v>#DIV/0!</v>
      </c>
      <c r="AI61" s="53" t="e">
        <f>AI60+ATM_Conf!$C$5*(O60-N60)/(O248*AI248)</f>
        <v>#DIV/0!</v>
      </c>
      <c r="AJ61" s="53" t="e">
        <f>AJ60+ATM_Conf!$C$5*(P60-O60)/(P248*AJ248)</f>
        <v>#DIV/0!</v>
      </c>
      <c r="AK61" s="53" t="e">
        <f>AK60+ATM_Conf!$C$5*(Q60-P60)/(Q248*AK248)</f>
        <v>#DIV/0!</v>
      </c>
      <c r="AL61" s="53" t="e">
        <f>AL60+ATM_Conf!$C$5*(R60-Q60)/(R248*AL248)</f>
        <v>#DIV/0!</v>
      </c>
      <c r="AM61" s="53" t="e">
        <f>AM60+ATM_Conf!$C$5*(S60-R60)/(S248*AM248)</f>
        <v>#DIV/0!</v>
      </c>
      <c r="AN61" s="53" t="e">
        <f>AN60+ATM_Conf!$C$5*(T60-S60)/(T248*AN248)</f>
        <v>#DIV/0!</v>
      </c>
      <c r="AO61" s="53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43">
        <f t="shared" si="35"/>
        <v>0</v>
      </c>
      <c r="DS61" s="43">
        <f t="shared" si="34"/>
        <v>0</v>
      </c>
      <c r="DT61" s="43">
        <f t="shared" si="34"/>
        <v>0</v>
      </c>
      <c r="DU61" s="43">
        <f t="shared" si="34"/>
        <v>0</v>
      </c>
      <c r="DV61" s="43">
        <f t="shared" si="34"/>
        <v>0</v>
      </c>
      <c r="DW61" s="43">
        <f t="shared" si="34"/>
        <v>0</v>
      </c>
      <c r="DX61" s="43">
        <f t="shared" si="34"/>
        <v>0</v>
      </c>
      <c r="DY61" s="43">
        <f t="shared" si="34"/>
        <v>0</v>
      </c>
      <c r="DZ61" s="43">
        <f t="shared" si="34"/>
        <v>0</v>
      </c>
      <c r="EA61" s="43">
        <f t="shared" si="34"/>
        <v>0</v>
      </c>
      <c r="EB61" s="43">
        <f t="shared" si="34"/>
        <v>0</v>
      </c>
      <c r="EC61" s="43">
        <f t="shared" si="34"/>
        <v>0</v>
      </c>
      <c r="ED61" s="43">
        <f t="shared" si="34"/>
        <v>0</v>
      </c>
      <c r="EE61" s="43">
        <f t="shared" si="34"/>
        <v>0</v>
      </c>
      <c r="EF61" s="43">
        <f t="shared" si="34"/>
        <v>0</v>
      </c>
      <c r="EG61" s="43">
        <f t="shared" si="34"/>
        <v>0</v>
      </c>
      <c r="EH61" s="43">
        <f t="shared" si="34"/>
        <v>0</v>
      </c>
      <c r="EI61" s="43">
        <f t="shared" si="34"/>
        <v>0</v>
      </c>
      <c r="EJ61" s="43">
        <f t="shared" si="34"/>
        <v>0</v>
      </c>
      <c r="EK61" s="43">
        <f t="shared" si="34"/>
        <v>0</v>
      </c>
      <c r="EL61" s="47"/>
      <c r="EM61" s="47"/>
      <c r="EN61" s="47"/>
      <c r="EO61" s="47"/>
      <c r="EP61" s="47"/>
      <c r="EQ61" s="47"/>
      <c r="ER61" s="47"/>
      <c r="ES61" s="47"/>
      <c r="ET61" s="47"/>
      <c r="EU61" s="47"/>
      <c r="EV61" s="47"/>
      <c r="EW61" s="47"/>
      <c r="EX61" s="47"/>
      <c r="EY61" s="47"/>
      <c r="EZ61" s="47"/>
      <c r="FA61" s="47"/>
      <c r="FB61" s="47"/>
      <c r="FC61" s="47"/>
      <c r="FD61" s="47"/>
      <c r="FE61" s="47"/>
    </row>
    <row r="62" spans="1:161" ht="14.25" x14ac:dyDescent="0.15">
      <c r="A62" s="46"/>
      <c r="B62" s="43" t="e">
        <f t="shared" si="2"/>
        <v>#DIV/0!</v>
      </c>
      <c r="C62" s="43" t="e">
        <f t="shared" si="3"/>
        <v>#DIV/0!</v>
      </c>
      <c r="D62" s="43" t="e">
        <f t="shared" si="4"/>
        <v>#DIV/0!</v>
      </c>
      <c r="E62" s="43" t="e">
        <f t="shared" si="5"/>
        <v>#DIV/0!</v>
      </c>
      <c r="F62" s="43" t="e">
        <f t="shared" si="6"/>
        <v>#DIV/0!</v>
      </c>
      <c r="G62" s="43" t="e">
        <f t="shared" si="7"/>
        <v>#DIV/0!</v>
      </c>
      <c r="H62" s="43" t="e">
        <f t="shared" si="8"/>
        <v>#DIV/0!</v>
      </c>
      <c r="I62" s="43" t="e">
        <f t="shared" si="9"/>
        <v>#DIV/0!</v>
      </c>
      <c r="J62" s="43" t="e">
        <f t="shared" si="10"/>
        <v>#DIV/0!</v>
      </c>
      <c r="K62" s="43" t="e">
        <f t="shared" si="11"/>
        <v>#DIV/0!</v>
      </c>
      <c r="L62" s="43" t="e">
        <f t="shared" si="12"/>
        <v>#DIV/0!</v>
      </c>
      <c r="M62" s="43" t="e">
        <f t="shared" si="13"/>
        <v>#DIV/0!</v>
      </c>
      <c r="N62" s="43" t="e">
        <f t="shared" si="14"/>
        <v>#DIV/0!</v>
      </c>
      <c r="O62" s="43" t="e">
        <f t="shared" si="15"/>
        <v>#DIV/0!</v>
      </c>
      <c r="P62" s="43" t="e">
        <f t="shared" si="16"/>
        <v>#DIV/0!</v>
      </c>
      <c r="Q62" s="43" t="e">
        <f t="shared" si="17"/>
        <v>#DIV/0!</v>
      </c>
      <c r="R62" s="43" t="e">
        <f t="shared" si="18"/>
        <v>#DIV/0!</v>
      </c>
      <c r="S62" s="43" t="e">
        <f t="shared" si="19"/>
        <v>#DIV/0!</v>
      </c>
      <c r="T62" s="43" t="e">
        <f t="shared" si="20"/>
        <v>#DIV/0!</v>
      </c>
      <c r="U62" s="43" t="e">
        <f t="shared" si="21"/>
        <v>#DIV/0!</v>
      </c>
      <c r="V62" s="53" t="e">
        <f>V61+ATM_Conf!$C$5*(B61)/(B249*V249)</f>
        <v>#DIV/0!</v>
      </c>
      <c r="W62" s="53" t="e">
        <f>W61+ATM_Conf!$C$5*(C61-B61)/(C249*W249)</f>
        <v>#DIV/0!</v>
      </c>
      <c r="X62" s="53" t="e">
        <f>X61+ATM_Conf!$C$5*(D61-C61)/(D249*X249)</f>
        <v>#DIV/0!</v>
      </c>
      <c r="Y62" s="53" t="e">
        <f>Y61+ATM_Conf!$C$5*(E61-D61)/(E249*Y249)</f>
        <v>#DIV/0!</v>
      </c>
      <c r="Z62" s="53" t="e">
        <f>Z61+ATM_Conf!$C$5*(F61-E61)/(F249*Z249)</f>
        <v>#DIV/0!</v>
      </c>
      <c r="AA62" s="53" t="e">
        <f>AA61+ATM_Conf!$C$5*(G61-F61)/(G249*AA249)</f>
        <v>#DIV/0!</v>
      </c>
      <c r="AB62" s="53" t="e">
        <f>AB61+ATM_Conf!$C$5*(H61-G61)/(H249*AB249)</f>
        <v>#DIV/0!</v>
      </c>
      <c r="AC62" s="53" t="e">
        <f>AC61+ATM_Conf!$C$5*(I61-H61)/(I249*AC249)</f>
        <v>#DIV/0!</v>
      </c>
      <c r="AD62" s="53" t="e">
        <f>AD61+ATM_Conf!$C$5*(J61-I61)/(J249*AD249)</f>
        <v>#DIV/0!</v>
      </c>
      <c r="AE62" s="53" t="e">
        <f>AE61+ATM_Conf!$C$5*(K61-J61)/(K249*AE249)</f>
        <v>#DIV/0!</v>
      </c>
      <c r="AF62" s="53" t="e">
        <f>AF61+ATM_Conf!$C$5*(L61)/(L249*AF249)</f>
        <v>#DIV/0!</v>
      </c>
      <c r="AG62" s="53" t="e">
        <f>AG61+ATM_Conf!$C$5*(M61-L61)/(M249*AG249)</f>
        <v>#DIV/0!</v>
      </c>
      <c r="AH62" s="53" t="e">
        <f>AH61+ATM_Conf!$C$5*(N61-M61)/(N249*AH249)</f>
        <v>#DIV/0!</v>
      </c>
      <c r="AI62" s="53" t="e">
        <f>AI61+ATM_Conf!$C$5*(O61-N61)/(O249*AI249)</f>
        <v>#DIV/0!</v>
      </c>
      <c r="AJ62" s="53" t="e">
        <f>AJ61+ATM_Conf!$C$5*(P61-O61)/(P249*AJ249)</f>
        <v>#DIV/0!</v>
      </c>
      <c r="AK62" s="53" t="e">
        <f>AK61+ATM_Conf!$C$5*(Q61-P61)/(Q249*AK249)</f>
        <v>#DIV/0!</v>
      </c>
      <c r="AL62" s="53" t="e">
        <f>AL61+ATM_Conf!$C$5*(R61-Q61)/(R249*AL249)</f>
        <v>#DIV/0!</v>
      </c>
      <c r="AM62" s="53" t="e">
        <f>AM61+ATM_Conf!$C$5*(S61-R61)/(S249*AM249)</f>
        <v>#DIV/0!</v>
      </c>
      <c r="AN62" s="53" t="e">
        <f>AN61+ATM_Conf!$C$5*(T61-S61)/(T249*AN249)</f>
        <v>#DIV/0!</v>
      </c>
      <c r="AO62" s="53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43">
        <f t="shared" si="35"/>
        <v>0</v>
      </c>
      <c r="DS62" s="43">
        <f t="shared" si="34"/>
        <v>0</v>
      </c>
      <c r="DT62" s="43">
        <f t="shared" si="34"/>
        <v>0</v>
      </c>
      <c r="DU62" s="43">
        <f t="shared" si="34"/>
        <v>0</v>
      </c>
      <c r="DV62" s="43">
        <f t="shared" si="34"/>
        <v>0</v>
      </c>
      <c r="DW62" s="43">
        <f t="shared" si="34"/>
        <v>0</v>
      </c>
      <c r="DX62" s="43">
        <f t="shared" si="34"/>
        <v>0</v>
      </c>
      <c r="DY62" s="43">
        <f t="shared" si="34"/>
        <v>0</v>
      </c>
      <c r="DZ62" s="43">
        <f t="shared" si="34"/>
        <v>0</v>
      </c>
      <c r="EA62" s="43">
        <f t="shared" si="34"/>
        <v>0</v>
      </c>
      <c r="EB62" s="43">
        <f t="shared" si="34"/>
        <v>0</v>
      </c>
      <c r="EC62" s="43">
        <f t="shared" si="34"/>
        <v>0</v>
      </c>
      <c r="ED62" s="43">
        <f t="shared" si="34"/>
        <v>0</v>
      </c>
      <c r="EE62" s="43">
        <f t="shared" si="34"/>
        <v>0</v>
      </c>
      <c r="EF62" s="43">
        <f t="shared" si="34"/>
        <v>0</v>
      </c>
      <c r="EG62" s="43">
        <f t="shared" si="34"/>
        <v>0</v>
      </c>
      <c r="EH62" s="43">
        <f t="shared" si="34"/>
        <v>0</v>
      </c>
      <c r="EI62" s="43">
        <f t="shared" si="34"/>
        <v>0</v>
      </c>
      <c r="EJ62" s="43">
        <f t="shared" si="34"/>
        <v>0</v>
      </c>
      <c r="EK62" s="43">
        <f t="shared" si="34"/>
        <v>0</v>
      </c>
      <c r="EL62" s="47"/>
      <c r="EM62" s="47"/>
      <c r="EN62" s="47"/>
      <c r="EO62" s="47"/>
      <c r="EP62" s="47"/>
      <c r="EQ62" s="47"/>
      <c r="ER62" s="47"/>
      <c r="ES62" s="47"/>
      <c r="ET62" s="47"/>
      <c r="EU62" s="47"/>
      <c r="EV62" s="47"/>
      <c r="EW62" s="47"/>
      <c r="EX62" s="47"/>
      <c r="EY62" s="47"/>
      <c r="EZ62" s="47"/>
      <c r="FA62" s="47"/>
      <c r="FB62" s="47"/>
      <c r="FC62" s="47"/>
      <c r="FD62" s="47"/>
      <c r="FE62" s="47"/>
    </row>
    <row r="63" spans="1:161" ht="14.25" x14ac:dyDescent="0.15">
      <c r="A63" s="46"/>
      <c r="B63" s="43" t="e">
        <f t="shared" si="2"/>
        <v>#DIV/0!</v>
      </c>
      <c r="C63" s="43" t="e">
        <f t="shared" si="3"/>
        <v>#DIV/0!</v>
      </c>
      <c r="D63" s="43" t="e">
        <f t="shared" si="4"/>
        <v>#DIV/0!</v>
      </c>
      <c r="E63" s="43" t="e">
        <f t="shared" si="5"/>
        <v>#DIV/0!</v>
      </c>
      <c r="F63" s="43" t="e">
        <f t="shared" si="6"/>
        <v>#DIV/0!</v>
      </c>
      <c r="G63" s="43" t="e">
        <f t="shared" si="7"/>
        <v>#DIV/0!</v>
      </c>
      <c r="H63" s="43" t="e">
        <f t="shared" si="8"/>
        <v>#DIV/0!</v>
      </c>
      <c r="I63" s="43" t="e">
        <f t="shared" si="9"/>
        <v>#DIV/0!</v>
      </c>
      <c r="J63" s="43" t="e">
        <f t="shared" si="10"/>
        <v>#DIV/0!</v>
      </c>
      <c r="K63" s="43" t="e">
        <f t="shared" si="11"/>
        <v>#DIV/0!</v>
      </c>
      <c r="L63" s="43" t="e">
        <f t="shared" si="12"/>
        <v>#DIV/0!</v>
      </c>
      <c r="M63" s="43" t="e">
        <f t="shared" si="13"/>
        <v>#DIV/0!</v>
      </c>
      <c r="N63" s="43" t="e">
        <f t="shared" si="14"/>
        <v>#DIV/0!</v>
      </c>
      <c r="O63" s="43" t="e">
        <f t="shared" si="15"/>
        <v>#DIV/0!</v>
      </c>
      <c r="P63" s="43" t="e">
        <f t="shared" si="16"/>
        <v>#DIV/0!</v>
      </c>
      <c r="Q63" s="43" t="e">
        <f t="shared" si="17"/>
        <v>#DIV/0!</v>
      </c>
      <c r="R63" s="43" t="e">
        <f t="shared" si="18"/>
        <v>#DIV/0!</v>
      </c>
      <c r="S63" s="43" t="e">
        <f t="shared" si="19"/>
        <v>#DIV/0!</v>
      </c>
      <c r="T63" s="43" t="e">
        <f t="shared" si="20"/>
        <v>#DIV/0!</v>
      </c>
      <c r="U63" s="43" t="e">
        <f t="shared" si="21"/>
        <v>#DIV/0!</v>
      </c>
      <c r="V63" s="53" t="e">
        <f>V62+ATM_Conf!$C$5*(B62)/(B250*V250)</f>
        <v>#DIV/0!</v>
      </c>
      <c r="W63" s="53" t="e">
        <f>W62+ATM_Conf!$C$5*(C62-B62)/(C250*W250)</f>
        <v>#DIV/0!</v>
      </c>
      <c r="X63" s="53" t="e">
        <f>X62+ATM_Conf!$C$5*(D62-C62)/(D250*X250)</f>
        <v>#DIV/0!</v>
      </c>
      <c r="Y63" s="53" t="e">
        <f>Y62+ATM_Conf!$C$5*(E62-D62)/(E250*Y250)</f>
        <v>#DIV/0!</v>
      </c>
      <c r="Z63" s="53" t="e">
        <f>Z62+ATM_Conf!$C$5*(F62-E62)/(F250*Z250)</f>
        <v>#DIV/0!</v>
      </c>
      <c r="AA63" s="53" t="e">
        <f>AA62+ATM_Conf!$C$5*(G62-F62)/(G250*AA250)</f>
        <v>#DIV/0!</v>
      </c>
      <c r="AB63" s="53" t="e">
        <f>AB62+ATM_Conf!$C$5*(H62-G62)/(H250*AB250)</f>
        <v>#DIV/0!</v>
      </c>
      <c r="AC63" s="53" t="e">
        <f>AC62+ATM_Conf!$C$5*(I62-H62)/(I250*AC250)</f>
        <v>#DIV/0!</v>
      </c>
      <c r="AD63" s="53" t="e">
        <f>AD62+ATM_Conf!$C$5*(J62-I62)/(J250*AD250)</f>
        <v>#DIV/0!</v>
      </c>
      <c r="AE63" s="53" t="e">
        <f>AE62+ATM_Conf!$C$5*(K62-J62)/(K250*AE250)</f>
        <v>#DIV/0!</v>
      </c>
      <c r="AF63" s="53" t="e">
        <f>AF62+ATM_Conf!$C$5*(L62)/(L250*AF250)</f>
        <v>#DIV/0!</v>
      </c>
      <c r="AG63" s="53" t="e">
        <f>AG62+ATM_Conf!$C$5*(M62-L62)/(M250*AG250)</f>
        <v>#DIV/0!</v>
      </c>
      <c r="AH63" s="53" t="e">
        <f>AH62+ATM_Conf!$C$5*(N62-M62)/(N250*AH250)</f>
        <v>#DIV/0!</v>
      </c>
      <c r="AI63" s="53" t="e">
        <f>AI62+ATM_Conf!$C$5*(O62-N62)/(O250*AI250)</f>
        <v>#DIV/0!</v>
      </c>
      <c r="AJ63" s="53" t="e">
        <f>AJ62+ATM_Conf!$C$5*(P62-O62)/(P250*AJ250)</f>
        <v>#DIV/0!</v>
      </c>
      <c r="AK63" s="53" t="e">
        <f>AK62+ATM_Conf!$C$5*(Q62-P62)/(Q250*AK250)</f>
        <v>#DIV/0!</v>
      </c>
      <c r="AL63" s="53" t="e">
        <f>AL62+ATM_Conf!$C$5*(R62-Q62)/(R250*AL250)</f>
        <v>#DIV/0!</v>
      </c>
      <c r="AM63" s="53" t="e">
        <f>AM62+ATM_Conf!$C$5*(S62-R62)/(S250*AM250)</f>
        <v>#DIV/0!</v>
      </c>
      <c r="AN63" s="53" t="e">
        <f>AN62+ATM_Conf!$C$5*(T62-S62)/(T250*AN250)</f>
        <v>#DIV/0!</v>
      </c>
      <c r="AO63" s="53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  <c r="EH63" s="62"/>
      <c r="EI63" s="62"/>
      <c r="EJ63" s="62"/>
      <c r="EK63" s="62"/>
      <c r="EL63" s="47">
        <f>(DR63-DR51)^2</f>
        <v>0</v>
      </c>
      <c r="EM63" s="47">
        <f t="shared" ref="EM63:FE63" si="36">(DS63-DS51)^2</f>
        <v>0</v>
      </c>
      <c r="EN63" s="47">
        <f t="shared" si="36"/>
        <v>0</v>
      </c>
      <c r="EO63" s="47">
        <f t="shared" si="36"/>
        <v>0</v>
      </c>
      <c r="EP63" s="47">
        <f t="shared" si="36"/>
        <v>0</v>
      </c>
      <c r="EQ63" s="47">
        <f t="shared" si="36"/>
        <v>0</v>
      </c>
      <c r="ER63" s="47">
        <f t="shared" si="36"/>
        <v>0</v>
      </c>
      <c r="ES63" s="47">
        <f t="shared" si="36"/>
        <v>0</v>
      </c>
      <c r="ET63" s="47">
        <f t="shared" si="36"/>
        <v>0</v>
      </c>
      <c r="EU63" s="47">
        <f t="shared" si="36"/>
        <v>0</v>
      </c>
      <c r="EV63" s="47">
        <f t="shared" si="36"/>
        <v>0</v>
      </c>
      <c r="EW63" s="47">
        <f t="shared" si="36"/>
        <v>0</v>
      </c>
      <c r="EX63" s="47">
        <f t="shared" si="36"/>
        <v>0</v>
      </c>
      <c r="EY63" s="47">
        <f t="shared" si="36"/>
        <v>0</v>
      </c>
      <c r="EZ63" s="47">
        <f t="shared" si="36"/>
        <v>0</v>
      </c>
      <c r="FA63" s="47">
        <f t="shared" si="36"/>
        <v>0</v>
      </c>
      <c r="FB63" s="47">
        <f t="shared" si="36"/>
        <v>0</v>
      </c>
      <c r="FC63" s="47">
        <f t="shared" si="36"/>
        <v>0</v>
      </c>
      <c r="FD63" s="47">
        <f t="shared" si="36"/>
        <v>0</v>
      </c>
      <c r="FE63" s="47">
        <f t="shared" si="36"/>
        <v>0</v>
      </c>
    </row>
    <row r="64" spans="1:161" ht="14.25" x14ac:dyDescent="0.15">
      <c r="A64" s="46"/>
      <c r="B64" s="43" t="e">
        <f t="shared" si="2"/>
        <v>#DIV/0!</v>
      </c>
      <c r="C64" s="43" t="e">
        <f t="shared" si="3"/>
        <v>#DIV/0!</v>
      </c>
      <c r="D64" s="43" t="e">
        <f t="shared" si="4"/>
        <v>#DIV/0!</v>
      </c>
      <c r="E64" s="43" t="e">
        <f t="shared" si="5"/>
        <v>#DIV/0!</v>
      </c>
      <c r="F64" s="43" t="e">
        <f t="shared" si="6"/>
        <v>#DIV/0!</v>
      </c>
      <c r="G64" s="43" t="e">
        <f t="shared" si="7"/>
        <v>#DIV/0!</v>
      </c>
      <c r="H64" s="43" t="e">
        <f t="shared" si="8"/>
        <v>#DIV/0!</v>
      </c>
      <c r="I64" s="43" t="e">
        <f t="shared" si="9"/>
        <v>#DIV/0!</v>
      </c>
      <c r="J64" s="43" t="e">
        <f t="shared" si="10"/>
        <v>#DIV/0!</v>
      </c>
      <c r="K64" s="43" t="e">
        <f t="shared" si="11"/>
        <v>#DIV/0!</v>
      </c>
      <c r="L64" s="43" t="e">
        <f t="shared" si="12"/>
        <v>#DIV/0!</v>
      </c>
      <c r="M64" s="43" t="e">
        <f t="shared" si="13"/>
        <v>#DIV/0!</v>
      </c>
      <c r="N64" s="43" t="e">
        <f t="shared" si="14"/>
        <v>#DIV/0!</v>
      </c>
      <c r="O64" s="43" t="e">
        <f t="shared" si="15"/>
        <v>#DIV/0!</v>
      </c>
      <c r="P64" s="43" t="e">
        <f t="shared" si="16"/>
        <v>#DIV/0!</v>
      </c>
      <c r="Q64" s="43" t="e">
        <f t="shared" si="17"/>
        <v>#DIV/0!</v>
      </c>
      <c r="R64" s="43" t="e">
        <f t="shared" si="18"/>
        <v>#DIV/0!</v>
      </c>
      <c r="S64" s="43" t="e">
        <f t="shared" si="19"/>
        <v>#DIV/0!</v>
      </c>
      <c r="T64" s="43" t="e">
        <f t="shared" si="20"/>
        <v>#DIV/0!</v>
      </c>
      <c r="U64" s="43" t="e">
        <f t="shared" si="21"/>
        <v>#DIV/0!</v>
      </c>
      <c r="V64" s="53" t="e">
        <f>V63+ATM_Conf!$C$5*(B63)/(B251*V251)</f>
        <v>#DIV/0!</v>
      </c>
      <c r="W64" s="53" t="e">
        <f>W63+ATM_Conf!$C$5*(C63-B63)/(C251*W251)</f>
        <v>#DIV/0!</v>
      </c>
      <c r="X64" s="53" t="e">
        <f>X63+ATM_Conf!$C$5*(D63-C63)/(D251*X251)</f>
        <v>#DIV/0!</v>
      </c>
      <c r="Y64" s="53" t="e">
        <f>Y63+ATM_Conf!$C$5*(E63-D63)/(E251*Y251)</f>
        <v>#DIV/0!</v>
      </c>
      <c r="Z64" s="53" t="e">
        <f>Z63+ATM_Conf!$C$5*(F63-E63)/(F251*Z251)</f>
        <v>#DIV/0!</v>
      </c>
      <c r="AA64" s="53" t="e">
        <f>AA63+ATM_Conf!$C$5*(G63-F63)/(G251*AA251)</f>
        <v>#DIV/0!</v>
      </c>
      <c r="AB64" s="53" t="e">
        <f>AB63+ATM_Conf!$C$5*(H63-G63)/(H251*AB251)</f>
        <v>#DIV/0!</v>
      </c>
      <c r="AC64" s="53" t="e">
        <f>AC63+ATM_Conf!$C$5*(I63-H63)/(I251*AC251)</f>
        <v>#DIV/0!</v>
      </c>
      <c r="AD64" s="53" t="e">
        <f>AD63+ATM_Conf!$C$5*(J63-I63)/(J251*AD251)</f>
        <v>#DIV/0!</v>
      </c>
      <c r="AE64" s="53" t="e">
        <f>AE63+ATM_Conf!$C$5*(K63-J63)/(K251*AE251)</f>
        <v>#DIV/0!</v>
      </c>
      <c r="AF64" s="53" t="e">
        <f>AF63+ATM_Conf!$C$5*(L63)/(L251*AF251)</f>
        <v>#DIV/0!</v>
      </c>
      <c r="AG64" s="53" t="e">
        <f>AG63+ATM_Conf!$C$5*(M63-L63)/(M251*AG251)</f>
        <v>#DIV/0!</v>
      </c>
      <c r="AH64" s="53" t="e">
        <f>AH63+ATM_Conf!$C$5*(N63-M63)/(N251*AH251)</f>
        <v>#DIV/0!</v>
      </c>
      <c r="AI64" s="53" t="e">
        <f>AI63+ATM_Conf!$C$5*(O63-N63)/(O251*AI251)</f>
        <v>#DIV/0!</v>
      </c>
      <c r="AJ64" s="53" t="e">
        <f>AJ63+ATM_Conf!$C$5*(P63-O63)/(P251*AJ251)</f>
        <v>#DIV/0!</v>
      </c>
      <c r="AK64" s="53" t="e">
        <f>AK63+ATM_Conf!$C$5*(Q63-P63)/(Q251*AK251)</f>
        <v>#DIV/0!</v>
      </c>
      <c r="AL64" s="53" t="e">
        <f>AL63+ATM_Conf!$C$5*(R63-Q63)/(R251*AL251)</f>
        <v>#DIV/0!</v>
      </c>
      <c r="AM64" s="53" t="e">
        <f>AM63+ATM_Conf!$C$5*(S63-R63)/(S251*AM251)</f>
        <v>#DIV/0!</v>
      </c>
      <c r="AN64" s="53" t="e">
        <f>AN63+ATM_Conf!$C$5*(T63-S63)/(T251*AN251)</f>
        <v>#DIV/0!</v>
      </c>
      <c r="AO64" s="53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43">
        <f>DR$63</f>
        <v>0</v>
      </c>
      <c r="DS64" s="43">
        <f t="shared" ref="DS64:EK74" si="37">DS$63</f>
        <v>0</v>
      </c>
      <c r="DT64" s="43">
        <f t="shared" si="37"/>
        <v>0</v>
      </c>
      <c r="DU64" s="43">
        <f t="shared" si="37"/>
        <v>0</v>
      </c>
      <c r="DV64" s="43">
        <f t="shared" si="37"/>
        <v>0</v>
      </c>
      <c r="DW64" s="43">
        <f t="shared" si="37"/>
        <v>0</v>
      </c>
      <c r="DX64" s="43">
        <f t="shared" si="37"/>
        <v>0</v>
      </c>
      <c r="DY64" s="43">
        <f t="shared" si="37"/>
        <v>0</v>
      </c>
      <c r="DZ64" s="43">
        <f t="shared" si="37"/>
        <v>0</v>
      </c>
      <c r="EA64" s="43">
        <f t="shared" si="37"/>
        <v>0</v>
      </c>
      <c r="EB64" s="43">
        <f t="shared" si="37"/>
        <v>0</v>
      </c>
      <c r="EC64" s="43">
        <f t="shared" si="37"/>
        <v>0</v>
      </c>
      <c r="ED64" s="43">
        <f t="shared" si="37"/>
        <v>0</v>
      </c>
      <c r="EE64" s="43">
        <f t="shared" si="37"/>
        <v>0</v>
      </c>
      <c r="EF64" s="43">
        <f t="shared" si="37"/>
        <v>0</v>
      </c>
      <c r="EG64" s="43">
        <f t="shared" si="37"/>
        <v>0</v>
      </c>
      <c r="EH64" s="43">
        <f t="shared" si="37"/>
        <v>0</v>
      </c>
      <c r="EI64" s="43">
        <f t="shared" si="37"/>
        <v>0</v>
      </c>
      <c r="EJ64" s="43">
        <f t="shared" si="37"/>
        <v>0</v>
      </c>
      <c r="EK64" s="43">
        <f t="shared" si="37"/>
        <v>0</v>
      </c>
      <c r="EL64" s="47"/>
      <c r="EM64" s="47"/>
      <c r="EN64" s="47"/>
      <c r="EO64" s="47"/>
      <c r="EP64" s="47"/>
      <c r="EQ64" s="47"/>
      <c r="ER64" s="47"/>
      <c r="ES64" s="47"/>
      <c r="ET64" s="47"/>
      <c r="EU64" s="47"/>
      <c r="EV64" s="47"/>
      <c r="EW64" s="47"/>
      <c r="EX64" s="47"/>
      <c r="EY64" s="47"/>
      <c r="EZ64" s="47"/>
      <c r="FA64" s="47"/>
      <c r="FB64" s="47"/>
      <c r="FC64" s="47"/>
      <c r="FD64" s="47"/>
      <c r="FE64" s="47"/>
    </row>
    <row r="65" spans="1:161" ht="14.25" x14ac:dyDescent="0.15">
      <c r="A65" s="46"/>
      <c r="B65" s="43" t="e">
        <f t="shared" si="2"/>
        <v>#DIV/0!</v>
      </c>
      <c r="C65" s="43" t="e">
        <f t="shared" si="3"/>
        <v>#DIV/0!</v>
      </c>
      <c r="D65" s="43" t="e">
        <f t="shared" si="4"/>
        <v>#DIV/0!</v>
      </c>
      <c r="E65" s="43" t="e">
        <f t="shared" si="5"/>
        <v>#DIV/0!</v>
      </c>
      <c r="F65" s="43" t="e">
        <f t="shared" si="6"/>
        <v>#DIV/0!</v>
      </c>
      <c r="G65" s="43" t="e">
        <f t="shared" si="7"/>
        <v>#DIV/0!</v>
      </c>
      <c r="H65" s="43" t="e">
        <f t="shared" si="8"/>
        <v>#DIV/0!</v>
      </c>
      <c r="I65" s="43" t="e">
        <f t="shared" si="9"/>
        <v>#DIV/0!</v>
      </c>
      <c r="J65" s="43" t="e">
        <f t="shared" si="10"/>
        <v>#DIV/0!</v>
      </c>
      <c r="K65" s="43" t="e">
        <f t="shared" si="11"/>
        <v>#DIV/0!</v>
      </c>
      <c r="L65" s="43" t="e">
        <f t="shared" si="12"/>
        <v>#DIV/0!</v>
      </c>
      <c r="M65" s="43" t="e">
        <f t="shared" si="13"/>
        <v>#DIV/0!</v>
      </c>
      <c r="N65" s="43" t="e">
        <f t="shared" si="14"/>
        <v>#DIV/0!</v>
      </c>
      <c r="O65" s="43" t="e">
        <f t="shared" si="15"/>
        <v>#DIV/0!</v>
      </c>
      <c r="P65" s="43" t="e">
        <f t="shared" si="16"/>
        <v>#DIV/0!</v>
      </c>
      <c r="Q65" s="43" t="e">
        <f t="shared" si="17"/>
        <v>#DIV/0!</v>
      </c>
      <c r="R65" s="43" t="e">
        <f t="shared" si="18"/>
        <v>#DIV/0!</v>
      </c>
      <c r="S65" s="43" t="e">
        <f t="shared" si="19"/>
        <v>#DIV/0!</v>
      </c>
      <c r="T65" s="43" t="e">
        <f t="shared" si="20"/>
        <v>#DIV/0!</v>
      </c>
      <c r="U65" s="43" t="e">
        <f t="shared" si="21"/>
        <v>#DIV/0!</v>
      </c>
      <c r="V65" s="53" t="e">
        <f>V64+ATM_Conf!$C$5*(B64)/(B252*V252)</f>
        <v>#DIV/0!</v>
      </c>
      <c r="W65" s="53" t="e">
        <f>W64+ATM_Conf!$C$5*(C64-B64)/(C252*W252)</f>
        <v>#DIV/0!</v>
      </c>
      <c r="X65" s="53" t="e">
        <f>X64+ATM_Conf!$C$5*(D64-C64)/(D252*X252)</f>
        <v>#DIV/0!</v>
      </c>
      <c r="Y65" s="53" t="e">
        <f>Y64+ATM_Conf!$C$5*(E64-D64)/(E252*Y252)</f>
        <v>#DIV/0!</v>
      </c>
      <c r="Z65" s="53" t="e">
        <f>Z64+ATM_Conf!$C$5*(F64-E64)/(F252*Z252)</f>
        <v>#DIV/0!</v>
      </c>
      <c r="AA65" s="53" t="e">
        <f>AA64+ATM_Conf!$C$5*(G64-F64)/(G252*AA252)</f>
        <v>#DIV/0!</v>
      </c>
      <c r="AB65" s="53" t="e">
        <f>AB64+ATM_Conf!$C$5*(H64-G64)/(H252*AB252)</f>
        <v>#DIV/0!</v>
      </c>
      <c r="AC65" s="53" t="e">
        <f>AC64+ATM_Conf!$C$5*(I64-H64)/(I252*AC252)</f>
        <v>#DIV/0!</v>
      </c>
      <c r="AD65" s="53" t="e">
        <f>AD64+ATM_Conf!$C$5*(J64-I64)/(J252*AD252)</f>
        <v>#DIV/0!</v>
      </c>
      <c r="AE65" s="53" t="e">
        <f>AE64+ATM_Conf!$C$5*(K64-J64)/(K252*AE252)</f>
        <v>#DIV/0!</v>
      </c>
      <c r="AF65" s="53" t="e">
        <f>AF64+ATM_Conf!$C$5*(L64)/(L252*AF252)</f>
        <v>#DIV/0!</v>
      </c>
      <c r="AG65" s="53" t="e">
        <f>AG64+ATM_Conf!$C$5*(M64-L64)/(M252*AG252)</f>
        <v>#DIV/0!</v>
      </c>
      <c r="AH65" s="53" t="e">
        <f>AH64+ATM_Conf!$C$5*(N64-M64)/(N252*AH252)</f>
        <v>#DIV/0!</v>
      </c>
      <c r="AI65" s="53" t="e">
        <f>AI64+ATM_Conf!$C$5*(O64-N64)/(O252*AI252)</f>
        <v>#DIV/0!</v>
      </c>
      <c r="AJ65" s="53" t="e">
        <f>AJ64+ATM_Conf!$C$5*(P64-O64)/(P252*AJ252)</f>
        <v>#DIV/0!</v>
      </c>
      <c r="AK65" s="53" t="e">
        <f>AK64+ATM_Conf!$C$5*(Q64-P64)/(Q252*AK252)</f>
        <v>#DIV/0!</v>
      </c>
      <c r="AL65" s="53" t="e">
        <f>AL64+ATM_Conf!$C$5*(R64-Q64)/(R252*AL252)</f>
        <v>#DIV/0!</v>
      </c>
      <c r="AM65" s="53" t="e">
        <f>AM64+ATM_Conf!$C$5*(S64-R64)/(S252*AM252)</f>
        <v>#DIV/0!</v>
      </c>
      <c r="AN65" s="53" t="e">
        <f>AN64+ATM_Conf!$C$5*(T64-S64)/(T252*AN252)</f>
        <v>#DIV/0!</v>
      </c>
      <c r="AO65" s="53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43">
        <f t="shared" ref="DR65:DR74" si="38">DR$63</f>
        <v>0</v>
      </c>
      <c r="DS65" s="43">
        <f t="shared" si="37"/>
        <v>0</v>
      </c>
      <c r="DT65" s="43">
        <f t="shared" si="37"/>
        <v>0</v>
      </c>
      <c r="DU65" s="43">
        <f t="shared" si="37"/>
        <v>0</v>
      </c>
      <c r="DV65" s="43">
        <f t="shared" si="37"/>
        <v>0</v>
      </c>
      <c r="DW65" s="43">
        <f t="shared" si="37"/>
        <v>0</v>
      </c>
      <c r="DX65" s="43">
        <f t="shared" si="37"/>
        <v>0</v>
      </c>
      <c r="DY65" s="43">
        <f t="shared" si="37"/>
        <v>0</v>
      </c>
      <c r="DZ65" s="43">
        <f t="shared" si="37"/>
        <v>0</v>
      </c>
      <c r="EA65" s="43">
        <f t="shared" si="37"/>
        <v>0</v>
      </c>
      <c r="EB65" s="43">
        <f t="shared" si="37"/>
        <v>0</v>
      </c>
      <c r="EC65" s="43">
        <f t="shared" si="37"/>
        <v>0</v>
      </c>
      <c r="ED65" s="43">
        <f t="shared" si="37"/>
        <v>0</v>
      </c>
      <c r="EE65" s="43">
        <f t="shared" si="37"/>
        <v>0</v>
      </c>
      <c r="EF65" s="43">
        <f t="shared" si="37"/>
        <v>0</v>
      </c>
      <c r="EG65" s="43">
        <f t="shared" si="37"/>
        <v>0</v>
      </c>
      <c r="EH65" s="43">
        <f t="shared" si="37"/>
        <v>0</v>
      </c>
      <c r="EI65" s="43">
        <f t="shared" si="37"/>
        <v>0</v>
      </c>
      <c r="EJ65" s="43">
        <f t="shared" si="37"/>
        <v>0</v>
      </c>
      <c r="EK65" s="43">
        <f t="shared" si="37"/>
        <v>0</v>
      </c>
      <c r="EL65" s="47"/>
      <c r="EM65" s="47"/>
      <c r="EN65" s="47"/>
      <c r="EO65" s="47"/>
      <c r="EP65" s="47"/>
      <c r="EQ65" s="47"/>
      <c r="ER65" s="47"/>
      <c r="ES65" s="47"/>
      <c r="ET65" s="47"/>
      <c r="EU65" s="47"/>
      <c r="EV65" s="47"/>
      <c r="EW65" s="47"/>
      <c r="EX65" s="47"/>
      <c r="EY65" s="47"/>
      <c r="EZ65" s="47"/>
      <c r="FA65" s="47"/>
      <c r="FB65" s="47"/>
      <c r="FC65" s="47"/>
      <c r="FD65" s="47"/>
      <c r="FE65" s="47"/>
    </row>
    <row r="66" spans="1:161" ht="14.25" x14ac:dyDescent="0.15">
      <c r="A66" s="46"/>
      <c r="B66" s="43" t="e">
        <f t="shared" si="2"/>
        <v>#DIV/0!</v>
      </c>
      <c r="C66" s="43" t="e">
        <f t="shared" si="3"/>
        <v>#DIV/0!</v>
      </c>
      <c r="D66" s="43" t="e">
        <f t="shared" si="4"/>
        <v>#DIV/0!</v>
      </c>
      <c r="E66" s="43" t="e">
        <f t="shared" si="5"/>
        <v>#DIV/0!</v>
      </c>
      <c r="F66" s="43" t="e">
        <f t="shared" si="6"/>
        <v>#DIV/0!</v>
      </c>
      <c r="G66" s="43" t="e">
        <f t="shared" si="7"/>
        <v>#DIV/0!</v>
      </c>
      <c r="H66" s="43" t="e">
        <f t="shared" si="8"/>
        <v>#DIV/0!</v>
      </c>
      <c r="I66" s="43" t="e">
        <f t="shared" si="9"/>
        <v>#DIV/0!</v>
      </c>
      <c r="J66" s="43" t="e">
        <f t="shared" si="10"/>
        <v>#DIV/0!</v>
      </c>
      <c r="K66" s="43" t="e">
        <f t="shared" si="11"/>
        <v>#DIV/0!</v>
      </c>
      <c r="L66" s="43" t="e">
        <f t="shared" si="12"/>
        <v>#DIV/0!</v>
      </c>
      <c r="M66" s="43" t="e">
        <f t="shared" si="13"/>
        <v>#DIV/0!</v>
      </c>
      <c r="N66" s="43" t="e">
        <f t="shared" si="14"/>
        <v>#DIV/0!</v>
      </c>
      <c r="O66" s="43" t="e">
        <f t="shared" si="15"/>
        <v>#DIV/0!</v>
      </c>
      <c r="P66" s="43" t="e">
        <f t="shared" si="16"/>
        <v>#DIV/0!</v>
      </c>
      <c r="Q66" s="43" t="e">
        <f t="shared" si="17"/>
        <v>#DIV/0!</v>
      </c>
      <c r="R66" s="43" t="e">
        <f t="shared" si="18"/>
        <v>#DIV/0!</v>
      </c>
      <c r="S66" s="43" t="e">
        <f t="shared" si="19"/>
        <v>#DIV/0!</v>
      </c>
      <c r="T66" s="43" t="e">
        <f t="shared" si="20"/>
        <v>#DIV/0!</v>
      </c>
      <c r="U66" s="43" t="e">
        <f t="shared" si="21"/>
        <v>#DIV/0!</v>
      </c>
      <c r="V66" s="53" t="e">
        <f>V65+ATM_Conf!$C$5*(B65)/(B253*V253)</f>
        <v>#DIV/0!</v>
      </c>
      <c r="W66" s="53" t="e">
        <f>W65+ATM_Conf!$C$5*(C65-B65)/(C253*W253)</f>
        <v>#DIV/0!</v>
      </c>
      <c r="X66" s="53" t="e">
        <f>X65+ATM_Conf!$C$5*(D65-C65)/(D253*X253)</f>
        <v>#DIV/0!</v>
      </c>
      <c r="Y66" s="53" t="e">
        <f>Y65+ATM_Conf!$C$5*(E65-D65)/(E253*Y253)</f>
        <v>#DIV/0!</v>
      </c>
      <c r="Z66" s="53" t="e">
        <f>Z65+ATM_Conf!$C$5*(F65-E65)/(F253*Z253)</f>
        <v>#DIV/0!</v>
      </c>
      <c r="AA66" s="53" t="e">
        <f>AA65+ATM_Conf!$C$5*(G65-F65)/(G253*AA253)</f>
        <v>#DIV/0!</v>
      </c>
      <c r="AB66" s="53" t="e">
        <f>AB65+ATM_Conf!$C$5*(H65-G65)/(H253*AB253)</f>
        <v>#DIV/0!</v>
      </c>
      <c r="AC66" s="53" t="e">
        <f>AC65+ATM_Conf!$C$5*(I65-H65)/(I253*AC253)</f>
        <v>#DIV/0!</v>
      </c>
      <c r="AD66" s="53" t="e">
        <f>AD65+ATM_Conf!$C$5*(J65-I65)/(J253*AD253)</f>
        <v>#DIV/0!</v>
      </c>
      <c r="AE66" s="53" t="e">
        <f>AE65+ATM_Conf!$C$5*(K65-J65)/(K253*AE253)</f>
        <v>#DIV/0!</v>
      </c>
      <c r="AF66" s="53" t="e">
        <f>AF65+ATM_Conf!$C$5*(L65)/(L253*AF253)</f>
        <v>#DIV/0!</v>
      </c>
      <c r="AG66" s="53" t="e">
        <f>AG65+ATM_Conf!$C$5*(M65-L65)/(M253*AG253)</f>
        <v>#DIV/0!</v>
      </c>
      <c r="AH66" s="53" t="e">
        <f>AH65+ATM_Conf!$C$5*(N65-M65)/(N253*AH253)</f>
        <v>#DIV/0!</v>
      </c>
      <c r="AI66" s="53" t="e">
        <f>AI65+ATM_Conf!$C$5*(O65-N65)/(O253*AI253)</f>
        <v>#DIV/0!</v>
      </c>
      <c r="AJ66" s="53" t="e">
        <f>AJ65+ATM_Conf!$C$5*(P65-O65)/(P253*AJ253)</f>
        <v>#DIV/0!</v>
      </c>
      <c r="AK66" s="53" t="e">
        <f>AK65+ATM_Conf!$C$5*(Q65-P65)/(Q253*AK253)</f>
        <v>#DIV/0!</v>
      </c>
      <c r="AL66" s="53" t="e">
        <f>AL65+ATM_Conf!$C$5*(R65-Q65)/(R253*AL253)</f>
        <v>#DIV/0!</v>
      </c>
      <c r="AM66" s="53" t="e">
        <f>AM65+ATM_Conf!$C$5*(S65-R65)/(S253*AM253)</f>
        <v>#DIV/0!</v>
      </c>
      <c r="AN66" s="53" t="e">
        <f>AN65+ATM_Conf!$C$5*(T65-S65)/(T253*AN253)</f>
        <v>#DIV/0!</v>
      </c>
      <c r="AO66" s="53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43">
        <f t="shared" si="38"/>
        <v>0</v>
      </c>
      <c r="DS66" s="43">
        <f t="shared" si="37"/>
        <v>0</v>
      </c>
      <c r="DT66" s="43">
        <f t="shared" si="37"/>
        <v>0</v>
      </c>
      <c r="DU66" s="43">
        <f t="shared" si="37"/>
        <v>0</v>
      </c>
      <c r="DV66" s="43">
        <f t="shared" si="37"/>
        <v>0</v>
      </c>
      <c r="DW66" s="43">
        <f t="shared" si="37"/>
        <v>0</v>
      </c>
      <c r="DX66" s="43">
        <f t="shared" si="37"/>
        <v>0</v>
      </c>
      <c r="DY66" s="43">
        <f t="shared" si="37"/>
        <v>0</v>
      </c>
      <c r="DZ66" s="43">
        <f t="shared" si="37"/>
        <v>0</v>
      </c>
      <c r="EA66" s="43">
        <f t="shared" si="37"/>
        <v>0</v>
      </c>
      <c r="EB66" s="43">
        <f t="shared" si="37"/>
        <v>0</v>
      </c>
      <c r="EC66" s="43">
        <f t="shared" si="37"/>
        <v>0</v>
      </c>
      <c r="ED66" s="43">
        <f t="shared" si="37"/>
        <v>0</v>
      </c>
      <c r="EE66" s="43">
        <f t="shared" si="37"/>
        <v>0</v>
      </c>
      <c r="EF66" s="43">
        <f t="shared" si="37"/>
        <v>0</v>
      </c>
      <c r="EG66" s="43">
        <f t="shared" si="37"/>
        <v>0</v>
      </c>
      <c r="EH66" s="43">
        <f t="shared" si="37"/>
        <v>0</v>
      </c>
      <c r="EI66" s="43">
        <f t="shared" si="37"/>
        <v>0</v>
      </c>
      <c r="EJ66" s="43">
        <f t="shared" si="37"/>
        <v>0</v>
      </c>
      <c r="EK66" s="43">
        <f t="shared" si="37"/>
        <v>0</v>
      </c>
      <c r="EL66" s="47"/>
      <c r="EM66" s="47"/>
      <c r="EN66" s="47"/>
      <c r="EO66" s="47"/>
      <c r="EP66" s="47"/>
      <c r="EQ66" s="47"/>
      <c r="ER66" s="47"/>
      <c r="ES66" s="47"/>
      <c r="ET66" s="47"/>
      <c r="EU66" s="47"/>
      <c r="EV66" s="47"/>
      <c r="EW66" s="47"/>
      <c r="EX66" s="47"/>
      <c r="EY66" s="47"/>
      <c r="EZ66" s="47"/>
      <c r="FA66" s="47"/>
      <c r="FB66" s="47"/>
      <c r="FC66" s="47"/>
      <c r="FD66" s="47"/>
      <c r="FE66" s="47"/>
    </row>
    <row r="67" spans="1:161" ht="14.25" x14ac:dyDescent="0.15">
      <c r="A67" s="46"/>
      <c r="B67" s="43" t="e">
        <f t="shared" si="2"/>
        <v>#DIV/0!</v>
      </c>
      <c r="C67" s="43" t="e">
        <f t="shared" si="3"/>
        <v>#DIV/0!</v>
      </c>
      <c r="D67" s="43" t="e">
        <f t="shared" si="4"/>
        <v>#DIV/0!</v>
      </c>
      <c r="E67" s="43" t="e">
        <f t="shared" si="5"/>
        <v>#DIV/0!</v>
      </c>
      <c r="F67" s="43" t="e">
        <f t="shared" si="6"/>
        <v>#DIV/0!</v>
      </c>
      <c r="G67" s="43" t="e">
        <f t="shared" si="7"/>
        <v>#DIV/0!</v>
      </c>
      <c r="H67" s="43" t="e">
        <f t="shared" si="8"/>
        <v>#DIV/0!</v>
      </c>
      <c r="I67" s="43" t="e">
        <f t="shared" si="9"/>
        <v>#DIV/0!</v>
      </c>
      <c r="J67" s="43" t="e">
        <f t="shared" si="10"/>
        <v>#DIV/0!</v>
      </c>
      <c r="K67" s="43" t="e">
        <f t="shared" si="11"/>
        <v>#DIV/0!</v>
      </c>
      <c r="L67" s="43" t="e">
        <f t="shared" si="12"/>
        <v>#DIV/0!</v>
      </c>
      <c r="M67" s="43" t="e">
        <f t="shared" si="13"/>
        <v>#DIV/0!</v>
      </c>
      <c r="N67" s="43" t="e">
        <f t="shared" si="14"/>
        <v>#DIV/0!</v>
      </c>
      <c r="O67" s="43" t="e">
        <f t="shared" si="15"/>
        <v>#DIV/0!</v>
      </c>
      <c r="P67" s="43" t="e">
        <f t="shared" si="16"/>
        <v>#DIV/0!</v>
      </c>
      <c r="Q67" s="43" t="e">
        <f t="shared" si="17"/>
        <v>#DIV/0!</v>
      </c>
      <c r="R67" s="43" t="e">
        <f t="shared" si="18"/>
        <v>#DIV/0!</v>
      </c>
      <c r="S67" s="43" t="e">
        <f t="shared" si="19"/>
        <v>#DIV/0!</v>
      </c>
      <c r="T67" s="43" t="e">
        <f t="shared" si="20"/>
        <v>#DIV/0!</v>
      </c>
      <c r="U67" s="43" t="e">
        <f t="shared" si="21"/>
        <v>#DIV/0!</v>
      </c>
      <c r="V67" s="53" t="e">
        <f>V66+ATM_Conf!$C$5*(B66)/(B254*V254)</f>
        <v>#DIV/0!</v>
      </c>
      <c r="W67" s="53" t="e">
        <f>W66+ATM_Conf!$C$5*(C66-B66)/(C254*W254)</f>
        <v>#DIV/0!</v>
      </c>
      <c r="X67" s="53" t="e">
        <f>X66+ATM_Conf!$C$5*(D66-C66)/(D254*X254)</f>
        <v>#DIV/0!</v>
      </c>
      <c r="Y67" s="53" t="e">
        <f>Y66+ATM_Conf!$C$5*(E66-D66)/(E254*Y254)</f>
        <v>#DIV/0!</v>
      </c>
      <c r="Z67" s="53" t="e">
        <f>Z66+ATM_Conf!$C$5*(F66-E66)/(F254*Z254)</f>
        <v>#DIV/0!</v>
      </c>
      <c r="AA67" s="53" t="e">
        <f>AA66+ATM_Conf!$C$5*(G66-F66)/(G254*AA254)</f>
        <v>#DIV/0!</v>
      </c>
      <c r="AB67" s="53" t="e">
        <f>AB66+ATM_Conf!$C$5*(H66-G66)/(H254*AB254)</f>
        <v>#DIV/0!</v>
      </c>
      <c r="AC67" s="53" t="e">
        <f>AC66+ATM_Conf!$C$5*(I66-H66)/(I254*AC254)</f>
        <v>#DIV/0!</v>
      </c>
      <c r="AD67" s="53" t="e">
        <f>AD66+ATM_Conf!$C$5*(J66-I66)/(J254*AD254)</f>
        <v>#DIV/0!</v>
      </c>
      <c r="AE67" s="53" t="e">
        <f>AE66+ATM_Conf!$C$5*(K66-J66)/(K254*AE254)</f>
        <v>#DIV/0!</v>
      </c>
      <c r="AF67" s="53" t="e">
        <f>AF66+ATM_Conf!$C$5*(L66)/(L254*AF254)</f>
        <v>#DIV/0!</v>
      </c>
      <c r="AG67" s="53" t="e">
        <f>AG66+ATM_Conf!$C$5*(M66-L66)/(M254*AG254)</f>
        <v>#DIV/0!</v>
      </c>
      <c r="AH67" s="53" t="e">
        <f>AH66+ATM_Conf!$C$5*(N66-M66)/(N254*AH254)</f>
        <v>#DIV/0!</v>
      </c>
      <c r="AI67" s="53" t="e">
        <f>AI66+ATM_Conf!$C$5*(O66-N66)/(O254*AI254)</f>
        <v>#DIV/0!</v>
      </c>
      <c r="AJ67" s="53" t="e">
        <f>AJ66+ATM_Conf!$C$5*(P66-O66)/(P254*AJ254)</f>
        <v>#DIV/0!</v>
      </c>
      <c r="AK67" s="53" t="e">
        <f>AK66+ATM_Conf!$C$5*(Q66-P66)/(Q254*AK254)</f>
        <v>#DIV/0!</v>
      </c>
      <c r="AL67" s="53" t="e">
        <f>AL66+ATM_Conf!$C$5*(R66-Q66)/(R254*AL254)</f>
        <v>#DIV/0!</v>
      </c>
      <c r="AM67" s="53" t="e">
        <f>AM66+ATM_Conf!$C$5*(S66-R66)/(S254*AM254)</f>
        <v>#DIV/0!</v>
      </c>
      <c r="AN67" s="53" t="e">
        <f>AN66+ATM_Conf!$C$5*(T66-S66)/(T254*AN254)</f>
        <v>#DIV/0!</v>
      </c>
      <c r="AO67" s="53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43">
        <f t="shared" si="38"/>
        <v>0</v>
      </c>
      <c r="DS67" s="43">
        <f t="shared" si="37"/>
        <v>0</v>
      </c>
      <c r="DT67" s="43">
        <f t="shared" si="37"/>
        <v>0</v>
      </c>
      <c r="DU67" s="43">
        <f t="shared" si="37"/>
        <v>0</v>
      </c>
      <c r="DV67" s="43">
        <f t="shared" si="37"/>
        <v>0</v>
      </c>
      <c r="DW67" s="43">
        <f t="shared" si="37"/>
        <v>0</v>
      </c>
      <c r="DX67" s="43">
        <f t="shared" si="37"/>
        <v>0</v>
      </c>
      <c r="DY67" s="43">
        <f t="shared" si="37"/>
        <v>0</v>
      </c>
      <c r="DZ67" s="43">
        <f t="shared" si="37"/>
        <v>0</v>
      </c>
      <c r="EA67" s="43">
        <f t="shared" si="37"/>
        <v>0</v>
      </c>
      <c r="EB67" s="43">
        <f t="shared" si="37"/>
        <v>0</v>
      </c>
      <c r="EC67" s="43">
        <f t="shared" si="37"/>
        <v>0</v>
      </c>
      <c r="ED67" s="43">
        <f t="shared" si="37"/>
        <v>0</v>
      </c>
      <c r="EE67" s="43">
        <f t="shared" si="37"/>
        <v>0</v>
      </c>
      <c r="EF67" s="43">
        <f t="shared" si="37"/>
        <v>0</v>
      </c>
      <c r="EG67" s="43">
        <f t="shared" si="37"/>
        <v>0</v>
      </c>
      <c r="EH67" s="43">
        <f t="shared" si="37"/>
        <v>0</v>
      </c>
      <c r="EI67" s="43">
        <f t="shared" si="37"/>
        <v>0</v>
      </c>
      <c r="EJ67" s="43">
        <f t="shared" si="37"/>
        <v>0</v>
      </c>
      <c r="EK67" s="43">
        <f t="shared" si="37"/>
        <v>0</v>
      </c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</row>
    <row r="68" spans="1:161" ht="14.25" x14ac:dyDescent="0.15">
      <c r="A68" s="46"/>
      <c r="B68" s="43" t="e">
        <f t="shared" ref="B68:B131" si="39">V68*AP68</f>
        <v>#DIV/0!</v>
      </c>
      <c r="C68" s="43" t="e">
        <f t="shared" ref="C68:C131" si="40">W68*AQ68</f>
        <v>#DIV/0!</v>
      </c>
      <c r="D68" s="43" t="e">
        <f t="shared" ref="D68:D131" si="41">X68*AR68</f>
        <v>#DIV/0!</v>
      </c>
      <c r="E68" s="43" t="e">
        <f t="shared" ref="E68:E131" si="42">Y68*AS68</f>
        <v>#DIV/0!</v>
      </c>
      <c r="F68" s="43" t="e">
        <f t="shared" ref="F68:F131" si="43">Z68*AT68</f>
        <v>#DIV/0!</v>
      </c>
      <c r="G68" s="43" t="e">
        <f t="shared" ref="G68:G131" si="44">AA68*AU68</f>
        <v>#DIV/0!</v>
      </c>
      <c r="H68" s="43" t="e">
        <f t="shared" ref="H68:H131" si="45">AB68*AV68</f>
        <v>#DIV/0!</v>
      </c>
      <c r="I68" s="43" t="e">
        <f t="shared" ref="I68:I131" si="46">AC68*AW68</f>
        <v>#DIV/0!</v>
      </c>
      <c r="J68" s="43" t="e">
        <f t="shared" ref="J68:J131" si="47">AD68*AX68</f>
        <v>#DIV/0!</v>
      </c>
      <c r="K68" s="43" t="e">
        <f t="shared" ref="K68:K131" si="48">AE68*AY68</f>
        <v>#DIV/0!</v>
      </c>
      <c r="L68" s="43" t="e">
        <f t="shared" ref="L68:L131" si="49">AF68*AZ68</f>
        <v>#DIV/0!</v>
      </c>
      <c r="M68" s="43" t="e">
        <f t="shared" ref="M68:M131" si="50">AG68*BA68</f>
        <v>#DIV/0!</v>
      </c>
      <c r="N68" s="43" t="e">
        <f t="shared" ref="N68:N131" si="51">AH68*BB68</f>
        <v>#DIV/0!</v>
      </c>
      <c r="O68" s="43" t="e">
        <f t="shared" ref="O68:O131" si="52">AI68*BC68</f>
        <v>#DIV/0!</v>
      </c>
      <c r="P68" s="43" t="e">
        <f t="shared" ref="P68:P131" si="53">AJ68*BD68</f>
        <v>#DIV/0!</v>
      </c>
      <c r="Q68" s="43" t="e">
        <f t="shared" ref="Q68:Q131" si="54">AK68*BE68</f>
        <v>#DIV/0!</v>
      </c>
      <c r="R68" s="43" t="e">
        <f t="shared" ref="R68:R131" si="55">AL68*BF68</f>
        <v>#DIV/0!</v>
      </c>
      <c r="S68" s="43" t="e">
        <f t="shared" ref="S68:S131" si="56">AM68*BG68</f>
        <v>#DIV/0!</v>
      </c>
      <c r="T68" s="43" t="e">
        <f t="shared" ref="T68:T131" si="57">AN68*BH68</f>
        <v>#DIV/0!</v>
      </c>
      <c r="U68" s="43" t="e">
        <f t="shared" ref="U68:U131" si="58">AO68*BI68</f>
        <v>#DIV/0!</v>
      </c>
      <c r="V68" s="53" t="e">
        <f>V67+ATM_Conf!$C$5*(B67)/(B255*V255)</f>
        <v>#DIV/0!</v>
      </c>
      <c r="W68" s="53" t="e">
        <f>W67+ATM_Conf!$C$5*(C67-B67)/(C255*W255)</f>
        <v>#DIV/0!</v>
      </c>
      <c r="X68" s="53" t="e">
        <f>X67+ATM_Conf!$C$5*(D67-C67)/(D255*X255)</f>
        <v>#DIV/0!</v>
      </c>
      <c r="Y68" s="53" t="e">
        <f>Y67+ATM_Conf!$C$5*(E67-D67)/(E255*Y255)</f>
        <v>#DIV/0!</v>
      </c>
      <c r="Z68" s="53" t="e">
        <f>Z67+ATM_Conf!$C$5*(F67-E67)/(F255*Z255)</f>
        <v>#DIV/0!</v>
      </c>
      <c r="AA68" s="53" t="e">
        <f>AA67+ATM_Conf!$C$5*(G67-F67)/(G255*AA255)</f>
        <v>#DIV/0!</v>
      </c>
      <c r="AB68" s="53" t="e">
        <f>AB67+ATM_Conf!$C$5*(H67-G67)/(H255*AB255)</f>
        <v>#DIV/0!</v>
      </c>
      <c r="AC68" s="53" t="e">
        <f>AC67+ATM_Conf!$C$5*(I67-H67)/(I255*AC255)</f>
        <v>#DIV/0!</v>
      </c>
      <c r="AD68" s="53" t="e">
        <f>AD67+ATM_Conf!$C$5*(J67-I67)/(J255*AD255)</f>
        <v>#DIV/0!</v>
      </c>
      <c r="AE68" s="53" t="e">
        <f>AE67+ATM_Conf!$C$5*(K67-J67)/(K255*AE255)</f>
        <v>#DIV/0!</v>
      </c>
      <c r="AF68" s="53" t="e">
        <f>AF67+ATM_Conf!$C$5*(L67)/(L255*AF255)</f>
        <v>#DIV/0!</v>
      </c>
      <c r="AG68" s="53" t="e">
        <f>AG67+ATM_Conf!$C$5*(M67-L67)/(M255*AG255)</f>
        <v>#DIV/0!</v>
      </c>
      <c r="AH68" s="53" t="e">
        <f>AH67+ATM_Conf!$C$5*(N67-M67)/(N255*AH255)</f>
        <v>#DIV/0!</v>
      </c>
      <c r="AI68" s="53" t="e">
        <f>AI67+ATM_Conf!$C$5*(O67-N67)/(O255*AI255)</f>
        <v>#DIV/0!</v>
      </c>
      <c r="AJ68" s="53" t="e">
        <f>AJ67+ATM_Conf!$C$5*(P67-O67)/(P255*AJ255)</f>
        <v>#DIV/0!</v>
      </c>
      <c r="AK68" s="53" t="e">
        <f>AK67+ATM_Conf!$C$5*(Q67-P67)/(Q255*AK255)</f>
        <v>#DIV/0!</v>
      </c>
      <c r="AL68" s="53" t="e">
        <f>AL67+ATM_Conf!$C$5*(R67-Q67)/(R255*AL255)</f>
        <v>#DIV/0!</v>
      </c>
      <c r="AM68" s="53" t="e">
        <f>AM67+ATM_Conf!$C$5*(S67-R67)/(S255*AM255)</f>
        <v>#DIV/0!</v>
      </c>
      <c r="AN68" s="53" t="e">
        <f>AN67+ATM_Conf!$C$5*(T67-S67)/(T255*AN255)</f>
        <v>#DIV/0!</v>
      </c>
      <c r="AO68" s="53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43">
        <f t="shared" si="38"/>
        <v>0</v>
      </c>
      <c r="DS68" s="43">
        <f t="shared" si="37"/>
        <v>0</v>
      </c>
      <c r="DT68" s="43">
        <f t="shared" si="37"/>
        <v>0</v>
      </c>
      <c r="DU68" s="43">
        <f t="shared" si="37"/>
        <v>0</v>
      </c>
      <c r="DV68" s="43">
        <f t="shared" si="37"/>
        <v>0</v>
      </c>
      <c r="DW68" s="43">
        <f t="shared" si="37"/>
        <v>0</v>
      </c>
      <c r="DX68" s="43">
        <f t="shared" si="37"/>
        <v>0</v>
      </c>
      <c r="DY68" s="43">
        <f t="shared" si="37"/>
        <v>0</v>
      </c>
      <c r="DZ68" s="43">
        <f t="shared" si="37"/>
        <v>0</v>
      </c>
      <c r="EA68" s="43">
        <f t="shared" si="37"/>
        <v>0</v>
      </c>
      <c r="EB68" s="43">
        <f t="shared" si="37"/>
        <v>0</v>
      </c>
      <c r="EC68" s="43">
        <f t="shared" si="37"/>
        <v>0</v>
      </c>
      <c r="ED68" s="43">
        <f t="shared" si="37"/>
        <v>0</v>
      </c>
      <c r="EE68" s="43">
        <f t="shared" si="37"/>
        <v>0</v>
      </c>
      <c r="EF68" s="43">
        <f t="shared" si="37"/>
        <v>0</v>
      </c>
      <c r="EG68" s="43">
        <f t="shared" si="37"/>
        <v>0</v>
      </c>
      <c r="EH68" s="43">
        <f t="shared" si="37"/>
        <v>0</v>
      </c>
      <c r="EI68" s="43">
        <f t="shared" si="37"/>
        <v>0</v>
      </c>
      <c r="EJ68" s="43">
        <f t="shared" si="37"/>
        <v>0</v>
      </c>
      <c r="EK68" s="43">
        <f t="shared" si="37"/>
        <v>0</v>
      </c>
      <c r="EL68" s="47"/>
      <c r="EM68" s="47"/>
      <c r="EN68" s="47"/>
      <c r="EO68" s="47"/>
      <c r="EP68" s="47"/>
      <c r="EQ68" s="47"/>
      <c r="ER68" s="47"/>
      <c r="ES68" s="47"/>
      <c r="ET68" s="47"/>
      <c r="EU68" s="47"/>
      <c r="EV68" s="47"/>
      <c r="EW68" s="47"/>
      <c r="EX68" s="47"/>
      <c r="EY68" s="47"/>
      <c r="EZ68" s="47"/>
      <c r="FA68" s="47"/>
      <c r="FB68" s="47"/>
      <c r="FC68" s="47"/>
      <c r="FD68" s="47"/>
      <c r="FE68" s="47"/>
    </row>
    <row r="69" spans="1:161" ht="14.25" x14ac:dyDescent="0.15">
      <c r="A69" s="46"/>
      <c r="B69" s="43" t="e">
        <f t="shared" si="39"/>
        <v>#DIV/0!</v>
      </c>
      <c r="C69" s="43" t="e">
        <f t="shared" si="40"/>
        <v>#DIV/0!</v>
      </c>
      <c r="D69" s="43" t="e">
        <f t="shared" si="41"/>
        <v>#DIV/0!</v>
      </c>
      <c r="E69" s="43" t="e">
        <f t="shared" si="42"/>
        <v>#DIV/0!</v>
      </c>
      <c r="F69" s="43" t="e">
        <f t="shared" si="43"/>
        <v>#DIV/0!</v>
      </c>
      <c r="G69" s="43" t="e">
        <f t="shared" si="44"/>
        <v>#DIV/0!</v>
      </c>
      <c r="H69" s="43" t="e">
        <f t="shared" si="45"/>
        <v>#DIV/0!</v>
      </c>
      <c r="I69" s="43" t="e">
        <f t="shared" si="46"/>
        <v>#DIV/0!</v>
      </c>
      <c r="J69" s="43" t="e">
        <f t="shared" si="47"/>
        <v>#DIV/0!</v>
      </c>
      <c r="K69" s="43" t="e">
        <f t="shared" si="48"/>
        <v>#DIV/0!</v>
      </c>
      <c r="L69" s="43" t="e">
        <f t="shared" si="49"/>
        <v>#DIV/0!</v>
      </c>
      <c r="M69" s="43" t="e">
        <f t="shared" si="50"/>
        <v>#DIV/0!</v>
      </c>
      <c r="N69" s="43" t="e">
        <f t="shared" si="51"/>
        <v>#DIV/0!</v>
      </c>
      <c r="O69" s="43" t="e">
        <f t="shared" si="52"/>
        <v>#DIV/0!</v>
      </c>
      <c r="P69" s="43" t="e">
        <f t="shared" si="53"/>
        <v>#DIV/0!</v>
      </c>
      <c r="Q69" s="43" t="e">
        <f t="shared" si="54"/>
        <v>#DIV/0!</v>
      </c>
      <c r="R69" s="43" t="e">
        <f t="shared" si="55"/>
        <v>#DIV/0!</v>
      </c>
      <c r="S69" s="43" t="e">
        <f t="shared" si="56"/>
        <v>#DIV/0!</v>
      </c>
      <c r="T69" s="43" t="e">
        <f t="shared" si="57"/>
        <v>#DIV/0!</v>
      </c>
      <c r="U69" s="43" t="e">
        <f t="shared" si="58"/>
        <v>#DIV/0!</v>
      </c>
      <c r="V69" s="53" t="e">
        <f>V68+ATM_Conf!$C$5*(B68)/(B256*V256)</f>
        <v>#DIV/0!</v>
      </c>
      <c r="W69" s="53" t="e">
        <f>W68+ATM_Conf!$C$5*(C68-B68)/(C256*W256)</f>
        <v>#DIV/0!</v>
      </c>
      <c r="X69" s="53" t="e">
        <f>X68+ATM_Conf!$C$5*(D68-C68)/(D256*X256)</f>
        <v>#DIV/0!</v>
      </c>
      <c r="Y69" s="53" t="e">
        <f>Y68+ATM_Conf!$C$5*(E68-D68)/(E256*Y256)</f>
        <v>#DIV/0!</v>
      </c>
      <c r="Z69" s="53" t="e">
        <f>Z68+ATM_Conf!$C$5*(F68-E68)/(F256*Z256)</f>
        <v>#DIV/0!</v>
      </c>
      <c r="AA69" s="53" t="e">
        <f>AA68+ATM_Conf!$C$5*(G68-F68)/(G256*AA256)</f>
        <v>#DIV/0!</v>
      </c>
      <c r="AB69" s="53" t="e">
        <f>AB68+ATM_Conf!$C$5*(H68-G68)/(H256*AB256)</f>
        <v>#DIV/0!</v>
      </c>
      <c r="AC69" s="53" t="e">
        <f>AC68+ATM_Conf!$C$5*(I68-H68)/(I256*AC256)</f>
        <v>#DIV/0!</v>
      </c>
      <c r="AD69" s="53" t="e">
        <f>AD68+ATM_Conf!$C$5*(J68-I68)/(J256*AD256)</f>
        <v>#DIV/0!</v>
      </c>
      <c r="AE69" s="53" t="e">
        <f>AE68+ATM_Conf!$C$5*(K68-J68)/(K256*AE256)</f>
        <v>#DIV/0!</v>
      </c>
      <c r="AF69" s="53" t="e">
        <f>AF68+ATM_Conf!$C$5*(L68)/(L256*AF256)</f>
        <v>#DIV/0!</v>
      </c>
      <c r="AG69" s="53" t="e">
        <f>AG68+ATM_Conf!$C$5*(M68-L68)/(M256*AG256)</f>
        <v>#DIV/0!</v>
      </c>
      <c r="AH69" s="53" t="e">
        <f>AH68+ATM_Conf!$C$5*(N68-M68)/(N256*AH256)</f>
        <v>#DIV/0!</v>
      </c>
      <c r="AI69" s="53" t="e">
        <f>AI68+ATM_Conf!$C$5*(O68-N68)/(O256*AI256)</f>
        <v>#DIV/0!</v>
      </c>
      <c r="AJ69" s="53" t="e">
        <f>AJ68+ATM_Conf!$C$5*(P68-O68)/(P256*AJ256)</f>
        <v>#DIV/0!</v>
      </c>
      <c r="AK69" s="53" t="e">
        <f>AK68+ATM_Conf!$C$5*(Q68-P68)/(Q256*AK256)</f>
        <v>#DIV/0!</v>
      </c>
      <c r="AL69" s="53" t="e">
        <f>AL68+ATM_Conf!$C$5*(R68-Q68)/(R256*AL256)</f>
        <v>#DIV/0!</v>
      </c>
      <c r="AM69" s="53" t="e">
        <f>AM68+ATM_Conf!$C$5*(S68-R68)/(S256*AM256)</f>
        <v>#DIV/0!</v>
      </c>
      <c r="AN69" s="53" t="e">
        <f>AN68+ATM_Conf!$C$5*(T68-S68)/(T256*AN256)</f>
        <v>#DIV/0!</v>
      </c>
      <c r="AO69" s="53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43">
        <f t="shared" si="38"/>
        <v>0</v>
      </c>
      <c r="DS69" s="43">
        <f t="shared" si="37"/>
        <v>0</v>
      </c>
      <c r="DT69" s="43">
        <f t="shared" si="37"/>
        <v>0</v>
      </c>
      <c r="DU69" s="43">
        <f t="shared" si="37"/>
        <v>0</v>
      </c>
      <c r="DV69" s="43">
        <f t="shared" si="37"/>
        <v>0</v>
      </c>
      <c r="DW69" s="43">
        <f t="shared" si="37"/>
        <v>0</v>
      </c>
      <c r="DX69" s="43">
        <f t="shared" si="37"/>
        <v>0</v>
      </c>
      <c r="DY69" s="43">
        <f t="shared" si="37"/>
        <v>0</v>
      </c>
      <c r="DZ69" s="43">
        <f t="shared" si="37"/>
        <v>0</v>
      </c>
      <c r="EA69" s="43">
        <f t="shared" si="37"/>
        <v>0</v>
      </c>
      <c r="EB69" s="43">
        <f t="shared" si="37"/>
        <v>0</v>
      </c>
      <c r="EC69" s="43">
        <f t="shared" si="37"/>
        <v>0</v>
      </c>
      <c r="ED69" s="43">
        <f t="shared" si="37"/>
        <v>0</v>
      </c>
      <c r="EE69" s="43">
        <f t="shared" si="37"/>
        <v>0</v>
      </c>
      <c r="EF69" s="43">
        <f t="shared" si="37"/>
        <v>0</v>
      </c>
      <c r="EG69" s="43">
        <f t="shared" si="37"/>
        <v>0</v>
      </c>
      <c r="EH69" s="43">
        <f t="shared" si="37"/>
        <v>0</v>
      </c>
      <c r="EI69" s="43">
        <f t="shared" si="37"/>
        <v>0</v>
      </c>
      <c r="EJ69" s="43">
        <f t="shared" si="37"/>
        <v>0</v>
      </c>
      <c r="EK69" s="43">
        <f t="shared" si="37"/>
        <v>0</v>
      </c>
      <c r="EL69" s="47"/>
      <c r="EM69" s="47"/>
      <c r="EN69" s="47"/>
      <c r="EO69" s="47"/>
      <c r="EP69" s="47"/>
      <c r="EQ69" s="47"/>
      <c r="ER69" s="47"/>
      <c r="ES69" s="47"/>
      <c r="ET69" s="47"/>
      <c r="EU69" s="47"/>
      <c r="EV69" s="47"/>
      <c r="EW69" s="47"/>
      <c r="EX69" s="47"/>
      <c r="EY69" s="47"/>
      <c r="EZ69" s="47"/>
      <c r="FA69" s="47"/>
      <c r="FB69" s="47"/>
      <c r="FC69" s="47"/>
      <c r="FD69" s="47"/>
      <c r="FE69" s="47"/>
    </row>
    <row r="70" spans="1:161" ht="14.25" x14ac:dyDescent="0.15">
      <c r="A70" s="46"/>
      <c r="B70" s="43" t="e">
        <f t="shared" si="39"/>
        <v>#DIV/0!</v>
      </c>
      <c r="C70" s="43" t="e">
        <f t="shared" si="40"/>
        <v>#DIV/0!</v>
      </c>
      <c r="D70" s="43" t="e">
        <f t="shared" si="41"/>
        <v>#DIV/0!</v>
      </c>
      <c r="E70" s="43" t="e">
        <f t="shared" si="42"/>
        <v>#DIV/0!</v>
      </c>
      <c r="F70" s="43" t="e">
        <f t="shared" si="43"/>
        <v>#DIV/0!</v>
      </c>
      <c r="G70" s="43" t="e">
        <f t="shared" si="44"/>
        <v>#DIV/0!</v>
      </c>
      <c r="H70" s="43" t="e">
        <f t="shared" si="45"/>
        <v>#DIV/0!</v>
      </c>
      <c r="I70" s="43" t="e">
        <f t="shared" si="46"/>
        <v>#DIV/0!</v>
      </c>
      <c r="J70" s="43" t="e">
        <f t="shared" si="47"/>
        <v>#DIV/0!</v>
      </c>
      <c r="K70" s="43" t="e">
        <f t="shared" si="48"/>
        <v>#DIV/0!</v>
      </c>
      <c r="L70" s="43" t="e">
        <f t="shared" si="49"/>
        <v>#DIV/0!</v>
      </c>
      <c r="M70" s="43" t="e">
        <f t="shared" si="50"/>
        <v>#DIV/0!</v>
      </c>
      <c r="N70" s="43" t="e">
        <f t="shared" si="51"/>
        <v>#DIV/0!</v>
      </c>
      <c r="O70" s="43" t="e">
        <f t="shared" si="52"/>
        <v>#DIV/0!</v>
      </c>
      <c r="P70" s="43" t="e">
        <f t="shared" si="53"/>
        <v>#DIV/0!</v>
      </c>
      <c r="Q70" s="43" t="e">
        <f t="shared" si="54"/>
        <v>#DIV/0!</v>
      </c>
      <c r="R70" s="43" t="e">
        <f t="shared" si="55"/>
        <v>#DIV/0!</v>
      </c>
      <c r="S70" s="43" t="e">
        <f t="shared" si="56"/>
        <v>#DIV/0!</v>
      </c>
      <c r="T70" s="43" t="e">
        <f t="shared" si="57"/>
        <v>#DIV/0!</v>
      </c>
      <c r="U70" s="43" t="e">
        <f t="shared" si="58"/>
        <v>#DIV/0!</v>
      </c>
      <c r="V70" s="53" t="e">
        <f>V69+ATM_Conf!$C$5*(B69)/(B257*V257)</f>
        <v>#DIV/0!</v>
      </c>
      <c r="W70" s="53" t="e">
        <f>W69+ATM_Conf!$C$5*(C69-B69)/(C257*W257)</f>
        <v>#DIV/0!</v>
      </c>
      <c r="X70" s="53" t="e">
        <f>X69+ATM_Conf!$C$5*(D69-C69)/(D257*X257)</f>
        <v>#DIV/0!</v>
      </c>
      <c r="Y70" s="53" t="e">
        <f>Y69+ATM_Conf!$C$5*(E69-D69)/(E257*Y257)</f>
        <v>#DIV/0!</v>
      </c>
      <c r="Z70" s="53" t="e">
        <f>Z69+ATM_Conf!$C$5*(F69-E69)/(F257*Z257)</f>
        <v>#DIV/0!</v>
      </c>
      <c r="AA70" s="53" t="e">
        <f>AA69+ATM_Conf!$C$5*(G69-F69)/(G257*AA257)</f>
        <v>#DIV/0!</v>
      </c>
      <c r="AB70" s="53" t="e">
        <f>AB69+ATM_Conf!$C$5*(H69-G69)/(H257*AB257)</f>
        <v>#DIV/0!</v>
      </c>
      <c r="AC70" s="53" t="e">
        <f>AC69+ATM_Conf!$C$5*(I69-H69)/(I257*AC257)</f>
        <v>#DIV/0!</v>
      </c>
      <c r="AD70" s="53" t="e">
        <f>AD69+ATM_Conf!$C$5*(J69-I69)/(J257*AD257)</f>
        <v>#DIV/0!</v>
      </c>
      <c r="AE70" s="53" t="e">
        <f>AE69+ATM_Conf!$C$5*(K69-J69)/(K257*AE257)</f>
        <v>#DIV/0!</v>
      </c>
      <c r="AF70" s="53" t="e">
        <f>AF69+ATM_Conf!$C$5*(L69)/(L257*AF257)</f>
        <v>#DIV/0!</v>
      </c>
      <c r="AG70" s="53" t="e">
        <f>AG69+ATM_Conf!$C$5*(M69-L69)/(M257*AG257)</f>
        <v>#DIV/0!</v>
      </c>
      <c r="AH70" s="53" t="e">
        <f>AH69+ATM_Conf!$C$5*(N69-M69)/(N257*AH257)</f>
        <v>#DIV/0!</v>
      </c>
      <c r="AI70" s="53" t="e">
        <f>AI69+ATM_Conf!$C$5*(O69-N69)/(O257*AI257)</f>
        <v>#DIV/0!</v>
      </c>
      <c r="AJ70" s="53" t="e">
        <f>AJ69+ATM_Conf!$C$5*(P69-O69)/(P257*AJ257)</f>
        <v>#DIV/0!</v>
      </c>
      <c r="AK70" s="53" t="e">
        <f>AK69+ATM_Conf!$C$5*(Q69-P69)/(Q257*AK257)</f>
        <v>#DIV/0!</v>
      </c>
      <c r="AL70" s="53" t="e">
        <f>AL69+ATM_Conf!$C$5*(R69-Q69)/(R257*AL257)</f>
        <v>#DIV/0!</v>
      </c>
      <c r="AM70" s="53" t="e">
        <f>AM69+ATM_Conf!$C$5*(S69-R69)/(S257*AM257)</f>
        <v>#DIV/0!</v>
      </c>
      <c r="AN70" s="53" t="e">
        <f>AN69+ATM_Conf!$C$5*(T69-S69)/(T257*AN257)</f>
        <v>#DIV/0!</v>
      </c>
      <c r="AO70" s="53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43">
        <f t="shared" si="38"/>
        <v>0</v>
      </c>
      <c r="DS70" s="43">
        <f t="shared" si="37"/>
        <v>0</v>
      </c>
      <c r="DT70" s="43">
        <f t="shared" si="37"/>
        <v>0</v>
      </c>
      <c r="DU70" s="43">
        <f t="shared" si="37"/>
        <v>0</v>
      </c>
      <c r="DV70" s="43">
        <f t="shared" si="37"/>
        <v>0</v>
      </c>
      <c r="DW70" s="43">
        <f t="shared" si="37"/>
        <v>0</v>
      </c>
      <c r="DX70" s="43">
        <f t="shared" si="37"/>
        <v>0</v>
      </c>
      <c r="DY70" s="43">
        <f t="shared" si="37"/>
        <v>0</v>
      </c>
      <c r="DZ70" s="43">
        <f t="shared" si="37"/>
        <v>0</v>
      </c>
      <c r="EA70" s="43">
        <f t="shared" si="37"/>
        <v>0</v>
      </c>
      <c r="EB70" s="43">
        <f t="shared" si="37"/>
        <v>0</v>
      </c>
      <c r="EC70" s="43">
        <f t="shared" si="37"/>
        <v>0</v>
      </c>
      <c r="ED70" s="43">
        <f t="shared" si="37"/>
        <v>0</v>
      </c>
      <c r="EE70" s="43">
        <f t="shared" si="37"/>
        <v>0</v>
      </c>
      <c r="EF70" s="43">
        <f t="shared" si="37"/>
        <v>0</v>
      </c>
      <c r="EG70" s="43">
        <f t="shared" si="37"/>
        <v>0</v>
      </c>
      <c r="EH70" s="43">
        <f t="shared" si="37"/>
        <v>0</v>
      </c>
      <c r="EI70" s="43">
        <f t="shared" si="37"/>
        <v>0</v>
      </c>
      <c r="EJ70" s="43">
        <f t="shared" si="37"/>
        <v>0</v>
      </c>
      <c r="EK70" s="43">
        <f t="shared" si="37"/>
        <v>0</v>
      </c>
      <c r="EL70" s="47"/>
      <c r="EM70" s="47"/>
      <c r="EN70" s="47"/>
      <c r="EO70" s="47"/>
      <c r="EP70" s="47"/>
      <c r="EQ70" s="47"/>
      <c r="ER70" s="47"/>
      <c r="ES70" s="47"/>
      <c r="ET70" s="47"/>
      <c r="EU70" s="47"/>
      <c r="EV70" s="47"/>
      <c r="EW70" s="47"/>
      <c r="EX70" s="47"/>
      <c r="EY70" s="47"/>
      <c r="EZ70" s="47"/>
      <c r="FA70" s="47"/>
      <c r="FB70" s="47"/>
      <c r="FC70" s="47"/>
      <c r="FD70" s="47"/>
      <c r="FE70" s="47"/>
    </row>
    <row r="71" spans="1:161" ht="14.25" x14ac:dyDescent="0.15">
      <c r="A71" s="46"/>
      <c r="B71" s="43" t="e">
        <f t="shared" si="39"/>
        <v>#DIV/0!</v>
      </c>
      <c r="C71" s="43" t="e">
        <f t="shared" si="40"/>
        <v>#DIV/0!</v>
      </c>
      <c r="D71" s="43" t="e">
        <f t="shared" si="41"/>
        <v>#DIV/0!</v>
      </c>
      <c r="E71" s="43" t="e">
        <f t="shared" si="42"/>
        <v>#DIV/0!</v>
      </c>
      <c r="F71" s="43" t="e">
        <f t="shared" si="43"/>
        <v>#DIV/0!</v>
      </c>
      <c r="G71" s="43" t="e">
        <f t="shared" si="44"/>
        <v>#DIV/0!</v>
      </c>
      <c r="H71" s="43" t="e">
        <f t="shared" si="45"/>
        <v>#DIV/0!</v>
      </c>
      <c r="I71" s="43" t="e">
        <f t="shared" si="46"/>
        <v>#DIV/0!</v>
      </c>
      <c r="J71" s="43" t="e">
        <f t="shared" si="47"/>
        <v>#DIV/0!</v>
      </c>
      <c r="K71" s="43" t="e">
        <f t="shared" si="48"/>
        <v>#DIV/0!</v>
      </c>
      <c r="L71" s="43" t="e">
        <f t="shared" si="49"/>
        <v>#DIV/0!</v>
      </c>
      <c r="M71" s="43" t="e">
        <f t="shared" si="50"/>
        <v>#DIV/0!</v>
      </c>
      <c r="N71" s="43" t="e">
        <f t="shared" si="51"/>
        <v>#DIV/0!</v>
      </c>
      <c r="O71" s="43" t="e">
        <f t="shared" si="52"/>
        <v>#DIV/0!</v>
      </c>
      <c r="P71" s="43" t="e">
        <f t="shared" si="53"/>
        <v>#DIV/0!</v>
      </c>
      <c r="Q71" s="43" t="e">
        <f t="shared" si="54"/>
        <v>#DIV/0!</v>
      </c>
      <c r="R71" s="43" t="e">
        <f t="shared" si="55"/>
        <v>#DIV/0!</v>
      </c>
      <c r="S71" s="43" t="e">
        <f t="shared" si="56"/>
        <v>#DIV/0!</v>
      </c>
      <c r="T71" s="43" t="e">
        <f t="shared" si="57"/>
        <v>#DIV/0!</v>
      </c>
      <c r="U71" s="43" t="e">
        <f t="shared" si="58"/>
        <v>#DIV/0!</v>
      </c>
      <c r="V71" s="53" t="e">
        <f>V70+ATM_Conf!$C$5*(B70)/(B258*V258)</f>
        <v>#DIV/0!</v>
      </c>
      <c r="W71" s="53" t="e">
        <f>W70+ATM_Conf!$C$5*(C70-B70)/(C258*W258)</f>
        <v>#DIV/0!</v>
      </c>
      <c r="X71" s="53" t="e">
        <f>X70+ATM_Conf!$C$5*(D70-C70)/(D258*X258)</f>
        <v>#DIV/0!</v>
      </c>
      <c r="Y71" s="53" t="e">
        <f>Y70+ATM_Conf!$C$5*(E70-D70)/(E258*Y258)</f>
        <v>#DIV/0!</v>
      </c>
      <c r="Z71" s="53" t="e">
        <f>Z70+ATM_Conf!$C$5*(F70-E70)/(F258*Z258)</f>
        <v>#DIV/0!</v>
      </c>
      <c r="AA71" s="53" t="e">
        <f>AA70+ATM_Conf!$C$5*(G70-F70)/(G258*AA258)</f>
        <v>#DIV/0!</v>
      </c>
      <c r="AB71" s="53" t="e">
        <f>AB70+ATM_Conf!$C$5*(H70-G70)/(H258*AB258)</f>
        <v>#DIV/0!</v>
      </c>
      <c r="AC71" s="53" t="e">
        <f>AC70+ATM_Conf!$C$5*(I70-H70)/(I258*AC258)</f>
        <v>#DIV/0!</v>
      </c>
      <c r="AD71" s="53" t="e">
        <f>AD70+ATM_Conf!$C$5*(J70-I70)/(J258*AD258)</f>
        <v>#DIV/0!</v>
      </c>
      <c r="AE71" s="53" t="e">
        <f>AE70+ATM_Conf!$C$5*(K70-J70)/(K258*AE258)</f>
        <v>#DIV/0!</v>
      </c>
      <c r="AF71" s="53" t="e">
        <f>AF70+ATM_Conf!$C$5*(L70)/(L258*AF258)</f>
        <v>#DIV/0!</v>
      </c>
      <c r="AG71" s="53" t="e">
        <f>AG70+ATM_Conf!$C$5*(M70-L70)/(M258*AG258)</f>
        <v>#DIV/0!</v>
      </c>
      <c r="AH71" s="53" t="e">
        <f>AH70+ATM_Conf!$C$5*(N70-M70)/(N258*AH258)</f>
        <v>#DIV/0!</v>
      </c>
      <c r="AI71" s="53" t="e">
        <f>AI70+ATM_Conf!$C$5*(O70-N70)/(O258*AI258)</f>
        <v>#DIV/0!</v>
      </c>
      <c r="AJ71" s="53" t="e">
        <f>AJ70+ATM_Conf!$C$5*(P70-O70)/(P258*AJ258)</f>
        <v>#DIV/0!</v>
      </c>
      <c r="AK71" s="53" t="e">
        <f>AK70+ATM_Conf!$C$5*(Q70-P70)/(Q258*AK258)</f>
        <v>#DIV/0!</v>
      </c>
      <c r="AL71" s="53" t="e">
        <f>AL70+ATM_Conf!$C$5*(R70-Q70)/(R258*AL258)</f>
        <v>#DIV/0!</v>
      </c>
      <c r="AM71" s="53" t="e">
        <f>AM70+ATM_Conf!$C$5*(S70-R70)/(S258*AM258)</f>
        <v>#DIV/0!</v>
      </c>
      <c r="AN71" s="53" t="e">
        <f>AN70+ATM_Conf!$C$5*(T70-S70)/(T258*AN258)</f>
        <v>#DIV/0!</v>
      </c>
      <c r="AO71" s="53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43">
        <f t="shared" si="38"/>
        <v>0</v>
      </c>
      <c r="DS71" s="43">
        <f t="shared" si="37"/>
        <v>0</v>
      </c>
      <c r="DT71" s="43">
        <f t="shared" si="37"/>
        <v>0</v>
      </c>
      <c r="DU71" s="43">
        <f t="shared" si="37"/>
        <v>0</v>
      </c>
      <c r="DV71" s="43">
        <f t="shared" si="37"/>
        <v>0</v>
      </c>
      <c r="DW71" s="43">
        <f t="shared" si="37"/>
        <v>0</v>
      </c>
      <c r="DX71" s="43">
        <f t="shared" si="37"/>
        <v>0</v>
      </c>
      <c r="DY71" s="43">
        <f t="shared" si="37"/>
        <v>0</v>
      </c>
      <c r="DZ71" s="43">
        <f t="shared" si="37"/>
        <v>0</v>
      </c>
      <c r="EA71" s="43">
        <f t="shared" si="37"/>
        <v>0</v>
      </c>
      <c r="EB71" s="43">
        <f t="shared" si="37"/>
        <v>0</v>
      </c>
      <c r="EC71" s="43">
        <f t="shared" si="37"/>
        <v>0</v>
      </c>
      <c r="ED71" s="43">
        <f t="shared" si="37"/>
        <v>0</v>
      </c>
      <c r="EE71" s="43">
        <f t="shared" si="37"/>
        <v>0</v>
      </c>
      <c r="EF71" s="43">
        <f t="shared" si="37"/>
        <v>0</v>
      </c>
      <c r="EG71" s="43">
        <f t="shared" si="37"/>
        <v>0</v>
      </c>
      <c r="EH71" s="43">
        <f t="shared" si="37"/>
        <v>0</v>
      </c>
      <c r="EI71" s="43">
        <f t="shared" si="37"/>
        <v>0</v>
      </c>
      <c r="EJ71" s="43">
        <f t="shared" si="37"/>
        <v>0</v>
      </c>
      <c r="EK71" s="43">
        <f t="shared" si="37"/>
        <v>0</v>
      </c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</row>
    <row r="72" spans="1:161" ht="14.25" x14ac:dyDescent="0.15">
      <c r="A72" s="46"/>
      <c r="B72" s="43" t="e">
        <f t="shared" si="39"/>
        <v>#DIV/0!</v>
      </c>
      <c r="C72" s="43" t="e">
        <f t="shared" si="40"/>
        <v>#DIV/0!</v>
      </c>
      <c r="D72" s="43" t="e">
        <f t="shared" si="41"/>
        <v>#DIV/0!</v>
      </c>
      <c r="E72" s="43" t="e">
        <f t="shared" si="42"/>
        <v>#DIV/0!</v>
      </c>
      <c r="F72" s="43" t="e">
        <f t="shared" si="43"/>
        <v>#DIV/0!</v>
      </c>
      <c r="G72" s="43" t="e">
        <f t="shared" si="44"/>
        <v>#DIV/0!</v>
      </c>
      <c r="H72" s="43" t="e">
        <f t="shared" si="45"/>
        <v>#DIV/0!</v>
      </c>
      <c r="I72" s="43" t="e">
        <f t="shared" si="46"/>
        <v>#DIV/0!</v>
      </c>
      <c r="J72" s="43" t="e">
        <f t="shared" si="47"/>
        <v>#DIV/0!</v>
      </c>
      <c r="K72" s="43" t="e">
        <f t="shared" si="48"/>
        <v>#DIV/0!</v>
      </c>
      <c r="L72" s="43" t="e">
        <f t="shared" si="49"/>
        <v>#DIV/0!</v>
      </c>
      <c r="M72" s="43" t="e">
        <f t="shared" si="50"/>
        <v>#DIV/0!</v>
      </c>
      <c r="N72" s="43" t="e">
        <f t="shared" si="51"/>
        <v>#DIV/0!</v>
      </c>
      <c r="O72" s="43" t="e">
        <f t="shared" si="52"/>
        <v>#DIV/0!</v>
      </c>
      <c r="P72" s="43" t="e">
        <f t="shared" si="53"/>
        <v>#DIV/0!</v>
      </c>
      <c r="Q72" s="43" t="e">
        <f t="shared" si="54"/>
        <v>#DIV/0!</v>
      </c>
      <c r="R72" s="43" t="e">
        <f t="shared" si="55"/>
        <v>#DIV/0!</v>
      </c>
      <c r="S72" s="43" t="e">
        <f t="shared" si="56"/>
        <v>#DIV/0!</v>
      </c>
      <c r="T72" s="43" t="e">
        <f t="shared" si="57"/>
        <v>#DIV/0!</v>
      </c>
      <c r="U72" s="43" t="e">
        <f t="shared" si="58"/>
        <v>#DIV/0!</v>
      </c>
      <c r="V72" s="53" t="e">
        <f>V71+ATM_Conf!$C$5*(B71)/(B259*V259)</f>
        <v>#DIV/0!</v>
      </c>
      <c r="W72" s="53" t="e">
        <f>W71+ATM_Conf!$C$5*(C71-B71)/(C259*W259)</f>
        <v>#DIV/0!</v>
      </c>
      <c r="X72" s="53" t="e">
        <f>X71+ATM_Conf!$C$5*(D71-C71)/(D259*X259)</f>
        <v>#DIV/0!</v>
      </c>
      <c r="Y72" s="53" t="e">
        <f>Y71+ATM_Conf!$C$5*(E71-D71)/(E259*Y259)</f>
        <v>#DIV/0!</v>
      </c>
      <c r="Z72" s="53" t="e">
        <f>Z71+ATM_Conf!$C$5*(F71-E71)/(F259*Z259)</f>
        <v>#DIV/0!</v>
      </c>
      <c r="AA72" s="53" t="e">
        <f>AA71+ATM_Conf!$C$5*(G71-F71)/(G259*AA259)</f>
        <v>#DIV/0!</v>
      </c>
      <c r="AB72" s="53" t="e">
        <f>AB71+ATM_Conf!$C$5*(H71-G71)/(H259*AB259)</f>
        <v>#DIV/0!</v>
      </c>
      <c r="AC72" s="53" t="e">
        <f>AC71+ATM_Conf!$C$5*(I71-H71)/(I259*AC259)</f>
        <v>#DIV/0!</v>
      </c>
      <c r="AD72" s="53" t="e">
        <f>AD71+ATM_Conf!$C$5*(J71-I71)/(J259*AD259)</f>
        <v>#DIV/0!</v>
      </c>
      <c r="AE72" s="53" t="e">
        <f>AE71+ATM_Conf!$C$5*(K71-J71)/(K259*AE259)</f>
        <v>#DIV/0!</v>
      </c>
      <c r="AF72" s="53" t="e">
        <f>AF71+ATM_Conf!$C$5*(L71)/(L259*AF259)</f>
        <v>#DIV/0!</v>
      </c>
      <c r="AG72" s="53" t="e">
        <f>AG71+ATM_Conf!$C$5*(M71-L71)/(M259*AG259)</f>
        <v>#DIV/0!</v>
      </c>
      <c r="AH72" s="53" t="e">
        <f>AH71+ATM_Conf!$C$5*(N71-M71)/(N259*AH259)</f>
        <v>#DIV/0!</v>
      </c>
      <c r="AI72" s="53" t="e">
        <f>AI71+ATM_Conf!$C$5*(O71-N71)/(O259*AI259)</f>
        <v>#DIV/0!</v>
      </c>
      <c r="AJ72" s="53" t="e">
        <f>AJ71+ATM_Conf!$C$5*(P71-O71)/(P259*AJ259)</f>
        <v>#DIV/0!</v>
      </c>
      <c r="AK72" s="53" t="e">
        <f>AK71+ATM_Conf!$C$5*(Q71-P71)/(Q259*AK259)</f>
        <v>#DIV/0!</v>
      </c>
      <c r="AL72" s="53" t="e">
        <f>AL71+ATM_Conf!$C$5*(R71-Q71)/(R259*AL259)</f>
        <v>#DIV/0!</v>
      </c>
      <c r="AM72" s="53" t="e">
        <f>AM71+ATM_Conf!$C$5*(S71-R71)/(S259*AM259)</f>
        <v>#DIV/0!</v>
      </c>
      <c r="AN72" s="53" t="e">
        <f>AN71+ATM_Conf!$C$5*(T71-S71)/(T259*AN259)</f>
        <v>#DIV/0!</v>
      </c>
      <c r="AO72" s="53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43">
        <f t="shared" si="38"/>
        <v>0</v>
      </c>
      <c r="DS72" s="43">
        <f t="shared" si="37"/>
        <v>0</v>
      </c>
      <c r="DT72" s="43">
        <f t="shared" si="37"/>
        <v>0</v>
      </c>
      <c r="DU72" s="43">
        <f t="shared" si="37"/>
        <v>0</v>
      </c>
      <c r="DV72" s="43">
        <f t="shared" si="37"/>
        <v>0</v>
      </c>
      <c r="DW72" s="43">
        <f t="shared" si="37"/>
        <v>0</v>
      </c>
      <c r="DX72" s="43">
        <f t="shared" si="37"/>
        <v>0</v>
      </c>
      <c r="DY72" s="43">
        <f t="shared" si="37"/>
        <v>0</v>
      </c>
      <c r="DZ72" s="43">
        <f t="shared" si="37"/>
        <v>0</v>
      </c>
      <c r="EA72" s="43">
        <f t="shared" si="37"/>
        <v>0</v>
      </c>
      <c r="EB72" s="43">
        <f t="shared" si="37"/>
        <v>0</v>
      </c>
      <c r="EC72" s="43">
        <f t="shared" si="37"/>
        <v>0</v>
      </c>
      <c r="ED72" s="43">
        <f t="shared" si="37"/>
        <v>0</v>
      </c>
      <c r="EE72" s="43">
        <f t="shared" si="37"/>
        <v>0</v>
      </c>
      <c r="EF72" s="43">
        <f t="shared" si="37"/>
        <v>0</v>
      </c>
      <c r="EG72" s="43">
        <f t="shared" si="37"/>
        <v>0</v>
      </c>
      <c r="EH72" s="43">
        <f t="shared" si="37"/>
        <v>0</v>
      </c>
      <c r="EI72" s="43">
        <f t="shared" si="37"/>
        <v>0</v>
      </c>
      <c r="EJ72" s="43">
        <f t="shared" si="37"/>
        <v>0</v>
      </c>
      <c r="EK72" s="43">
        <f t="shared" si="37"/>
        <v>0</v>
      </c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</row>
    <row r="73" spans="1:161" ht="14.25" x14ac:dyDescent="0.15">
      <c r="A73" s="46"/>
      <c r="B73" s="43" t="e">
        <f t="shared" si="39"/>
        <v>#DIV/0!</v>
      </c>
      <c r="C73" s="43" t="e">
        <f t="shared" si="40"/>
        <v>#DIV/0!</v>
      </c>
      <c r="D73" s="43" t="e">
        <f t="shared" si="41"/>
        <v>#DIV/0!</v>
      </c>
      <c r="E73" s="43" t="e">
        <f t="shared" si="42"/>
        <v>#DIV/0!</v>
      </c>
      <c r="F73" s="43" t="e">
        <f t="shared" si="43"/>
        <v>#DIV/0!</v>
      </c>
      <c r="G73" s="43" t="e">
        <f t="shared" si="44"/>
        <v>#DIV/0!</v>
      </c>
      <c r="H73" s="43" t="e">
        <f t="shared" si="45"/>
        <v>#DIV/0!</v>
      </c>
      <c r="I73" s="43" t="e">
        <f t="shared" si="46"/>
        <v>#DIV/0!</v>
      </c>
      <c r="J73" s="43" t="e">
        <f t="shared" si="47"/>
        <v>#DIV/0!</v>
      </c>
      <c r="K73" s="43" t="e">
        <f t="shared" si="48"/>
        <v>#DIV/0!</v>
      </c>
      <c r="L73" s="43" t="e">
        <f t="shared" si="49"/>
        <v>#DIV/0!</v>
      </c>
      <c r="M73" s="43" t="e">
        <f t="shared" si="50"/>
        <v>#DIV/0!</v>
      </c>
      <c r="N73" s="43" t="e">
        <f t="shared" si="51"/>
        <v>#DIV/0!</v>
      </c>
      <c r="O73" s="43" t="e">
        <f t="shared" si="52"/>
        <v>#DIV/0!</v>
      </c>
      <c r="P73" s="43" t="e">
        <f t="shared" si="53"/>
        <v>#DIV/0!</v>
      </c>
      <c r="Q73" s="43" t="e">
        <f t="shared" si="54"/>
        <v>#DIV/0!</v>
      </c>
      <c r="R73" s="43" t="e">
        <f t="shared" si="55"/>
        <v>#DIV/0!</v>
      </c>
      <c r="S73" s="43" t="e">
        <f t="shared" si="56"/>
        <v>#DIV/0!</v>
      </c>
      <c r="T73" s="43" t="e">
        <f t="shared" si="57"/>
        <v>#DIV/0!</v>
      </c>
      <c r="U73" s="43" t="e">
        <f t="shared" si="58"/>
        <v>#DIV/0!</v>
      </c>
      <c r="V73" s="53" t="e">
        <f>V72+ATM_Conf!$C$5*(B72)/(B260*V260)</f>
        <v>#DIV/0!</v>
      </c>
      <c r="W73" s="53" t="e">
        <f>W72+ATM_Conf!$C$5*(C72-B72)/(C260*W260)</f>
        <v>#DIV/0!</v>
      </c>
      <c r="X73" s="53" t="e">
        <f>X72+ATM_Conf!$C$5*(D72-C72)/(D260*X260)</f>
        <v>#DIV/0!</v>
      </c>
      <c r="Y73" s="53" t="e">
        <f>Y72+ATM_Conf!$C$5*(E72-D72)/(E260*Y260)</f>
        <v>#DIV/0!</v>
      </c>
      <c r="Z73" s="53" t="e">
        <f>Z72+ATM_Conf!$C$5*(F72-E72)/(F260*Z260)</f>
        <v>#DIV/0!</v>
      </c>
      <c r="AA73" s="53" t="e">
        <f>AA72+ATM_Conf!$C$5*(G72-F72)/(G260*AA260)</f>
        <v>#DIV/0!</v>
      </c>
      <c r="AB73" s="53" t="e">
        <f>AB72+ATM_Conf!$C$5*(H72-G72)/(H260*AB260)</f>
        <v>#DIV/0!</v>
      </c>
      <c r="AC73" s="53" t="e">
        <f>AC72+ATM_Conf!$C$5*(I72-H72)/(I260*AC260)</f>
        <v>#DIV/0!</v>
      </c>
      <c r="AD73" s="53" t="e">
        <f>AD72+ATM_Conf!$C$5*(J72-I72)/(J260*AD260)</f>
        <v>#DIV/0!</v>
      </c>
      <c r="AE73" s="53" t="e">
        <f>AE72+ATM_Conf!$C$5*(K72-J72)/(K260*AE260)</f>
        <v>#DIV/0!</v>
      </c>
      <c r="AF73" s="53" t="e">
        <f>AF72+ATM_Conf!$C$5*(L72)/(L260*AF260)</f>
        <v>#DIV/0!</v>
      </c>
      <c r="AG73" s="53" t="e">
        <f>AG72+ATM_Conf!$C$5*(M72-L72)/(M260*AG260)</f>
        <v>#DIV/0!</v>
      </c>
      <c r="AH73" s="53" t="e">
        <f>AH72+ATM_Conf!$C$5*(N72-M72)/(N260*AH260)</f>
        <v>#DIV/0!</v>
      </c>
      <c r="AI73" s="53" t="e">
        <f>AI72+ATM_Conf!$C$5*(O72-N72)/(O260*AI260)</f>
        <v>#DIV/0!</v>
      </c>
      <c r="AJ73" s="53" t="e">
        <f>AJ72+ATM_Conf!$C$5*(P72-O72)/(P260*AJ260)</f>
        <v>#DIV/0!</v>
      </c>
      <c r="AK73" s="53" t="e">
        <f>AK72+ATM_Conf!$C$5*(Q72-P72)/(Q260*AK260)</f>
        <v>#DIV/0!</v>
      </c>
      <c r="AL73" s="53" t="e">
        <f>AL72+ATM_Conf!$C$5*(R72-Q72)/(R260*AL260)</f>
        <v>#DIV/0!</v>
      </c>
      <c r="AM73" s="53" t="e">
        <f>AM72+ATM_Conf!$C$5*(S72-R72)/(S260*AM260)</f>
        <v>#DIV/0!</v>
      </c>
      <c r="AN73" s="53" t="e">
        <f>AN72+ATM_Conf!$C$5*(T72-S72)/(T260*AN260)</f>
        <v>#DIV/0!</v>
      </c>
      <c r="AO73" s="53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43">
        <f t="shared" si="38"/>
        <v>0</v>
      </c>
      <c r="DS73" s="43">
        <f t="shared" si="37"/>
        <v>0</v>
      </c>
      <c r="DT73" s="43">
        <f t="shared" si="37"/>
        <v>0</v>
      </c>
      <c r="DU73" s="43">
        <f t="shared" si="37"/>
        <v>0</v>
      </c>
      <c r="DV73" s="43">
        <f t="shared" si="37"/>
        <v>0</v>
      </c>
      <c r="DW73" s="43">
        <f t="shared" si="37"/>
        <v>0</v>
      </c>
      <c r="DX73" s="43">
        <f t="shared" si="37"/>
        <v>0</v>
      </c>
      <c r="DY73" s="43">
        <f t="shared" si="37"/>
        <v>0</v>
      </c>
      <c r="DZ73" s="43">
        <f t="shared" si="37"/>
        <v>0</v>
      </c>
      <c r="EA73" s="43">
        <f t="shared" si="37"/>
        <v>0</v>
      </c>
      <c r="EB73" s="43">
        <f t="shared" si="37"/>
        <v>0</v>
      </c>
      <c r="EC73" s="43">
        <f t="shared" si="37"/>
        <v>0</v>
      </c>
      <c r="ED73" s="43">
        <f t="shared" si="37"/>
        <v>0</v>
      </c>
      <c r="EE73" s="43">
        <f t="shared" si="37"/>
        <v>0</v>
      </c>
      <c r="EF73" s="43">
        <f t="shared" si="37"/>
        <v>0</v>
      </c>
      <c r="EG73" s="43">
        <f t="shared" si="37"/>
        <v>0</v>
      </c>
      <c r="EH73" s="43">
        <f t="shared" si="37"/>
        <v>0</v>
      </c>
      <c r="EI73" s="43">
        <f t="shared" si="37"/>
        <v>0</v>
      </c>
      <c r="EJ73" s="43">
        <f t="shared" si="37"/>
        <v>0</v>
      </c>
      <c r="EK73" s="43">
        <f t="shared" si="37"/>
        <v>0</v>
      </c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</row>
    <row r="74" spans="1:161" ht="14.25" x14ac:dyDescent="0.15">
      <c r="A74" s="46"/>
      <c r="B74" s="43" t="e">
        <f t="shared" si="39"/>
        <v>#DIV/0!</v>
      </c>
      <c r="C74" s="43" t="e">
        <f t="shared" si="40"/>
        <v>#DIV/0!</v>
      </c>
      <c r="D74" s="43" t="e">
        <f t="shared" si="41"/>
        <v>#DIV/0!</v>
      </c>
      <c r="E74" s="43" t="e">
        <f t="shared" si="42"/>
        <v>#DIV/0!</v>
      </c>
      <c r="F74" s="43" t="e">
        <f t="shared" si="43"/>
        <v>#DIV/0!</v>
      </c>
      <c r="G74" s="43" t="e">
        <f t="shared" si="44"/>
        <v>#DIV/0!</v>
      </c>
      <c r="H74" s="43" t="e">
        <f t="shared" si="45"/>
        <v>#DIV/0!</v>
      </c>
      <c r="I74" s="43" t="e">
        <f t="shared" si="46"/>
        <v>#DIV/0!</v>
      </c>
      <c r="J74" s="43" t="e">
        <f t="shared" si="47"/>
        <v>#DIV/0!</v>
      </c>
      <c r="K74" s="43" t="e">
        <f t="shared" si="48"/>
        <v>#DIV/0!</v>
      </c>
      <c r="L74" s="43" t="e">
        <f t="shared" si="49"/>
        <v>#DIV/0!</v>
      </c>
      <c r="M74" s="43" t="e">
        <f t="shared" si="50"/>
        <v>#DIV/0!</v>
      </c>
      <c r="N74" s="43" t="e">
        <f t="shared" si="51"/>
        <v>#DIV/0!</v>
      </c>
      <c r="O74" s="43" t="e">
        <f t="shared" si="52"/>
        <v>#DIV/0!</v>
      </c>
      <c r="P74" s="43" t="e">
        <f t="shared" si="53"/>
        <v>#DIV/0!</v>
      </c>
      <c r="Q74" s="43" t="e">
        <f t="shared" si="54"/>
        <v>#DIV/0!</v>
      </c>
      <c r="R74" s="43" t="e">
        <f t="shared" si="55"/>
        <v>#DIV/0!</v>
      </c>
      <c r="S74" s="43" t="e">
        <f t="shared" si="56"/>
        <v>#DIV/0!</v>
      </c>
      <c r="T74" s="43" t="e">
        <f t="shared" si="57"/>
        <v>#DIV/0!</v>
      </c>
      <c r="U74" s="43" t="e">
        <f t="shared" si="58"/>
        <v>#DIV/0!</v>
      </c>
      <c r="V74" s="53" t="e">
        <f>V73+ATM_Conf!$C$5*(B73)/(B261*V261)</f>
        <v>#DIV/0!</v>
      </c>
      <c r="W74" s="53" t="e">
        <f>W73+ATM_Conf!$C$5*(C73-B73)/(C261*W261)</f>
        <v>#DIV/0!</v>
      </c>
      <c r="X74" s="53" t="e">
        <f>X73+ATM_Conf!$C$5*(D73-C73)/(D261*X261)</f>
        <v>#DIV/0!</v>
      </c>
      <c r="Y74" s="53" t="e">
        <f>Y73+ATM_Conf!$C$5*(E73-D73)/(E261*Y261)</f>
        <v>#DIV/0!</v>
      </c>
      <c r="Z74" s="53" t="e">
        <f>Z73+ATM_Conf!$C$5*(F73-E73)/(F261*Z261)</f>
        <v>#DIV/0!</v>
      </c>
      <c r="AA74" s="53" t="e">
        <f>AA73+ATM_Conf!$C$5*(G73-F73)/(G261*AA261)</f>
        <v>#DIV/0!</v>
      </c>
      <c r="AB74" s="53" t="e">
        <f>AB73+ATM_Conf!$C$5*(H73-G73)/(H261*AB261)</f>
        <v>#DIV/0!</v>
      </c>
      <c r="AC74" s="53" t="e">
        <f>AC73+ATM_Conf!$C$5*(I73-H73)/(I261*AC261)</f>
        <v>#DIV/0!</v>
      </c>
      <c r="AD74" s="53" t="e">
        <f>AD73+ATM_Conf!$C$5*(J73-I73)/(J261*AD261)</f>
        <v>#DIV/0!</v>
      </c>
      <c r="AE74" s="53" t="e">
        <f>AE73+ATM_Conf!$C$5*(K73-J73)/(K261*AE261)</f>
        <v>#DIV/0!</v>
      </c>
      <c r="AF74" s="53" t="e">
        <f>AF73+ATM_Conf!$C$5*(L73)/(L261*AF261)</f>
        <v>#DIV/0!</v>
      </c>
      <c r="AG74" s="53" t="e">
        <f>AG73+ATM_Conf!$C$5*(M73-L73)/(M261*AG261)</f>
        <v>#DIV/0!</v>
      </c>
      <c r="AH74" s="53" t="e">
        <f>AH73+ATM_Conf!$C$5*(N73-M73)/(N261*AH261)</f>
        <v>#DIV/0!</v>
      </c>
      <c r="AI74" s="53" t="e">
        <f>AI73+ATM_Conf!$C$5*(O73-N73)/(O261*AI261)</f>
        <v>#DIV/0!</v>
      </c>
      <c r="AJ74" s="53" t="e">
        <f>AJ73+ATM_Conf!$C$5*(P73-O73)/(P261*AJ261)</f>
        <v>#DIV/0!</v>
      </c>
      <c r="AK74" s="53" t="e">
        <f>AK73+ATM_Conf!$C$5*(Q73-P73)/(Q261*AK261)</f>
        <v>#DIV/0!</v>
      </c>
      <c r="AL74" s="53" t="e">
        <f>AL73+ATM_Conf!$C$5*(R73-Q73)/(R261*AL261)</f>
        <v>#DIV/0!</v>
      </c>
      <c r="AM74" s="53" t="e">
        <f>AM73+ATM_Conf!$C$5*(S73-R73)/(S261*AM261)</f>
        <v>#DIV/0!</v>
      </c>
      <c r="AN74" s="53" t="e">
        <f>AN73+ATM_Conf!$C$5*(T73-S73)/(T261*AN261)</f>
        <v>#DIV/0!</v>
      </c>
      <c r="AO74" s="53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43">
        <f t="shared" si="38"/>
        <v>0</v>
      </c>
      <c r="DS74" s="43">
        <f t="shared" si="37"/>
        <v>0</v>
      </c>
      <c r="DT74" s="43">
        <f t="shared" si="37"/>
        <v>0</v>
      </c>
      <c r="DU74" s="43">
        <f t="shared" si="37"/>
        <v>0</v>
      </c>
      <c r="DV74" s="43">
        <f t="shared" si="37"/>
        <v>0</v>
      </c>
      <c r="DW74" s="43">
        <f t="shared" si="37"/>
        <v>0</v>
      </c>
      <c r="DX74" s="43">
        <f t="shared" si="37"/>
        <v>0</v>
      </c>
      <c r="DY74" s="43">
        <f t="shared" si="37"/>
        <v>0</v>
      </c>
      <c r="DZ74" s="43">
        <f t="shared" si="37"/>
        <v>0</v>
      </c>
      <c r="EA74" s="43">
        <f t="shared" si="37"/>
        <v>0</v>
      </c>
      <c r="EB74" s="43">
        <f t="shared" si="37"/>
        <v>0</v>
      </c>
      <c r="EC74" s="43">
        <f t="shared" si="37"/>
        <v>0</v>
      </c>
      <c r="ED74" s="43">
        <f t="shared" si="37"/>
        <v>0</v>
      </c>
      <c r="EE74" s="43">
        <f t="shared" si="37"/>
        <v>0</v>
      </c>
      <c r="EF74" s="43">
        <f t="shared" si="37"/>
        <v>0</v>
      </c>
      <c r="EG74" s="43">
        <f t="shared" si="37"/>
        <v>0</v>
      </c>
      <c r="EH74" s="43">
        <f t="shared" si="37"/>
        <v>0</v>
      </c>
      <c r="EI74" s="43">
        <f t="shared" si="37"/>
        <v>0</v>
      </c>
      <c r="EJ74" s="43">
        <f t="shared" si="37"/>
        <v>0</v>
      </c>
      <c r="EK74" s="43">
        <f t="shared" si="37"/>
        <v>0</v>
      </c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</row>
    <row r="75" spans="1:161" ht="14.25" x14ac:dyDescent="0.15">
      <c r="A75" s="46"/>
      <c r="B75" s="43" t="e">
        <f t="shared" si="39"/>
        <v>#DIV/0!</v>
      </c>
      <c r="C75" s="43" t="e">
        <f t="shared" si="40"/>
        <v>#DIV/0!</v>
      </c>
      <c r="D75" s="43" t="e">
        <f t="shared" si="41"/>
        <v>#DIV/0!</v>
      </c>
      <c r="E75" s="43" t="e">
        <f t="shared" si="42"/>
        <v>#DIV/0!</v>
      </c>
      <c r="F75" s="43" t="e">
        <f t="shared" si="43"/>
        <v>#DIV/0!</v>
      </c>
      <c r="G75" s="43" t="e">
        <f t="shared" si="44"/>
        <v>#DIV/0!</v>
      </c>
      <c r="H75" s="43" t="e">
        <f t="shared" si="45"/>
        <v>#DIV/0!</v>
      </c>
      <c r="I75" s="43" t="e">
        <f t="shared" si="46"/>
        <v>#DIV/0!</v>
      </c>
      <c r="J75" s="43" t="e">
        <f t="shared" si="47"/>
        <v>#DIV/0!</v>
      </c>
      <c r="K75" s="43" t="e">
        <f t="shared" si="48"/>
        <v>#DIV/0!</v>
      </c>
      <c r="L75" s="43" t="e">
        <f t="shared" si="49"/>
        <v>#DIV/0!</v>
      </c>
      <c r="M75" s="43" t="e">
        <f t="shared" si="50"/>
        <v>#DIV/0!</v>
      </c>
      <c r="N75" s="43" t="e">
        <f t="shared" si="51"/>
        <v>#DIV/0!</v>
      </c>
      <c r="O75" s="43" t="e">
        <f t="shared" si="52"/>
        <v>#DIV/0!</v>
      </c>
      <c r="P75" s="43" t="e">
        <f t="shared" si="53"/>
        <v>#DIV/0!</v>
      </c>
      <c r="Q75" s="43" t="e">
        <f t="shared" si="54"/>
        <v>#DIV/0!</v>
      </c>
      <c r="R75" s="43" t="e">
        <f t="shared" si="55"/>
        <v>#DIV/0!</v>
      </c>
      <c r="S75" s="43" t="e">
        <f t="shared" si="56"/>
        <v>#DIV/0!</v>
      </c>
      <c r="T75" s="43" t="e">
        <f t="shared" si="57"/>
        <v>#DIV/0!</v>
      </c>
      <c r="U75" s="43" t="e">
        <f t="shared" si="58"/>
        <v>#DIV/0!</v>
      </c>
      <c r="V75" s="53" t="e">
        <f>V74+ATM_Conf!$C$5*(B74)/(B262*V262)</f>
        <v>#DIV/0!</v>
      </c>
      <c r="W75" s="53" t="e">
        <f>W74+ATM_Conf!$C$5*(C74-B74)/(C262*W262)</f>
        <v>#DIV/0!</v>
      </c>
      <c r="X75" s="53" t="e">
        <f>X74+ATM_Conf!$C$5*(D74-C74)/(D262*X262)</f>
        <v>#DIV/0!</v>
      </c>
      <c r="Y75" s="53" t="e">
        <f>Y74+ATM_Conf!$C$5*(E74-D74)/(E262*Y262)</f>
        <v>#DIV/0!</v>
      </c>
      <c r="Z75" s="53" t="e">
        <f>Z74+ATM_Conf!$C$5*(F74-E74)/(F262*Z262)</f>
        <v>#DIV/0!</v>
      </c>
      <c r="AA75" s="53" t="e">
        <f>AA74+ATM_Conf!$C$5*(G74-F74)/(G262*AA262)</f>
        <v>#DIV/0!</v>
      </c>
      <c r="AB75" s="53" t="e">
        <f>AB74+ATM_Conf!$C$5*(H74-G74)/(H262*AB262)</f>
        <v>#DIV/0!</v>
      </c>
      <c r="AC75" s="53" t="e">
        <f>AC74+ATM_Conf!$C$5*(I74-H74)/(I262*AC262)</f>
        <v>#DIV/0!</v>
      </c>
      <c r="AD75" s="53" t="e">
        <f>AD74+ATM_Conf!$C$5*(J74-I74)/(J262*AD262)</f>
        <v>#DIV/0!</v>
      </c>
      <c r="AE75" s="53" t="e">
        <f>AE74+ATM_Conf!$C$5*(K74-J74)/(K262*AE262)</f>
        <v>#DIV/0!</v>
      </c>
      <c r="AF75" s="53" t="e">
        <f>AF74+ATM_Conf!$C$5*(L74)/(L262*AF262)</f>
        <v>#DIV/0!</v>
      </c>
      <c r="AG75" s="53" t="e">
        <f>AG74+ATM_Conf!$C$5*(M74-L74)/(M262*AG262)</f>
        <v>#DIV/0!</v>
      </c>
      <c r="AH75" s="53" t="e">
        <f>AH74+ATM_Conf!$C$5*(N74-M74)/(N262*AH262)</f>
        <v>#DIV/0!</v>
      </c>
      <c r="AI75" s="53" t="e">
        <f>AI74+ATM_Conf!$C$5*(O74-N74)/(O262*AI262)</f>
        <v>#DIV/0!</v>
      </c>
      <c r="AJ75" s="53" t="e">
        <f>AJ74+ATM_Conf!$C$5*(P74-O74)/(P262*AJ262)</f>
        <v>#DIV/0!</v>
      </c>
      <c r="AK75" s="53" t="e">
        <f>AK74+ATM_Conf!$C$5*(Q74-P74)/(Q262*AK262)</f>
        <v>#DIV/0!</v>
      </c>
      <c r="AL75" s="53" t="e">
        <f>AL74+ATM_Conf!$C$5*(R74-Q74)/(R262*AL262)</f>
        <v>#DIV/0!</v>
      </c>
      <c r="AM75" s="53" t="e">
        <f>AM74+ATM_Conf!$C$5*(S74-R74)/(S262*AM262)</f>
        <v>#DIV/0!</v>
      </c>
      <c r="AN75" s="53" t="e">
        <f>AN74+ATM_Conf!$C$5*(T74-S74)/(T262*AN262)</f>
        <v>#DIV/0!</v>
      </c>
      <c r="AO75" s="53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  <c r="EH75" s="62"/>
      <c r="EI75" s="62"/>
      <c r="EJ75" s="62"/>
      <c r="EK75" s="62"/>
      <c r="EL75" s="47">
        <f>(DR75-DR63)^2</f>
        <v>0</v>
      </c>
      <c r="EM75" s="47">
        <f t="shared" ref="EM75:FE75" si="59">(DS75-DS63)^2</f>
        <v>0</v>
      </c>
      <c r="EN75" s="47">
        <f t="shared" si="59"/>
        <v>0</v>
      </c>
      <c r="EO75" s="47">
        <f t="shared" si="59"/>
        <v>0</v>
      </c>
      <c r="EP75" s="47">
        <f t="shared" si="59"/>
        <v>0</v>
      </c>
      <c r="EQ75" s="47">
        <f t="shared" si="59"/>
        <v>0</v>
      </c>
      <c r="ER75" s="47">
        <f t="shared" si="59"/>
        <v>0</v>
      </c>
      <c r="ES75" s="47">
        <f t="shared" si="59"/>
        <v>0</v>
      </c>
      <c r="ET75" s="47">
        <f t="shared" si="59"/>
        <v>0</v>
      </c>
      <c r="EU75" s="47">
        <f t="shared" si="59"/>
        <v>0</v>
      </c>
      <c r="EV75" s="47">
        <f t="shared" si="59"/>
        <v>0</v>
      </c>
      <c r="EW75" s="47">
        <f t="shared" si="59"/>
        <v>0</v>
      </c>
      <c r="EX75" s="47">
        <f t="shared" si="59"/>
        <v>0</v>
      </c>
      <c r="EY75" s="47">
        <f t="shared" si="59"/>
        <v>0</v>
      </c>
      <c r="EZ75" s="47">
        <f t="shared" si="59"/>
        <v>0</v>
      </c>
      <c r="FA75" s="47">
        <f t="shared" si="59"/>
        <v>0</v>
      </c>
      <c r="FB75" s="47">
        <f t="shared" si="59"/>
        <v>0</v>
      </c>
      <c r="FC75" s="47">
        <f t="shared" si="59"/>
        <v>0</v>
      </c>
      <c r="FD75" s="47">
        <f t="shared" si="59"/>
        <v>0</v>
      </c>
      <c r="FE75" s="47">
        <f t="shared" si="59"/>
        <v>0</v>
      </c>
    </row>
    <row r="76" spans="1:161" ht="14.25" x14ac:dyDescent="0.15">
      <c r="A76" s="46"/>
      <c r="B76" s="43" t="e">
        <f t="shared" si="39"/>
        <v>#DIV/0!</v>
      </c>
      <c r="C76" s="43" t="e">
        <f t="shared" si="40"/>
        <v>#DIV/0!</v>
      </c>
      <c r="D76" s="43" t="e">
        <f t="shared" si="41"/>
        <v>#DIV/0!</v>
      </c>
      <c r="E76" s="43" t="e">
        <f t="shared" si="42"/>
        <v>#DIV/0!</v>
      </c>
      <c r="F76" s="43" t="e">
        <f t="shared" si="43"/>
        <v>#DIV/0!</v>
      </c>
      <c r="G76" s="43" t="e">
        <f t="shared" si="44"/>
        <v>#DIV/0!</v>
      </c>
      <c r="H76" s="43" t="e">
        <f t="shared" si="45"/>
        <v>#DIV/0!</v>
      </c>
      <c r="I76" s="43" t="e">
        <f t="shared" si="46"/>
        <v>#DIV/0!</v>
      </c>
      <c r="J76" s="43" t="e">
        <f t="shared" si="47"/>
        <v>#DIV/0!</v>
      </c>
      <c r="K76" s="43" t="e">
        <f t="shared" si="48"/>
        <v>#DIV/0!</v>
      </c>
      <c r="L76" s="43" t="e">
        <f t="shared" si="49"/>
        <v>#DIV/0!</v>
      </c>
      <c r="M76" s="43" t="e">
        <f t="shared" si="50"/>
        <v>#DIV/0!</v>
      </c>
      <c r="N76" s="43" t="e">
        <f t="shared" si="51"/>
        <v>#DIV/0!</v>
      </c>
      <c r="O76" s="43" t="e">
        <f t="shared" si="52"/>
        <v>#DIV/0!</v>
      </c>
      <c r="P76" s="43" t="e">
        <f t="shared" si="53"/>
        <v>#DIV/0!</v>
      </c>
      <c r="Q76" s="43" t="e">
        <f t="shared" si="54"/>
        <v>#DIV/0!</v>
      </c>
      <c r="R76" s="43" t="e">
        <f t="shared" si="55"/>
        <v>#DIV/0!</v>
      </c>
      <c r="S76" s="43" t="e">
        <f t="shared" si="56"/>
        <v>#DIV/0!</v>
      </c>
      <c r="T76" s="43" t="e">
        <f t="shared" si="57"/>
        <v>#DIV/0!</v>
      </c>
      <c r="U76" s="43" t="e">
        <f t="shared" si="58"/>
        <v>#DIV/0!</v>
      </c>
      <c r="V76" s="53" t="e">
        <f>V75+ATM_Conf!$C$5*(B75)/(B263*V263)</f>
        <v>#DIV/0!</v>
      </c>
      <c r="W76" s="53" t="e">
        <f>W75+ATM_Conf!$C$5*(C75-B75)/(C263*W263)</f>
        <v>#DIV/0!</v>
      </c>
      <c r="X76" s="53" t="e">
        <f>X75+ATM_Conf!$C$5*(D75-C75)/(D263*X263)</f>
        <v>#DIV/0!</v>
      </c>
      <c r="Y76" s="53" t="e">
        <f>Y75+ATM_Conf!$C$5*(E75-D75)/(E263*Y263)</f>
        <v>#DIV/0!</v>
      </c>
      <c r="Z76" s="53" t="e">
        <f>Z75+ATM_Conf!$C$5*(F75-E75)/(F263*Z263)</f>
        <v>#DIV/0!</v>
      </c>
      <c r="AA76" s="53" t="e">
        <f>AA75+ATM_Conf!$C$5*(G75-F75)/(G263*AA263)</f>
        <v>#DIV/0!</v>
      </c>
      <c r="AB76" s="53" t="e">
        <f>AB75+ATM_Conf!$C$5*(H75-G75)/(H263*AB263)</f>
        <v>#DIV/0!</v>
      </c>
      <c r="AC76" s="53" t="e">
        <f>AC75+ATM_Conf!$C$5*(I75-H75)/(I263*AC263)</f>
        <v>#DIV/0!</v>
      </c>
      <c r="AD76" s="53" t="e">
        <f>AD75+ATM_Conf!$C$5*(J75-I75)/(J263*AD263)</f>
        <v>#DIV/0!</v>
      </c>
      <c r="AE76" s="53" t="e">
        <f>AE75+ATM_Conf!$C$5*(K75-J75)/(K263*AE263)</f>
        <v>#DIV/0!</v>
      </c>
      <c r="AF76" s="53" t="e">
        <f>AF75+ATM_Conf!$C$5*(L75)/(L263*AF263)</f>
        <v>#DIV/0!</v>
      </c>
      <c r="AG76" s="53" t="e">
        <f>AG75+ATM_Conf!$C$5*(M75-L75)/(M263*AG263)</f>
        <v>#DIV/0!</v>
      </c>
      <c r="AH76" s="53" t="e">
        <f>AH75+ATM_Conf!$C$5*(N75-M75)/(N263*AH263)</f>
        <v>#DIV/0!</v>
      </c>
      <c r="AI76" s="53" t="e">
        <f>AI75+ATM_Conf!$C$5*(O75-N75)/(O263*AI263)</f>
        <v>#DIV/0!</v>
      </c>
      <c r="AJ76" s="53" t="e">
        <f>AJ75+ATM_Conf!$C$5*(P75-O75)/(P263*AJ263)</f>
        <v>#DIV/0!</v>
      </c>
      <c r="AK76" s="53" t="e">
        <f>AK75+ATM_Conf!$C$5*(Q75-P75)/(Q263*AK263)</f>
        <v>#DIV/0!</v>
      </c>
      <c r="AL76" s="53" t="e">
        <f>AL75+ATM_Conf!$C$5*(R75-Q75)/(R263*AL263)</f>
        <v>#DIV/0!</v>
      </c>
      <c r="AM76" s="53" t="e">
        <f>AM75+ATM_Conf!$C$5*(S75-R75)/(S263*AM263)</f>
        <v>#DIV/0!</v>
      </c>
      <c r="AN76" s="53" t="e">
        <f>AN75+ATM_Conf!$C$5*(T75-S75)/(T263*AN263)</f>
        <v>#DIV/0!</v>
      </c>
      <c r="AO76" s="53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43">
        <f>DR$75</f>
        <v>0</v>
      </c>
      <c r="DS76" s="43">
        <f t="shared" ref="DS76:EK86" si="60">DS$75</f>
        <v>0</v>
      </c>
      <c r="DT76" s="43">
        <f t="shared" si="60"/>
        <v>0</v>
      </c>
      <c r="DU76" s="43">
        <f t="shared" si="60"/>
        <v>0</v>
      </c>
      <c r="DV76" s="43">
        <f t="shared" si="60"/>
        <v>0</v>
      </c>
      <c r="DW76" s="43">
        <f t="shared" si="60"/>
        <v>0</v>
      </c>
      <c r="DX76" s="43">
        <f t="shared" si="60"/>
        <v>0</v>
      </c>
      <c r="DY76" s="43">
        <f t="shared" si="60"/>
        <v>0</v>
      </c>
      <c r="DZ76" s="43">
        <f t="shared" si="60"/>
        <v>0</v>
      </c>
      <c r="EA76" s="43">
        <f t="shared" si="60"/>
        <v>0</v>
      </c>
      <c r="EB76" s="43">
        <f t="shared" si="60"/>
        <v>0</v>
      </c>
      <c r="EC76" s="43">
        <f t="shared" si="60"/>
        <v>0</v>
      </c>
      <c r="ED76" s="43">
        <f t="shared" si="60"/>
        <v>0</v>
      </c>
      <c r="EE76" s="43">
        <f t="shared" si="60"/>
        <v>0</v>
      </c>
      <c r="EF76" s="43">
        <f t="shared" si="60"/>
        <v>0</v>
      </c>
      <c r="EG76" s="43">
        <f t="shared" si="60"/>
        <v>0</v>
      </c>
      <c r="EH76" s="43">
        <f t="shared" si="60"/>
        <v>0</v>
      </c>
      <c r="EI76" s="43">
        <f t="shared" si="60"/>
        <v>0</v>
      </c>
      <c r="EJ76" s="43">
        <f t="shared" si="60"/>
        <v>0</v>
      </c>
      <c r="EK76" s="43">
        <f t="shared" si="60"/>
        <v>0</v>
      </c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</row>
    <row r="77" spans="1:161" ht="14.25" x14ac:dyDescent="0.15">
      <c r="A77" s="46"/>
      <c r="B77" s="43" t="e">
        <f t="shared" si="39"/>
        <v>#DIV/0!</v>
      </c>
      <c r="C77" s="43" t="e">
        <f t="shared" si="40"/>
        <v>#DIV/0!</v>
      </c>
      <c r="D77" s="43" t="e">
        <f t="shared" si="41"/>
        <v>#DIV/0!</v>
      </c>
      <c r="E77" s="43" t="e">
        <f t="shared" si="42"/>
        <v>#DIV/0!</v>
      </c>
      <c r="F77" s="43" t="e">
        <f t="shared" si="43"/>
        <v>#DIV/0!</v>
      </c>
      <c r="G77" s="43" t="e">
        <f t="shared" si="44"/>
        <v>#DIV/0!</v>
      </c>
      <c r="H77" s="43" t="e">
        <f t="shared" si="45"/>
        <v>#DIV/0!</v>
      </c>
      <c r="I77" s="43" t="e">
        <f t="shared" si="46"/>
        <v>#DIV/0!</v>
      </c>
      <c r="J77" s="43" t="e">
        <f t="shared" si="47"/>
        <v>#DIV/0!</v>
      </c>
      <c r="K77" s="43" t="e">
        <f t="shared" si="48"/>
        <v>#DIV/0!</v>
      </c>
      <c r="L77" s="43" t="e">
        <f t="shared" si="49"/>
        <v>#DIV/0!</v>
      </c>
      <c r="M77" s="43" t="e">
        <f t="shared" si="50"/>
        <v>#DIV/0!</v>
      </c>
      <c r="N77" s="43" t="e">
        <f t="shared" si="51"/>
        <v>#DIV/0!</v>
      </c>
      <c r="O77" s="43" t="e">
        <f t="shared" si="52"/>
        <v>#DIV/0!</v>
      </c>
      <c r="P77" s="43" t="e">
        <f t="shared" si="53"/>
        <v>#DIV/0!</v>
      </c>
      <c r="Q77" s="43" t="e">
        <f t="shared" si="54"/>
        <v>#DIV/0!</v>
      </c>
      <c r="R77" s="43" t="e">
        <f t="shared" si="55"/>
        <v>#DIV/0!</v>
      </c>
      <c r="S77" s="43" t="e">
        <f t="shared" si="56"/>
        <v>#DIV/0!</v>
      </c>
      <c r="T77" s="43" t="e">
        <f t="shared" si="57"/>
        <v>#DIV/0!</v>
      </c>
      <c r="U77" s="43" t="e">
        <f t="shared" si="58"/>
        <v>#DIV/0!</v>
      </c>
      <c r="V77" s="53" t="e">
        <f>V76+ATM_Conf!$C$5*(B76)/(B264*V264)</f>
        <v>#DIV/0!</v>
      </c>
      <c r="W77" s="53" t="e">
        <f>W76+ATM_Conf!$C$5*(C76-B76)/(C264*W264)</f>
        <v>#DIV/0!</v>
      </c>
      <c r="X77" s="53" t="e">
        <f>X76+ATM_Conf!$C$5*(D76-C76)/(D264*X264)</f>
        <v>#DIV/0!</v>
      </c>
      <c r="Y77" s="53" t="e">
        <f>Y76+ATM_Conf!$C$5*(E76-D76)/(E264*Y264)</f>
        <v>#DIV/0!</v>
      </c>
      <c r="Z77" s="53" t="e">
        <f>Z76+ATM_Conf!$C$5*(F76-E76)/(F264*Z264)</f>
        <v>#DIV/0!</v>
      </c>
      <c r="AA77" s="53" t="e">
        <f>AA76+ATM_Conf!$C$5*(G76-F76)/(G264*AA264)</f>
        <v>#DIV/0!</v>
      </c>
      <c r="AB77" s="53" t="e">
        <f>AB76+ATM_Conf!$C$5*(H76-G76)/(H264*AB264)</f>
        <v>#DIV/0!</v>
      </c>
      <c r="AC77" s="53" t="e">
        <f>AC76+ATM_Conf!$C$5*(I76-H76)/(I264*AC264)</f>
        <v>#DIV/0!</v>
      </c>
      <c r="AD77" s="53" t="e">
        <f>AD76+ATM_Conf!$C$5*(J76-I76)/(J264*AD264)</f>
        <v>#DIV/0!</v>
      </c>
      <c r="AE77" s="53" t="e">
        <f>AE76+ATM_Conf!$C$5*(K76-J76)/(K264*AE264)</f>
        <v>#DIV/0!</v>
      </c>
      <c r="AF77" s="53" t="e">
        <f>AF76+ATM_Conf!$C$5*(L76)/(L264*AF264)</f>
        <v>#DIV/0!</v>
      </c>
      <c r="AG77" s="53" t="e">
        <f>AG76+ATM_Conf!$C$5*(M76-L76)/(M264*AG264)</f>
        <v>#DIV/0!</v>
      </c>
      <c r="AH77" s="53" t="e">
        <f>AH76+ATM_Conf!$C$5*(N76-M76)/(N264*AH264)</f>
        <v>#DIV/0!</v>
      </c>
      <c r="AI77" s="53" t="e">
        <f>AI76+ATM_Conf!$C$5*(O76-N76)/(O264*AI264)</f>
        <v>#DIV/0!</v>
      </c>
      <c r="AJ77" s="53" t="e">
        <f>AJ76+ATM_Conf!$C$5*(P76-O76)/(P264*AJ264)</f>
        <v>#DIV/0!</v>
      </c>
      <c r="AK77" s="53" t="e">
        <f>AK76+ATM_Conf!$C$5*(Q76-P76)/(Q264*AK264)</f>
        <v>#DIV/0!</v>
      </c>
      <c r="AL77" s="53" t="e">
        <f>AL76+ATM_Conf!$C$5*(R76-Q76)/(R264*AL264)</f>
        <v>#DIV/0!</v>
      </c>
      <c r="AM77" s="53" t="e">
        <f>AM76+ATM_Conf!$C$5*(S76-R76)/(S264*AM264)</f>
        <v>#DIV/0!</v>
      </c>
      <c r="AN77" s="53" t="e">
        <f>AN76+ATM_Conf!$C$5*(T76-S76)/(T264*AN264)</f>
        <v>#DIV/0!</v>
      </c>
      <c r="AO77" s="53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43">
        <f t="shared" ref="DR77:DR86" si="61">DR$75</f>
        <v>0</v>
      </c>
      <c r="DS77" s="43">
        <f t="shared" si="60"/>
        <v>0</v>
      </c>
      <c r="DT77" s="43">
        <f t="shared" si="60"/>
        <v>0</v>
      </c>
      <c r="DU77" s="43">
        <f t="shared" si="60"/>
        <v>0</v>
      </c>
      <c r="DV77" s="43">
        <f t="shared" si="60"/>
        <v>0</v>
      </c>
      <c r="DW77" s="43">
        <f t="shared" si="60"/>
        <v>0</v>
      </c>
      <c r="DX77" s="43">
        <f t="shared" si="60"/>
        <v>0</v>
      </c>
      <c r="DY77" s="43">
        <f t="shared" si="60"/>
        <v>0</v>
      </c>
      <c r="DZ77" s="43">
        <f t="shared" si="60"/>
        <v>0</v>
      </c>
      <c r="EA77" s="43">
        <f t="shared" si="60"/>
        <v>0</v>
      </c>
      <c r="EB77" s="43">
        <f t="shared" si="60"/>
        <v>0</v>
      </c>
      <c r="EC77" s="43">
        <f t="shared" si="60"/>
        <v>0</v>
      </c>
      <c r="ED77" s="43">
        <f t="shared" si="60"/>
        <v>0</v>
      </c>
      <c r="EE77" s="43">
        <f t="shared" si="60"/>
        <v>0</v>
      </c>
      <c r="EF77" s="43">
        <f t="shared" si="60"/>
        <v>0</v>
      </c>
      <c r="EG77" s="43">
        <f t="shared" si="60"/>
        <v>0</v>
      </c>
      <c r="EH77" s="43">
        <f t="shared" si="60"/>
        <v>0</v>
      </c>
      <c r="EI77" s="43">
        <f t="shared" si="60"/>
        <v>0</v>
      </c>
      <c r="EJ77" s="43">
        <f t="shared" si="60"/>
        <v>0</v>
      </c>
      <c r="EK77" s="43">
        <f t="shared" si="60"/>
        <v>0</v>
      </c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</row>
    <row r="78" spans="1:161" ht="14.25" x14ac:dyDescent="0.15">
      <c r="A78" s="46"/>
      <c r="B78" s="43" t="e">
        <f t="shared" si="39"/>
        <v>#DIV/0!</v>
      </c>
      <c r="C78" s="43" t="e">
        <f t="shared" si="40"/>
        <v>#DIV/0!</v>
      </c>
      <c r="D78" s="43" t="e">
        <f t="shared" si="41"/>
        <v>#DIV/0!</v>
      </c>
      <c r="E78" s="43" t="e">
        <f t="shared" si="42"/>
        <v>#DIV/0!</v>
      </c>
      <c r="F78" s="43" t="e">
        <f t="shared" si="43"/>
        <v>#DIV/0!</v>
      </c>
      <c r="G78" s="43" t="e">
        <f t="shared" si="44"/>
        <v>#DIV/0!</v>
      </c>
      <c r="H78" s="43" t="e">
        <f t="shared" si="45"/>
        <v>#DIV/0!</v>
      </c>
      <c r="I78" s="43" t="e">
        <f t="shared" si="46"/>
        <v>#DIV/0!</v>
      </c>
      <c r="J78" s="43" t="e">
        <f t="shared" si="47"/>
        <v>#DIV/0!</v>
      </c>
      <c r="K78" s="43" t="e">
        <f t="shared" si="48"/>
        <v>#DIV/0!</v>
      </c>
      <c r="L78" s="43" t="e">
        <f t="shared" si="49"/>
        <v>#DIV/0!</v>
      </c>
      <c r="M78" s="43" t="e">
        <f t="shared" si="50"/>
        <v>#DIV/0!</v>
      </c>
      <c r="N78" s="43" t="e">
        <f t="shared" si="51"/>
        <v>#DIV/0!</v>
      </c>
      <c r="O78" s="43" t="e">
        <f t="shared" si="52"/>
        <v>#DIV/0!</v>
      </c>
      <c r="P78" s="43" t="e">
        <f t="shared" si="53"/>
        <v>#DIV/0!</v>
      </c>
      <c r="Q78" s="43" t="e">
        <f t="shared" si="54"/>
        <v>#DIV/0!</v>
      </c>
      <c r="R78" s="43" t="e">
        <f t="shared" si="55"/>
        <v>#DIV/0!</v>
      </c>
      <c r="S78" s="43" t="e">
        <f t="shared" si="56"/>
        <v>#DIV/0!</v>
      </c>
      <c r="T78" s="43" t="e">
        <f t="shared" si="57"/>
        <v>#DIV/0!</v>
      </c>
      <c r="U78" s="43" t="e">
        <f t="shared" si="58"/>
        <v>#DIV/0!</v>
      </c>
      <c r="V78" s="53" t="e">
        <f>V77+ATM_Conf!$C$5*(B77)/(B265*V265)</f>
        <v>#DIV/0!</v>
      </c>
      <c r="W78" s="53" t="e">
        <f>W77+ATM_Conf!$C$5*(C77-B77)/(C265*W265)</f>
        <v>#DIV/0!</v>
      </c>
      <c r="X78" s="53" t="e">
        <f>X77+ATM_Conf!$C$5*(D77-C77)/(D265*X265)</f>
        <v>#DIV/0!</v>
      </c>
      <c r="Y78" s="53" t="e">
        <f>Y77+ATM_Conf!$C$5*(E77-D77)/(E265*Y265)</f>
        <v>#DIV/0!</v>
      </c>
      <c r="Z78" s="53" t="e">
        <f>Z77+ATM_Conf!$C$5*(F77-E77)/(F265*Z265)</f>
        <v>#DIV/0!</v>
      </c>
      <c r="AA78" s="53" t="e">
        <f>AA77+ATM_Conf!$C$5*(G77-F77)/(G265*AA265)</f>
        <v>#DIV/0!</v>
      </c>
      <c r="AB78" s="53" t="e">
        <f>AB77+ATM_Conf!$C$5*(H77-G77)/(H265*AB265)</f>
        <v>#DIV/0!</v>
      </c>
      <c r="AC78" s="53" t="e">
        <f>AC77+ATM_Conf!$C$5*(I77-H77)/(I265*AC265)</f>
        <v>#DIV/0!</v>
      </c>
      <c r="AD78" s="53" t="e">
        <f>AD77+ATM_Conf!$C$5*(J77-I77)/(J265*AD265)</f>
        <v>#DIV/0!</v>
      </c>
      <c r="AE78" s="53" t="e">
        <f>AE77+ATM_Conf!$C$5*(K77-J77)/(K265*AE265)</f>
        <v>#DIV/0!</v>
      </c>
      <c r="AF78" s="53" t="e">
        <f>AF77+ATM_Conf!$C$5*(L77)/(L265*AF265)</f>
        <v>#DIV/0!</v>
      </c>
      <c r="AG78" s="53" t="e">
        <f>AG77+ATM_Conf!$C$5*(M77-L77)/(M265*AG265)</f>
        <v>#DIV/0!</v>
      </c>
      <c r="AH78" s="53" t="e">
        <f>AH77+ATM_Conf!$C$5*(N77-M77)/(N265*AH265)</f>
        <v>#DIV/0!</v>
      </c>
      <c r="AI78" s="53" t="e">
        <f>AI77+ATM_Conf!$C$5*(O77-N77)/(O265*AI265)</f>
        <v>#DIV/0!</v>
      </c>
      <c r="AJ78" s="53" t="e">
        <f>AJ77+ATM_Conf!$C$5*(P77-O77)/(P265*AJ265)</f>
        <v>#DIV/0!</v>
      </c>
      <c r="AK78" s="53" t="e">
        <f>AK77+ATM_Conf!$C$5*(Q77-P77)/(Q265*AK265)</f>
        <v>#DIV/0!</v>
      </c>
      <c r="AL78" s="53" t="e">
        <f>AL77+ATM_Conf!$C$5*(R77-Q77)/(R265*AL265)</f>
        <v>#DIV/0!</v>
      </c>
      <c r="AM78" s="53" t="e">
        <f>AM77+ATM_Conf!$C$5*(S77-R77)/(S265*AM265)</f>
        <v>#DIV/0!</v>
      </c>
      <c r="AN78" s="53" t="e">
        <f>AN77+ATM_Conf!$C$5*(T77-S77)/(T265*AN265)</f>
        <v>#DIV/0!</v>
      </c>
      <c r="AO78" s="53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43">
        <f t="shared" si="61"/>
        <v>0</v>
      </c>
      <c r="DS78" s="43">
        <f t="shared" si="60"/>
        <v>0</v>
      </c>
      <c r="DT78" s="43">
        <f t="shared" si="60"/>
        <v>0</v>
      </c>
      <c r="DU78" s="43">
        <f t="shared" si="60"/>
        <v>0</v>
      </c>
      <c r="DV78" s="43">
        <f t="shared" si="60"/>
        <v>0</v>
      </c>
      <c r="DW78" s="43">
        <f t="shared" si="60"/>
        <v>0</v>
      </c>
      <c r="DX78" s="43">
        <f t="shared" si="60"/>
        <v>0</v>
      </c>
      <c r="DY78" s="43">
        <f t="shared" si="60"/>
        <v>0</v>
      </c>
      <c r="DZ78" s="43">
        <f t="shared" si="60"/>
        <v>0</v>
      </c>
      <c r="EA78" s="43">
        <f t="shared" si="60"/>
        <v>0</v>
      </c>
      <c r="EB78" s="43">
        <f t="shared" si="60"/>
        <v>0</v>
      </c>
      <c r="EC78" s="43">
        <f t="shared" si="60"/>
        <v>0</v>
      </c>
      <c r="ED78" s="43">
        <f t="shared" si="60"/>
        <v>0</v>
      </c>
      <c r="EE78" s="43">
        <f t="shared" si="60"/>
        <v>0</v>
      </c>
      <c r="EF78" s="43">
        <f t="shared" si="60"/>
        <v>0</v>
      </c>
      <c r="EG78" s="43">
        <f t="shared" si="60"/>
        <v>0</v>
      </c>
      <c r="EH78" s="43">
        <f t="shared" si="60"/>
        <v>0</v>
      </c>
      <c r="EI78" s="43">
        <f t="shared" si="60"/>
        <v>0</v>
      </c>
      <c r="EJ78" s="43">
        <f t="shared" si="60"/>
        <v>0</v>
      </c>
      <c r="EK78" s="43">
        <f t="shared" si="60"/>
        <v>0</v>
      </c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</row>
    <row r="79" spans="1:161" ht="14.25" x14ac:dyDescent="0.15">
      <c r="A79" s="46"/>
      <c r="B79" s="43" t="e">
        <f t="shared" si="39"/>
        <v>#DIV/0!</v>
      </c>
      <c r="C79" s="43" t="e">
        <f t="shared" si="40"/>
        <v>#DIV/0!</v>
      </c>
      <c r="D79" s="43" t="e">
        <f t="shared" si="41"/>
        <v>#DIV/0!</v>
      </c>
      <c r="E79" s="43" t="e">
        <f t="shared" si="42"/>
        <v>#DIV/0!</v>
      </c>
      <c r="F79" s="43" t="e">
        <f t="shared" si="43"/>
        <v>#DIV/0!</v>
      </c>
      <c r="G79" s="43" t="e">
        <f t="shared" si="44"/>
        <v>#DIV/0!</v>
      </c>
      <c r="H79" s="43" t="e">
        <f t="shared" si="45"/>
        <v>#DIV/0!</v>
      </c>
      <c r="I79" s="43" t="e">
        <f t="shared" si="46"/>
        <v>#DIV/0!</v>
      </c>
      <c r="J79" s="43" t="e">
        <f t="shared" si="47"/>
        <v>#DIV/0!</v>
      </c>
      <c r="K79" s="43" t="e">
        <f t="shared" si="48"/>
        <v>#DIV/0!</v>
      </c>
      <c r="L79" s="43" t="e">
        <f t="shared" si="49"/>
        <v>#DIV/0!</v>
      </c>
      <c r="M79" s="43" t="e">
        <f t="shared" si="50"/>
        <v>#DIV/0!</v>
      </c>
      <c r="N79" s="43" t="e">
        <f t="shared" si="51"/>
        <v>#DIV/0!</v>
      </c>
      <c r="O79" s="43" t="e">
        <f t="shared" si="52"/>
        <v>#DIV/0!</v>
      </c>
      <c r="P79" s="43" t="e">
        <f t="shared" si="53"/>
        <v>#DIV/0!</v>
      </c>
      <c r="Q79" s="43" t="e">
        <f t="shared" si="54"/>
        <v>#DIV/0!</v>
      </c>
      <c r="R79" s="43" t="e">
        <f t="shared" si="55"/>
        <v>#DIV/0!</v>
      </c>
      <c r="S79" s="43" t="e">
        <f t="shared" si="56"/>
        <v>#DIV/0!</v>
      </c>
      <c r="T79" s="43" t="e">
        <f t="shared" si="57"/>
        <v>#DIV/0!</v>
      </c>
      <c r="U79" s="43" t="e">
        <f t="shared" si="58"/>
        <v>#DIV/0!</v>
      </c>
      <c r="V79" s="53" t="e">
        <f>V78+ATM_Conf!$C$5*(B78)/(B266*V266)</f>
        <v>#DIV/0!</v>
      </c>
      <c r="W79" s="53" t="e">
        <f>W78+ATM_Conf!$C$5*(C78-B78)/(C266*W266)</f>
        <v>#DIV/0!</v>
      </c>
      <c r="X79" s="53" t="e">
        <f>X78+ATM_Conf!$C$5*(D78-C78)/(D266*X266)</f>
        <v>#DIV/0!</v>
      </c>
      <c r="Y79" s="53" t="e">
        <f>Y78+ATM_Conf!$C$5*(E78-D78)/(E266*Y266)</f>
        <v>#DIV/0!</v>
      </c>
      <c r="Z79" s="53" t="e">
        <f>Z78+ATM_Conf!$C$5*(F78-E78)/(F266*Z266)</f>
        <v>#DIV/0!</v>
      </c>
      <c r="AA79" s="53" t="e">
        <f>AA78+ATM_Conf!$C$5*(G78-F78)/(G266*AA266)</f>
        <v>#DIV/0!</v>
      </c>
      <c r="AB79" s="53" t="e">
        <f>AB78+ATM_Conf!$C$5*(H78-G78)/(H266*AB266)</f>
        <v>#DIV/0!</v>
      </c>
      <c r="AC79" s="53" t="e">
        <f>AC78+ATM_Conf!$C$5*(I78-H78)/(I266*AC266)</f>
        <v>#DIV/0!</v>
      </c>
      <c r="AD79" s="53" t="e">
        <f>AD78+ATM_Conf!$C$5*(J78-I78)/(J266*AD266)</f>
        <v>#DIV/0!</v>
      </c>
      <c r="AE79" s="53" t="e">
        <f>AE78+ATM_Conf!$C$5*(K78-J78)/(K266*AE266)</f>
        <v>#DIV/0!</v>
      </c>
      <c r="AF79" s="53" t="e">
        <f>AF78+ATM_Conf!$C$5*(L78)/(L266*AF266)</f>
        <v>#DIV/0!</v>
      </c>
      <c r="AG79" s="53" t="e">
        <f>AG78+ATM_Conf!$C$5*(M78-L78)/(M266*AG266)</f>
        <v>#DIV/0!</v>
      </c>
      <c r="AH79" s="53" t="e">
        <f>AH78+ATM_Conf!$C$5*(N78-M78)/(N266*AH266)</f>
        <v>#DIV/0!</v>
      </c>
      <c r="AI79" s="53" t="e">
        <f>AI78+ATM_Conf!$C$5*(O78-N78)/(O266*AI266)</f>
        <v>#DIV/0!</v>
      </c>
      <c r="AJ79" s="53" t="e">
        <f>AJ78+ATM_Conf!$C$5*(P78-O78)/(P266*AJ266)</f>
        <v>#DIV/0!</v>
      </c>
      <c r="AK79" s="53" t="e">
        <f>AK78+ATM_Conf!$C$5*(Q78-P78)/(Q266*AK266)</f>
        <v>#DIV/0!</v>
      </c>
      <c r="AL79" s="53" t="e">
        <f>AL78+ATM_Conf!$C$5*(R78-Q78)/(R266*AL266)</f>
        <v>#DIV/0!</v>
      </c>
      <c r="AM79" s="53" t="e">
        <f>AM78+ATM_Conf!$C$5*(S78-R78)/(S266*AM266)</f>
        <v>#DIV/0!</v>
      </c>
      <c r="AN79" s="53" t="e">
        <f>AN78+ATM_Conf!$C$5*(T78-S78)/(T266*AN266)</f>
        <v>#DIV/0!</v>
      </c>
      <c r="AO79" s="53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43">
        <f t="shared" si="61"/>
        <v>0</v>
      </c>
      <c r="DS79" s="43">
        <f t="shared" si="60"/>
        <v>0</v>
      </c>
      <c r="DT79" s="43">
        <f t="shared" si="60"/>
        <v>0</v>
      </c>
      <c r="DU79" s="43">
        <f t="shared" si="60"/>
        <v>0</v>
      </c>
      <c r="DV79" s="43">
        <f t="shared" si="60"/>
        <v>0</v>
      </c>
      <c r="DW79" s="43">
        <f t="shared" si="60"/>
        <v>0</v>
      </c>
      <c r="DX79" s="43">
        <f t="shared" si="60"/>
        <v>0</v>
      </c>
      <c r="DY79" s="43">
        <f t="shared" si="60"/>
        <v>0</v>
      </c>
      <c r="DZ79" s="43">
        <f t="shared" si="60"/>
        <v>0</v>
      </c>
      <c r="EA79" s="43">
        <f t="shared" si="60"/>
        <v>0</v>
      </c>
      <c r="EB79" s="43">
        <f t="shared" si="60"/>
        <v>0</v>
      </c>
      <c r="EC79" s="43">
        <f t="shared" si="60"/>
        <v>0</v>
      </c>
      <c r="ED79" s="43">
        <f t="shared" si="60"/>
        <v>0</v>
      </c>
      <c r="EE79" s="43">
        <f t="shared" si="60"/>
        <v>0</v>
      </c>
      <c r="EF79" s="43">
        <f t="shared" si="60"/>
        <v>0</v>
      </c>
      <c r="EG79" s="43">
        <f t="shared" si="60"/>
        <v>0</v>
      </c>
      <c r="EH79" s="43">
        <f t="shared" si="60"/>
        <v>0</v>
      </c>
      <c r="EI79" s="43">
        <f t="shared" si="60"/>
        <v>0</v>
      </c>
      <c r="EJ79" s="43">
        <f t="shared" si="60"/>
        <v>0</v>
      </c>
      <c r="EK79" s="43">
        <f t="shared" si="60"/>
        <v>0</v>
      </c>
      <c r="EL79" s="47"/>
      <c r="EM79" s="47"/>
      <c r="EN79" s="47"/>
      <c r="EO79" s="47"/>
      <c r="EP79" s="47"/>
      <c r="EQ79" s="47"/>
      <c r="ER79" s="47"/>
      <c r="ES79" s="47"/>
      <c r="ET79" s="47"/>
      <c r="EU79" s="47"/>
      <c r="EV79" s="47"/>
      <c r="EW79" s="47"/>
      <c r="EX79" s="47"/>
      <c r="EY79" s="47"/>
      <c r="EZ79" s="47"/>
      <c r="FA79" s="47"/>
      <c r="FB79" s="47"/>
      <c r="FC79" s="47"/>
      <c r="FD79" s="47"/>
      <c r="FE79" s="47"/>
    </row>
    <row r="80" spans="1:161" ht="14.25" x14ac:dyDescent="0.15">
      <c r="A80" s="46"/>
      <c r="B80" s="43" t="e">
        <f t="shared" si="39"/>
        <v>#DIV/0!</v>
      </c>
      <c r="C80" s="43" t="e">
        <f t="shared" si="40"/>
        <v>#DIV/0!</v>
      </c>
      <c r="D80" s="43" t="e">
        <f t="shared" si="41"/>
        <v>#DIV/0!</v>
      </c>
      <c r="E80" s="43" t="e">
        <f t="shared" si="42"/>
        <v>#DIV/0!</v>
      </c>
      <c r="F80" s="43" t="e">
        <f t="shared" si="43"/>
        <v>#DIV/0!</v>
      </c>
      <c r="G80" s="43" t="e">
        <f t="shared" si="44"/>
        <v>#DIV/0!</v>
      </c>
      <c r="H80" s="43" t="e">
        <f t="shared" si="45"/>
        <v>#DIV/0!</v>
      </c>
      <c r="I80" s="43" t="e">
        <f t="shared" si="46"/>
        <v>#DIV/0!</v>
      </c>
      <c r="J80" s="43" t="e">
        <f t="shared" si="47"/>
        <v>#DIV/0!</v>
      </c>
      <c r="K80" s="43" t="e">
        <f t="shared" si="48"/>
        <v>#DIV/0!</v>
      </c>
      <c r="L80" s="43" t="e">
        <f t="shared" si="49"/>
        <v>#DIV/0!</v>
      </c>
      <c r="M80" s="43" t="e">
        <f t="shared" si="50"/>
        <v>#DIV/0!</v>
      </c>
      <c r="N80" s="43" t="e">
        <f t="shared" si="51"/>
        <v>#DIV/0!</v>
      </c>
      <c r="O80" s="43" t="e">
        <f t="shared" si="52"/>
        <v>#DIV/0!</v>
      </c>
      <c r="P80" s="43" t="e">
        <f t="shared" si="53"/>
        <v>#DIV/0!</v>
      </c>
      <c r="Q80" s="43" t="e">
        <f t="shared" si="54"/>
        <v>#DIV/0!</v>
      </c>
      <c r="R80" s="43" t="e">
        <f t="shared" si="55"/>
        <v>#DIV/0!</v>
      </c>
      <c r="S80" s="43" t="e">
        <f t="shared" si="56"/>
        <v>#DIV/0!</v>
      </c>
      <c r="T80" s="43" t="e">
        <f t="shared" si="57"/>
        <v>#DIV/0!</v>
      </c>
      <c r="U80" s="43" t="e">
        <f t="shared" si="58"/>
        <v>#DIV/0!</v>
      </c>
      <c r="V80" s="53" t="e">
        <f>V79+ATM_Conf!$C$5*(B79)/(B267*V267)</f>
        <v>#DIV/0!</v>
      </c>
      <c r="W80" s="53" t="e">
        <f>W79+ATM_Conf!$C$5*(C79-B79)/(C267*W267)</f>
        <v>#DIV/0!</v>
      </c>
      <c r="X80" s="53" t="e">
        <f>X79+ATM_Conf!$C$5*(D79-C79)/(D267*X267)</f>
        <v>#DIV/0!</v>
      </c>
      <c r="Y80" s="53" t="e">
        <f>Y79+ATM_Conf!$C$5*(E79-D79)/(E267*Y267)</f>
        <v>#DIV/0!</v>
      </c>
      <c r="Z80" s="53" t="e">
        <f>Z79+ATM_Conf!$C$5*(F79-E79)/(F267*Z267)</f>
        <v>#DIV/0!</v>
      </c>
      <c r="AA80" s="53" t="e">
        <f>AA79+ATM_Conf!$C$5*(G79-F79)/(G267*AA267)</f>
        <v>#DIV/0!</v>
      </c>
      <c r="AB80" s="53" t="e">
        <f>AB79+ATM_Conf!$C$5*(H79-G79)/(H267*AB267)</f>
        <v>#DIV/0!</v>
      </c>
      <c r="AC80" s="53" t="e">
        <f>AC79+ATM_Conf!$C$5*(I79-H79)/(I267*AC267)</f>
        <v>#DIV/0!</v>
      </c>
      <c r="AD80" s="53" t="e">
        <f>AD79+ATM_Conf!$C$5*(J79-I79)/(J267*AD267)</f>
        <v>#DIV/0!</v>
      </c>
      <c r="AE80" s="53" t="e">
        <f>AE79+ATM_Conf!$C$5*(K79-J79)/(K267*AE267)</f>
        <v>#DIV/0!</v>
      </c>
      <c r="AF80" s="53" t="e">
        <f>AF79+ATM_Conf!$C$5*(L79)/(L267*AF267)</f>
        <v>#DIV/0!</v>
      </c>
      <c r="AG80" s="53" t="e">
        <f>AG79+ATM_Conf!$C$5*(M79-L79)/(M267*AG267)</f>
        <v>#DIV/0!</v>
      </c>
      <c r="AH80" s="53" t="e">
        <f>AH79+ATM_Conf!$C$5*(N79-M79)/(N267*AH267)</f>
        <v>#DIV/0!</v>
      </c>
      <c r="AI80" s="53" t="e">
        <f>AI79+ATM_Conf!$C$5*(O79-N79)/(O267*AI267)</f>
        <v>#DIV/0!</v>
      </c>
      <c r="AJ80" s="53" t="e">
        <f>AJ79+ATM_Conf!$C$5*(P79-O79)/(P267*AJ267)</f>
        <v>#DIV/0!</v>
      </c>
      <c r="AK80" s="53" t="e">
        <f>AK79+ATM_Conf!$C$5*(Q79-P79)/(Q267*AK267)</f>
        <v>#DIV/0!</v>
      </c>
      <c r="AL80" s="53" t="e">
        <f>AL79+ATM_Conf!$C$5*(R79-Q79)/(R267*AL267)</f>
        <v>#DIV/0!</v>
      </c>
      <c r="AM80" s="53" t="e">
        <f>AM79+ATM_Conf!$C$5*(S79-R79)/(S267*AM267)</f>
        <v>#DIV/0!</v>
      </c>
      <c r="AN80" s="53" t="e">
        <f>AN79+ATM_Conf!$C$5*(T79-S79)/(T267*AN267)</f>
        <v>#DIV/0!</v>
      </c>
      <c r="AO80" s="53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43">
        <f t="shared" si="61"/>
        <v>0</v>
      </c>
      <c r="DS80" s="43">
        <f t="shared" si="60"/>
        <v>0</v>
      </c>
      <c r="DT80" s="43">
        <f t="shared" si="60"/>
        <v>0</v>
      </c>
      <c r="DU80" s="43">
        <f t="shared" si="60"/>
        <v>0</v>
      </c>
      <c r="DV80" s="43">
        <f t="shared" si="60"/>
        <v>0</v>
      </c>
      <c r="DW80" s="43">
        <f t="shared" si="60"/>
        <v>0</v>
      </c>
      <c r="DX80" s="43">
        <f t="shared" si="60"/>
        <v>0</v>
      </c>
      <c r="DY80" s="43">
        <f t="shared" si="60"/>
        <v>0</v>
      </c>
      <c r="DZ80" s="43">
        <f t="shared" si="60"/>
        <v>0</v>
      </c>
      <c r="EA80" s="43">
        <f t="shared" si="60"/>
        <v>0</v>
      </c>
      <c r="EB80" s="43">
        <f t="shared" si="60"/>
        <v>0</v>
      </c>
      <c r="EC80" s="43">
        <f t="shared" si="60"/>
        <v>0</v>
      </c>
      <c r="ED80" s="43">
        <f t="shared" si="60"/>
        <v>0</v>
      </c>
      <c r="EE80" s="43">
        <f t="shared" si="60"/>
        <v>0</v>
      </c>
      <c r="EF80" s="43">
        <f t="shared" si="60"/>
        <v>0</v>
      </c>
      <c r="EG80" s="43">
        <f t="shared" si="60"/>
        <v>0</v>
      </c>
      <c r="EH80" s="43">
        <f t="shared" si="60"/>
        <v>0</v>
      </c>
      <c r="EI80" s="43">
        <f t="shared" si="60"/>
        <v>0</v>
      </c>
      <c r="EJ80" s="43">
        <f t="shared" si="60"/>
        <v>0</v>
      </c>
      <c r="EK80" s="43">
        <f t="shared" si="60"/>
        <v>0</v>
      </c>
      <c r="EL80" s="47"/>
      <c r="EM80" s="47"/>
      <c r="EN80" s="47"/>
      <c r="EO80" s="47"/>
      <c r="EP80" s="47"/>
      <c r="EQ80" s="47"/>
      <c r="ER80" s="47"/>
      <c r="ES80" s="47"/>
      <c r="ET80" s="47"/>
      <c r="EU80" s="47"/>
      <c r="EV80" s="47"/>
      <c r="EW80" s="47"/>
      <c r="EX80" s="47"/>
      <c r="EY80" s="47"/>
      <c r="EZ80" s="47"/>
      <c r="FA80" s="47"/>
      <c r="FB80" s="47"/>
      <c r="FC80" s="47"/>
      <c r="FD80" s="47"/>
      <c r="FE80" s="47"/>
    </row>
    <row r="81" spans="1:161" ht="14.25" x14ac:dyDescent="0.15">
      <c r="A81" s="46"/>
      <c r="B81" s="43" t="e">
        <f t="shared" si="39"/>
        <v>#DIV/0!</v>
      </c>
      <c r="C81" s="43" t="e">
        <f t="shared" si="40"/>
        <v>#DIV/0!</v>
      </c>
      <c r="D81" s="43" t="e">
        <f t="shared" si="41"/>
        <v>#DIV/0!</v>
      </c>
      <c r="E81" s="43" t="e">
        <f t="shared" si="42"/>
        <v>#DIV/0!</v>
      </c>
      <c r="F81" s="43" t="e">
        <f t="shared" si="43"/>
        <v>#DIV/0!</v>
      </c>
      <c r="G81" s="43" t="e">
        <f t="shared" si="44"/>
        <v>#DIV/0!</v>
      </c>
      <c r="H81" s="43" t="e">
        <f t="shared" si="45"/>
        <v>#DIV/0!</v>
      </c>
      <c r="I81" s="43" t="e">
        <f t="shared" si="46"/>
        <v>#DIV/0!</v>
      </c>
      <c r="J81" s="43" t="e">
        <f t="shared" si="47"/>
        <v>#DIV/0!</v>
      </c>
      <c r="K81" s="43" t="e">
        <f t="shared" si="48"/>
        <v>#DIV/0!</v>
      </c>
      <c r="L81" s="43" t="e">
        <f t="shared" si="49"/>
        <v>#DIV/0!</v>
      </c>
      <c r="M81" s="43" t="e">
        <f t="shared" si="50"/>
        <v>#DIV/0!</v>
      </c>
      <c r="N81" s="43" t="e">
        <f t="shared" si="51"/>
        <v>#DIV/0!</v>
      </c>
      <c r="O81" s="43" t="e">
        <f t="shared" si="52"/>
        <v>#DIV/0!</v>
      </c>
      <c r="P81" s="43" t="e">
        <f t="shared" si="53"/>
        <v>#DIV/0!</v>
      </c>
      <c r="Q81" s="43" t="e">
        <f t="shared" si="54"/>
        <v>#DIV/0!</v>
      </c>
      <c r="R81" s="43" t="e">
        <f t="shared" si="55"/>
        <v>#DIV/0!</v>
      </c>
      <c r="S81" s="43" t="e">
        <f t="shared" si="56"/>
        <v>#DIV/0!</v>
      </c>
      <c r="T81" s="43" t="e">
        <f t="shared" si="57"/>
        <v>#DIV/0!</v>
      </c>
      <c r="U81" s="43" t="e">
        <f t="shared" si="58"/>
        <v>#DIV/0!</v>
      </c>
      <c r="V81" s="53" t="e">
        <f>V80+ATM_Conf!$C$5*(B80)/(B268*V268)</f>
        <v>#DIV/0!</v>
      </c>
      <c r="W81" s="53" t="e">
        <f>W80+ATM_Conf!$C$5*(C80-B80)/(C268*W268)</f>
        <v>#DIV/0!</v>
      </c>
      <c r="X81" s="53" t="e">
        <f>X80+ATM_Conf!$C$5*(D80-C80)/(D268*X268)</f>
        <v>#DIV/0!</v>
      </c>
      <c r="Y81" s="53" t="e">
        <f>Y80+ATM_Conf!$C$5*(E80-D80)/(E268*Y268)</f>
        <v>#DIV/0!</v>
      </c>
      <c r="Z81" s="53" t="e">
        <f>Z80+ATM_Conf!$C$5*(F80-E80)/(F268*Z268)</f>
        <v>#DIV/0!</v>
      </c>
      <c r="AA81" s="53" t="e">
        <f>AA80+ATM_Conf!$C$5*(G80-F80)/(G268*AA268)</f>
        <v>#DIV/0!</v>
      </c>
      <c r="AB81" s="53" t="e">
        <f>AB80+ATM_Conf!$C$5*(H80-G80)/(H268*AB268)</f>
        <v>#DIV/0!</v>
      </c>
      <c r="AC81" s="53" t="e">
        <f>AC80+ATM_Conf!$C$5*(I80-H80)/(I268*AC268)</f>
        <v>#DIV/0!</v>
      </c>
      <c r="AD81" s="53" t="e">
        <f>AD80+ATM_Conf!$C$5*(J80-I80)/(J268*AD268)</f>
        <v>#DIV/0!</v>
      </c>
      <c r="AE81" s="53" t="e">
        <f>AE80+ATM_Conf!$C$5*(K80-J80)/(K268*AE268)</f>
        <v>#DIV/0!</v>
      </c>
      <c r="AF81" s="53" t="e">
        <f>AF80+ATM_Conf!$C$5*(L80)/(L268*AF268)</f>
        <v>#DIV/0!</v>
      </c>
      <c r="AG81" s="53" t="e">
        <f>AG80+ATM_Conf!$C$5*(M80-L80)/(M268*AG268)</f>
        <v>#DIV/0!</v>
      </c>
      <c r="AH81" s="53" t="e">
        <f>AH80+ATM_Conf!$C$5*(N80-M80)/(N268*AH268)</f>
        <v>#DIV/0!</v>
      </c>
      <c r="AI81" s="53" t="e">
        <f>AI80+ATM_Conf!$C$5*(O80-N80)/(O268*AI268)</f>
        <v>#DIV/0!</v>
      </c>
      <c r="AJ81" s="53" t="e">
        <f>AJ80+ATM_Conf!$C$5*(P80-O80)/(P268*AJ268)</f>
        <v>#DIV/0!</v>
      </c>
      <c r="AK81" s="53" t="e">
        <f>AK80+ATM_Conf!$C$5*(Q80-P80)/(Q268*AK268)</f>
        <v>#DIV/0!</v>
      </c>
      <c r="AL81" s="53" t="e">
        <f>AL80+ATM_Conf!$C$5*(R80-Q80)/(R268*AL268)</f>
        <v>#DIV/0!</v>
      </c>
      <c r="AM81" s="53" t="e">
        <f>AM80+ATM_Conf!$C$5*(S80-R80)/(S268*AM268)</f>
        <v>#DIV/0!</v>
      </c>
      <c r="AN81" s="53" t="e">
        <f>AN80+ATM_Conf!$C$5*(T80-S80)/(T268*AN268)</f>
        <v>#DIV/0!</v>
      </c>
      <c r="AO81" s="53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43">
        <f t="shared" si="61"/>
        <v>0</v>
      </c>
      <c r="DS81" s="43">
        <f t="shared" si="60"/>
        <v>0</v>
      </c>
      <c r="DT81" s="43">
        <f t="shared" si="60"/>
        <v>0</v>
      </c>
      <c r="DU81" s="43">
        <f t="shared" si="60"/>
        <v>0</v>
      </c>
      <c r="DV81" s="43">
        <f t="shared" si="60"/>
        <v>0</v>
      </c>
      <c r="DW81" s="43">
        <f t="shared" si="60"/>
        <v>0</v>
      </c>
      <c r="DX81" s="43">
        <f t="shared" si="60"/>
        <v>0</v>
      </c>
      <c r="DY81" s="43">
        <f t="shared" si="60"/>
        <v>0</v>
      </c>
      <c r="DZ81" s="43">
        <f t="shared" si="60"/>
        <v>0</v>
      </c>
      <c r="EA81" s="43">
        <f t="shared" si="60"/>
        <v>0</v>
      </c>
      <c r="EB81" s="43">
        <f t="shared" si="60"/>
        <v>0</v>
      </c>
      <c r="EC81" s="43">
        <f t="shared" si="60"/>
        <v>0</v>
      </c>
      <c r="ED81" s="43">
        <f t="shared" si="60"/>
        <v>0</v>
      </c>
      <c r="EE81" s="43">
        <f t="shared" si="60"/>
        <v>0</v>
      </c>
      <c r="EF81" s="43">
        <f t="shared" si="60"/>
        <v>0</v>
      </c>
      <c r="EG81" s="43">
        <f t="shared" si="60"/>
        <v>0</v>
      </c>
      <c r="EH81" s="43">
        <f t="shared" si="60"/>
        <v>0</v>
      </c>
      <c r="EI81" s="43">
        <f t="shared" si="60"/>
        <v>0</v>
      </c>
      <c r="EJ81" s="43">
        <f t="shared" si="60"/>
        <v>0</v>
      </c>
      <c r="EK81" s="43">
        <f t="shared" si="60"/>
        <v>0</v>
      </c>
      <c r="EL81" s="47"/>
      <c r="EM81" s="47"/>
      <c r="EN81" s="47"/>
      <c r="EO81" s="47"/>
      <c r="EP81" s="47"/>
      <c r="EQ81" s="47"/>
      <c r="ER81" s="47"/>
      <c r="ES81" s="47"/>
      <c r="ET81" s="47"/>
      <c r="EU81" s="47"/>
      <c r="EV81" s="47"/>
      <c r="EW81" s="47"/>
      <c r="EX81" s="47"/>
      <c r="EY81" s="47"/>
      <c r="EZ81" s="47"/>
      <c r="FA81" s="47"/>
      <c r="FB81" s="47"/>
      <c r="FC81" s="47"/>
      <c r="FD81" s="47"/>
      <c r="FE81" s="47"/>
    </row>
    <row r="82" spans="1:161" ht="14.25" x14ac:dyDescent="0.15">
      <c r="A82" s="46"/>
      <c r="B82" s="43" t="e">
        <f t="shared" si="39"/>
        <v>#DIV/0!</v>
      </c>
      <c r="C82" s="43" t="e">
        <f t="shared" si="40"/>
        <v>#DIV/0!</v>
      </c>
      <c r="D82" s="43" t="e">
        <f t="shared" si="41"/>
        <v>#DIV/0!</v>
      </c>
      <c r="E82" s="43" t="e">
        <f t="shared" si="42"/>
        <v>#DIV/0!</v>
      </c>
      <c r="F82" s="43" t="e">
        <f t="shared" si="43"/>
        <v>#DIV/0!</v>
      </c>
      <c r="G82" s="43" t="e">
        <f t="shared" si="44"/>
        <v>#DIV/0!</v>
      </c>
      <c r="H82" s="43" t="e">
        <f t="shared" si="45"/>
        <v>#DIV/0!</v>
      </c>
      <c r="I82" s="43" t="e">
        <f t="shared" si="46"/>
        <v>#DIV/0!</v>
      </c>
      <c r="J82" s="43" t="e">
        <f t="shared" si="47"/>
        <v>#DIV/0!</v>
      </c>
      <c r="K82" s="43" t="e">
        <f t="shared" si="48"/>
        <v>#DIV/0!</v>
      </c>
      <c r="L82" s="43" t="e">
        <f t="shared" si="49"/>
        <v>#DIV/0!</v>
      </c>
      <c r="M82" s="43" t="e">
        <f t="shared" si="50"/>
        <v>#DIV/0!</v>
      </c>
      <c r="N82" s="43" t="e">
        <f t="shared" si="51"/>
        <v>#DIV/0!</v>
      </c>
      <c r="O82" s="43" t="e">
        <f t="shared" si="52"/>
        <v>#DIV/0!</v>
      </c>
      <c r="P82" s="43" t="e">
        <f t="shared" si="53"/>
        <v>#DIV/0!</v>
      </c>
      <c r="Q82" s="43" t="e">
        <f t="shared" si="54"/>
        <v>#DIV/0!</v>
      </c>
      <c r="R82" s="43" t="e">
        <f t="shared" si="55"/>
        <v>#DIV/0!</v>
      </c>
      <c r="S82" s="43" t="e">
        <f t="shared" si="56"/>
        <v>#DIV/0!</v>
      </c>
      <c r="T82" s="43" t="e">
        <f t="shared" si="57"/>
        <v>#DIV/0!</v>
      </c>
      <c r="U82" s="43" t="e">
        <f t="shared" si="58"/>
        <v>#DIV/0!</v>
      </c>
      <c r="V82" s="53" t="e">
        <f>V81+ATM_Conf!$C$5*(B81)/(B269*V269)</f>
        <v>#DIV/0!</v>
      </c>
      <c r="W82" s="53" t="e">
        <f>W81+ATM_Conf!$C$5*(C81-B81)/(C269*W269)</f>
        <v>#DIV/0!</v>
      </c>
      <c r="X82" s="53" t="e">
        <f>X81+ATM_Conf!$C$5*(D81-C81)/(D269*X269)</f>
        <v>#DIV/0!</v>
      </c>
      <c r="Y82" s="53" t="e">
        <f>Y81+ATM_Conf!$C$5*(E81-D81)/(E269*Y269)</f>
        <v>#DIV/0!</v>
      </c>
      <c r="Z82" s="53" t="e">
        <f>Z81+ATM_Conf!$C$5*(F81-E81)/(F269*Z269)</f>
        <v>#DIV/0!</v>
      </c>
      <c r="AA82" s="53" t="e">
        <f>AA81+ATM_Conf!$C$5*(G81-F81)/(G269*AA269)</f>
        <v>#DIV/0!</v>
      </c>
      <c r="AB82" s="53" t="e">
        <f>AB81+ATM_Conf!$C$5*(H81-G81)/(H269*AB269)</f>
        <v>#DIV/0!</v>
      </c>
      <c r="AC82" s="53" t="e">
        <f>AC81+ATM_Conf!$C$5*(I81-H81)/(I269*AC269)</f>
        <v>#DIV/0!</v>
      </c>
      <c r="AD82" s="53" t="e">
        <f>AD81+ATM_Conf!$C$5*(J81-I81)/(J269*AD269)</f>
        <v>#DIV/0!</v>
      </c>
      <c r="AE82" s="53" t="e">
        <f>AE81+ATM_Conf!$C$5*(K81-J81)/(K269*AE269)</f>
        <v>#DIV/0!</v>
      </c>
      <c r="AF82" s="53" t="e">
        <f>AF81+ATM_Conf!$C$5*(L81)/(L269*AF269)</f>
        <v>#DIV/0!</v>
      </c>
      <c r="AG82" s="53" t="e">
        <f>AG81+ATM_Conf!$C$5*(M81-L81)/(M269*AG269)</f>
        <v>#DIV/0!</v>
      </c>
      <c r="AH82" s="53" t="e">
        <f>AH81+ATM_Conf!$C$5*(N81-M81)/(N269*AH269)</f>
        <v>#DIV/0!</v>
      </c>
      <c r="AI82" s="53" t="e">
        <f>AI81+ATM_Conf!$C$5*(O81-N81)/(O269*AI269)</f>
        <v>#DIV/0!</v>
      </c>
      <c r="AJ82" s="53" t="e">
        <f>AJ81+ATM_Conf!$C$5*(P81-O81)/(P269*AJ269)</f>
        <v>#DIV/0!</v>
      </c>
      <c r="AK82" s="53" t="e">
        <f>AK81+ATM_Conf!$C$5*(Q81-P81)/(Q269*AK269)</f>
        <v>#DIV/0!</v>
      </c>
      <c r="AL82" s="53" t="e">
        <f>AL81+ATM_Conf!$C$5*(R81-Q81)/(R269*AL269)</f>
        <v>#DIV/0!</v>
      </c>
      <c r="AM82" s="53" t="e">
        <f>AM81+ATM_Conf!$C$5*(S81-R81)/(S269*AM269)</f>
        <v>#DIV/0!</v>
      </c>
      <c r="AN82" s="53" t="e">
        <f>AN81+ATM_Conf!$C$5*(T81-S81)/(T269*AN269)</f>
        <v>#DIV/0!</v>
      </c>
      <c r="AO82" s="53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43">
        <f t="shared" si="61"/>
        <v>0</v>
      </c>
      <c r="DS82" s="43">
        <f t="shared" si="60"/>
        <v>0</v>
      </c>
      <c r="DT82" s="43">
        <f t="shared" si="60"/>
        <v>0</v>
      </c>
      <c r="DU82" s="43">
        <f t="shared" si="60"/>
        <v>0</v>
      </c>
      <c r="DV82" s="43">
        <f t="shared" si="60"/>
        <v>0</v>
      </c>
      <c r="DW82" s="43">
        <f t="shared" si="60"/>
        <v>0</v>
      </c>
      <c r="DX82" s="43">
        <f t="shared" si="60"/>
        <v>0</v>
      </c>
      <c r="DY82" s="43">
        <f t="shared" si="60"/>
        <v>0</v>
      </c>
      <c r="DZ82" s="43">
        <f t="shared" si="60"/>
        <v>0</v>
      </c>
      <c r="EA82" s="43">
        <f t="shared" si="60"/>
        <v>0</v>
      </c>
      <c r="EB82" s="43">
        <f t="shared" si="60"/>
        <v>0</v>
      </c>
      <c r="EC82" s="43">
        <f t="shared" si="60"/>
        <v>0</v>
      </c>
      <c r="ED82" s="43">
        <f t="shared" si="60"/>
        <v>0</v>
      </c>
      <c r="EE82" s="43">
        <f t="shared" si="60"/>
        <v>0</v>
      </c>
      <c r="EF82" s="43">
        <f t="shared" si="60"/>
        <v>0</v>
      </c>
      <c r="EG82" s="43">
        <f t="shared" si="60"/>
        <v>0</v>
      </c>
      <c r="EH82" s="43">
        <f t="shared" si="60"/>
        <v>0</v>
      </c>
      <c r="EI82" s="43">
        <f t="shared" si="60"/>
        <v>0</v>
      </c>
      <c r="EJ82" s="43">
        <f t="shared" si="60"/>
        <v>0</v>
      </c>
      <c r="EK82" s="43">
        <f t="shared" si="60"/>
        <v>0</v>
      </c>
      <c r="EL82" s="47"/>
      <c r="EM82" s="47"/>
      <c r="EN82" s="47"/>
      <c r="EO82" s="47"/>
      <c r="EP82" s="47"/>
      <c r="EQ82" s="47"/>
      <c r="ER82" s="47"/>
      <c r="ES82" s="47"/>
      <c r="ET82" s="47"/>
      <c r="EU82" s="47"/>
      <c r="EV82" s="47"/>
      <c r="EW82" s="47"/>
      <c r="EX82" s="47"/>
      <c r="EY82" s="47"/>
      <c r="EZ82" s="47"/>
      <c r="FA82" s="47"/>
      <c r="FB82" s="47"/>
      <c r="FC82" s="47"/>
      <c r="FD82" s="47"/>
      <c r="FE82" s="47"/>
    </row>
    <row r="83" spans="1:161" ht="14.25" x14ac:dyDescent="0.15">
      <c r="A83" s="46"/>
      <c r="B83" s="43" t="e">
        <f t="shared" si="39"/>
        <v>#DIV/0!</v>
      </c>
      <c r="C83" s="43" t="e">
        <f t="shared" si="40"/>
        <v>#DIV/0!</v>
      </c>
      <c r="D83" s="43" t="e">
        <f t="shared" si="41"/>
        <v>#DIV/0!</v>
      </c>
      <c r="E83" s="43" t="e">
        <f t="shared" si="42"/>
        <v>#DIV/0!</v>
      </c>
      <c r="F83" s="43" t="e">
        <f t="shared" si="43"/>
        <v>#DIV/0!</v>
      </c>
      <c r="G83" s="43" t="e">
        <f t="shared" si="44"/>
        <v>#DIV/0!</v>
      </c>
      <c r="H83" s="43" t="e">
        <f t="shared" si="45"/>
        <v>#DIV/0!</v>
      </c>
      <c r="I83" s="43" t="e">
        <f t="shared" si="46"/>
        <v>#DIV/0!</v>
      </c>
      <c r="J83" s="43" t="e">
        <f t="shared" si="47"/>
        <v>#DIV/0!</v>
      </c>
      <c r="K83" s="43" t="e">
        <f t="shared" si="48"/>
        <v>#DIV/0!</v>
      </c>
      <c r="L83" s="43" t="e">
        <f t="shared" si="49"/>
        <v>#DIV/0!</v>
      </c>
      <c r="M83" s="43" t="e">
        <f t="shared" si="50"/>
        <v>#DIV/0!</v>
      </c>
      <c r="N83" s="43" t="e">
        <f t="shared" si="51"/>
        <v>#DIV/0!</v>
      </c>
      <c r="O83" s="43" t="e">
        <f t="shared" si="52"/>
        <v>#DIV/0!</v>
      </c>
      <c r="P83" s="43" t="e">
        <f t="shared" si="53"/>
        <v>#DIV/0!</v>
      </c>
      <c r="Q83" s="43" t="e">
        <f t="shared" si="54"/>
        <v>#DIV/0!</v>
      </c>
      <c r="R83" s="43" t="e">
        <f t="shared" si="55"/>
        <v>#DIV/0!</v>
      </c>
      <c r="S83" s="43" t="e">
        <f t="shared" si="56"/>
        <v>#DIV/0!</v>
      </c>
      <c r="T83" s="43" t="e">
        <f t="shared" si="57"/>
        <v>#DIV/0!</v>
      </c>
      <c r="U83" s="43" t="e">
        <f t="shared" si="58"/>
        <v>#DIV/0!</v>
      </c>
      <c r="V83" s="53" t="e">
        <f>V82+ATM_Conf!$C$5*(B82)/(B270*V270)</f>
        <v>#DIV/0!</v>
      </c>
      <c r="W83" s="53" t="e">
        <f>W82+ATM_Conf!$C$5*(C82-B82)/(C270*W270)</f>
        <v>#DIV/0!</v>
      </c>
      <c r="X83" s="53" t="e">
        <f>X82+ATM_Conf!$C$5*(D82-C82)/(D270*X270)</f>
        <v>#DIV/0!</v>
      </c>
      <c r="Y83" s="53" t="e">
        <f>Y82+ATM_Conf!$C$5*(E82-D82)/(E270*Y270)</f>
        <v>#DIV/0!</v>
      </c>
      <c r="Z83" s="53" t="e">
        <f>Z82+ATM_Conf!$C$5*(F82-E82)/(F270*Z270)</f>
        <v>#DIV/0!</v>
      </c>
      <c r="AA83" s="53" t="e">
        <f>AA82+ATM_Conf!$C$5*(G82-F82)/(G270*AA270)</f>
        <v>#DIV/0!</v>
      </c>
      <c r="AB83" s="53" t="e">
        <f>AB82+ATM_Conf!$C$5*(H82-G82)/(H270*AB270)</f>
        <v>#DIV/0!</v>
      </c>
      <c r="AC83" s="53" t="e">
        <f>AC82+ATM_Conf!$C$5*(I82-H82)/(I270*AC270)</f>
        <v>#DIV/0!</v>
      </c>
      <c r="AD83" s="53" t="e">
        <f>AD82+ATM_Conf!$C$5*(J82-I82)/(J270*AD270)</f>
        <v>#DIV/0!</v>
      </c>
      <c r="AE83" s="53" t="e">
        <f>AE82+ATM_Conf!$C$5*(K82-J82)/(K270*AE270)</f>
        <v>#DIV/0!</v>
      </c>
      <c r="AF83" s="53" t="e">
        <f>AF82+ATM_Conf!$C$5*(L82)/(L270*AF270)</f>
        <v>#DIV/0!</v>
      </c>
      <c r="AG83" s="53" t="e">
        <f>AG82+ATM_Conf!$C$5*(M82-L82)/(M270*AG270)</f>
        <v>#DIV/0!</v>
      </c>
      <c r="AH83" s="53" t="e">
        <f>AH82+ATM_Conf!$C$5*(N82-M82)/(N270*AH270)</f>
        <v>#DIV/0!</v>
      </c>
      <c r="AI83" s="53" t="e">
        <f>AI82+ATM_Conf!$C$5*(O82-N82)/(O270*AI270)</f>
        <v>#DIV/0!</v>
      </c>
      <c r="AJ83" s="53" t="e">
        <f>AJ82+ATM_Conf!$C$5*(P82-O82)/(P270*AJ270)</f>
        <v>#DIV/0!</v>
      </c>
      <c r="AK83" s="53" t="e">
        <f>AK82+ATM_Conf!$C$5*(Q82-P82)/(Q270*AK270)</f>
        <v>#DIV/0!</v>
      </c>
      <c r="AL83" s="53" t="e">
        <f>AL82+ATM_Conf!$C$5*(R82-Q82)/(R270*AL270)</f>
        <v>#DIV/0!</v>
      </c>
      <c r="AM83" s="53" t="e">
        <f>AM82+ATM_Conf!$C$5*(S82-R82)/(S270*AM270)</f>
        <v>#DIV/0!</v>
      </c>
      <c r="AN83" s="53" t="e">
        <f>AN82+ATM_Conf!$C$5*(T82-S82)/(T270*AN270)</f>
        <v>#DIV/0!</v>
      </c>
      <c r="AO83" s="53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43">
        <f t="shared" si="61"/>
        <v>0</v>
      </c>
      <c r="DS83" s="43">
        <f t="shared" si="60"/>
        <v>0</v>
      </c>
      <c r="DT83" s="43">
        <f t="shared" si="60"/>
        <v>0</v>
      </c>
      <c r="DU83" s="43">
        <f t="shared" si="60"/>
        <v>0</v>
      </c>
      <c r="DV83" s="43">
        <f t="shared" si="60"/>
        <v>0</v>
      </c>
      <c r="DW83" s="43">
        <f t="shared" si="60"/>
        <v>0</v>
      </c>
      <c r="DX83" s="43">
        <f t="shared" si="60"/>
        <v>0</v>
      </c>
      <c r="DY83" s="43">
        <f t="shared" si="60"/>
        <v>0</v>
      </c>
      <c r="DZ83" s="43">
        <f t="shared" si="60"/>
        <v>0</v>
      </c>
      <c r="EA83" s="43">
        <f t="shared" si="60"/>
        <v>0</v>
      </c>
      <c r="EB83" s="43">
        <f t="shared" si="60"/>
        <v>0</v>
      </c>
      <c r="EC83" s="43">
        <f t="shared" si="60"/>
        <v>0</v>
      </c>
      <c r="ED83" s="43">
        <f t="shared" si="60"/>
        <v>0</v>
      </c>
      <c r="EE83" s="43">
        <f t="shared" si="60"/>
        <v>0</v>
      </c>
      <c r="EF83" s="43">
        <f t="shared" si="60"/>
        <v>0</v>
      </c>
      <c r="EG83" s="43">
        <f t="shared" si="60"/>
        <v>0</v>
      </c>
      <c r="EH83" s="43">
        <f t="shared" si="60"/>
        <v>0</v>
      </c>
      <c r="EI83" s="43">
        <f t="shared" si="60"/>
        <v>0</v>
      </c>
      <c r="EJ83" s="43">
        <f t="shared" si="60"/>
        <v>0</v>
      </c>
      <c r="EK83" s="43">
        <f t="shared" si="60"/>
        <v>0</v>
      </c>
      <c r="EL83" s="47"/>
      <c r="EM83" s="47"/>
      <c r="EN83" s="47"/>
      <c r="EO83" s="47"/>
      <c r="EP83" s="47"/>
      <c r="EQ83" s="47"/>
      <c r="ER83" s="47"/>
      <c r="ES83" s="47"/>
      <c r="ET83" s="47"/>
      <c r="EU83" s="47"/>
      <c r="EV83" s="47"/>
      <c r="EW83" s="47"/>
      <c r="EX83" s="47"/>
      <c r="EY83" s="47"/>
      <c r="EZ83" s="47"/>
      <c r="FA83" s="47"/>
      <c r="FB83" s="47"/>
      <c r="FC83" s="47"/>
      <c r="FD83" s="47"/>
      <c r="FE83" s="47"/>
    </row>
    <row r="84" spans="1:161" ht="14.25" x14ac:dyDescent="0.15">
      <c r="A84" s="46"/>
      <c r="B84" s="43" t="e">
        <f t="shared" si="39"/>
        <v>#DIV/0!</v>
      </c>
      <c r="C84" s="43" t="e">
        <f t="shared" si="40"/>
        <v>#DIV/0!</v>
      </c>
      <c r="D84" s="43" t="e">
        <f t="shared" si="41"/>
        <v>#DIV/0!</v>
      </c>
      <c r="E84" s="43" t="e">
        <f t="shared" si="42"/>
        <v>#DIV/0!</v>
      </c>
      <c r="F84" s="43" t="e">
        <f t="shared" si="43"/>
        <v>#DIV/0!</v>
      </c>
      <c r="G84" s="43" t="e">
        <f t="shared" si="44"/>
        <v>#DIV/0!</v>
      </c>
      <c r="H84" s="43" t="e">
        <f t="shared" si="45"/>
        <v>#DIV/0!</v>
      </c>
      <c r="I84" s="43" t="e">
        <f t="shared" si="46"/>
        <v>#DIV/0!</v>
      </c>
      <c r="J84" s="43" t="e">
        <f t="shared" si="47"/>
        <v>#DIV/0!</v>
      </c>
      <c r="K84" s="43" t="e">
        <f t="shared" si="48"/>
        <v>#DIV/0!</v>
      </c>
      <c r="L84" s="43" t="e">
        <f t="shared" si="49"/>
        <v>#DIV/0!</v>
      </c>
      <c r="M84" s="43" t="e">
        <f t="shared" si="50"/>
        <v>#DIV/0!</v>
      </c>
      <c r="N84" s="43" t="e">
        <f t="shared" si="51"/>
        <v>#DIV/0!</v>
      </c>
      <c r="O84" s="43" t="e">
        <f t="shared" si="52"/>
        <v>#DIV/0!</v>
      </c>
      <c r="P84" s="43" t="e">
        <f t="shared" si="53"/>
        <v>#DIV/0!</v>
      </c>
      <c r="Q84" s="43" t="e">
        <f t="shared" si="54"/>
        <v>#DIV/0!</v>
      </c>
      <c r="R84" s="43" t="e">
        <f t="shared" si="55"/>
        <v>#DIV/0!</v>
      </c>
      <c r="S84" s="43" t="e">
        <f t="shared" si="56"/>
        <v>#DIV/0!</v>
      </c>
      <c r="T84" s="43" t="e">
        <f t="shared" si="57"/>
        <v>#DIV/0!</v>
      </c>
      <c r="U84" s="43" t="e">
        <f t="shared" si="58"/>
        <v>#DIV/0!</v>
      </c>
      <c r="V84" s="53" t="e">
        <f>V83+ATM_Conf!$C$5*(B83)/(B271*V271)</f>
        <v>#DIV/0!</v>
      </c>
      <c r="W84" s="53" t="e">
        <f>W83+ATM_Conf!$C$5*(C83-B83)/(C271*W271)</f>
        <v>#DIV/0!</v>
      </c>
      <c r="X84" s="53" t="e">
        <f>X83+ATM_Conf!$C$5*(D83-C83)/(D271*X271)</f>
        <v>#DIV/0!</v>
      </c>
      <c r="Y84" s="53" t="e">
        <f>Y83+ATM_Conf!$C$5*(E83-D83)/(E271*Y271)</f>
        <v>#DIV/0!</v>
      </c>
      <c r="Z84" s="53" t="e">
        <f>Z83+ATM_Conf!$C$5*(F83-E83)/(F271*Z271)</f>
        <v>#DIV/0!</v>
      </c>
      <c r="AA84" s="53" t="e">
        <f>AA83+ATM_Conf!$C$5*(G83-F83)/(G271*AA271)</f>
        <v>#DIV/0!</v>
      </c>
      <c r="AB84" s="53" t="e">
        <f>AB83+ATM_Conf!$C$5*(H83-G83)/(H271*AB271)</f>
        <v>#DIV/0!</v>
      </c>
      <c r="AC84" s="53" t="e">
        <f>AC83+ATM_Conf!$C$5*(I83-H83)/(I271*AC271)</f>
        <v>#DIV/0!</v>
      </c>
      <c r="AD84" s="53" t="e">
        <f>AD83+ATM_Conf!$C$5*(J83-I83)/(J271*AD271)</f>
        <v>#DIV/0!</v>
      </c>
      <c r="AE84" s="53" t="e">
        <f>AE83+ATM_Conf!$C$5*(K83-J83)/(K271*AE271)</f>
        <v>#DIV/0!</v>
      </c>
      <c r="AF84" s="53" t="e">
        <f>AF83+ATM_Conf!$C$5*(L83)/(L271*AF271)</f>
        <v>#DIV/0!</v>
      </c>
      <c r="AG84" s="53" t="e">
        <f>AG83+ATM_Conf!$C$5*(M83-L83)/(M271*AG271)</f>
        <v>#DIV/0!</v>
      </c>
      <c r="AH84" s="53" t="e">
        <f>AH83+ATM_Conf!$C$5*(N83-M83)/(N271*AH271)</f>
        <v>#DIV/0!</v>
      </c>
      <c r="AI84" s="53" t="e">
        <f>AI83+ATM_Conf!$C$5*(O83-N83)/(O271*AI271)</f>
        <v>#DIV/0!</v>
      </c>
      <c r="AJ84" s="53" t="e">
        <f>AJ83+ATM_Conf!$C$5*(P83-O83)/(P271*AJ271)</f>
        <v>#DIV/0!</v>
      </c>
      <c r="AK84" s="53" t="e">
        <f>AK83+ATM_Conf!$C$5*(Q83-P83)/(Q271*AK271)</f>
        <v>#DIV/0!</v>
      </c>
      <c r="AL84" s="53" t="e">
        <f>AL83+ATM_Conf!$C$5*(R83-Q83)/(R271*AL271)</f>
        <v>#DIV/0!</v>
      </c>
      <c r="AM84" s="53" t="e">
        <f>AM83+ATM_Conf!$C$5*(S83-R83)/(S271*AM271)</f>
        <v>#DIV/0!</v>
      </c>
      <c r="AN84" s="53" t="e">
        <f>AN83+ATM_Conf!$C$5*(T83-S83)/(T271*AN271)</f>
        <v>#DIV/0!</v>
      </c>
      <c r="AO84" s="53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43">
        <f t="shared" si="61"/>
        <v>0</v>
      </c>
      <c r="DS84" s="43">
        <f t="shared" si="60"/>
        <v>0</v>
      </c>
      <c r="DT84" s="43">
        <f t="shared" si="60"/>
        <v>0</v>
      </c>
      <c r="DU84" s="43">
        <f t="shared" si="60"/>
        <v>0</v>
      </c>
      <c r="DV84" s="43">
        <f t="shared" si="60"/>
        <v>0</v>
      </c>
      <c r="DW84" s="43">
        <f t="shared" si="60"/>
        <v>0</v>
      </c>
      <c r="DX84" s="43">
        <f t="shared" si="60"/>
        <v>0</v>
      </c>
      <c r="DY84" s="43">
        <f t="shared" si="60"/>
        <v>0</v>
      </c>
      <c r="DZ84" s="43">
        <f t="shared" si="60"/>
        <v>0</v>
      </c>
      <c r="EA84" s="43">
        <f t="shared" si="60"/>
        <v>0</v>
      </c>
      <c r="EB84" s="43">
        <f t="shared" si="60"/>
        <v>0</v>
      </c>
      <c r="EC84" s="43">
        <f t="shared" si="60"/>
        <v>0</v>
      </c>
      <c r="ED84" s="43">
        <f t="shared" si="60"/>
        <v>0</v>
      </c>
      <c r="EE84" s="43">
        <f t="shared" si="60"/>
        <v>0</v>
      </c>
      <c r="EF84" s="43">
        <f t="shared" si="60"/>
        <v>0</v>
      </c>
      <c r="EG84" s="43">
        <f t="shared" si="60"/>
        <v>0</v>
      </c>
      <c r="EH84" s="43">
        <f t="shared" si="60"/>
        <v>0</v>
      </c>
      <c r="EI84" s="43">
        <f t="shared" si="60"/>
        <v>0</v>
      </c>
      <c r="EJ84" s="43">
        <f t="shared" si="60"/>
        <v>0</v>
      </c>
      <c r="EK84" s="43">
        <f t="shared" si="60"/>
        <v>0</v>
      </c>
      <c r="EL84" s="47"/>
      <c r="EM84" s="47"/>
      <c r="EN84" s="47"/>
      <c r="EO84" s="47"/>
      <c r="EP84" s="47"/>
      <c r="EQ84" s="47"/>
      <c r="ER84" s="47"/>
      <c r="ES84" s="47"/>
      <c r="ET84" s="47"/>
      <c r="EU84" s="47"/>
      <c r="EV84" s="47"/>
      <c r="EW84" s="47"/>
      <c r="EX84" s="47"/>
      <c r="EY84" s="47"/>
      <c r="EZ84" s="47"/>
      <c r="FA84" s="47"/>
      <c r="FB84" s="47"/>
      <c r="FC84" s="47"/>
      <c r="FD84" s="47"/>
      <c r="FE84" s="47"/>
    </row>
    <row r="85" spans="1:161" ht="14.25" x14ac:dyDescent="0.15">
      <c r="A85" s="46"/>
      <c r="B85" s="43" t="e">
        <f t="shared" si="39"/>
        <v>#DIV/0!</v>
      </c>
      <c r="C85" s="43" t="e">
        <f t="shared" si="40"/>
        <v>#DIV/0!</v>
      </c>
      <c r="D85" s="43" t="e">
        <f t="shared" si="41"/>
        <v>#DIV/0!</v>
      </c>
      <c r="E85" s="43" t="e">
        <f t="shared" si="42"/>
        <v>#DIV/0!</v>
      </c>
      <c r="F85" s="43" t="e">
        <f t="shared" si="43"/>
        <v>#DIV/0!</v>
      </c>
      <c r="G85" s="43" t="e">
        <f t="shared" si="44"/>
        <v>#DIV/0!</v>
      </c>
      <c r="H85" s="43" t="e">
        <f t="shared" si="45"/>
        <v>#DIV/0!</v>
      </c>
      <c r="I85" s="43" t="e">
        <f t="shared" si="46"/>
        <v>#DIV/0!</v>
      </c>
      <c r="J85" s="43" t="e">
        <f t="shared" si="47"/>
        <v>#DIV/0!</v>
      </c>
      <c r="K85" s="43" t="e">
        <f t="shared" si="48"/>
        <v>#DIV/0!</v>
      </c>
      <c r="L85" s="43" t="e">
        <f t="shared" si="49"/>
        <v>#DIV/0!</v>
      </c>
      <c r="M85" s="43" t="e">
        <f t="shared" si="50"/>
        <v>#DIV/0!</v>
      </c>
      <c r="N85" s="43" t="e">
        <f t="shared" si="51"/>
        <v>#DIV/0!</v>
      </c>
      <c r="O85" s="43" t="e">
        <f t="shared" si="52"/>
        <v>#DIV/0!</v>
      </c>
      <c r="P85" s="43" t="e">
        <f t="shared" si="53"/>
        <v>#DIV/0!</v>
      </c>
      <c r="Q85" s="43" t="e">
        <f t="shared" si="54"/>
        <v>#DIV/0!</v>
      </c>
      <c r="R85" s="43" t="e">
        <f t="shared" si="55"/>
        <v>#DIV/0!</v>
      </c>
      <c r="S85" s="43" t="e">
        <f t="shared" si="56"/>
        <v>#DIV/0!</v>
      </c>
      <c r="T85" s="43" t="e">
        <f t="shared" si="57"/>
        <v>#DIV/0!</v>
      </c>
      <c r="U85" s="43" t="e">
        <f t="shared" si="58"/>
        <v>#DIV/0!</v>
      </c>
      <c r="V85" s="53" t="e">
        <f>V84+ATM_Conf!$C$5*(B84)/(B272*V272)</f>
        <v>#DIV/0!</v>
      </c>
      <c r="W85" s="53" t="e">
        <f>W84+ATM_Conf!$C$5*(C84-B84)/(C272*W272)</f>
        <v>#DIV/0!</v>
      </c>
      <c r="X85" s="53" t="e">
        <f>X84+ATM_Conf!$C$5*(D84-C84)/(D272*X272)</f>
        <v>#DIV/0!</v>
      </c>
      <c r="Y85" s="53" t="e">
        <f>Y84+ATM_Conf!$C$5*(E84-D84)/(E272*Y272)</f>
        <v>#DIV/0!</v>
      </c>
      <c r="Z85" s="53" t="e">
        <f>Z84+ATM_Conf!$C$5*(F84-E84)/(F272*Z272)</f>
        <v>#DIV/0!</v>
      </c>
      <c r="AA85" s="53" t="e">
        <f>AA84+ATM_Conf!$C$5*(G84-F84)/(G272*AA272)</f>
        <v>#DIV/0!</v>
      </c>
      <c r="AB85" s="53" t="e">
        <f>AB84+ATM_Conf!$C$5*(H84-G84)/(H272*AB272)</f>
        <v>#DIV/0!</v>
      </c>
      <c r="AC85" s="53" t="e">
        <f>AC84+ATM_Conf!$C$5*(I84-H84)/(I272*AC272)</f>
        <v>#DIV/0!</v>
      </c>
      <c r="AD85" s="53" t="e">
        <f>AD84+ATM_Conf!$C$5*(J84-I84)/(J272*AD272)</f>
        <v>#DIV/0!</v>
      </c>
      <c r="AE85" s="53" t="e">
        <f>AE84+ATM_Conf!$C$5*(K84-J84)/(K272*AE272)</f>
        <v>#DIV/0!</v>
      </c>
      <c r="AF85" s="53" t="e">
        <f>AF84+ATM_Conf!$C$5*(L84)/(L272*AF272)</f>
        <v>#DIV/0!</v>
      </c>
      <c r="AG85" s="53" t="e">
        <f>AG84+ATM_Conf!$C$5*(M84-L84)/(M272*AG272)</f>
        <v>#DIV/0!</v>
      </c>
      <c r="AH85" s="53" t="e">
        <f>AH84+ATM_Conf!$C$5*(N84-M84)/(N272*AH272)</f>
        <v>#DIV/0!</v>
      </c>
      <c r="AI85" s="53" t="e">
        <f>AI84+ATM_Conf!$C$5*(O84-N84)/(O272*AI272)</f>
        <v>#DIV/0!</v>
      </c>
      <c r="AJ85" s="53" t="e">
        <f>AJ84+ATM_Conf!$C$5*(P84-O84)/(P272*AJ272)</f>
        <v>#DIV/0!</v>
      </c>
      <c r="AK85" s="53" t="e">
        <f>AK84+ATM_Conf!$C$5*(Q84-P84)/(Q272*AK272)</f>
        <v>#DIV/0!</v>
      </c>
      <c r="AL85" s="53" t="e">
        <f>AL84+ATM_Conf!$C$5*(R84-Q84)/(R272*AL272)</f>
        <v>#DIV/0!</v>
      </c>
      <c r="AM85" s="53" t="e">
        <f>AM84+ATM_Conf!$C$5*(S84-R84)/(S272*AM272)</f>
        <v>#DIV/0!</v>
      </c>
      <c r="AN85" s="53" t="e">
        <f>AN84+ATM_Conf!$C$5*(T84-S84)/(T272*AN272)</f>
        <v>#DIV/0!</v>
      </c>
      <c r="AO85" s="53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43">
        <f t="shared" si="61"/>
        <v>0</v>
      </c>
      <c r="DS85" s="43">
        <f t="shared" si="60"/>
        <v>0</v>
      </c>
      <c r="DT85" s="43">
        <f t="shared" si="60"/>
        <v>0</v>
      </c>
      <c r="DU85" s="43">
        <f t="shared" si="60"/>
        <v>0</v>
      </c>
      <c r="DV85" s="43">
        <f t="shared" si="60"/>
        <v>0</v>
      </c>
      <c r="DW85" s="43">
        <f t="shared" si="60"/>
        <v>0</v>
      </c>
      <c r="DX85" s="43">
        <f t="shared" si="60"/>
        <v>0</v>
      </c>
      <c r="DY85" s="43">
        <f t="shared" si="60"/>
        <v>0</v>
      </c>
      <c r="DZ85" s="43">
        <f t="shared" si="60"/>
        <v>0</v>
      </c>
      <c r="EA85" s="43">
        <f t="shared" si="60"/>
        <v>0</v>
      </c>
      <c r="EB85" s="43">
        <f t="shared" si="60"/>
        <v>0</v>
      </c>
      <c r="EC85" s="43">
        <f t="shared" si="60"/>
        <v>0</v>
      </c>
      <c r="ED85" s="43">
        <f t="shared" si="60"/>
        <v>0</v>
      </c>
      <c r="EE85" s="43">
        <f t="shared" si="60"/>
        <v>0</v>
      </c>
      <c r="EF85" s="43">
        <f t="shared" si="60"/>
        <v>0</v>
      </c>
      <c r="EG85" s="43">
        <f t="shared" si="60"/>
        <v>0</v>
      </c>
      <c r="EH85" s="43">
        <f t="shared" si="60"/>
        <v>0</v>
      </c>
      <c r="EI85" s="43">
        <f t="shared" si="60"/>
        <v>0</v>
      </c>
      <c r="EJ85" s="43">
        <f t="shared" si="60"/>
        <v>0</v>
      </c>
      <c r="EK85" s="43">
        <f t="shared" si="60"/>
        <v>0</v>
      </c>
      <c r="EL85" s="47"/>
      <c r="EM85" s="47"/>
      <c r="EN85" s="47"/>
      <c r="EO85" s="47"/>
      <c r="EP85" s="47"/>
      <c r="EQ85" s="47"/>
      <c r="ER85" s="47"/>
      <c r="ES85" s="47"/>
      <c r="ET85" s="47"/>
      <c r="EU85" s="47"/>
      <c r="EV85" s="47"/>
      <c r="EW85" s="47"/>
      <c r="EX85" s="47"/>
      <c r="EY85" s="47"/>
      <c r="EZ85" s="47"/>
      <c r="FA85" s="47"/>
      <c r="FB85" s="47"/>
      <c r="FC85" s="47"/>
      <c r="FD85" s="47"/>
      <c r="FE85" s="47"/>
    </row>
    <row r="86" spans="1:161" ht="14.25" x14ac:dyDescent="0.15">
      <c r="A86" s="46"/>
      <c r="B86" s="43" t="e">
        <f t="shared" si="39"/>
        <v>#DIV/0!</v>
      </c>
      <c r="C86" s="43" t="e">
        <f t="shared" si="40"/>
        <v>#DIV/0!</v>
      </c>
      <c r="D86" s="43" t="e">
        <f t="shared" si="41"/>
        <v>#DIV/0!</v>
      </c>
      <c r="E86" s="43" t="e">
        <f t="shared" si="42"/>
        <v>#DIV/0!</v>
      </c>
      <c r="F86" s="43" t="e">
        <f t="shared" si="43"/>
        <v>#DIV/0!</v>
      </c>
      <c r="G86" s="43" t="e">
        <f t="shared" si="44"/>
        <v>#DIV/0!</v>
      </c>
      <c r="H86" s="43" t="e">
        <f t="shared" si="45"/>
        <v>#DIV/0!</v>
      </c>
      <c r="I86" s="43" t="e">
        <f t="shared" si="46"/>
        <v>#DIV/0!</v>
      </c>
      <c r="J86" s="43" t="e">
        <f t="shared" si="47"/>
        <v>#DIV/0!</v>
      </c>
      <c r="K86" s="43" t="e">
        <f t="shared" si="48"/>
        <v>#DIV/0!</v>
      </c>
      <c r="L86" s="43" t="e">
        <f t="shared" si="49"/>
        <v>#DIV/0!</v>
      </c>
      <c r="M86" s="43" t="e">
        <f t="shared" si="50"/>
        <v>#DIV/0!</v>
      </c>
      <c r="N86" s="43" t="e">
        <f t="shared" si="51"/>
        <v>#DIV/0!</v>
      </c>
      <c r="O86" s="43" t="e">
        <f t="shared" si="52"/>
        <v>#DIV/0!</v>
      </c>
      <c r="P86" s="43" t="e">
        <f t="shared" si="53"/>
        <v>#DIV/0!</v>
      </c>
      <c r="Q86" s="43" t="e">
        <f t="shared" si="54"/>
        <v>#DIV/0!</v>
      </c>
      <c r="R86" s="43" t="e">
        <f t="shared" si="55"/>
        <v>#DIV/0!</v>
      </c>
      <c r="S86" s="43" t="e">
        <f t="shared" si="56"/>
        <v>#DIV/0!</v>
      </c>
      <c r="T86" s="43" t="e">
        <f t="shared" si="57"/>
        <v>#DIV/0!</v>
      </c>
      <c r="U86" s="43" t="e">
        <f t="shared" si="58"/>
        <v>#DIV/0!</v>
      </c>
      <c r="V86" s="53" t="e">
        <f>V85+ATM_Conf!$C$5*(B85)/(B273*V273)</f>
        <v>#DIV/0!</v>
      </c>
      <c r="W86" s="53" t="e">
        <f>W85+ATM_Conf!$C$5*(C85-B85)/(C273*W273)</f>
        <v>#DIV/0!</v>
      </c>
      <c r="X86" s="53" t="e">
        <f>X85+ATM_Conf!$C$5*(D85-C85)/(D273*X273)</f>
        <v>#DIV/0!</v>
      </c>
      <c r="Y86" s="53" t="e">
        <f>Y85+ATM_Conf!$C$5*(E85-D85)/(E273*Y273)</f>
        <v>#DIV/0!</v>
      </c>
      <c r="Z86" s="53" t="e">
        <f>Z85+ATM_Conf!$C$5*(F85-E85)/(F273*Z273)</f>
        <v>#DIV/0!</v>
      </c>
      <c r="AA86" s="53" t="e">
        <f>AA85+ATM_Conf!$C$5*(G85-F85)/(G273*AA273)</f>
        <v>#DIV/0!</v>
      </c>
      <c r="AB86" s="53" t="e">
        <f>AB85+ATM_Conf!$C$5*(H85-G85)/(H273*AB273)</f>
        <v>#DIV/0!</v>
      </c>
      <c r="AC86" s="53" t="e">
        <f>AC85+ATM_Conf!$C$5*(I85-H85)/(I273*AC273)</f>
        <v>#DIV/0!</v>
      </c>
      <c r="AD86" s="53" t="e">
        <f>AD85+ATM_Conf!$C$5*(J85-I85)/(J273*AD273)</f>
        <v>#DIV/0!</v>
      </c>
      <c r="AE86" s="53" t="e">
        <f>AE85+ATM_Conf!$C$5*(K85-J85)/(K273*AE273)</f>
        <v>#DIV/0!</v>
      </c>
      <c r="AF86" s="53" t="e">
        <f>AF85+ATM_Conf!$C$5*(L85)/(L273*AF273)</f>
        <v>#DIV/0!</v>
      </c>
      <c r="AG86" s="53" t="e">
        <f>AG85+ATM_Conf!$C$5*(M85-L85)/(M273*AG273)</f>
        <v>#DIV/0!</v>
      </c>
      <c r="AH86" s="53" t="e">
        <f>AH85+ATM_Conf!$C$5*(N85-M85)/(N273*AH273)</f>
        <v>#DIV/0!</v>
      </c>
      <c r="AI86" s="53" t="e">
        <f>AI85+ATM_Conf!$C$5*(O85-N85)/(O273*AI273)</f>
        <v>#DIV/0!</v>
      </c>
      <c r="AJ86" s="53" t="e">
        <f>AJ85+ATM_Conf!$C$5*(P85-O85)/(P273*AJ273)</f>
        <v>#DIV/0!</v>
      </c>
      <c r="AK86" s="53" t="e">
        <f>AK85+ATM_Conf!$C$5*(Q85-P85)/(Q273*AK273)</f>
        <v>#DIV/0!</v>
      </c>
      <c r="AL86" s="53" t="e">
        <f>AL85+ATM_Conf!$C$5*(R85-Q85)/(R273*AL273)</f>
        <v>#DIV/0!</v>
      </c>
      <c r="AM86" s="53" t="e">
        <f>AM85+ATM_Conf!$C$5*(S85-R85)/(S273*AM273)</f>
        <v>#DIV/0!</v>
      </c>
      <c r="AN86" s="53" t="e">
        <f>AN85+ATM_Conf!$C$5*(T85-S85)/(T273*AN273)</f>
        <v>#DIV/0!</v>
      </c>
      <c r="AO86" s="53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43">
        <f t="shared" si="61"/>
        <v>0</v>
      </c>
      <c r="DS86" s="43">
        <f t="shared" si="60"/>
        <v>0</v>
      </c>
      <c r="DT86" s="43">
        <f t="shared" si="60"/>
        <v>0</v>
      </c>
      <c r="DU86" s="43">
        <f t="shared" si="60"/>
        <v>0</v>
      </c>
      <c r="DV86" s="43">
        <f t="shared" si="60"/>
        <v>0</v>
      </c>
      <c r="DW86" s="43">
        <f t="shared" si="60"/>
        <v>0</v>
      </c>
      <c r="DX86" s="43">
        <f t="shared" si="60"/>
        <v>0</v>
      </c>
      <c r="DY86" s="43">
        <f t="shared" si="60"/>
        <v>0</v>
      </c>
      <c r="DZ86" s="43">
        <f t="shared" si="60"/>
        <v>0</v>
      </c>
      <c r="EA86" s="43">
        <f t="shared" si="60"/>
        <v>0</v>
      </c>
      <c r="EB86" s="43">
        <f t="shared" si="60"/>
        <v>0</v>
      </c>
      <c r="EC86" s="43">
        <f t="shared" si="60"/>
        <v>0</v>
      </c>
      <c r="ED86" s="43">
        <f t="shared" si="60"/>
        <v>0</v>
      </c>
      <c r="EE86" s="43">
        <f t="shared" si="60"/>
        <v>0</v>
      </c>
      <c r="EF86" s="43">
        <f t="shared" si="60"/>
        <v>0</v>
      </c>
      <c r="EG86" s="43">
        <f t="shared" si="60"/>
        <v>0</v>
      </c>
      <c r="EH86" s="43">
        <f t="shared" si="60"/>
        <v>0</v>
      </c>
      <c r="EI86" s="43">
        <f t="shared" si="60"/>
        <v>0</v>
      </c>
      <c r="EJ86" s="43">
        <f t="shared" si="60"/>
        <v>0</v>
      </c>
      <c r="EK86" s="43">
        <f t="shared" si="60"/>
        <v>0</v>
      </c>
      <c r="EL86" s="47"/>
      <c r="EM86" s="47"/>
      <c r="EN86" s="47"/>
      <c r="EO86" s="47"/>
      <c r="EP86" s="47"/>
      <c r="EQ86" s="47"/>
      <c r="ER86" s="47"/>
      <c r="ES86" s="47"/>
      <c r="ET86" s="47"/>
      <c r="EU86" s="47"/>
      <c r="EV86" s="47"/>
      <c r="EW86" s="47"/>
      <c r="EX86" s="47"/>
      <c r="EY86" s="47"/>
      <c r="EZ86" s="47"/>
      <c r="FA86" s="47"/>
      <c r="FB86" s="47"/>
      <c r="FC86" s="47"/>
      <c r="FD86" s="47"/>
      <c r="FE86" s="47"/>
    </row>
    <row r="87" spans="1:161" ht="14.25" x14ac:dyDescent="0.15">
      <c r="A87" s="46"/>
      <c r="B87" s="43" t="e">
        <f t="shared" si="39"/>
        <v>#DIV/0!</v>
      </c>
      <c r="C87" s="43" t="e">
        <f t="shared" si="40"/>
        <v>#DIV/0!</v>
      </c>
      <c r="D87" s="43" t="e">
        <f t="shared" si="41"/>
        <v>#DIV/0!</v>
      </c>
      <c r="E87" s="43" t="e">
        <f t="shared" si="42"/>
        <v>#DIV/0!</v>
      </c>
      <c r="F87" s="43" t="e">
        <f t="shared" si="43"/>
        <v>#DIV/0!</v>
      </c>
      <c r="G87" s="43" t="e">
        <f t="shared" si="44"/>
        <v>#DIV/0!</v>
      </c>
      <c r="H87" s="43" t="e">
        <f t="shared" si="45"/>
        <v>#DIV/0!</v>
      </c>
      <c r="I87" s="43" t="e">
        <f t="shared" si="46"/>
        <v>#DIV/0!</v>
      </c>
      <c r="J87" s="43" t="e">
        <f t="shared" si="47"/>
        <v>#DIV/0!</v>
      </c>
      <c r="K87" s="43" t="e">
        <f t="shared" si="48"/>
        <v>#DIV/0!</v>
      </c>
      <c r="L87" s="43" t="e">
        <f t="shared" si="49"/>
        <v>#DIV/0!</v>
      </c>
      <c r="M87" s="43" t="e">
        <f t="shared" si="50"/>
        <v>#DIV/0!</v>
      </c>
      <c r="N87" s="43" t="e">
        <f t="shared" si="51"/>
        <v>#DIV/0!</v>
      </c>
      <c r="O87" s="43" t="e">
        <f t="shared" si="52"/>
        <v>#DIV/0!</v>
      </c>
      <c r="P87" s="43" t="e">
        <f t="shared" si="53"/>
        <v>#DIV/0!</v>
      </c>
      <c r="Q87" s="43" t="e">
        <f t="shared" si="54"/>
        <v>#DIV/0!</v>
      </c>
      <c r="R87" s="43" t="e">
        <f t="shared" si="55"/>
        <v>#DIV/0!</v>
      </c>
      <c r="S87" s="43" t="e">
        <f t="shared" si="56"/>
        <v>#DIV/0!</v>
      </c>
      <c r="T87" s="43" t="e">
        <f t="shared" si="57"/>
        <v>#DIV/0!</v>
      </c>
      <c r="U87" s="43" t="e">
        <f t="shared" si="58"/>
        <v>#DIV/0!</v>
      </c>
      <c r="V87" s="53" t="e">
        <f>V86+ATM_Conf!$C$5*(B86)/(B274*V274)</f>
        <v>#DIV/0!</v>
      </c>
      <c r="W87" s="53" t="e">
        <f>W86+ATM_Conf!$C$5*(C86-B86)/(C274*W274)</f>
        <v>#DIV/0!</v>
      </c>
      <c r="X87" s="53" t="e">
        <f>X86+ATM_Conf!$C$5*(D86-C86)/(D274*X274)</f>
        <v>#DIV/0!</v>
      </c>
      <c r="Y87" s="53" t="e">
        <f>Y86+ATM_Conf!$C$5*(E86-D86)/(E274*Y274)</f>
        <v>#DIV/0!</v>
      </c>
      <c r="Z87" s="53" t="e">
        <f>Z86+ATM_Conf!$C$5*(F86-E86)/(F274*Z274)</f>
        <v>#DIV/0!</v>
      </c>
      <c r="AA87" s="53" t="e">
        <f>AA86+ATM_Conf!$C$5*(G86-F86)/(G274*AA274)</f>
        <v>#DIV/0!</v>
      </c>
      <c r="AB87" s="53" t="e">
        <f>AB86+ATM_Conf!$C$5*(H86-G86)/(H274*AB274)</f>
        <v>#DIV/0!</v>
      </c>
      <c r="AC87" s="53" t="e">
        <f>AC86+ATM_Conf!$C$5*(I86-H86)/(I274*AC274)</f>
        <v>#DIV/0!</v>
      </c>
      <c r="AD87" s="53" t="e">
        <f>AD86+ATM_Conf!$C$5*(J86-I86)/(J274*AD274)</f>
        <v>#DIV/0!</v>
      </c>
      <c r="AE87" s="53" t="e">
        <f>AE86+ATM_Conf!$C$5*(K86-J86)/(K274*AE274)</f>
        <v>#DIV/0!</v>
      </c>
      <c r="AF87" s="53" t="e">
        <f>AF86+ATM_Conf!$C$5*(L86)/(L274*AF274)</f>
        <v>#DIV/0!</v>
      </c>
      <c r="AG87" s="53" t="e">
        <f>AG86+ATM_Conf!$C$5*(M86-L86)/(M274*AG274)</f>
        <v>#DIV/0!</v>
      </c>
      <c r="AH87" s="53" t="e">
        <f>AH86+ATM_Conf!$C$5*(N86-M86)/(N274*AH274)</f>
        <v>#DIV/0!</v>
      </c>
      <c r="AI87" s="53" t="e">
        <f>AI86+ATM_Conf!$C$5*(O86-N86)/(O274*AI274)</f>
        <v>#DIV/0!</v>
      </c>
      <c r="AJ87" s="53" t="e">
        <f>AJ86+ATM_Conf!$C$5*(P86-O86)/(P274*AJ274)</f>
        <v>#DIV/0!</v>
      </c>
      <c r="AK87" s="53" t="e">
        <f>AK86+ATM_Conf!$C$5*(Q86-P86)/(Q274*AK274)</f>
        <v>#DIV/0!</v>
      </c>
      <c r="AL87" s="53" t="e">
        <f>AL86+ATM_Conf!$C$5*(R86-Q86)/(R274*AL274)</f>
        <v>#DIV/0!</v>
      </c>
      <c r="AM87" s="53" t="e">
        <f>AM86+ATM_Conf!$C$5*(S86-R86)/(S274*AM274)</f>
        <v>#DIV/0!</v>
      </c>
      <c r="AN87" s="53" t="e">
        <f>AN86+ATM_Conf!$C$5*(T86-S86)/(T274*AN274)</f>
        <v>#DIV/0!</v>
      </c>
      <c r="AO87" s="53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  <c r="EH87" s="62"/>
      <c r="EI87" s="62"/>
      <c r="EJ87" s="62"/>
      <c r="EK87" s="62"/>
      <c r="EL87" s="47">
        <f>(DR87-DR75)^2</f>
        <v>0</v>
      </c>
      <c r="EM87" s="47">
        <f t="shared" ref="EM87:FE87" si="62">(DS87-DS75)^2</f>
        <v>0</v>
      </c>
      <c r="EN87" s="47">
        <f t="shared" si="62"/>
        <v>0</v>
      </c>
      <c r="EO87" s="47">
        <f t="shared" si="62"/>
        <v>0</v>
      </c>
      <c r="EP87" s="47">
        <f t="shared" si="62"/>
        <v>0</v>
      </c>
      <c r="EQ87" s="47">
        <f t="shared" si="62"/>
        <v>0</v>
      </c>
      <c r="ER87" s="47">
        <f t="shared" si="62"/>
        <v>0</v>
      </c>
      <c r="ES87" s="47">
        <f t="shared" si="62"/>
        <v>0</v>
      </c>
      <c r="ET87" s="47">
        <f t="shared" si="62"/>
        <v>0</v>
      </c>
      <c r="EU87" s="47">
        <f t="shared" si="62"/>
        <v>0</v>
      </c>
      <c r="EV87" s="47">
        <f t="shared" si="62"/>
        <v>0</v>
      </c>
      <c r="EW87" s="47">
        <f t="shared" si="62"/>
        <v>0</v>
      </c>
      <c r="EX87" s="47">
        <f t="shared" si="62"/>
        <v>0</v>
      </c>
      <c r="EY87" s="47">
        <f t="shared" si="62"/>
        <v>0</v>
      </c>
      <c r="EZ87" s="47">
        <f t="shared" si="62"/>
        <v>0</v>
      </c>
      <c r="FA87" s="47">
        <f t="shared" si="62"/>
        <v>0</v>
      </c>
      <c r="FB87" s="47">
        <f t="shared" si="62"/>
        <v>0</v>
      </c>
      <c r="FC87" s="47">
        <f t="shared" si="62"/>
        <v>0</v>
      </c>
      <c r="FD87" s="47">
        <f t="shared" si="62"/>
        <v>0</v>
      </c>
      <c r="FE87" s="47">
        <f t="shared" si="62"/>
        <v>0</v>
      </c>
    </row>
    <row r="88" spans="1:161" ht="14.25" x14ac:dyDescent="0.15">
      <c r="A88" s="46"/>
      <c r="B88" s="43" t="e">
        <f t="shared" si="39"/>
        <v>#DIV/0!</v>
      </c>
      <c r="C88" s="43" t="e">
        <f t="shared" si="40"/>
        <v>#DIV/0!</v>
      </c>
      <c r="D88" s="43" t="e">
        <f t="shared" si="41"/>
        <v>#DIV/0!</v>
      </c>
      <c r="E88" s="43" t="e">
        <f t="shared" si="42"/>
        <v>#DIV/0!</v>
      </c>
      <c r="F88" s="43" t="e">
        <f t="shared" si="43"/>
        <v>#DIV/0!</v>
      </c>
      <c r="G88" s="43" t="e">
        <f t="shared" si="44"/>
        <v>#DIV/0!</v>
      </c>
      <c r="H88" s="43" t="e">
        <f t="shared" si="45"/>
        <v>#DIV/0!</v>
      </c>
      <c r="I88" s="43" t="e">
        <f t="shared" si="46"/>
        <v>#DIV/0!</v>
      </c>
      <c r="J88" s="43" t="e">
        <f t="shared" si="47"/>
        <v>#DIV/0!</v>
      </c>
      <c r="K88" s="43" t="e">
        <f t="shared" si="48"/>
        <v>#DIV/0!</v>
      </c>
      <c r="L88" s="43" t="e">
        <f t="shared" si="49"/>
        <v>#DIV/0!</v>
      </c>
      <c r="M88" s="43" t="e">
        <f t="shared" si="50"/>
        <v>#DIV/0!</v>
      </c>
      <c r="N88" s="43" t="e">
        <f t="shared" si="51"/>
        <v>#DIV/0!</v>
      </c>
      <c r="O88" s="43" t="e">
        <f t="shared" si="52"/>
        <v>#DIV/0!</v>
      </c>
      <c r="P88" s="43" t="e">
        <f t="shared" si="53"/>
        <v>#DIV/0!</v>
      </c>
      <c r="Q88" s="43" t="e">
        <f t="shared" si="54"/>
        <v>#DIV/0!</v>
      </c>
      <c r="R88" s="43" t="e">
        <f t="shared" si="55"/>
        <v>#DIV/0!</v>
      </c>
      <c r="S88" s="43" t="e">
        <f t="shared" si="56"/>
        <v>#DIV/0!</v>
      </c>
      <c r="T88" s="43" t="e">
        <f t="shared" si="57"/>
        <v>#DIV/0!</v>
      </c>
      <c r="U88" s="43" t="e">
        <f t="shared" si="58"/>
        <v>#DIV/0!</v>
      </c>
      <c r="V88" s="53" t="e">
        <f>V87+ATM_Conf!$C$5*(B87)/(B275*V275)</f>
        <v>#DIV/0!</v>
      </c>
      <c r="W88" s="53" t="e">
        <f>W87+ATM_Conf!$C$5*(C87-B87)/(C275*W275)</f>
        <v>#DIV/0!</v>
      </c>
      <c r="X88" s="53" t="e">
        <f>X87+ATM_Conf!$C$5*(D87-C87)/(D275*X275)</f>
        <v>#DIV/0!</v>
      </c>
      <c r="Y88" s="53" t="e">
        <f>Y87+ATM_Conf!$C$5*(E87-D87)/(E275*Y275)</f>
        <v>#DIV/0!</v>
      </c>
      <c r="Z88" s="53" t="e">
        <f>Z87+ATM_Conf!$C$5*(F87-E87)/(F275*Z275)</f>
        <v>#DIV/0!</v>
      </c>
      <c r="AA88" s="53" t="e">
        <f>AA87+ATM_Conf!$C$5*(G87-F87)/(G275*AA275)</f>
        <v>#DIV/0!</v>
      </c>
      <c r="AB88" s="53" t="e">
        <f>AB87+ATM_Conf!$C$5*(H87-G87)/(H275*AB275)</f>
        <v>#DIV/0!</v>
      </c>
      <c r="AC88" s="53" t="e">
        <f>AC87+ATM_Conf!$C$5*(I87-H87)/(I275*AC275)</f>
        <v>#DIV/0!</v>
      </c>
      <c r="AD88" s="53" t="e">
        <f>AD87+ATM_Conf!$C$5*(J87-I87)/(J275*AD275)</f>
        <v>#DIV/0!</v>
      </c>
      <c r="AE88" s="53" t="e">
        <f>AE87+ATM_Conf!$C$5*(K87-J87)/(K275*AE275)</f>
        <v>#DIV/0!</v>
      </c>
      <c r="AF88" s="53" t="e">
        <f>AF87+ATM_Conf!$C$5*(L87)/(L275*AF275)</f>
        <v>#DIV/0!</v>
      </c>
      <c r="AG88" s="53" t="e">
        <f>AG87+ATM_Conf!$C$5*(M87-L87)/(M275*AG275)</f>
        <v>#DIV/0!</v>
      </c>
      <c r="AH88" s="53" t="e">
        <f>AH87+ATM_Conf!$C$5*(N87-M87)/(N275*AH275)</f>
        <v>#DIV/0!</v>
      </c>
      <c r="AI88" s="53" t="e">
        <f>AI87+ATM_Conf!$C$5*(O87-N87)/(O275*AI275)</f>
        <v>#DIV/0!</v>
      </c>
      <c r="AJ88" s="53" t="e">
        <f>AJ87+ATM_Conf!$C$5*(P87-O87)/(P275*AJ275)</f>
        <v>#DIV/0!</v>
      </c>
      <c r="AK88" s="53" t="e">
        <f>AK87+ATM_Conf!$C$5*(Q87-P87)/(Q275*AK275)</f>
        <v>#DIV/0!</v>
      </c>
      <c r="AL88" s="53" t="e">
        <f>AL87+ATM_Conf!$C$5*(R87-Q87)/(R275*AL275)</f>
        <v>#DIV/0!</v>
      </c>
      <c r="AM88" s="53" t="e">
        <f>AM87+ATM_Conf!$C$5*(S87-R87)/(S275*AM275)</f>
        <v>#DIV/0!</v>
      </c>
      <c r="AN88" s="53" t="e">
        <f>AN87+ATM_Conf!$C$5*(T87-S87)/(T275*AN275)</f>
        <v>#DIV/0!</v>
      </c>
      <c r="AO88" s="53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43">
        <f>DR$87</f>
        <v>0</v>
      </c>
      <c r="DS88" s="43">
        <f t="shared" ref="DS88:EK98" si="63">DS$87</f>
        <v>0</v>
      </c>
      <c r="DT88" s="43">
        <f t="shared" si="63"/>
        <v>0</v>
      </c>
      <c r="DU88" s="43">
        <f t="shared" si="63"/>
        <v>0</v>
      </c>
      <c r="DV88" s="43">
        <f t="shared" si="63"/>
        <v>0</v>
      </c>
      <c r="DW88" s="43">
        <f t="shared" si="63"/>
        <v>0</v>
      </c>
      <c r="DX88" s="43">
        <f t="shared" si="63"/>
        <v>0</v>
      </c>
      <c r="DY88" s="43">
        <f t="shared" si="63"/>
        <v>0</v>
      </c>
      <c r="DZ88" s="43">
        <f t="shared" si="63"/>
        <v>0</v>
      </c>
      <c r="EA88" s="43">
        <f t="shared" si="63"/>
        <v>0</v>
      </c>
      <c r="EB88" s="43">
        <f t="shared" si="63"/>
        <v>0</v>
      </c>
      <c r="EC88" s="43">
        <f t="shared" si="63"/>
        <v>0</v>
      </c>
      <c r="ED88" s="43">
        <f t="shared" si="63"/>
        <v>0</v>
      </c>
      <c r="EE88" s="43">
        <f t="shared" si="63"/>
        <v>0</v>
      </c>
      <c r="EF88" s="43">
        <f t="shared" si="63"/>
        <v>0</v>
      </c>
      <c r="EG88" s="43">
        <f t="shared" si="63"/>
        <v>0</v>
      </c>
      <c r="EH88" s="43">
        <f t="shared" si="63"/>
        <v>0</v>
      </c>
      <c r="EI88" s="43">
        <f t="shared" si="63"/>
        <v>0</v>
      </c>
      <c r="EJ88" s="43">
        <f t="shared" si="63"/>
        <v>0</v>
      </c>
      <c r="EK88" s="43">
        <f t="shared" si="63"/>
        <v>0</v>
      </c>
      <c r="EL88" s="47"/>
      <c r="EM88" s="47"/>
      <c r="EN88" s="47"/>
      <c r="EO88" s="47"/>
      <c r="EP88" s="47"/>
      <c r="EQ88" s="47"/>
      <c r="ER88" s="47"/>
      <c r="ES88" s="47"/>
      <c r="ET88" s="47"/>
      <c r="EU88" s="47"/>
      <c r="EV88" s="47"/>
      <c r="EW88" s="47"/>
      <c r="EX88" s="47"/>
      <c r="EY88" s="47"/>
      <c r="EZ88" s="47"/>
      <c r="FA88" s="47"/>
      <c r="FB88" s="47"/>
      <c r="FC88" s="47"/>
      <c r="FD88" s="47"/>
      <c r="FE88" s="47"/>
    </row>
    <row r="89" spans="1:161" ht="14.25" x14ac:dyDescent="0.15">
      <c r="A89" s="46"/>
      <c r="B89" s="43" t="e">
        <f t="shared" si="39"/>
        <v>#DIV/0!</v>
      </c>
      <c r="C89" s="43" t="e">
        <f t="shared" si="40"/>
        <v>#DIV/0!</v>
      </c>
      <c r="D89" s="43" t="e">
        <f t="shared" si="41"/>
        <v>#DIV/0!</v>
      </c>
      <c r="E89" s="43" t="e">
        <f t="shared" si="42"/>
        <v>#DIV/0!</v>
      </c>
      <c r="F89" s="43" t="e">
        <f t="shared" si="43"/>
        <v>#DIV/0!</v>
      </c>
      <c r="G89" s="43" t="e">
        <f t="shared" si="44"/>
        <v>#DIV/0!</v>
      </c>
      <c r="H89" s="43" t="e">
        <f t="shared" si="45"/>
        <v>#DIV/0!</v>
      </c>
      <c r="I89" s="43" t="e">
        <f t="shared" si="46"/>
        <v>#DIV/0!</v>
      </c>
      <c r="J89" s="43" t="e">
        <f t="shared" si="47"/>
        <v>#DIV/0!</v>
      </c>
      <c r="K89" s="43" t="e">
        <f t="shared" si="48"/>
        <v>#DIV/0!</v>
      </c>
      <c r="L89" s="43" t="e">
        <f t="shared" si="49"/>
        <v>#DIV/0!</v>
      </c>
      <c r="M89" s="43" t="e">
        <f t="shared" si="50"/>
        <v>#DIV/0!</v>
      </c>
      <c r="N89" s="43" t="e">
        <f t="shared" si="51"/>
        <v>#DIV/0!</v>
      </c>
      <c r="O89" s="43" t="e">
        <f t="shared" si="52"/>
        <v>#DIV/0!</v>
      </c>
      <c r="P89" s="43" t="e">
        <f t="shared" si="53"/>
        <v>#DIV/0!</v>
      </c>
      <c r="Q89" s="43" t="e">
        <f t="shared" si="54"/>
        <v>#DIV/0!</v>
      </c>
      <c r="R89" s="43" t="e">
        <f t="shared" si="55"/>
        <v>#DIV/0!</v>
      </c>
      <c r="S89" s="43" t="e">
        <f t="shared" si="56"/>
        <v>#DIV/0!</v>
      </c>
      <c r="T89" s="43" t="e">
        <f t="shared" si="57"/>
        <v>#DIV/0!</v>
      </c>
      <c r="U89" s="43" t="e">
        <f t="shared" si="58"/>
        <v>#DIV/0!</v>
      </c>
      <c r="V89" s="53" t="e">
        <f>V88+ATM_Conf!$C$5*(B88)/(B276*V276)</f>
        <v>#DIV/0!</v>
      </c>
      <c r="W89" s="53" t="e">
        <f>W88+ATM_Conf!$C$5*(C88-B88)/(C276*W276)</f>
        <v>#DIV/0!</v>
      </c>
      <c r="X89" s="53" t="e">
        <f>X88+ATM_Conf!$C$5*(D88-C88)/(D276*X276)</f>
        <v>#DIV/0!</v>
      </c>
      <c r="Y89" s="53" t="e">
        <f>Y88+ATM_Conf!$C$5*(E88-D88)/(E276*Y276)</f>
        <v>#DIV/0!</v>
      </c>
      <c r="Z89" s="53" t="e">
        <f>Z88+ATM_Conf!$C$5*(F88-E88)/(F276*Z276)</f>
        <v>#DIV/0!</v>
      </c>
      <c r="AA89" s="53" t="e">
        <f>AA88+ATM_Conf!$C$5*(G88-F88)/(G276*AA276)</f>
        <v>#DIV/0!</v>
      </c>
      <c r="AB89" s="53" t="e">
        <f>AB88+ATM_Conf!$C$5*(H88-G88)/(H276*AB276)</f>
        <v>#DIV/0!</v>
      </c>
      <c r="AC89" s="53" t="e">
        <f>AC88+ATM_Conf!$C$5*(I88-H88)/(I276*AC276)</f>
        <v>#DIV/0!</v>
      </c>
      <c r="AD89" s="53" t="e">
        <f>AD88+ATM_Conf!$C$5*(J88-I88)/(J276*AD276)</f>
        <v>#DIV/0!</v>
      </c>
      <c r="AE89" s="53" t="e">
        <f>AE88+ATM_Conf!$C$5*(K88-J88)/(K276*AE276)</f>
        <v>#DIV/0!</v>
      </c>
      <c r="AF89" s="53" t="e">
        <f>AF88+ATM_Conf!$C$5*(L88)/(L276*AF276)</f>
        <v>#DIV/0!</v>
      </c>
      <c r="AG89" s="53" t="e">
        <f>AG88+ATM_Conf!$C$5*(M88-L88)/(M276*AG276)</f>
        <v>#DIV/0!</v>
      </c>
      <c r="AH89" s="53" t="e">
        <f>AH88+ATM_Conf!$C$5*(N88-M88)/(N276*AH276)</f>
        <v>#DIV/0!</v>
      </c>
      <c r="AI89" s="53" t="e">
        <f>AI88+ATM_Conf!$C$5*(O88-N88)/(O276*AI276)</f>
        <v>#DIV/0!</v>
      </c>
      <c r="AJ89" s="53" t="e">
        <f>AJ88+ATM_Conf!$C$5*(P88-O88)/(P276*AJ276)</f>
        <v>#DIV/0!</v>
      </c>
      <c r="AK89" s="53" t="e">
        <f>AK88+ATM_Conf!$C$5*(Q88-P88)/(Q276*AK276)</f>
        <v>#DIV/0!</v>
      </c>
      <c r="AL89" s="53" t="e">
        <f>AL88+ATM_Conf!$C$5*(R88-Q88)/(R276*AL276)</f>
        <v>#DIV/0!</v>
      </c>
      <c r="AM89" s="53" t="e">
        <f>AM88+ATM_Conf!$C$5*(S88-R88)/(S276*AM276)</f>
        <v>#DIV/0!</v>
      </c>
      <c r="AN89" s="53" t="e">
        <f>AN88+ATM_Conf!$C$5*(T88-S88)/(T276*AN276)</f>
        <v>#DIV/0!</v>
      </c>
      <c r="AO89" s="53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43">
        <f t="shared" ref="DR89:DR98" si="64">DR$87</f>
        <v>0</v>
      </c>
      <c r="DS89" s="43">
        <f t="shared" si="63"/>
        <v>0</v>
      </c>
      <c r="DT89" s="43">
        <f t="shared" si="63"/>
        <v>0</v>
      </c>
      <c r="DU89" s="43">
        <f t="shared" si="63"/>
        <v>0</v>
      </c>
      <c r="DV89" s="43">
        <f t="shared" si="63"/>
        <v>0</v>
      </c>
      <c r="DW89" s="43">
        <f t="shared" si="63"/>
        <v>0</v>
      </c>
      <c r="DX89" s="43">
        <f t="shared" si="63"/>
        <v>0</v>
      </c>
      <c r="DY89" s="43">
        <f t="shared" si="63"/>
        <v>0</v>
      </c>
      <c r="DZ89" s="43">
        <f t="shared" si="63"/>
        <v>0</v>
      </c>
      <c r="EA89" s="43">
        <f t="shared" si="63"/>
        <v>0</v>
      </c>
      <c r="EB89" s="43">
        <f t="shared" si="63"/>
        <v>0</v>
      </c>
      <c r="EC89" s="43">
        <f t="shared" si="63"/>
        <v>0</v>
      </c>
      <c r="ED89" s="43">
        <f t="shared" si="63"/>
        <v>0</v>
      </c>
      <c r="EE89" s="43">
        <f t="shared" si="63"/>
        <v>0</v>
      </c>
      <c r="EF89" s="43">
        <f t="shared" si="63"/>
        <v>0</v>
      </c>
      <c r="EG89" s="43">
        <f t="shared" si="63"/>
        <v>0</v>
      </c>
      <c r="EH89" s="43">
        <f t="shared" si="63"/>
        <v>0</v>
      </c>
      <c r="EI89" s="43">
        <f t="shared" si="63"/>
        <v>0</v>
      </c>
      <c r="EJ89" s="43">
        <f t="shared" si="63"/>
        <v>0</v>
      </c>
      <c r="EK89" s="43">
        <f t="shared" si="63"/>
        <v>0</v>
      </c>
      <c r="EL89" s="47"/>
      <c r="EM89" s="47"/>
      <c r="EN89" s="47"/>
      <c r="EO89" s="47"/>
      <c r="EP89" s="47"/>
      <c r="EQ89" s="47"/>
      <c r="ER89" s="47"/>
      <c r="ES89" s="47"/>
      <c r="ET89" s="47"/>
      <c r="EU89" s="47"/>
      <c r="EV89" s="47"/>
      <c r="EW89" s="47"/>
      <c r="EX89" s="47"/>
      <c r="EY89" s="47"/>
      <c r="EZ89" s="47"/>
      <c r="FA89" s="47"/>
      <c r="FB89" s="47"/>
      <c r="FC89" s="47"/>
      <c r="FD89" s="47"/>
      <c r="FE89" s="47"/>
    </row>
    <row r="90" spans="1:161" ht="14.25" x14ac:dyDescent="0.15">
      <c r="A90" s="46"/>
      <c r="B90" s="43" t="e">
        <f t="shared" si="39"/>
        <v>#DIV/0!</v>
      </c>
      <c r="C90" s="43" t="e">
        <f t="shared" si="40"/>
        <v>#DIV/0!</v>
      </c>
      <c r="D90" s="43" t="e">
        <f t="shared" si="41"/>
        <v>#DIV/0!</v>
      </c>
      <c r="E90" s="43" t="e">
        <f t="shared" si="42"/>
        <v>#DIV/0!</v>
      </c>
      <c r="F90" s="43" t="e">
        <f t="shared" si="43"/>
        <v>#DIV/0!</v>
      </c>
      <c r="G90" s="43" t="e">
        <f t="shared" si="44"/>
        <v>#DIV/0!</v>
      </c>
      <c r="H90" s="43" t="e">
        <f t="shared" si="45"/>
        <v>#DIV/0!</v>
      </c>
      <c r="I90" s="43" t="e">
        <f t="shared" si="46"/>
        <v>#DIV/0!</v>
      </c>
      <c r="J90" s="43" t="e">
        <f t="shared" si="47"/>
        <v>#DIV/0!</v>
      </c>
      <c r="K90" s="43" t="e">
        <f t="shared" si="48"/>
        <v>#DIV/0!</v>
      </c>
      <c r="L90" s="43" t="e">
        <f t="shared" si="49"/>
        <v>#DIV/0!</v>
      </c>
      <c r="M90" s="43" t="e">
        <f t="shared" si="50"/>
        <v>#DIV/0!</v>
      </c>
      <c r="N90" s="43" t="e">
        <f t="shared" si="51"/>
        <v>#DIV/0!</v>
      </c>
      <c r="O90" s="43" t="e">
        <f t="shared" si="52"/>
        <v>#DIV/0!</v>
      </c>
      <c r="P90" s="43" t="e">
        <f t="shared" si="53"/>
        <v>#DIV/0!</v>
      </c>
      <c r="Q90" s="43" t="e">
        <f t="shared" si="54"/>
        <v>#DIV/0!</v>
      </c>
      <c r="R90" s="43" t="e">
        <f t="shared" si="55"/>
        <v>#DIV/0!</v>
      </c>
      <c r="S90" s="43" t="e">
        <f t="shared" si="56"/>
        <v>#DIV/0!</v>
      </c>
      <c r="T90" s="43" t="e">
        <f t="shared" si="57"/>
        <v>#DIV/0!</v>
      </c>
      <c r="U90" s="43" t="e">
        <f t="shared" si="58"/>
        <v>#DIV/0!</v>
      </c>
      <c r="V90" s="53" t="e">
        <f>V89+ATM_Conf!$C$5*(B89)/(B277*V277)</f>
        <v>#DIV/0!</v>
      </c>
      <c r="W90" s="53" t="e">
        <f>W89+ATM_Conf!$C$5*(C89-B89)/(C277*W277)</f>
        <v>#DIV/0!</v>
      </c>
      <c r="X90" s="53" t="e">
        <f>X89+ATM_Conf!$C$5*(D89-C89)/(D277*X277)</f>
        <v>#DIV/0!</v>
      </c>
      <c r="Y90" s="53" t="e">
        <f>Y89+ATM_Conf!$C$5*(E89-D89)/(E277*Y277)</f>
        <v>#DIV/0!</v>
      </c>
      <c r="Z90" s="53" t="e">
        <f>Z89+ATM_Conf!$C$5*(F89-E89)/(F277*Z277)</f>
        <v>#DIV/0!</v>
      </c>
      <c r="AA90" s="53" t="e">
        <f>AA89+ATM_Conf!$C$5*(G89-F89)/(G277*AA277)</f>
        <v>#DIV/0!</v>
      </c>
      <c r="AB90" s="53" t="e">
        <f>AB89+ATM_Conf!$C$5*(H89-G89)/(H277*AB277)</f>
        <v>#DIV/0!</v>
      </c>
      <c r="AC90" s="53" t="e">
        <f>AC89+ATM_Conf!$C$5*(I89-H89)/(I277*AC277)</f>
        <v>#DIV/0!</v>
      </c>
      <c r="AD90" s="53" t="e">
        <f>AD89+ATM_Conf!$C$5*(J89-I89)/(J277*AD277)</f>
        <v>#DIV/0!</v>
      </c>
      <c r="AE90" s="53" t="e">
        <f>AE89+ATM_Conf!$C$5*(K89-J89)/(K277*AE277)</f>
        <v>#DIV/0!</v>
      </c>
      <c r="AF90" s="53" t="e">
        <f>AF89+ATM_Conf!$C$5*(L89)/(L277*AF277)</f>
        <v>#DIV/0!</v>
      </c>
      <c r="AG90" s="53" t="e">
        <f>AG89+ATM_Conf!$C$5*(M89-L89)/(M277*AG277)</f>
        <v>#DIV/0!</v>
      </c>
      <c r="AH90" s="53" t="e">
        <f>AH89+ATM_Conf!$C$5*(N89-M89)/(N277*AH277)</f>
        <v>#DIV/0!</v>
      </c>
      <c r="AI90" s="53" t="e">
        <f>AI89+ATM_Conf!$C$5*(O89-N89)/(O277*AI277)</f>
        <v>#DIV/0!</v>
      </c>
      <c r="AJ90" s="53" t="e">
        <f>AJ89+ATM_Conf!$C$5*(P89-O89)/(P277*AJ277)</f>
        <v>#DIV/0!</v>
      </c>
      <c r="AK90" s="53" t="e">
        <f>AK89+ATM_Conf!$C$5*(Q89-P89)/(Q277*AK277)</f>
        <v>#DIV/0!</v>
      </c>
      <c r="AL90" s="53" t="e">
        <f>AL89+ATM_Conf!$C$5*(R89-Q89)/(R277*AL277)</f>
        <v>#DIV/0!</v>
      </c>
      <c r="AM90" s="53" t="e">
        <f>AM89+ATM_Conf!$C$5*(S89-R89)/(S277*AM277)</f>
        <v>#DIV/0!</v>
      </c>
      <c r="AN90" s="53" t="e">
        <f>AN89+ATM_Conf!$C$5*(T89-S89)/(T277*AN277)</f>
        <v>#DIV/0!</v>
      </c>
      <c r="AO90" s="53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43">
        <f t="shared" si="64"/>
        <v>0</v>
      </c>
      <c r="DS90" s="43">
        <f t="shared" si="63"/>
        <v>0</v>
      </c>
      <c r="DT90" s="43">
        <f t="shared" si="63"/>
        <v>0</v>
      </c>
      <c r="DU90" s="43">
        <f t="shared" si="63"/>
        <v>0</v>
      </c>
      <c r="DV90" s="43">
        <f t="shared" si="63"/>
        <v>0</v>
      </c>
      <c r="DW90" s="43">
        <f t="shared" si="63"/>
        <v>0</v>
      </c>
      <c r="DX90" s="43">
        <f t="shared" si="63"/>
        <v>0</v>
      </c>
      <c r="DY90" s="43">
        <f t="shared" si="63"/>
        <v>0</v>
      </c>
      <c r="DZ90" s="43">
        <f t="shared" si="63"/>
        <v>0</v>
      </c>
      <c r="EA90" s="43">
        <f t="shared" si="63"/>
        <v>0</v>
      </c>
      <c r="EB90" s="43">
        <f t="shared" si="63"/>
        <v>0</v>
      </c>
      <c r="EC90" s="43">
        <f t="shared" si="63"/>
        <v>0</v>
      </c>
      <c r="ED90" s="43">
        <f t="shared" si="63"/>
        <v>0</v>
      </c>
      <c r="EE90" s="43">
        <f t="shared" si="63"/>
        <v>0</v>
      </c>
      <c r="EF90" s="43">
        <f t="shared" si="63"/>
        <v>0</v>
      </c>
      <c r="EG90" s="43">
        <f t="shared" si="63"/>
        <v>0</v>
      </c>
      <c r="EH90" s="43">
        <f t="shared" si="63"/>
        <v>0</v>
      </c>
      <c r="EI90" s="43">
        <f t="shared" si="63"/>
        <v>0</v>
      </c>
      <c r="EJ90" s="43">
        <f t="shared" si="63"/>
        <v>0</v>
      </c>
      <c r="EK90" s="43">
        <f t="shared" si="63"/>
        <v>0</v>
      </c>
      <c r="EL90" s="47"/>
      <c r="EM90" s="47"/>
      <c r="EN90" s="47"/>
      <c r="EO90" s="47"/>
      <c r="EP90" s="47"/>
      <c r="EQ90" s="47"/>
      <c r="ER90" s="47"/>
      <c r="ES90" s="47"/>
      <c r="ET90" s="47"/>
      <c r="EU90" s="47"/>
      <c r="EV90" s="47"/>
      <c r="EW90" s="47"/>
      <c r="EX90" s="47"/>
      <c r="EY90" s="47"/>
      <c r="EZ90" s="47"/>
      <c r="FA90" s="47"/>
      <c r="FB90" s="47"/>
      <c r="FC90" s="47"/>
      <c r="FD90" s="47"/>
      <c r="FE90" s="47"/>
    </row>
    <row r="91" spans="1:161" ht="14.25" x14ac:dyDescent="0.15">
      <c r="A91" s="46"/>
      <c r="B91" s="43" t="e">
        <f t="shared" si="39"/>
        <v>#DIV/0!</v>
      </c>
      <c r="C91" s="43" t="e">
        <f t="shared" si="40"/>
        <v>#DIV/0!</v>
      </c>
      <c r="D91" s="43" t="e">
        <f t="shared" si="41"/>
        <v>#DIV/0!</v>
      </c>
      <c r="E91" s="43" t="e">
        <f t="shared" si="42"/>
        <v>#DIV/0!</v>
      </c>
      <c r="F91" s="43" t="e">
        <f t="shared" si="43"/>
        <v>#DIV/0!</v>
      </c>
      <c r="G91" s="43" t="e">
        <f t="shared" si="44"/>
        <v>#DIV/0!</v>
      </c>
      <c r="H91" s="43" t="e">
        <f t="shared" si="45"/>
        <v>#DIV/0!</v>
      </c>
      <c r="I91" s="43" t="e">
        <f t="shared" si="46"/>
        <v>#DIV/0!</v>
      </c>
      <c r="J91" s="43" t="e">
        <f t="shared" si="47"/>
        <v>#DIV/0!</v>
      </c>
      <c r="K91" s="43" t="e">
        <f t="shared" si="48"/>
        <v>#DIV/0!</v>
      </c>
      <c r="L91" s="43" t="e">
        <f t="shared" si="49"/>
        <v>#DIV/0!</v>
      </c>
      <c r="M91" s="43" t="e">
        <f t="shared" si="50"/>
        <v>#DIV/0!</v>
      </c>
      <c r="N91" s="43" t="e">
        <f t="shared" si="51"/>
        <v>#DIV/0!</v>
      </c>
      <c r="O91" s="43" t="e">
        <f t="shared" si="52"/>
        <v>#DIV/0!</v>
      </c>
      <c r="P91" s="43" t="e">
        <f t="shared" si="53"/>
        <v>#DIV/0!</v>
      </c>
      <c r="Q91" s="43" t="e">
        <f t="shared" si="54"/>
        <v>#DIV/0!</v>
      </c>
      <c r="R91" s="43" t="e">
        <f t="shared" si="55"/>
        <v>#DIV/0!</v>
      </c>
      <c r="S91" s="43" t="e">
        <f t="shared" si="56"/>
        <v>#DIV/0!</v>
      </c>
      <c r="T91" s="43" t="e">
        <f t="shared" si="57"/>
        <v>#DIV/0!</v>
      </c>
      <c r="U91" s="43" t="e">
        <f t="shared" si="58"/>
        <v>#DIV/0!</v>
      </c>
      <c r="V91" s="53" t="e">
        <f>V90+ATM_Conf!$C$5*(B90)/(B278*V278)</f>
        <v>#DIV/0!</v>
      </c>
      <c r="W91" s="53" t="e">
        <f>W90+ATM_Conf!$C$5*(C90-B90)/(C278*W278)</f>
        <v>#DIV/0!</v>
      </c>
      <c r="X91" s="53" t="e">
        <f>X90+ATM_Conf!$C$5*(D90-C90)/(D278*X278)</f>
        <v>#DIV/0!</v>
      </c>
      <c r="Y91" s="53" t="e">
        <f>Y90+ATM_Conf!$C$5*(E90-D90)/(E278*Y278)</f>
        <v>#DIV/0!</v>
      </c>
      <c r="Z91" s="53" t="e">
        <f>Z90+ATM_Conf!$C$5*(F90-E90)/(F278*Z278)</f>
        <v>#DIV/0!</v>
      </c>
      <c r="AA91" s="53" t="e">
        <f>AA90+ATM_Conf!$C$5*(G90-F90)/(G278*AA278)</f>
        <v>#DIV/0!</v>
      </c>
      <c r="AB91" s="53" t="e">
        <f>AB90+ATM_Conf!$C$5*(H90-G90)/(H278*AB278)</f>
        <v>#DIV/0!</v>
      </c>
      <c r="AC91" s="53" t="e">
        <f>AC90+ATM_Conf!$C$5*(I90-H90)/(I278*AC278)</f>
        <v>#DIV/0!</v>
      </c>
      <c r="AD91" s="53" t="e">
        <f>AD90+ATM_Conf!$C$5*(J90-I90)/(J278*AD278)</f>
        <v>#DIV/0!</v>
      </c>
      <c r="AE91" s="53" t="e">
        <f>AE90+ATM_Conf!$C$5*(K90-J90)/(K278*AE278)</f>
        <v>#DIV/0!</v>
      </c>
      <c r="AF91" s="53" t="e">
        <f>AF90+ATM_Conf!$C$5*(L90)/(L278*AF278)</f>
        <v>#DIV/0!</v>
      </c>
      <c r="AG91" s="53" t="e">
        <f>AG90+ATM_Conf!$C$5*(M90-L90)/(M278*AG278)</f>
        <v>#DIV/0!</v>
      </c>
      <c r="AH91" s="53" t="e">
        <f>AH90+ATM_Conf!$C$5*(N90-M90)/(N278*AH278)</f>
        <v>#DIV/0!</v>
      </c>
      <c r="AI91" s="53" t="e">
        <f>AI90+ATM_Conf!$C$5*(O90-N90)/(O278*AI278)</f>
        <v>#DIV/0!</v>
      </c>
      <c r="AJ91" s="53" t="e">
        <f>AJ90+ATM_Conf!$C$5*(P90-O90)/(P278*AJ278)</f>
        <v>#DIV/0!</v>
      </c>
      <c r="AK91" s="53" t="e">
        <f>AK90+ATM_Conf!$C$5*(Q90-P90)/(Q278*AK278)</f>
        <v>#DIV/0!</v>
      </c>
      <c r="AL91" s="53" t="e">
        <f>AL90+ATM_Conf!$C$5*(R90-Q90)/(R278*AL278)</f>
        <v>#DIV/0!</v>
      </c>
      <c r="AM91" s="53" t="e">
        <f>AM90+ATM_Conf!$C$5*(S90-R90)/(S278*AM278)</f>
        <v>#DIV/0!</v>
      </c>
      <c r="AN91" s="53" t="e">
        <f>AN90+ATM_Conf!$C$5*(T90-S90)/(T278*AN278)</f>
        <v>#DIV/0!</v>
      </c>
      <c r="AO91" s="53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43">
        <f t="shared" si="64"/>
        <v>0</v>
      </c>
      <c r="DS91" s="43">
        <f t="shared" si="63"/>
        <v>0</v>
      </c>
      <c r="DT91" s="43">
        <f t="shared" si="63"/>
        <v>0</v>
      </c>
      <c r="DU91" s="43">
        <f t="shared" si="63"/>
        <v>0</v>
      </c>
      <c r="DV91" s="43">
        <f t="shared" si="63"/>
        <v>0</v>
      </c>
      <c r="DW91" s="43">
        <f t="shared" si="63"/>
        <v>0</v>
      </c>
      <c r="DX91" s="43">
        <f t="shared" si="63"/>
        <v>0</v>
      </c>
      <c r="DY91" s="43">
        <f t="shared" si="63"/>
        <v>0</v>
      </c>
      <c r="DZ91" s="43">
        <f t="shared" si="63"/>
        <v>0</v>
      </c>
      <c r="EA91" s="43">
        <f t="shared" si="63"/>
        <v>0</v>
      </c>
      <c r="EB91" s="43">
        <f t="shared" si="63"/>
        <v>0</v>
      </c>
      <c r="EC91" s="43">
        <f t="shared" si="63"/>
        <v>0</v>
      </c>
      <c r="ED91" s="43">
        <f t="shared" si="63"/>
        <v>0</v>
      </c>
      <c r="EE91" s="43">
        <f t="shared" si="63"/>
        <v>0</v>
      </c>
      <c r="EF91" s="43">
        <f t="shared" si="63"/>
        <v>0</v>
      </c>
      <c r="EG91" s="43">
        <f t="shared" si="63"/>
        <v>0</v>
      </c>
      <c r="EH91" s="43">
        <f t="shared" si="63"/>
        <v>0</v>
      </c>
      <c r="EI91" s="43">
        <f t="shared" si="63"/>
        <v>0</v>
      </c>
      <c r="EJ91" s="43">
        <f t="shared" si="63"/>
        <v>0</v>
      </c>
      <c r="EK91" s="43">
        <f t="shared" si="63"/>
        <v>0</v>
      </c>
      <c r="EL91" s="47"/>
      <c r="EM91" s="47"/>
      <c r="EN91" s="47"/>
      <c r="EO91" s="47"/>
      <c r="EP91" s="47"/>
      <c r="EQ91" s="47"/>
      <c r="ER91" s="47"/>
      <c r="ES91" s="47"/>
      <c r="ET91" s="47"/>
      <c r="EU91" s="47"/>
      <c r="EV91" s="47"/>
      <c r="EW91" s="47"/>
      <c r="EX91" s="47"/>
      <c r="EY91" s="47"/>
      <c r="EZ91" s="47"/>
      <c r="FA91" s="47"/>
      <c r="FB91" s="47"/>
      <c r="FC91" s="47"/>
      <c r="FD91" s="47"/>
      <c r="FE91" s="47"/>
    </row>
    <row r="92" spans="1:161" ht="14.25" x14ac:dyDescent="0.15">
      <c r="A92" s="46"/>
      <c r="B92" s="43" t="e">
        <f t="shared" si="39"/>
        <v>#DIV/0!</v>
      </c>
      <c r="C92" s="43" t="e">
        <f t="shared" si="40"/>
        <v>#DIV/0!</v>
      </c>
      <c r="D92" s="43" t="e">
        <f t="shared" si="41"/>
        <v>#DIV/0!</v>
      </c>
      <c r="E92" s="43" t="e">
        <f t="shared" si="42"/>
        <v>#DIV/0!</v>
      </c>
      <c r="F92" s="43" t="e">
        <f t="shared" si="43"/>
        <v>#DIV/0!</v>
      </c>
      <c r="G92" s="43" t="e">
        <f t="shared" si="44"/>
        <v>#DIV/0!</v>
      </c>
      <c r="H92" s="43" t="e">
        <f t="shared" si="45"/>
        <v>#DIV/0!</v>
      </c>
      <c r="I92" s="43" t="e">
        <f t="shared" si="46"/>
        <v>#DIV/0!</v>
      </c>
      <c r="J92" s="43" t="e">
        <f t="shared" si="47"/>
        <v>#DIV/0!</v>
      </c>
      <c r="K92" s="43" t="e">
        <f t="shared" si="48"/>
        <v>#DIV/0!</v>
      </c>
      <c r="L92" s="43" t="e">
        <f t="shared" si="49"/>
        <v>#DIV/0!</v>
      </c>
      <c r="M92" s="43" t="e">
        <f t="shared" si="50"/>
        <v>#DIV/0!</v>
      </c>
      <c r="N92" s="43" t="e">
        <f t="shared" si="51"/>
        <v>#DIV/0!</v>
      </c>
      <c r="O92" s="43" t="e">
        <f t="shared" si="52"/>
        <v>#DIV/0!</v>
      </c>
      <c r="P92" s="43" t="e">
        <f t="shared" si="53"/>
        <v>#DIV/0!</v>
      </c>
      <c r="Q92" s="43" t="e">
        <f t="shared" si="54"/>
        <v>#DIV/0!</v>
      </c>
      <c r="R92" s="43" t="e">
        <f t="shared" si="55"/>
        <v>#DIV/0!</v>
      </c>
      <c r="S92" s="43" t="e">
        <f t="shared" si="56"/>
        <v>#DIV/0!</v>
      </c>
      <c r="T92" s="43" t="e">
        <f t="shared" si="57"/>
        <v>#DIV/0!</v>
      </c>
      <c r="U92" s="43" t="e">
        <f t="shared" si="58"/>
        <v>#DIV/0!</v>
      </c>
      <c r="V92" s="53" t="e">
        <f>V91+ATM_Conf!$C$5*(B91)/(B279*V279)</f>
        <v>#DIV/0!</v>
      </c>
      <c r="W92" s="53" t="e">
        <f>W91+ATM_Conf!$C$5*(C91-B91)/(C279*W279)</f>
        <v>#DIV/0!</v>
      </c>
      <c r="X92" s="53" t="e">
        <f>X91+ATM_Conf!$C$5*(D91-C91)/(D279*X279)</f>
        <v>#DIV/0!</v>
      </c>
      <c r="Y92" s="53" t="e">
        <f>Y91+ATM_Conf!$C$5*(E91-D91)/(E279*Y279)</f>
        <v>#DIV/0!</v>
      </c>
      <c r="Z92" s="53" t="e">
        <f>Z91+ATM_Conf!$C$5*(F91-E91)/(F279*Z279)</f>
        <v>#DIV/0!</v>
      </c>
      <c r="AA92" s="53" t="e">
        <f>AA91+ATM_Conf!$C$5*(G91-F91)/(G279*AA279)</f>
        <v>#DIV/0!</v>
      </c>
      <c r="AB92" s="53" t="e">
        <f>AB91+ATM_Conf!$C$5*(H91-G91)/(H279*AB279)</f>
        <v>#DIV/0!</v>
      </c>
      <c r="AC92" s="53" t="e">
        <f>AC91+ATM_Conf!$C$5*(I91-H91)/(I279*AC279)</f>
        <v>#DIV/0!</v>
      </c>
      <c r="AD92" s="53" t="e">
        <f>AD91+ATM_Conf!$C$5*(J91-I91)/(J279*AD279)</f>
        <v>#DIV/0!</v>
      </c>
      <c r="AE92" s="53" t="e">
        <f>AE91+ATM_Conf!$C$5*(K91-J91)/(K279*AE279)</f>
        <v>#DIV/0!</v>
      </c>
      <c r="AF92" s="53" t="e">
        <f>AF91+ATM_Conf!$C$5*(L91)/(L279*AF279)</f>
        <v>#DIV/0!</v>
      </c>
      <c r="AG92" s="53" t="e">
        <f>AG91+ATM_Conf!$C$5*(M91-L91)/(M279*AG279)</f>
        <v>#DIV/0!</v>
      </c>
      <c r="AH92" s="53" t="e">
        <f>AH91+ATM_Conf!$C$5*(N91-M91)/(N279*AH279)</f>
        <v>#DIV/0!</v>
      </c>
      <c r="AI92" s="53" t="e">
        <f>AI91+ATM_Conf!$C$5*(O91-N91)/(O279*AI279)</f>
        <v>#DIV/0!</v>
      </c>
      <c r="AJ92" s="53" t="e">
        <f>AJ91+ATM_Conf!$C$5*(P91-O91)/(P279*AJ279)</f>
        <v>#DIV/0!</v>
      </c>
      <c r="AK92" s="53" t="e">
        <f>AK91+ATM_Conf!$C$5*(Q91-P91)/(Q279*AK279)</f>
        <v>#DIV/0!</v>
      </c>
      <c r="AL92" s="53" t="e">
        <f>AL91+ATM_Conf!$C$5*(R91-Q91)/(R279*AL279)</f>
        <v>#DIV/0!</v>
      </c>
      <c r="AM92" s="53" t="e">
        <f>AM91+ATM_Conf!$C$5*(S91-R91)/(S279*AM279)</f>
        <v>#DIV/0!</v>
      </c>
      <c r="AN92" s="53" t="e">
        <f>AN91+ATM_Conf!$C$5*(T91-S91)/(T279*AN279)</f>
        <v>#DIV/0!</v>
      </c>
      <c r="AO92" s="53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43">
        <f t="shared" si="64"/>
        <v>0</v>
      </c>
      <c r="DS92" s="43">
        <f t="shared" si="63"/>
        <v>0</v>
      </c>
      <c r="DT92" s="43">
        <f t="shared" si="63"/>
        <v>0</v>
      </c>
      <c r="DU92" s="43">
        <f t="shared" si="63"/>
        <v>0</v>
      </c>
      <c r="DV92" s="43">
        <f t="shared" si="63"/>
        <v>0</v>
      </c>
      <c r="DW92" s="43">
        <f t="shared" si="63"/>
        <v>0</v>
      </c>
      <c r="DX92" s="43">
        <f t="shared" si="63"/>
        <v>0</v>
      </c>
      <c r="DY92" s="43">
        <f t="shared" si="63"/>
        <v>0</v>
      </c>
      <c r="DZ92" s="43">
        <f t="shared" si="63"/>
        <v>0</v>
      </c>
      <c r="EA92" s="43">
        <f t="shared" si="63"/>
        <v>0</v>
      </c>
      <c r="EB92" s="43">
        <f t="shared" si="63"/>
        <v>0</v>
      </c>
      <c r="EC92" s="43">
        <f t="shared" si="63"/>
        <v>0</v>
      </c>
      <c r="ED92" s="43">
        <f t="shared" si="63"/>
        <v>0</v>
      </c>
      <c r="EE92" s="43">
        <f t="shared" si="63"/>
        <v>0</v>
      </c>
      <c r="EF92" s="43">
        <f t="shared" si="63"/>
        <v>0</v>
      </c>
      <c r="EG92" s="43">
        <f t="shared" si="63"/>
        <v>0</v>
      </c>
      <c r="EH92" s="43">
        <f t="shared" si="63"/>
        <v>0</v>
      </c>
      <c r="EI92" s="43">
        <f t="shared" si="63"/>
        <v>0</v>
      </c>
      <c r="EJ92" s="43">
        <f t="shared" si="63"/>
        <v>0</v>
      </c>
      <c r="EK92" s="43">
        <f t="shared" si="63"/>
        <v>0</v>
      </c>
      <c r="EL92" s="47"/>
      <c r="EM92" s="47"/>
      <c r="EN92" s="47"/>
      <c r="EO92" s="47"/>
      <c r="EP92" s="47"/>
      <c r="EQ92" s="47"/>
      <c r="ER92" s="47"/>
      <c r="ES92" s="47"/>
      <c r="ET92" s="47"/>
      <c r="EU92" s="47"/>
      <c r="EV92" s="47"/>
      <c r="EW92" s="47"/>
      <c r="EX92" s="47"/>
      <c r="EY92" s="47"/>
      <c r="EZ92" s="47"/>
      <c r="FA92" s="47"/>
      <c r="FB92" s="47"/>
      <c r="FC92" s="47"/>
      <c r="FD92" s="47"/>
      <c r="FE92" s="47"/>
    </row>
    <row r="93" spans="1:161" ht="14.25" x14ac:dyDescent="0.15">
      <c r="A93" s="46"/>
      <c r="B93" s="43" t="e">
        <f t="shared" si="39"/>
        <v>#DIV/0!</v>
      </c>
      <c r="C93" s="43" t="e">
        <f t="shared" si="40"/>
        <v>#DIV/0!</v>
      </c>
      <c r="D93" s="43" t="e">
        <f t="shared" si="41"/>
        <v>#DIV/0!</v>
      </c>
      <c r="E93" s="43" t="e">
        <f t="shared" si="42"/>
        <v>#DIV/0!</v>
      </c>
      <c r="F93" s="43" t="e">
        <f t="shared" si="43"/>
        <v>#DIV/0!</v>
      </c>
      <c r="G93" s="43" t="e">
        <f t="shared" si="44"/>
        <v>#DIV/0!</v>
      </c>
      <c r="H93" s="43" t="e">
        <f t="shared" si="45"/>
        <v>#DIV/0!</v>
      </c>
      <c r="I93" s="43" t="e">
        <f t="shared" si="46"/>
        <v>#DIV/0!</v>
      </c>
      <c r="J93" s="43" t="e">
        <f t="shared" si="47"/>
        <v>#DIV/0!</v>
      </c>
      <c r="K93" s="43" t="e">
        <f t="shared" si="48"/>
        <v>#DIV/0!</v>
      </c>
      <c r="L93" s="43" t="e">
        <f t="shared" si="49"/>
        <v>#DIV/0!</v>
      </c>
      <c r="M93" s="43" t="e">
        <f t="shared" si="50"/>
        <v>#DIV/0!</v>
      </c>
      <c r="N93" s="43" t="e">
        <f t="shared" si="51"/>
        <v>#DIV/0!</v>
      </c>
      <c r="O93" s="43" t="e">
        <f t="shared" si="52"/>
        <v>#DIV/0!</v>
      </c>
      <c r="P93" s="43" t="e">
        <f t="shared" si="53"/>
        <v>#DIV/0!</v>
      </c>
      <c r="Q93" s="43" t="e">
        <f t="shared" si="54"/>
        <v>#DIV/0!</v>
      </c>
      <c r="R93" s="43" t="e">
        <f t="shared" si="55"/>
        <v>#DIV/0!</v>
      </c>
      <c r="S93" s="43" t="e">
        <f t="shared" si="56"/>
        <v>#DIV/0!</v>
      </c>
      <c r="T93" s="43" t="e">
        <f t="shared" si="57"/>
        <v>#DIV/0!</v>
      </c>
      <c r="U93" s="43" t="e">
        <f t="shared" si="58"/>
        <v>#DIV/0!</v>
      </c>
      <c r="V93" s="53" t="e">
        <f>V92+ATM_Conf!$C$5*(B92)/(B280*V280)</f>
        <v>#DIV/0!</v>
      </c>
      <c r="W93" s="53" t="e">
        <f>W92+ATM_Conf!$C$5*(C92-B92)/(C280*W280)</f>
        <v>#DIV/0!</v>
      </c>
      <c r="X93" s="53" t="e">
        <f>X92+ATM_Conf!$C$5*(D92-C92)/(D280*X280)</f>
        <v>#DIV/0!</v>
      </c>
      <c r="Y93" s="53" t="e">
        <f>Y92+ATM_Conf!$C$5*(E92-D92)/(E280*Y280)</f>
        <v>#DIV/0!</v>
      </c>
      <c r="Z93" s="53" t="e">
        <f>Z92+ATM_Conf!$C$5*(F92-E92)/(F280*Z280)</f>
        <v>#DIV/0!</v>
      </c>
      <c r="AA93" s="53" t="e">
        <f>AA92+ATM_Conf!$C$5*(G92-F92)/(G280*AA280)</f>
        <v>#DIV/0!</v>
      </c>
      <c r="AB93" s="53" t="e">
        <f>AB92+ATM_Conf!$C$5*(H92-G92)/(H280*AB280)</f>
        <v>#DIV/0!</v>
      </c>
      <c r="AC93" s="53" t="e">
        <f>AC92+ATM_Conf!$C$5*(I92-H92)/(I280*AC280)</f>
        <v>#DIV/0!</v>
      </c>
      <c r="AD93" s="53" t="e">
        <f>AD92+ATM_Conf!$C$5*(J92-I92)/(J280*AD280)</f>
        <v>#DIV/0!</v>
      </c>
      <c r="AE93" s="53" t="e">
        <f>AE92+ATM_Conf!$C$5*(K92-J92)/(K280*AE280)</f>
        <v>#DIV/0!</v>
      </c>
      <c r="AF93" s="53" t="e">
        <f>AF92+ATM_Conf!$C$5*(L92)/(L280*AF280)</f>
        <v>#DIV/0!</v>
      </c>
      <c r="AG93" s="53" t="e">
        <f>AG92+ATM_Conf!$C$5*(M92-L92)/(M280*AG280)</f>
        <v>#DIV/0!</v>
      </c>
      <c r="AH93" s="53" t="e">
        <f>AH92+ATM_Conf!$C$5*(N92-M92)/(N280*AH280)</f>
        <v>#DIV/0!</v>
      </c>
      <c r="AI93" s="53" t="e">
        <f>AI92+ATM_Conf!$C$5*(O92-N92)/(O280*AI280)</f>
        <v>#DIV/0!</v>
      </c>
      <c r="AJ93" s="53" t="e">
        <f>AJ92+ATM_Conf!$C$5*(P92-O92)/(P280*AJ280)</f>
        <v>#DIV/0!</v>
      </c>
      <c r="AK93" s="53" t="e">
        <f>AK92+ATM_Conf!$C$5*(Q92-P92)/(Q280*AK280)</f>
        <v>#DIV/0!</v>
      </c>
      <c r="AL93" s="53" t="e">
        <f>AL92+ATM_Conf!$C$5*(R92-Q92)/(R280*AL280)</f>
        <v>#DIV/0!</v>
      </c>
      <c r="AM93" s="53" t="e">
        <f>AM92+ATM_Conf!$C$5*(S92-R92)/(S280*AM280)</f>
        <v>#DIV/0!</v>
      </c>
      <c r="AN93" s="53" t="e">
        <f>AN92+ATM_Conf!$C$5*(T92-S92)/(T280*AN280)</f>
        <v>#DIV/0!</v>
      </c>
      <c r="AO93" s="53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43">
        <f t="shared" si="64"/>
        <v>0</v>
      </c>
      <c r="DS93" s="43">
        <f t="shared" si="63"/>
        <v>0</v>
      </c>
      <c r="DT93" s="43">
        <f t="shared" si="63"/>
        <v>0</v>
      </c>
      <c r="DU93" s="43">
        <f t="shared" si="63"/>
        <v>0</v>
      </c>
      <c r="DV93" s="43">
        <f t="shared" si="63"/>
        <v>0</v>
      </c>
      <c r="DW93" s="43">
        <f t="shared" si="63"/>
        <v>0</v>
      </c>
      <c r="DX93" s="43">
        <f t="shared" si="63"/>
        <v>0</v>
      </c>
      <c r="DY93" s="43">
        <f t="shared" si="63"/>
        <v>0</v>
      </c>
      <c r="DZ93" s="43">
        <f t="shared" si="63"/>
        <v>0</v>
      </c>
      <c r="EA93" s="43">
        <f t="shared" si="63"/>
        <v>0</v>
      </c>
      <c r="EB93" s="43">
        <f t="shared" si="63"/>
        <v>0</v>
      </c>
      <c r="EC93" s="43">
        <f t="shared" si="63"/>
        <v>0</v>
      </c>
      <c r="ED93" s="43">
        <f t="shared" si="63"/>
        <v>0</v>
      </c>
      <c r="EE93" s="43">
        <f t="shared" si="63"/>
        <v>0</v>
      </c>
      <c r="EF93" s="43">
        <f t="shared" si="63"/>
        <v>0</v>
      </c>
      <c r="EG93" s="43">
        <f t="shared" si="63"/>
        <v>0</v>
      </c>
      <c r="EH93" s="43">
        <f t="shared" si="63"/>
        <v>0</v>
      </c>
      <c r="EI93" s="43">
        <f t="shared" si="63"/>
        <v>0</v>
      </c>
      <c r="EJ93" s="43">
        <f t="shared" si="63"/>
        <v>0</v>
      </c>
      <c r="EK93" s="43">
        <f t="shared" si="63"/>
        <v>0</v>
      </c>
      <c r="EL93" s="47"/>
      <c r="EM93" s="47"/>
      <c r="EN93" s="47"/>
      <c r="EO93" s="47"/>
      <c r="EP93" s="47"/>
      <c r="EQ93" s="47"/>
      <c r="ER93" s="47"/>
      <c r="ES93" s="47"/>
      <c r="ET93" s="47"/>
      <c r="EU93" s="47"/>
      <c r="EV93" s="47"/>
      <c r="EW93" s="47"/>
      <c r="EX93" s="47"/>
      <c r="EY93" s="47"/>
      <c r="EZ93" s="47"/>
      <c r="FA93" s="47"/>
      <c r="FB93" s="47"/>
      <c r="FC93" s="47"/>
      <c r="FD93" s="47"/>
      <c r="FE93" s="47"/>
    </row>
    <row r="94" spans="1:161" ht="14.25" x14ac:dyDescent="0.15">
      <c r="A94" s="46"/>
      <c r="B94" s="43" t="e">
        <f t="shared" si="39"/>
        <v>#DIV/0!</v>
      </c>
      <c r="C94" s="43" t="e">
        <f t="shared" si="40"/>
        <v>#DIV/0!</v>
      </c>
      <c r="D94" s="43" t="e">
        <f t="shared" si="41"/>
        <v>#DIV/0!</v>
      </c>
      <c r="E94" s="43" t="e">
        <f t="shared" si="42"/>
        <v>#DIV/0!</v>
      </c>
      <c r="F94" s="43" t="e">
        <f t="shared" si="43"/>
        <v>#DIV/0!</v>
      </c>
      <c r="G94" s="43" t="e">
        <f t="shared" si="44"/>
        <v>#DIV/0!</v>
      </c>
      <c r="H94" s="43" t="e">
        <f t="shared" si="45"/>
        <v>#DIV/0!</v>
      </c>
      <c r="I94" s="43" t="e">
        <f t="shared" si="46"/>
        <v>#DIV/0!</v>
      </c>
      <c r="J94" s="43" t="e">
        <f t="shared" si="47"/>
        <v>#DIV/0!</v>
      </c>
      <c r="K94" s="43" t="e">
        <f t="shared" si="48"/>
        <v>#DIV/0!</v>
      </c>
      <c r="L94" s="43" t="e">
        <f t="shared" si="49"/>
        <v>#DIV/0!</v>
      </c>
      <c r="M94" s="43" t="e">
        <f t="shared" si="50"/>
        <v>#DIV/0!</v>
      </c>
      <c r="N94" s="43" t="e">
        <f t="shared" si="51"/>
        <v>#DIV/0!</v>
      </c>
      <c r="O94" s="43" t="e">
        <f t="shared" si="52"/>
        <v>#DIV/0!</v>
      </c>
      <c r="P94" s="43" t="e">
        <f t="shared" si="53"/>
        <v>#DIV/0!</v>
      </c>
      <c r="Q94" s="43" t="e">
        <f t="shared" si="54"/>
        <v>#DIV/0!</v>
      </c>
      <c r="R94" s="43" t="e">
        <f t="shared" si="55"/>
        <v>#DIV/0!</v>
      </c>
      <c r="S94" s="43" t="e">
        <f t="shared" si="56"/>
        <v>#DIV/0!</v>
      </c>
      <c r="T94" s="43" t="e">
        <f t="shared" si="57"/>
        <v>#DIV/0!</v>
      </c>
      <c r="U94" s="43" t="e">
        <f t="shared" si="58"/>
        <v>#DIV/0!</v>
      </c>
      <c r="V94" s="53" t="e">
        <f>V93+ATM_Conf!$C$5*(B93)/(B281*V281)</f>
        <v>#DIV/0!</v>
      </c>
      <c r="W94" s="53" t="e">
        <f>W93+ATM_Conf!$C$5*(C93-B93)/(C281*W281)</f>
        <v>#DIV/0!</v>
      </c>
      <c r="X94" s="53" t="e">
        <f>X93+ATM_Conf!$C$5*(D93-C93)/(D281*X281)</f>
        <v>#DIV/0!</v>
      </c>
      <c r="Y94" s="53" t="e">
        <f>Y93+ATM_Conf!$C$5*(E93-D93)/(E281*Y281)</f>
        <v>#DIV/0!</v>
      </c>
      <c r="Z94" s="53" t="e">
        <f>Z93+ATM_Conf!$C$5*(F93-E93)/(F281*Z281)</f>
        <v>#DIV/0!</v>
      </c>
      <c r="AA94" s="53" t="e">
        <f>AA93+ATM_Conf!$C$5*(G93-F93)/(G281*AA281)</f>
        <v>#DIV/0!</v>
      </c>
      <c r="AB94" s="53" t="e">
        <f>AB93+ATM_Conf!$C$5*(H93-G93)/(H281*AB281)</f>
        <v>#DIV/0!</v>
      </c>
      <c r="AC94" s="53" t="e">
        <f>AC93+ATM_Conf!$C$5*(I93-H93)/(I281*AC281)</f>
        <v>#DIV/0!</v>
      </c>
      <c r="AD94" s="53" t="e">
        <f>AD93+ATM_Conf!$C$5*(J93-I93)/(J281*AD281)</f>
        <v>#DIV/0!</v>
      </c>
      <c r="AE94" s="53" t="e">
        <f>AE93+ATM_Conf!$C$5*(K93-J93)/(K281*AE281)</f>
        <v>#DIV/0!</v>
      </c>
      <c r="AF94" s="53" t="e">
        <f>AF93+ATM_Conf!$C$5*(L93)/(L281*AF281)</f>
        <v>#DIV/0!</v>
      </c>
      <c r="AG94" s="53" t="e">
        <f>AG93+ATM_Conf!$C$5*(M93-L93)/(M281*AG281)</f>
        <v>#DIV/0!</v>
      </c>
      <c r="AH94" s="53" t="e">
        <f>AH93+ATM_Conf!$C$5*(N93-M93)/(N281*AH281)</f>
        <v>#DIV/0!</v>
      </c>
      <c r="AI94" s="53" t="e">
        <f>AI93+ATM_Conf!$C$5*(O93-N93)/(O281*AI281)</f>
        <v>#DIV/0!</v>
      </c>
      <c r="AJ94" s="53" t="e">
        <f>AJ93+ATM_Conf!$C$5*(P93-O93)/(P281*AJ281)</f>
        <v>#DIV/0!</v>
      </c>
      <c r="AK94" s="53" t="e">
        <f>AK93+ATM_Conf!$C$5*(Q93-P93)/(Q281*AK281)</f>
        <v>#DIV/0!</v>
      </c>
      <c r="AL94" s="53" t="e">
        <f>AL93+ATM_Conf!$C$5*(R93-Q93)/(R281*AL281)</f>
        <v>#DIV/0!</v>
      </c>
      <c r="AM94" s="53" t="e">
        <f>AM93+ATM_Conf!$C$5*(S93-R93)/(S281*AM281)</f>
        <v>#DIV/0!</v>
      </c>
      <c r="AN94" s="53" t="e">
        <f>AN93+ATM_Conf!$C$5*(T93-S93)/(T281*AN281)</f>
        <v>#DIV/0!</v>
      </c>
      <c r="AO94" s="53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43">
        <f t="shared" si="64"/>
        <v>0</v>
      </c>
      <c r="DS94" s="43">
        <f t="shared" si="63"/>
        <v>0</v>
      </c>
      <c r="DT94" s="43">
        <f t="shared" si="63"/>
        <v>0</v>
      </c>
      <c r="DU94" s="43">
        <f t="shared" si="63"/>
        <v>0</v>
      </c>
      <c r="DV94" s="43">
        <f t="shared" si="63"/>
        <v>0</v>
      </c>
      <c r="DW94" s="43">
        <f t="shared" si="63"/>
        <v>0</v>
      </c>
      <c r="DX94" s="43">
        <f t="shared" si="63"/>
        <v>0</v>
      </c>
      <c r="DY94" s="43">
        <f t="shared" si="63"/>
        <v>0</v>
      </c>
      <c r="DZ94" s="43">
        <f t="shared" si="63"/>
        <v>0</v>
      </c>
      <c r="EA94" s="43">
        <f t="shared" si="63"/>
        <v>0</v>
      </c>
      <c r="EB94" s="43">
        <f t="shared" si="63"/>
        <v>0</v>
      </c>
      <c r="EC94" s="43">
        <f t="shared" si="63"/>
        <v>0</v>
      </c>
      <c r="ED94" s="43">
        <f t="shared" si="63"/>
        <v>0</v>
      </c>
      <c r="EE94" s="43">
        <f t="shared" si="63"/>
        <v>0</v>
      </c>
      <c r="EF94" s="43">
        <f t="shared" si="63"/>
        <v>0</v>
      </c>
      <c r="EG94" s="43">
        <f t="shared" si="63"/>
        <v>0</v>
      </c>
      <c r="EH94" s="43">
        <f t="shared" si="63"/>
        <v>0</v>
      </c>
      <c r="EI94" s="43">
        <f t="shared" si="63"/>
        <v>0</v>
      </c>
      <c r="EJ94" s="43">
        <f t="shared" si="63"/>
        <v>0</v>
      </c>
      <c r="EK94" s="43">
        <f t="shared" si="63"/>
        <v>0</v>
      </c>
      <c r="EL94" s="47"/>
      <c r="EM94" s="47"/>
      <c r="EN94" s="47"/>
      <c r="EO94" s="47"/>
      <c r="EP94" s="47"/>
      <c r="EQ94" s="47"/>
      <c r="ER94" s="47"/>
      <c r="ES94" s="47"/>
      <c r="ET94" s="47"/>
      <c r="EU94" s="47"/>
      <c r="EV94" s="47"/>
      <c r="EW94" s="47"/>
      <c r="EX94" s="47"/>
      <c r="EY94" s="47"/>
      <c r="EZ94" s="47"/>
      <c r="FA94" s="47"/>
      <c r="FB94" s="47"/>
      <c r="FC94" s="47"/>
      <c r="FD94" s="47"/>
      <c r="FE94" s="47"/>
    </row>
    <row r="95" spans="1:161" ht="14.25" x14ac:dyDescent="0.15">
      <c r="A95" s="46"/>
      <c r="B95" s="43" t="e">
        <f t="shared" si="39"/>
        <v>#DIV/0!</v>
      </c>
      <c r="C95" s="43" t="e">
        <f t="shared" si="40"/>
        <v>#DIV/0!</v>
      </c>
      <c r="D95" s="43" t="e">
        <f t="shared" si="41"/>
        <v>#DIV/0!</v>
      </c>
      <c r="E95" s="43" t="e">
        <f t="shared" si="42"/>
        <v>#DIV/0!</v>
      </c>
      <c r="F95" s="43" t="e">
        <f t="shared" si="43"/>
        <v>#DIV/0!</v>
      </c>
      <c r="G95" s="43" t="e">
        <f t="shared" si="44"/>
        <v>#DIV/0!</v>
      </c>
      <c r="H95" s="43" t="e">
        <f t="shared" si="45"/>
        <v>#DIV/0!</v>
      </c>
      <c r="I95" s="43" t="e">
        <f t="shared" si="46"/>
        <v>#DIV/0!</v>
      </c>
      <c r="J95" s="43" t="e">
        <f t="shared" si="47"/>
        <v>#DIV/0!</v>
      </c>
      <c r="K95" s="43" t="e">
        <f t="shared" si="48"/>
        <v>#DIV/0!</v>
      </c>
      <c r="L95" s="43" t="e">
        <f t="shared" si="49"/>
        <v>#DIV/0!</v>
      </c>
      <c r="M95" s="43" t="e">
        <f t="shared" si="50"/>
        <v>#DIV/0!</v>
      </c>
      <c r="N95" s="43" t="e">
        <f t="shared" si="51"/>
        <v>#DIV/0!</v>
      </c>
      <c r="O95" s="43" t="e">
        <f t="shared" si="52"/>
        <v>#DIV/0!</v>
      </c>
      <c r="P95" s="43" t="e">
        <f t="shared" si="53"/>
        <v>#DIV/0!</v>
      </c>
      <c r="Q95" s="43" t="e">
        <f t="shared" si="54"/>
        <v>#DIV/0!</v>
      </c>
      <c r="R95" s="43" t="e">
        <f t="shared" si="55"/>
        <v>#DIV/0!</v>
      </c>
      <c r="S95" s="43" t="e">
        <f t="shared" si="56"/>
        <v>#DIV/0!</v>
      </c>
      <c r="T95" s="43" t="e">
        <f t="shared" si="57"/>
        <v>#DIV/0!</v>
      </c>
      <c r="U95" s="43" t="e">
        <f t="shared" si="58"/>
        <v>#DIV/0!</v>
      </c>
      <c r="V95" s="53" t="e">
        <f>V94+ATM_Conf!$C$5*(B94)/(B282*V282)</f>
        <v>#DIV/0!</v>
      </c>
      <c r="W95" s="53" t="e">
        <f>W94+ATM_Conf!$C$5*(C94-B94)/(C282*W282)</f>
        <v>#DIV/0!</v>
      </c>
      <c r="X95" s="53" t="e">
        <f>X94+ATM_Conf!$C$5*(D94-C94)/(D282*X282)</f>
        <v>#DIV/0!</v>
      </c>
      <c r="Y95" s="53" t="e">
        <f>Y94+ATM_Conf!$C$5*(E94-D94)/(E282*Y282)</f>
        <v>#DIV/0!</v>
      </c>
      <c r="Z95" s="53" t="e">
        <f>Z94+ATM_Conf!$C$5*(F94-E94)/(F282*Z282)</f>
        <v>#DIV/0!</v>
      </c>
      <c r="AA95" s="53" t="e">
        <f>AA94+ATM_Conf!$C$5*(G94-F94)/(G282*AA282)</f>
        <v>#DIV/0!</v>
      </c>
      <c r="AB95" s="53" t="e">
        <f>AB94+ATM_Conf!$C$5*(H94-G94)/(H282*AB282)</f>
        <v>#DIV/0!</v>
      </c>
      <c r="AC95" s="53" t="e">
        <f>AC94+ATM_Conf!$C$5*(I94-H94)/(I282*AC282)</f>
        <v>#DIV/0!</v>
      </c>
      <c r="AD95" s="53" t="e">
        <f>AD94+ATM_Conf!$C$5*(J94-I94)/(J282*AD282)</f>
        <v>#DIV/0!</v>
      </c>
      <c r="AE95" s="53" t="e">
        <f>AE94+ATM_Conf!$C$5*(K94-J94)/(K282*AE282)</f>
        <v>#DIV/0!</v>
      </c>
      <c r="AF95" s="53" t="e">
        <f>AF94+ATM_Conf!$C$5*(L94)/(L282*AF282)</f>
        <v>#DIV/0!</v>
      </c>
      <c r="AG95" s="53" t="e">
        <f>AG94+ATM_Conf!$C$5*(M94-L94)/(M282*AG282)</f>
        <v>#DIV/0!</v>
      </c>
      <c r="AH95" s="53" t="e">
        <f>AH94+ATM_Conf!$C$5*(N94-M94)/(N282*AH282)</f>
        <v>#DIV/0!</v>
      </c>
      <c r="AI95" s="53" t="e">
        <f>AI94+ATM_Conf!$C$5*(O94-N94)/(O282*AI282)</f>
        <v>#DIV/0!</v>
      </c>
      <c r="AJ95" s="53" t="e">
        <f>AJ94+ATM_Conf!$C$5*(P94-O94)/(P282*AJ282)</f>
        <v>#DIV/0!</v>
      </c>
      <c r="AK95" s="53" t="e">
        <f>AK94+ATM_Conf!$C$5*(Q94-P94)/(Q282*AK282)</f>
        <v>#DIV/0!</v>
      </c>
      <c r="AL95" s="53" t="e">
        <f>AL94+ATM_Conf!$C$5*(R94-Q94)/(R282*AL282)</f>
        <v>#DIV/0!</v>
      </c>
      <c r="AM95" s="53" t="e">
        <f>AM94+ATM_Conf!$C$5*(S94-R94)/(S282*AM282)</f>
        <v>#DIV/0!</v>
      </c>
      <c r="AN95" s="53" t="e">
        <f>AN94+ATM_Conf!$C$5*(T94-S94)/(T282*AN282)</f>
        <v>#DIV/0!</v>
      </c>
      <c r="AO95" s="53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43">
        <f t="shared" si="64"/>
        <v>0</v>
      </c>
      <c r="DS95" s="43">
        <f t="shared" si="63"/>
        <v>0</v>
      </c>
      <c r="DT95" s="43">
        <f t="shared" si="63"/>
        <v>0</v>
      </c>
      <c r="DU95" s="43">
        <f t="shared" si="63"/>
        <v>0</v>
      </c>
      <c r="DV95" s="43">
        <f t="shared" si="63"/>
        <v>0</v>
      </c>
      <c r="DW95" s="43">
        <f t="shared" si="63"/>
        <v>0</v>
      </c>
      <c r="DX95" s="43">
        <f t="shared" si="63"/>
        <v>0</v>
      </c>
      <c r="DY95" s="43">
        <f t="shared" si="63"/>
        <v>0</v>
      </c>
      <c r="DZ95" s="43">
        <f t="shared" si="63"/>
        <v>0</v>
      </c>
      <c r="EA95" s="43">
        <f t="shared" si="63"/>
        <v>0</v>
      </c>
      <c r="EB95" s="43">
        <f t="shared" si="63"/>
        <v>0</v>
      </c>
      <c r="EC95" s="43">
        <f t="shared" si="63"/>
        <v>0</v>
      </c>
      <c r="ED95" s="43">
        <f t="shared" si="63"/>
        <v>0</v>
      </c>
      <c r="EE95" s="43">
        <f t="shared" si="63"/>
        <v>0</v>
      </c>
      <c r="EF95" s="43">
        <f t="shared" si="63"/>
        <v>0</v>
      </c>
      <c r="EG95" s="43">
        <f t="shared" si="63"/>
        <v>0</v>
      </c>
      <c r="EH95" s="43">
        <f t="shared" si="63"/>
        <v>0</v>
      </c>
      <c r="EI95" s="43">
        <f t="shared" si="63"/>
        <v>0</v>
      </c>
      <c r="EJ95" s="43">
        <f t="shared" si="63"/>
        <v>0</v>
      </c>
      <c r="EK95" s="43">
        <f t="shared" si="63"/>
        <v>0</v>
      </c>
      <c r="EL95" s="47"/>
      <c r="EM95" s="47"/>
      <c r="EN95" s="47"/>
      <c r="EO95" s="47"/>
      <c r="EP95" s="47"/>
      <c r="EQ95" s="47"/>
      <c r="ER95" s="47"/>
      <c r="ES95" s="47"/>
      <c r="ET95" s="47"/>
      <c r="EU95" s="47"/>
      <c r="EV95" s="47"/>
      <c r="EW95" s="47"/>
      <c r="EX95" s="47"/>
      <c r="EY95" s="47"/>
      <c r="EZ95" s="47"/>
      <c r="FA95" s="47"/>
      <c r="FB95" s="47"/>
      <c r="FC95" s="47"/>
      <c r="FD95" s="47"/>
      <c r="FE95" s="47"/>
    </row>
    <row r="96" spans="1:161" ht="14.25" x14ac:dyDescent="0.15">
      <c r="A96" s="46"/>
      <c r="B96" s="43" t="e">
        <f t="shared" si="39"/>
        <v>#DIV/0!</v>
      </c>
      <c r="C96" s="43" t="e">
        <f t="shared" si="40"/>
        <v>#DIV/0!</v>
      </c>
      <c r="D96" s="43" t="e">
        <f t="shared" si="41"/>
        <v>#DIV/0!</v>
      </c>
      <c r="E96" s="43" t="e">
        <f t="shared" si="42"/>
        <v>#DIV/0!</v>
      </c>
      <c r="F96" s="43" t="e">
        <f t="shared" si="43"/>
        <v>#DIV/0!</v>
      </c>
      <c r="G96" s="43" t="e">
        <f t="shared" si="44"/>
        <v>#DIV/0!</v>
      </c>
      <c r="H96" s="43" t="e">
        <f t="shared" si="45"/>
        <v>#DIV/0!</v>
      </c>
      <c r="I96" s="43" t="e">
        <f t="shared" si="46"/>
        <v>#DIV/0!</v>
      </c>
      <c r="J96" s="43" t="e">
        <f t="shared" si="47"/>
        <v>#DIV/0!</v>
      </c>
      <c r="K96" s="43" t="e">
        <f t="shared" si="48"/>
        <v>#DIV/0!</v>
      </c>
      <c r="L96" s="43" t="e">
        <f t="shared" si="49"/>
        <v>#DIV/0!</v>
      </c>
      <c r="M96" s="43" t="e">
        <f t="shared" si="50"/>
        <v>#DIV/0!</v>
      </c>
      <c r="N96" s="43" t="e">
        <f t="shared" si="51"/>
        <v>#DIV/0!</v>
      </c>
      <c r="O96" s="43" t="e">
        <f t="shared" si="52"/>
        <v>#DIV/0!</v>
      </c>
      <c r="P96" s="43" t="e">
        <f t="shared" si="53"/>
        <v>#DIV/0!</v>
      </c>
      <c r="Q96" s="43" t="e">
        <f t="shared" si="54"/>
        <v>#DIV/0!</v>
      </c>
      <c r="R96" s="43" t="e">
        <f t="shared" si="55"/>
        <v>#DIV/0!</v>
      </c>
      <c r="S96" s="43" t="e">
        <f t="shared" si="56"/>
        <v>#DIV/0!</v>
      </c>
      <c r="T96" s="43" t="e">
        <f t="shared" si="57"/>
        <v>#DIV/0!</v>
      </c>
      <c r="U96" s="43" t="e">
        <f t="shared" si="58"/>
        <v>#DIV/0!</v>
      </c>
      <c r="V96" s="53" t="e">
        <f>V95+ATM_Conf!$C$5*(B95)/(B283*V283)</f>
        <v>#DIV/0!</v>
      </c>
      <c r="W96" s="53" t="e">
        <f>W95+ATM_Conf!$C$5*(C95-B95)/(C283*W283)</f>
        <v>#DIV/0!</v>
      </c>
      <c r="X96" s="53" t="e">
        <f>X95+ATM_Conf!$C$5*(D95-C95)/(D283*X283)</f>
        <v>#DIV/0!</v>
      </c>
      <c r="Y96" s="53" t="e">
        <f>Y95+ATM_Conf!$C$5*(E95-D95)/(E283*Y283)</f>
        <v>#DIV/0!</v>
      </c>
      <c r="Z96" s="53" t="e">
        <f>Z95+ATM_Conf!$C$5*(F95-E95)/(F283*Z283)</f>
        <v>#DIV/0!</v>
      </c>
      <c r="AA96" s="53" t="e">
        <f>AA95+ATM_Conf!$C$5*(G95-F95)/(G283*AA283)</f>
        <v>#DIV/0!</v>
      </c>
      <c r="AB96" s="53" t="e">
        <f>AB95+ATM_Conf!$C$5*(H95-G95)/(H283*AB283)</f>
        <v>#DIV/0!</v>
      </c>
      <c r="AC96" s="53" t="e">
        <f>AC95+ATM_Conf!$C$5*(I95-H95)/(I283*AC283)</f>
        <v>#DIV/0!</v>
      </c>
      <c r="AD96" s="53" t="e">
        <f>AD95+ATM_Conf!$C$5*(J95-I95)/(J283*AD283)</f>
        <v>#DIV/0!</v>
      </c>
      <c r="AE96" s="53" t="e">
        <f>AE95+ATM_Conf!$C$5*(K95-J95)/(K283*AE283)</f>
        <v>#DIV/0!</v>
      </c>
      <c r="AF96" s="53" t="e">
        <f>AF95+ATM_Conf!$C$5*(L95)/(L283*AF283)</f>
        <v>#DIV/0!</v>
      </c>
      <c r="AG96" s="53" t="e">
        <f>AG95+ATM_Conf!$C$5*(M95-L95)/(M283*AG283)</f>
        <v>#DIV/0!</v>
      </c>
      <c r="AH96" s="53" t="e">
        <f>AH95+ATM_Conf!$C$5*(N95-M95)/(N283*AH283)</f>
        <v>#DIV/0!</v>
      </c>
      <c r="AI96" s="53" t="e">
        <f>AI95+ATM_Conf!$C$5*(O95-N95)/(O283*AI283)</f>
        <v>#DIV/0!</v>
      </c>
      <c r="AJ96" s="53" t="e">
        <f>AJ95+ATM_Conf!$C$5*(P95-O95)/(P283*AJ283)</f>
        <v>#DIV/0!</v>
      </c>
      <c r="AK96" s="53" t="e">
        <f>AK95+ATM_Conf!$C$5*(Q95-P95)/(Q283*AK283)</f>
        <v>#DIV/0!</v>
      </c>
      <c r="AL96" s="53" t="e">
        <f>AL95+ATM_Conf!$C$5*(R95-Q95)/(R283*AL283)</f>
        <v>#DIV/0!</v>
      </c>
      <c r="AM96" s="53" t="e">
        <f>AM95+ATM_Conf!$C$5*(S95-R95)/(S283*AM283)</f>
        <v>#DIV/0!</v>
      </c>
      <c r="AN96" s="53" t="e">
        <f>AN95+ATM_Conf!$C$5*(T95-S95)/(T283*AN283)</f>
        <v>#DIV/0!</v>
      </c>
      <c r="AO96" s="53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43">
        <f t="shared" si="64"/>
        <v>0</v>
      </c>
      <c r="DS96" s="43">
        <f t="shared" si="63"/>
        <v>0</v>
      </c>
      <c r="DT96" s="43">
        <f t="shared" si="63"/>
        <v>0</v>
      </c>
      <c r="DU96" s="43">
        <f t="shared" si="63"/>
        <v>0</v>
      </c>
      <c r="DV96" s="43">
        <f t="shared" si="63"/>
        <v>0</v>
      </c>
      <c r="DW96" s="43">
        <f t="shared" si="63"/>
        <v>0</v>
      </c>
      <c r="DX96" s="43">
        <f t="shared" si="63"/>
        <v>0</v>
      </c>
      <c r="DY96" s="43">
        <f t="shared" si="63"/>
        <v>0</v>
      </c>
      <c r="DZ96" s="43">
        <f t="shared" si="63"/>
        <v>0</v>
      </c>
      <c r="EA96" s="43">
        <f t="shared" si="63"/>
        <v>0</v>
      </c>
      <c r="EB96" s="43">
        <f t="shared" si="63"/>
        <v>0</v>
      </c>
      <c r="EC96" s="43">
        <f t="shared" si="63"/>
        <v>0</v>
      </c>
      <c r="ED96" s="43">
        <f t="shared" si="63"/>
        <v>0</v>
      </c>
      <c r="EE96" s="43">
        <f t="shared" si="63"/>
        <v>0</v>
      </c>
      <c r="EF96" s="43">
        <f t="shared" si="63"/>
        <v>0</v>
      </c>
      <c r="EG96" s="43">
        <f t="shared" si="63"/>
        <v>0</v>
      </c>
      <c r="EH96" s="43">
        <f t="shared" si="63"/>
        <v>0</v>
      </c>
      <c r="EI96" s="43">
        <f t="shared" si="63"/>
        <v>0</v>
      </c>
      <c r="EJ96" s="43">
        <f t="shared" si="63"/>
        <v>0</v>
      </c>
      <c r="EK96" s="43">
        <f t="shared" si="63"/>
        <v>0</v>
      </c>
      <c r="EL96" s="47"/>
      <c r="EM96" s="47"/>
      <c r="EN96" s="47"/>
      <c r="EO96" s="47"/>
      <c r="EP96" s="47"/>
      <c r="EQ96" s="47"/>
      <c r="ER96" s="47"/>
      <c r="ES96" s="47"/>
      <c r="ET96" s="47"/>
      <c r="EU96" s="47"/>
      <c r="EV96" s="47"/>
      <c r="EW96" s="47"/>
      <c r="EX96" s="47"/>
      <c r="EY96" s="47"/>
      <c r="EZ96" s="47"/>
      <c r="FA96" s="47"/>
      <c r="FB96" s="47"/>
      <c r="FC96" s="47"/>
      <c r="FD96" s="47"/>
      <c r="FE96" s="47"/>
    </row>
    <row r="97" spans="1:161" ht="14.25" x14ac:dyDescent="0.15">
      <c r="A97" s="46"/>
      <c r="B97" s="43" t="e">
        <f t="shared" si="39"/>
        <v>#DIV/0!</v>
      </c>
      <c r="C97" s="43" t="e">
        <f t="shared" si="40"/>
        <v>#DIV/0!</v>
      </c>
      <c r="D97" s="43" t="e">
        <f t="shared" si="41"/>
        <v>#DIV/0!</v>
      </c>
      <c r="E97" s="43" t="e">
        <f t="shared" si="42"/>
        <v>#DIV/0!</v>
      </c>
      <c r="F97" s="43" t="e">
        <f t="shared" si="43"/>
        <v>#DIV/0!</v>
      </c>
      <c r="G97" s="43" t="e">
        <f t="shared" si="44"/>
        <v>#DIV/0!</v>
      </c>
      <c r="H97" s="43" t="e">
        <f t="shared" si="45"/>
        <v>#DIV/0!</v>
      </c>
      <c r="I97" s="43" t="e">
        <f t="shared" si="46"/>
        <v>#DIV/0!</v>
      </c>
      <c r="J97" s="43" t="e">
        <f t="shared" si="47"/>
        <v>#DIV/0!</v>
      </c>
      <c r="K97" s="43" t="e">
        <f t="shared" si="48"/>
        <v>#DIV/0!</v>
      </c>
      <c r="L97" s="43" t="e">
        <f t="shared" si="49"/>
        <v>#DIV/0!</v>
      </c>
      <c r="M97" s="43" t="e">
        <f t="shared" si="50"/>
        <v>#DIV/0!</v>
      </c>
      <c r="N97" s="43" t="e">
        <f t="shared" si="51"/>
        <v>#DIV/0!</v>
      </c>
      <c r="O97" s="43" t="e">
        <f t="shared" si="52"/>
        <v>#DIV/0!</v>
      </c>
      <c r="P97" s="43" t="e">
        <f t="shared" si="53"/>
        <v>#DIV/0!</v>
      </c>
      <c r="Q97" s="43" t="e">
        <f t="shared" si="54"/>
        <v>#DIV/0!</v>
      </c>
      <c r="R97" s="43" t="e">
        <f t="shared" si="55"/>
        <v>#DIV/0!</v>
      </c>
      <c r="S97" s="43" t="e">
        <f t="shared" si="56"/>
        <v>#DIV/0!</v>
      </c>
      <c r="T97" s="43" t="e">
        <f t="shared" si="57"/>
        <v>#DIV/0!</v>
      </c>
      <c r="U97" s="43" t="e">
        <f t="shared" si="58"/>
        <v>#DIV/0!</v>
      </c>
      <c r="V97" s="53" t="e">
        <f>V96+ATM_Conf!$C$5*(B96)/(B284*V284)</f>
        <v>#DIV/0!</v>
      </c>
      <c r="W97" s="53" t="e">
        <f>W96+ATM_Conf!$C$5*(C96-B96)/(C284*W284)</f>
        <v>#DIV/0!</v>
      </c>
      <c r="X97" s="53" t="e">
        <f>X96+ATM_Conf!$C$5*(D96-C96)/(D284*X284)</f>
        <v>#DIV/0!</v>
      </c>
      <c r="Y97" s="53" t="e">
        <f>Y96+ATM_Conf!$C$5*(E96-D96)/(E284*Y284)</f>
        <v>#DIV/0!</v>
      </c>
      <c r="Z97" s="53" t="e">
        <f>Z96+ATM_Conf!$C$5*(F96-E96)/(F284*Z284)</f>
        <v>#DIV/0!</v>
      </c>
      <c r="AA97" s="53" t="e">
        <f>AA96+ATM_Conf!$C$5*(G96-F96)/(G284*AA284)</f>
        <v>#DIV/0!</v>
      </c>
      <c r="AB97" s="53" t="e">
        <f>AB96+ATM_Conf!$C$5*(H96-G96)/(H284*AB284)</f>
        <v>#DIV/0!</v>
      </c>
      <c r="AC97" s="53" t="e">
        <f>AC96+ATM_Conf!$C$5*(I96-H96)/(I284*AC284)</f>
        <v>#DIV/0!</v>
      </c>
      <c r="AD97" s="53" t="e">
        <f>AD96+ATM_Conf!$C$5*(J96-I96)/(J284*AD284)</f>
        <v>#DIV/0!</v>
      </c>
      <c r="AE97" s="53" t="e">
        <f>AE96+ATM_Conf!$C$5*(K96-J96)/(K284*AE284)</f>
        <v>#DIV/0!</v>
      </c>
      <c r="AF97" s="53" t="e">
        <f>AF96+ATM_Conf!$C$5*(L96)/(L284*AF284)</f>
        <v>#DIV/0!</v>
      </c>
      <c r="AG97" s="53" t="e">
        <f>AG96+ATM_Conf!$C$5*(M96-L96)/(M284*AG284)</f>
        <v>#DIV/0!</v>
      </c>
      <c r="AH97" s="53" t="e">
        <f>AH96+ATM_Conf!$C$5*(N96-M96)/(N284*AH284)</f>
        <v>#DIV/0!</v>
      </c>
      <c r="AI97" s="53" t="e">
        <f>AI96+ATM_Conf!$C$5*(O96-N96)/(O284*AI284)</f>
        <v>#DIV/0!</v>
      </c>
      <c r="AJ97" s="53" t="e">
        <f>AJ96+ATM_Conf!$C$5*(P96-O96)/(P284*AJ284)</f>
        <v>#DIV/0!</v>
      </c>
      <c r="AK97" s="53" t="e">
        <f>AK96+ATM_Conf!$C$5*(Q96-P96)/(Q284*AK284)</f>
        <v>#DIV/0!</v>
      </c>
      <c r="AL97" s="53" t="e">
        <f>AL96+ATM_Conf!$C$5*(R96-Q96)/(R284*AL284)</f>
        <v>#DIV/0!</v>
      </c>
      <c r="AM97" s="53" t="e">
        <f>AM96+ATM_Conf!$C$5*(S96-R96)/(S284*AM284)</f>
        <v>#DIV/0!</v>
      </c>
      <c r="AN97" s="53" t="e">
        <f>AN96+ATM_Conf!$C$5*(T96-S96)/(T284*AN284)</f>
        <v>#DIV/0!</v>
      </c>
      <c r="AO97" s="53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43">
        <f t="shared" si="64"/>
        <v>0</v>
      </c>
      <c r="DS97" s="43">
        <f t="shared" si="63"/>
        <v>0</v>
      </c>
      <c r="DT97" s="43">
        <f t="shared" si="63"/>
        <v>0</v>
      </c>
      <c r="DU97" s="43">
        <f t="shared" si="63"/>
        <v>0</v>
      </c>
      <c r="DV97" s="43">
        <f t="shared" si="63"/>
        <v>0</v>
      </c>
      <c r="DW97" s="43">
        <f t="shared" si="63"/>
        <v>0</v>
      </c>
      <c r="DX97" s="43">
        <f t="shared" si="63"/>
        <v>0</v>
      </c>
      <c r="DY97" s="43">
        <f t="shared" si="63"/>
        <v>0</v>
      </c>
      <c r="DZ97" s="43">
        <f t="shared" si="63"/>
        <v>0</v>
      </c>
      <c r="EA97" s="43">
        <f t="shared" si="63"/>
        <v>0</v>
      </c>
      <c r="EB97" s="43">
        <f t="shared" si="63"/>
        <v>0</v>
      </c>
      <c r="EC97" s="43">
        <f t="shared" si="63"/>
        <v>0</v>
      </c>
      <c r="ED97" s="43">
        <f t="shared" si="63"/>
        <v>0</v>
      </c>
      <c r="EE97" s="43">
        <f t="shared" si="63"/>
        <v>0</v>
      </c>
      <c r="EF97" s="43">
        <f t="shared" si="63"/>
        <v>0</v>
      </c>
      <c r="EG97" s="43">
        <f t="shared" si="63"/>
        <v>0</v>
      </c>
      <c r="EH97" s="43">
        <f t="shared" si="63"/>
        <v>0</v>
      </c>
      <c r="EI97" s="43">
        <f t="shared" si="63"/>
        <v>0</v>
      </c>
      <c r="EJ97" s="43">
        <f t="shared" si="63"/>
        <v>0</v>
      </c>
      <c r="EK97" s="43">
        <f t="shared" si="63"/>
        <v>0</v>
      </c>
      <c r="EL97" s="47"/>
      <c r="EM97" s="47"/>
      <c r="EN97" s="47"/>
      <c r="EO97" s="47"/>
      <c r="EP97" s="47"/>
      <c r="EQ97" s="47"/>
      <c r="ER97" s="47"/>
      <c r="ES97" s="47"/>
      <c r="ET97" s="47"/>
      <c r="EU97" s="47"/>
      <c r="EV97" s="47"/>
      <c r="EW97" s="47"/>
      <c r="EX97" s="47"/>
      <c r="EY97" s="47"/>
      <c r="EZ97" s="47"/>
      <c r="FA97" s="47"/>
      <c r="FB97" s="47"/>
      <c r="FC97" s="47"/>
      <c r="FD97" s="47"/>
      <c r="FE97" s="47"/>
    </row>
    <row r="98" spans="1:161" ht="14.25" x14ac:dyDescent="0.15">
      <c r="A98" s="46"/>
      <c r="B98" s="43" t="e">
        <f t="shared" si="39"/>
        <v>#DIV/0!</v>
      </c>
      <c r="C98" s="43" t="e">
        <f t="shared" si="40"/>
        <v>#DIV/0!</v>
      </c>
      <c r="D98" s="43" t="e">
        <f t="shared" si="41"/>
        <v>#DIV/0!</v>
      </c>
      <c r="E98" s="43" t="e">
        <f t="shared" si="42"/>
        <v>#DIV/0!</v>
      </c>
      <c r="F98" s="43" t="e">
        <f t="shared" si="43"/>
        <v>#DIV/0!</v>
      </c>
      <c r="G98" s="43" t="e">
        <f t="shared" si="44"/>
        <v>#DIV/0!</v>
      </c>
      <c r="H98" s="43" t="e">
        <f t="shared" si="45"/>
        <v>#DIV/0!</v>
      </c>
      <c r="I98" s="43" t="e">
        <f t="shared" si="46"/>
        <v>#DIV/0!</v>
      </c>
      <c r="J98" s="43" t="e">
        <f t="shared" si="47"/>
        <v>#DIV/0!</v>
      </c>
      <c r="K98" s="43" t="e">
        <f t="shared" si="48"/>
        <v>#DIV/0!</v>
      </c>
      <c r="L98" s="43" t="e">
        <f t="shared" si="49"/>
        <v>#DIV/0!</v>
      </c>
      <c r="M98" s="43" t="e">
        <f t="shared" si="50"/>
        <v>#DIV/0!</v>
      </c>
      <c r="N98" s="43" t="e">
        <f t="shared" si="51"/>
        <v>#DIV/0!</v>
      </c>
      <c r="O98" s="43" t="e">
        <f t="shared" si="52"/>
        <v>#DIV/0!</v>
      </c>
      <c r="P98" s="43" t="e">
        <f t="shared" si="53"/>
        <v>#DIV/0!</v>
      </c>
      <c r="Q98" s="43" t="e">
        <f t="shared" si="54"/>
        <v>#DIV/0!</v>
      </c>
      <c r="R98" s="43" t="e">
        <f t="shared" si="55"/>
        <v>#DIV/0!</v>
      </c>
      <c r="S98" s="43" t="e">
        <f t="shared" si="56"/>
        <v>#DIV/0!</v>
      </c>
      <c r="T98" s="43" t="e">
        <f t="shared" si="57"/>
        <v>#DIV/0!</v>
      </c>
      <c r="U98" s="43" t="e">
        <f t="shared" si="58"/>
        <v>#DIV/0!</v>
      </c>
      <c r="V98" s="53" t="e">
        <f>V97+ATM_Conf!$C$5*(B97)/(B285*V285)</f>
        <v>#DIV/0!</v>
      </c>
      <c r="W98" s="53" t="e">
        <f>W97+ATM_Conf!$C$5*(C97-B97)/(C285*W285)</f>
        <v>#DIV/0!</v>
      </c>
      <c r="X98" s="53" t="e">
        <f>X97+ATM_Conf!$C$5*(D97-C97)/(D285*X285)</f>
        <v>#DIV/0!</v>
      </c>
      <c r="Y98" s="53" t="e">
        <f>Y97+ATM_Conf!$C$5*(E97-D97)/(E285*Y285)</f>
        <v>#DIV/0!</v>
      </c>
      <c r="Z98" s="53" t="e">
        <f>Z97+ATM_Conf!$C$5*(F97-E97)/(F285*Z285)</f>
        <v>#DIV/0!</v>
      </c>
      <c r="AA98" s="53" t="e">
        <f>AA97+ATM_Conf!$C$5*(G97-F97)/(G285*AA285)</f>
        <v>#DIV/0!</v>
      </c>
      <c r="AB98" s="53" t="e">
        <f>AB97+ATM_Conf!$C$5*(H97-G97)/(H285*AB285)</f>
        <v>#DIV/0!</v>
      </c>
      <c r="AC98" s="53" t="e">
        <f>AC97+ATM_Conf!$C$5*(I97-H97)/(I285*AC285)</f>
        <v>#DIV/0!</v>
      </c>
      <c r="AD98" s="53" t="e">
        <f>AD97+ATM_Conf!$C$5*(J97-I97)/(J285*AD285)</f>
        <v>#DIV/0!</v>
      </c>
      <c r="AE98" s="53" t="e">
        <f>AE97+ATM_Conf!$C$5*(K97-J97)/(K285*AE285)</f>
        <v>#DIV/0!</v>
      </c>
      <c r="AF98" s="53" t="e">
        <f>AF97+ATM_Conf!$C$5*(L97)/(L285*AF285)</f>
        <v>#DIV/0!</v>
      </c>
      <c r="AG98" s="53" t="e">
        <f>AG97+ATM_Conf!$C$5*(M97-L97)/(M285*AG285)</f>
        <v>#DIV/0!</v>
      </c>
      <c r="AH98" s="53" t="e">
        <f>AH97+ATM_Conf!$C$5*(N97-M97)/(N285*AH285)</f>
        <v>#DIV/0!</v>
      </c>
      <c r="AI98" s="53" t="e">
        <f>AI97+ATM_Conf!$C$5*(O97-N97)/(O285*AI285)</f>
        <v>#DIV/0!</v>
      </c>
      <c r="AJ98" s="53" t="e">
        <f>AJ97+ATM_Conf!$C$5*(P97-O97)/(P285*AJ285)</f>
        <v>#DIV/0!</v>
      </c>
      <c r="AK98" s="53" t="e">
        <f>AK97+ATM_Conf!$C$5*(Q97-P97)/(Q285*AK285)</f>
        <v>#DIV/0!</v>
      </c>
      <c r="AL98" s="53" t="e">
        <f>AL97+ATM_Conf!$C$5*(R97-Q97)/(R285*AL285)</f>
        <v>#DIV/0!</v>
      </c>
      <c r="AM98" s="53" t="e">
        <f>AM97+ATM_Conf!$C$5*(S97-R97)/(S285*AM285)</f>
        <v>#DIV/0!</v>
      </c>
      <c r="AN98" s="53" t="e">
        <f>AN97+ATM_Conf!$C$5*(T97-S97)/(T285*AN285)</f>
        <v>#DIV/0!</v>
      </c>
      <c r="AO98" s="53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43">
        <f t="shared" si="64"/>
        <v>0</v>
      </c>
      <c r="DS98" s="43">
        <f t="shared" si="63"/>
        <v>0</v>
      </c>
      <c r="DT98" s="43">
        <f t="shared" si="63"/>
        <v>0</v>
      </c>
      <c r="DU98" s="43">
        <f t="shared" si="63"/>
        <v>0</v>
      </c>
      <c r="DV98" s="43">
        <f t="shared" si="63"/>
        <v>0</v>
      </c>
      <c r="DW98" s="43">
        <f t="shared" si="63"/>
        <v>0</v>
      </c>
      <c r="DX98" s="43">
        <f t="shared" si="63"/>
        <v>0</v>
      </c>
      <c r="DY98" s="43">
        <f t="shared" si="63"/>
        <v>0</v>
      </c>
      <c r="DZ98" s="43">
        <f t="shared" si="63"/>
        <v>0</v>
      </c>
      <c r="EA98" s="43">
        <f t="shared" si="63"/>
        <v>0</v>
      </c>
      <c r="EB98" s="43">
        <f t="shared" si="63"/>
        <v>0</v>
      </c>
      <c r="EC98" s="43">
        <f t="shared" si="63"/>
        <v>0</v>
      </c>
      <c r="ED98" s="43">
        <f t="shared" si="63"/>
        <v>0</v>
      </c>
      <c r="EE98" s="43">
        <f t="shared" si="63"/>
        <v>0</v>
      </c>
      <c r="EF98" s="43">
        <f t="shared" si="63"/>
        <v>0</v>
      </c>
      <c r="EG98" s="43">
        <f t="shared" si="63"/>
        <v>0</v>
      </c>
      <c r="EH98" s="43">
        <f t="shared" si="63"/>
        <v>0</v>
      </c>
      <c r="EI98" s="43">
        <f t="shared" si="63"/>
        <v>0</v>
      </c>
      <c r="EJ98" s="43">
        <f t="shared" si="63"/>
        <v>0</v>
      </c>
      <c r="EK98" s="43">
        <f t="shared" si="63"/>
        <v>0</v>
      </c>
      <c r="EL98" s="47"/>
      <c r="EM98" s="47"/>
      <c r="EN98" s="47"/>
      <c r="EO98" s="47"/>
      <c r="EP98" s="47"/>
      <c r="EQ98" s="47"/>
      <c r="ER98" s="47"/>
      <c r="ES98" s="47"/>
      <c r="ET98" s="47"/>
      <c r="EU98" s="47"/>
      <c r="EV98" s="47"/>
      <c r="EW98" s="47"/>
      <c r="EX98" s="47"/>
      <c r="EY98" s="47"/>
      <c r="EZ98" s="47"/>
      <c r="FA98" s="47"/>
      <c r="FB98" s="47"/>
      <c r="FC98" s="47"/>
      <c r="FD98" s="47"/>
      <c r="FE98" s="47"/>
    </row>
    <row r="99" spans="1:161" ht="14.25" x14ac:dyDescent="0.15">
      <c r="A99" s="46"/>
      <c r="B99" s="43" t="e">
        <f t="shared" si="39"/>
        <v>#DIV/0!</v>
      </c>
      <c r="C99" s="43" t="e">
        <f t="shared" si="40"/>
        <v>#DIV/0!</v>
      </c>
      <c r="D99" s="43" t="e">
        <f t="shared" si="41"/>
        <v>#DIV/0!</v>
      </c>
      <c r="E99" s="43" t="e">
        <f t="shared" si="42"/>
        <v>#DIV/0!</v>
      </c>
      <c r="F99" s="43" t="e">
        <f t="shared" si="43"/>
        <v>#DIV/0!</v>
      </c>
      <c r="G99" s="43" t="e">
        <f t="shared" si="44"/>
        <v>#DIV/0!</v>
      </c>
      <c r="H99" s="43" t="e">
        <f t="shared" si="45"/>
        <v>#DIV/0!</v>
      </c>
      <c r="I99" s="43" t="e">
        <f t="shared" si="46"/>
        <v>#DIV/0!</v>
      </c>
      <c r="J99" s="43" t="e">
        <f t="shared" si="47"/>
        <v>#DIV/0!</v>
      </c>
      <c r="K99" s="43" t="e">
        <f t="shared" si="48"/>
        <v>#DIV/0!</v>
      </c>
      <c r="L99" s="43" t="e">
        <f t="shared" si="49"/>
        <v>#DIV/0!</v>
      </c>
      <c r="M99" s="43" t="e">
        <f t="shared" si="50"/>
        <v>#DIV/0!</v>
      </c>
      <c r="N99" s="43" t="e">
        <f t="shared" si="51"/>
        <v>#DIV/0!</v>
      </c>
      <c r="O99" s="43" t="e">
        <f t="shared" si="52"/>
        <v>#DIV/0!</v>
      </c>
      <c r="P99" s="43" t="e">
        <f t="shared" si="53"/>
        <v>#DIV/0!</v>
      </c>
      <c r="Q99" s="43" t="e">
        <f t="shared" si="54"/>
        <v>#DIV/0!</v>
      </c>
      <c r="R99" s="43" t="e">
        <f t="shared" si="55"/>
        <v>#DIV/0!</v>
      </c>
      <c r="S99" s="43" t="e">
        <f t="shared" si="56"/>
        <v>#DIV/0!</v>
      </c>
      <c r="T99" s="43" t="e">
        <f t="shared" si="57"/>
        <v>#DIV/0!</v>
      </c>
      <c r="U99" s="43" t="e">
        <f t="shared" si="58"/>
        <v>#DIV/0!</v>
      </c>
      <c r="V99" s="53" t="e">
        <f>V98+ATM_Conf!$C$5*(B98)/(B286*V286)</f>
        <v>#DIV/0!</v>
      </c>
      <c r="W99" s="53" t="e">
        <f>W98+ATM_Conf!$C$5*(C98-B98)/(C286*W286)</f>
        <v>#DIV/0!</v>
      </c>
      <c r="X99" s="53" t="e">
        <f>X98+ATM_Conf!$C$5*(D98-C98)/(D286*X286)</f>
        <v>#DIV/0!</v>
      </c>
      <c r="Y99" s="53" t="e">
        <f>Y98+ATM_Conf!$C$5*(E98-D98)/(E286*Y286)</f>
        <v>#DIV/0!</v>
      </c>
      <c r="Z99" s="53" t="e">
        <f>Z98+ATM_Conf!$C$5*(F98-E98)/(F286*Z286)</f>
        <v>#DIV/0!</v>
      </c>
      <c r="AA99" s="53" t="e">
        <f>AA98+ATM_Conf!$C$5*(G98-F98)/(G286*AA286)</f>
        <v>#DIV/0!</v>
      </c>
      <c r="AB99" s="53" t="e">
        <f>AB98+ATM_Conf!$C$5*(H98-G98)/(H286*AB286)</f>
        <v>#DIV/0!</v>
      </c>
      <c r="AC99" s="53" t="e">
        <f>AC98+ATM_Conf!$C$5*(I98-H98)/(I286*AC286)</f>
        <v>#DIV/0!</v>
      </c>
      <c r="AD99" s="53" t="e">
        <f>AD98+ATM_Conf!$C$5*(J98-I98)/(J286*AD286)</f>
        <v>#DIV/0!</v>
      </c>
      <c r="AE99" s="53" t="e">
        <f>AE98+ATM_Conf!$C$5*(K98-J98)/(K286*AE286)</f>
        <v>#DIV/0!</v>
      </c>
      <c r="AF99" s="53" t="e">
        <f>AF98+ATM_Conf!$C$5*(L98)/(L286*AF286)</f>
        <v>#DIV/0!</v>
      </c>
      <c r="AG99" s="53" t="e">
        <f>AG98+ATM_Conf!$C$5*(M98-L98)/(M286*AG286)</f>
        <v>#DIV/0!</v>
      </c>
      <c r="AH99" s="53" t="e">
        <f>AH98+ATM_Conf!$C$5*(N98-M98)/(N286*AH286)</f>
        <v>#DIV/0!</v>
      </c>
      <c r="AI99" s="53" t="e">
        <f>AI98+ATM_Conf!$C$5*(O98-N98)/(O286*AI286)</f>
        <v>#DIV/0!</v>
      </c>
      <c r="AJ99" s="53" t="e">
        <f>AJ98+ATM_Conf!$C$5*(P98-O98)/(P286*AJ286)</f>
        <v>#DIV/0!</v>
      </c>
      <c r="AK99" s="53" t="e">
        <f>AK98+ATM_Conf!$C$5*(Q98-P98)/(Q286*AK286)</f>
        <v>#DIV/0!</v>
      </c>
      <c r="AL99" s="53" t="e">
        <f>AL98+ATM_Conf!$C$5*(R98-Q98)/(R286*AL286)</f>
        <v>#DIV/0!</v>
      </c>
      <c r="AM99" s="53" t="e">
        <f>AM98+ATM_Conf!$C$5*(S98-R98)/(S286*AM286)</f>
        <v>#DIV/0!</v>
      </c>
      <c r="AN99" s="53" t="e">
        <f>AN98+ATM_Conf!$C$5*(T98-S98)/(T286*AN286)</f>
        <v>#DIV/0!</v>
      </c>
      <c r="AO99" s="53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47">
        <f>(DR99-DR87)^2</f>
        <v>0</v>
      </c>
      <c r="EM99" s="47">
        <f t="shared" ref="EM99:FE99" si="65">(DS99-DS87)^2</f>
        <v>0</v>
      </c>
      <c r="EN99" s="47">
        <f t="shared" si="65"/>
        <v>0</v>
      </c>
      <c r="EO99" s="47">
        <f t="shared" si="65"/>
        <v>0</v>
      </c>
      <c r="EP99" s="47">
        <f t="shared" si="65"/>
        <v>0</v>
      </c>
      <c r="EQ99" s="47">
        <f t="shared" si="65"/>
        <v>0</v>
      </c>
      <c r="ER99" s="47">
        <f t="shared" si="65"/>
        <v>0</v>
      </c>
      <c r="ES99" s="47">
        <f t="shared" si="65"/>
        <v>0</v>
      </c>
      <c r="ET99" s="47">
        <f t="shared" si="65"/>
        <v>0</v>
      </c>
      <c r="EU99" s="47">
        <f t="shared" si="65"/>
        <v>0</v>
      </c>
      <c r="EV99" s="47">
        <f t="shared" si="65"/>
        <v>0</v>
      </c>
      <c r="EW99" s="47">
        <f t="shared" si="65"/>
        <v>0</v>
      </c>
      <c r="EX99" s="47">
        <f t="shared" si="65"/>
        <v>0</v>
      </c>
      <c r="EY99" s="47">
        <f t="shared" si="65"/>
        <v>0</v>
      </c>
      <c r="EZ99" s="47">
        <f t="shared" si="65"/>
        <v>0</v>
      </c>
      <c r="FA99" s="47">
        <f t="shared" si="65"/>
        <v>0</v>
      </c>
      <c r="FB99" s="47">
        <f t="shared" si="65"/>
        <v>0</v>
      </c>
      <c r="FC99" s="47">
        <f t="shared" si="65"/>
        <v>0</v>
      </c>
      <c r="FD99" s="47">
        <f t="shared" si="65"/>
        <v>0</v>
      </c>
      <c r="FE99" s="47">
        <f t="shared" si="65"/>
        <v>0</v>
      </c>
    </row>
    <row r="100" spans="1:161" ht="14.25" x14ac:dyDescent="0.15">
      <c r="A100" s="46"/>
      <c r="B100" s="43" t="e">
        <f t="shared" si="39"/>
        <v>#DIV/0!</v>
      </c>
      <c r="C100" s="43" t="e">
        <f t="shared" si="40"/>
        <v>#DIV/0!</v>
      </c>
      <c r="D100" s="43" t="e">
        <f t="shared" si="41"/>
        <v>#DIV/0!</v>
      </c>
      <c r="E100" s="43" t="e">
        <f t="shared" si="42"/>
        <v>#DIV/0!</v>
      </c>
      <c r="F100" s="43" t="e">
        <f t="shared" si="43"/>
        <v>#DIV/0!</v>
      </c>
      <c r="G100" s="43" t="e">
        <f t="shared" si="44"/>
        <v>#DIV/0!</v>
      </c>
      <c r="H100" s="43" t="e">
        <f t="shared" si="45"/>
        <v>#DIV/0!</v>
      </c>
      <c r="I100" s="43" t="e">
        <f t="shared" si="46"/>
        <v>#DIV/0!</v>
      </c>
      <c r="J100" s="43" t="e">
        <f t="shared" si="47"/>
        <v>#DIV/0!</v>
      </c>
      <c r="K100" s="43" t="e">
        <f t="shared" si="48"/>
        <v>#DIV/0!</v>
      </c>
      <c r="L100" s="43" t="e">
        <f t="shared" si="49"/>
        <v>#DIV/0!</v>
      </c>
      <c r="M100" s="43" t="e">
        <f t="shared" si="50"/>
        <v>#DIV/0!</v>
      </c>
      <c r="N100" s="43" t="e">
        <f t="shared" si="51"/>
        <v>#DIV/0!</v>
      </c>
      <c r="O100" s="43" t="e">
        <f t="shared" si="52"/>
        <v>#DIV/0!</v>
      </c>
      <c r="P100" s="43" t="e">
        <f t="shared" si="53"/>
        <v>#DIV/0!</v>
      </c>
      <c r="Q100" s="43" t="e">
        <f t="shared" si="54"/>
        <v>#DIV/0!</v>
      </c>
      <c r="R100" s="43" t="e">
        <f t="shared" si="55"/>
        <v>#DIV/0!</v>
      </c>
      <c r="S100" s="43" t="e">
        <f t="shared" si="56"/>
        <v>#DIV/0!</v>
      </c>
      <c r="T100" s="43" t="e">
        <f t="shared" si="57"/>
        <v>#DIV/0!</v>
      </c>
      <c r="U100" s="43" t="e">
        <f t="shared" si="58"/>
        <v>#DIV/0!</v>
      </c>
      <c r="V100" s="53" t="e">
        <f>V99+ATM_Conf!$C$5*(B99)/(B287*V287)</f>
        <v>#DIV/0!</v>
      </c>
      <c r="W100" s="53" t="e">
        <f>W99+ATM_Conf!$C$5*(C99-B99)/(C287*W287)</f>
        <v>#DIV/0!</v>
      </c>
      <c r="X100" s="53" t="e">
        <f>X99+ATM_Conf!$C$5*(D99-C99)/(D287*X287)</f>
        <v>#DIV/0!</v>
      </c>
      <c r="Y100" s="53" t="e">
        <f>Y99+ATM_Conf!$C$5*(E99-D99)/(E287*Y287)</f>
        <v>#DIV/0!</v>
      </c>
      <c r="Z100" s="53" t="e">
        <f>Z99+ATM_Conf!$C$5*(F99-E99)/(F287*Z287)</f>
        <v>#DIV/0!</v>
      </c>
      <c r="AA100" s="53" t="e">
        <f>AA99+ATM_Conf!$C$5*(G99-F99)/(G287*AA287)</f>
        <v>#DIV/0!</v>
      </c>
      <c r="AB100" s="53" t="e">
        <f>AB99+ATM_Conf!$C$5*(H99-G99)/(H287*AB287)</f>
        <v>#DIV/0!</v>
      </c>
      <c r="AC100" s="53" t="e">
        <f>AC99+ATM_Conf!$C$5*(I99-H99)/(I287*AC287)</f>
        <v>#DIV/0!</v>
      </c>
      <c r="AD100" s="53" t="e">
        <f>AD99+ATM_Conf!$C$5*(J99-I99)/(J287*AD287)</f>
        <v>#DIV/0!</v>
      </c>
      <c r="AE100" s="53" t="e">
        <f>AE99+ATM_Conf!$C$5*(K99-J99)/(K287*AE287)</f>
        <v>#DIV/0!</v>
      </c>
      <c r="AF100" s="53" t="e">
        <f>AF99+ATM_Conf!$C$5*(L99)/(L287*AF287)</f>
        <v>#DIV/0!</v>
      </c>
      <c r="AG100" s="53" t="e">
        <f>AG99+ATM_Conf!$C$5*(M99-L99)/(M287*AG287)</f>
        <v>#DIV/0!</v>
      </c>
      <c r="AH100" s="53" t="e">
        <f>AH99+ATM_Conf!$C$5*(N99-M99)/(N287*AH287)</f>
        <v>#DIV/0!</v>
      </c>
      <c r="AI100" s="53" t="e">
        <f>AI99+ATM_Conf!$C$5*(O99-N99)/(O287*AI287)</f>
        <v>#DIV/0!</v>
      </c>
      <c r="AJ100" s="53" t="e">
        <f>AJ99+ATM_Conf!$C$5*(P99-O99)/(P287*AJ287)</f>
        <v>#DIV/0!</v>
      </c>
      <c r="AK100" s="53" t="e">
        <f>AK99+ATM_Conf!$C$5*(Q99-P99)/(Q287*AK287)</f>
        <v>#DIV/0!</v>
      </c>
      <c r="AL100" s="53" t="e">
        <f>AL99+ATM_Conf!$C$5*(R99-Q99)/(R287*AL287)</f>
        <v>#DIV/0!</v>
      </c>
      <c r="AM100" s="53" t="e">
        <f>AM99+ATM_Conf!$C$5*(S99-R99)/(S287*AM287)</f>
        <v>#DIV/0!</v>
      </c>
      <c r="AN100" s="53" t="e">
        <f>AN99+ATM_Conf!$C$5*(T99-S99)/(T287*AN287)</f>
        <v>#DIV/0!</v>
      </c>
      <c r="AO100" s="53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43">
        <f>DR$99</f>
        <v>0</v>
      </c>
      <c r="DS100" s="43">
        <f t="shared" ref="DS100:EK110" si="66">DS$99</f>
        <v>0</v>
      </c>
      <c r="DT100" s="43">
        <f t="shared" si="66"/>
        <v>0</v>
      </c>
      <c r="DU100" s="43">
        <f t="shared" si="66"/>
        <v>0</v>
      </c>
      <c r="DV100" s="43">
        <f t="shared" si="66"/>
        <v>0</v>
      </c>
      <c r="DW100" s="43">
        <f t="shared" si="66"/>
        <v>0</v>
      </c>
      <c r="DX100" s="43">
        <f t="shared" si="66"/>
        <v>0</v>
      </c>
      <c r="DY100" s="43">
        <f t="shared" si="66"/>
        <v>0</v>
      </c>
      <c r="DZ100" s="43">
        <f t="shared" si="66"/>
        <v>0</v>
      </c>
      <c r="EA100" s="43">
        <f t="shared" si="66"/>
        <v>0</v>
      </c>
      <c r="EB100" s="43">
        <f t="shared" si="66"/>
        <v>0</v>
      </c>
      <c r="EC100" s="43">
        <f t="shared" si="66"/>
        <v>0</v>
      </c>
      <c r="ED100" s="43">
        <f t="shared" si="66"/>
        <v>0</v>
      </c>
      <c r="EE100" s="43">
        <f t="shared" si="66"/>
        <v>0</v>
      </c>
      <c r="EF100" s="43">
        <f t="shared" si="66"/>
        <v>0</v>
      </c>
      <c r="EG100" s="43">
        <f t="shared" si="66"/>
        <v>0</v>
      </c>
      <c r="EH100" s="43">
        <f t="shared" si="66"/>
        <v>0</v>
      </c>
      <c r="EI100" s="43">
        <f t="shared" si="66"/>
        <v>0</v>
      </c>
      <c r="EJ100" s="43">
        <f t="shared" si="66"/>
        <v>0</v>
      </c>
      <c r="EK100" s="43">
        <f t="shared" si="66"/>
        <v>0</v>
      </c>
      <c r="EL100" s="47"/>
      <c r="EM100" s="47"/>
      <c r="EN100" s="47"/>
      <c r="EO100" s="47"/>
      <c r="EP100" s="47"/>
      <c r="EQ100" s="47"/>
      <c r="ER100" s="47"/>
      <c r="ES100" s="47"/>
      <c r="ET100" s="47"/>
      <c r="EU100" s="47"/>
      <c r="EV100" s="47"/>
      <c r="EW100" s="47"/>
      <c r="EX100" s="47"/>
      <c r="EY100" s="47"/>
      <c r="EZ100" s="47"/>
      <c r="FA100" s="47"/>
      <c r="FB100" s="47"/>
      <c r="FC100" s="47"/>
      <c r="FD100" s="47"/>
      <c r="FE100" s="47"/>
    </row>
    <row r="101" spans="1:161" ht="14.25" x14ac:dyDescent="0.15">
      <c r="A101" s="46"/>
      <c r="B101" s="43" t="e">
        <f t="shared" si="39"/>
        <v>#DIV/0!</v>
      </c>
      <c r="C101" s="43" t="e">
        <f t="shared" si="40"/>
        <v>#DIV/0!</v>
      </c>
      <c r="D101" s="43" t="e">
        <f t="shared" si="41"/>
        <v>#DIV/0!</v>
      </c>
      <c r="E101" s="43" t="e">
        <f t="shared" si="42"/>
        <v>#DIV/0!</v>
      </c>
      <c r="F101" s="43" t="e">
        <f t="shared" si="43"/>
        <v>#DIV/0!</v>
      </c>
      <c r="G101" s="43" t="e">
        <f t="shared" si="44"/>
        <v>#DIV/0!</v>
      </c>
      <c r="H101" s="43" t="e">
        <f t="shared" si="45"/>
        <v>#DIV/0!</v>
      </c>
      <c r="I101" s="43" t="e">
        <f t="shared" si="46"/>
        <v>#DIV/0!</v>
      </c>
      <c r="J101" s="43" t="e">
        <f t="shared" si="47"/>
        <v>#DIV/0!</v>
      </c>
      <c r="K101" s="43" t="e">
        <f t="shared" si="48"/>
        <v>#DIV/0!</v>
      </c>
      <c r="L101" s="43" t="e">
        <f t="shared" si="49"/>
        <v>#DIV/0!</v>
      </c>
      <c r="M101" s="43" t="e">
        <f t="shared" si="50"/>
        <v>#DIV/0!</v>
      </c>
      <c r="N101" s="43" t="e">
        <f t="shared" si="51"/>
        <v>#DIV/0!</v>
      </c>
      <c r="O101" s="43" t="e">
        <f t="shared" si="52"/>
        <v>#DIV/0!</v>
      </c>
      <c r="P101" s="43" t="e">
        <f t="shared" si="53"/>
        <v>#DIV/0!</v>
      </c>
      <c r="Q101" s="43" t="e">
        <f t="shared" si="54"/>
        <v>#DIV/0!</v>
      </c>
      <c r="R101" s="43" t="e">
        <f t="shared" si="55"/>
        <v>#DIV/0!</v>
      </c>
      <c r="S101" s="43" t="e">
        <f t="shared" si="56"/>
        <v>#DIV/0!</v>
      </c>
      <c r="T101" s="43" t="e">
        <f t="shared" si="57"/>
        <v>#DIV/0!</v>
      </c>
      <c r="U101" s="43" t="e">
        <f t="shared" si="58"/>
        <v>#DIV/0!</v>
      </c>
      <c r="V101" s="53" t="e">
        <f>V100+ATM_Conf!$C$5*(B100)/(B288*V288)</f>
        <v>#DIV/0!</v>
      </c>
      <c r="W101" s="53" t="e">
        <f>W100+ATM_Conf!$C$5*(C100-B100)/(C288*W288)</f>
        <v>#DIV/0!</v>
      </c>
      <c r="X101" s="53" t="e">
        <f>X100+ATM_Conf!$C$5*(D100-C100)/(D288*X288)</f>
        <v>#DIV/0!</v>
      </c>
      <c r="Y101" s="53" t="e">
        <f>Y100+ATM_Conf!$C$5*(E100-D100)/(E288*Y288)</f>
        <v>#DIV/0!</v>
      </c>
      <c r="Z101" s="53" t="e">
        <f>Z100+ATM_Conf!$C$5*(F100-E100)/(F288*Z288)</f>
        <v>#DIV/0!</v>
      </c>
      <c r="AA101" s="53" t="e">
        <f>AA100+ATM_Conf!$C$5*(G100-F100)/(G288*AA288)</f>
        <v>#DIV/0!</v>
      </c>
      <c r="AB101" s="53" t="e">
        <f>AB100+ATM_Conf!$C$5*(H100-G100)/(H288*AB288)</f>
        <v>#DIV/0!</v>
      </c>
      <c r="AC101" s="53" t="e">
        <f>AC100+ATM_Conf!$C$5*(I100-H100)/(I288*AC288)</f>
        <v>#DIV/0!</v>
      </c>
      <c r="AD101" s="53" t="e">
        <f>AD100+ATM_Conf!$C$5*(J100-I100)/(J288*AD288)</f>
        <v>#DIV/0!</v>
      </c>
      <c r="AE101" s="53" t="e">
        <f>AE100+ATM_Conf!$C$5*(K100-J100)/(K288*AE288)</f>
        <v>#DIV/0!</v>
      </c>
      <c r="AF101" s="53" t="e">
        <f>AF100+ATM_Conf!$C$5*(L100)/(L288*AF288)</f>
        <v>#DIV/0!</v>
      </c>
      <c r="AG101" s="53" t="e">
        <f>AG100+ATM_Conf!$C$5*(M100-L100)/(M288*AG288)</f>
        <v>#DIV/0!</v>
      </c>
      <c r="AH101" s="53" t="e">
        <f>AH100+ATM_Conf!$C$5*(N100-M100)/(N288*AH288)</f>
        <v>#DIV/0!</v>
      </c>
      <c r="AI101" s="53" t="e">
        <f>AI100+ATM_Conf!$C$5*(O100-N100)/(O288*AI288)</f>
        <v>#DIV/0!</v>
      </c>
      <c r="AJ101" s="53" t="e">
        <f>AJ100+ATM_Conf!$C$5*(P100-O100)/(P288*AJ288)</f>
        <v>#DIV/0!</v>
      </c>
      <c r="AK101" s="53" t="e">
        <f>AK100+ATM_Conf!$C$5*(Q100-P100)/(Q288*AK288)</f>
        <v>#DIV/0!</v>
      </c>
      <c r="AL101" s="53" t="e">
        <f>AL100+ATM_Conf!$C$5*(R100-Q100)/(R288*AL288)</f>
        <v>#DIV/0!</v>
      </c>
      <c r="AM101" s="53" t="e">
        <f>AM100+ATM_Conf!$C$5*(S100-R100)/(S288*AM288)</f>
        <v>#DIV/0!</v>
      </c>
      <c r="AN101" s="53" t="e">
        <f>AN100+ATM_Conf!$C$5*(T100-S100)/(T288*AN288)</f>
        <v>#DIV/0!</v>
      </c>
      <c r="AO101" s="53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43">
        <f t="shared" ref="DR101:DR110" si="67">DR$99</f>
        <v>0</v>
      </c>
      <c r="DS101" s="43">
        <f t="shared" si="66"/>
        <v>0</v>
      </c>
      <c r="DT101" s="43">
        <f t="shared" si="66"/>
        <v>0</v>
      </c>
      <c r="DU101" s="43">
        <f t="shared" si="66"/>
        <v>0</v>
      </c>
      <c r="DV101" s="43">
        <f t="shared" si="66"/>
        <v>0</v>
      </c>
      <c r="DW101" s="43">
        <f t="shared" si="66"/>
        <v>0</v>
      </c>
      <c r="DX101" s="43">
        <f t="shared" si="66"/>
        <v>0</v>
      </c>
      <c r="DY101" s="43">
        <f t="shared" si="66"/>
        <v>0</v>
      </c>
      <c r="DZ101" s="43">
        <f t="shared" si="66"/>
        <v>0</v>
      </c>
      <c r="EA101" s="43">
        <f t="shared" si="66"/>
        <v>0</v>
      </c>
      <c r="EB101" s="43">
        <f t="shared" si="66"/>
        <v>0</v>
      </c>
      <c r="EC101" s="43">
        <f t="shared" si="66"/>
        <v>0</v>
      </c>
      <c r="ED101" s="43">
        <f t="shared" si="66"/>
        <v>0</v>
      </c>
      <c r="EE101" s="43">
        <f t="shared" si="66"/>
        <v>0</v>
      </c>
      <c r="EF101" s="43">
        <f t="shared" si="66"/>
        <v>0</v>
      </c>
      <c r="EG101" s="43">
        <f t="shared" si="66"/>
        <v>0</v>
      </c>
      <c r="EH101" s="43">
        <f t="shared" si="66"/>
        <v>0</v>
      </c>
      <c r="EI101" s="43">
        <f t="shared" si="66"/>
        <v>0</v>
      </c>
      <c r="EJ101" s="43">
        <f t="shared" si="66"/>
        <v>0</v>
      </c>
      <c r="EK101" s="43">
        <f t="shared" si="66"/>
        <v>0</v>
      </c>
      <c r="EL101" s="47"/>
      <c r="EM101" s="47"/>
      <c r="EN101" s="47"/>
      <c r="EO101" s="47"/>
      <c r="EP101" s="47"/>
      <c r="EQ101" s="47"/>
      <c r="ER101" s="47"/>
      <c r="ES101" s="47"/>
      <c r="ET101" s="47"/>
      <c r="EU101" s="47"/>
      <c r="EV101" s="47"/>
      <c r="EW101" s="47"/>
      <c r="EX101" s="47"/>
      <c r="EY101" s="47"/>
      <c r="EZ101" s="47"/>
      <c r="FA101" s="47"/>
      <c r="FB101" s="47"/>
      <c r="FC101" s="47"/>
      <c r="FD101" s="47"/>
      <c r="FE101" s="47"/>
    </row>
    <row r="102" spans="1:161" ht="14.25" x14ac:dyDescent="0.15">
      <c r="A102" s="46"/>
      <c r="B102" s="43" t="e">
        <f t="shared" si="39"/>
        <v>#DIV/0!</v>
      </c>
      <c r="C102" s="43" t="e">
        <f t="shared" si="40"/>
        <v>#DIV/0!</v>
      </c>
      <c r="D102" s="43" t="e">
        <f t="shared" si="41"/>
        <v>#DIV/0!</v>
      </c>
      <c r="E102" s="43" t="e">
        <f t="shared" si="42"/>
        <v>#DIV/0!</v>
      </c>
      <c r="F102" s="43" t="e">
        <f t="shared" si="43"/>
        <v>#DIV/0!</v>
      </c>
      <c r="G102" s="43" t="e">
        <f t="shared" si="44"/>
        <v>#DIV/0!</v>
      </c>
      <c r="H102" s="43" t="e">
        <f t="shared" si="45"/>
        <v>#DIV/0!</v>
      </c>
      <c r="I102" s="43" t="e">
        <f t="shared" si="46"/>
        <v>#DIV/0!</v>
      </c>
      <c r="J102" s="43" t="e">
        <f t="shared" si="47"/>
        <v>#DIV/0!</v>
      </c>
      <c r="K102" s="43" t="e">
        <f t="shared" si="48"/>
        <v>#DIV/0!</v>
      </c>
      <c r="L102" s="43" t="e">
        <f t="shared" si="49"/>
        <v>#DIV/0!</v>
      </c>
      <c r="M102" s="43" t="e">
        <f t="shared" si="50"/>
        <v>#DIV/0!</v>
      </c>
      <c r="N102" s="43" t="e">
        <f t="shared" si="51"/>
        <v>#DIV/0!</v>
      </c>
      <c r="O102" s="43" t="e">
        <f t="shared" si="52"/>
        <v>#DIV/0!</v>
      </c>
      <c r="P102" s="43" t="e">
        <f t="shared" si="53"/>
        <v>#DIV/0!</v>
      </c>
      <c r="Q102" s="43" t="e">
        <f t="shared" si="54"/>
        <v>#DIV/0!</v>
      </c>
      <c r="R102" s="43" t="e">
        <f t="shared" si="55"/>
        <v>#DIV/0!</v>
      </c>
      <c r="S102" s="43" t="e">
        <f t="shared" si="56"/>
        <v>#DIV/0!</v>
      </c>
      <c r="T102" s="43" t="e">
        <f t="shared" si="57"/>
        <v>#DIV/0!</v>
      </c>
      <c r="U102" s="43" t="e">
        <f t="shared" si="58"/>
        <v>#DIV/0!</v>
      </c>
      <c r="V102" s="53" t="e">
        <f>V101+ATM_Conf!$C$5*(B101)/(B289*V289)</f>
        <v>#DIV/0!</v>
      </c>
      <c r="W102" s="53" t="e">
        <f>W101+ATM_Conf!$C$5*(C101-B101)/(C289*W289)</f>
        <v>#DIV/0!</v>
      </c>
      <c r="X102" s="53" t="e">
        <f>X101+ATM_Conf!$C$5*(D101-C101)/(D289*X289)</f>
        <v>#DIV/0!</v>
      </c>
      <c r="Y102" s="53" t="e">
        <f>Y101+ATM_Conf!$C$5*(E101-D101)/(E289*Y289)</f>
        <v>#DIV/0!</v>
      </c>
      <c r="Z102" s="53" t="e">
        <f>Z101+ATM_Conf!$C$5*(F101-E101)/(F289*Z289)</f>
        <v>#DIV/0!</v>
      </c>
      <c r="AA102" s="53" t="e">
        <f>AA101+ATM_Conf!$C$5*(G101-F101)/(G289*AA289)</f>
        <v>#DIV/0!</v>
      </c>
      <c r="AB102" s="53" t="e">
        <f>AB101+ATM_Conf!$C$5*(H101-G101)/(H289*AB289)</f>
        <v>#DIV/0!</v>
      </c>
      <c r="AC102" s="53" t="e">
        <f>AC101+ATM_Conf!$C$5*(I101-H101)/(I289*AC289)</f>
        <v>#DIV/0!</v>
      </c>
      <c r="AD102" s="53" t="e">
        <f>AD101+ATM_Conf!$C$5*(J101-I101)/(J289*AD289)</f>
        <v>#DIV/0!</v>
      </c>
      <c r="AE102" s="53" t="e">
        <f>AE101+ATM_Conf!$C$5*(K101-J101)/(K289*AE289)</f>
        <v>#DIV/0!</v>
      </c>
      <c r="AF102" s="53" t="e">
        <f>AF101+ATM_Conf!$C$5*(L101)/(L289*AF289)</f>
        <v>#DIV/0!</v>
      </c>
      <c r="AG102" s="53" t="e">
        <f>AG101+ATM_Conf!$C$5*(M101-L101)/(M289*AG289)</f>
        <v>#DIV/0!</v>
      </c>
      <c r="AH102" s="53" t="e">
        <f>AH101+ATM_Conf!$C$5*(N101-M101)/(N289*AH289)</f>
        <v>#DIV/0!</v>
      </c>
      <c r="AI102" s="53" t="e">
        <f>AI101+ATM_Conf!$C$5*(O101-N101)/(O289*AI289)</f>
        <v>#DIV/0!</v>
      </c>
      <c r="AJ102" s="53" t="e">
        <f>AJ101+ATM_Conf!$C$5*(P101-O101)/(P289*AJ289)</f>
        <v>#DIV/0!</v>
      </c>
      <c r="AK102" s="53" t="e">
        <f>AK101+ATM_Conf!$C$5*(Q101-P101)/(Q289*AK289)</f>
        <v>#DIV/0!</v>
      </c>
      <c r="AL102" s="53" t="e">
        <f>AL101+ATM_Conf!$C$5*(R101-Q101)/(R289*AL289)</f>
        <v>#DIV/0!</v>
      </c>
      <c r="AM102" s="53" t="e">
        <f>AM101+ATM_Conf!$C$5*(S101-R101)/(S289*AM289)</f>
        <v>#DIV/0!</v>
      </c>
      <c r="AN102" s="53" t="e">
        <f>AN101+ATM_Conf!$C$5*(T101-S101)/(T289*AN289)</f>
        <v>#DIV/0!</v>
      </c>
      <c r="AO102" s="53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43">
        <f t="shared" si="67"/>
        <v>0</v>
      </c>
      <c r="DS102" s="43">
        <f t="shared" si="66"/>
        <v>0</v>
      </c>
      <c r="DT102" s="43">
        <f t="shared" si="66"/>
        <v>0</v>
      </c>
      <c r="DU102" s="43">
        <f t="shared" si="66"/>
        <v>0</v>
      </c>
      <c r="DV102" s="43">
        <f t="shared" si="66"/>
        <v>0</v>
      </c>
      <c r="DW102" s="43">
        <f t="shared" si="66"/>
        <v>0</v>
      </c>
      <c r="DX102" s="43">
        <f t="shared" si="66"/>
        <v>0</v>
      </c>
      <c r="DY102" s="43">
        <f t="shared" si="66"/>
        <v>0</v>
      </c>
      <c r="DZ102" s="43">
        <f t="shared" si="66"/>
        <v>0</v>
      </c>
      <c r="EA102" s="43">
        <f t="shared" si="66"/>
        <v>0</v>
      </c>
      <c r="EB102" s="43">
        <f t="shared" si="66"/>
        <v>0</v>
      </c>
      <c r="EC102" s="43">
        <f t="shared" si="66"/>
        <v>0</v>
      </c>
      <c r="ED102" s="43">
        <f t="shared" si="66"/>
        <v>0</v>
      </c>
      <c r="EE102" s="43">
        <f t="shared" si="66"/>
        <v>0</v>
      </c>
      <c r="EF102" s="43">
        <f t="shared" si="66"/>
        <v>0</v>
      </c>
      <c r="EG102" s="43">
        <f t="shared" si="66"/>
        <v>0</v>
      </c>
      <c r="EH102" s="43">
        <f t="shared" si="66"/>
        <v>0</v>
      </c>
      <c r="EI102" s="43">
        <f t="shared" si="66"/>
        <v>0</v>
      </c>
      <c r="EJ102" s="43">
        <f t="shared" si="66"/>
        <v>0</v>
      </c>
      <c r="EK102" s="43">
        <f t="shared" si="66"/>
        <v>0</v>
      </c>
      <c r="EL102" s="47"/>
      <c r="EM102" s="47"/>
      <c r="EN102" s="47"/>
      <c r="EO102" s="47"/>
      <c r="EP102" s="47"/>
      <c r="EQ102" s="47"/>
      <c r="ER102" s="47"/>
      <c r="ES102" s="47"/>
      <c r="ET102" s="47"/>
      <c r="EU102" s="47"/>
      <c r="EV102" s="47"/>
      <c r="EW102" s="47"/>
      <c r="EX102" s="47"/>
      <c r="EY102" s="47"/>
      <c r="EZ102" s="47"/>
      <c r="FA102" s="47"/>
      <c r="FB102" s="47"/>
      <c r="FC102" s="47"/>
      <c r="FD102" s="47"/>
      <c r="FE102" s="47"/>
    </row>
    <row r="103" spans="1:161" ht="14.25" x14ac:dyDescent="0.15">
      <c r="A103" s="46"/>
      <c r="B103" s="43" t="e">
        <f t="shared" si="39"/>
        <v>#DIV/0!</v>
      </c>
      <c r="C103" s="43" t="e">
        <f t="shared" si="40"/>
        <v>#DIV/0!</v>
      </c>
      <c r="D103" s="43" t="e">
        <f t="shared" si="41"/>
        <v>#DIV/0!</v>
      </c>
      <c r="E103" s="43" t="e">
        <f t="shared" si="42"/>
        <v>#DIV/0!</v>
      </c>
      <c r="F103" s="43" t="e">
        <f t="shared" si="43"/>
        <v>#DIV/0!</v>
      </c>
      <c r="G103" s="43" t="e">
        <f t="shared" si="44"/>
        <v>#DIV/0!</v>
      </c>
      <c r="H103" s="43" t="e">
        <f t="shared" si="45"/>
        <v>#DIV/0!</v>
      </c>
      <c r="I103" s="43" t="e">
        <f t="shared" si="46"/>
        <v>#DIV/0!</v>
      </c>
      <c r="J103" s="43" t="e">
        <f t="shared" si="47"/>
        <v>#DIV/0!</v>
      </c>
      <c r="K103" s="43" t="e">
        <f t="shared" si="48"/>
        <v>#DIV/0!</v>
      </c>
      <c r="L103" s="43" t="e">
        <f t="shared" si="49"/>
        <v>#DIV/0!</v>
      </c>
      <c r="M103" s="43" t="e">
        <f t="shared" si="50"/>
        <v>#DIV/0!</v>
      </c>
      <c r="N103" s="43" t="e">
        <f t="shared" si="51"/>
        <v>#DIV/0!</v>
      </c>
      <c r="O103" s="43" t="e">
        <f t="shared" si="52"/>
        <v>#DIV/0!</v>
      </c>
      <c r="P103" s="43" t="e">
        <f t="shared" si="53"/>
        <v>#DIV/0!</v>
      </c>
      <c r="Q103" s="43" t="e">
        <f t="shared" si="54"/>
        <v>#DIV/0!</v>
      </c>
      <c r="R103" s="43" t="e">
        <f t="shared" si="55"/>
        <v>#DIV/0!</v>
      </c>
      <c r="S103" s="43" t="e">
        <f t="shared" si="56"/>
        <v>#DIV/0!</v>
      </c>
      <c r="T103" s="43" t="e">
        <f t="shared" si="57"/>
        <v>#DIV/0!</v>
      </c>
      <c r="U103" s="43" t="e">
        <f t="shared" si="58"/>
        <v>#DIV/0!</v>
      </c>
      <c r="V103" s="53" t="e">
        <f>V102+ATM_Conf!$C$5*(B102)/(B290*V290)</f>
        <v>#DIV/0!</v>
      </c>
      <c r="W103" s="53" t="e">
        <f>W102+ATM_Conf!$C$5*(C102-B102)/(C290*W290)</f>
        <v>#DIV/0!</v>
      </c>
      <c r="X103" s="53" t="e">
        <f>X102+ATM_Conf!$C$5*(D102-C102)/(D290*X290)</f>
        <v>#DIV/0!</v>
      </c>
      <c r="Y103" s="53" t="e">
        <f>Y102+ATM_Conf!$C$5*(E102-D102)/(E290*Y290)</f>
        <v>#DIV/0!</v>
      </c>
      <c r="Z103" s="53" t="e">
        <f>Z102+ATM_Conf!$C$5*(F102-E102)/(F290*Z290)</f>
        <v>#DIV/0!</v>
      </c>
      <c r="AA103" s="53" t="e">
        <f>AA102+ATM_Conf!$C$5*(G102-F102)/(G290*AA290)</f>
        <v>#DIV/0!</v>
      </c>
      <c r="AB103" s="53" t="e">
        <f>AB102+ATM_Conf!$C$5*(H102-G102)/(H290*AB290)</f>
        <v>#DIV/0!</v>
      </c>
      <c r="AC103" s="53" t="e">
        <f>AC102+ATM_Conf!$C$5*(I102-H102)/(I290*AC290)</f>
        <v>#DIV/0!</v>
      </c>
      <c r="AD103" s="53" t="e">
        <f>AD102+ATM_Conf!$C$5*(J102-I102)/(J290*AD290)</f>
        <v>#DIV/0!</v>
      </c>
      <c r="AE103" s="53" t="e">
        <f>AE102+ATM_Conf!$C$5*(K102-J102)/(K290*AE290)</f>
        <v>#DIV/0!</v>
      </c>
      <c r="AF103" s="53" t="e">
        <f>AF102+ATM_Conf!$C$5*(L102)/(L290*AF290)</f>
        <v>#DIV/0!</v>
      </c>
      <c r="AG103" s="53" t="e">
        <f>AG102+ATM_Conf!$C$5*(M102-L102)/(M290*AG290)</f>
        <v>#DIV/0!</v>
      </c>
      <c r="AH103" s="53" t="e">
        <f>AH102+ATM_Conf!$C$5*(N102-M102)/(N290*AH290)</f>
        <v>#DIV/0!</v>
      </c>
      <c r="AI103" s="53" t="e">
        <f>AI102+ATM_Conf!$C$5*(O102-N102)/(O290*AI290)</f>
        <v>#DIV/0!</v>
      </c>
      <c r="AJ103" s="53" t="e">
        <f>AJ102+ATM_Conf!$C$5*(P102-O102)/(P290*AJ290)</f>
        <v>#DIV/0!</v>
      </c>
      <c r="AK103" s="53" t="e">
        <f>AK102+ATM_Conf!$C$5*(Q102-P102)/(Q290*AK290)</f>
        <v>#DIV/0!</v>
      </c>
      <c r="AL103" s="53" t="e">
        <f>AL102+ATM_Conf!$C$5*(R102-Q102)/(R290*AL290)</f>
        <v>#DIV/0!</v>
      </c>
      <c r="AM103" s="53" t="e">
        <f>AM102+ATM_Conf!$C$5*(S102-R102)/(S290*AM290)</f>
        <v>#DIV/0!</v>
      </c>
      <c r="AN103" s="53" t="e">
        <f>AN102+ATM_Conf!$C$5*(T102-S102)/(T290*AN290)</f>
        <v>#DIV/0!</v>
      </c>
      <c r="AO103" s="53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43">
        <f t="shared" si="67"/>
        <v>0</v>
      </c>
      <c r="DS103" s="43">
        <f t="shared" si="66"/>
        <v>0</v>
      </c>
      <c r="DT103" s="43">
        <f t="shared" si="66"/>
        <v>0</v>
      </c>
      <c r="DU103" s="43">
        <f t="shared" si="66"/>
        <v>0</v>
      </c>
      <c r="DV103" s="43">
        <f t="shared" si="66"/>
        <v>0</v>
      </c>
      <c r="DW103" s="43">
        <f t="shared" si="66"/>
        <v>0</v>
      </c>
      <c r="DX103" s="43">
        <f t="shared" si="66"/>
        <v>0</v>
      </c>
      <c r="DY103" s="43">
        <f t="shared" si="66"/>
        <v>0</v>
      </c>
      <c r="DZ103" s="43">
        <f t="shared" si="66"/>
        <v>0</v>
      </c>
      <c r="EA103" s="43">
        <f t="shared" si="66"/>
        <v>0</v>
      </c>
      <c r="EB103" s="43">
        <f t="shared" si="66"/>
        <v>0</v>
      </c>
      <c r="EC103" s="43">
        <f t="shared" si="66"/>
        <v>0</v>
      </c>
      <c r="ED103" s="43">
        <f t="shared" si="66"/>
        <v>0</v>
      </c>
      <c r="EE103" s="43">
        <f t="shared" si="66"/>
        <v>0</v>
      </c>
      <c r="EF103" s="43">
        <f t="shared" si="66"/>
        <v>0</v>
      </c>
      <c r="EG103" s="43">
        <f t="shared" si="66"/>
        <v>0</v>
      </c>
      <c r="EH103" s="43">
        <f t="shared" si="66"/>
        <v>0</v>
      </c>
      <c r="EI103" s="43">
        <f t="shared" si="66"/>
        <v>0</v>
      </c>
      <c r="EJ103" s="43">
        <f t="shared" si="66"/>
        <v>0</v>
      </c>
      <c r="EK103" s="43">
        <f t="shared" si="66"/>
        <v>0</v>
      </c>
      <c r="EL103" s="47"/>
      <c r="EM103" s="47"/>
      <c r="EN103" s="47"/>
      <c r="EO103" s="47"/>
      <c r="EP103" s="47"/>
      <c r="EQ103" s="47"/>
      <c r="ER103" s="47"/>
      <c r="ES103" s="47"/>
      <c r="ET103" s="47"/>
      <c r="EU103" s="47"/>
      <c r="EV103" s="47"/>
      <c r="EW103" s="47"/>
      <c r="EX103" s="47"/>
      <c r="EY103" s="47"/>
      <c r="EZ103" s="47"/>
      <c r="FA103" s="47"/>
      <c r="FB103" s="47"/>
      <c r="FC103" s="47"/>
      <c r="FD103" s="47"/>
      <c r="FE103" s="47"/>
    </row>
    <row r="104" spans="1:161" ht="14.25" x14ac:dyDescent="0.15">
      <c r="A104" s="46"/>
      <c r="B104" s="43" t="e">
        <f t="shared" si="39"/>
        <v>#DIV/0!</v>
      </c>
      <c r="C104" s="43" t="e">
        <f t="shared" si="40"/>
        <v>#DIV/0!</v>
      </c>
      <c r="D104" s="43" t="e">
        <f t="shared" si="41"/>
        <v>#DIV/0!</v>
      </c>
      <c r="E104" s="43" t="e">
        <f t="shared" si="42"/>
        <v>#DIV/0!</v>
      </c>
      <c r="F104" s="43" t="e">
        <f t="shared" si="43"/>
        <v>#DIV/0!</v>
      </c>
      <c r="G104" s="43" t="e">
        <f t="shared" si="44"/>
        <v>#DIV/0!</v>
      </c>
      <c r="H104" s="43" t="e">
        <f t="shared" si="45"/>
        <v>#DIV/0!</v>
      </c>
      <c r="I104" s="43" t="e">
        <f t="shared" si="46"/>
        <v>#DIV/0!</v>
      </c>
      <c r="J104" s="43" t="e">
        <f t="shared" si="47"/>
        <v>#DIV/0!</v>
      </c>
      <c r="K104" s="43" t="e">
        <f t="shared" si="48"/>
        <v>#DIV/0!</v>
      </c>
      <c r="L104" s="43" t="e">
        <f t="shared" si="49"/>
        <v>#DIV/0!</v>
      </c>
      <c r="M104" s="43" t="e">
        <f t="shared" si="50"/>
        <v>#DIV/0!</v>
      </c>
      <c r="N104" s="43" t="e">
        <f t="shared" si="51"/>
        <v>#DIV/0!</v>
      </c>
      <c r="O104" s="43" t="e">
        <f t="shared" si="52"/>
        <v>#DIV/0!</v>
      </c>
      <c r="P104" s="43" t="e">
        <f t="shared" si="53"/>
        <v>#DIV/0!</v>
      </c>
      <c r="Q104" s="43" t="e">
        <f t="shared" si="54"/>
        <v>#DIV/0!</v>
      </c>
      <c r="R104" s="43" t="e">
        <f t="shared" si="55"/>
        <v>#DIV/0!</v>
      </c>
      <c r="S104" s="43" t="e">
        <f t="shared" si="56"/>
        <v>#DIV/0!</v>
      </c>
      <c r="T104" s="43" t="e">
        <f t="shared" si="57"/>
        <v>#DIV/0!</v>
      </c>
      <c r="U104" s="43" t="e">
        <f t="shared" si="58"/>
        <v>#DIV/0!</v>
      </c>
      <c r="V104" s="53" t="e">
        <f>V103+ATM_Conf!$C$5*(B103)/(B291*V291)</f>
        <v>#DIV/0!</v>
      </c>
      <c r="W104" s="53" t="e">
        <f>W103+ATM_Conf!$C$5*(C103-B103)/(C291*W291)</f>
        <v>#DIV/0!</v>
      </c>
      <c r="X104" s="53" t="e">
        <f>X103+ATM_Conf!$C$5*(D103-C103)/(D291*X291)</f>
        <v>#DIV/0!</v>
      </c>
      <c r="Y104" s="53" t="e">
        <f>Y103+ATM_Conf!$C$5*(E103-D103)/(E291*Y291)</f>
        <v>#DIV/0!</v>
      </c>
      <c r="Z104" s="53" t="e">
        <f>Z103+ATM_Conf!$C$5*(F103-E103)/(F291*Z291)</f>
        <v>#DIV/0!</v>
      </c>
      <c r="AA104" s="53" t="e">
        <f>AA103+ATM_Conf!$C$5*(G103-F103)/(G291*AA291)</f>
        <v>#DIV/0!</v>
      </c>
      <c r="AB104" s="53" t="e">
        <f>AB103+ATM_Conf!$C$5*(H103-G103)/(H291*AB291)</f>
        <v>#DIV/0!</v>
      </c>
      <c r="AC104" s="53" t="e">
        <f>AC103+ATM_Conf!$C$5*(I103-H103)/(I291*AC291)</f>
        <v>#DIV/0!</v>
      </c>
      <c r="AD104" s="53" t="e">
        <f>AD103+ATM_Conf!$C$5*(J103-I103)/(J291*AD291)</f>
        <v>#DIV/0!</v>
      </c>
      <c r="AE104" s="53" t="e">
        <f>AE103+ATM_Conf!$C$5*(K103-J103)/(K291*AE291)</f>
        <v>#DIV/0!</v>
      </c>
      <c r="AF104" s="53" t="e">
        <f>AF103+ATM_Conf!$C$5*(L103)/(L291*AF291)</f>
        <v>#DIV/0!</v>
      </c>
      <c r="AG104" s="53" t="e">
        <f>AG103+ATM_Conf!$C$5*(M103-L103)/(M291*AG291)</f>
        <v>#DIV/0!</v>
      </c>
      <c r="AH104" s="53" t="e">
        <f>AH103+ATM_Conf!$C$5*(N103-M103)/(N291*AH291)</f>
        <v>#DIV/0!</v>
      </c>
      <c r="AI104" s="53" t="e">
        <f>AI103+ATM_Conf!$C$5*(O103-N103)/(O291*AI291)</f>
        <v>#DIV/0!</v>
      </c>
      <c r="AJ104" s="53" t="e">
        <f>AJ103+ATM_Conf!$C$5*(P103-O103)/(P291*AJ291)</f>
        <v>#DIV/0!</v>
      </c>
      <c r="AK104" s="53" t="e">
        <f>AK103+ATM_Conf!$C$5*(Q103-P103)/(Q291*AK291)</f>
        <v>#DIV/0!</v>
      </c>
      <c r="AL104" s="53" t="e">
        <f>AL103+ATM_Conf!$C$5*(R103-Q103)/(R291*AL291)</f>
        <v>#DIV/0!</v>
      </c>
      <c r="AM104" s="53" t="e">
        <f>AM103+ATM_Conf!$C$5*(S103-R103)/(S291*AM291)</f>
        <v>#DIV/0!</v>
      </c>
      <c r="AN104" s="53" t="e">
        <f>AN103+ATM_Conf!$C$5*(T103-S103)/(T291*AN291)</f>
        <v>#DIV/0!</v>
      </c>
      <c r="AO104" s="53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43">
        <f t="shared" si="67"/>
        <v>0</v>
      </c>
      <c r="DS104" s="43">
        <f t="shared" si="66"/>
        <v>0</v>
      </c>
      <c r="DT104" s="43">
        <f t="shared" si="66"/>
        <v>0</v>
      </c>
      <c r="DU104" s="43">
        <f t="shared" si="66"/>
        <v>0</v>
      </c>
      <c r="DV104" s="43">
        <f t="shared" si="66"/>
        <v>0</v>
      </c>
      <c r="DW104" s="43">
        <f t="shared" si="66"/>
        <v>0</v>
      </c>
      <c r="DX104" s="43">
        <f t="shared" si="66"/>
        <v>0</v>
      </c>
      <c r="DY104" s="43">
        <f t="shared" si="66"/>
        <v>0</v>
      </c>
      <c r="DZ104" s="43">
        <f t="shared" si="66"/>
        <v>0</v>
      </c>
      <c r="EA104" s="43">
        <f t="shared" si="66"/>
        <v>0</v>
      </c>
      <c r="EB104" s="43">
        <f t="shared" si="66"/>
        <v>0</v>
      </c>
      <c r="EC104" s="43">
        <f t="shared" si="66"/>
        <v>0</v>
      </c>
      <c r="ED104" s="43">
        <f t="shared" si="66"/>
        <v>0</v>
      </c>
      <c r="EE104" s="43">
        <f t="shared" si="66"/>
        <v>0</v>
      </c>
      <c r="EF104" s="43">
        <f t="shared" si="66"/>
        <v>0</v>
      </c>
      <c r="EG104" s="43">
        <f t="shared" si="66"/>
        <v>0</v>
      </c>
      <c r="EH104" s="43">
        <f t="shared" si="66"/>
        <v>0</v>
      </c>
      <c r="EI104" s="43">
        <f t="shared" si="66"/>
        <v>0</v>
      </c>
      <c r="EJ104" s="43">
        <f t="shared" si="66"/>
        <v>0</v>
      </c>
      <c r="EK104" s="43">
        <f t="shared" si="66"/>
        <v>0</v>
      </c>
      <c r="EL104" s="47"/>
      <c r="EM104" s="47"/>
      <c r="EN104" s="47"/>
      <c r="EO104" s="47"/>
      <c r="EP104" s="47"/>
      <c r="EQ104" s="47"/>
      <c r="ER104" s="47"/>
      <c r="ES104" s="47"/>
      <c r="ET104" s="47"/>
      <c r="EU104" s="47"/>
      <c r="EV104" s="47"/>
      <c r="EW104" s="47"/>
      <c r="EX104" s="47"/>
      <c r="EY104" s="47"/>
      <c r="EZ104" s="47"/>
      <c r="FA104" s="47"/>
      <c r="FB104" s="47"/>
      <c r="FC104" s="47"/>
      <c r="FD104" s="47"/>
      <c r="FE104" s="47"/>
    </row>
    <row r="105" spans="1:161" ht="14.25" x14ac:dyDescent="0.15">
      <c r="A105" s="46"/>
      <c r="B105" s="43" t="e">
        <f t="shared" si="39"/>
        <v>#DIV/0!</v>
      </c>
      <c r="C105" s="43" t="e">
        <f t="shared" si="40"/>
        <v>#DIV/0!</v>
      </c>
      <c r="D105" s="43" t="e">
        <f t="shared" si="41"/>
        <v>#DIV/0!</v>
      </c>
      <c r="E105" s="43" t="e">
        <f t="shared" si="42"/>
        <v>#DIV/0!</v>
      </c>
      <c r="F105" s="43" t="e">
        <f t="shared" si="43"/>
        <v>#DIV/0!</v>
      </c>
      <c r="G105" s="43" t="e">
        <f t="shared" si="44"/>
        <v>#DIV/0!</v>
      </c>
      <c r="H105" s="43" t="e">
        <f t="shared" si="45"/>
        <v>#DIV/0!</v>
      </c>
      <c r="I105" s="43" t="e">
        <f t="shared" si="46"/>
        <v>#DIV/0!</v>
      </c>
      <c r="J105" s="43" t="e">
        <f t="shared" si="47"/>
        <v>#DIV/0!</v>
      </c>
      <c r="K105" s="43" t="e">
        <f t="shared" si="48"/>
        <v>#DIV/0!</v>
      </c>
      <c r="L105" s="43" t="e">
        <f t="shared" si="49"/>
        <v>#DIV/0!</v>
      </c>
      <c r="M105" s="43" t="e">
        <f t="shared" si="50"/>
        <v>#DIV/0!</v>
      </c>
      <c r="N105" s="43" t="e">
        <f t="shared" si="51"/>
        <v>#DIV/0!</v>
      </c>
      <c r="O105" s="43" t="e">
        <f t="shared" si="52"/>
        <v>#DIV/0!</v>
      </c>
      <c r="P105" s="43" t="e">
        <f t="shared" si="53"/>
        <v>#DIV/0!</v>
      </c>
      <c r="Q105" s="43" t="e">
        <f t="shared" si="54"/>
        <v>#DIV/0!</v>
      </c>
      <c r="R105" s="43" t="e">
        <f t="shared" si="55"/>
        <v>#DIV/0!</v>
      </c>
      <c r="S105" s="43" t="e">
        <f t="shared" si="56"/>
        <v>#DIV/0!</v>
      </c>
      <c r="T105" s="43" t="e">
        <f t="shared" si="57"/>
        <v>#DIV/0!</v>
      </c>
      <c r="U105" s="43" t="e">
        <f t="shared" si="58"/>
        <v>#DIV/0!</v>
      </c>
      <c r="V105" s="53" t="e">
        <f>V104+ATM_Conf!$C$5*(B104)/(B292*V292)</f>
        <v>#DIV/0!</v>
      </c>
      <c r="W105" s="53" t="e">
        <f>W104+ATM_Conf!$C$5*(C104-B104)/(C292*W292)</f>
        <v>#DIV/0!</v>
      </c>
      <c r="X105" s="53" t="e">
        <f>X104+ATM_Conf!$C$5*(D104-C104)/(D292*X292)</f>
        <v>#DIV/0!</v>
      </c>
      <c r="Y105" s="53" t="e">
        <f>Y104+ATM_Conf!$C$5*(E104-D104)/(E292*Y292)</f>
        <v>#DIV/0!</v>
      </c>
      <c r="Z105" s="53" t="e">
        <f>Z104+ATM_Conf!$C$5*(F104-E104)/(F292*Z292)</f>
        <v>#DIV/0!</v>
      </c>
      <c r="AA105" s="53" t="e">
        <f>AA104+ATM_Conf!$C$5*(G104-F104)/(G292*AA292)</f>
        <v>#DIV/0!</v>
      </c>
      <c r="AB105" s="53" t="e">
        <f>AB104+ATM_Conf!$C$5*(H104-G104)/(H292*AB292)</f>
        <v>#DIV/0!</v>
      </c>
      <c r="AC105" s="53" t="e">
        <f>AC104+ATM_Conf!$C$5*(I104-H104)/(I292*AC292)</f>
        <v>#DIV/0!</v>
      </c>
      <c r="AD105" s="53" t="e">
        <f>AD104+ATM_Conf!$C$5*(J104-I104)/(J292*AD292)</f>
        <v>#DIV/0!</v>
      </c>
      <c r="AE105" s="53" t="e">
        <f>AE104+ATM_Conf!$C$5*(K104-J104)/(K292*AE292)</f>
        <v>#DIV/0!</v>
      </c>
      <c r="AF105" s="53" t="e">
        <f>AF104+ATM_Conf!$C$5*(L104)/(L292*AF292)</f>
        <v>#DIV/0!</v>
      </c>
      <c r="AG105" s="53" t="e">
        <f>AG104+ATM_Conf!$C$5*(M104-L104)/(M292*AG292)</f>
        <v>#DIV/0!</v>
      </c>
      <c r="AH105" s="53" t="e">
        <f>AH104+ATM_Conf!$C$5*(N104-M104)/(N292*AH292)</f>
        <v>#DIV/0!</v>
      </c>
      <c r="AI105" s="53" t="e">
        <f>AI104+ATM_Conf!$C$5*(O104-N104)/(O292*AI292)</f>
        <v>#DIV/0!</v>
      </c>
      <c r="AJ105" s="53" t="e">
        <f>AJ104+ATM_Conf!$C$5*(P104-O104)/(P292*AJ292)</f>
        <v>#DIV/0!</v>
      </c>
      <c r="AK105" s="53" t="e">
        <f>AK104+ATM_Conf!$C$5*(Q104-P104)/(Q292*AK292)</f>
        <v>#DIV/0!</v>
      </c>
      <c r="AL105" s="53" t="e">
        <f>AL104+ATM_Conf!$C$5*(R104-Q104)/(R292*AL292)</f>
        <v>#DIV/0!</v>
      </c>
      <c r="AM105" s="53" t="e">
        <f>AM104+ATM_Conf!$C$5*(S104-R104)/(S292*AM292)</f>
        <v>#DIV/0!</v>
      </c>
      <c r="AN105" s="53" t="e">
        <f>AN104+ATM_Conf!$C$5*(T104-S104)/(T292*AN292)</f>
        <v>#DIV/0!</v>
      </c>
      <c r="AO105" s="53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43">
        <f t="shared" si="67"/>
        <v>0</v>
      </c>
      <c r="DS105" s="43">
        <f t="shared" si="66"/>
        <v>0</v>
      </c>
      <c r="DT105" s="43">
        <f t="shared" si="66"/>
        <v>0</v>
      </c>
      <c r="DU105" s="43">
        <f t="shared" si="66"/>
        <v>0</v>
      </c>
      <c r="DV105" s="43">
        <f t="shared" si="66"/>
        <v>0</v>
      </c>
      <c r="DW105" s="43">
        <f t="shared" si="66"/>
        <v>0</v>
      </c>
      <c r="DX105" s="43">
        <f t="shared" si="66"/>
        <v>0</v>
      </c>
      <c r="DY105" s="43">
        <f t="shared" si="66"/>
        <v>0</v>
      </c>
      <c r="DZ105" s="43">
        <f t="shared" si="66"/>
        <v>0</v>
      </c>
      <c r="EA105" s="43">
        <f t="shared" si="66"/>
        <v>0</v>
      </c>
      <c r="EB105" s="43">
        <f t="shared" si="66"/>
        <v>0</v>
      </c>
      <c r="EC105" s="43">
        <f t="shared" si="66"/>
        <v>0</v>
      </c>
      <c r="ED105" s="43">
        <f t="shared" si="66"/>
        <v>0</v>
      </c>
      <c r="EE105" s="43">
        <f t="shared" si="66"/>
        <v>0</v>
      </c>
      <c r="EF105" s="43">
        <f t="shared" si="66"/>
        <v>0</v>
      </c>
      <c r="EG105" s="43">
        <f t="shared" si="66"/>
        <v>0</v>
      </c>
      <c r="EH105" s="43">
        <f t="shared" si="66"/>
        <v>0</v>
      </c>
      <c r="EI105" s="43">
        <f t="shared" si="66"/>
        <v>0</v>
      </c>
      <c r="EJ105" s="43">
        <f t="shared" si="66"/>
        <v>0</v>
      </c>
      <c r="EK105" s="43">
        <f t="shared" si="66"/>
        <v>0</v>
      </c>
      <c r="EL105" s="47"/>
      <c r="EM105" s="47"/>
      <c r="EN105" s="47"/>
      <c r="EO105" s="47"/>
      <c r="EP105" s="47"/>
      <c r="EQ105" s="47"/>
      <c r="ER105" s="47"/>
      <c r="ES105" s="47"/>
      <c r="ET105" s="47"/>
      <c r="EU105" s="47"/>
      <c r="EV105" s="47"/>
      <c r="EW105" s="47"/>
      <c r="EX105" s="47"/>
      <c r="EY105" s="47"/>
      <c r="EZ105" s="47"/>
      <c r="FA105" s="47"/>
      <c r="FB105" s="47"/>
      <c r="FC105" s="47"/>
      <c r="FD105" s="47"/>
      <c r="FE105" s="47"/>
    </row>
    <row r="106" spans="1:161" ht="14.25" x14ac:dyDescent="0.15">
      <c r="A106" s="46"/>
      <c r="B106" s="43" t="e">
        <f t="shared" si="39"/>
        <v>#DIV/0!</v>
      </c>
      <c r="C106" s="43" t="e">
        <f t="shared" si="40"/>
        <v>#DIV/0!</v>
      </c>
      <c r="D106" s="43" t="e">
        <f t="shared" si="41"/>
        <v>#DIV/0!</v>
      </c>
      <c r="E106" s="43" t="e">
        <f t="shared" si="42"/>
        <v>#DIV/0!</v>
      </c>
      <c r="F106" s="43" t="e">
        <f t="shared" si="43"/>
        <v>#DIV/0!</v>
      </c>
      <c r="G106" s="43" t="e">
        <f t="shared" si="44"/>
        <v>#DIV/0!</v>
      </c>
      <c r="H106" s="43" t="e">
        <f t="shared" si="45"/>
        <v>#DIV/0!</v>
      </c>
      <c r="I106" s="43" t="e">
        <f t="shared" si="46"/>
        <v>#DIV/0!</v>
      </c>
      <c r="J106" s="43" t="e">
        <f t="shared" si="47"/>
        <v>#DIV/0!</v>
      </c>
      <c r="K106" s="43" t="e">
        <f t="shared" si="48"/>
        <v>#DIV/0!</v>
      </c>
      <c r="L106" s="43" t="e">
        <f t="shared" si="49"/>
        <v>#DIV/0!</v>
      </c>
      <c r="M106" s="43" t="e">
        <f t="shared" si="50"/>
        <v>#DIV/0!</v>
      </c>
      <c r="N106" s="43" t="e">
        <f t="shared" si="51"/>
        <v>#DIV/0!</v>
      </c>
      <c r="O106" s="43" t="e">
        <f t="shared" si="52"/>
        <v>#DIV/0!</v>
      </c>
      <c r="P106" s="43" t="e">
        <f t="shared" si="53"/>
        <v>#DIV/0!</v>
      </c>
      <c r="Q106" s="43" t="e">
        <f t="shared" si="54"/>
        <v>#DIV/0!</v>
      </c>
      <c r="R106" s="43" t="e">
        <f t="shared" si="55"/>
        <v>#DIV/0!</v>
      </c>
      <c r="S106" s="43" t="e">
        <f t="shared" si="56"/>
        <v>#DIV/0!</v>
      </c>
      <c r="T106" s="43" t="e">
        <f t="shared" si="57"/>
        <v>#DIV/0!</v>
      </c>
      <c r="U106" s="43" t="e">
        <f t="shared" si="58"/>
        <v>#DIV/0!</v>
      </c>
      <c r="V106" s="53" t="e">
        <f>V105+ATM_Conf!$C$5*(B105)/(B293*V293)</f>
        <v>#DIV/0!</v>
      </c>
      <c r="W106" s="53" t="e">
        <f>W105+ATM_Conf!$C$5*(C105-B105)/(C293*W293)</f>
        <v>#DIV/0!</v>
      </c>
      <c r="X106" s="53" t="e">
        <f>X105+ATM_Conf!$C$5*(D105-C105)/(D293*X293)</f>
        <v>#DIV/0!</v>
      </c>
      <c r="Y106" s="53" t="e">
        <f>Y105+ATM_Conf!$C$5*(E105-D105)/(E293*Y293)</f>
        <v>#DIV/0!</v>
      </c>
      <c r="Z106" s="53" t="e">
        <f>Z105+ATM_Conf!$C$5*(F105-E105)/(F293*Z293)</f>
        <v>#DIV/0!</v>
      </c>
      <c r="AA106" s="53" t="e">
        <f>AA105+ATM_Conf!$C$5*(G105-F105)/(G293*AA293)</f>
        <v>#DIV/0!</v>
      </c>
      <c r="AB106" s="53" t="e">
        <f>AB105+ATM_Conf!$C$5*(H105-G105)/(H293*AB293)</f>
        <v>#DIV/0!</v>
      </c>
      <c r="AC106" s="53" t="e">
        <f>AC105+ATM_Conf!$C$5*(I105-H105)/(I293*AC293)</f>
        <v>#DIV/0!</v>
      </c>
      <c r="AD106" s="53" t="e">
        <f>AD105+ATM_Conf!$C$5*(J105-I105)/(J293*AD293)</f>
        <v>#DIV/0!</v>
      </c>
      <c r="AE106" s="53" t="e">
        <f>AE105+ATM_Conf!$C$5*(K105-J105)/(K293*AE293)</f>
        <v>#DIV/0!</v>
      </c>
      <c r="AF106" s="53" t="e">
        <f>AF105+ATM_Conf!$C$5*(L105)/(L293*AF293)</f>
        <v>#DIV/0!</v>
      </c>
      <c r="AG106" s="53" t="e">
        <f>AG105+ATM_Conf!$C$5*(M105-L105)/(M293*AG293)</f>
        <v>#DIV/0!</v>
      </c>
      <c r="AH106" s="53" t="e">
        <f>AH105+ATM_Conf!$C$5*(N105-M105)/(N293*AH293)</f>
        <v>#DIV/0!</v>
      </c>
      <c r="AI106" s="53" t="e">
        <f>AI105+ATM_Conf!$C$5*(O105-N105)/(O293*AI293)</f>
        <v>#DIV/0!</v>
      </c>
      <c r="AJ106" s="53" t="e">
        <f>AJ105+ATM_Conf!$C$5*(P105-O105)/(P293*AJ293)</f>
        <v>#DIV/0!</v>
      </c>
      <c r="AK106" s="53" t="e">
        <f>AK105+ATM_Conf!$C$5*(Q105-P105)/(Q293*AK293)</f>
        <v>#DIV/0!</v>
      </c>
      <c r="AL106" s="53" t="e">
        <f>AL105+ATM_Conf!$C$5*(R105-Q105)/(R293*AL293)</f>
        <v>#DIV/0!</v>
      </c>
      <c r="AM106" s="53" t="e">
        <f>AM105+ATM_Conf!$C$5*(S105-R105)/(S293*AM293)</f>
        <v>#DIV/0!</v>
      </c>
      <c r="AN106" s="53" t="e">
        <f>AN105+ATM_Conf!$C$5*(T105-S105)/(T293*AN293)</f>
        <v>#DIV/0!</v>
      </c>
      <c r="AO106" s="53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43">
        <f t="shared" si="67"/>
        <v>0</v>
      </c>
      <c r="DS106" s="43">
        <f t="shared" si="66"/>
        <v>0</v>
      </c>
      <c r="DT106" s="43">
        <f t="shared" si="66"/>
        <v>0</v>
      </c>
      <c r="DU106" s="43">
        <f t="shared" si="66"/>
        <v>0</v>
      </c>
      <c r="DV106" s="43">
        <f t="shared" si="66"/>
        <v>0</v>
      </c>
      <c r="DW106" s="43">
        <f t="shared" si="66"/>
        <v>0</v>
      </c>
      <c r="DX106" s="43">
        <f t="shared" si="66"/>
        <v>0</v>
      </c>
      <c r="DY106" s="43">
        <f t="shared" si="66"/>
        <v>0</v>
      </c>
      <c r="DZ106" s="43">
        <f t="shared" si="66"/>
        <v>0</v>
      </c>
      <c r="EA106" s="43">
        <f t="shared" si="66"/>
        <v>0</v>
      </c>
      <c r="EB106" s="43">
        <f t="shared" si="66"/>
        <v>0</v>
      </c>
      <c r="EC106" s="43">
        <f t="shared" si="66"/>
        <v>0</v>
      </c>
      <c r="ED106" s="43">
        <f t="shared" si="66"/>
        <v>0</v>
      </c>
      <c r="EE106" s="43">
        <f t="shared" si="66"/>
        <v>0</v>
      </c>
      <c r="EF106" s="43">
        <f t="shared" si="66"/>
        <v>0</v>
      </c>
      <c r="EG106" s="43">
        <f t="shared" si="66"/>
        <v>0</v>
      </c>
      <c r="EH106" s="43">
        <f t="shared" si="66"/>
        <v>0</v>
      </c>
      <c r="EI106" s="43">
        <f t="shared" si="66"/>
        <v>0</v>
      </c>
      <c r="EJ106" s="43">
        <f t="shared" si="66"/>
        <v>0</v>
      </c>
      <c r="EK106" s="43">
        <f t="shared" si="66"/>
        <v>0</v>
      </c>
      <c r="EL106" s="47"/>
      <c r="EM106" s="47"/>
      <c r="EN106" s="47"/>
      <c r="EO106" s="47"/>
      <c r="EP106" s="47"/>
      <c r="EQ106" s="47"/>
      <c r="ER106" s="47"/>
      <c r="ES106" s="47"/>
      <c r="ET106" s="47"/>
      <c r="EU106" s="47"/>
      <c r="EV106" s="47"/>
      <c r="EW106" s="47"/>
      <c r="EX106" s="47"/>
      <c r="EY106" s="47"/>
      <c r="EZ106" s="47"/>
      <c r="FA106" s="47"/>
      <c r="FB106" s="47"/>
      <c r="FC106" s="47"/>
      <c r="FD106" s="47"/>
      <c r="FE106" s="47"/>
    </row>
    <row r="107" spans="1:161" ht="14.25" x14ac:dyDescent="0.15">
      <c r="A107" s="46"/>
      <c r="B107" s="43" t="e">
        <f t="shared" si="39"/>
        <v>#DIV/0!</v>
      </c>
      <c r="C107" s="43" t="e">
        <f t="shared" si="40"/>
        <v>#DIV/0!</v>
      </c>
      <c r="D107" s="43" t="e">
        <f t="shared" si="41"/>
        <v>#DIV/0!</v>
      </c>
      <c r="E107" s="43" t="e">
        <f t="shared" si="42"/>
        <v>#DIV/0!</v>
      </c>
      <c r="F107" s="43" t="e">
        <f t="shared" si="43"/>
        <v>#DIV/0!</v>
      </c>
      <c r="G107" s="43" t="e">
        <f t="shared" si="44"/>
        <v>#DIV/0!</v>
      </c>
      <c r="H107" s="43" t="e">
        <f t="shared" si="45"/>
        <v>#DIV/0!</v>
      </c>
      <c r="I107" s="43" t="e">
        <f t="shared" si="46"/>
        <v>#DIV/0!</v>
      </c>
      <c r="J107" s="43" t="e">
        <f t="shared" si="47"/>
        <v>#DIV/0!</v>
      </c>
      <c r="K107" s="43" t="e">
        <f t="shared" si="48"/>
        <v>#DIV/0!</v>
      </c>
      <c r="L107" s="43" t="e">
        <f t="shared" si="49"/>
        <v>#DIV/0!</v>
      </c>
      <c r="M107" s="43" t="e">
        <f t="shared" si="50"/>
        <v>#DIV/0!</v>
      </c>
      <c r="N107" s="43" t="e">
        <f t="shared" si="51"/>
        <v>#DIV/0!</v>
      </c>
      <c r="O107" s="43" t="e">
        <f t="shared" si="52"/>
        <v>#DIV/0!</v>
      </c>
      <c r="P107" s="43" t="e">
        <f t="shared" si="53"/>
        <v>#DIV/0!</v>
      </c>
      <c r="Q107" s="43" t="e">
        <f t="shared" si="54"/>
        <v>#DIV/0!</v>
      </c>
      <c r="R107" s="43" t="e">
        <f t="shared" si="55"/>
        <v>#DIV/0!</v>
      </c>
      <c r="S107" s="43" t="e">
        <f t="shared" si="56"/>
        <v>#DIV/0!</v>
      </c>
      <c r="T107" s="43" t="e">
        <f t="shared" si="57"/>
        <v>#DIV/0!</v>
      </c>
      <c r="U107" s="43" t="e">
        <f t="shared" si="58"/>
        <v>#DIV/0!</v>
      </c>
      <c r="V107" s="53" t="e">
        <f>V106+ATM_Conf!$C$5*(B106)/(B294*V294)</f>
        <v>#DIV/0!</v>
      </c>
      <c r="W107" s="53" t="e">
        <f>W106+ATM_Conf!$C$5*(C106-B106)/(C294*W294)</f>
        <v>#DIV/0!</v>
      </c>
      <c r="X107" s="53" t="e">
        <f>X106+ATM_Conf!$C$5*(D106-C106)/(D294*X294)</f>
        <v>#DIV/0!</v>
      </c>
      <c r="Y107" s="53" t="e">
        <f>Y106+ATM_Conf!$C$5*(E106-D106)/(E294*Y294)</f>
        <v>#DIV/0!</v>
      </c>
      <c r="Z107" s="53" t="e">
        <f>Z106+ATM_Conf!$C$5*(F106-E106)/(F294*Z294)</f>
        <v>#DIV/0!</v>
      </c>
      <c r="AA107" s="53" t="e">
        <f>AA106+ATM_Conf!$C$5*(G106-F106)/(G294*AA294)</f>
        <v>#DIV/0!</v>
      </c>
      <c r="AB107" s="53" t="e">
        <f>AB106+ATM_Conf!$C$5*(H106-G106)/(H294*AB294)</f>
        <v>#DIV/0!</v>
      </c>
      <c r="AC107" s="53" t="e">
        <f>AC106+ATM_Conf!$C$5*(I106-H106)/(I294*AC294)</f>
        <v>#DIV/0!</v>
      </c>
      <c r="AD107" s="53" t="e">
        <f>AD106+ATM_Conf!$C$5*(J106-I106)/(J294*AD294)</f>
        <v>#DIV/0!</v>
      </c>
      <c r="AE107" s="53" t="e">
        <f>AE106+ATM_Conf!$C$5*(K106-J106)/(K294*AE294)</f>
        <v>#DIV/0!</v>
      </c>
      <c r="AF107" s="53" t="e">
        <f>AF106+ATM_Conf!$C$5*(L106)/(L294*AF294)</f>
        <v>#DIV/0!</v>
      </c>
      <c r="AG107" s="53" t="e">
        <f>AG106+ATM_Conf!$C$5*(M106-L106)/(M294*AG294)</f>
        <v>#DIV/0!</v>
      </c>
      <c r="AH107" s="53" t="e">
        <f>AH106+ATM_Conf!$C$5*(N106-M106)/(N294*AH294)</f>
        <v>#DIV/0!</v>
      </c>
      <c r="AI107" s="53" t="e">
        <f>AI106+ATM_Conf!$C$5*(O106-N106)/(O294*AI294)</f>
        <v>#DIV/0!</v>
      </c>
      <c r="AJ107" s="53" t="e">
        <f>AJ106+ATM_Conf!$C$5*(P106-O106)/(P294*AJ294)</f>
        <v>#DIV/0!</v>
      </c>
      <c r="AK107" s="53" t="e">
        <f>AK106+ATM_Conf!$C$5*(Q106-P106)/(Q294*AK294)</f>
        <v>#DIV/0!</v>
      </c>
      <c r="AL107" s="53" t="e">
        <f>AL106+ATM_Conf!$C$5*(R106-Q106)/(R294*AL294)</f>
        <v>#DIV/0!</v>
      </c>
      <c r="AM107" s="53" t="e">
        <f>AM106+ATM_Conf!$C$5*(S106-R106)/(S294*AM294)</f>
        <v>#DIV/0!</v>
      </c>
      <c r="AN107" s="53" t="e">
        <f>AN106+ATM_Conf!$C$5*(T106-S106)/(T294*AN294)</f>
        <v>#DIV/0!</v>
      </c>
      <c r="AO107" s="53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43">
        <f t="shared" si="67"/>
        <v>0</v>
      </c>
      <c r="DS107" s="43">
        <f t="shared" si="66"/>
        <v>0</v>
      </c>
      <c r="DT107" s="43">
        <f t="shared" si="66"/>
        <v>0</v>
      </c>
      <c r="DU107" s="43">
        <f t="shared" si="66"/>
        <v>0</v>
      </c>
      <c r="DV107" s="43">
        <f t="shared" si="66"/>
        <v>0</v>
      </c>
      <c r="DW107" s="43">
        <f t="shared" si="66"/>
        <v>0</v>
      </c>
      <c r="DX107" s="43">
        <f t="shared" si="66"/>
        <v>0</v>
      </c>
      <c r="DY107" s="43">
        <f t="shared" si="66"/>
        <v>0</v>
      </c>
      <c r="DZ107" s="43">
        <f t="shared" si="66"/>
        <v>0</v>
      </c>
      <c r="EA107" s="43">
        <f t="shared" si="66"/>
        <v>0</v>
      </c>
      <c r="EB107" s="43">
        <f t="shared" si="66"/>
        <v>0</v>
      </c>
      <c r="EC107" s="43">
        <f t="shared" si="66"/>
        <v>0</v>
      </c>
      <c r="ED107" s="43">
        <f t="shared" si="66"/>
        <v>0</v>
      </c>
      <c r="EE107" s="43">
        <f t="shared" si="66"/>
        <v>0</v>
      </c>
      <c r="EF107" s="43">
        <f t="shared" si="66"/>
        <v>0</v>
      </c>
      <c r="EG107" s="43">
        <f t="shared" si="66"/>
        <v>0</v>
      </c>
      <c r="EH107" s="43">
        <f t="shared" si="66"/>
        <v>0</v>
      </c>
      <c r="EI107" s="43">
        <f t="shared" si="66"/>
        <v>0</v>
      </c>
      <c r="EJ107" s="43">
        <f t="shared" si="66"/>
        <v>0</v>
      </c>
      <c r="EK107" s="43">
        <f t="shared" si="66"/>
        <v>0</v>
      </c>
      <c r="EL107" s="47"/>
      <c r="EM107" s="47"/>
      <c r="EN107" s="47"/>
      <c r="EO107" s="47"/>
      <c r="EP107" s="47"/>
      <c r="EQ107" s="47"/>
      <c r="ER107" s="47"/>
      <c r="ES107" s="47"/>
      <c r="ET107" s="47"/>
      <c r="EU107" s="47"/>
      <c r="EV107" s="47"/>
      <c r="EW107" s="47"/>
      <c r="EX107" s="47"/>
      <c r="EY107" s="47"/>
      <c r="EZ107" s="47"/>
      <c r="FA107" s="47"/>
      <c r="FB107" s="47"/>
      <c r="FC107" s="47"/>
      <c r="FD107" s="47"/>
      <c r="FE107" s="47"/>
    </row>
    <row r="108" spans="1:161" ht="14.25" x14ac:dyDescent="0.15">
      <c r="A108" s="46"/>
      <c r="B108" s="43" t="e">
        <f t="shared" si="39"/>
        <v>#DIV/0!</v>
      </c>
      <c r="C108" s="43" t="e">
        <f t="shared" si="40"/>
        <v>#DIV/0!</v>
      </c>
      <c r="D108" s="43" t="e">
        <f t="shared" si="41"/>
        <v>#DIV/0!</v>
      </c>
      <c r="E108" s="43" t="e">
        <f t="shared" si="42"/>
        <v>#DIV/0!</v>
      </c>
      <c r="F108" s="43" t="e">
        <f t="shared" si="43"/>
        <v>#DIV/0!</v>
      </c>
      <c r="G108" s="43" t="e">
        <f t="shared" si="44"/>
        <v>#DIV/0!</v>
      </c>
      <c r="H108" s="43" t="e">
        <f t="shared" si="45"/>
        <v>#DIV/0!</v>
      </c>
      <c r="I108" s="43" t="e">
        <f t="shared" si="46"/>
        <v>#DIV/0!</v>
      </c>
      <c r="J108" s="43" t="e">
        <f t="shared" si="47"/>
        <v>#DIV/0!</v>
      </c>
      <c r="K108" s="43" t="e">
        <f t="shared" si="48"/>
        <v>#DIV/0!</v>
      </c>
      <c r="L108" s="43" t="e">
        <f t="shared" si="49"/>
        <v>#DIV/0!</v>
      </c>
      <c r="M108" s="43" t="e">
        <f t="shared" si="50"/>
        <v>#DIV/0!</v>
      </c>
      <c r="N108" s="43" t="e">
        <f t="shared" si="51"/>
        <v>#DIV/0!</v>
      </c>
      <c r="O108" s="43" t="e">
        <f t="shared" si="52"/>
        <v>#DIV/0!</v>
      </c>
      <c r="P108" s="43" t="e">
        <f t="shared" si="53"/>
        <v>#DIV/0!</v>
      </c>
      <c r="Q108" s="43" t="e">
        <f t="shared" si="54"/>
        <v>#DIV/0!</v>
      </c>
      <c r="R108" s="43" t="e">
        <f t="shared" si="55"/>
        <v>#DIV/0!</v>
      </c>
      <c r="S108" s="43" t="e">
        <f t="shared" si="56"/>
        <v>#DIV/0!</v>
      </c>
      <c r="T108" s="43" t="e">
        <f t="shared" si="57"/>
        <v>#DIV/0!</v>
      </c>
      <c r="U108" s="43" t="e">
        <f t="shared" si="58"/>
        <v>#DIV/0!</v>
      </c>
      <c r="V108" s="53" t="e">
        <f>V107+ATM_Conf!$C$5*(B107)/(B295*V295)</f>
        <v>#DIV/0!</v>
      </c>
      <c r="W108" s="53" t="e">
        <f>W107+ATM_Conf!$C$5*(C107-B107)/(C295*W295)</f>
        <v>#DIV/0!</v>
      </c>
      <c r="X108" s="53" t="e">
        <f>X107+ATM_Conf!$C$5*(D107-C107)/(D295*X295)</f>
        <v>#DIV/0!</v>
      </c>
      <c r="Y108" s="53" t="e">
        <f>Y107+ATM_Conf!$C$5*(E107-D107)/(E295*Y295)</f>
        <v>#DIV/0!</v>
      </c>
      <c r="Z108" s="53" t="e">
        <f>Z107+ATM_Conf!$C$5*(F107-E107)/(F295*Z295)</f>
        <v>#DIV/0!</v>
      </c>
      <c r="AA108" s="53" t="e">
        <f>AA107+ATM_Conf!$C$5*(G107-F107)/(G295*AA295)</f>
        <v>#DIV/0!</v>
      </c>
      <c r="AB108" s="53" t="e">
        <f>AB107+ATM_Conf!$C$5*(H107-G107)/(H295*AB295)</f>
        <v>#DIV/0!</v>
      </c>
      <c r="AC108" s="53" t="e">
        <f>AC107+ATM_Conf!$C$5*(I107-H107)/(I295*AC295)</f>
        <v>#DIV/0!</v>
      </c>
      <c r="AD108" s="53" t="e">
        <f>AD107+ATM_Conf!$C$5*(J107-I107)/(J295*AD295)</f>
        <v>#DIV/0!</v>
      </c>
      <c r="AE108" s="53" t="e">
        <f>AE107+ATM_Conf!$C$5*(K107-J107)/(K295*AE295)</f>
        <v>#DIV/0!</v>
      </c>
      <c r="AF108" s="53" t="e">
        <f>AF107+ATM_Conf!$C$5*(L107)/(L295*AF295)</f>
        <v>#DIV/0!</v>
      </c>
      <c r="AG108" s="53" t="e">
        <f>AG107+ATM_Conf!$C$5*(M107-L107)/(M295*AG295)</f>
        <v>#DIV/0!</v>
      </c>
      <c r="AH108" s="53" t="e">
        <f>AH107+ATM_Conf!$C$5*(N107-M107)/(N295*AH295)</f>
        <v>#DIV/0!</v>
      </c>
      <c r="AI108" s="53" t="e">
        <f>AI107+ATM_Conf!$C$5*(O107-N107)/(O295*AI295)</f>
        <v>#DIV/0!</v>
      </c>
      <c r="AJ108" s="53" t="e">
        <f>AJ107+ATM_Conf!$C$5*(P107-O107)/(P295*AJ295)</f>
        <v>#DIV/0!</v>
      </c>
      <c r="AK108" s="53" t="e">
        <f>AK107+ATM_Conf!$C$5*(Q107-P107)/(Q295*AK295)</f>
        <v>#DIV/0!</v>
      </c>
      <c r="AL108" s="53" t="e">
        <f>AL107+ATM_Conf!$C$5*(R107-Q107)/(R295*AL295)</f>
        <v>#DIV/0!</v>
      </c>
      <c r="AM108" s="53" t="e">
        <f>AM107+ATM_Conf!$C$5*(S107-R107)/(S295*AM295)</f>
        <v>#DIV/0!</v>
      </c>
      <c r="AN108" s="53" t="e">
        <f>AN107+ATM_Conf!$C$5*(T107-S107)/(T295*AN295)</f>
        <v>#DIV/0!</v>
      </c>
      <c r="AO108" s="53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43">
        <f t="shared" si="67"/>
        <v>0</v>
      </c>
      <c r="DS108" s="43">
        <f t="shared" si="66"/>
        <v>0</v>
      </c>
      <c r="DT108" s="43">
        <f t="shared" si="66"/>
        <v>0</v>
      </c>
      <c r="DU108" s="43">
        <f t="shared" si="66"/>
        <v>0</v>
      </c>
      <c r="DV108" s="43">
        <f t="shared" si="66"/>
        <v>0</v>
      </c>
      <c r="DW108" s="43">
        <f t="shared" si="66"/>
        <v>0</v>
      </c>
      <c r="DX108" s="43">
        <f t="shared" si="66"/>
        <v>0</v>
      </c>
      <c r="DY108" s="43">
        <f t="shared" si="66"/>
        <v>0</v>
      </c>
      <c r="DZ108" s="43">
        <f t="shared" si="66"/>
        <v>0</v>
      </c>
      <c r="EA108" s="43">
        <f t="shared" si="66"/>
        <v>0</v>
      </c>
      <c r="EB108" s="43">
        <f t="shared" si="66"/>
        <v>0</v>
      </c>
      <c r="EC108" s="43">
        <f t="shared" si="66"/>
        <v>0</v>
      </c>
      <c r="ED108" s="43">
        <f t="shared" si="66"/>
        <v>0</v>
      </c>
      <c r="EE108" s="43">
        <f t="shared" si="66"/>
        <v>0</v>
      </c>
      <c r="EF108" s="43">
        <f t="shared" si="66"/>
        <v>0</v>
      </c>
      <c r="EG108" s="43">
        <f t="shared" si="66"/>
        <v>0</v>
      </c>
      <c r="EH108" s="43">
        <f t="shared" si="66"/>
        <v>0</v>
      </c>
      <c r="EI108" s="43">
        <f t="shared" si="66"/>
        <v>0</v>
      </c>
      <c r="EJ108" s="43">
        <f t="shared" si="66"/>
        <v>0</v>
      </c>
      <c r="EK108" s="43">
        <f t="shared" si="66"/>
        <v>0</v>
      </c>
      <c r="EL108" s="47"/>
      <c r="EM108" s="47"/>
      <c r="EN108" s="47"/>
      <c r="EO108" s="47"/>
      <c r="EP108" s="47"/>
      <c r="EQ108" s="47"/>
      <c r="ER108" s="47"/>
      <c r="ES108" s="47"/>
      <c r="ET108" s="47"/>
      <c r="EU108" s="47"/>
      <c r="EV108" s="47"/>
      <c r="EW108" s="47"/>
      <c r="EX108" s="47"/>
      <c r="EY108" s="47"/>
      <c r="EZ108" s="47"/>
      <c r="FA108" s="47"/>
      <c r="FB108" s="47"/>
      <c r="FC108" s="47"/>
      <c r="FD108" s="47"/>
      <c r="FE108" s="47"/>
    </row>
    <row r="109" spans="1:161" ht="14.25" x14ac:dyDescent="0.15">
      <c r="A109" s="46"/>
      <c r="B109" s="43" t="e">
        <f t="shared" si="39"/>
        <v>#DIV/0!</v>
      </c>
      <c r="C109" s="43" t="e">
        <f t="shared" si="40"/>
        <v>#DIV/0!</v>
      </c>
      <c r="D109" s="43" t="e">
        <f t="shared" si="41"/>
        <v>#DIV/0!</v>
      </c>
      <c r="E109" s="43" t="e">
        <f t="shared" si="42"/>
        <v>#DIV/0!</v>
      </c>
      <c r="F109" s="43" t="e">
        <f t="shared" si="43"/>
        <v>#DIV/0!</v>
      </c>
      <c r="G109" s="43" t="e">
        <f t="shared" si="44"/>
        <v>#DIV/0!</v>
      </c>
      <c r="H109" s="43" t="e">
        <f t="shared" si="45"/>
        <v>#DIV/0!</v>
      </c>
      <c r="I109" s="43" t="e">
        <f t="shared" si="46"/>
        <v>#DIV/0!</v>
      </c>
      <c r="J109" s="43" t="e">
        <f t="shared" si="47"/>
        <v>#DIV/0!</v>
      </c>
      <c r="K109" s="43" t="e">
        <f t="shared" si="48"/>
        <v>#DIV/0!</v>
      </c>
      <c r="L109" s="43" t="e">
        <f t="shared" si="49"/>
        <v>#DIV/0!</v>
      </c>
      <c r="M109" s="43" t="e">
        <f t="shared" si="50"/>
        <v>#DIV/0!</v>
      </c>
      <c r="N109" s="43" t="e">
        <f t="shared" si="51"/>
        <v>#DIV/0!</v>
      </c>
      <c r="O109" s="43" t="e">
        <f t="shared" si="52"/>
        <v>#DIV/0!</v>
      </c>
      <c r="P109" s="43" t="e">
        <f t="shared" si="53"/>
        <v>#DIV/0!</v>
      </c>
      <c r="Q109" s="43" t="e">
        <f t="shared" si="54"/>
        <v>#DIV/0!</v>
      </c>
      <c r="R109" s="43" t="e">
        <f t="shared" si="55"/>
        <v>#DIV/0!</v>
      </c>
      <c r="S109" s="43" t="e">
        <f t="shared" si="56"/>
        <v>#DIV/0!</v>
      </c>
      <c r="T109" s="43" t="e">
        <f t="shared" si="57"/>
        <v>#DIV/0!</v>
      </c>
      <c r="U109" s="43" t="e">
        <f t="shared" si="58"/>
        <v>#DIV/0!</v>
      </c>
      <c r="V109" s="53" t="e">
        <f>V108+ATM_Conf!$C$5*(B108)/(B296*V296)</f>
        <v>#DIV/0!</v>
      </c>
      <c r="W109" s="53" t="e">
        <f>W108+ATM_Conf!$C$5*(C108-B108)/(C296*W296)</f>
        <v>#DIV/0!</v>
      </c>
      <c r="X109" s="53" t="e">
        <f>X108+ATM_Conf!$C$5*(D108-C108)/(D296*X296)</f>
        <v>#DIV/0!</v>
      </c>
      <c r="Y109" s="53" t="e">
        <f>Y108+ATM_Conf!$C$5*(E108-D108)/(E296*Y296)</f>
        <v>#DIV/0!</v>
      </c>
      <c r="Z109" s="53" t="e">
        <f>Z108+ATM_Conf!$C$5*(F108-E108)/(F296*Z296)</f>
        <v>#DIV/0!</v>
      </c>
      <c r="AA109" s="53" t="e">
        <f>AA108+ATM_Conf!$C$5*(G108-F108)/(G296*AA296)</f>
        <v>#DIV/0!</v>
      </c>
      <c r="AB109" s="53" t="e">
        <f>AB108+ATM_Conf!$C$5*(H108-G108)/(H296*AB296)</f>
        <v>#DIV/0!</v>
      </c>
      <c r="AC109" s="53" t="e">
        <f>AC108+ATM_Conf!$C$5*(I108-H108)/(I296*AC296)</f>
        <v>#DIV/0!</v>
      </c>
      <c r="AD109" s="53" t="e">
        <f>AD108+ATM_Conf!$C$5*(J108-I108)/(J296*AD296)</f>
        <v>#DIV/0!</v>
      </c>
      <c r="AE109" s="53" t="e">
        <f>AE108+ATM_Conf!$C$5*(K108-J108)/(K296*AE296)</f>
        <v>#DIV/0!</v>
      </c>
      <c r="AF109" s="53" t="e">
        <f>AF108+ATM_Conf!$C$5*(L108)/(L296*AF296)</f>
        <v>#DIV/0!</v>
      </c>
      <c r="AG109" s="53" t="e">
        <f>AG108+ATM_Conf!$C$5*(M108-L108)/(M296*AG296)</f>
        <v>#DIV/0!</v>
      </c>
      <c r="AH109" s="53" t="e">
        <f>AH108+ATM_Conf!$C$5*(N108-M108)/(N296*AH296)</f>
        <v>#DIV/0!</v>
      </c>
      <c r="AI109" s="53" t="e">
        <f>AI108+ATM_Conf!$C$5*(O108-N108)/(O296*AI296)</f>
        <v>#DIV/0!</v>
      </c>
      <c r="AJ109" s="53" t="e">
        <f>AJ108+ATM_Conf!$C$5*(P108-O108)/(P296*AJ296)</f>
        <v>#DIV/0!</v>
      </c>
      <c r="AK109" s="53" t="e">
        <f>AK108+ATM_Conf!$C$5*(Q108-P108)/(Q296*AK296)</f>
        <v>#DIV/0!</v>
      </c>
      <c r="AL109" s="53" t="e">
        <f>AL108+ATM_Conf!$C$5*(R108-Q108)/(R296*AL296)</f>
        <v>#DIV/0!</v>
      </c>
      <c r="AM109" s="53" t="e">
        <f>AM108+ATM_Conf!$C$5*(S108-R108)/(S296*AM296)</f>
        <v>#DIV/0!</v>
      </c>
      <c r="AN109" s="53" t="e">
        <f>AN108+ATM_Conf!$C$5*(T108-S108)/(T296*AN296)</f>
        <v>#DIV/0!</v>
      </c>
      <c r="AO109" s="53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43">
        <f t="shared" si="67"/>
        <v>0</v>
      </c>
      <c r="DS109" s="43">
        <f t="shared" si="66"/>
        <v>0</v>
      </c>
      <c r="DT109" s="43">
        <f t="shared" si="66"/>
        <v>0</v>
      </c>
      <c r="DU109" s="43">
        <f t="shared" si="66"/>
        <v>0</v>
      </c>
      <c r="DV109" s="43">
        <f t="shared" si="66"/>
        <v>0</v>
      </c>
      <c r="DW109" s="43">
        <f t="shared" si="66"/>
        <v>0</v>
      </c>
      <c r="DX109" s="43">
        <f t="shared" si="66"/>
        <v>0</v>
      </c>
      <c r="DY109" s="43">
        <f t="shared" si="66"/>
        <v>0</v>
      </c>
      <c r="DZ109" s="43">
        <f t="shared" si="66"/>
        <v>0</v>
      </c>
      <c r="EA109" s="43">
        <f t="shared" si="66"/>
        <v>0</v>
      </c>
      <c r="EB109" s="43">
        <f t="shared" si="66"/>
        <v>0</v>
      </c>
      <c r="EC109" s="43">
        <f t="shared" si="66"/>
        <v>0</v>
      </c>
      <c r="ED109" s="43">
        <f t="shared" si="66"/>
        <v>0</v>
      </c>
      <c r="EE109" s="43">
        <f t="shared" si="66"/>
        <v>0</v>
      </c>
      <c r="EF109" s="43">
        <f t="shared" si="66"/>
        <v>0</v>
      </c>
      <c r="EG109" s="43">
        <f t="shared" si="66"/>
        <v>0</v>
      </c>
      <c r="EH109" s="43">
        <f t="shared" si="66"/>
        <v>0</v>
      </c>
      <c r="EI109" s="43">
        <f t="shared" si="66"/>
        <v>0</v>
      </c>
      <c r="EJ109" s="43">
        <f t="shared" si="66"/>
        <v>0</v>
      </c>
      <c r="EK109" s="43">
        <f t="shared" si="66"/>
        <v>0</v>
      </c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</row>
    <row r="110" spans="1:161" ht="14.25" x14ac:dyDescent="0.15">
      <c r="A110" s="46"/>
      <c r="B110" s="43" t="e">
        <f t="shared" si="39"/>
        <v>#DIV/0!</v>
      </c>
      <c r="C110" s="43" t="e">
        <f t="shared" si="40"/>
        <v>#DIV/0!</v>
      </c>
      <c r="D110" s="43" t="e">
        <f t="shared" si="41"/>
        <v>#DIV/0!</v>
      </c>
      <c r="E110" s="43" t="e">
        <f t="shared" si="42"/>
        <v>#DIV/0!</v>
      </c>
      <c r="F110" s="43" t="e">
        <f t="shared" si="43"/>
        <v>#DIV/0!</v>
      </c>
      <c r="G110" s="43" t="e">
        <f t="shared" si="44"/>
        <v>#DIV/0!</v>
      </c>
      <c r="H110" s="43" t="e">
        <f t="shared" si="45"/>
        <v>#DIV/0!</v>
      </c>
      <c r="I110" s="43" t="e">
        <f t="shared" si="46"/>
        <v>#DIV/0!</v>
      </c>
      <c r="J110" s="43" t="e">
        <f t="shared" si="47"/>
        <v>#DIV/0!</v>
      </c>
      <c r="K110" s="43" t="e">
        <f t="shared" si="48"/>
        <v>#DIV/0!</v>
      </c>
      <c r="L110" s="43" t="e">
        <f t="shared" si="49"/>
        <v>#DIV/0!</v>
      </c>
      <c r="M110" s="43" t="e">
        <f t="shared" si="50"/>
        <v>#DIV/0!</v>
      </c>
      <c r="N110" s="43" t="e">
        <f t="shared" si="51"/>
        <v>#DIV/0!</v>
      </c>
      <c r="O110" s="43" t="e">
        <f t="shared" si="52"/>
        <v>#DIV/0!</v>
      </c>
      <c r="P110" s="43" t="e">
        <f t="shared" si="53"/>
        <v>#DIV/0!</v>
      </c>
      <c r="Q110" s="43" t="e">
        <f t="shared" si="54"/>
        <v>#DIV/0!</v>
      </c>
      <c r="R110" s="43" t="e">
        <f t="shared" si="55"/>
        <v>#DIV/0!</v>
      </c>
      <c r="S110" s="43" t="e">
        <f t="shared" si="56"/>
        <v>#DIV/0!</v>
      </c>
      <c r="T110" s="43" t="e">
        <f t="shared" si="57"/>
        <v>#DIV/0!</v>
      </c>
      <c r="U110" s="43" t="e">
        <f t="shared" si="58"/>
        <v>#DIV/0!</v>
      </c>
      <c r="V110" s="53" t="e">
        <f>V109+ATM_Conf!$C$5*(B109)/(B297*V297)</f>
        <v>#DIV/0!</v>
      </c>
      <c r="W110" s="53" t="e">
        <f>W109+ATM_Conf!$C$5*(C109-B109)/(C297*W297)</f>
        <v>#DIV/0!</v>
      </c>
      <c r="X110" s="53" t="e">
        <f>X109+ATM_Conf!$C$5*(D109-C109)/(D297*X297)</f>
        <v>#DIV/0!</v>
      </c>
      <c r="Y110" s="53" t="e">
        <f>Y109+ATM_Conf!$C$5*(E109-D109)/(E297*Y297)</f>
        <v>#DIV/0!</v>
      </c>
      <c r="Z110" s="53" t="e">
        <f>Z109+ATM_Conf!$C$5*(F109-E109)/(F297*Z297)</f>
        <v>#DIV/0!</v>
      </c>
      <c r="AA110" s="53" t="e">
        <f>AA109+ATM_Conf!$C$5*(G109-F109)/(G297*AA297)</f>
        <v>#DIV/0!</v>
      </c>
      <c r="AB110" s="53" t="e">
        <f>AB109+ATM_Conf!$C$5*(H109-G109)/(H297*AB297)</f>
        <v>#DIV/0!</v>
      </c>
      <c r="AC110" s="53" t="e">
        <f>AC109+ATM_Conf!$C$5*(I109-H109)/(I297*AC297)</f>
        <v>#DIV/0!</v>
      </c>
      <c r="AD110" s="53" t="e">
        <f>AD109+ATM_Conf!$C$5*(J109-I109)/(J297*AD297)</f>
        <v>#DIV/0!</v>
      </c>
      <c r="AE110" s="53" t="e">
        <f>AE109+ATM_Conf!$C$5*(K109-J109)/(K297*AE297)</f>
        <v>#DIV/0!</v>
      </c>
      <c r="AF110" s="53" t="e">
        <f>AF109+ATM_Conf!$C$5*(L109)/(L297*AF297)</f>
        <v>#DIV/0!</v>
      </c>
      <c r="AG110" s="53" t="e">
        <f>AG109+ATM_Conf!$C$5*(M109-L109)/(M297*AG297)</f>
        <v>#DIV/0!</v>
      </c>
      <c r="AH110" s="53" t="e">
        <f>AH109+ATM_Conf!$C$5*(N109-M109)/(N297*AH297)</f>
        <v>#DIV/0!</v>
      </c>
      <c r="AI110" s="53" t="e">
        <f>AI109+ATM_Conf!$C$5*(O109-N109)/(O297*AI297)</f>
        <v>#DIV/0!</v>
      </c>
      <c r="AJ110" s="53" t="e">
        <f>AJ109+ATM_Conf!$C$5*(P109-O109)/(P297*AJ297)</f>
        <v>#DIV/0!</v>
      </c>
      <c r="AK110" s="53" t="e">
        <f>AK109+ATM_Conf!$C$5*(Q109-P109)/(Q297*AK297)</f>
        <v>#DIV/0!</v>
      </c>
      <c r="AL110" s="53" t="e">
        <f>AL109+ATM_Conf!$C$5*(R109-Q109)/(R297*AL297)</f>
        <v>#DIV/0!</v>
      </c>
      <c r="AM110" s="53" t="e">
        <f>AM109+ATM_Conf!$C$5*(S109-R109)/(S297*AM297)</f>
        <v>#DIV/0!</v>
      </c>
      <c r="AN110" s="53" t="e">
        <f>AN109+ATM_Conf!$C$5*(T109-S109)/(T297*AN297)</f>
        <v>#DIV/0!</v>
      </c>
      <c r="AO110" s="53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43">
        <f t="shared" si="67"/>
        <v>0</v>
      </c>
      <c r="DS110" s="43">
        <f t="shared" si="66"/>
        <v>0</v>
      </c>
      <c r="DT110" s="43">
        <f t="shared" si="66"/>
        <v>0</v>
      </c>
      <c r="DU110" s="43">
        <f t="shared" si="66"/>
        <v>0</v>
      </c>
      <c r="DV110" s="43">
        <f t="shared" si="66"/>
        <v>0</v>
      </c>
      <c r="DW110" s="43">
        <f t="shared" si="66"/>
        <v>0</v>
      </c>
      <c r="DX110" s="43">
        <f t="shared" si="66"/>
        <v>0</v>
      </c>
      <c r="DY110" s="43">
        <f t="shared" si="66"/>
        <v>0</v>
      </c>
      <c r="DZ110" s="43">
        <f t="shared" si="66"/>
        <v>0</v>
      </c>
      <c r="EA110" s="43">
        <f t="shared" si="66"/>
        <v>0</v>
      </c>
      <c r="EB110" s="43">
        <f t="shared" si="66"/>
        <v>0</v>
      </c>
      <c r="EC110" s="43">
        <f t="shared" si="66"/>
        <v>0</v>
      </c>
      <c r="ED110" s="43">
        <f t="shared" si="66"/>
        <v>0</v>
      </c>
      <c r="EE110" s="43">
        <f t="shared" si="66"/>
        <v>0</v>
      </c>
      <c r="EF110" s="43">
        <f t="shared" si="66"/>
        <v>0</v>
      </c>
      <c r="EG110" s="43">
        <f t="shared" si="66"/>
        <v>0</v>
      </c>
      <c r="EH110" s="43">
        <f t="shared" si="66"/>
        <v>0</v>
      </c>
      <c r="EI110" s="43">
        <f t="shared" si="66"/>
        <v>0</v>
      </c>
      <c r="EJ110" s="43">
        <f t="shared" si="66"/>
        <v>0</v>
      </c>
      <c r="EK110" s="43">
        <f t="shared" si="66"/>
        <v>0</v>
      </c>
      <c r="EL110" s="47"/>
      <c r="EM110" s="47"/>
      <c r="EN110" s="47"/>
      <c r="EO110" s="47"/>
      <c r="EP110" s="47"/>
      <c r="EQ110" s="47"/>
      <c r="ER110" s="47"/>
      <c r="ES110" s="47"/>
      <c r="ET110" s="47"/>
      <c r="EU110" s="47"/>
      <c r="EV110" s="47"/>
      <c r="EW110" s="47"/>
      <c r="EX110" s="47"/>
      <c r="EY110" s="47"/>
      <c r="EZ110" s="47"/>
      <c r="FA110" s="47"/>
      <c r="FB110" s="47"/>
      <c r="FC110" s="47"/>
      <c r="FD110" s="47"/>
      <c r="FE110" s="47"/>
    </row>
    <row r="111" spans="1:161" ht="14.25" x14ac:dyDescent="0.15">
      <c r="A111" s="46"/>
      <c r="B111" s="43" t="e">
        <f t="shared" si="39"/>
        <v>#DIV/0!</v>
      </c>
      <c r="C111" s="43" t="e">
        <f t="shared" si="40"/>
        <v>#DIV/0!</v>
      </c>
      <c r="D111" s="43" t="e">
        <f t="shared" si="41"/>
        <v>#DIV/0!</v>
      </c>
      <c r="E111" s="43" t="e">
        <f t="shared" si="42"/>
        <v>#DIV/0!</v>
      </c>
      <c r="F111" s="43" t="e">
        <f t="shared" si="43"/>
        <v>#DIV/0!</v>
      </c>
      <c r="G111" s="43" t="e">
        <f t="shared" si="44"/>
        <v>#DIV/0!</v>
      </c>
      <c r="H111" s="43" t="e">
        <f t="shared" si="45"/>
        <v>#DIV/0!</v>
      </c>
      <c r="I111" s="43" t="e">
        <f t="shared" si="46"/>
        <v>#DIV/0!</v>
      </c>
      <c r="J111" s="43" t="e">
        <f t="shared" si="47"/>
        <v>#DIV/0!</v>
      </c>
      <c r="K111" s="43" t="e">
        <f t="shared" si="48"/>
        <v>#DIV/0!</v>
      </c>
      <c r="L111" s="43" t="e">
        <f t="shared" si="49"/>
        <v>#DIV/0!</v>
      </c>
      <c r="M111" s="43" t="e">
        <f t="shared" si="50"/>
        <v>#DIV/0!</v>
      </c>
      <c r="N111" s="43" t="e">
        <f t="shared" si="51"/>
        <v>#DIV/0!</v>
      </c>
      <c r="O111" s="43" t="e">
        <f t="shared" si="52"/>
        <v>#DIV/0!</v>
      </c>
      <c r="P111" s="43" t="e">
        <f t="shared" si="53"/>
        <v>#DIV/0!</v>
      </c>
      <c r="Q111" s="43" t="e">
        <f t="shared" si="54"/>
        <v>#DIV/0!</v>
      </c>
      <c r="R111" s="43" t="e">
        <f t="shared" si="55"/>
        <v>#DIV/0!</v>
      </c>
      <c r="S111" s="43" t="e">
        <f t="shared" si="56"/>
        <v>#DIV/0!</v>
      </c>
      <c r="T111" s="43" t="e">
        <f t="shared" si="57"/>
        <v>#DIV/0!</v>
      </c>
      <c r="U111" s="43" t="e">
        <f t="shared" si="58"/>
        <v>#DIV/0!</v>
      </c>
      <c r="V111" s="53" t="e">
        <f>V110+ATM_Conf!$C$5*(B110)/(B298*V298)</f>
        <v>#DIV/0!</v>
      </c>
      <c r="W111" s="53" t="e">
        <f>W110+ATM_Conf!$C$5*(C110-B110)/(C298*W298)</f>
        <v>#DIV/0!</v>
      </c>
      <c r="X111" s="53" t="e">
        <f>X110+ATM_Conf!$C$5*(D110-C110)/(D298*X298)</f>
        <v>#DIV/0!</v>
      </c>
      <c r="Y111" s="53" t="e">
        <f>Y110+ATM_Conf!$C$5*(E110-D110)/(E298*Y298)</f>
        <v>#DIV/0!</v>
      </c>
      <c r="Z111" s="53" t="e">
        <f>Z110+ATM_Conf!$C$5*(F110-E110)/(F298*Z298)</f>
        <v>#DIV/0!</v>
      </c>
      <c r="AA111" s="53" t="e">
        <f>AA110+ATM_Conf!$C$5*(G110-F110)/(G298*AA298)</f>
        <v>#DIV/0!</v>
      </c>
      <c r="AB111" s="53" t="e">
        <f>AB110+ATM_Conf!$C$5*(H110-G110)/(H298*AB298)</f>
        <v>#DIV/0!</v>
      </c>
      <c r="AC111" s="53" t="e">
        <f>AC110+ATM_Conf!$C$5*(I110-H110)/(I298*AC298)</f>
        <v>#DIV/0!</v>
      </c>
      <c r="AD111" s="53" t="e">
        <f>AD110+ATM_Conf!$C$5*(J110-I110)/(J298*AD298)</f>
        <v>#DIV/0!</v>
      </c>
      <c r="AE111" s="53" t="e">
        <f>AE110+ATM_Conf!$C$5*(K110-J110)/(K298*AE298)</f>
        <v>#DIV/0!</v>
      </c>
      <c r="AF111" s="53" t="e">
        <f>AF110+ATM_Conf!$C$5*(L110)/(L298*AF298)</f>
        <v>#DIV/0!</v>
      </c>
      <c r="AG111" s="53" t="e">
        <f>AG110+ATM_Conf!$C$5*(M110-L110)/(M298*AG298)</f>
        <v>#DIV/0!</v>
      </c>
      <c r="AH111" s="53" t="e">
        <f>AH110+ATM_Conf!$C$5*(N110-M110)/(N298*AH298)</f>
        <v>#DIV/0!</v>
      </c>
      <c r="AI111" s="53" t="e">
        <f>AI110+ATM_Conf!$C$5*(O110-N110)/(O298*AI298)</f>
        <v>#DIV/0!</v>
      </c>
      <c r="AJ111" s="53" t="e">
        <f>AJ110+ATM_Conf!$C$5*(P110-O110)/(P298*AJ298)</f>
        <v>#DIV/0!</v>
      </c>
      <c r="AK111" s="53" t="e">
        <f>AK110+ATM_Conf!$C$5*(Q110-P110)/(Q298*AK298)</f>
        <v>#DIV/0!</v>
      </c>
      <c r="AL111" s="53" t="e">
        <f>AL110+ATM_Conf!$C$5*(R110-Q110)/(R298*AL298)</f>
        <v>#DIV/0!</v>
      </c>
      <c r="AM111" s="53" t="e">
        <f>AM110+ATM_Conf!$C$5*(S110-R110)/(S298*AM298)</f>
        <v>#DIV/0!</v>
      </c>
      <c r="AN111" s="53" t="e">
        <f>AN110+ATM_Conf!$C$5*(T110-S110)/(T298*AN298)</f>
        <v>#DIV/0!</v>
      </c>
      <c r="AO111" s="53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  <c r="EI111" s="62"/>
      <c r="EJ111" s="62"/>
      <c r="EK111" s="62"/>
      <c r="EL111" s="47">
        <f>(DR111-DR99)^2</f>
        <v>0</v>
      </c>
      <c r="EM111" s="47">
        <f t="shared" ref="EM111:FE111" si="68">(DS111-DS99)^2</f>
        <v>0</v>
      </c>
      <c r="EN111" s="47">
        <f t="shared" si="68"/>
        <v>0</v>
      </c>
      <c r="EO111" s="47">
        <f t="shared" si="68"/>
        <v>0</v>
      </c>
      <c r="EP111" s="47">
        <f t="shared" si="68"/>
        <v>0</v>
      </c>
      <c r="EQ111" s="47">
        <f t="shared" si="68"/>
        <v>0</v>
      </c>
      <c r="ER111" s="47">
        <f t="shared" si="68"/>
        <v>0</v>
      </c>
      <c r="ES111" s="47">
        <f t="shared" si="68"/>
        <v>0</v>
      </c>
      <c r="ET111" s="47">
        <f t="shared" si="68"/>
        <v>0</v>
      </c>
      <c r="EU111" s="47">
        <f t="shared" si="68"/>
        <v>0</v>
      </c>
      <c r="EV111" s="47">
        <f t="shared" si="68"/>
        <v>0</v>
      </c>
      <c r="EW111" s="47">
        <f t="shared" si="68"/>
        <v>0</v>
      </c>
      <c r="EX111" s="47">
        <f t="shared" si="68"/>
        <v>0</v>
      </c>
      <c r="EY111" s="47">
        <f t="shared" si="68"/>
        <v>0</v>
      </c>
      <c r="EZ111" s="47">
        <f t="shared" si="68"/>
        <v>0</v>
      </c>
      <c r="FA111" s="47">
        <f t="shared" si="68"/>
        <v>0</v>
      </c>
      <c r="FB111" s="47">
        <f t="shared" si="68"/>
        <v>0</v>
      </c>
      <c r="FC111" s="47">
        <f t="shared" si="68"/>
        <v>0</v>
      </c>
      <c r="FD111" s="47">
        <f t="shared" si="68"/>
        <v>0</v>
      </c>
      <c r="FE111" s="47">
        <f t="shared" si="68"/>
        <v>0</v>
      </c>
    </row>
    <row r="112" spans="1:161" ht="14.25" x14ac:dyDescent="0.15">
      <c r="A112" s="46"/>
      <c r="B112" s="43" t="e">
        <f t="shared" si="39"/>
        <v>#DIV/0!</v>
      </c>
      <c r="C112" s="43" t="e">
        <f t="shared" si="40"/>
        <v>#DIV/0!</v>
      </c>
      <c r="D112" s="43" t="e">
        <f t="shared" si="41"/>
        <v>#DIV/0!</v>
      </c>
      <c r="E112" s="43" t="e">
        <f t="shared" si="42"/>
        <v>#DIV/0!</v>
      </c>
      <c r="F112" s="43" t="e">
        <f t="shared" si="43"/>
        <v>#DIV/0!</v>
      </c>
      <c r="G112" s="43" t="e">
        <f t="shared" si="44"/>
        <v>#DIV/0!</v>
      </c>
      <c r="H112" s="43" t="e">
        <f t="shared" si="45"/>
        <v>#DIV/0!</v>
      </c>
      <c r="I112" s="43" t="e">
        <f t="shared" si="46"/>
        <v>#DIV/0!</v>
      </c>
      <c r="J112" s="43" t="e">
        <f t="shared" si="47"/>
        <v>#DIV/0!</v>
      </c>
      <c r="K112" s="43" t="e">
        <f t="shared" si="48"/>
        <v>#DIV/0!</v>
      </c>
      <c r="L112" s="43" t="e">
        <f t="shared" si="49"/>
        <v>#DIV/0!</v>
      </c>
      <c r="M112" s="43" t="e">
        <f t="shared" si="50"/>
        <v>#DIV/0!</v>
      </c>
      <c r="N112" s="43" t="e">
        <f t="shared" si="51"/>
        <v>#DIV/0!</v>
      </c>
      <c r="O112" s="43" t="e">
        <f t="shared" si="52"/>
        <v>#DIV/0!</v>
      </c>
      <c r="P112" s="43" t="e">
        <f t="shared" si="53"/>
        <v>#DIV/0!</v>
      </c>
      <c r="Q112" s="43" t="e">
        <f t="shared" si="54"/>
        <v>#DIV/0!</v>
      </c>
      <c r="R112" s="43" t="e">
        <f t="shared" si="55"/>
        <v>#DIV/0!</v>
      </c>
      <c r="S112" s="43" t="e">
        <f t="shared" si="56"/>
        <v>#DIV/0!</v>
      </c>
      <c r="T112" s="43" t="e">
        <f t="shared" si="57"/>
        <v>#DIV/0!</v>
      </c>
      <c r="U112" s="43" t="e">
        <f t="shared" si="58"/>
        <v>#DIV/0!</v>
      </c>
      <c r="V112" s="53" t="e">
        <f>V111+ATM_Conf!$C$5*(B111)/(B299*V299)</f>
        <v>#DIV/0!</v>
      </c>
      <c r="W112" s="53" t="e">
        <f>W111+ATM_Conf!$C$5*(C111-B111)/(C299*W299)</f>
        <v>#DIV/0!</v>
      </c>
      <c r="X112" s="53" t="e">
        <f>X111+ATM_Conf!$C$5*(D111-C111)/(D299*X299)</f>
        <v>#DIV/0!</v>
      </c>
      <c r="Y112" s="53" t="e">
        <f>Y111+ATM_Conf!$C$5*(E111-D111)/(E299*Y299)</f>
        <v>#DIV/0!</v>
      </c>
      <c r="Z112" s="53" t="e">
        <f>Z111+ATM_Conf!$C$5*(F111-E111)/(F299*Z299)</f>
        <v>#DIV/0!</v>
      </c>
      <c r="AA112" s="53" t="e">
        <f>AA111+ATM_Conf!$C$5*(G111-F111)/(G299*AA299)</f>
        <v>#DIV/0!</v>
      </c>
      <c r="AB112" s="53" t="e">
        <f>AB111+ATM_Conf!$C$5*(H111-G111)/(H299*AB299)</f>
        <v>#DIV/0!</v>
      </c>
      <c r="AC112" s="53" t="e">
        <f>AC111+ATM_Conf!$C$5*(I111-H111)/(I299*AC299)</f>
        <v>#DIV/0!</v>
      </c>
      <c r="AD112" s="53" t="e">
        <f>AD111+ATM_Conf!$C$5*(J111-I111)/(J299*AD299)</f>
        <v>#DIV/0!</v>
      </c>
      <c r="AE112" s="53" t="e">
        <f>AE111+ATM_Conf!$C$5*(K111-J111)/(K299*AE299)</f>
        <v>#DIV/0!</v>
      </c>
      <c r="AF112" s="53" t="e">
        <f>AF111+ATM_Conf!$C$5*(L111)/(L299*AF299)</f>
        <v>#DIV/0!</v>
      </c>
      <c r="AG112" s="53" t="e">
        <f>AG111+ATM_Conf!$C$5*(M111-L111)/(M299*AG299)</f>
        <v>#DIV/0!</v>
      </c>
      <c r="AH112" s="53" t="e">
        <f>AH111+ATM_Conf!$C$5*(N111-M111)/(N299*AH299)</f>
        <v>#DIV/0!</v>
      </c>
      <c r="AI112" s="53" t="e">
        <f>AI111+ATM_Conf!$C$5*(O111-N111)/(O299*AI299)</f>
        <v>#DIV/0!</v>
      </c>
      <c r="AJ112" s="53" t="e">
        <f>AJ111+ATM_Conf!$C$5*(P111-O111)/(P299*AJ299)</f>
        <v>#DIV/0!</v>
      </c>
      <c r="AK112" s="53" t="e">
        <f>AK111+ATM_Conf!$C$5*(Q111-P111)/(Q299*AK299)</f>
        <v>#DIV/0!</v>
      </c>
      <c r="AL112" s="53" t="e">
        <f>AL111+ATM_Conf!$C$5*(R111-Q111)/(R299*AL299)</f>
        <v>#DIV/0!</v>
      </c>
      <c r="AM112" s="53" t="e">
        <f>AM111+ATM_Conf!$C$5*(S111-R111)/(S299*AM299)</f>
        <v>#DIV/0!</v>
      </c>
      <c r="AN112" s="53" t="e">
        <f>AN111+ATM_Conf!$C$5*(T111-S111)/(T299*AN299)</f>
        <v>#DIV/0!</v>
      </c>
      <c r="AO112" s="53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43">
        <f>DR$111</f>
        <v>0</v>
      </c>
      <c r="DS112" s="43">
        <f t="shared" ref="DS112:EK122" si="69">DS$111</f>
        <v>0</v>
      </c>
      <c r="DT112" s="43">
        <f t="shared" si="69"/>
        <v>0</v>
      </c>
      <c r="DU112" s="43">
        <f t="shared" si="69"/>
        <v>0</v>
      </c>
      <c r="DV112" s="43">
        <f t="shared" si="69"/>
        <v>0</v>
      </c>
      <c r="DW112" s="43">
        <f t="shared" si="69"/>
        <v>0</v>
      </c>
      <c r="DX112" s="43">
        <f t="shared" si="69"/>
        <v>0</v>
      </c>
      <c r="DY112" s="43">
        <f t="shared" si="69"/>
        <v>0</v>
      </c>
      <c r="DZ112" s="43">
        <f t="shared" si="69"/>
        <v>0</v>
      </c>
      <c r="EA112" s="43">
        <f t="shared" si="69"/>
        <v>0</v>
      </c>
      <c r="EB112" s="43">
        <f t="shared" si="69"/>
        <v>0</v>
      </c>
      <c r="EC112" s="43">
        <f t="shared" si="69"/>
        <v>0</v>
      </c>
      <c r="ED112" s="43">
        <f t="shared" si="69"/>
        <v>0</v>
      </c>
      <c r="EE112" s="43">
        <f t="shared" si="69"/>
        <v>0</v>
      </c>
      <c r="EF112" s="43">
        <f t="shared" si="69"/>
        <v>0</v>
      </c>
      <c r="EG112" s="43">
        <f t="shared" si="69"/>
        <v>0</v>
      </c>
      <c r="EH112" s="43">
        <f t="shared" si="69"/>
        <v>0</v>
      </c>
      <c r="EI112" s="43">
        <f t="shared" si="69"/>
        <v>0</v>
      </c>
      <c r="EJ112" s="43">
        <f t="shared" si="69"/>
        <v>0</v>
      </c>
      <c r="EK112" s="43">
        <f t="shared" si="69"/>
        <v>0</v>
      </c>
      <c r="EL112" s="47"/>
      <c r="EM112" s="47"/>
      <c r="EN112" s="47"/>
      <c r="EO112" s="47"/>
      <c r="EP112" s="47"/>
      <c r="EQ112" s="47"/>
      <c r="ER112" s="47"/>
      <c r="ES112" s="47"/>
      <c r="ET112" s="47"/>
      <c r="EU112" s="47"/>
      <c r="EV112" s="47"/>
      <c r="EW112" s="47"/>
      <c r="EX112" s="47"/>
      <c r="EY112" s="47"/>
      <c r="EZ112" s="47"/>
      <c r="FA112" s="47"/>
      <c r="FB112" s="47"/>
      <c r="FC112" s="47"/>
      <c r="FD112" s="47"/>
      <c r="FE112" s="47"/>
    </row>
    <row r="113" spans="1:161" ht="14.25" x14ac:dyDescent="0.15">
      <c r="A113" s="46"/>
      <c r="B113" s="43" t="e">
        <f t="shared" si="39"/>
        <v>#DIV/0!</v>
      </c>
      <c r="C113" s="43" t="e">
        <f t="shared" si="40"/>
        <v>#DIV/0!</v>
      </c>
      <c r="D113" s="43" t="e">
        <f t="shared" si="41"/>
        <v>#DIV/0!</v>
      </c>
      <c r="E113" s="43" t="e">
        <f t="shared" si="42"/>
        <v>#DIV/0!</v>
      </c>
      <c r="F113" s="43" t="e">
        <f t="shared" si="43"/>
        <v>#DIV/0!</v>
      </c>
      <c r="G113" s="43" t="e">
        <f t="shared" si="44"/>
        <v>#DIV/0!</v>
      </c>
      <c r="H113" s="43" t="e">
        <f t="shared" si="45"/>
        <v>#DIV/0!</v>
      </c>
      <c r="I113" s="43" t="e">
        <f t="shared" si="46"/>
        <v>#DIV/0!</v>
      </c>
      <c r="J113" s="43" t="e">
        <f t="shared" si="47"/>
        <v>#DIV/0!</v>
      </c>
      <c r="K113" s="43" t="e">
        <f t="shared" si="48"/>
        <v>#DIV/0!</v>
      </c>
      <c r="L113" s="43" t="e">
        <f t="shared" si="49"/>
        <v>#DIV/0!</v>
      </c>
      <c r="M113" s="43" t="e">
        <f t="shared" si="50"/>
        <v>#DIV/0!</v>
      </c>
      <c r="N113" s="43" t="e">
        <f t="shared" si="51"/>
        <v>#DIV/0!</v>
      </c>
      <c r="O113" s="43" t="e">
        <f t="shared" si="52"/>
        <v>#DIV/0!</v>
      </c>
      <c r="P113" s="43" t="e">
        <f t="shared" si="53"/>
        <v>#DIV/0!</v>
      </c>
      <c r="Q113" s="43" t="e">
        <f t="shared" si="54"/>
        <v>#DIV/0!</v>
      </c>
      <c r="R113" s="43" t="e">
        <f t="shared" si="55"/>
        <v>#DIV/0!</v>
      </c>
      <c r="S113" s="43" t="e">
        <f t="shared" si="56"/>
        <v>#DIV/0!</v>
      </c>
      <c r="T113" s="43" t="e">
        <f t="shared" si="57"/>
        <v>#DIV/0!</v>
      </c>
      <c r="U113" s="43" t="e">
        <f t="shared" si="58"/>
        <v>#DIV/0!</v>
      </c>
      <c r="V113" s="53" t="e">
        <f>V112+ATM_Conf!$C$5*(B112)/(B300*V300)</f>
        <v>#DIV/0!</v>
      </c>
      <c r="W113" s="53" t="e">
        <f>W112+ATM_Conf!$C$5*(C112-B112)/(C300*W300)</f>
        <v>#DIV/0!</v>
      </c>
      <c r="X113" s="53" t="e">
        <f>X112+ATM_Conf!$C$5*(D112-C112)/(D300*X300)</f>
        <v>#DIV/0!</v>
      </c>
      <c r="Y113" s="53" t="e">
        <f>Y112+ATM_Conf!$C$5*(E112-D112)/(E300*Y300)</f>
        <v>#DIV/0!</v>
      </c>
      <c r="Z113" s="53" t="e">
        <f>Z112+ATM_Conf!$C$5*(F112-E112)/(F300*Z300)</f>
        <v>#DIV/0!</v>
      </c>
      <c r="AA113" s="53" t="e">
        <f>AA112+ATM_Conf!$C$5*(G112-F112)/(G300*AA300)</f>
        <v>#DIV/0!</v>
      </c>
      <c r="AB113" s="53" t="e">
        <f>AB112+ATM_Conf!$C$5*(H112-G112)/(H300*AB300)</f>
        <v>#DIV/0!</v>
      </c>
      <c r="AC113" s="53" t="e">
        <f>AC112+ATM_Conf!$C$5*(I112-H112)/(I300*AC300)</f>
        <v>#DIV/0!</v>
      </c>
      <c r="AD113" s="53" t="e">
        <f>AD112+ATM_Conf!$C$5*(J112-I112)/(J300*AD300)</f>
        <v>#DIV/0!</v>
      </c>
      <c r="AE113" s="53" t="e">
        <f>AE112+ATM_Conf!$C$5*(K112-J112)/(K300*AE300)</f>
        <v>#DIV/0!</v>
      </c>
      <c r="AF113" s="53" t="e">
        <f>AF112+ATM_Conf!$C$5*(L112)/(L300*AF300)</f>
        <v>#DIV/0!</v>
      </c>
      <c r="AG113" s="53" t="e">
        <f>AG112+ATM_Conf!$C$5*(M112-L112)/(M300*AG300)</f>
        <v>#DIV/0!</v>
      </c>
      <c r="AH113" s="53" t="e">
        <f>AH112+ATM_Conf!$C$5*(N112-M112)/(N300*AH300)</f>
        <v>#DIV/0!</v>
      </c>
      <c r="AI113" s="53" t="e">
        <f>AI112+ATM_Conf!$C$5*(O112-N112)/(O300*AI300)</f>
        <v>#DIV/0!</v>
      </c>
      <c r="AJ113" s="53" t="e">
        <f>AJ112+ATM_Conf!$C$5*(P112-O112)/(P300*AJ300)</f>
        <v>#DIV/0!</v>
      </c>
      <c r="AK113" s="53" t="e">
        <f>AK112+ATM_Conf!$C$5*(Q112-P112)/(Q300*AK300)</f>
        <v>#DIV/0!</v>
      </c>
      <c r="AL113" s="53" t="e">
        <f>AL112+ATM_Conf!$C$5*(R112-Q112)/(R300*AL300)</f>
        <v>#DIV/0!</v>
      </c>
      <c r="AM113" s="53" t="e">
        <f>AM112+ATM_Conf!$C$5*(S112-R112)/(S300*AM300)</f>
        <v>#DIV/0!</v>
      </c>
      <c r="AN113" s="53" t="e">
        <f>AN112+ATM_Conf!$C$5*(T112-S112)/(T300*AN300)</f>
        <v>#DIV/0!</v>
      </c>
      <c r="AO113" s="53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43">
        <f t="shared" ref="DR113:DR122" si="70">DR$111</f>
        <v>0</v>
      </c>
      <c r="DS113" s="43">
        <f t="shared" si="69"/>
        <v>0</v>
      </c>
      <c r="DT113" s="43">
        <f t="shared" si="69"/>
        <v>0</v>
      </c>
      <c r="DU113" s="43">
        <f t="shared" si="69"/>
        <v>0</v>
      </c>
      <c r="DV113" s="43">
        <f t="shared" si="69"/>
        <v>0</v>
      </c>
      <c r="DW113" s="43">
        <f t="shared" si="69"/>
        <v>0</v>
      </c>
      <c r="DX113" s="43">
        <f t="shared" si="69"/>
        <v>0</v>
      </c>
      <c r="DY113" s="43">
        <f t="shared" si="69"/>
        <v>0</v>
      </c>
      <c r="DZ113" s="43">
        <f t="shared" si="69"/>
        <v>0</v>
      </c>
      <c r="EA113" s="43">
        <f t="shared" si="69"/>
        <v>0</v>
      </c>
      <c r="EB113" s="43">
        <f t="shared" si="69"/>
        <v>0</v>
      </c>
      <c r="EC113" s="43">
        <f t="shared" si="69"/>
        <v>0</v>
      </c>
      <c r="ED113" s="43">
        <f t="shared" si="69"/>
        <v>0</v>
      </c>
      <c r="EE113" s="43">
        <f t="shared" si="69"/>
        <v>0</v>
      </c>
      <c r="EF113" s="43">
        <f t="shared" si="69"/>
        <v>0</v>
      </c>
      <c r="EG113" s="43">
        <f t="shared" si="69"/>
        <v>0</v>
      </c>
      <c r="EH113" s="43">
        <f t="shared" si="69"/>
        <v>0</v>
      </c>
      <c r="EI113" s="43">
        <f t="shared" si="69"/>
        <v>0</v>
      </c>
      <c r="EJ113" s="43">
        <f t="shared" si="69"/>
        <v>0</v>
      </c>
      <c r="EK113" s="43">
        <f t="shared" si="69"/>
        <v>0</v>
      </c>
      <c r="EL113" s="47"/>
      <c r="EM113" s="47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</row>
    <row r="114" spans="1:161" ht="14.25" x14ac:dyDescent="0.15">
      <c r="A114" s="46"/>
      <c r="B114" s="43" t="e">
        <f t="shared" si="39"/>
        <v>#DIV/0!</v>
      </c>
      <c r="C114" s="43" t="e">
        <f t="shared" si="40"/>
        <v>#DIV/0!</v>
      </c>
      <c r="D114" s="43" t="e">
        <f t="shared" si="41"/>
        <v>#DIV/0!</v>
      </c>
      <c r="E114" s="43" t="e">
        <f t="shared" si="42"/>
        <v>#DIV/0!</v>
      </c>
      <c r="F114" s="43" t="e">
        <f t="shared" si="43"/>
        <v>#DIV/0!</v>
      </c>
      <c r="G114" s="43" t="e">
        <f t="shared" si="44"/>
        <v>#DIV/0!</v>
      </c>
      <c r="H114" s="43" t="e">
        <f t="shared" si="45"/>
        <v>#DIV/0!</v>
      </c>
      <c r="I114" s="43" t="e">
        <f t="shared" si="46"/>
        <v>#DIV/0!</v>
      </c>
      <c r="J114" s="43" t="e">
        <f t="shared" si="47"/>
        <v>#DIV/0!</v>
      </c>
      <c r="K114" s="43" t="e">
        <f t="shared" si="48"/>
        <v>#DIV/0!</v>
      </c>
      <c r="L114" s="43" t="e">
        <f t="shared" si="49"/>
        <v>#DIV/0!</v>
      </c>
      <c r="M114" s="43" t="e">
        <f t="shared" si="50"/>
        <v>#DIV/0!</v>
      </c>
      <c r="N114" s="43" t="e">
        <f t="shared" si="51"/>
        <v>#DIV/0!</v>
      </c>
      <c r="O114" s="43" t="e">
        <f t="shared" si="52"/>
        <v>#DIV/0!</v>
      </c>
      <c r="P114" s="43" t="e">
        <f t="shared" si="53"/>
        <v>#DIV/0!</v>
      </c>
      <c r="Q114" s="43" t="e">
        <f t="shared" si="54"/>
        <v>#DIV/0!</v>
      </c>
      <c r="R114" s="43" t="e">
        <f t="shared" si="55"/>
        <v>#DIV/0!</v>
      </c>
      <c r="S114" s="43" t="e">
        <f t="shared" si="56"/>
        <v>#DIV/0!</v>
      </c>
      <c r="T114" s="43" t="e">
        <f t="shared" si="57"/>
        <v>#DIV/0!</v>
      </c>
      <c r="U114" s="43" t="e">
        <f t="shared" si="58"/>
        <v>#DIV/0!</v>
      </c>
      <c r="V114" s="53" t="e">
        <f>V113+ATM_Conf!$C$5*(B113)/(B301*V301)</f>
        <v>#DIV/0!</v>
      </c>
      <c r="W114" s="53" t="e">
        <f>W113+ATM_Conf!$C$5*(C113-B113)/(C301*W301)</f>
        <v>#DIV/0!</v>
      </c>
      <c r="X114" s="53" t="e">
        <f>X113+ATM_Conf!$C$5*(D113-C113)/(D301*X301)</f>
        <v>#DIV/0!</v>
      </c>
      <c r="Y114" s="53" t="e">
        <f>Y113+ATM_Conf!$C$5*(E113-D113)/(E301*Y301)</f>
        <v>#DIV/0!</v>
      </c>
      <c r="Z114" s="53" t="e">
        <f>Z113+ATM_Conf!$C$5*(F113-E113)/(F301*Z301)</f>
        <v>#DIV/0!</v>
      </c>
      <c r="AA114" s="53" t="e">
        <f>AA113+ATM_Conf!$C$5*(G113-F113)/(G301*AA301)</f>
        <v>#DIV/0!</v>
      </c>
      <c r="AB114" s="53" t="e">
        <f>AB113+ATM_Conf!$C$5*(H113-G113)/(H301*AB301)</f>
        <v>#DIV/0!</v>
      </c>
      <c r="AC114" s="53" t="e">
        <f>AC113+ATM_Conf!$C$5*(I113-H113)/(I301*AC301)</f>
        <v>#DIV/0!</v>
      </c>
      <c r="AD114" s="53" t="e">
        <f>AD113+ATM_Conf!$C$5*(J113-I113)/(J301*AD301)</f>
        <v>#DIV/0!</v>
      </c>
      <c r="AE114" s="53" t="e">
        <f>AE113+ATM_Conf!$C$5*(K113-J113)/(K301*AE301)</f>
        <v>#DIV/0!</v>
      </c>
      <c r="AF114" s="53" t="e">
        <f>AF113+ATM_Conf!$C$5*(L113)/(L301*AF301)</f>
        <v>#DIV/0!</v>
      </c>
      <c r="AG114" s="53" t="e">
        <f>AG113+ATM_Conf!$C$5*(M113-L113)/(M301*AG301)</f>
        <v>#DIV/0!</v>
      </c>
      <c r="AH114" s="53" t="e">
        <f>AH113+ATM_Conf!$C$5*(N113-M113)/(N301*AH301)</f>
        <v>#DIV/0!</v>
      </c>
      <c r="AI114" s="53" t="e">
        <f>AI113+ATM_Conf!$C$5*(O113-N113)/(O301*AI301)</f>
        <v>#DIV/0!</v>
      </c>
      <c r="AJ114" s="53" t="e">
        <f>AJ113+ATM_Conf!$C$5*(P113-O113)/(P301*AJ301)</f>
        <v>#DIV/0!</v>
      </c>
      <c r="AK114" s="53" t="e">
        <f>AK113+ATM_Conf!$C$5*(Q113-P113)/(Q301*AK301)</f>
        <v>#DIV/0!</v>
      </c>
      <c r="AL114" s="53" t="e">
        <f>AL113+ATM_Conf!$C$5*(R113-Q113)/(R301*AL301)</f>
        <v>#DIV/0!</v>
      </c>
      <c r="AM114" s="53" t="e">
        <f>AM113+ATM_Conf!$C$5*(S113-R113)/(S301*AM301)</f>
        <v>#DIV/0!</v>
      </c>
      <c r="AN114" s="53" t="e">
        <f>AN113+ATM_Conf!$C$5*(T113-S113)/(T301*AN301)</f>
        <v>#DIV/0!</v>
      </c>
      <c r="AO114" s="53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43">
        <f t="shared" si="70"/>
        <v>0</v>
      </c>
      <c r="DS114" s="43">
        <f t="shared" si="69"/>
        <v>0</v>
      </c>
      <c r="DT114" s="43">
        <f t="shared" si="69"/>
        <v>0</v>
      </c>
      <c r="DU114" s="43">
        <f t="shared" si="69"/>
        <v>0</v>
      </c>
      <c r="DV114" s="43">
        <f t="shared" si="69"/>
        <v>0</v>
      </c>
      <c r="DW114" s="43">
        <f t="shared" si="69"/>
        <v>0</v>
      </c>
      <c r="DX114" s="43">
        <f t="shared" si="69"/>
        <v>0</v>
      </c>
      <c r="DY114" s="43">
        <f t="shared" si="69"/>
        <v>0</v>
      </c>
      <c r="DZ114" s="43">
        <f t="shared" si="69"/>
        <v>0</v>
      </c>
      <c r="EA114" s="43">
        <f t="shared" si="69"/>
        <v>0</v>
      </c>
      <c r="EB114" s="43">
        <f t="shared" si="69"/>
        <v>0</v>
      </c>
      <c r="EC114" s="43">
        <f t="shared" si="69"/>
        <v>0</v>
      </c>
      <c r="ED114" s="43">
        <f t="shared" si="69"/>
        <v>0</v>
      </c>
      <c r="EE114" s="43">
        <f t="shared" si="69"/>
        <v>0</v>
      </c>
      <c r="EF114" s="43">
        <f t="shared" si="69"/>
        <v>0</v>
      </c>
      <c r="EG114" s="43">
        <f t="shared" si="69"/>
        <v>0</v>
      </c>
      <c r="EH114" s="43">
        <f t="shared" si="69"/>
        <v>0</v>
      </c>
      <c r="EI114" s="43">
        <f t="shared" si="69"/>
        <v>0</v>
      </c>
      <c r="EJ114" s="43">
        <f t="shared" si="69"/>
        <v>0</v>
      </c>
      <c r="EK114" s="43">
        <f t="shared" si="69"/>
        <v>0</v>
      </c>
      <c r="EL114" s="47"/>
      <c r="EM114" s="47"/>
      <c r="EN114" s="47"/>
      <c r="EO114" s="47"/>
      <c r="EP114" s="47"/>
      <c r="EQ114" s="47"/>
      <c r="ER114" s="47"/>
      <c r="ES114" s="47"/>
      <c r="ET114" s="47"/>
      <c r="EU114" s="47"/>
      <c r="EV114" s="47"/>
      <c r="EW114" s="47"/>
      <c r="EX114" s="47"/>
      <c r="EY114" s="47"/>
      <c r="EZ114" s="47"/>
      <c r="FA114" s="47"/>
      <c r="FB114" s="47"/>
      <c r="FC114" s="47"/>
      <c r="FD114" s="47"/>
      <c r="FE114" s="47"/>
    </row>
    <row r="115" spans="1:161" ht="14.25" x14ac:dyDescent="0.15">
      <c r="A115" s="46"/>
      <c r="B115" s="43" t="e">
        <f t="shared" si="39"/>
        <v>#DIV/0!</v>
      </c>
      <c r="C115" s="43" t="e">
        <f t="shared" si="40"/>
        <v>#DIV/0!</v>
      </c>
      <c r="D115" s="43" t="e">
        <f t="shared" si="41"/>
        <v>#DIV/0!</v>
      </c>
      <c r="E115" s="43" t="e">
        <f t="shared" si="42"/>
        <v>#DIV/0!</v>
      </c>
      <c r="F115" s="43" t="e">
        <f t="shared" si="43"/>
        <v>#DIV/0!</v>
      </c>
      <c r="G115" s="43" t="e">
        <f t="shared" si="44"/>
        <v>#DIV/0!</v>
      </c>
      <c r="H115" s="43" t="e">
        <f t="shared" si="45"/>
        <v>#DIV/0!</v>
      </c>
      <c r="I115" s="43" t="e">
        <f t="shared" si="46"/>
        <v>#DIV/0!</v>
      </c>
      <c r="J115" s="43" t="e">
        <f t="shared" si="47"/>
        <v>#DIV/0!</v>
      </c>
      <c r="K115" s="43" t="e">
        <f t="shared" si="48"/>
        <v>#DIV/0!</v>
      </c>
      <c r="L115" s="43" t="e">
        <f t="shared" si="49"/>
        <v>#DIV/0!</v>
      </c>
      <c r="M115" s="43" t="e">
        <f t="shared" si="50"/>
        <v>#DIV/0!</v>
      </c>
      <c r="N115" s="43" t="e">
        <f t="shared" si="51"/>
        <v>#DIV/0!</v>
      </c>
      <c r="O115" s="43" t="e">
        <f t="shared" si="52"/>
        <v>#DIV/0!</v>
      </c>
      <c r="P115" s="43" t="e">
        <f t="shared" si="53"/>
        <v>#DIV/0!</v>
      </c>
      <c r="Q115" s="43" t="e">
        <f t="shared" si="54"/>
        <v>#DIV/0!</v>
      </c>
      <c r="R115" s="43" t="e">
        <f t="shared" si="55"/>
        <v>#DIV/0!</v>
      </c>
      <c r="S115" s="43" t="e">
        <f t="shared" si="56"/>
        <v>#DIV/0!</v>
      </c>
      <c r="T115" s="43" t="e">
        <f t="shared" si="57"/>
        <v>#DIV/0!</v>
      </c>
      <c r="U115" s="43" t="e">
        <f t="shared" si="58"/>
        <v>#DIV/0!</v>
      </c>
      <c r="V115" s="53" t="e">
        <f>V114+ATM_Conf!$C$5*(B114)/(B302*V302)</f>
        <v>#DIV/0!</v>
      </c>
      <c r="W115" s="53" t="e">
        <f>W114+ATM_Conf!$C$5*(C114-B114)/(C302*W302)</f>
        <v>#DIV/0!</v>
      </c>
      <c r="X115" s="53" t="e">
        <f>X114+ATM_Conf!$C$5*(D114-C114)/(D302*X302)</f>
        <v>#DIV/0!</v>
      </c>
      <c r="Y115" s="53" t="e">
        <f>Y114+ATM_Conf!$C$5*(E114-D114)/(E302*Y302)</f>
        <v>#DIV/0!</v>
      </c>
      <c r="Z115" s="53" t="e">
        <f>Z114+ATM_Conf!$C$5*(F114-E114)/(F302*Z302)</f>
        <v>#DIV/0!</v>
      </c>
      <c r="AA115" s="53" t="e">
        <f>AA114+ATM_Conf!$C$5*(G114-F114)/(G302*AA302)</f>
        <v>#DIV/0!</v>
      </c>
      <c r="AB115" s="53" t="e">
        <f>AB114+ATM_Conf!$C$5*(H114-G114)/(H302*AB302)</f>
        <v>#DIV/0!</v>
      </c>
      <c r="AC115" s="53" t="e">
        <f>AC114+ATM_Conf!$C$5*(I114-H114)/(I302*AC302)</f>
        <v>#DIV/0!</v>
      </c>
      <c r="AD115" s="53" t="e">
        <f>AD114+ATM_Conf!$C$5*(J114-I114)/(J302*AD302)</f>
        <v>#DIV/0!</v>
      </c>
      <c r="AE115" s="53" t="e">
        <f>AE114+ATM_Conf!$C$5*(K114-J114)/(K302*AE302)</f>
        <v>#DIV/0!</v>
      </c>
      <c r="AF115" s="53" t="e">
        <f>AF114+ATM_Conf!$C$5*(L114)/(L302*AF302)</f>
        <v>#DIV/0!</v>
      </c>
      <c r="AG115" s="53" t="e">
        <f>AG114+ATM_Conf!$C$5*(M114-L114)/(M302*AG302)</f>
        <v>#DIV/0!</v>
      </c>
      <c r="AH115" s="53" t="e">
        <f>AH114+ATM_Conf!$C$5*(N114-M114)/(N302*AH302)</f>
        <v>#DIV/0!</v>
      </c>
      <c r="AI115" s="53" t="e">
        <f>AI114+ATM_Conf!$C$5*(O114-N114)/(O302*AI302)</f>
        <v>#DIV/0!</v>
      </c>
      <c r="AJ115" s="53" t="e">
        <f>AJ114+ATM_Conf!$C$5*(P114-O114)/(P302*AJ302)</f>
        <v>#DIV/0!</v>
      </c>
      <c r="AK115" s="53" t="e">
        <f>AK114+ATM_Conf!$C$5*(Q114-P114)/(Q302*AK302)</f>
        <v>#DIV/0!</v>
      </c>
      <c r="AL115" s="53" t="e">
        <f>AL114+ATM_Conf!$C$5*(R114-Q114)/(R302*AL302)</f>
        <v>#DIV/0!</v>
      </c>
      <c r="AM115" s="53" t="e">
        <f>AM114+ATM_Conf!$C$5*(S114-R114)/(S302*AM302)</f>
        <v>#DIV/0!</v>
      </c>
      <c r="AN115" s="53" t="e">
        <f>AN114+ATM_Conf!$C$5*(T114-S114)/(T302*AN302)</f>
        <v>#DIV/0!</v>
      </c>
      <c r="AO115" s="53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43">
        <f t="shared" si="70"/>
        <v>0</v>
      </c>
      <c r="DS115" s="43">
        <f t="shared" si="69"/>
        <v>0</v>
      </c>
      <c r="DT115" s="43">
        <f t="shared" si="69"/>
        <v>0</v>
      </c>
      <c r="DU115" s="43">
        <f t="shared" si="69"/>
        <v>0</v>
      </c>
      <c r="DV115" s="43">
        <f t="shared" si="69"/>
        <v>0</v>
      </c>
      <c r="DW115" s="43">
        <f t="shared" si="69"/>
        <v>0</v>
      </c>
      <c r="DX115" s="43">
        <f t="shared" si="69"/>
        <v>0</v>
      </c>
      <c r="DY115" s="43">
        <f t="shared" si="69"/>
        <v>0</v>
      </c>
      <c r="DZ115" s="43">
        <f t="shared" si="69"/>
        <v>0</v>
      </c>
      <c r="EA115" s="43">
        <f t="shared" si="69"/>
        <v>0</v>
      </c>
      <c r="EB115" s="43">
        <f t="shared" si="69"/>
        <v>0</v>
      </c>
      <c r="EC115" s="43">
        <f t="shared" si="69"/>
        <v>0</v>
      </c>
      <c r="ED115" s="43">
        <f t="shared" si="69"/>
        <v>0</v>
      </c>
      <c r="EE115" s="43">
        <f t="shared" si="69"/>
        <v>0</v>
      </c>
      <c r="EF115" s="43">
        <f t="shared" si="69"/>
        <v>0</v>
      </c>
      <c r="EG115" s="43">
        <f t="shared" si="69"/>
        <v>0</v>
      </c>
      <c r="EH115" s="43">
        <f t="shared" si="69"/>
        <v>0</v>
      </c>
      <c r="EI115" s="43">
        <f t="shared" si="69"/>
        <v>0</v>
      </c>
      <c r="EJ115" s="43">
        <f t="shared" si="69"/>
        <v>0</v>
      </c>
      <c r="EK115" s="43">
        <f t="shared" si="69"/>
        <v>0</v>
      </c>
      <c r="EL115" s="47"/>
      <c r="EM115" s="47"/>
      <c r="EN115" s="47"/>
      <c r="EO115" s="47"/>
      <c r="EP115" s="47"/>
      <c r="EQ115" s="47"/>
      <c r="ER115" s="47"/>
      <c r="ES115" s="47"/>
      <c r="ET115" s="47"/>
      <c r="EU115" s="47"/>
      <c r="EV115" s="47"/>
      <c r="EW115" s="47"/>
      <c r="EX115" s="47"/>
      <c r="EY115" s="47"/>
      <c r="EZ115" s="47"/>
      <c r="FA115" s="47"/>
      <c r="FB115" s="47"/>
      <c r="FC115" s="47"/>
      <c r="FD115" s="47"/>
      <c r="FE115" s="47"/>
    </row>
    <row r="116" spans="1:161" ht="14.25" x14ac:dyDescent="0.15">
      <c r="A116" s="46"/>
      <c r="B116" s="43" t="e">
        <f t="shared" si="39"/>
        <v>#DIV/0!</v>
      </c>
      <c r="C116" s="43" t="e">
        <f t="shared" si="40"/>
        <v>#DIV/0!</v>
      </c>
      <c r="D116" s="43" t="e">
        <f t="shared" si="41"/>
        <v>#DIV/0!</v>
      </c>
      <c r="E116" s="43" t="e">
        <f t="shared" si="42"/>
        <v>#DIV/0!</v>
      </c>
      <c r="F116" s="43" t="e">
        <f t="shared" si="43"/>
        <v>#DIV/0!</v>
      </c>
      <c r="G116" s="43" t="e">
        <f t="shared" si="44"/>
        <v>#DIV/0!</v>
      </c>
      <c r="H116" s="43" t="e">
        <f t="shared" si="45"/>
        <v>#DIV/0!</v>
      </c>
      <c r="I116" s="43" t="e">
        <f t="shared" si="46"/>
        <v>#DIV/0!</v>
      </c>
      <c r="J116" s="43" t="e">
        <f t="shared" si="47"/>
        <v>#DIV/0!</v>
      </c>
      <c r="K116" s="43" t="e">
        <f t="shared" si="48"/>
        <v>#DIV/0!</v>
      </c>
      <c r="L116" s="43" t="e">
        <f t="shared" si="49"/>
        <v>#DIV/0!</v>
      </c>
      <c r="M116" s="43" t="e">
        <f t="shared" si="50"/>
        <v>#DIV/0!</v>
      </c>
      <c r="N116" s="43" t="e">
        <f t="shared" si="51"/>
        <v>#DIV/0!</v>
      </c>
      <c r="O116" s="43" t="e">
        <f t="shared" si="52"/>
        <v>#DIV/0!</v>
      </c>
      <c r="P116" s="43" t="e">
        <f t="shared" si="53"/>
        <v>#DIV/0!</v>
      </c>
      <c r="Q116" s="43" t="e">
        <f t="shared" si="54"/>
        <v>#DIV/0!</v>
      </c>
      <c r="R116" s="43" t="e">
        <f t="shared" si="55"/>
        <v>#DIV/0!</v>
      </c>
      <c r="S116" s="43" t="e">
        <f t="shared" si="56"/>
        <v>#DIV/0!</v>
      </c>
      <c r="T116" s="43" t="e">
        <f t="shared" si="57"/>
        <v>#DIV/0!</v>
      </c>
      <c r="U116" s="43" t="e">
        <f t="shared" si="58"/>
        <v>#DIV/0!</v>
      </c>
      <c r="V116" s="53" t="e">
        <f>V115+ATM_Conf!$C$5*(B115)/(B303*V303)</f>
        <v>#DIV/0!</v>
      </c>
      <c r="W116" s="53" t="e">
        <f>W115+ATM_Conf!$C$5*(C115-B115)/(C303*W303)</f>
        <v>#DIV/0!</v>
      </c>
      <c r="X116" s="53" t="e">
        <f>X115+ATM_Conf!$C$5*(D115-C115)/(D303*X303)</f>
        <v>#DIV/0!</v>
      </c>
      <c r="Y116" s="53" t="e">
        <f>Y115+ATM_Conf!$C$5*(E115-D115)/(E303*Y303)</f>
        <v>#DIV/0!</v>
      </c>
      <c r="Z116" s="53" t="e">
        <f>Z115+ATM_Conf!$C$5*(F115-E115)/(F303*Z303)</f>
        <v>#DIV/0!</v>
      </c>
      <c r="AA116" s="53" t="e">
        <f>AA115+ATM_Conf!$C$5*(G115-F115)/(G303*AA303)</f>
        <v>#DIV/0!</v>
      </c>
      <c r="AB116" s="53" t="e">
        <f>AB115+ATM_Conf!$C$5*(H115-G115)/(H303*AB303)</f>
        <v>#DIV/0!</v>
      </c>
      <c r="AC116" s="53" t="e">
        <f>AC115+ATM_Conf!$C$5*(I115-H115)/(I303*AC303)</f>
        <v>#DIV/0!</v>
      </c>
      <c r="AD116" s="53" t="e">
        <f>AD115+ATM_Conf!$C$5*(J115-I115)/(J303*AD303)</f>
        <v>#DIV/0!</v>
      </c>
      <c r="AE116" s="53" t="e">
        <f>AE115+ATM_Conf!$C$5*(K115-J115)/(K303*AE303)</f>
        <v>#DIV/0!</v>
      </c>
      <c r="AF116" s="53" t="e">
        <f>AF115+ATM_Conf!$C$5*(L115)/(L303*AF303)</f>
        <v>#DIV/0!</v>
      </c>
      <c r="AG116" s="53" t="e">
        <f>AG115+ATM_Conf!$C$5*(M115-L115)/(M303*AG303)</f>
        <v>#DIV/0!</v>
      </c>
      <c r="AH116" s="53" t="e">
        <f>AH115+ATM_Conf!$C$5*(N115-M115)/(N303*AH303)</f>
        <v>#DIV/0!</v>
      </c>
      <c r="AI116" s="53" t="e">
        <f>AI115+ATM_Conf!$C$5*(O115-N115)/(O303*AI303)</f>
        <v>#DIV/0!</v>
      </c>
      <c r="AJ116" s="53" t="e">
        <f>AJ115+ATM_Conf!$C$5*(P115-O115)/(P303*AJ303)</f>
        <v>#DIV/0!</v>
      </c>
      <c r="AK116" s="53" t="e">
        <f>AK115+ATM_Conf!$C$5*(Q115-P115)/(Q303*AK303)</f>
        <v>#DIV/0!</v>
      </c>
      <c r="AL116" s="53" t="e">
        <f>AL115+ATM_Conf!$C$5*(R115-Q115)/(R303*AL303)</f>
        <v>#DIV/0!</v>
      </c>
      <c r="AM116" s="53" t="e">
        <f>AM115+ATM_Conf!$C$5*(S115-R115)/(S303*AM303)</f>
        <v>#DIV/0!</v>
      </c>
      <c r="AN116" s="53" t="e">
        <f>AN115+ATM_Conf!$C$5*(T115-S115)/(T303*AN303)</f>
        <v>#DIV/0!</v>
      </c>
      <c r="AO116" s="53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43">
        <f t="shared" si="70"/>
        <v>0</v>
      </c>
      <c r="DS116" s="43">
        <f t="shared" si="69"/>
        <v>0</v>
      </c>
      <c r="DT116" s="43">
        <f t="shared" si="69"/>
        <v>0</v>
      </c>
      <c r="DU116" s="43">
        <f t="shared" si="69"/>
        <v>0</v>
      </c>
      <c r="DV116" s="43">
        <f t="shared" si="69"/>
        <v>0</v>
      </c>
      <c r="DW116" s="43">
        <f t="shared" si="69"/>
        <v>0</v>
      </c>
      <c r="DX116" s="43">
        <f t="shared" si="69"/>
        <v>0</v>
      </c>
      <c r="DY116" s="43">
        <f t="shared" si="69"/>
        <v>0</v>
      </c>
      <c r="DZ116" s="43">
        <f t="shared" si="69"/>
        <v>0</v>
      </c>
      <c r="EA116" s="43">
        <f t="shared" si="69"/>
        <v>0</v>
      </c>
      <c r="EB116" s="43">
        <f t="shared" si="69"/>
        <v>0</v>
      </c>
      <c r="EC116" s="43">
        <f t="shared" si="69"/>
        <v>0</v>
      </c>
      <c r="ED116" s="43">
        <f t="shared" si="69"/>
        <v>0</v>
      </c>
      <c r="EE116" s="43">
        <f t="shared" si="69"/>
        <v>0</v>
      </c>
      <c r="EF116" s="43">
        <f t="shared" si="69"/>
        <v>0</v>
      </c>
      <c r="EG116" s="43">
        <f t="shared" si="69"/>
        <v>0</v>
      </c>
      <c r="EH116" s="43">
        <f t="shared" si="69"/>
        <v>0</v>
      </c>
      <c r="EI116" s="43">
        <f t="shared" si="69"/>
        <v>0</v>
      </c>
      <c r="EJ116" s="43">
        <f t="shared" si="69"/>
        <v>0</v>
      </c>
      <c r="EK116" s="43">
        <f t="shared" si="69"/>
        <v>0</v>
      </c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</row>
    <row r="117" spans="1:161" ht="14.25" x14ac:dyDescent="0.15">
      <c r="A117" s="46"/>
      <c r="B117" s="43" t="e">
        <f t="shared" si="39"/>
        <v>#DIV/0!</v>
      </c>
      <c r="C117" s="43" t="e">
        <f t="shared" si="40"/>
        <v>#DIV/0!</v>
      </c>
      <c r="D117" s="43" t="e">
        <f t="shared" si="41"/>
        <v>#DIV/0!</v>
      </c>
      <c r="E117" s="43" t="e">
        <f t="shared" si="42"/>
        <v>#DIV/0!</v>
      </c>
      <c r="F117" s="43" t="e">
        <f t="shared" si="43"/>
        <v>#DIV/0!</v>
      </c>
      <c r="G117" s="43" t="e">
        <f t="shared" si="44"/>
        <v>#DIV/0!</v>
      </c>
      <c r="H117" s="43" t="e">
        <f t="shared" si="45"/>
        <v>#DIV/0!</v>
      </c>
      <c r="I117" s="43" t="e">
        <f t="shared" si="46"/>
        <v>#DIV/0!</v>
      </c>
      <c r="J117" s="43" t="e">
        <f t="shared" si="47"/>
        <v>#DIV/0!</v>
      </c>
      <c r="K117" s="43" t="e">
        <f t="shared" si="48"/>
        <v>#DIV/0!</v>
      </c>
      <c r="L117" s="43" t="e">
        <f t="shared" si="49"/>
        <v>#DIV/0!</v>
      </c>
      <c r="M117" s="43" t="e">
        <f t="shared" si="50"/>
        <v>#DIV/0!</v>
      </c>
      <c r="N117" s="43" t="e">
        <f t="shared" si="51"/>
        <v>#DIV/0!</v>
      </c>
      <c r="O117" s="43" t="e">
        <f t="shared" si="52"/>
        <v>#DIV/0!</v>
      </c>
      <c r="P117" s="43" t="e">
        <f t="shared" si="53"/>
        <v>#DIV/0!</v>
      </c>
      <c r="Q117" s="43" t="e">
        <f t="shared" si="54"/>
        <v>#DIV/0!</v>
      </c>
      <c r="R117" s="43" t="e">
        <f t="shared" si="55"/>
        <v>#DIV/0!</v>
      </c>
      <c r="S117" s="43" t="e">
        <f t="shared" si="56"/>
        <v>#DIV/0!</v>
      </c>
      <c r="T117" s="43" t="e">
        <f t="shared" si="57"/>
        <v>#DIV/0!</v>
      </c>
      <c r="U117" s="43" t="e">
        <f t="shared" si="58"/>
        <v>#DIV/0!</v>
      </c>
      <c r="V117" s="53" t="e">
        <f>V116+ATM_Conf!$C$5*(B116)/(B304*V304)</f>
        <v>#DIV/0!</v>
      </c>
      <c r="W117" s="53" t="e">
        <f>W116+ATM_Conf!$C$5*(C116-B116)/(C304*W304)</f>
        <v>#DIV/0!</v>
      </c>
      <c r="X117" s="53" t="e">
        <f>X116+ATM_Conf!$C$5*(D116-C116)/(D304*X304)</f>
        <v>#DIV/0!</v>
      </c>
      <c r="Y117" s="53" t="e">
        <f>Y116+ATM_Conf!$C$5*(E116-D116)/(E304*Y304)</f>
        <v>#DIV/0!</v>
      </c>
      <c r="Z117" s="53" t="e">
        <f>Z116+ATM_Conf!$C$5*(F116-E116)/(F304*Z304)</f>
        <v>#DIV/0!</v>
      </c>
      <c r="AA117" s="53" t="e">
        <f>AA116+ATM_Conf!$C$5*(G116-F116)/(G304*AA304)</f>
        <v>#DIV/0!</v>
      </c>
      <c r="AB117" s="53" t="e">
        <f>AB116+ATM_Conf!$C$5*(H116-G116)/(H304*AB304)</f>
        <v>#DIV/0!</v>
      </c>
      <c r="AC117" s="53" t="e">
        <f>AC116+ATM_Conf!$C$5*(I116-H116)/(I304*AC304)</f>
        <v>#DIV/0!</v>
      </c>
      <c r="AD117" s="53" t="e">
        <f>AD116+ATM_Conf!$C$5*(J116-I116)/(J304*AD304)</f>
        <v>#DIV/0!</v>
      </c>
      <c r="AE117" s="53" t="e">
        <f>AE116+ATM_Conf!$C$5*(K116-J116)/(K304*AE304)</f>
        <v>#DIV/0!</v>
      </c>
      <c r="AF117" s="53" t="e">
        <f>AF116+ATM_Conf!$C$5*(L116)/(L304*AF304)</f>
        <v>#DIV/0!</v>
      </c>
      <c r="AG117" s="53" t="e">
        <f>AG116+ATM_Conf!$C$5*(M116-L116)/(M304*AG304)</f>
        <v>#DIV/0!</v>
      </c>
      <c r="AH117" s="53" t="e">
        <f>AH116+ATM_Conf!$C$5*(N116-M116)/(N304*AH304)</f>
        <v>#DIV/0!</v>
      </c>
      <c r="AI117" s="53" t="e">
        <f>AI116+ATM_Conf!$C$5*(O116-N116)/(O304*AI304)</f>
        <v>#DIV/0!</v>
      </c>
      <c r="AJ117" s="53" t="e">
        <f>AJ116+ATM_Conf!$C$5*(P116-O116)/(P304*AJ304)</f>
        <v>#DIV/0!</v>
      </c>
      <c r="AK117" s="53" t="e">
        <f>AK116+ATM_Conf!$C$5*(Q116-P116)/(Q304*AK304)</f>
        <v>#DIV/0!</v>
      </c>
      <c r="AL117" s="53" t="e">
        <f>AL116+ATM_Conf!$C$5*(R116-Q116)/(R304*AL304)</f>
        <v>#DIV/0!</v>
      </c>
      <c r="AM117" s="53" t="e">
        <f>AM116+ATM_Conf!$C$5*(S116-R116)/(S304*AM304)</f>
        <v>#DIV/0!</v>
      </c>
      <c r="AN117" s="53" t="e">
        <f>AN116+ATM_Conf!$C$5*(T116-S116)/(T304*AN304)</f>
        <v>#DIV/0!</v>
      </c>
      <c r="AO117" s="53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43">
        <f t="shared" si="70"/>
        <v>0</v>
      </c>
      <c r="DS117" s="43">
        <f t="shared" si="69"/>
        <v>0</v>
      </c>
      <c r="DT117" s="43">
        <f t="shared" si="69"/>
        <v>0</v>
      </c>
      <c r="DU117" s="43">
        <f t="shared" si="69"/>
        <v>0</v>
      </c>
      <c r="DV117" s="43">
        <f t="shared" si="69"/>
        <v>0</v>
      </c>
      <c r="DW117" s="43">
        <f t="shared" si="69"/>
        <v>0</v>
      </c>
      <c r="DX117" s="43">
        <f t="shared" si="69"/>
        <v>0</v>
      </c>
      <c r="DY117" s="43">
        <f t="shared" si="69"/>
        <v>0</v>
      </c>
      <c r="DZ117" s="43">
        <f t="shared" si="69"/>
        <v>0</v>
      </c>
      <c r="EA117" s="43">
        <f t="shared" si="69"/>
        <v>0</v>
      </c>
      <c r="EB117" s="43">
        <f t="shared" si="69"/>
        <v>0</v>
      </c>
      <c r="EC117" s="43">
        <f t="shared" si="69"/>
        <v>0</v>
      </c>
      <c r="ED117" s="43">
        <f t="shared" si="69"/>
        <v>0</v>
      </c>
      <c r="EE117" s="43">
        <f t="shared" si="69"/>
        <v>0</v>
      </c>
      <c r="EF117" s="43">
        <f t="shared" si="69"/>
        <v>0</v>
      </c>
      <c r="EG117" s="43">
        <f t="shared" si="69"/>
        <v>0</v>
      </c>
      <c r="EH117" s="43">
        <f t="shared" si="69"/>
        <v>0</v>
      </c>
      <c r="EI117" s="43">
        <f t="shared" si="69"/>
        <v>0</v>
      </c>
      <c r="EJ117" s="43">
        <f t="shared" si="69"/>
        <v>0</v>
      </c>
      <c r="EK117" s="43">
        <f t="shared" si="69"/>
        <v>0</v>
      </c>
      <c r="EL117" s="47"/>
      <c r="EM117" s="47"/>
      <c r="EN117" s="47"/>
      <c r="EO117" s="47"/>
      <c r="EP117" s="47"/>
      <c r="EQ117" s="47"/>
      <c r="ER117" s="47"/>
      <c r="ES117" s="47"/>
      <c r="ET117" s="47"/>
      <c r="EU117" s="47"/>
      <c r="EV117" s="47"/>
      <c r="EW117" s="47"/>
      <c r="EX117" s="47"/>
      <c r="EY117" s="47"/>
      <c r="EZ117" s="47"/>
      <c r="FA117" s="47"/>
      <c r="FB117" s="47"/>
      <c r="FC117" s="47"/>
      <c r="FD117" s="47"/>
      <c r="FE117" s="47"/>
    </row>
    <row r="118" spans="1:161" ht="14.25" x14ac:dyDescent="0.15">
      <c r="A118" s="46"/>
      <c r="B118" s="43" t="e">
        <f t="shared" si="39"/>
        <v>#DIV/0!</v>
      </c>
      <c r="C118" s="43" t="e">
        <f t="shared" si="40"/>
        <v>#DIV/0!</v>
      </c>
      <c r="D118" s="43" t="e">
        <f t="shared" si="41"/>
        <v>#DIV/0!</v>
      </c>
      <c r="E118" s="43" t="e">
        <f t="shared" si="42"/>
        <v>#DIV/0!</v>
      </c>
      <c r="F118" s="43" t="e">
        <f t="shared" si="43"/>
        <v>#DIV/0!</v>
      </c>
      <c r="G118" s="43" t="e">
        <f t="shared" si="44"/>
        <v>#DIV/0!</v>
      </c>
      <c r="H118" s="43" t="e">
        <f t="shared" si="45"/>
        <v>#DIV/0!</v>
      </c>
      <c r="I118" s="43" t="e">
        <f t="shared" si="46"/>
        <v>#DIV/0!</v>
      </c>
      <c r="J118" s="43" t="e">
        <f t="shared" si="47"/>
        <v>#DIV/0!</v>
      </c>
      <c r="K118" s="43" t="e">
        <f t="shared" si="48"/>
        <v>#DIV/0!</v>
      </c>
      <c r="L118" s="43" t="e">
        <f t="shared" si="49"/>
        <v>#DIV/0!</v>
      </c>
      <c r="M118" s="43" t="e">
        <f t="shared" si="50"/>
        <v>#DIV/0!</v>
      </c>
      <c r="N118" s="43" t="e">
        <f t="shared" si="51"/>
        <v>#DIV/0!</v>
      </c>
      <c r="O118" s="43" t="e">
        <f t="shared" si="52"/>
        <v>#DIV/0!</v>
      </c>
      <c r="P118" s="43" t="e">
        <f t="shared" si="53"/>
        <v>#DIV/0!</v>
      </c>
      <c r="Q118" s="43" t="e">
        <f t="shared" si="54"/>
        <v>#DIV/0!</v>
      </c>
      <c r="R118" s="43" t="e">
        <f t="shared" si="55"/>
        <v>#DIV/0!</v>
      </c>
      <c r="S118" s="43" t="e">
        <f t="shared" si="56"/>
        <v>#DIV/0!</v>
      </c>
      <c r="T118" s="43" t="e">
        <f t="shared" si="57"/>
        <v>#DIV/0!</v>
      </c>
      <c r="U118" s="43" t="e">
        <f t="shared" si="58"/>
        <v>#DIV/0!</v>
      </c>
      <c r="V118" s="53" t="e">
        <f>V117+ATM_Conf!$C$5*(B117)/(B305*V305)</f>
        <v>#DIV/0!</v>
      </c>
      <c r="W118" s="53" t="e">
        <f>W117+ATM_Conf!$C$5*(C117-B117)/(C305*W305)</f>
        <v>#DIV/0!</v>
      </c>
      <c r="X118" s="53" t="e">
        <f>X117+ATM_Conf!$C$5*(D117-C117)/(D305*X305)</f>
        <v>#DIV/0!</v>
      </c>
      <c r="Y118" s="53" t="e">
        <f>Y117+ATM_Conf!$C$5*(E117-D117)/(E305*Y305)</f>
        <v>#DIV/0!</v>
      </c>
      <c r="Z118" s="53" t="e">
        <f>Z117+ATM_Conf!$C$5*(F117-E117)/(F305*Z305)</f>
        <v>#DIV/0!</v>
      </c>
      <c r="AA118" s="53" t="e">
        <f>AA117+ATM_Conf!$C$5*(G117-F117)/(G305*AA305)</f>
        <v>#DIV/0!</v>
      </c>
      <c r="AB118" s="53" t="e">
        <f>AB117+ATM_Conf!$C$5*(H117-G117)/(H305*AB305)</f>
        <v>#DIV/0!</v>
      </c>
      <c r="AC118" s="53" t="e">
        <f>AC117+ATM_Conf!$C$5*(I117-H117)/(I305*AC305)</f>
        <v>#DIV/0!</v>
      </c>
      <c r="AD118" s="53" t="e">
        <f>AD117+ATM_Conf!$C$5*(J117-I117)/(J305*AD305)</f>
        <v>#DIV/0!</v>
      </c>
      <c r="AE118" s="53" t="e">
        <f>AE117+ATM_Conf!$C$5*(K117-J117)/(K305*AE305)</f>
        <v>#DIV/0!</v>
      </c>
      <c r="AF118" s="53" t="e">
        <f>AF117+ATM_Conf!$C$5*(L117)/(L305*AF305)</f>
        <v>#DIV/0!</v>
      </c>
      <c r="AG118" s="53" t="e">
        <f>AG117+ATM_Conf!$C$5*(M117-L117)/(M305*AG305)</f>
        <v>#DIV/0!</v>
      </c>
      <c r="AH118" s="53" t="e">
        <f>AH117+ATM_Conf!$C$5*(N117-M117)/(N305*AH305)</f>
        <v>#DIV/0!</v>
      </c>
      <c r="AI118" s="53" t="e">
        <f>AI117+ATM_Conf!$C$5*(O117-N117)/(O305*AI305)</f>
        <v>#DIV/0!</v>
      </c>
      <c r="AJ118" s="53" t="e">
        <f>AJ117+ATM_Conf!$C$5*(P117-O117)/(P305*AJ305)</f>
        <v>#DIV/0!</v>
      </c>
      <c r="AK118" s="53" t="e">
        <f>AK117+ATM_Conf!$C$5*(Q117-P117)/(Q305*AK305)</f>
        <v>#DIV/0!</v>
      </c>
      <c r="AL118" s="53" t="e">
        <f>AL117+ATM_Conf!$C$5*(R117-Q117)/(R305*AL305)</f>
        <v>#DIV/0!</v>
      </c>
      <c r="AM118" s="53" t="e">
        <f>AM117+ATM_Conf!$C$5*(S117-R117)/(S305*AM305)</f>
        <v>#DIV/0!</v>
      </c>
      <c r="AN118" s="53" t="e">
        <f>AN117+ATM_Conf!$C$5*(T117-S117)/(T305*AN305)</f>
        <v>#DIV/0!</v>
      </c>
      <c r="AO118" s="53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43">
        <f t="shared" si="70"/>
        <v>0</v>
      </c>
      <c r="DS118" s="43">
        <f t="shared" si="69"/>
        <v>0</v>
      </c>
      <c r="DT118" s="43">
        <f t="shared" si="69"/>
        <v>0</v>
      </c>
      <c r="DU118" s="43">
        <f t="shared" si="69"/>
        <v>0</v>
      </c>
      <c r="DV118" s="43">
        <f t="shared" si="69"/>
        <v>0</v>
      </c>
      <c r="DW118" s="43">
        <f t="shared" si="69"/>
        <v>0</v>
      </c>
      <c r="DX118" s="43">
        <f t="shared" si="69"/>
        <v>0</v>
      </c>
      <c r="DY118" s="43">
        <f t="shared" si="69"/>
        <v>0</v>
      </c>
      <c r="DZ118" s="43">
        <f t="shared" si="69"/>
        <v>0</v>
      </c>
      <c r="EA118" s="43">
        <f t="shared" si="69"/>
        <v>0</v>
      </c>
      <c r="EB118" s="43">
        <f t="shared" si="69"/>
        <v>0</v>
      </c>
      <c r="EC118" s="43">
        <f t="shared" si="69"/>
        <v>0</v>
      </c>
      <c r="ED118" s="43">
        <f t="shared" si="69"/>
        <v>0</v>
      </c>
      <c r="EE118" s="43">
        <f t="shared" si="69"/>
        <v>0</v>
      </c>
      <c r="EF118" s="43">
        <f t="shared" si="69"/>
        <v>0</v>
      </c>
      <c r="EG118" s="43">
        <f t="shared" si="69"/>
        <v>0</v>
      </c>
      <c r="EH118" s="43">
        <f t="shared" si="69"/>
        <v>0</v>
      </c>
      <c r="EI118" s="43">
        <f t="shared" si="69"/>
        <v>0</v>
      </c>
      <c r="EJ118" s="43">
        <f t="shared" si="69"/>
        <v>0</v>
      </c>
      <c r="EK118" s="43">
        <f t="shared" si="69"/>
        <v>0</v>
      </c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47"/>
      <c r="EZ118" s="47"/>
      <c r="FA118" s="47"/>
      <c r="FB118" s="47"/>
      <c r="FC118" s="47"/>
      <c r="FD118" s="47"/>
      <c r="FE118" s="47"/>
    </row>
    <row r="119" spans="1:161" ht="14.25" x14ac:dyDescent="0.15">
      <c r="A119" s="46"/>
      <c r="B119" s="43" t="e">
        <f t="shared" si="39"/>
        <v>#DIV/0!</v>
      </c>
      <c r="C119" s="43" t="e">
        <f t="shared" si="40"/>
        <v>#DIV/0!</v>
      </c>
      <c r="D119" s="43" t="e">
        <f t="shared" si="41"/>
        <v>#DIV/0!</v>
      </c>
      <c r="E119" s="43" t="e">
        <f t="shared" si="42"/>
        <v>#DIV/0!</v>
      </c>
      <c r="F119" s="43" t="e">
        <f t="shared" si="43"/>
        <v>#DIV/0!</v>
      </c>
      <c r="G119" s="43" t="e">
        <f t="shared" si="44"/>
        <v>#DIV/0!</v>
      </c>
      <c r="H119" s="43" t="e">
        <f t="shared" si="45"/>
        <v>#DIV/0!</v>
      </c>
      <c r="I119" s="43" t="e">
        <f t="shared" si="46"/>
        <v>#DIV/0!</v>
      </c>
      <c r="J119" s="43" t="e">
        <f t="shared" si="47"/>
        <v>#DIV/0!</v>
      </c>
      <c r="K119" s="43" t="e">
        <f t="shared" si="48"/>
        <v>#DIV/0!</v>
      </c>
      <c r="L119" s="43" t="e">
        <f t="shared" si="49"/>
        <v>#DIV/0!</v>
      </c>
      <c r="M119" s="43" t="e">
        <f t="shared" si="50"/>
        <v>#DIV/0!</v>
      </c>
      <c r="N119" s="43" t="e">
        <f t="shared" si="51"/>
        <v>#DIV/0!</v>
      </c>
      <c r="O119" s="43" t="e">
        <f t="shared" si="52"/>
        <v>#DIV/0!</v>
      </c>
      <c r="P119" s="43" t="e">
        <f t="shared" si="53"/>
        <v>#DIV/0!</v>
      </c>
      <c r="Q119" s="43" t="e">
        <f t="shared" si="54"/>
        <v>#DIV/0!</v>
      </c>
      <c r="R119" s="43" t="e">
        <f t="shared" si="55"/>
        <v>#DIV/0!</v>
      </c>
      <c r="S119" s="43" t="e">
        <f t="shared" si="56"/>
        <v>#DIV/0!</v>
      </c>
      <c r="T119" s="43" t="e">
        <f t="shared" si="57"/>
        <v>#DIV/0!</v>
      </c>
      <c r="U119" s="43" t="e">
        <f t="shared" si="58"/>
        <v>#DIV/0!</v>
      </c>
      <c r="V119" s="53" t="e">
        <f>V118+ATM_Conf!$C$5*(B118)/(B306*V306)</f>
        <v>#DIV/0!</v>
      </c>
      <c r="W119" s="53" t="e">
        <f>W118+ATM_Conf!$C$5*(C118-B118)/(C306*W306)</f>
        <v>#DIV/0!</v>
      </c>
      <c r="X119" s="53" t="e">
        <f>X118+ATM_Conf!$C$5*(D118-C118)/(D306*X306)</f>
        <v>#DIV/0!</v>
      </c>
      <c r="Y119" s="53" t="e">
        <f>Y118+ATM_Conf!$C$5*(E118-D118)/(E306*Y306)</f>
        <v>#DIV/0!</v>
      </c>
      <c r="Z119" s="53" t="e">
        <f>Z118+ATM_Conf!$C$5*(F118-E118)/(F306*Z306)</f>
        <v>#DIV/0!</v>
      </c>
      <c r="AA119" s="53" t="e">
        <f>AA118+ATM_Conf!$C$5*(G118-F118)/(G306*AA306)</f>
        <v>#DIV/0!</v>
      </c>
      <c r="AB119" s="53" t="e">
        <f>AB118+ATM_Conf!$C$5*(H118-G118)/(H306*AB306)</f>
        <v>#DIV/0!</v>
      </c>
      <c r="AC119" s="53" t="e">
        <f>AC118+ATM_Conf!$C$5*(I118-H118)/(I306*AC306)</f>
        <v>#DIV/0!</v>
      </c>
      <c r="AD119" s="53" t="e">
        <f>AD118+ATM_Conf!$C$5*(J118-I118)/(J306*AD306)</f>
        <v>#DIV/0!</v>
      </c>
      <c r="AE119" s="53" t="e">
        <f>AE118+ATM_Conf!$C$5*(K118-J118)/(K306*AE306)</f>
        <v>#DIV/0!</v>
      </c>
      <c r="AF119" s="53" t="e">
        <f>AF118+ATM_Conf!$C$5*(L118)/(L306*AF306)</f>
        <v>#DIV/0!</v>
      </c>
      <c r="AG119" s="53" t="e">
        <f>AG118+ATM_Conf!$C$5*(M118-L118)/(M306*AG306)</f>
        <v>#DIV/0!</v>
      </c>
      <c r="AH119" s="53" t="e">
        <f>AH118+ATM_Conf!$C$5*(N118-M118)/(N306*AH306)</f>
        <v>#DIV/0!</v>
      </c>
      <c r="AI119" s="53" t="e">
        <f>AI118+ATM_Conf!$C$5*(O118-N118)/(O306*AI306)</f>
        <v>#DIV/0!</v>
      </c>
      <c r="AJ119" s="53" t="e">
        <f>AJ118+ATM_Conf!$C$5*(P118-O118)/(P306*AJ306)</f>
        <v>#DIV/0!</v>
      </c>
      <c r="AK119" s="53" t="e">
        <f>AK118+ATM_Conf!$C$5*(Q118-P118)/(Q306*AK306)</f>
        <v>#DIV/0!</v>
      </c>
      <c r="AL119" s="53" t="e">
        <f>AL118+ATM_Conf!$C$5*(R118-Q118)/(R306*AL306)</f>
        <v>#DIV/0!</v>
      </c>
      <c r="AM119" s="53" t="e">
        <f>AM118+ATM_Conf!$C$5*(S118-R118)/(S306*AM306)</f>
        <v>#DIV/0!</v>
      </c>
      <c r="AN119" s="53" t="e">
        <f>AN118+ATM_Conf!$C$5*(T118-S118)/(T306*AN306)</f>
        <v>#DIV/0!</v>
      </c>
      <c r="AO119" s="53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43">
        <f t="shared" si="70"/>
        <v>0</v>
      </c>
      <c r="DS119" s="43">
        <f t="shared" si="69"/>
        <v>0</v>
      </c>
      <c r="DT119" s="43">
        <f t="shared" si="69"/>
        <v>0</v>
      </c>
      <c r="DU119" s="43">
        <f t="shared" si="69"/>
        <v>0</v>
      </c>
      <c r="DV119" s="43">
        <f t="shared" si="69"/>
        <v>0</v>
      </c>
      <c r="DW119" s="43">
        <f t="shared" si="69"/>
        <v>0</v>
      </c>
      <c r="DX119" s="43">
        <f t="shared" si="69"/>
        <v>0</v>
      </c>
      <c r="DY119" s="43">
        <f t="shared" si="69"/>
        <v>0</v>
      </c>
      <c r="DZ119" s="43">
        <f t="shared" si="69"/>
        <v>0</v>
      </c>
      <c r="EA119" s="43">
        <f t="shared" si="69"/>
        <v>0</v>
      </c>
      <c r="EB119" s="43">
        <f t="shared" si="69"/>
        <v>0</v>
      </c>
      <c r="EC119" s="43">
        <f t="shared" si="69"/>
        <v>0</v>
      </c>
      <c r="ED119" s="43">
        <f t="shared" si="69"/>
        <v>0</v>
      </c>
      <c r="EE119" s="43">
        <f t="shared" si="69"/>
        <v>0</v>
      </c>
      <c r="EF119" s="43">
        <f t="shared" si="69"/>
        <v>0</v>
      </c>
      <c r="EG119" s="43">
        <f t="shared" si="69"/>
        <v>0</v>
      </c>
      <c r="EH119" s="43">
        <f t="shared" si="69"/>
        <v>0</v>
      </c>
      <c r="EI119" s="43">
        <f t="shared" si="69"/>
        <v>0</v>
      </c>
      <c r="EJ119" s="43">
        <f t="shared" si="69"/>
        <v>0</v>
      </c>
      <c r="EK119" s="43">
        <f t="shared" si="69"/>
        <v>0</v>
      </c>
      <c r="EL119" s="47"/>
      <c r="EM119" s="47"/>
      <c r="EN119" s="47"/>
      <c r="EO119" s="47"/>
      <c r="EP119" s="47"/>
      <c r="EQ119" s="47"/>
      <c r="ER119" s="47"/>
      <c r="ES119" s="47"/>
      <c r="ET119" s="47"/>
      <c r="EU119" s="47"/>
      <c r="EV119" s="47"/>
      <c r="EW119" s="47"/>
      <c r="EX119" s="47"/>
      <c r="EY119" s="47"/>
      <c r="EZ119" s="47"/>
      <c r="FA119" s="47"/>
      <c r="FB119" s="47"/>
      <c r="FC119" s="47"/>
      <c r="FD119" s="47"/>
      <c r="FE119" s="47"/>
    </row>
    <row r="120" spans="1:161" ht="14.25" x14ac:dyDescent="0.15">
      <c r="A120" s="46"/>
      <c r="B120" s="43" t="e">
        <f t="shared" si="39"/>
        <v>#DIV/0!</v>
      </c>
      <c r="C120" s="43" t="e">
        <f t="shared" si="40"/>
        <v>#DIV/0!</v>
      </c>
      <c r="D120" s="43" t="e">
        <f t="shared" si="41"/>
        <v>#DIV/0!</v>
      </c>
      <c r="E120" s="43" t="e">
        <f t="shared" si="42"/>
        <v>#DIV/0!</v>
      </c>
      <c r="F120" s="43" t="e">
        <f t="shared" si="43"/>
        <v>#DIV/0!</v>
      </c>
      <c r="G120" s="43" t="e">
        <f t="shared" si="44"/>
        <v>#DIV/0!</v>
      </c>
      <c r="H120" s="43" t="e">
        <f t="shared" si="45"/>
        <v>#DIV/0!</v>
      </c>
      <c r="I120" s="43" t="e">
        <f t="shared" si="46"/>
        <v>#DIV/0!</v>
      </c>
      <c r="J120" s="43" t="e">
        <f t="shared" si="47"/>
        <v>#DIV/0!</v>
      </c>
      <c r="K120" s="43" t="e">
        <f t="shared" si="48"/>
        <v>#DIV/0!</v>
      </c>
      <c r="L120" s="43" t="e">
        <f t="shared" si="49"/>
        <v>#DIV/0!</v>
      </c>
      <c r="M120" s="43" t="e">
        <f t="shared" si="50"/>
        <v>#DIV/0!</v>
      </c>
      <c r="N120" s="43" t="e">
        <f t="shared" si="51"/>
        <v>#DIV/0!</v>
      </c>
      <c r="O120" s="43" t="e">
        <f t="shared" si="52"/>
        <v>#DIV/0!</v>
      </c>
      <c r="P120" s="43" t="e">
        <f t="shared" si="53"/>
        <v>#DIV/0!</v>
      </c>
      <c r="Q120" s="43" t="e">
        <f t="shared" si="54"/>
        <v>#DIV/0!</v>
      </c>
      <c r="R120" s="43" t="e">
        <f t="shared" si="55"/>
        <v>#DIV/0!</v>
      </c>
      <c r="S120" s="43" t="e">
        <f t="shared" si="56"/>
        <v>#DIV/0!</v>
      </c>
      <c r="T120" s="43" t="e">
        <f t="shared" si="57"/>
        <v>#DIV/0!</v>
      </c>
      <c r="U120" s="43" t="e">
        <f t="shared" si="58"/>
        <v>#DIV/0!</v>
      </c>
      <c r="V120" s="53" t="e">
        <f>V119+ATM_Conf!$C$5*(B119)/(B307*V307)</f>
        <v>#DIV/0!</v>
      </c>
      <c r="W120" s="53" t="e">
        <f>W119+ATM_Conf!$C$5*(C119-B119)/(C307*W307)</f>
        <v>#DIV/0!</v>
      </c>
      <c r="X120" s="53" t="e">
        <f>X119+ATM_Conf!$C$5*(D119-C119)/(D307*X307)</f>
        <v>#DIV/0!</v>
      </c>
      <c r="Y120" s="53" t="e">
        <f>Y119+ATM_Conf!$C$5*(E119-D119)/(E307*Y307)</f>
        <v>#DIV/0!</v>
      </c>
      <c r="Z120" s="53" t="e">
        <f>Z119+ATM_Conf!$C$5*(F119-E119)/(F307*Z307)</f>
        <v>#DIV/0!</v>
      </c>
      <c r="AA120" s="53" t="e">
        <f>AA119+ATM_Conf!$C$5*(G119-F119)/(G307*AA307)</f>
        <v>#DIV/0!</v>
      </c>
      <c r="AB120" s="53" t="e">
        <f>AB119+ATM_Conf!$C$5*(H119-G119)/(H307*AB307)</f>
        <v>#DIV/0!</v>
      </c>
      <c r="AC120" s="53" t="e">
        <f>AC119+ATM_Conf!$C$5*(I119-H119)/(I307*AC307)</f>
        <v>#DIV/0!</v>
      </c>
      <c r="AD120" s="53" t="e">
        <f>AD119+ATM_Conf!$C$5*(J119-I119)/(J307*AD307)</f>
        <v>#DIV/0!</v>
      </c>
      <c r="AE120" s="53" t="e">
        <f>AE119+ATM_Conf!$C$5*(K119-J119)/(K307*AE307)</f>
        <v>#DIV/0!</v>
      </c>
      <c r="AF120" s="53" t="e">
        <f>AF119+ATM_Conf!$C$5*(L119)/(L307*AF307)</f>
        <v>#DIV/0!</v>
      </c>
      <c r="AG120" s="53" t="e">
        <f>AG119+ATM_Conf!$C$5*(M119-L119)/(M307*AG307)</f>
        <v>#DIV/0!</v>
      </c>
      <c r="AH120" s="53" t="e">
        <f>AH119+ATM_Conf!$C$5*(N119-M119)/(N307*AH307)</f>
        <v>#DIV/0!</v>
      </c>
      <c r="AI120" s="53" t="e">
        <f>AI119+ATM_Conf!$C$5*(O119-N119)/(O307*AI307)</f>
        <v>#DIV/0!</v>
      </c>
      <c r="AJ120" s="53" t="e">
        <f>AJ119+ATM_Conf!$C$5*(P119-O119)/(P307*AJ307)</f>
        <v>#DIV/0!</v>
      </c>
      <c r="AK120" s="53" t="e">
        <f>AK119+ATM_Conf!$C$5*(Q119-P119)/(Q307*AK307)</f>
        <v>#DIV/0!</v>
      </c>
      <c r="AL120" s="53" t="e">
        <f>AL119+ATM_Conf!$C$5*(R119-Q119)/(R307*AL307)</f>
        <v>#DIV/0!</v>
      </c>
      <c r="AM120" s="53" t="e">
        <f>AM119+ATM_Conf!$C$5*(S119-R119)/(S307*AM307)</f>
        <v>#DIV/0!</v>
      </c>
      <c r="AN120" s="53" t="e">
        <f>AN119+ATM_Conf!$C$5*(T119-S119)/(T307*AN307)</f>
        <v>#DIV/0!</v>
      </c>
      <c r="AO120" s="53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43">
        <f t="shared" si="70"/>
        <v>0</v>
      </c>
      <c r="DS120" s="43">
        <f t="shared" si="69"/>
        <v>0</v>
      </c>
      <c r="DT120" s="43">
        <f t="shared" si="69"/>
        <v>0</v>
      </c>
      <c r="DU120" s="43">
        <f t="shared" si="69"/>
        <v>0</v>
      </c>
      <c r="DV120" s="43">
        <f t="shared" si="69"/>
        <v>0</v>
      </c>
      <c r="DW120" s="43">
        <f t="shared" si="69"/>
        <v>0</v>
      </c>
      <c r="DX120" s="43">
        <f t="shared" si="69"/>
        <v>0</v>
      </c>
      <c r="DY120" s="43">
        <f t="shared" si="69"/>
        <v>0</v>
      </c>
      <c r="DZ120" s="43">
        <f t="shared" si="69"/>
        <v>0</v>
      </c>
      <c r="EA120" s="43">
        <f t="shared" si="69"/>
        <v>0</v>
      </c>
      <c r="EB120" s="43">
        <f t="shared" si="69"/>
        <v>0</v>
      </c>
      <c r="EC120" s="43">
        <f t="shared" si="69"/>
        <v>0</v>
      </c>
      <c r="ED120" s="43">
        <f t="shared" si="69"/>
        <v>0</v>
      </c>
      <c r="EE120" s="43">
        <f t="shared" si="69"/>
        <v>0</v>
      </c>
      <c r="EF120" s="43">
        <f t="shared" si="69"/>
        <v>0</v>
      </c>
      <c r="EG120" s="43">
        <f t="shared" si="69"/>
        <v>0</v>
      </c>
      <c r="EH120" s="43">
        <f t="shared" si="69"/>
        <v>0</v>
      </c>
      <c r="EI120" s="43">
        <f t="shared" si="69"/>
        <v>0</v>
      </c>
      <c r="EJ120" s="43">
        <f t="shared" si="69"/>
        <v>0</v>
      </c>
      <c r="EK120" s="43">
        <f t="shared" si="69"/>
        <v>0</v>
      </c>
      <c r="EL120" s="47"/>
      <c r="EM120" s="47"/>
      <c r="EN120" s="47"/>
      <c r="EO120" s="47"/>
      <c r="EP120" s="47"/>
      <c r="EQ120" s="47"/>
      <c r="ER120" s="47"/>
      <c r="ES120" s="47"/>
      <c r="ET120" s="47"/>
      <c r="EU120" s="47"/>
      <c r="EV120" s="47"/>
      <c r="EW120" s="47"/>
      <c r="EX120" s="47"/>
      <c r="EY120" s="47"/>
      <c r="EZ120" s="47"/>
      <c r="FA120" s="47"/>
      <c r="FB120" s="47"/>
      <c r="FC120" s="47"/>
      <c r="FD120" s="47"/>
      <c r="FE120" s="47"/>
    </row>
    <row r="121" spans="1:161" ht="14.25" x14ac:dyDescent="0.15">
      <c r="A121" s="46"/>
      <c r="B121" s="43" t="e">
        <f t="shared" si="39"/>
        <v>#DIV/0!</v>
      </c>
      <c r="C121" s="43" t="e">
        <f t="shared" si="40"/>
        <v>#DIV/0!</v>
      </c>
      <c r="D121" s="43" t="e">
        <f t="shared" si="41"/>
        <v>#DIV/0!</v>
      </c>
      <c r="E121" s="43" t="e">
        <f t="shared" si="42"/>
        <v>#DIV/0!</v>
      </c>
      <c r="F121" s="43" t="e">
        <f t="shared" si="43"/>
        <v>#DIV/0!</v>
      </c>
      <c r="G121" s="43" t="e">
        <f t="shared" si="44"/>
        <v>#DIV/0!</v>
      </c>
      <c r="H121" s="43" t="e">
        <f t="shared" si="45"/>
        <v>#DIV/0!</v>
      </c>
      <c r="I121" s="43" t="e">
        <f t="shared" si="46"/>
        <v>#DIV/0!</v>
      </c>
      <c r="J121" s="43" t="e">
        <f t="shared" si="47"/>
        <v>#DIV/0!</v>
      </c>
      <c r="K121" s="43" t="e">
        <f t="shared" si="48"/>
        <v>#DIV/0!</v>
      </c>
      <c r="L121" s="43" t="e">
        <f t="shared" si="49"/>
        <v>#DIV/0!</v>
      </c>
      <c r="M121" s="43" t="e">
        <f t="shared" si="50"/>
        <v>#DIV/0!</v>
      </c>
      <c r="N121" s="43" t="e">
        <f t="shared" si="51"/>
        <v>#DIV/0!</v>
      </c>
      <c r="O121" s="43" t="e">
        <f t="shared" si="52"/>
        <v>#DIV/0!</v>
      </c>
      <c r="P121" s="43" t="e">
        <f t="shared" si="53"/>
        <v>#DIV/0!</v>
      </c>
      <c r="Q121" s="43" t="e">
        <f t="shared" si="54"/>
        <v>#DIV/0!</v>
      </c>
      <c r="R121" s="43" t="e">
        <f t="shared" si="55"/>
        <v>#DIV/0!</v>
      </c>
      <c r="S121" s="43" t="e">
        <f t="shared" si="56"/>
        <v>#DIV/0!</v>
      </c>
      <c r="T121" s="43" t="e">
        <f t="shared" si="57"/>
        <v>#DIV/0!</v>
      </c>
      <c r="U121" s="43" t="e">
        <f t="shared" si="58"/>
        <v>#DIV/0!</v>
      </c>
      <c r="V121" s="53" t="e">
        <f>V120+ATM_Conf!$C$5*(B120)/(B308*V308)</f>
        <v>#DIV/0!</v>
      </c>
      <c r="W121" s="53" t="e">
        <f>W120+ATM_Conf!$C$5*(C120-B120)/(C308*W308)</f>
        <v>#DIV/0!</v>
      </c>
      <c r="X121" s="53" t="e">
        <f>X120+ATM_Conf!$C$5*(D120-C120)/(D308*X308)</f>
        <v>#DIV/0!</v>
      </c>
      <c r="Y121" s="53" t="e">
        <f>Y120+ATM_Conf!$C$5*(E120-D120)/(E308*Y308)</f>
        <v>#DIV/0!</v>
      </c>
      <c r="Z121" s="53" t="e">
        <f>Z120+ATM_Conf!$C$5*(F120-E120)/(F308*Z308)</f>
        <v>#DIV/0!</v>
      </c>
      <c r="AA121" s="53" t="e">
        <f>AA120+ATM_Conf!$C$5*(G120-F120)/(G308*AA308)</f>
        <v>#DIV/0!</v>
      </c>
      <c r="AB121" s="53" t="e">
        <f>AB120+ATM_Conf!$C$5*(H120-G120)/(H308*AB308)</f>
        <v>#DIV/0!</v>
      </c>
      <c r="AC121" s="53" t="e">
        <f>AC120+ATM_Conf!$C$5*(I120-H120)/(I308*AC308)</f>
        <v>#DIV/0!</v>
      </c>
      <c r="AD121" s="53" t="e">
        <f>AD120+ATM_Conf!$C$5*(J120-I120)/(J308*AD308)</f>
        <v>#DIV/0!</v>
      </c>
      <c r="AE121" s="53" t="e">
        <f>AE120+ATM_Conf!$C$5*(K120-J120)/(K308*AE308)</f>
        <v>#DIV/0!</v>
      </c>
      <c r="AF121" s="53" t="e">
        <f>AF120+ATM_Conf!$C$5*(L120)/(L308*AF308)</f>
        <v>#DIV/0!</v>
      </c>
      <c r="AG121" s="53" t="e">
        <f>AG120+ATM_Conf!$C$5*(M120-L120)/(M308*AG308)</f>
        <v>#DIV/0!</v>
      </c>
      <c r="AH121" s="53" t="e">
        <f>AH120+ATM_Conf!$C$5*(N120-M120)/(N308*AH308)</f>
        <v>#DIV/0!</v>
      </c>
      <c r="AI121" s="53" t="e">
        <f>AI120+ATM_Conf!$C$5*(O120-N120)/(O308*AI308)</f>
        <v>#DIV/0!</v>
      </c>
      <c r="AJ121" s="53" t="e">
        <f>AJ120+ATM_Conf!$C$5*(P120-O120)/(P308*AJ308)</f>
        <v>#DIV/0!</v>
      </c>
      <c r="AK121" s="53" t="e">
        <f>AK120+ATM_Conf!$C$5*(Q120-P120)/(Q308*AK308)</f>
        <v>#DIV/0!</v>
      </c>
      <c r="AL121" s="53" t="e">
        <f>AL120+ATM_Conf!$C$5*(R120-Q120)/(R308*AL308)</f>
        <v>#DIV/0!</v>
      </c>
      <c r="AM121" s="53" t="e">
        <f>AM120+ATM_Conf!$C$5*(S120-R120)/(S308*AM308)</f>
        <v>#DIV/0!</v>
      </c>
      <c r="AN121" s="53" t="e">
        <f>AN120+ATM_Conf!$C$5*(T120-S120)/(T308*AN308)</f>
        <v>#DIV/0!</v>
      </c>
      <c r="AO121" s="53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43">
        <f t="shared" si="70"/>
        <v>0</v>
      </c>
      <c r="DS121" s="43">
        <f t="shared" si="69"/>
        <v>0</v>
      </c>
      <c r="DT121" s="43">
        <f t="shared" si="69"/>
        <v>0</v>
      </c>
      <c r="DU121" s="43">
        <f t="shared" si="69"/>
        <v>0</v>
      </c>
      <c r="DV121" s="43">
        <f t="shared" si="69"/>
        <v>0</v>
      </c>
      <c r="DW121" s="43">
        <f t="shared" si="69"/>
        <v>0</v>
      </c>
      <c r="DX121" s="43">
        <f t="shared" si="69"/>
        <v>0</v>
      </c>
      <c r="DY121" s="43">
        <f t="shared" si="69"/>
        <v>0</v>
      </c>
      <c r="DZ121" s="43">
        <f t="shared" si="69"/>
        <v>0</v>
      </c>
      <c r="EA121" s="43">
        <f t="shared" si="69"/>
        <v>0</v>
      </c>
      <c r="EB121" s="43">
        <f t="shared" si="69"/>
        <v>0</v>
      </c>
      <c r="EC121" s="43">
        <f t="shared" si="69"/>
        <v>0</v>
      </c>
      <c r="ED121" s="43">
        <f t="shared" si="69"/>
        <v>0</v>
      </c>
      <c r="EE121" s="43">
        <f t="shared" si="69"/>
        <v>0</v>
      </c>
      <c r="EF121" s="43">
        <f t="shared" si="69"/>
        <v>0</v>
      </c>
      <c r="EG121" s="43">
        <f t="shared" si="69"/>
        <v>0</v>
      </c>
      <c r="EH121" s="43">
        <f t="shared" si="69"/>
        <v>0</v>
      </c>
      <c r="EI121" s="43">
        <f t="shared" si="69"/>
        <v>0</v>
      </c>
      <c r="EJ121" s="43">
        <f t="shared" si="69"/>
        <v>0</v>
      </c>
      <c r="EK121" s="43">
        <f t="shared" si="69"/>
        <v>0</v>
      </c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47"/>
      <c r="FA121" s="47"/>
      <c r="FB121" s="47"/>
      <c r="FC121" s="47"/>
      <c r="FD121" s="47"/>
      <c r="FE121" s="47"/>
    </row>
    <row r="122" spans="1:161" ht="14.25" x14ac:dyDescent="0.15">
      <c r="A122" s="46"/>
      <c r="B122" s="43" t="e">
        <f t="shared" si="39"/>
        <v>#DIV/0!</v>
      </c>
      <c r="C122" s="43" t="e">
        <f t="shared" si="40"/>
        <v>#DIV/0!</v>
      </c>
      <c r="D122" s="43" t="e">
        <f t="shared" si="41"/>
        <v>#DIV/0!</v>
      </c>
      <c r="E122" s="43" t="e">
        <f t="shared" si="42"/>
        <v>#DIV/0!</v>
      </c>
      <c r="F122" s="43" t="e">
        <f t="shared" si="43"/>
        <v>#DIV/0!</v>
      </c>
      <c r="G122" s="43" t="e">
        <f t="shared" si="44"/>
        <v>#DIV/0!</v>
      </c>
      <c r="H122" s="43" t="e">
        <f t="shared" si="45"/>
        <v>#DIV/0!</v>
      </c>
      <c r="I122" s="43" t="e">
        <f t="shared" si="46"/>
        <v>#DIV/0!</v>
      </c>
      <c r="J122" s="43" t="e">
        <f t="shared" si="47"/>
        <v>#DIV/0!</v>
      </c>
      <c r="K122" s="43" t="e">
        <f t="shared" si="48"/>
        <v>#DIV/0!</v>
      </c>
      <c r="L122" s="43" t="e">
        <f t="shared" si="49"/>
        <v>#DIV/0!</v>
      </c>
      <c r="M122" s="43" t="e">
        <f t="shared" si="50"/>
        <v>#DIV/0!</v>
      </c>
      <c r="N122" s="43" t="e">
        <f t="shared" si="51"/>
        <v>#DIV/0!</v>
      </c>
      <c r="O122" s="43" t="e">
        <f t="shared" si="52"/>
        <v>#DIV/0!</v>
      </c>
      <c r="P122" s="43" t="e">
        <f t="shared" si="53"/>
        <v>#DIV/0!</v>
      </c>
      <c r="Q122" s="43" t="e">
        <f t="shared" si="54"/>
        <v>#DIV/0!</v>
      </c>
      <c r="R122" s="43" t="e">
        <f t="shared" si="55"/>
        <v>#DIV/0!</v>
      </c>
      <c r="S122" s="43" t="e">
        <f t="shared" si="56"/>
        <v>#DIV/0!</v>
      </c>
      <c r="T122" s="43" t="e">
        <f t="shared" si="57"/>
        <v>#DIV/0!</v>
      </c>
      <c r="U122" s="43" t="e">
        <f t="shared" si="58"/>
        <v>#DIV/0!</v>
      </c>
      <c r="V122" s="53" t="e">
        <f>V121+ATM_Conf!$C$5*(B121)/(B309*V309)</f>
        <v>#DIV/0!</v>
      </c>
      <c r="W122" s="53" t="e">
        <f>W121+ATM_Conf!$C$5*(C121-B121)/(C309*W309)</f>
        <v>#DIV/0!</v>
      </c>
      <c r="X122" s="53" t="e">
        <f>X121+ATM_Conf!$C$5*(D121-C121)/(D309*X309)</f>
        <v>#DIV/0!</v>
      </c>
      <c r="Y122" s="53" t="e">
        <f>Y121+ATM_Conf!$C$5*(E121-D121)/(E309*Y309)</f>
        <v>#DIV/0!</v>
      </c>
      <c r="Z122" s="53" t="e">
        <f>Z121+ATM_Conf!$C$5*(F121-E121)/(F309*Z309)</f>
        <v>#DIV/0!</v>
      </c>
      <c r="AA122" s="53" t="e">
        <f>AA121+ATM_Conf!$C$5*(G121-F121)/(G309*AA309)</f>
        <v>#DIV/0!</v>
      </c>
      <c r="AB122" s="53" t="e">
        <f>AB121+ATM_Conf!$C$5*(H121-G121)/(H309*AB309)</f>
        <v>#DIV/0!</v>
      </c>
      <c r="AC122" s="53" t="e">
        <f>AC121+ATM_Conf!$C$5*(I121-H121)/(I309*AC309)</f>
        <v>#DIV/0!</v>
      </c>
      <c r="AD122" s="53" t="e">
        <f>AD121+ATM_Conf!$C$5*(J121-I121)/(J309*AD309)</f>
        <v>#DIV/0!</v>
      </c>
      <c r="AE122" s="53" t="e">
        <f>AE121+ATM_Conf!$C$5*(K121-J121)/(K309*AE309)</f>
        <v>#DIV/0!</v>
      </c>
      <c r="AF122" s="53" t="e">
        <f>AF121+ATM_Conf!$C$5*(L121)/(L309*AF309)</f>
        <v>#DIV/0!</v>
      </c>
      <c r="AG122" s="53" t="e">
        <f>AG121+ATM_Conf!$C$5*(M121-L121)/(M309*AG309)</f>
        <v>#DIV/0!</v>
      </c>
      <c r="AH122" s="53" t="e">
        <f>AH121+ATM_Conf!$C$5*(N121-M121)/(N309*AH309)</f>
        <v>#DIV/0!</v>
      </c>
      <c r="AI122" s="53" t="e">
        <f>AI121+ATM_Conf!$C$5*(O121-N121)/(O309*AI309)</f>
        <v>#DIV/0!</v>
      </c>
      <c r="AJ122" s="53" t="e">
        <f>AJ121+ATM_Conf!$C$5*(P121-O121)/(P309*AJ309)</f>
        <v>#DIV/0!</v>
      </c>
      <c r="AK122" s="53" t="e">
        <f>AK121+ATM_Conf!$C$5*(Q121-P121)/(Q309*AK309)</f>
        <v>#DIV/0!</v>
      </c>
      <c r="AL122" s="53" t="e">
        <f>AL121+ATM_Conf!$C$5*(R121-Q121)/(R309*AL309)</f>
        <v>#DIV/0!</v>
      </c>
      <c r="AM122" s="53" t="e">
        <f>AM121+ATM_Conf!$C$5*(S121-R121)/(S309*AM309)</f>
        <v>#DIV/0!</v>
      </c>
      <c r="AN122" s="53" t="e">
        <f>AN121+ATM_Conf!$C$5*(T121-S121)/(T309*AN309)</f>
        <v>#DIV/0!</v>
      </c>
      <c r="AO122" s="53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43">
        <f t="shared" si="70"/>
        <v>0</v>
      </c>
      <c r="DS122" s="43">
        <f t="shared" si="69"/>
        <v>0</v>
      </c>
      <c r="DT122" s="43">
        <f t="shared" si="69"/>
        <v>0</v>
      </c>
      <c r="DU122" s="43">
        <f t="shared" si="69"/>
        <v>0</v>
      </c>
      <c r="DV122" s="43">
        <f t="shared" si="69"/>
        <v>0</v>
      </c>
      <c r="DW122" s="43">
        <f t="shared" si="69"/>
        <v>0</v>
      </c>
      <c r="DX122" s="43">
        <f t="shared" si="69"/>
        <v>0</v>
      </c>
      <c r="DY122" s="43">
        <f t="shared" si="69"/>
        <v>0</v>
      </c>
      <c r="DZ122" s="43">
        <f t="shared" si="69"/>
        <v>0</v>
      </c>
      <c r="EA122" s="43">
        <f t="shared" si="69"/>
        <v>0</v>
      </c>
      <c r="EB122" s="43">
        <f t="shared" si="69"/>
        <v>0</v>
      </c>
      <c r="EC122" s="43">
        <f t="shared" si="69"/>
        <v>0</v>
      </c>
      <c r="ED122" s="43">
        <f t="shared" si="69"/>
        <v>0</v>
      </c>
      <c r="EE122" s="43">
        <f t="shared" si="69"/>
        <v>0</v>
      </c>
      <c r="EF122" s="43">
        <f t="shared" si="69"/>
        <v>0</v>
      </c>
      <c r="EG122" s="43">
        <f t="shared" si="69"/>
        <v>0</v>
      </c>
      <c r="EH122" s="43">
        <f t="shared" si="69"/>
        <v>0</v>
      </c>
      <c r="EI122" s="43">
        <f t="shared" si="69"/>
        <v>0</v>
      </c>
      <c r="EJ122" s="43">
        <f t="shared" si="69"/>
        <v>0</v>
      </c>
      <c r="EK122" s="43">
        <f t="shared" si="69"/>
        <v>0</v>
      </c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47"/>
      <c r="FA122" s="47"/>
      <c r="FB122" s="47"/>
      <c r="FC122" s="47"/>
      <c r="FD122" s="47"/>
      <c r="FE122" s="47"/>
    </row>
    <row r="123" spans="1:161" ht="14.25" x14ac:dyDescent="0.15">
      <c r="A123" s="46"/>
      <c r="B123" s="43" t="e">
        <f t="shared" si="39"/>
        <v>#DIV/0!</v>
      </c>
      <c r="C123" s="43" t="e">
        <f t="shared" si="40"/>
        <v>#DIV/0!</v>
      </c>
      <c r="D123" s="43" t="e">
        <f t="shared" si="41"/>
        <v>#DIV/0!</v>
      </c>
      <c r="E123" s="43" t="e">
        <f t="shared" si="42"/>
        <v>#DIV/0!</v>
      </c>
      <c r="F123" s="43" t="e">
        <f t="shared" si="43"/>
        <v>#DIV/0!</v>
      </c>
      <c r="G123" s="43" t="e">
        <f t="shared" si="44"/>
        <v>#DIV/0!</v>
      </c>
      <c r="H123" s="43" t="e">
        <f t="shared" si="45"/>
        <v>#DIV/0!</v>
      </c>
      <c r="I123" s="43" t="e">
        <f t="shared" si="46"/>
        <v>#DIV/0!</v>
      </c>
      <c r="J123" s="43" t="e">
        <f t="shared" si="47"/>
        <v>#DIV/0!</v>
      </c>
      <c r="K123" s="43" t="e">
        <f t="shared" si="48"/>
        <v>#DIV/0!</v>
      </c>
      <c r="L123" s="43" t="e">
        <f t="shared" si="49"/>
        <v>#DIV/0!</v>
      </c>
      <c r="M123" s="43" t="e">
        <f t="shared" si="50"/>
        <v>#DIV/0!</v>
      </c>
      <c r="N123" s="43" t="e">
        <f t="shared" si="51"/>
        <v>#DIV/0!</v>
      </c>
      <c r="O123" s="43" t="e">
        <f t="shared" si="52"/>
        <v>#DIV/0!</v>
      </c>
      <c r="P123" s="43" t="e">
        <f t="shared" si="53"/>
        <v>#DIV/0!</v>
      </c>
      <c r="Q123" s="43" t="e">
        <f t="shared" si="54"/>
        <v>#DIV/0!</v>
      </c>
      <c r="R123" s="43" t="e">
        <f t="shared" si="55"/>
        <v>#DIV/0!</v>
      </c>
      <c r="S123" s="43" t="e">
        <f t="shared" si="56"/>
        <v>#DIV/0!</v>
      </c>
      <c r="T123" s="43" t="e">
        <f t="shared" si="57"/>
        <v>#DIV/0!</v>
      </c>
      <c r="U123" s="43" t="e">
        <f t="shared" si="58"/>
        <v>#DIV/0!</v>
      </c>
      <c r="V123" s="53" t="e">
        <f>V122+ATM_Conf!$C$5*(B122)/(B310*V310)</f>
        <v>#DIV/0!</v>
      </c>
      <c r="W123" s="53" t="e">
        <f>W122+ATM_Conf!$C$5*(C122-B122)/(C310*W310)</f>
        <v>#DIV/0!</v>
      </c>
      <c r="X123" s="53" t="e">
        <f>X122+ATM_Conf!$C$5*(D122-C122)/(D310*X310)</f>
        <v>#DIV/0!</v>
      </c>
      <c r="Y123" s="53" t="e">
        <f>Y122+ATM_Conf!$C$5*(E122-D122)/(E310*Y310)</f>
        <v>#DIV/0!</v>
      </c>
      <c r="Z123" s="53" t="e">
        <f>Z122+ATM_Conf!$C$5*(F122-E122)/(F310*Z310)</f>
        <v>#DIV/0!</v>
      </c>
      <c r="AA123" s="53" t="e">
        <f>AA122+ATM_Conf!$C$5*(G122-F122)/(G310*AA310)</f>
        <v>#DIV/0!</v>
      </c>
      <c r="AB123" s="53" t="e">
        <f>AB122+ATM_Conf!$C$5*(H122-G122)/(H310*AB310)</f>
        <v>#DIV/0!</v>
      </c>
      <c r="AC123" s="53" t="e">
        <f>AC122+ATM_Conf!$C$5*(I122-H122)/(I310*AC310)</f>
        <v>#DIV/0!</v>
      </c>
      <c r="AD123" s="53" t="e">
        <f>AD122+ATM_Conf!$C$5*(J122-I122)/(J310*AD310)</f>
        <v>#DIV/0!</v>
      </c>
      <c r="AE123" s="53" t="e">
        <f>AE122+ATM_Conf!$C$5*(K122-J122)/(K310*AE310)</f>
        <v>#DIV/0!</v>
      </c>
      <c r="AF123" s="53" t="e">
        <f>AF122+ATM_Conf!$C$5*(L122)/(L310*AF310)</f>
        <v>#DIV/0!</v>
      </c>
      <c r="AG123" s="53" t="e">
        <f>AG122+ATM_Conf!$C$5*(M122-L122)/(M310*AG310)</f>
        <v>#DIV/0!</v>
      </c>
      <c r="AH123" s="53" t="e">
        <f>AH122+ATM_Conf!$C$5*(N122-M122)/(N310*AH310)</f>
        <v>#DIV/0!</v>
      </c>
      <c r="AI123" s="53" t="e">
        <f>AI122+ATM_Conf!$C$5*(O122-N122)/(O310*AI310)</f>
        <v>#DIV/0!</v>
      </c>
      <c r="AJ123" s="53" t="e">
        <f>AJ122+ATM_Conf!$C$5*(P122-O122)/(P310*AJ310)</f>
        <v>#DIV/0!</v>
      </c>
      <c r="AK123" s="53" t="e">
        <f>AK122+ATM_Conf!$C$5*(Q122-P122)/(Q310*AK310)</f>
        <v>#DIV/0!</v>
      </c>
      <c r="AL123" s="53" t="e">
        <f>AL122+ATM_Conf!$C$5*(R122-Q122)/(R310*AL310)</f>
        <v>#DIV/0!</v>
      </c>
      <c r="AM123" s="53" t="e">
        <f>AM122+ATM_Conf!$C$5*(S122-R122)/(S310*AM310)</f>
        <v>#DIV/0!</v>
      </c>
      <c r="AN123" s="53" t="e">
        <f>AN122+ATM_Conf!$C$5*(T122-S122)/(T310*AN310)</f>
        <v>#DIV/0!</v>
      </c>
      <c r="AO123" s="53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  <c r="EH123" s="62"/>
      <c r="EI123" s="62"/>
      <c r="EJ123" s="62"/>
      <c r="EK123" s="62"/>
      <c r="EL123" s="47">
        <f>(DR123-DR111)^2</f>
        <v>0</v>
      </c>
      <c r="EM123" s="47">
        <f t="shared" ref="EM123:FE123" si="71">(DS123-DS111)^2</f>
        <v>0</v>
      </c>
      <c r="EN123" s="47">
        <f t="shared" si="71"/>
        <v>0</v>
      </c>
      <c r="EO123" s="47">
        <f t="shared" si="71"/>
        <v>0</v>
      </c>
      <c r="EP123" s="47">
        <f t="shared" si="71"/>
        <v>0</v>
      </c>
      <c r="EQ123" s="47">
        <f t="shared" si="71"/>
        <v>0</v>
      </c>
      <c r="ER123" s="47">
        <f t="shared" si="71"/>
        <v>0</v>
      </c>
      <c r="ES123" s="47">
        <f t="shared" si="71"/>
        <v>0</v>
      </c>
      <c r="ET123" s="47">
        <f t="shared" si="71"/>
        <v>0</v>
      </c>
      <c r="EU123" s="47">
        <f t="shared" si="71"/>
        <v>0</v>
      </c>
      <c r="EV123" s="47">
        <f t="shared" si="71"/>
        <v>0</v>
      </c>
      <c r="EW123" s="47">
        <f t="shared" si="71"/>
        <v>0</v>
      </c>
      <c r="EX123" s="47">
        <f t="shared" si="71"/>
        <v>0</v>
      </c>
      <c r="EY123" s="47">
        <f t="shared" si="71"/>
        <v>0</v>
      </c>
      <c r="EZ123" s="47">
        <f t="shared" si="71"/>
        <v>0</v>
      </c>
      <c r="FA123" s="47">
        <f t="shared" si="71"/>
        <v>0</v>
      </c>
      <c r="FB123" s="47">
        <f t="shared" si="71"/>
        <v>0</v>
      </c>
      <c r="FC123" s="47">
        <f t="shared" si="71"/>
        <v>0</v>
      </c>
      <c r="FD123" s="47">
        <f t="shared" si="71"/>
        <v>0</v>
      </c>
      <c r="FE123" s="47">
        <f t="shared" si="71"/>
        <v>0</v>
      </c>
    </row>
    <row r="124" spans="1:161" ht="14.25" x14ac:dyDescent="0.15">
      <c r="A124" s="46"/>
      <c r="B124" s="43" t="e">
        <f t="shared" si="39"/>
        <v>#DIV/0!</v>
      </c>
      <c r="C124" s="43" t="e">
        <f t="shared" si="40"/>
        <v>#DIV/0!</v>
      </c>
      <c r="D124" s="43" t="e">
        <f t="shared" si="41"/>
        <v>#DIV/0!</v>
      </c>
      <c r="E124" s="43" t="e">
        <f t="shared" si="42"/>
        <v>#DIV/0!</v>
      </c>
      <c r="F124" s="43" t="e">
        <f t="shared" si="43"/>
        <v>#DIV/0!</v>
      </c>
      <c r="G124" s="43" t="e">
        <f t="shared" si="44"/>
        <v>#DIV/0!</v>
      </c>
      <c r="H124" s="43" t="e">
        <f t="shared" si="45"/>
        <v>#DIV/0!</v>
      </c>
      <c r="I124" s="43" t="e">
        <f t="shared" si="46"/>
        <v>#DIV/0!</v>
      </c>
      <c r="J124" s="43" t="e">
        <f t="shared" si="47"/>
        <v>#DIV/0!</v>
      </c>
      <c r="K124" s="43" t="e">
        <f t="shared" si="48"/>
        <v>#DIV/0!</v>
      </c>
      <c r="L124" s="43" t="e">
        <f t="shared" si="49"/>
        <v>#DIV/0!</v>
      </c>
      <c r="M124" s="43" t="e">
        <f t="shared" si="50"/>
        <v>#DIV/0!</v>
      </c>
      <c r="N124" s="43" t="e">
        <f t="shared" si="51"/>
        <v>#DIV/0!</v>
      </c>
      <c r="O124" s="43" t="e">
        <f t="shared" si="52"/>
        <v>#DIV/0!</v>
      </c>
      <c r="P124" s="43" t="e">
        <f t="shared" si="53"/>
        <v>#DIV/0!</v>
      </c>
      <c r="Q124" s="43" t="e">
        <f t="shared" si="54"/>
        <v>#DIV/0!</v>
      </c>
      <c r="R124" s="43" t="e">
        <f t="shared" si="55"/>
        <v>#DIV/0!</v>
      </c>
      <c r="S124" s="43" t="e">
        <f t="shared" si="56"/>
        <v>#DIV/0!</v>
      </c>
      <c r="T124" s="43" t="e">
        <f t="shared" si="57"/>
        <v>#DIV/0!</v>
      </c>
      <c r="U124" s="43" t="e">
        <f t="shared" si="58"/>
        <v>#DIV/0!</v>
      </c>
      <c r="V124" s="53" t="e">
        <f>V123+ATM_Conf!$C$5*(B123)/(B311*V311)</f>
        <v>#DIV/0!</v>
      </c>
      <c r="W124" s="53" t="e">
        <f>W123+ATM_Conf!$C$5*(C123-B123)/(C311*W311)</f>
        <v>#DIV/0!</v>
      </c>
      <c r="X124" s="53" t="e">
        <f>X123+ATM_Conf!$C$5*(D123-C123)/(D311*X311)</f>
        <v>#DIV/0!</v>
      </c>
      <c r="Y124" s="53" t="e">
        <f>Y123+ATM_Conf!$C$5*(E123-D123)/(E311*Y311)</f>
        <v>#DIV/0!</v>
      </c>
      <c r="Z124" s="53" t="e">
        <f>Z123+ATM_Conf!$C$5*(F123-E123)/(F311*Z311)</f>
        <v>#DIV/0!</v>
      </c>
      <c r="AA124" s="53" t="e">
        <f>AA123+ATM_Conf!$C$5*(G123-F123)/(G311*AA311)</f>
        <v>#DIV/0!</v>
      </c>
      <c r="AB124" s="53" t="e">
        <f>AB123+ATM_Conf!$C$5*(H123-G123)/(H311*AB311)</f>
        <v>#DIV/0!</v>
      </c>
      <c r="AC124" s="53" t="e">
        <f>AC123+ATM_Conf!$C$5*(I123-H123)/(I311*AC311)</f>
        <v>#DIV/0!</v>
      </c>
      <c r="AD124" s="53" t="e">
        <f>AD123+ATM_Conf!$C$5*(J123-I123)/(J311*AD311)</f>
        <v>#DIV/0!</v>
      </c>
      <c r="AE124" s="53" t="e">
        <f>AE123+ATM_Conf!$C$5*(K123-J123)/(K311*AE311)</f>
        <v>#DIV/0!</v>
      </c>
      <c r="AF124" s="53" t="e">
        <f>AF123+ATM_Conf!$C$5*(L123)/(L311*AF311)</f>
        <v>#DIV/0!</v>
      </c>
      <c r="AG124" s="53" t="e">
        <f>AG123+ATM_Conf!$C$5*(M123-L123)/(M311*AG311)</f>
        <v>#DIV/0!</v>
      </c>
      <c r="AH124" s="53" t="e">
        <f>AH123+ATM_Conf!$C$5*(N123-M123)/(N311*AH311)</f>
        <v>#DIV/0!</v>
      </c>
      <c r="AI124" s="53" t="e">
        <f>AI123+ATM_Conf!$C$5*(O123-N123)/(O311*AI311)</f>
        <v>#DIV/0!</v>
      </c>
      <c r="AJ124" s="53" t="e">
        <f>AJ123+ATM_Conf!$C$5*(P123-O123)/(P311*AJ311)</f>
        <v>#DIV/0!</v>
      </c>
      <c r="AK124" s="53" t="e">
        <f>AK123+ATM_Conf!$C$5*(Q123-P123)/(Q311*AK311)</f>
        <v>#DIV/0!</v>
      </c>
      <c r="AL124" s="53" t="e">
        <f>AL123+ATM_Conf!$C$5*(R123-Q123)/(R311*AL311)</f>
        <v>#DIV/0!</v>
      </c>
      <c r="AM124" s="53" t="e">
        <f>AM123+ATM_Conf!$C$5*(S123-R123)/(S311*AM311)</f>
        <v>#DIV/0!</v>
      </c>
      <c r="AN124" s="53" t="e">
        <f>AN123+ATM_Conf!$C$5*(T123-S123)/(T311*AN311)</f>
        <v>#DIV/0!</v>
      </c>
      <c r="AO124" s="53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43">
        <f>DR$123</f>
        <v>0</v>
      </c>
      <c r="DS124" s="43">
        <f t="shared" ref="DS124:EK134" si="72">DS$123</f>
        <v>0</v>
      </c>
      <c r="DT124" s="43">
        <f t="shared" si="72"/>
        <v>0</v>
      </c>
      <c r="DU124" s="43">
        <f t="shared" si="72"/>
        <v>0</v>
      </c>
      <c r="DV124" s="43">
        <f t="shared" si="72"/>
        <v>0</v>
      </c>
      <c r="DW124" s="43">
        <f t="shared" si="72"/>
        <v>0</v>
      </c>
      <c r="DX124" s="43">
        <f t="shared" si="72"/>
        <v>0</v>
      </c>
      <c r="DY124" s="43">
        <f t="shared" si="72"/>
        <v>0</v>
      </c>
      <c r="DZ124" s="43">
        <f t="shared" si="72"/>
        <v>0</v>
      </c>
      <c r="EA124" s="43">
        <f t="shared" si="72"/>
        <v>0</v>
      </c>
      <c r="EB124" s="43">
        <f t="shared" si="72"/>
        <v>0</v>
      </c>
      <c r="EC124" s="43">
        <f t="shared" si="72"/>
        <v>0</v>
      </c>
      <c r="ED124" s="43">
        <f t="shared" si="72"/>
        <v>0</v>
      </c>
      <c r="EE124" s="43">
        <f t="shared" si="72"/>
        <v>0</v>
      </c>
      <c r="EF124" s="43">
        <f t="shared" si="72"/>
        <v>0</v>
      </c>
      <c r="EG124" s="43">
        <f t="shared" si="72"/>
        <v>0</v>
      </c>
      <c r="EH124" s="43">
        <f t="shared" si="72"/>
        <v>0</v>
      </c>
      <c r="EI124" s="43">
        <f t="shared" si="72"/>
        <v>0</v>
      </c>
      <c r="EJ124" s="43">
        <f t="shared" si="72"/>
        <v>0</v>
      </c>
      <c r="EK124" s="43">
        <f t="shared" si="72"/>
        <v>0</v>
      </c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47"/>
      <c r="FA124" s="47"/>
      <c r="FB124" s="47"/>
      <c r="FC124" s="47"/>
      <c r="FD124" s="47"/>
      <c r="FE124" s="47"/>
    </row>
    <row r="125" spans="1:161" ht="14.25" x14ac:dyDescent="0.15">
      <c r="A125" s="46"/>
      <c r="B125" s="43" t="e">
        <f t="shared" si="39"/>
        <v>#DIV/0!</v>
      </c>
      <c r="C125" s="43" t="e">
        <f t="shared" si="40"/>
        <v>#DIV/0!</v>
      </c>
      <c r="D125" s="43" t="e">
        <f t="shared" si="41"/>
        <v>#DIV/0!</v>
      </c>
      <c r="E125" s="43" t="e">
        <f t="shared" si="42"/>
        <v>#DIV/0!</v>
      </c>
      <c r="F125" s="43" t="e">
        <f t="shared" si="43"/>
        <v>#DIV/0!</v>
      </c>
      <c r="G125" s="43" t="e">
        <f t="shared" si="44"/>
        <v>#DIV/0!</v>
      </c>
      <c r="H125" s="43" t="e">
        <f t="shared" si="45"/>
        <v>#DIV/0!</v>
      </c>
      <c r="I125" s="43" t="e">
        <f t="shared" si="46"/>
        <v>#DIV/0!</v>
      </c>
      <c r="J125" s="43" t="e">
        <f t="shared" si="47"/>
        <v>#DIV/0!</v>
      </c>
      <c r="K125" s="43" t="e">
        <f t="shared" si="48"/>
        <v>#DIV/0!</v>
      </c>
      <c r="L125" s="43" t="e">
        <f t="shared" si="49"/>
        <v>#DIV/0!</v>
      </c>
      <c r="M125" s="43" t="e">
        <f t="shared" si="50"/>
        <v>#DIV/0!</v>
      </c>
      <c r="N125" s="43" t="e">
        <f t="shared" si="51"/>
        <v>#DIV/0!</v>
      </c>
      <c r="O125" s="43" t="e">
        <f t="shared" si="52"/>
        <v>#DIV/0!</v>
      </c>
      <c r="P125" s="43" t="e">
        <f t="shared" si="53"/>
        <v>#DIV/0!</v>
      </c>
      <c r="Q125" s="43" t="e">
        <f t="shared" si="54"/>
        <v>#DIV/0!</v>
      </c>
      <c r="R125" s="43" t="e">
        <f t="shared" si="55"/>
        <v>#DIV/0!</v>
      </c>
      <c r="S125" s="43" t="e">
        <f t="shared" si="56"/>
        <v>#DIV/0!</v>
      </c>
      <c r="T125" s="43" t="e">
        <f t="shared" si="57"/>
        <v>#DIV/0!</v>
      </c>
      <c r="U125" s="43" t="e">
        <f t="shared" si="58"/>
        <v>#DIV/0!</v>
      </c>
      <c r="V125" s="53" t="e">
        <f>V124+ATM_Conf!$C$5*(B124)/(B312*V312)</f>
        <v>#DIV/0!</v>
      </c>
      <c r="W125" s="53" t="e">
        <f>W124+ATM_Conf!$C$5*(C124-B124)/(C312*W312)</f>
        <v>#DIV/0!</v>
      </c>
      <c r="X125" s="53" t="e">
        <f>X124+ATM_Conf!$C$5*(D124-C124)/(D312*X312)</f>
        <v>#DIV/0!</v>
      </c>
      <c r="Y125" s="53" t="e">
        <f>Y124+ATM_Conf!$C$5*(E124-D124)/(E312*Y312)</f>
        <v>#DIV/0!</v>
      </c>
      <c r="Z125" s="53" t="e">
        <f>Z124+ATM_Conf!$C$5*(F124-E124)/(F312*Z312)</f>
        <v>#DIV/0!</v>
      </c>
      <c r="AA125" s="53" t="e">
        <f>AA124+ATM_Conf!$C$5*(G124-F124)/(G312*AA312)</f>
        <v>#DIV/0!</v>
      </c>
      <c r="AB125" s="53" t="e">
        <f>AB124+ATM_Conf!$C$5*(H124-G124)/(H312*AB312)</f>
        <v>#DIV/0!</v>
      </c>
      <c r="AC125" s="53" t="e">
        <f>AC124+ATM_Conf!$C$5*(I124-H124)/(I312*AC312)</f>
        <v>#DIV/0!</v>
      </c>
      <c r="AD125" s="53" t="e">
        <f>AD124+ATM_Conf!$C$5*(J124-I124)/(J312*AD312)</f>
        <v>#DIV/0!</v>
      </c>
      <c r="AE125" s="53" t="e">
        <f>AE124+ATM_Conf!$C$5*(K124-J124)/(K312*AE312)</f>
        <v>#DIV/0!</v>
      </c>
      <c r="AF125" s="53" t="e">
        <f>AF124+ATM_Conf!$C$5*(L124)/(L312*AF312)</f>
        <v>#DIV/0!</v>
      </c>
      <c r="AG125" s="53" t="e">
        <f>AG124+ATM_Conf!$C$5*(M124-L124)/(M312*AG312)</f>
        <v>#DIV/0!</v>
      </c>
      <c r="AH125" s="53" t="e">
        <f>AH124+ATM_Conf!$C$5*(N124-M124)/(N312*AH312)</f>
        <v>#DIV/0!</v>
      </c>
      <c r="AI125" s="53" t="e">
        <f>AI124+ATM_Conf!$C$5*(O124-N124)/(O312*AI312)</f>
        <v>#DIV/0!</v>
      </c>
      <c r="AJ125" s="53" t="e">
        <f>AJ124+ATM_Conf!$C$5*(P124-O124)/(P312*AJ312)</f>
        <v>#DIV/0!</v>
      </c>
      <c r="AK125" s="53" t="e">
        <f>AK124+ATM_Conf!$C$5*(Q124-P124)/(Q312*AK312)</f>
        <v>#DIV/0!</v>
      </c>
      <c r="AL125" s="53" t="e">
        <f>AL124+ATM_Conf!$C$5*(R124-Q124)/(R312*AL312)</f>
        <v>#DIV/0!</v>
      </c>
      <c r="AM125" s="53" t="e">
        <f>AM124+ATM_Conf!$C$5*(S124-R124)/(S312*AM312)</f>
        <v>#DIV/0!</v>
      </c>
      <c r="AN125" s="53" t="e">
        <f>AN124+ATM_Conf!$C$5*(T124-S124)/(T312*AN312)</f>
        <v>#DIV/0!</v>
      </c>
      <c r="AO125" s="53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43">
        <f t="shared" ref="DR125:DR134" si="73">DR$123</f>
        <v>0</v>
      </c>
      <c r="DS125" s="43">
        <f t="shared" si="72"/>
        <v>0</v>
      </c>
      <c r="DT125" s="43">
        <f t="shared" si="72"/>
        <v>0</v>
      </c>
      <c r="DU125" s="43">
        <f t="shared" si="72"/>
        <v>0</v>
      </c>
      <c r="DV125" s="43">
        <f t="shared" si="72"/>
        <v>0</v>
      </c>
      <c r="DW125" s="43">
        <f t="shared" si="72"/>
        <v>0</v>
      </c>
      <c r="DX125" s="43">
        <f t="shared" si="72"/>
        <v>0</v>
      </c>
      <c r="DY125" s="43">
        <f t="shared" si="72"/>
        <v>0</v>
      </c>
      <c r="DZ125" s="43">
        <f t="shared" si="72"/>
        <v>0</v>
      </c>
      <c r="EA125" s="43">
        <f t="shared" si="72"/>
        <v>0</v>
      </c>
      <c r="EB125" s="43">
        <f t="shared" si="72"/>
        <v>0</v>
      </c>
      <c r="EC125" s="43">
        <f t="shared" si="72"/>
        <v>0</v>
      </c>
      <c r="ED125" s="43">
        <f t="shared" si="72"/>
        <v>0</v>
      </c>
      <c r="EE125" s="43">
        <f t="shared" si="72"/>
        <v>0</v>
      </c>
      <c r="EF125" s="43">
        <f t="shared" si="72"/>
        <v>0</v>
      </c>
      <c r="EG125" s="43">
        <f t="shared" si="72"/>
        <v>0</v>
      </c>
      <c r="EH125" s="43">
        <f t="shared" si="72"/>
        <v>0</v>
      </c>
      <c r="EI125" s="43">
        <f t="shared" si="72"/>
        <v>0</v>
      </c>
      <c r="EJ125" s="43">
        <f t="shared" si="72"/>
        <v>0</v>
      </c>
      <c r="EK125" s="43">
        <f t="shared" si="72"/>
        <v>0</v>
      </c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47"/>
      <c r="FA125" s="47"/>
      <c r="FB125" s="47"/>
      <c r="FC125" s="47"/>
      <c r="FD125" s="47"/>
      <c r="FE125" s="47"/>
    </row>
    <row r="126" spans="1:161" ht="14.25" x14ac:dyDescent="0.15">
      <c r="A126" s="46"/>
      <c r="B126" s="43" t="e">
        <f t="shared" si="39"/>
        <v>#DIV/0!</v>
      </c>
      <c r="C126" s="43" t="e">
        <f t="shared" si="40"/>
        <v>#DIV/0!</v>
      </c>
      <c r="D126" s="43" t="e">
        <f t="shared" si="41"/>
        <v>#DIV/0!</v>
      </c>
      <c r="E126" s="43" t="e">
        <f t="shared" si="42"/>
        <v>#DIV/0!</v>
      </c>
      <c r="F126" s="43" t="e">
        <f t="shared" si="43"/>
        <v>#DIV/0!</v>
      </c>
      <c r="G126" s="43" t="e">
        <f t="shared" si="44"/>
        <v>#DIV/0!</v>
      </c>
      <c r="H126" s="43" t="e">
        <f t="shared" si="45"/>
        <v>#DIV/0!</v>
      </c>
      <c r="I126" s="43" t="e">
        <f t="shared" si="46"/>
        <v>#DIV/0!</v>
      </c>
      <c r="J126" s="43" t="e">
        <f t="shared" si="47"/>
        <v>#DIV/0!</v>
      </c>
      <c r="K126" s="43" t="e">
        <f t="shared" si="48"/>
        <v>#DIV/0!</v>
      </c>
      <c r="L126" s="43" t="e">
        <f t="shared" si="49"/>
        <v>#DIV/0!</v>
      </c>
      <c r="M126" s="43" t="e">
        <f t="shared" si="50"/>
        <v>#DIV/0!</v>
      </c>
      <c r="N126" s="43" t="e">
        <f t="shared" si="51"/>
        <v>#DIV/0!</v>
      </c>
      <c r="O126" s="43" t="e">
        <f t="shared" si="52"/>
        <v>#DIV/0!</v>
      </c>
      <c r="P126" s="43" t="e">
        <f t="shared" si="53"/>
        <v>#DIV/0!</v>
      </c>
      <c r="Q126" s="43" t="e">
        <f t="shared" si="54"/>
        <v>#DIV/0!</v>
      </c>
      <c r="R126" s="43" t="e">
        <f t="shared" si="55"/>
        <v>#DIV/0!</v>
      </c>
      <c r="S126" s="43" t="e">
        <f t="shared" si="56"/>
        <v>#DIV/0!</v>
      </c>
      <c r="T126" s="43" t="e">
        <f t="shared" si="57"/>
        <v>#DIV/0!</v>
      </c>
      <c r="U126" s="43" t="e">
        <f t="shared" si="58"/>
        <v>#DIV/0!</v>
      </c>
      <c r="V126" s="53" t="e">
        <f>V125+ATM_Conf!$C$5*(B125)/(B313*V313)</f>
        <v>#DIV/0!</v>
      </c>
      <c r="W126" s="53" t="e">
        <f>W125+ATM_Conf!$C$5*(C125-B125)/(C313*W313)</f>
        <v>#DIV/0!</v>
      </c>
      <c r="X126" s="53" t="e">
        <f>X125+ATM_Conf!$C$5*(D125-C125)/(D313*X313)</f>
        <v>#DIV/0!</v>
      </c>
      <c r="Y126" s="53" t="e">
        <f>Y125+ATM_Conf!$C$5*(E125-D125)/(E313*Y313)</f>
        <v>#DIV/0!</v>
      </c>
      <c r="Z126" s="53" t="e">
        <f>Z125+ATM_Conf!$C$5*(F125-E125)/(F313*Z313)</f>
        <v>#DIV/0!</v>
      </c>
      <c r="AA126" s="53" t="e">
        <f>AA125+ATM_Conf!$C$5*(G125-F125)/(G313*AA313)</f>
        <v>#DIV/0!</v>
      </c>
      <c r="AB126" s="53" t="e">
        <f>AB125+ATM_Conf!$C$5*(H125-G125)/(H313*AB313)</f>
        <v>#DIV/0!</v>
      </c>
      <c r="AC126" s="53" t="e">
        <f>AC125+ATM_Conf!$C$5*(I125-H125)/(I313*AC313)</f>
        <v>#DIV/0!</v>
      </c>
      <c r="AD126" s="53" t="e">
        <f>AD125+ATM_Conf!$C$5*(J125-I125)/(J313*AD313)</f>
        <v>#DIV/0!</v>
      </c>
      <c r="AE126" s="53" t="e">
        <f>AE125+ATM_Conf!$C$5*(K125-J125)/(K313*AE313)</f>
        <v>#DIV/0!</v>
      </c>
      <c r="AF126" s="53" t="e">
        <f>AF125+ATM_Conf!$C$5*(L125)/(L313*AF313)</f>
        <v>#DIV/0!</v>
      </c>
      <c r="AG126" s="53" t="e">
        <f>AG125+ATM_Conf!$C$5*(M125-L125)/(M313*AG313)</f>
        <v>#DIV/0!</v>
      </c>
      <c r="AH126" s="53" t="e">
        <f>AH125+ATM_Conf!$C$5*(N125-M125)/(N313*AH313)</f>
        <v>#DIV/0!</v>
      </c>
      <c r="AI126" s="53" t="e">
        <f>AI125+ATM_Conf!$C$5*(O125-N125)/(O313*AI313)</f>
        <v>#DIV/0!</v>
      </c>
      <c r="AJ126" s="53" t="e">
        <f>AJ125+ATM_Conf!$C$5*(P125-O125)/(P313*AJ313)</f>
        <v>#DIV/0!</v>
      </c>
      <c r="AK126" s="53" t="e">
        <f>AK125+ATM_Conf!$C$5*(Q125-P125)/(Q313*AK313)</f>
        <v>#DIV/0!</v>
      </c>
      <c r="AL126" s="53" t="e">
        <f>AL125+ATM_Conf!$C$5*(R125-Q125)/(R313*AL313)</f>
        <v>#DIV/0!</v>
      </c>
      <c r="AM126" s="53" t="e">
        <f>AM125+ATM_Conf!$C$5*(S125-R125)/(S313*AM313)</f>
        <v>#DIV/0!</v>
      </c>
      <c r="AN126" s="53" t="e">
        <f>AN125+ATM_Conf!$C$5*(T125-S125)/(T313*AN313)</f>
        <v>#DIV/0!</v>
      </c>
      <c r="AO126" s="53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43">
        <f t="shared" si="73"/>
        <v>0</v>
      </c>
      <c r="DS126" s="43">
        <f t="shared" si="72"/>
        <v>0</v>
      </c>
      <c r="DT126" s="43">
        <f t="shared" si="72"/>
        <v>0</v>
      </c>
      <c r="DU126" s="43">
        <f t="shared" si="72"/>
        <v>0</v>
      </c>
      <c r="DV126" s="43">
        <f t="shared" si="72"/>
        <v>0</v>
      </c>
      <c r="DW126" s="43">
        <f t="shared" si="72"/>
        <v>0</v>
      </c>
      <c r="DX126" s="43">
        <f t="shared" si="72"/>
        <v>0</v>
      </c>
      <c r="DY126" s="43">
        <f t="shared" si="72"/>
        <v>0</v>
      </c>
      <c r="DZ126" s="43">
        <f t="shared" si="72"/>
        <v>0</v>
      </c>
      <c r="EA126" s="43">
        <f t="shared" si="72"/>
        <v>0</v>
      </c>
      <c r="EB126" s="43">
        <f t="shared" si="72"/>
        <v>0</v>
      </c>
      <c r="EC126" s="43">
        <f t="shared" si="72"/>
        <v>0</v>
      </c>
      <c r="ED126" s="43">
        <f t="shared" si="72"/>
        <v>0</v>
      </c>
      <c r="EE126" s="43">
        <f t="shared" si="72"/>
        <v>0</v>
      </c>
      <c r="EF126" s="43">
        <f t="shared" si="72"/>
        <v>0</v>
      </c>
      <c r="EG126" s="43">
        <f t="shared" si="72"/>
        <v>0</v>
      </c>
      <c r="EH126" s="43">
        <f t="shared" si="72"/>
        <v>0</v>
      </c>
      <c r="EI126" s="43">
        <f t="shared" si="72"/>
        <v>0</v>
      </c>
      <c r="EJ126" s="43">
        <f t="shared" si="72"/>
        <v>0</v>
      </c>
      <c r="EK126" s="43">
        <f t="shared" si="72"/>
        <v>0</v>
      </c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47"/>
      <c r="FA126" s="47"/>
      <c r="FB126" s="47"/>
      <c r="FC126" s="47"/>
      <c r="FD126" s="47"/>
      <c r="FE126" s="47"/>
    </row>
    <row r="127" spans="1:161" ht="14.25" x14ac:dyDescent="0.15">
      <c r="A127" s="46"/>
      <c r="B127" s="43" t="e">
        <f t="shared" si="39"/>
        <v>#DIV/0!</v>
      </c>
      <c r="C127" s="43" t="e">
        <f t="shared" si="40"/>
        <v>#DIV/0!</v>
      </c>
      <c r="D127" s="43" t="e">
        <f t="shared" si="41"/>
        <v>#DIV/0!</v>
      </c>
      <c r="E127" s="43" t="e">
        <f t="shared" si="42"/>
        <v>#DIV/0!</v>
      </c>
      <c r="F127" s="43" t="e">
        <f t="shared" si="43"/>
        <v>#DIV/0!</v>
      </c>
      <c r="G127" s="43" t="e">
        <f t="shared" si="44"/>
        <v>#DIV/0!</v>
      </c>
      <c r="H127" s="43" t="e">
        <f t="shared" si="45"/>
        <v>#DIV/0!</v>
      </c>
      <c r="I127" s="43" t="e">
        <f t="shared" si="46"/>
        <v>#DIV/0!</v>
      </c>
      <c r="J127" s="43" t="e">
        <f t="shared" si="47"/>
        <v>#DIV/0!</v>
      </c>
      <c r="K127" s="43" t="e">
        <f t="shared" si="48"/>
        <v>#DIV/0!</v>
      </c>
      <c r="L127" s="43" t="e">
        <f t="shared" si="49"/>
        <v>#DIV/0!</v>
      </c>
      <c r="M127" s="43" t="e">
        <f t="shared" si="50"/>
        <v>#DIV/0!</v>
      </c>
      <c r="N127" s="43" t="e">
        <f t="shared" si="51"/>
        <v>#DIV/0!</v>
      </c>
      <c r="O127" s="43" t="e">
        <f t="shared" si="52"/>
        <v>#DIV/0!</v>
      </c>
      <c r="P127" s="43" t="e">
        <f t="shared" si="53"/>
        <v>#DIV/0!</v>
      </c>
      <c r="Q127" s="43" t="e">
        <f t="shared" si="54"/>
        <v>#DIV/0!</v>
      </c>
      <c r="R127" s="43" t="e">
        <f t="shared" si="55"/>
        <v>#DIV/0!</v>
      </c>
      <c r="S127" s="43" t="e">
        <f t="shared" si="56"/>
        <v>#DIV/0!</v>
      </c>
      <c r="T127" s="43" t="e">
        <f t="shared" si="57"/>
        <v>#DIV/0!</v>
      </c>
      <c r="U127" s="43" t="e">
        <f t="shared" si="58"/>
        <v>#DIV/0!</v>
      </c>
      <c r="V127" s="53" t="e">
        <f>V126+ATM_Conf!$C$5*(B126)/(B314*V314)</f>
        <v>#DIV/0!</v>
      </c>
      <c r="W127" s="53" t="e">
        <f>W126+ATM_Conf!$C$5*(C126-B126)/(C314*W314)</f>
        <v>#DIV/0!</v>
      </c>
      <c r="X127" s="53" t="e">
        <f>X126+ATM_Conf!$C$5*(D126-C126)/(D314*X314)</f>
        <v>#DIV/0!</v>
      </c>
      <c r="Y127" s="53" t="e">
        <f>Y126+ATM_Conf!$C$5*(E126-D126)/(E314*Y314)</f>
        <v>#DIV/0!</v>
      </c>
      <c r="Z127" s="53" t="e">
        <f>Z126+ATM_Conf!$C$5*(F126-E126)/(F314*Z314)</f>
        <v>#DIV/0!</v>
      </c>
      <c r="AA127" s="53" t="e">
        <f>AA126+ATM_Conf!$C$5*(G126-F126)/(G314*AA314)</f>
        <v>#DIV/0!</v>
      </c>
      <c r="AB127" s="53" t="e">
        <f>AB126+ATM_Conf!$C$5*(H126-G126)/(H314*AB314)</f>
        <v>#DIV/0!</v>
      </c>
      <c r="AC127" s="53" t="e">
        <f>AC126+ATM_Conf!$C$5*(I126-H126)/(I314*AC314)</f>
        <v>#DIV/0!</v>
      </c>
      <c r="AD127" s="53" t="e">
        <f>AD126+ATM_Conf!$C$5*(J126-I126)/(J314*AD314)</f>
        <v>#DIV/0!</v>
      </c>
      <c r="AE127" s="53" t="e">
        <f>AE126+ATM_Conf!$C$5*(K126-J126)/(K314*AE314)</f>
        <v>#DIV/0!</v>
      </c>
      <c r="AF127" s="53" t="e">
        <f>AF126+ATM_Conf!$C$5*(L126)/(L314*AF314)</f>
        <v>#DIV/0!</v>
      </c>
      <c r="AG127" s="53" t="e">
        <f>AG126+ATM_Conf!$C$5*(M126-L126)/(M314*AG314)</f>
        <v>#DIV/0!</v>
      </c>
      <c r="AH127" s="53" t="e">
        <f>AH126+ATM_Conf!$C$5*(N126-M126)/(N314*AH314)</f>
        <v>#DIV/0!</v>
      </c>
      <c r="AI127" s="53" t="e">
        <f>AI126+ATM_Conf!$C$5*(O126-N126)/(O314*AI314)</f>
        <v>#DIV/0!</v>
      </c>
      <c r="AJ127" s="53" t="e">
        <f>AJ126+ATM_Conf!$C$5*(P126-O126)/(P314*AJ314)</f>
        <v>#DIV/0!</v>
      </c>
      <c r="AK127" s="53" t="e">
        <f>AK126+ATM_Conf!$C$5*(Q126-P126)/(Q314*AK314)</f>
        <v>#DIV/0!</v>
      </c>
      <c r="AL127" s="53" t="e">
        <f>AL126+ATM_Conf!$C$5*(R126-Q126)/(R314*AL314)</f>
        <v>#DIV/0!</v>
      </c>
      <c r="AM127" s="53" t="e">
        <f>AM126+ATM_Conf!$C$5*(S126-R126)/(S314*AM314)</f>
        <v>#DIV/0!</v>
      </c>
      <c r="AN127" s="53" t="e">
        <f>AN126+ATM_Conf!$C$5*(T126-S126)/(T314*AN314)</f>
        <v>#DIV/0!</v>
      </c>
      <c r="AO127" s="53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43">
        <f t="shared" si="73"/>
        <v>0</v>
      </c>
      <c r="DS127" s="43">
        <f t="shared" si="72"/>
        <v>0</v>
      </c>
      <c r="DT127" s="43">
        <f t="shared" si="72"/>
        <v>0</v>
      </c>
      <c r="DU127" s="43">
        <f t="shared" si="72"/>
        <v>0</v>
      </c>
      <c r="DV127" s="43">
        <f t="shared" si="72"/>
        <v>0</v>
      </c>
      <c r="DW127" s="43">
        <f t="shared" si="72"/>
        <v>0</v>
      </c>
      <c r="DX127" s="43">
        <f t="shared" si="72"/>
        <v>0</v>
      </c>
      <c r="DY127" s="43">
        <f t="shared" si="72"/>
        <v>0</v>
      </c>
      <c r="DZ127" s="43">
        <f t="shared" si="72"/>
        <v>0</v>
      </c>
      <c r="EA127" s="43">
        <f t="shared" si="72"/>
        <v>0</v>
      </c>
      <c r="EB127" s="43">
        <f t="shared" si="72"/>
        <v>0</v>
      </c>
      <c r="EC127" s="43">
        <f t="shared" si="72"/>
        <v>0</v>
      </c>
      <c r="ED127" s="43">
        <f t="shared" si="72"/>
        <v>0</v>
      </c>
      <c r="EE127" s="43">
        <f t="shared" si="72"/>
        <v>0</v>
      </c>
      <c r="EF127" s="43">
        <f t="shared" si="72"/>
        <v>0</v>
      </c>
      <c r="EG127" s="43">
        <f t="shared" si="72"/>
        <v>0</v>
      </c>
      <c r="EH127" s="43">
        <f t="shared" si="72"/>
        <v>0</v>
      </c>
      <c r="EI127" s="43">
        <f t="shared" si="72"/>
        <v>0</v>
      </c>
      <c r="EJ127" s="43">
        <f t="shared" si="72"/>
        <v>0</v>
      </c>
      <c r="EK127" s="43">
        <f t="shared" si="72"/>
        <v>0</v>
      </c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47"/>
      <c r="FA127" s="47"/>
      <c r="FB127" s="47"/>
      <c r="FC127" s="47"/>
      <c r="FD127" s="47"/>
      <c r="FE127" s="47"/>
    </row>
    <row r="128" spans="1:161" ht="14.25" x14ac:dyDescent="0.15">
      <c r="A128" s="46"/>
      <c r="B128" s="43" t="e">
        <f t="shared" si="39"/>
        <v>#DIV/0!</v>
      </c>
      <c r="C128" s="43" t="e">
        <f t="shared" si="40"/>
        <v>#DIV/0!</v>
      </c>
      <c r="D128" s="43" t="e">
        <f t="shared" si="41"/>
        <v>#DIV/0!</v>
      </c>
      <c r="E128" s="43" t="e">
        <f t="shared" si="42"/>
        <v>#DIV/0!</v>
      </c>
      <c r="F128" s="43" t="e">
        <f t="shared" si="43"/>
        <v>#DIV/0!</v>
      </c>
      <c r="G128" s="43" t="e">
        <f t="shared" si="44"/>
        <v>#DIV/0!</v>
      </c>
      <c r="H128" s="43" t="e">
        <f t="shared" si="45"/>
        <v>#DIV/0!</v>
      </c>
      <c r="I128" s="43" t="e">
        <f t="shared" si="46"/>
        <v>#DIV/0!</v>
      </c>
      <c r="J128" s="43" t="e">
        <f t="shared" si="47"/>
        <v>#DIV/0!</v>
      </c>
      <c r="K128" s="43" t="e">
        <f t="shared" si="48"/>
        <v>#DIV/0!</v>
      </c>
      <c r="L128" s="43" t="e">
        <f t="shared" si="49"/>
        <v>#DIV/0!</v>
      </c>
      <c r="M128" s="43" t="e">
        <f t="shared" si="50"/>
        <v>#DIV/0!</v>
      </c>
      <c r="N128" s="43" t="e">
        <f t="shared" si="51"/>
        <v>#DIV/0!</v>
      </c>
      <c r="O128" s="43" t="e">
        <f t="shared" si="52"/>
        <v>#DIV/0!</v>
      </c>
      <c r="P128" s="43" t="e">
        <f t="shared" si="53"/>
        <v>#DIV/0!</v>
      </c>
      <c r="Q128" s="43" t="e">
        <f t="shared" si="54"/>
        <v>#DIV/0!</v>
      </c>
      <c r="R128" s="43" t="e">
        <f t="shared" si="55"/>
        <v>#DIV/0!</v>
      </c>
      <c r="S128" s="43" t="e">
        <f t="shared" si="56"/>
        <v>#DIV/0!</v>
      </c>
      <c r="T128" s="43" t="e">
        <f t="shared" si="57"/>
        <v>#DIV/0!</v>
      </c>
      <c r="U128" s="43" t="e">
        <f t="shared" si="58"/>
        <v>#DIV/0!</v>
      </c>
      <c r="V128" s="53" t="e">
        <f>V127+ATM_Conf!$C$5*(B127)/(B315*V315)</f>
        <v>#DIV/0!</v>
      </c>
      <c r="W128" s="53" t="e">
        <f>W127+ATM_Conf!$C$5*(C127-B127)/(C315*W315)</f>
        <v>#DIV/0!</v>
      </c>
      <c r="X128" s="53" t="e">
        <f>X127+ATM_Conf!$C$5*(D127-C127)/(D315*X315)</f>
        <v>#DIV/0!</v>
      </c>
      <c r="Y128" s="53" t="e">
        <f>Y127+ATM_Conf!$C$5*(E127-D127)/(E315*Y315)</f>
        <v>#DIV/0!</v>
      </c>
      <c r="Z128" s="53" t="e">
        <f>Z127+ATM_Conf!$C$5*(F127-E127)/(F315*Z315)</f>
        <v>#DIV/0!</v>
      </c>
      <c r="AA128" s="53" t="e">
        <f>AA127+ATM_Conf!$C$5*(G127-F127)/(G315*AA315)</f>
        <v>#DIV/0!</v>
      </c>
      <c r="AB128" s="53" t="e">
        <f>AB127+ATM_Conf!$C$5*(H127-G127)/(H315*AB315)</f>
        <v>#DIV/0!</v>
      </c>
      <c r="AC128" s="53" t="e">
        <f>AC127+ATM_Conf!$C$5*(I127-H127)/(I315*AC315)</f>
        <v>#DIV/0!</v>
      </c>
      <c r="AD128" s="53" t="e">
        <f>AD127+ATM_Conf!$C$5*(J127-I127)/(J315*AD315)</f>
        <v>#DIV/0!</v>
      </c>
      <c r="AE128" s="53" t="e">
        <f>AE127+ATM_Conf!$C$5*(K127-J127)/(K315*AE315)</f>
        <v>#DIV/0!</v>
      </c>
      <c r="AF128" s="53" t="e">
        <f>AF127+ATM_Conf!$C$5*(L127)/(L315*AF315)</f>
        <v>#DIV/0!</v>
      </c>
      <c r="AG128" s="53" t="e">
        <f>AG127+ATM_Conf!$C$5*(M127-L127)/(M315*AG315)</f>
        <v>#DIV/0!</v>
      </c>
      <c r="AH128" s="53" t="e">
        <f>AH127+ATM_Conf!$C$5*(N127-M127)/(N315*AH315)</f>
        <v>#DIV/0!</v>
      </c>
      <c r="AI128" s="53" t="e">
        <f>AI127+ATM_Conf!$C$5*(O127-N127)/(O315*AI315)</f>
        <v>#DIV/0!</v>
      </c>
      <c r="AJ128" s="53" t="e">
        <f>AJ127+ATM_Conf!$C$5*(P127-O127)/(P315*AJ315)</f>
        <v>#DIV/0!</v>
      </c>
      <c r="AK128" s="53" t="e">
        <f>AK127+ATM_Conf!$C$5*(Q127-P127)/(Q315*AK315)</f>
        <v>#DIV/0!</v>
      </c>
      <c r="AL128" s="53" t="e">
        <f>AL127+ATM_Conf!$C$5*(R127-Q127)/(R315*AL315)</f>
        <v>#DIV/0!</v>
      </c>
      <c r="AM128" s="53" t="e">
        <f>AM127+ATM_Conf!$C$5*(S127-R127)/(S315*AM315)</f>
        <v>#DIV/0!</v>
      </c>
      <c r="AN128" s="53" t="e">
        <f>AN127+ATM_Conf!$C$5*(T127-S127)/(T315*AN315)</f>
        <v>#DIV/0!</v>
      </c>
      <c r="AO128" s="53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43">
        <f t="shared" si="73"/>
        <v>0</v>
      </c>
      <c r="DS128" s="43">
        <f t="shared" si="72"/>
        <v>0</v>
      </c>
      <c r="DT128" s="43">
        <f t="shared" si="72"/>
        <v>0</v>
      </c>
      <c r="DU128" s="43">
        <f t="shared" si="72"/>
        <v>0</v>
      </c>
      <c r="DV128" s="43">
        <f t="shared" si="72"/>
        <v>0</v>
      </c>
      <c r="DW128" s="43">
        <f t="shared" si="72"/>
        <v>0</v>
      </c>
      <c r="DX128" s="43">
        <f t="shared" si="72"/>
        <v>0</v>
      </c>
      <c r="DY128" s="43">
        <f t="shared" si="72"/>
        <v>0</v>
      </c>
      <c r="DZ128" s="43">
        <f t="shared" si="72"/>
        <v>0</v>
      </c>
      <c r="EA128" s="43">
        <f t="shared" si="72"/>
        <v>0</v>
      </c>
      <c r="EB128" s="43">
        <f t="shared" si="72"/>
        <v>0</v>
      </c>
      <c r="EC128" s="43">
        <f t="shared" si="72"/>
        <v>0</v>
      </c>
      <c r="ED128" s="43">
        <f t="shared" si="72"/>
        <v>0</v>
      </c>
      <c r="EE128" s="43">
        <f t="shared" si="72"/>
        <v>0</v>
      </c>
      <c r="EF128" s="43">
        <f t="shared" si="72"/>
        <v>0</v>
      </c>
      <c r="EG128" s="43">
        <f t="shared" si="72"/>
        <v>0</v>
      </c>
      <c r="EH128" s="43">
        <f t="shared" si="72"/>
        <v>0</v>
      </c>
      <c r="EI128" s="43">
        <f t="shared" si="72"/>
        <v>0</v>
      </c>
      <c r="EJ128" s="43">
        <f t="shared" si="72"/>
        <v>0</v>
      </c>
      <c r="EK128" s="43">
        <f t="shared" si="72"/>
        <v>0</v>
      </c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47"/>
      <c r="FA128" s="47"/>
      <c r="FB128" s="47"/>
      <c r="FC128" s="47"/>
      <c r="FD128" s="47"/>
      <c r="FE128" s="47"/>
    </row>
    <row r="129" spans="1:161" ht="14.25" x14ac:dyDescent="0.15">
      <c r="A129" s="46"/>
      <c r="B129" s="43" t="e">
        <f t="shared" si="39"/>
        <v>#DIV/0!</v>
      </c>
      <c r="C129" s="43" t="e">
        <f t="shared" si="40"/>
        <v>#DIV/0!</v>
      </c>
      <c r="D129" s="43" t="e">
        <f t="shared" si="41"/>
        <v>#DIV/0!</v>
      </c>
      <c r="E129" s="43" t="e">
        <f t="shared" si="42"/>
        <v>#DIV/0!</v>
      </c>
      <c r="F129" s="43" t="e">
        <f t="shared" si="43"/>
        <v>#DIV/0!</v>
      </c>
      <c r="G129" s="43" t="e">
        <f t="shared" si="44"/>
        <v>#DIV/0!</v>
      </c>
      <c r="H129" s="43" t="e">
        <f t="shared" si="45"/>
        <v>#DIV/0!</v>
      </c>
      <c r="I129" s="43" t="e">
        <f t="shared" si="46"/>
        <v>#DIV/0!</v>
      </c>
      <c r="J129" s="43" t="e">
        <f t="shared" si="47"/>
        <v>#DIV/0!</v>
      </c>
      <c r="K129" s="43" t="e">
        <f t="shared" si="48"/>
        <v>#DIV/0!</v>
      </c>
      <c r="L129" s="43" t="e">
        <f t="shared" si="49"/>
        <v>#DIV/0!</v>
      </c>
      <c r="M129" s="43" t="e">
        <f t="shared" si="50"/>
        <v>#DIV/0!</v>
      </c>
      <c r="N129" s="43" t="e">
        <f t="shared" si="51"/>
        <v>#DIV/0!</v>
      </c>
      <c r="O129" s="43" t="e">
        <f t="shared" si="52"/>
        <v>#DIV/0!</v>
      </c>
      <c r="P129" s="43" t="e">
        <f t="shared" si="53"/>
        <v>#DIV/0!</v>
      </c>
      <c r="Q129" s="43" t="e">
        <f t="shared" si="54"/>
        <v>#DIV/0!</v>
      </c>
      <c r="R129" s="43" t="e">
        <f t="shared" si="55"/>
        <v>#DIV/0!</v>
      </c>
      <c r="S129" s="43" t="e">
        <f t="shared" si="56"/>
        <v>#DIV/0!</v>
      </c>
      <c r="T129" s="43" t="e">
        <f t="shared" si="57"/>
        <v>#DIV/0!</v>
      </c>
      <c r="U129" s="43" t="e">
        <f t="shared" si="58"/>
        <v>#DIV/0!</v>
      </c>
      <c r="V129" s="53" t="e">
        <f>V128+ATM_Conf!$C$5*(B128)/(B316*V316)</f>
        <v>#DIV/0!</v>
      </c>
      <c r="W129" s="53" t="e">
        <f>W128+ATM_Conf!$C$5*(C128-B128)/(C316*W316)</f>
        <v>#DIV/0!</v>
      </c>
      <c r="X129" s="53" t="e">
        <f>X128+ATM_Conf!$C$5*(D128-C128)/(D316*X316)</f>
        <v>#DIV/0!</v>
      </c>
      <c r="Y129" s="53" t="e">
        <f>Y128+ATM_Conf!$C$5*(E128-D128)/(E316*Y316)</f>
        <v>#DIV/0!</v>
      </c>
      <c r="Z129" s="53" t="e">
        <f>Z128+ATM_Conf!$C$5*(F128-E128)/(F316*Z316)</f>
        <v>#DIV/0!</v>
      </c>
      <c r="AA129" s="53" t="e">
        <f>AA128+ATM_Conf!$C$5*(G128-F128)/(G316*AA316)</f>
        <v>#DIV/0!</v>
      </c>
      <c r="AB129" s="53" t="e">
        <f>AB128+ATM_Conf!$C$5*(H128-G128)/(H316*AB316)</f>
        <v>#DIV/0!</v>
      </c>
      <c r="AC129" s="53" t="e">
        <f>AC128+ATM_Conf!$C$5*(I128-H128)/(I316*AC316)</f>
        <v>#DIV/0!</v>
      </c>
      <c r="AD129" s="53" t="e">
        <f>AD128+ATM_Conf!$C$5*(J128-I128)/(J316*AD316)</f>
        <v>#DIV/0!</v>
      </c>
      <c r="AE129" s="53" t="e">
        <f>AE128+ATM_Conf!$C$5*(K128-J128)/(K316*AE316)</f>
        <v>#DIV/0!</v>
      </c>
      <c r="AF129" s="53" t="e">
        <f>AF128+ATM_Conf!$C$5*(L128)/(L316*AF316)</f>
        <v>#DIV/0!</v>
      </c>
      <c r="AG129" s="53" t="e">
        <f>AG128+ATM_Conf!$C$5*(M128-L128)/(M316*AG316)</f>
        <v>#DIV/0!</v>
      </c>
      <c r="AH129" s="53" t="e">
        <f>AH128+ATM_Conf!$C$5*(N128-M128)/(N316*AH316)</f>
        <v>#DIV/0!</v>
      </c>
      <c r="AI129" s="53" t="e">
        <f>AI128+ATM_Conf!$C$5*(O128-N128)/(O316*AI316)</f>
        <v>#DIV/0!</v>
      </c>
      <c r="AJ129" s="53" t="e">
        <f>AJ128+ATM_Conf!$C$5*(P128-O128)/(P316*AJ316)</f>
        <v>#DIV/0!</v>
      </c>
      <c r="AK129" s="53" t="e">
        <f>AK128+ATM_Conf!$C$5*(Q128-P128)/(Q316*AK316)</f>
        <v>#DIV/0!</v>
      </c>
      <c r="AL129" s="53" t="e">
        <f>AL128+ATM_Conf!$C$5*(R128-Q128)/(R316*AL316)</f>
        <v>#DIV/0!</v>
      </c>
      <c r="AM129" s="53" t="e">
        <f>AM128+ATM_Conf!$C$5*(S128-R128)/(S316*AM316)</f>
        <v>#DIV/0!</v>
      </c>
      <c r="AN129" s="53" t="e">
        <f>AN128+ATM_Conf!$C$5*(T128-S128)/(T316*AN316)</f>
        <v>#DIV/0!</v>
      </c>
      <c r="AO129" s="53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43">
        <f t="shared" si="73"/>
        <v>0</v>
      </c>
      <c r="DS129" s="43">
        <f t="shared" si="72"/>
        <v>0</v>
      </c>
      <c r="DT129" s="43">
        <f t="shared" si="72"/>
        <v>0</v>
      </c>
      <c r="DU129" s="43">
        <f t="shared" si="72"/>
        <v>0</v>
      </c>
      <c r="DV129" s="43">
        <f t="shared" si="72"/>
        <v>0</v>
      </c>
      <c r="DW129" s="43">
        <f t="shared" si="72"/>
        <v>0</v>
      </c>
      <c r="DX129" s="43">
        <f t="shared" si="72"/>
        <v>0</v>
      </c>
      <c r="DY129" s="43">
        <f t="shared" si="72"/>
        <v>0</v>
      </c>
      <c r="DZ129" s="43">
        <f t="shared" si="72"/>
        <v>0</v>
      </c>
      <c r="EA129" s="43">
        <f t="shared" si="72"/>
        <v>0</v>
      </c>
      <c r="EB129" s="43">
        <f t="shared" si="72"/>
        <v>0</v>
      </c>
      <c r="EC129" s="43">
        <f t="shared" si="72"/>
        <v>0</v>
      </c>
      <c r="ED129" s="43">
        <f t="shared" si="72"/>
        <v>0</v>
      </c>
      <c r="EE129" s="43">
        <f t="shared" si="72"/>
        <v>0</v>
      </c>
      <c r="EF129" s="43">
        <f t="shared" si="72"/>
        <v>0</v>
      </c>
      <c r="EG129" s="43">
        <f t="shared" si="72"/>
        <v>0</v>
      </c>
      <c r="EH129" s="43">
        <f t="shared" si="72"/>
        <v>0</v>
      </c>
      <c r="EI129" s="43">
        <f t="shared" si="72"/>
        <v>0</v>
      </c>
      <c r="EJ129" s="43">
        <f t="shared" si="72"/>
        <v>0</v>
      </c>
      <c r="EK129" s="43">
        <f t="shared" si="72"/>
        <v>0</v>
      </c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47"/>
      <c r="FA129" s="47"/>
      <c r="FB129" s="47"/>
      <c r="FC129" s="47"/>
      <c r="FD129" s="47"/>
      <c r="FE129" s="47"/>
    </row>
    <row r="130" spans="1:161" ht="14.25" x14ac:dyDescent="0.15">
      <c r="A130" s="46"/>
      <c r="B130" s="43" t="e">
        <f t="shared" si="39"/>
        <v>#DIV/0!</v>
      </c>
      <c r="C130" s="43" t="e">
        <f t="shared" si="40"/>
        <v>#DIV/0!</v>
      </c>
      <c r="D130" s="43" t="e">
        <f t="shared" si="41"/>
        <v>#DIV/0!</v>
      </c>
      <c r="E130" s="43" t="e">
        <f t="shared" si="42"/>
        <v>#DIV/0!</v>
      </c>
      <c r="F130" s="43" t="e">
        <f t="shared" si="43"/>
        <v>#DIV/0!</v>
      </c>
      <c r="G130" s="43" t="e">
        <f t="shared" si="44"/>
        <v>#DIV/0!</v>
      </c>
      <c r="H130" s="43" t="e">
        <f t="shared" si="45"/>
        <v>#DIV/0!</v>
      </c>
      <c r="I130" s="43" t="e">
        <f t="shared" si="46"/>
        <v>#DIV/0!</v>
      </c>
      <c r="J130" s="43" t="e">
        <f t="shared" si="47"/>
        <v>#DIV/0!</v>
      </c>
      <c r="K130" s="43" t="e">
        <f t="shared" si="48"/>
        <v>#DIV/0!</v>
      </c>
      <c r="L130" s="43" t="e">
        <f t="shared" si="49"/>
        <v>#DIV/0!</v>
      </c>
      <c r="M130" s="43" t="e">
        <f t="shared" si="50"/>
        <v>#DIV/0!</v>
      </c>
      <c r="N130" s="43" t="e">
        <f t="shared" si="51"/>
        <v>#DIV/0!</v>
      </c>
      <c r="O130" s="43" t="e">
        <f t="shared" si="52"/>
        <v>#DIV/0!</v>
      </c>
      <c r="P130" s="43" t="e">
        <f t="shared" si="53"/>
        <v>#DIV/0!</v>
      </c>
      <c r="Q130" s="43" t="e">
        <f t="shared" si="54"/>
        <v>#DIV/0!</v>
      </c>
      <c r="R130" s="43" t="e">
        <f t="shared" si="55"/>
        <v>#DIV/0!</v>
      </c>
      <c r="S130" s="43" t="e">
        <f t="shared" si="56"/>
        <v>#DIV/0!</v>
      </c>
      <c r="T130" s="43" t="e">
        <f t="shared" si="57"/>
        <v>#DIV/0!</v>
      </c>
      <c r="U130" s="43" t="e">
        <f t="shared" si="58"/>
        <v>#DIV/0!</v>
      </c>
      <c r="V130" s="53" t="e">
        <f>V129+ATM_Conf!$C$5*(B129)/(B317*V317)</f>
        <v>#DIV/0!</v>
      </c>
      <c r="W130" s="53" t="e">
        <f>W129+ATM_Conf!$C$5*(C129-B129)/(C317*W317)</f>
        <v>#DIV/0!</v>
      </c>
      <c r="X130" s="53" t="e">
        <f>X129+ATM_Conf!$C$5*(D129-C129)/(D317*X317)</f>
        <v>#DIV/0!</v>
      </c>
      <c r="Y130" s="53" t="e">
        <f>Y129+ATM_Conf!$C$5*(E129-D129)/(E317*Y317)</f>
        <v>#DIV/0!</v>
      </c>
      <c r="Z130" s="53" t="e">
        <f>Z129+ATM_Conf!$C$5*(F129-E129)/(F317*Z317)</f>
        <v>#DIV/0!</v>
      </c>
      <c r="AA130" s="53" t="e">
        <f>AA129+ATM_Conf!$C$5*(G129-F129)/(G317*AA317)</f>
        <v>#DIV/0!</v>
      </c>
      <c r="AB130" s="53" t="e">
        <f>AB129+ATM_Conf!$C$5*(H129-G129)/(H317*AB317)</f>
        <v>#DIV/0!</v>
      </c>
      <c r="AC130" s="53" t="e">
        <f>AC129+ATM_Conf!$C$5*(I129-H129)/(I317*AC317)</f>
        <v>#DIV/0!</v>
      </c>
      <c r="AD130" s="53" t="e">
        <f>AD129+ATM_Conf!$C$5*(J129-I129)/(J317*AD317)</f>
        <v>#DIV/0!</v>
      </c>
      <c r="AE130" s="53" t="e">
        <f>AE129+ATM_Conf!$C$5*(K129-J129)/(K317*AE317)</f>
        <v>#DIV/0!</v>
      </c>
      <c r="AF130" s="53" t="e">
        <f>AF129+ATM_Conf!$C$5*(L129)/(L317*AF317)</f>
        <v>#DIV/0!</v>
      </c>
      <c r="AG130" s="53" t="e">
        <f>AG129+ATM_Conf!$C$5*(M129-L129)/(M317*AG317)</f>
        <v>#DIV/0!</v>
      </c>
      <c r="AH130" s="53" t="e">
        <f>AH129+ATM_Conf!$C$5*(N129-M129)/(N317*AH317)</f>
        <v>#DIV/0!</v>
      </c>
      <c r="AI130" s="53" t="e">
        <f>AI129+ATM_Conf!$C$5*(O129-N129)/(O317*AI317)</f>
        <v>#DIV/0!</v>
      </c>
      <c r="AJ130" s="53" t="e">
        <f>AJ129+ATM_Conf!$C$5*(P129-O129)/(P317*AJ317)</f>
        <v>#DIV/0!</v>
      </c>
      <c r="AK130" s="53" t="e">
        <f>AK129+ATM_Conf!$C$5*(Q129-P129)/(Q317*AK317)</f>
        <v>#DIV/0!</v>
      </c>
      <c r="AL130" s="53" t="e">
        <f>AL129+ATM_Conf!$C$5*(R129-Q129)/(R317*AL317)</f>
        <v>#DIV/0!</v>
      </c>
      <c r="AM130" s="53" t="e">
        <f>AM129+ATM_Conf!$C$5*(S129-R129)/(S317*AM317)</f>
        <v>#DIV/0!</v>
      </c>
      <c r="AN130" s="53" t="e">
        <f>AN129+ATM_Conf!$C$5*(T129-S129)/(T317*AN317)</f>
        <v>#DIV/0!</v>
      </c>
      <c r="AO130" s="53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43">
        <f t="shared" si="73"/>
        <v>0</v>
      </c>
      <c r="DS130" s="43">
        <f t="shared" si="72"/>
        <v>0</v>
      </c>
      <c r="DT130" s="43">
        <f t="shared" si="72"/>
        <v>0</v>
      </c>
      <c r="DU130" s="43">
        <f t="shared" si="72"/>
        <v>0</v>
      </c>
      <c r="DV130" s="43">
        <f t="shared" si="72"/>
        <v>0</v>
      </c>
      <c r="DW130" s="43">
        <f t="shared" si="72"/>
        <v>0</v>
      </c>
      <c r="DX130" s="43">
        <f t="shared" si="72"/>
        <v>0</v>
      </c>
      <c r="DY130" s="43">
        <f t="shared" si="72"/>
        <v>0</v>
      </c>
      <c r="DZ130" s="43">
        <f t="shared" si="72"/>
        <v>0</v>
      </c>
      <c r="EA130" s="43">
        <f t="shared" si="72"/>
        <v>0</v>
      </c>
      <c r="EB130" s="43">
        <f t="shared" si="72"/>
        <v>0</v>
      </c>
      <c r="EC130" s="43">
        <f t="shared" si="72"/>
        <v>0</v>
      </c>
      <c r="ED130" s="43">
        <f t="shared" si="72"/>
        <v>0</v>
      </c>
      <c r="EE130" s="43">
        <f t="shared" si="72"/>
        <v>0</v>
      </c>
      <c r="EF130" s="43">
        <f t="shared" si="72"/>
        <v>0</v>
      </c>
      <c r="EG130" s="43">
        <f t="shared" si="72"/>
        <v>0</v>
      </c>
      <c r="EH130" s="43">
        <f t="shared" si="72"/>
        <v>0</v>
      </c>
      <c r="EI130" s="43">
        <f t="shared" si="72"/>
        <v>0</v>
      </c>
      <c r="EJ130" s="43">
        <f t="shared" si="72"/>
        <v>0</v>
      </c>
      <c r="EK130" s="43">
        <f t="shared" si="72"/>
        <v>0</v>
      </c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</row>
    <row r="131" spans="1:161" ht="14.25" x14ac:dyDescent="0.15">
      <c r="A131" s="46"/>
      <c r="B131" s="43" t="e">
        <f t="shared" si="39"/>
        <v>#DIV/0!</v>
      </c>
      <c r="C131" s="43" t="e">
        <f t="shared" si="40"/>
        <v>#DIV/0!</v>
      </c>
      <c r="D131" s="43" t="e">
        <f t="shared" si="41"/>
        <v>#DIV/0!</v>
      </c>
      <c r="E131" s="43" t="e">
        <f t="shared" si="42"/>
        <v>#DIV/0!</v>
      </c>
      <c r="F131" s="43" t="e">
        <f t="shared" si="43"/>
        <v>#DIV/0!</v>
      </c>
      <c r="G131" s="43" t="e">
        <f t="shared" si="44"/>
        <v>#DIV/0!</v>
      </c>
      <c r="H131" s="43" t="e">
        <f t="shared" si="45"/>
        <v>#DIV/0!</v>
      </c>
      <c r="I131" s="43" t="e">
        <f t="shared" si="46"/>
        <v>#DIV/0!</v>
      </c>
      <c r="J131" s="43" t="e">
        <f t="shared" si="47"/>
        <v>#DIV/0!</v>
      </c>
      <c r="K131" s="43" t="e">
        <f t="shared" si="48"/>
        <v>#DIV/0!</v>
      </c>
      <c r="L131" s="43" t="e">
        <f t="shared" si="49"/>
        <v>#DIV/0!</v>
      </c>
      <c r="M131" s="43" t="e">
        <f t="shared" si="50"/>
        <v>#DIV/0!</v>
      </c>
      <c r="N131" s="43" t="e">
        <f t="shared" si="51"/>
        <v>#DIV/0!</v>
      </c>
      <c r="O131" s="43" t="e">
        <f t="shared" si="52"/>
        <v>#DIV/0!</v>
      </c>
      <c r="P131" s="43" t="e">
        <f t="shared" si="53"/>
        <v>#DIV/0!</v>
      </c>
      <c r="Q131" s="43" t="e">
        <f t="shared" si="54"/>
        <v>#DIV/0!</v>
      </c>
      <c r="R131" s="43" t="e">
        <f t="shared" si="55"/>
        <v>#DIV/0!</v>
      </c>
      <c r="S131" s="43" t="e">
        <f t="shared" si="56"/>
        <v>#DIV/0!</v>
      </c>
      <c r="T131" s="43" t="e">
        <f t="shared" si="57"/>
        <v>#DIV/0!</v>
      </c>
      <c r="U131" s="43" t="e">
        <f t="shared" si="58"/>
        <v>#DIV/0!</v>
      </c>
      <c r="V131" s="53" t="e">
        <f>V130+ATM_Conf!$C$5*(B130)/(B318*V318)</f>
        <v>#DIV/0!</v>
      </c>
      <c r="W131" s="53" t="e">
        <f>W130+ATM_Conf!$C$5*(C130-B130)/(C318*W318)</f>
        <v>#DIV/0!</v>
      </c>
      <c r="X131" s="53" t="e">
        <f>X130+ATM_Conf!$C$5*(D130-C130)/(D318*X318)</f>
        <v>#DIV/0!</v>
      </c>
      <c r="Y131" s="53" t="e">
        <f>Y130+ATM_Conf!$C$5*(E130-D130)/(E318*Y318)</f>
        <v>#DIV/0!</v>
      </c>
      <c r="Z131" s="53" t="e">
        <f>Z130+ATM_Conf!$C$5*(F130-E130)/(F318*Z318)</f>
        <v>#DIV/0!</v>
      </c>
      <c r="AA131" s="53" t="e">
        <f>AA130+ATM_Conf!$C$5*(G130-F130)/(G318*AA318)</f>
        <v>#DIV/0!</v>
      </c>
      <c r="AB131" s="53" t="e">
        <f>AB130+ATM_Conf!$C$5*(H130-G130)/(H318*AB318)</f>
        <v>#DIV/0!</v>
      </c>
      <c r="AC131" s="53" t="e">
        <f>AC130+ATM_Conf!$C$5*(I130-H130)/(I318*AC318)</f>
        <v>#DIV/0!</v>
      </c>
      <c r="AD131" s="53" t="e">
        <f>AD130+ATM_Conf!$C$5*(J130-I130)/(J318*AD318)</f>
        <v>#DIV/0!</v>
      </c>
      <c r="AE131" s="53" t="e">
        <f>AE130+ATM_Conf!$C$5*(K130-J130)/(K318*AE318)</f>
        <v>#DIV/0!</v>
      </c>
      <c r="AF131" s="53" t="e">
        <f>AF130+ATM_Conf!$C$5*(L130)/(L318*AF318)</f>
        <v>#DIV/0!</v>
      </c>
      <c r="AG131" s="53" t="e">
        <f>AG130+ATM_Conf!$C$5*(M130-L130)/(M318*AG318)</f>
        <v>#DIV/0!</v>
      </c>
      <c r="AH131" s="53" t="e">
        <f>AH130+ATM_Conf!$C$5*(N130-M130)/(N318*AH318)</f>
        <v>#DIV/0!</v>
      </c>
      <c r="AI131" s="53" t="e">
        <f>AI130+ATM_Conf!$C$5*(O130-N130)/(O318*AI318)</f>
        <v>#DIV/0!</v>
      </c>
      <c r="AJ131" s="53" t="e">
        <f>AJ130+ATM_Conf!$C$5*(P130-O130)/(P318*AJ318)</f>
        <v>#DIV/0!</v>
      </c>
      <c r="AK131" s="53" t="e">
        <f>AK130+ATM_Conf!$C$5*(Q130-P130)/(Q318*AK318)</f>
        <v>#DIV/0!</v>
      </c>
      <c r="AL131" s="53" t="e">
        <f>AL130+ATM_Conf!$C$5*(R130-Q130)/(R318*AL318)</f>
        <v>#DIV/0!</v>
      </c>
      <c r="AM131" s="53" t="e">
        <f>AM130+ATM_Conf!$C$5*(S130-R130)/(S318*AM318)</f>
        <v>#DIV/0!</v>
      </c>
      <c r="AN131" s="53" t="e">
        <f>AN130+ATM_Conf!$C$5*(T130-S130)/(T318*AN318)</f>
        <v>#DIV/0!</v>
      </c>
      <c r="AO131" s="53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43">
        <f t="shared" si="73"/>
        <v>0</v>
      </c>
      <c r="DS131" s="43">
        <f t="shared" si="72"/>
        <v>0</v>
      </c>
      <c r="DT131" s="43">
        <f t="shared" si="72"/>
        <v>0</v>
      </c>
      <c r="DU131" s="43">
        <f t="shared" si="72"/>
        <v>0</v>
      </c>
      <c r="DV131" s="43">
        <f t="shared" si="72"/>
        <v>0</v>
      </c>
      <c r="DW131" s="43">
        <f t="shared" si="72"/>
        <v>0</v>
      </c>
      <c r="DX131" s="43">
        <f t="shared" si="72"/>
        <v>0</v>
      </c>
      <c r="DY131" s="43">
        <f t="shared" si="72"/>
        <v>0</v>
      </c>
      <c r="DZ131" s="43">
        <f t="shared" si="72"/>
        <v>0</v>
      </c>
      <c r="EA131" s="43">
        <f t="shared" si="72"/>
        <v>0</v>
      </c>
      <c r="EB131" s="43">
        <f t="shared" si="72"/>
        <v>0</v>
      </c>
      <c r="EC131" s="43">
        <f t="shared" si="72"/>
        <v>0</v>
      </c>
      <c r="ED131" s="43">
        <f t="shared" si="72"/>
        <v>0</v>
      </c>
      <c r="EE131" s="43">
        <f t="shared" si="72"/>
        <v>0</v>
      </c>
      <c r="EF131" s="43">
        <f t="shared" si="72"/>
        <v>0</v>
      </c>
      <c r="EG131" s="43">
        <f t="shared" si="72"/>
        <v>0</v>
      </c>
      <c r="EH131" s="43">
        <f t="shared" si="72"/>
        <v>0</v>
      </c>
      <c r="EI131" s="43">
        <f t="shared" si="72"/>
        <v>0</v>
      </c>
      <c r="EJ131" s="43">
        <f t="shared" si="72"/>
        <v>0</v>
      </c>
      <c r="EK131" s="43">
        <f t="shared" si="72"/>
        <v>0</v>
      </c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47"/>
      <c r="FA131" s="47"/>
      <c r="FB131" s="47"/>
      <c r="FC131" s="47"/>
      <c r="FD131" s="47"/>
      <c r="FE131" s="47"/>
    </row>
    <row r="132" spans="1:161" ht="14.25" x14ac:dyDescent="0.15">
      <c r="A132" s="46"/>
      <c r="B132" s="43" t="e">
        <f t="shared" ref="B132:B182" si="74">V132*AP132</f>
        <v>#DIV/0!</v>
      </c>
      <c r="C132" s="43" t="e">
        <f t="shared" ref="C132:C182" si="75">W132*AQ132</f>
        <v>#DIV/0!</v>
      </c>
      <c r="D132" s="43" t="e">
        <f t="shared" ref="D132:D182" si="76">X132*AR132</f>
        <v>#DIV/0!</v>
      </c>
      <c r="E132" s="43" t="e">
        <f t="shared" ref="E132:E182" si="77">Y132*AS132</f>
        <v>#DIV/0!</v>
      </c>
      <c r="F132" s="43" t="e">
        <f t="shared" ref="F132:F182" si="78">Z132*AT132</f>
        <v>#DIV/0!</v>
      </c>
      <c r="G132" s="43" t="e">
        <f t="shared" ref="G132:G182" si="79">AA132*AU132</f>
        <v>#DIV/0!</v>
      </c>
      <c r="H132" s="43" t="e">
        <f t="shared" ref="H132:H182" si="80">AB132*AV132</f>
        <v>#DIV/0!</v>
      </c>
      <c r="I132" s="43" t="e">
        <f t="shared" ref="I132:I182" si="81">AC132*AW132</f>
        <v>#DIV/0!</v>
      </c>
      <c r="J132" s="43" t="e">
        <f t="shared" ref="J132:J182" si="82">AD132*AX132</f>
        <v>#DIV/0!</v>
      </c>
      <c r="K132" s="43" t="e">
        <f t="shared" ref="K132:K182" si="83">AE132*AY132</f>
        <v>#DIV/0!</v>
      </c>
      <c r="L132" s="43" t="e">
        <f t="shared" ref="L132:L182" si="84">AF132*AZ132</f>
        <v>#DIV/0!</v>
      </c>
      <c r="M132" s="43" t="e">
        <f t="shared" ref="M132:M182" si="85">AG132*BA132</f>
        <v>#DIV/0!</v>
      </c>
      <c r="N132" s="43" t="e">
        <f t="shared" ref="N132:N182" si="86">AH132*BB132</f>
        <v>#DIV/0!</v>
      </c>
      <c r="O132" s="43" t="e">
        <f t="shared" ref="O132:O182" si="87">AI132*BC132</f>
        <v>#DIV/0!</v>
      </c>
      <c r="P132" s="43" t="e">
        <f t="shared" ref="P132:P182" si="88">AJ132*BD132</f>
        <v>#DIV/0!</v>
      </c>
      <c r="Q132" s="43" t="e">
        <f t="shared" ref="Q132:Q182" si="89">AK132*BE132</f>
        <v>#DIV/0!</v>
      </c>
      <c r="R132" s="43" t="e">
        <f t="shared" ref="R132:R182" si="90">AL132*BF132</f>
        <v>#DIV/0!</v>
      </c>
      <c r="S132" s="43" t="e">
        <f t="shared" ref="S132:S182" si="91">AM132*BG132</f>
        <v>#DIV/0!</v>
      </c>
      <c r="T132" s="43" t="e">
        <f t="shared" ref="T132:T182" si="92">AN132*BH132</f>
        <v>#DIV/0!</v>
      </c>
      <c r="U132" s="43" t="e">
        <f t="shared" ref="U132:U182" si="93">AO132*BI132</f>
        <v>#DIV/0!</v>
      </c>
      <c r="V132" s="53" t="e">
        <f>V131+ATM_Conf!$C$5*(B131)/(B319*V319)</f>
        <v>#DIV/0!</v>
      </c>
      <c r="W132" s="53" t="e">
        <f>W131+ATM_Conf!$C$5*(C131-B131)/(C319*W319)</f>
        <v>#DIV/0!</v>
      </c>
      <c r="X132" s="53" t="e">
        <f>X131+ATM_Conf!$C$5*(D131-C131)/(D319*X319)</f>
        <v>#DIV/0!</v>
      </c>
      <c r="Y132" s="53" t="e">
        <f>Y131+ATM_Conf!$C$5*(E131-D131)/(E319*Y319)</f>
        <v>#DIV/0!</v>
      </c>
      <c r="Z132" s="53" t="e">
        <f>Z131+ATM_Conf!$C$5*(F131-E131)/(F319*Z319)</f>
        <v>#DIV/0!</v>
      </c>
      <c r="AA132" s="53" t="e">
        <f>AA131+ATM_Conf!$C$5*(G131-F131)/(G319*AA319)</f>
        <v>#DIV/0!</v>
      </c>
      <c r="AB132" s="53" t="e">
        <f>AB131+ATM_Conf!$C$5*(H131-G131)/(H319*AB319)</f>
        <v>#DIV/0!</v>
      </c>
      <c r="AC132" s="53" t="e">
        <f>AC131+ATM_Conf!$C$5*(I131-H131)/(I319*AC319)</f>
        <v>#DIV/0!</v>
      </c>
      <c r="AD132" s="53" t="e">
        <f>AD131+ATM_Conf!$C$5*(J131-I131)/(J319*AD319)</f>
        <v>#DIV/0!</v>
      </c>
      <c r="AE132" s="53" t="e">
        <f>AE131+ATM_Conf!$C$5*(K131-J131)/(K319*AE319)</f>
        <v>#DIV/0!</v>
      </c>
      <c r="AF132" s="53" t="e">
        <f>AF131+ATM_Conf!$C$5*(L131)/(L319*AF319)</f>
        <v>#DIV/0!</v>
      </c>
      <c r="AG132" s="53" t="e">
        <f>AG131+ATM_Conf!$C$5*(M131-L131)/(M319*AG319)</f>
        <v>#DIV/0!</v>
      </c>
      <c r="AH132" s="53" t="e">
        <f>AH131+ATM_Conf!$C$5*(N131-M131)/(N319*AH319)</f>
        <v>#DIV/0!</v>
      </c>
      <c r="AI132" s="53" t="e">
        <f>AI131+ATM_Conf!$C$5*(O131-N131)/(O319*AI319)</f>
        <v>#DIV/0!</v>
      </c>
      <c r="AJ132" s="53" t="e">
        <f>AJ131+ATM_Conf!$C$5*(P131-O131)/(P319*AJ319)</f>
        <v>#DIV/0!</v>
      </c>
      <c r="AK132" s="53" t="e">
        <f>AK131+ATM_Conf!$C$5*(Q131-P131)/(Q319*AK319)</f>
        <v>#DIV/0!</v>
      </c>
      <c r="AL132" s="53" t="e">
        <f>AL131+ATM_Conf!$C$5*(R131-Q131)/(R319*AL319)</f>
        <v>#DIV/0!</v>
      </c>
      <c r="AM132" s="53" t="e">
        <f>AM131+ATM_Conf!$C$5*(S131-R131)/(S319*AM319)</f>
        <v>#DIV/0!</v>
      </c>
      <c r="AN132" s="53" t="e">
        <f>AN131+ATM_Conf!$C$5*(T131-S131)/(T319*AN319)</f>
        <v>#DIV/0!</v>
      </c>
      <c r="AO132" s="53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43">
        <f t="shared" si="73"/>
        <v>0</v>
      </c>
      <c r="DS132" s="43">
        <f t="shared" si="72"/>
        <v>0</v>
      </c>
      <c r="DT132" s="43">
        <f t="shared" si="72"/>
        <v>0</v>
      </c>
      <c r="DU132" s="43">
        <f t="shared" si="72"/>
        <v>0</v>
      </c>
      <c r="DV132" s="43">
        <f t="shared" si="72"/>
        <v>0</v>
      </c>
      <c r="DW132" s="43">
        <f t="shared" si="72"/>
        <v>0</v>
      </c>
      <c r="DX132" s="43">
        <f t="shared" si="72"/>
        <v>0</v>
      </c>
      <c r="DY132" s="43">
        <f t="shared" si="72"/>
        <v>0</v>
      </c>
      <c r="DZ132" s="43">
        <f t="shared" si="72"/>
        <v>0</v>
      </c>
      <c r="EA132" s="43">
        <f t="shared" si="72"/>
        <v>0</v>
      </c>
      <c r="EB132" s="43">
        <f t="shared" si="72"/>
        <v>0</v>
      </c>
      <c r="EC132" s="43">
        <f t="shared" si="72"/>
        <v>0</v>
      </c>
      <c r="ED132" s="43">
        <f t="shared" si="72"/>
        <v>0</v>
      </c>
      <c r="EE132" s="43">
        <f t="shared" si="72"/>
        <v>0</v>
      </c>
      <c r="EF132" s="43">
        <f t="shared" si="72"/>
        <v>0</v>
      </c>
      <c r="EG132" s="43">
        <f t="shared" si="72"/>
        <v>0</v>
      </c>
      <c r="EH132" s="43">
        <f t="shared" si="72"/>
        <v>0</v>
      </c>
      <c r="EI132" s="43">
        <f t="shared" si="72"/>
        <v>0</v>
      </c>
      <c r="EJ132" s="43">
        <f t="shared" si="72"/>
        <v>0</v>
      </c>
      <c r="EK132" s="43">
        <f t="shared" si="72"/>
        <v>0</v>
      </c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47"/>
      <c r="FA132" s="47"/>
      <c r="FB132" s="47"/>
      <c r="FC132" s="47"/>
      <c r="FD132" s="47"/>
      <c r="FE132" s="47"/>
    </row>
    <row r="133" spans="1:161" ht="14.25" x14ac:dyDescent="0.15">
      <c r="A133" s="46"/>
      <c r="B133" s="43" t="e">
        <f t="shared" si="74"/>
        <v>#DIV/0!</v>
      </c>
      <c r="C133" s="43" t="e">
        <f t="shared" si="75"/>
        <v>#DIV/0!</v>
      </c>
      <c r="D133" s="43" t="e">
        <f t="shared" si="76"/>
        <v>#DIV/0!</v>
      </c>
      <c r="E133" s="43" t="e">
        <f t="shared" si="77"/>
        <v>#DIV/0!</v>
      </c>
      <c r="F133" s="43" t="e">
        <f t="shared" si="78"/>
        <v>#DIV/0!</v>
      </c>
      <c r="G133" s="43" t="e">
        <f t="shared" si="79"/>
        <v>#DIV/0!</v>
      </c>
      <c r="H133" s="43" t="e">
        <f t="shared" si="80"/>
        <v>#DIV/0!</v>
      </c>
      <c r="I133" s="43" t="e">
        <f t="shared" si="81"/>
        <v>#DIV/0!</v>
      </c>
      <c r="J133" s="43" t="e">
        <f t="shared" si="82"/>
        <v>#DIV/0!</v>
      </c>
      <c r="K133" s="43" t="e">
        <f t="shared" si="83"/>
        <v>#DIV/0!</v>
      </c>
      <c r="L133" s="43" t="e">
        <f t="shared" si="84"/>
        <v>#DIV/0!</v>
      </c>
      <c r="M133" s="43" t="e">
        <f t="shared" si="85"/>
        <v>#DIV/0!</v>
      </c>
      <c r="N133" s="43" t="e">
        <f t="shared" si="86"/>
        <v>#DIV/0!</v>
      </c>
      <c r="O133" s="43" t="e">
        <f t="shared" si="87"/>
        <v>#DIV/0!</v>
      </c>
      <c r="P133" s="43" t="e">
        <f t="shared" si="88"/>
        <v>#DIV/0!</v>
      </c>
      <c r="Q133" s="43" t="e">
        <f t="shared" si="89"/>
        <v>#DIV/0!</v>
      </c>
      <c r="R133" s="43" t="e">
        <f t="shared" si="90"/>
        <v>#DIV/0!</v>
      </c>
      <c r="S133" s="43" t="e">
        <f t="shared" si="91"/>
        <v>#DIV/0!</v>
      </c>
      <c r="T133" s="43" t="e">
        <f t="shared" si="92"/>
        <v>#DIV/0!</v>
      </c>
      <c r="U133" s="43" t="e">
        <f t="shared" si="93"/>
        <v>#DIV/0!</v>
      </c>
      <c r="V133" s="53" t="e">
        <f>V132+ATM_Conf!$C$5*(B132)/(B320*V320)</f>
        <v>#DIV/0!</v>
      </c>
      <c r="W133" s="53" t="e">
        <f>W132+ATM_Conf!$C$5*(C132-B132)/(C320*W320)</f>
        <v>#DIV/0!</v>
      </c>
      <c r="X133" s="53" t="e">
        <f>X132+ATM_Conf!$C$5*(D132-C132)/(D320*X320)</f>
        <v>#DIV/0!</v>
      </c>
      <c r="Y133" s="53" t="e">
        <f>Y132+ATM_Conf!$C$5*(E132-D132)/(E320*Y320)</f>
        <v>#DIV/0!</v>
      </c>
      <c r="Z133" s="53" t="e">
        <f>Z132+ATM_Conf!$C$5*(F132-E132)/(F320*Z320)</f>
        <v>#DIV/0!</v>
      </c>
      <c r="AA133" s="53" t="e">
        <f>AA132+ATM_Conf!$C$5*(G132-F132)/(G320*AA320)</f>
        <v>#DIV/0!</v>
      </c>
      <c r="AB133" s="53" t="e">
        <f>AB132+ATM_Conf!$C$5*(H132-G132)/(H320*AB320)</f>
        <v>#DIV/0!</v>
      </c>
      <c r="AC133" s="53" t="e">
        <f>AC132+ATM_Conf!$C$5*(I132-H132)/(I320*AC320)</f>
        <v>#DIV/0!</v>
      </c>
      <c r="AD133" s="53" t="e">
        <f>AD132+ATM_Conf!$C$5*(J132-I132)/(J320*AD320)</f>
        <v>#DIV/0!</v>
      </c>
      <c r="AE133" s="53" t="e">
        <f>AE132+ATM_Conf!$C$5*(K132-J132)/(K320*AE320)</f>
        <v>#DIV/0!</v>
      </c>
      <c r="AF133" s="53" t="e">
        <f>AF132+ATM_Conf!$C$5*(L132)/(L320*AF320)</f>
        <v>#DIV/0!</v>
      </c>
      <c r="AG133" s="53" t="e">
        <f>AG132+ATM_Conf!$C$5*(M132-L132)/(M320*AG320)</f>
        <v>#DIV/0!</v>
      </c>
      <c r="AH133" s="53" t="e">
        <f>AH132+ATM_Conf!$C$5*(N132-M132)/(N320*AH320)</f>
        <v>#DIV/0!</v>
      </c>
      <c r="AI133" s="53" t="e">
        <f>AI132+ATM_Conf!$C$5*(O132-N132)/(O320*AI320)</f>
        <v>#DIV/0!</v>
      </c>
      <c r="AJ133" s="53" t="e">
        <f>AJ132+ATM_Conf!$C$5*(P132-O132)/(P320*AJ320)</f>
        <v>#DIV/0!</v>
      </c>
      <c r="AK133" s="53" t="e">
        <f>AK132+ATM_Conf!$C$5*(Q132-P132)/(Q320*AK320)</f>
        <v>#DIV/0!</v>
      </c>
      <c r="AL133" s="53" t="e">
        <f>AL132+ATM_Conf!$C$5*(R132-Q132)/(R320*AL320)</f>
        <v>#DIV/0!</v>
      </c>
      <c r="AM133" s="53" t="e">
        <f>AM132+ATM_Conf!$C$5*(S132-R132)/(S320*AM320)</f>
        <v>#DIV/0!</v>
      </c>
      <c r="AN133" s="53" t="e">
        <f>AN132+ATM_Conf!$C$5*(T132-S132)/(T320*AN320)</f>
        <v>#DIV/0!</v>
      </c>
      <c r="AO133" s="53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43">
        <f t="shared" si="73"/>
        <v>0</v>
      </c>
      <c r="DS133" s="43">
        <f t="shared" si="72"/>
        <v>0</v>
      </c>
      <c r="DT133" s="43">
        <f t="shared" si="72"/>
        <v>0</v>
      </c>
      <c r="DU133" s="43">
        <f t="shared" si="72"/>
        <v>0</v>
      </c>
      <c r="DV133" s="43">
        <f t="shared" si="72"/>
        <v>0</v>
      </c>
      <c r="DW133" s="43">
        <f t="shared" si="72"/>
        <v>0</v>
      </c>
      <c r="DX133" s="43">
        <f t="shared" si="72"/>
        <v>0</v>
      </c>
      <c r="DY133" s="43">
        <f t="shared" si="72"/>
        <v>0</v>
      </c>
      <c r="DZ133" s="43">
        <f t="shared" si="72"/>
        <v>0</v>
      </c>
      <c r="EA133" s="43">
        <f t="shared" si="72"/>
        <v>0</v>
      </c>
      <c r="EB133" s="43">
        <f t="shared" si="72"/>
        <v>0</v>
      </c>
      <c r="EC133" s="43">
        <f t="shared" si="72"/>
        <v>0</v>
      </c>
      <c r="ED133" s="43">
        <f t="shared" si="72"/>
        <v>0</v>
      </c>
      <c r="EE133" s="43">
        <f t="shared" si="72"/>
        <v>0</v>
      </c>
      <c r="EF133" s="43">
        <f t="shared" si="72"/>
        <v>0</v>
      </c>
      <c r="EG133" s="43">
        <f t="shared" si="72"/>
        <v>0</v>
      </c>
      <c r="EH133" s="43">
        <f t="shared" si="72"/>
        <v>0</v>
      </c>
      <c r="EI133" s="43">
        <f t="shared" si="72"/>
        <v>0</v>
      </c>
      <c r="EJ133" s="43">
        <f t="shared" si="72"/>
        <v>0</v>
      </c>
      <c r="EK133" s="43">
        <f t="shared" si="72"/>
        <v>0</v>
      </c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47"/>
      <c r="FA133" s="47"/>
      <c r="FB133" s="47"/>
      <c r="FC133" s="47"/>
      <c r="FD133" s="47"/>
      <c r="FE133" s="47"/>
    </row>
    <row r="134" spans="1:161" ht="14.25" x14ac:dyDescent="0.15">
      <c r="A134" s="46"/>
      <c r="B134" s="43" t="e">
        <f t="shared" si="74"/>
        <v>#DIV/0!</v>
      </c>
      <c r="C134" s="43" t="e">
        <f t="shared" si="75"/>
        <v>#DIV/0!</v>
      </c>
      <c r="D134" s="43" t="e">
        <f t="shared" si="76"/>
        <v>#DIV/0!</v>
      </c>
      <c r="E134" s="43" t="e">
        <f t="shared" si="77"/>
        <v>#DIV/0!</v>
      </c>
      <c r="F134" s="43" t="e">
        <f t="shared" si="78"/>
        <v>#DIV/0!</v>
      </c>
      <c r="G134" s="43" t="e">
        <f t="shared" si="79"/>
        <v>#DIV/0!</v>
      </c>
      <c r="H134" s="43" t="e">
        <f t="shared" si="80"/>
        <v>#DIV/0!</v>
      </c>
      <c r="I134" s="43" t="e">
        <f t="shared" si="81"/>
        <v>#DIV/0!</v>
      </c>
      <c r="J134" s="43" t="e">
        <f t="shared" si="82"/>
        <v>#DIV/0!</v>
      </c>
      <c r="K134" s="43" t="e">
        <f t="shared" si="83"/>
        <v>#DIV/0!</v>
      </c>
      <c r="L134" s="43" t="e">
        <f t="shared" si="84"/>
        <v>#DIV/0!</v>
      </c>
      <c r="M134" s="43" t="e">
        <f t="shared" si="85"/>
        <v>#DIV/0!</v>
      </c>
      <c r="N134" s="43" t="e">
        <f t="shared" si="86"/>
        <v>#DIV/0!</v>
      </c>
      <c r="O134" s="43" t="e">
        <f t="shared" si="87"/>
        <v>#DIV/0!</v>
      </c>
      <c r="P134" s="43" t="e">
        <f t="shared" si="88"/>
        <v>#DIV/0!</v>
      </c>
      <c r="Q134" s="43" t="e">
        <f t="shared" si="89"/>
        <v>#DIV/0!</v>
      </c>
      <c r="R134" s="43" t="e">
        <f t="shared" si="90"/>
        <v>#DIV/0!</v>
      </c>
      <c r="S134" s="43" t="e">
        <f t="shared" si="91"/>
        <v>#DIV/0!</v>
      </c>
      <c r="T134" s="43" t="e">
        <f t="shared" si="92"/>
        <v>#DIV/0!</v>
      </c>
      <c r="U134" s="43" t="e">
        <f t="shared" si="93"/>
        <v>#DIV/0!</v>
      </c>
      <c r="V134" s="53" t="e">
        <f>V133+ATM_Conf!$C$5*(B133)/(B321*V321)</f>
        <v>#DIV/0!</v>
      </c>
      <c r="W134" s="53" t="e">
        <f>W133+ATM_Conf!$C$5*(C133-B133)/(C321*W321)</f>
        <v>#DIV/0!</v>
      </c>
      <c r="X134" s="53" t="e">
        <f>X133+ATM_Conf!$C$5*(D133-C133)/(D321*X321)</f>
        <v>#DIV/0!</v>
      </c>
      <c r="Y134" s="53" t="e">
        <f>Y133+ATM_Conf!$C$5*(E133-D133)/(E321*Y321)</f>
        <v>#DIV/0!</v>
      </c>
      <c r="Z134" s="53" t="e">
        <f>Z133+ATM_Conf!$C$5*(F133-E133)/(F321*Z321)</f>
        <v>#DIV/0!</v>
      </c>
      <c r="AA134" s="53" t="e">
        <f>AA133+ATM_Conf!$C$5*(G133-F133)/(G321*AA321)</f>
        <v>#DIV/0!</v>
      </c>
      <c r="AB134" s="53" t="e">
        <f>AB133+ATM_Conf!$C$5*(H133-G133)/(H321*AB321)</f>
        <v>#DIV/0!</v>
      </c>
      <c r="AC134" s="53" t="e">
        <f>AC133+ATM_Conf!$C$5*(I133-H133)/(I321*AC321)</f>
        <v>#DIV/0!</v>
      </c>
      <c r="AD134" s="53" t="e">
        <f>AD133+ATM_Conf!$C$5*(J133-I133)/(J321*AD321)</f>
        <v>#DIV/0!</v>
      </c>
      <c r="AE134" s="53" t="e">
        <f>AE133+ATM_Conf!$C$5*(K133-J133)/(K321*AE321)</f>
        <v>#DIV/0!</v>
      </c>
      <c r="AF134" s="53" t="e">
        <f>AF133+ATM_Conf!$C$5*(L133)/(L321*AF321)</f>
        <v>#DIV/0!</v>
      </c>
      <c r="AG134" s="53" t="e">
        <f>AG133+ATM_Conf!$C$5*(M133-L133)/(M321*AG321)</f>
        <v>#DIV/0!</v>
      </c>
      <c r="AH134" s="53" t="e">
        <f>AH133+ATM_Conf!$C$5*(N133-M133)/(N321*AH321)</f>
        <v>#DIV/0!</v>
      </c>
      <c r="AI134" s="53" t="e">
        <f>AI133+ATM_Conf!$C$5*(O133-N133)/(O321*AI321)</f>
        <v>#DIV/0!</v>
      </c>
      <c r="AJ134" s="53" t="e">
        <f>AJ133+ATM_Conf!$C$5*(P133-O133)/(P321*AJ321)</f>
        <v>#DIV/0!</v>
      </c>
      <c r="AK134" s="53" t="e">
        <f>AK133+ATM_Conf!$C$5*(Q133-P133)/(Q321*AK321)</f>
        <v>#DIV/0!</v>
      </c>
      <c r="AL134" s="53" t="e">
        <f>AL133+ATM_Conf!$C$5*(R133-Q133)/(R321*AL321)</f>
        <v>#DIV/0!</v>
      </c>
      <c r="AM134" s="53" t="e">
        <f>AM133+ATM_Conf!$C$5*(S133-R133)/(S321*AM321)</f>
        <v>#DIV/0!</v>
      </c>
      <c r="AN134" s="53" t="e">
        <f>AN133+ATM_Conf!$C$5*(T133-S133)/(T321*AN321)</f>
        <v>#DIV/0!</v>
      </c>
      <c r="AO134" s="53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43">
        <f t="shared" si="73"/>
        <v>0</v>
      </c>
      <c r="DS134" s="43">
        <f t="shared" si="72"/>
        <v>0</v>
      </c>
      <c r="DT134" s="43">
        <f t="shared" si="72"/>
        <v>0</v>
      </c>
      <c r="DU134" s="43">
        <f t="shared" si="72"/>
        <v>0</v>
      </c>
      <c r="DV134" s="43">
        <f t="shared" si="72"/>
        <v>0</v>
      </c>
      <c r="DW134" s="43">
        <f t="shared" si="72"/>
        <v>0</v>
      </c>
      <c r="DX134" s="43">
        <f t="shared" si="72"/>
        <v>0</v>
      </c>
      <c r="DY134" s="43">
        <f t="shared" si="72"/>
        <v>0</v>
      </c>
      <c r="DZ134" s="43">
        <f t="shared" si="72"/>
        <v>0</v>
      </c>
      <c r="EA134" s="43">
        <f t="shared" si="72"/>
        <v>0</v>
      </c>
      <c r="EB134" s="43">
        <f t="shared" si="72"/>
        <v>0</v>
      </c>
      <c r="EC134" s="43">
        <f t="shared" si="72"/>
        <v>0</v>
      </c>
      <c r="ED134" s="43">
        <f t="shared" si="72"/>
        <v>0</v>
      </c>
      <c r="EE134" s="43">
        <f t="shared" si="72"/>
        <v>0</v>
      </c>
      <c r="EF134" s="43">
        <f t="shared" si="72"/>
        <v>0</v>
      </c>
      <c r="EG134" s="43">
        <f t="shared" si="72"/>
        <v>0</v>
      </c>
      <c r="EH134" s="43">
        <f t="shared" si="72"/>
        <v>0</v>
      </c>
      <c r="EI134" s="43">
        <f t="shared" si="72"/>
        <v>0</v>
      </c>
      <c r="EJ134" s="43">
        <f t="shared" si="72"/>
        <v>0</v>
      </c>
      <c r="EK134" s="43">
        <f t="shared" si="72"/>
        <v>0</v>
      </c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47"/>
      <c r="FA134" s="47"/>
      <c r="FB134" s="47"/>
      <c r="FC134" s="47"/>
      <c r="FD134" s="47"/>
      <c r="FE134" s="47"/>
    </row>
    <row r="135" spans="1:161" ht="14.25" x14ac:dyDescent="0.15">
      <c r="A135" s="46"/>
      <c r="B135" s="43" t="e">
        <f t="shared" si="74"/>
        <v>#DIV/0!</v>
      </c>
      <c r="C135" s="43" t="e">
        <f t="shared" si="75"/>
        <v>#DIV/0!</v>
      </c>
      <c r="D135" s="43" t="e">
        <f t="shared" si="76"/>
        <v>#DIV/0!</v>
      </c>
      <c r="E135" s="43" t="e">
        <f t="shared" si="77"/>
        <v>#DIV/0!</v>
      </c>
      <c r="F135" s="43" t="e">
        <f t="shared" si="78"/>
        <v>#DIV/0!</v>
      </c>
      <c r="G135" s="43" t="e">
        <f t="shared" si="79"/>
        <v>#DIV/0!</v>
      </c>
      <c r="H135" s="43" t="e">
        <f t="shared" si="80"/>
        <v>#DIV/0!</v>
      </c>
      <c r="I135" s="43" t="e">
        <f t="shared" si="81"/>
        <v>#DIV/0!</v>
      </c>
      <c r="J135" s="43" t="e">
        <f t="shared" si="82"/>
        <v>#DIV/0!</v>
      </c>
      <c r="K135" s="43" t="e">
        <f t="shared" si="83"/>
        <v>#DIV/0!</v>
      </c>
      <c r="L135" s="43" t="e">
        <f t="shared" si="84"/>
        <v>#DIV/0!</v>
      </c>
      <c r="M135" s="43" t="e">
        <f t="shared" si="85"/>
        <v>#DIV/0!</v>
      </c>
      <c r="N135" s="43" t="e">
        <f t="shared" si="86"/>
        <v>#DIV/0!</v>
      </c>
      <c r="O135" s="43" t="e">
        <f t="shared" si="87"/>
        <v>#DIV/0!</v>
      </c>
      <c r="P135" s="43" t="e">
        <f t="shared" si="88"/>
        <v>#DIV/0!</v>
      </c>
      <c r="Q135" s="43" t="e">
        <f t="shared" si="89"/>
        <v>#DIV/0!</v>
      </c>
      <c r="R135" s="43" t="e">
        <f t="shared" si="90"/>
        <v>#DIV/0!</v>
      </c>
      <c r="S135" s="43" t="e">
        <f t="shared" si="91"/>
        <v>#DIV/0!</v>
      </c>
      <c r="T135" s="43" t="e">
        <f t="shared" si="92"/>
        <v>#DIV/0!</v>
      </c>
      <c r="U135" s="43" t="e">
        <f t="shared" si="93"/>
        <v>#DIV/0!</v>
      </c>
      <c r="V135" s="53" t="e">
        <f>V134+ATM_Conf!$C$5*(B134)/(B322*V322)</f>
        <v>#DIV/0!</v>
      </c>
      <c r="W135" s="53" t="e">
        <f>W134+ATM_Conf!$C$5*(C134-B134)/(C322*W322)</f>
        <v>#DIV/0!</v>
      </c>
      <c r="X135" s="53" t="e">
        <f>X134+ATM_Conf!$C$5*(D134-C134)/(D322*X322)</f>
        <v>#DIV/0!</v>
      </c>
      <c r="Y135" s="53" t="e">
        <f>Y134+ATM_Conf!$C$5*(E134-D134)/(E322*Y322)</f>
        <v>#DIV/0!</v>
      </c>
      <c r="Z135" s="53" t="e">
        <f>Z134+ATM_Conf!$C$5*(F134-E134)/(F322*Z322)</f>
        <v>#DIV/0!</v>
      </c>
      <c r="AA135" s="53" t="e">
        <f>AA134+ATM_Conf!$C$5*(G134-F134)/(G322*AA322)</f>
        <v>#DIV/0!</v>
      </c>
      <c r="AB135" s="53" t="e">
        <f>AB134+ATM_Conf!$C$5*(H134-G134)/(H322*AB322)</f>
        <v>#DIV/0!</v>
      </c>
      <c r="AC135" s="53" t="e">
        <f>AC134+ATM_Conf!$C$5*(I134-H134)/(I322*AC322)</f>
        <v>#DIV/0!</v>
      </c>
      <c r="AD135" s="53" t="e">
        <f>AD134+ATM_Conf!$C$5*(J134-I134)/(J322*AD322)</f>
        <v>#DIV/0!</v>
      </c>
      <c r="AE135" s="53" t="e">
        <f>AE134+ATM_Conf!$C$5*(K134-J134)/(K322*AE322)</f>
        <v>#DIV/0!</v>
      </c>
      <c r="AF135" s="53" t="e">
        <f>AF134+ATM_Conf!$C$5*(L134)/(L322*AF322)</f>
        <v>#DIV/0!</v>
      </c>
      <c r="AG135" s="53" t="e">
        <f>AG134+ATM_Conf!$C$5*(M134-L134)/(M322*AG322)</f>
        <v>#DIV/0!</v>
      </c>
      <c r="AH135" s="53" t="e">
        <f>AH134+ATM_Conf!$C$5*(N134-M134)/(N322*AH322)</f>
        <v>#DIV/0!</v>
      </c>
      <c r="AI135" s="53" t="e">
        <f>AI134+ATM_Conf!$C$5*(O134-N134)/(O322*AI322)</f>
        <v>#DIV/0!</v>
      </c>
      <c r="AJ135" s="53" t="e">
        <f>AJ134+ATM_Conf!$C$5*(P134-O134)/(P322*AJ322)</f>
        <v>#DIV/0!</v>
      </c>
      <c r="AK135" s="53" t="e">
        <f>AK134+ATM_Conf!$C$5*(Q134-P134)/(Q322*AK322)</f>
        <v>#DIV/0!</v>
      </c>
      <c r="AL135" s="53" t="e">
        <f>AL134+ATM_Conf!$C$5*(R134-Q134)/(R322*AL322)</f>
        <v>#DIV/0!</v>
      </c>
      <c r="AM135" s="53" t="e">
        <f>AM134+ATM_Conf!$C$5*(S134-R134)/(S322*AM322)</f>
        <v>#DIV/0!</v>
      </c>
      <c r="AN135" s="53" t="e">
        <f>AN134+ATM_Conf!$C$5*(T134-S134)/(T322*AN322)</f>
        <v>#DIV/0!</v>
      </c>
      <c r="AO135" s="53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62"/>
      <c r="DS135" s="62"/>
      <c r="DT135" s="62"/>
      <c r="DU135" s="62"/>
      <c r="DV135" s="62"/>
      <c r="DW135" s="62"/>
      <c r="DX135" s="62"/>
      <c r="DY135" s="62"/>
      <c r="DZ135" s="62"/>
      <c r="EA135" s="62"/>
      <c r="EB135" s="62"/>
      <c r="EC135" s="62"/>
      <c r="ED135" s="62"/>
      <c r="EE135" s="62"/>
      <c r="EF135" s="62"/>
      <c r="EG135" s="62"/>
      <c r="EH135" s="62"/>
      <c r="EI135" s="62"/>
      <c r="EJ135" s="62"/>
      <c r="EK135" s="62"/>
      <c r="EL135" s="47">
        <f>(DR135-DR123)^2</f>
        <v>0</v>
      </c>
      <c r="EM135" s="47">
        <f t="shared" ref="EM135:FE135" si="94">(DS135-DS123)^2</f>
        <v>0</v>
      </c>
      <c r="EN135" s="47">
        <f t="shared" si="94"/>
        <v>0</v>
      </c>
      <c r="EO135" s="47">
        <f t="shared" si="94"/>
        <v>0</v>
      </c>
      <c r="EP135" s="47">
        <f t="shared" si="94"/>
        <v>0</v>
      </c>
      <c r="EQ135" s="47">
        <f t="shared" si="94"/>
        <v>0</v>
      </c>
      <c r="ER135" s="47">
        <f t="shared" si="94"/>
        <v>0</v>
      </c>
      <c r="ES135" s="47">
        <f t="shared" si="94"/>
        <v>0</v>
      </c>
      <c r="ET135" s="47">
        <f t="shared" si="94"/>
        <v>0</v>
      </c>
      <c r="EU135" s="47">
        <f t="shared" si="94"/>
        <v>0</v>
      </c>
      <c r="EV135" s="47">
        <f t="shared" si="94"/>
        <v>0</v>
      </c>
      <c r="EW135" s="47">
        <f t="shared" si="94"/>
        <v>0</v>
      </c>
      <c r="EX135" s="47">
        <f t="shared" si="94"/>
        <v>0</v>
      </c>
      <c r="EY135" s="47">
        <f t="shared" si="94"/>
        <v>0</v>
      </c>
      <c r="EZ135" s="47">
        <f t="shared" si="94"/>
        <v>0</v>
      </c>
      <c r="FA135" s="47">
        <f t="shared" si="94"/>
        <v>0</v>
      </c>
      <c r="FB135" s="47">
        <f t="shared" si="94"/>
        <v>0</v>
      </c>
      <c r="FC135" s="47">
        <f t="shared" si="94"/>
        <v>0</v>
      </c>
      <c r="FD135" s="47">
        <f t="shared" si="94"/>
        <v>0</v>
      </c>
      <c r="FE135" s="47">
        <f t="shared" si="94"/>
        <v>0</v>
      </c>
    </row>
    <row r="136" spans="1:161" ht="14.25" x14ac:dyDescent="0.15">
      <c r="A136" s="46"/>
      <c r="B136" s="43" t="e">
        <f t="shared" si="74"/>
        <v>#DIV/0!</v>
      </c>
      <c r="C136" s="43" t="e">
        <f t="shared" si="75"/>
        <v>#DIV/0!</v>
      </c>
      <c r="D136" s="43" t="e">
        <f t="shared" si="76"/>
        <v>#DIV/0!</v>
      </c>
      <c r="E136" s="43" t="e">
        <f t="shared" si="77"/>
        <v>#DIV/0!</v>
      </c>
      <c r="F136" s="43" t="e">
        <f t="shared" si="78"/>
        <v>#DIV/0!</v>
      </c>
      <c r="G136" s="43" t="e">
        <f t="shared" si="79"/>
        <v>#DIV/0!</v>
      </c>
      <c r="H136" s="43" t="e">
        <f t="shared" si="80"/>
        <v>#DIV/0!</v>
      </c>
      <c r="I136" s="43" t="e">
        <f t="shared" si="81"/>
        <v>#DIV/0!</v>
      </c>
      <c r="J136" s="43" t="e">
        <f t="shared" si="82"/>
        <v>#DIV/0!</v>
      </c>
      <c r="K136" s="43" t="e">
        <f t="shared" si="83"/>
        <v>#DIV/0!</v>
      </c>
      <c r="L136" s="43" t="e">
        <f t="shared" si="84"/>
        <v>#DIV/0!</v>
      </c>
      <c r="M136" s="43" t="e">
        <f t="shared" si="85"/>
        <v>#DIV/0!</v>
      </c>
      <c r="N136" s="43" t="e">
        <f t="shared" si="86"/>
        <v>#DIV/0!</v>
      </c>
      <c r="O136" s="43" t="e">
        <f t="shared" si="87"/>
        <v>#DIV/0!</v>
      </c>
      <c r="P136" s="43" t="e">
        <f t="shared" si="88"/>
        <v>#DIV/0!</v>
      </c>
      <c r="Q136" s="43" t="e">
        <f t="shared" si="89"/>
        <v>#DIV/0!</v>
      </c>
      <c r="R136" s="43" t="e">
        <f t="shared" si="90"/>
        <v>#DIV/0!</v>
      </c>
      <c r="S136" s="43" t="e">
        <f t="shared" si="91"/>
        <v>#DIV/0!</v>
      </c>
      <c r="T136" s="43" t="e">
        <f t="shared" si="92"/>
        <v>#DIV/0!</v>
      </c>
      <c r="U136" s="43" t="e">
        <f t="shared" si="93"/>
        <v>#DIV/0!</v>
      </c>
      <c r="V136" s="53" t="e">
        <f>V135+ATM_Conf!$C$5*(B135)/(B323*V323)</f>
        <v>#DIV/0!</v>
      </c>
      <c r="W136" s="53" t="e">
        <f>W135+ATM_Conf!$C$5*(C135-B135)/(C323*W323)</f>
        <v>#DIV/0!</v>
      </c>
      <c r="X136" s="53" t="e">
        <f>X135+ATM_Conf!$C$5*(D135-C135)/(D323*X323)</f>
        <v>#DIV/0!</v>
      </c>
      <c r="Y136" s="53" t="e">
        <f>Y135+ATM_Conf!$C$5*(E135-D135)/(E323*Y323)</f>
        <v>#DIV/0!</v>
      </c>
      <c r="Z136" s="53" t="e">
        <f>Z135+ATM_Conf!$C$5*(F135-E135)/(F323*Z323)</f>
        <v>#DIV/0!</v>
      </c>
      <c r="AA136" s="53" t="e">
        <f>AA135+ATM_Conf!$C$5*(G135-F135)/(G323*AA323)</f>
        <v>#DIV/0!</v>
      </c>
      <c r="AB136" s="53" t="e">
        <f>AB135+ATM_Conf!$C$5*(H135-G135)/(H323*AB323)</f>
        <v>#DIV/0!</v>
      </c>
      <c r="AC136" s="53" t="e">
        <f>AC135+ATM_Conf!$C$5*(I135-H135)/(I323*AC323)</f>
        <v>#DIV/0!</v>
      </c>
      <c r="AD136" s="53" t="e">
        <f>AD135+ATM_Conf!$C$5*(J135-I135)/(J323*AD323)</f>
        <v>#DIV/0!</v>
      </c>
      <c r="AE136" s="53" t="e">
        <f>AE135+ATM_Conf!$C$5*(K135-J135)/(K323*AE323)</f>
        <v>#DIV/0!</v>
      </c>
      <c r="AF136" s="53" t="e">
        <f>AF135+ATM_Conf!$C$5*(L135)/(L323*AF323)</f>
        <v>#DIV/0!</v>
      </c>
      <c r="AG136" s="53" t="e">
        <f>AG135+ATM_Conf!$C$5*(M135-L135)/(M323*AG323)</f>
        <v>#DIV/0!</v>
      </c>
      <c r="AH136" s="53" t="e">
        <f>AH135+ATM_Conf!$C$5*(N135-M135)/(N323*AH323)</f>
        <v>#DIV/0!</v>
      </c>
      <c r="AI136" s="53" t="e">
        <f>AI135+ATM_Conf!$C$5*(O135-N135)/(O323*AI323)</f>
        <v>#DIV/0!</v>
      </c>
      <c r="AJ136" s="53" t="e">
        <f>AJ135+ATM_Conf!$C$5*(P135-O135)/(P323*AJ323)</f>
        <v>#DIV/0!</v>
      </c>
      <c r="AK136" s="53" t="e">
        <f>AK135+ATM_Conf!$C$5*(Q135-P135)/(Q323*AK323)</f>
        <v>#DIV/0!</v>
      </c>
      <c r="AL136" s="53" t="e">
        <f>AL135+ATM_Conf!$C$5*(R135-Q135)/(R323*AL323)</f>
        <v>#DIV/0!</v>
      </c>
      <c r="AM136" s="53" t="e">
        <f>AM135+ATM_Conf!$C$5*(S135-R135)/(S323*AM323)</f>
        <v>#DIV/0!</v>
      </c>
      <c r="AN136" s="53" t="e">
        <f>AN135+ATM_Conf!$C$5*(T135-S135)/(T323*AN323)</f>
        <v>#DIV/0!</v>
      </c>
      <c r="AO136" s="53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43">
        <f>DR$135</f>
        <v>0</v>
      </c>
      <c r="DS136" s="43">
        <f t="shared" ref="DS136:EK146" si="95">DS$135</f>
        <v>0</v>
      </c>
      <c r="DT136" s="43">
        <f t="shared" si="95"/>
        <v>0</v>
      </c>
      <c r="DU136" s="43">
        <f t="shared" si="95"/>
        <v>0</v>
      </c>
      <c r="DV136" s="43">
        <f t="shared" si="95"/>
        <v>0</v>
      </c>
      <c r="DW136" s="43">
        <f t="shared" si="95"/>
        <v>0</v>
      </c>
      <c r="DX136" s="43">
        <f t="shared" si="95"/>
        <v>0</v>
      </c>
      <c r="DY136" s="43">
        <f t="shared" si="95"/>
        <v>0</v>
      </c>
      <c r="DZ136" s="43">
        <f t="shared" si="95"/>
        <v>0</v>
      </c>
      <c r="EA136" s="43">
        <f t="shared" si="95"/>
        <v>0</v>
      </c>
      <c r="EB136" s="43">
        <f t="shared" si="95"/>
        <v>0</v>
      </c>
      <c r="EC136" s="43">
        <f t="shared" si="95"/>
        <v>0</v>
      </c>
      <c r="ED136" s="43">
        <f t="shared" si="95"/>
        <v>0</v>
      </c>
      <c r="EE136" s="43">
        <f t="shared" si="95"/>
        <v>0</v>
      </c>
      <c r="EF136" s="43">
        <f t="shared" si="95"/>
        <v>0</v>
      </c>
      <c r="EG136" s="43">
        <f t="shared" si="95"/>
        <v>0</v>
      </c>
      <c r="EH136" s="43">
        <f t="shared" si="95"/>
        <v>0</v>
      </c>
      <c r="EI136" s="43">
        <f t="shared" si="95"/>
        <v>0</v>
      </c>
      <c r="EJ136" s="43">
        <f t="shared" si="95"/>
        <v>0</v>
      </c>
      <c r="EK136" s="43">
        <f t="shared" si="95"/>
        <v>0</v>
      </c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47"/>
      <c r="FA136" s="47"/>
      <c r="FB136" s="47"/>
      <c r="FC136" s="47"/>
      <c r="FD136" s="47"/>
      <c r="FE136" s="47"/>
    </row>
    <row r="137" spans="1:161" ht="14.25" x14ac:dyDescent="0.15">
      <c r="A137" s="46"/>
      <c r="B137" s="43" t="e">
        <f t="shared" si="74"/>
        <v>#DIV/0!</v>
      </c>
      <c r="C137" s="43" t="e">
        <f t="shared" si="75"/>
        <v>#DIV/0!</v>
      </c>
      <c r="D137" s="43" t="e">
        <f t="shared" si="76"/>
        <v>#DIV/0!</v>
      </c>
      <c r="E137" s="43" t="e">
        <f t="shared" si="77"/>
        <v>#DIV/0!</v>
      </c>
      <c r="F137" s="43" t="e">
        <f t="shared" si="78"/>
        <v>#DIV/0!</v>
      </c>
      <c r="G137" s="43" t="e">
        <f t="shared" si="79"/>
        <v>#DIV/0!</v>
      </c>
      <c r="H137" s="43" t="e">
        <f t="shared" si="80"/>
        <v>#DIV/0!</v>
      </c>
      <c r="I137" s="43" t="e">
        <f t="shared" si="81"/>
        <v>#DIV/0!</v>
      </c>
      <c r="J137" s="43" t="e">
        <f t="shared" si="82"/>
        <v>#DIV/0!</v>
      </c>
      <c r="K137" s="43" t="e">
        <f t="shared" si="83"/>
        <v>#DIV/0!</v>
      </c>
      <c r="L137" s="43" t="e">
        <f t="shared" si="84"/>
        <v>#DIV/0!</v>
      </c>
      <c r="M137" s="43" t="e">
        <f t="shared" si="85"/>
        <v>#DIV/0!</v>
      </c>
      <c r="N137" s="43" t="e">
        <f t="shared" si="86"/>
        <v>#DIV/0!</v>
      </c>
      <c r="O137" s="43" t="e">
        <f t="shared" si="87"/>
        <v>#DIV/0!</v>
      </c>
      <c r="P137" s="43" t="e">
        <f t="shared" si="88"/>
        <v>#DIV/0!</v>
      </c>
      <c r="Q137" s="43" t="e">
        <f t="shared" si="89"/>
        <v>#DIV/0!</v>
      </c>
      <c r="R137" s="43" t="e">
        <f t="shared" si="90"/>
        <v>#DIV/0!</v>
      </c>
      <c r="S137" s="43" t="e">
        <f t="shared" si="91"/>
        <v>#DIV/0!</v>
      </c>
      <c r="T137" s="43" t="e">
        <f t="shared" si="92"/>
        <v>#DIV/0!</v>
      </c>
      <c r="U137" s="43" t="e">
        <f t="shared" si="93"/>
        <v>#DIV/0!</v>
      </c>
      <c r="V137" s="53" t="e">
        <f>V136+ATM_Conf!$C$5*(B136)/(B324*V324)</f>
        <v>#DIV/0!</v>
      </c>
      <c r="W137" s="53" t="e">
        <f>W136+ATM_Conf!$C$5*(C136-B136)/(C324*W324)</f>
        <v>#DIV/0!</v>
      </c>
      <c r="X137" s="53" t="e">
        <f>X136+ATM_Conf!$C$5*(D136-C136)/(D324*X324)</f>
        <v>#DIV/0!</v>
      </c>
      <c r="Y137" s="53" t="e">
        <f>Y136+ATM_Conf!$C$5*(E136-D136)/(E324*Y324)</f>
        <v>#DIV/0!</v>
      </c>
      <c r="Z137" s="53" t="e">
        <f>Z136+ATM_Conf!$C$5*(F136-E136)/(F324*Z324)</f>
        <v>#DIV/0!</v>
      </c>
      <c r="AA137" s="53" t="e">
        <f>AA136+ATM_Conf!$C$5*(G136-F136)/(G324*AA324)</f>
        <v>#DIV/0!</v>
      </c>
      <c r="AB137" s="53" t="e">
        <f>AB136+ATM_Conf!$C$5*(H136-G136)/(H324*AB324)</f>
        <v>#DIV/0!</v>
      </c>
      <c r="AC137" s="53" t="e">
        <f>AC136+ATM_Conf!$C$5*(I136-H136)/(I324*AC324)</f>
        <v>#DIV/0!</v>
      </c>
      <c r="AD137" s="53" t="e">
        <f>AD136+ATM_Conf!$C$5*(J136-I136)/(J324*AD324)</f>
        <v>#DIV/0!</v>
      </c>
      <c r="AE137" s="53" t="e">
        <f>AE136+ATM_Conf!$C$5*(K136-J136)/(K324*AE324)</f>
        <v>#DIV/0!</v>
      </c>
      <c r="AF137" s="53" t="e">
        <f>AF136+ATM_Conf!$C$5*(L136)/(L324*AF324)</f>
        <v>#DIV/0!</v>
      </c>
      <c r="AG137" s="53" t="e">
        <f>AG136+ATM_Conf!$C$5*(M136-L136)/(M324*AG324)</f>
        <v>#DIV/0!</v>
      </c>
      <c r="AH137" s="53" t="e">
        <f>AH136+ATM_Conf!$C$5*(N136-M136)/(N324*AH324)</f>
        <v>#DIV/0!</v>
      </c>
      <c r="AI137" s="53" t="e">
        <f>AI136+ATM_Conf!$C$5*(O136-N136)/(O324*AI324)</f>
        <v>#DIV/0!</v>
      </c>
      <c r="AJ137" s="53" t="e">
        <f>AJ136+ATM_Conf!$C$5*(P136-O136)/(P324*AJ324)</f>
        <v>#DIV/0!</v>
      </c>
      <c r="AK137" s="53" t="e">
        <f>AK136+ATM_Conf!$C$5*(Q136-P136)/(Q324*AK324)</f>
        <v>#DIV/0!</v>
      </c>
      <c r="AL137" s="53" t="e">
        <f>AL136+ATM_Conf!$C$5*(R136-Q136)/(R324*AL324)</f>
        <v>#DIV/0!</v>
      </c>
      <c r="AM137" s="53" t="e">
        <f>AM136+ATM_Conf!$C$5*(S136-R136)/(S324*AM324)</f>
        <v>#DIV/0!</v>
      </c>
      <c r="AN137" s="53" t="e">
        <f>AN136+ATM_Conf!$C$5*(T136-S136)/(T324*AN324)</f>
        <v>#DIV/0!</v>
      </c>
      <c r="AO137" s="53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43">
        <f t="shared" ref="DR137:DR146" si="96">DR$135</f>
        <v>0</v>
      </c>
      <c r="DS137" s="43">
        <f t="shared" si="95"/>
        <v>0</v>
      </c>
      <c r="DT137" s="43">
        <f t="shared" si="95"/>
        <v>0</v>
      </c>
      <c r="DU137" s="43">
        <f t="shared" si="95"/>
        <v>0</v>
      </c>
      <c r="DV137" s="43">
        <f t="shared" si="95"/>
        <v>0</v>
      </c>
      <c r="DW137" s="43">
        <f t="shared" si="95"/>
        <v>0</v>
      </c>
      <c r="DX137" s="43">
        <f t="shared" si="95"/>
        <v>0</v>
      </c>
      <c r="DY137" s="43">
        <f t="shared" si="95"/>
        <v>0</v>
      </c>
      <c r="DZ137" s="43">
        <f t="shared" si="95"/>
        <v>0</v>
      </c>
      <c r="EA137" s="43">
        <f t="shared" si="95"/>
        <v>0</v>
      </c>
      <c r="EB137" s="43">
        <f t="shared" si="95"/>
        <v>0</v>
      </c>
      <c r="EC137" s="43">
        <f t="shared" si="95"/>
        <v>0</v>
      </c>
      <c r="ED137" s="43">
        <f t="shared" si="95"/>
        <v>0</v>
      </c>
      <c r="EE137" s="43">
        <f t="shared" si="95"/>
        <v>0</v>
      </c>
      <c r="EF137" s="43">
        <f t="shared" si="95"/>
        <v>0</v>
      </c>
      <c r="EG137" s="43">
        <f t="shared" si="95"/>
        <v>0</v>
      </c>
      <c r="EH137" s="43">
        <f t="shared" si="95"/>
        <v>0</v>
      </c>
      <c r="EI137" s="43">
        <f t="shared" si="95"/>
        <v>0</v>
      </c>
      <c r="EJ137" s="43">
        <f t="shared" si="95"/>
        <v>0</v>
      </c>
      <c r="EK137" s="43">
        <f t="shared" si="95"/>
        <v>0</v>
      </c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</row>
    <row r="138" spans="1:161" ht="14.25" x14ac:dyDescent="0.15">
      <c r="A138" s="46"/>
      <c r="B138" s="43" t="e">
        <f t="shared" si="74"/>
        <v>#DIV/0!</v>
      </c>
      <c r="C138" s="43" t="e">
        <f t="shared" si="75"/>
        <v>#DIV/0!</v>
      </c>
      <c r="D138" s="43" t="e">
        <f t="shared" si="76"/>
        <v>#DIV/0!</v>
      </c>
      <c r="E138" s="43" t="e">
        <f t="shared" si="77"/>
        <v>#DIV/0!</v>
      </c>
      <c r="F138" s="43" t="e">
        <f t="shared" si="78"/>
        <v>#DIV/0!</v>
      </c>
      <c r="G138" s="43" t="e">
        <f t="shared" si="79"/>
        <v>#DIV/0!</v>
      </c>
      <c r="H138" s="43" t="e">
        <f t="shared" si="80"/>
        <v>#DIV/0!</v>
      </c>
      <c r="I138" s="43" t="e">
        <f t="shared" si="81"/>
        <v>#DIV/0!</v>
      </c>
      <c r="J138" s="43" t="e">
        <f t="shared" si="82"/>
        <v>#DIV/0!</v>
      </c>
      <c r="K138" s="43" t="e">
        <f t="shared" si="83"/>
        <v>#DIV/0!</v>
      </c>
      <c r="L138" s="43" t="e">
        <f t="shared" si="84"/>
        <v>#DIV/0!</v>
      </c>
      <c r="M138" s="43" t="e">
        <f t="shared" si="85"/>
        <v>#DIV/0!</v>
      </c>
      <c r="N138" s="43" t="e">
        <f t="shared" si="86"/>
        <v>#DIV/0!</v>
      </c>
      <c r="O138" s="43" t="e">
        <f t="shared" si="87"/>
        <v>#DIV/0!</v>
      </c>
      <c r="P138" s="43" t="e">
        <f t="shared" si="88"/>
        <v>#DIV/0!</v>
      </c>
      <c r="Q138" s="43" t="e">
        <f t="shared" si="89"/>
        <v>#DIV/0!</v>
      </c>
      <c r="R138" s="43" t="e">
        <f t="shared" si="90"/>
        <v>#DIV/0!</v>
      </c>
      <c r="S138" s="43" t="e">
        <f t="shared" si="91"/>
        <v>#DIV/0!</v>
      </c>
      <c r="T138" s="43" t="e">
        <f t="shared" si="92"/>
        <v>#DIV/0!</v>
      </c>
      <c r="U138" s="43" t="e">
        <f t="shared" si="93"/>
        <v>#DIV/0!</v>
      </c>
      <c r="V138" s="53" t="e">
        <f>V137+ATM_Conf!$C$5*(B137)/(B325*V325)</f>
        <v>#DIV/0!</v>
      </c>
      <c r="W138" s="53" t="e">
        <f>W137+ATM_Conf!$C$5*(C137-B137)/(C325*W325)</f>
        <v>#DIV/0!</v>
      </c>
      <c r="X138" s="53" t="e">
        <f>X137+ATM_Conf!$C$5*(D137-C137)/(D325*X325)</f>
        <v>#DIV/0!</v>
      </c>
      <c r="Y138" s="53" t="e">
        <f>Y137+ATM_Conf!$C$5*(E137-D137)/(E325*Y325)</f>
        <v>#DIV/0!</v>
      </c>
      <c r="Z138" s="53" t="e">
        <f>Z137+ATM_Conf!$C$5*(F137-E137)/(F325*Z325)</f>
        <v>#DIV/0!</v>
      </c>
      <c r="AA138" s="53" t="e">
        <f>AA137+ATM_Conf!$C$5*(G137-F137)/(G325*AA325)</f>
        <v>#DIV/0!</v>
      </c>
      <c r="AB138" s="53" t="e">
        <f>AB137+ATM_Conf!$C$5*(H137-G137)/(H325*AB325)</f>
        <v>#DIV/0!</v>
      </c>
      <c r="AC138" s="53" t="e">
        <f>AC137+ATM_Conf!$C$5*(I137-H137)/(I325*AC325)</f>
        <v>#DIV/0!</v>
      </c>
      <c r="AD138" s="53" t="e">
        <f>AD137+ATM_Conf!$C$5*(J137-I137)/(J325*AD325)</f>
        <v>#DIV/0!</v>
      </c>
      <c r="AE138" s="53" t="e">
        <f>AE137+ATM_Conf!$C$5*(K137-J137)/(K325*AE325)</f>
        <v>#DIV/0!</v>
      </c>
      <c r="AF138" s="53" t="e">
        <f>AF137+ATM_Conf!$C$5*(L137)/(L325*AF325)</f>
        <v>#DIV/0!</v>
      </c>
      <c r="AG138" s="53" t="e">
        <f>AG137+ATM_Conf!$C$5*(M137-L137)/(M325*AG325)</f>
        <v>#DIV/0!</v>
      </c>
      <c r="AH138" s="53" t="e">
        <f>AH137+ATM_Conf!$C$5*(N137-M137)/(N325*AH325)</f>
        <v>#DIV/0!</v>
      </c>
      <c r="AI138" s="53" t="e">
        <f>AI137+ATM_Conf!$C$5*(O137-N137)/(O325*AI325)</f>
        <v>#DIV/0!</v>
      </c>
      <c r="AJ138" s="53" t="e">
        <f>AJ137+ATM_Conf!$C$5*(P137-O137)/(P325*AJ325)</f>
        <v>#DIV/0!</v>
      </c>
      <c r="AK138" s="53" t="e">
        <f>AK137+ATM_Conf!$C$5*(Q137-P137)/(Q325*AK325)</f>
        <v>#DIV/0!</v>
      </c>
      <c r="AL138" s="53" t="e">
        <f>AL137+ATM_Conf!$C$5*(R137-Q137)/(R325*AL325)</f>
        <v>#DIV/0!</v>
      </c>
      <c r="AM138" s="53" t="e">
        <f>AM137+ATM_Conf!$C$5*(S137-R137)/(S325*AM325)</f>
        <v>#DIV/0!</v>
      </c>
      <c r="AN138" s="53" t="e">
        <f>AN137+ATM_Conf!$C$5*(T137-S137)/(T325*AN325)</f>
        <v>#DIV/0!</v>
      </c>
      <c r="AO138" s="53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43">
        <f t="shared" si="96"/>
        <v>0</v>
      </c>
      <c r="DS138" s="43">
        <f t="shared" si="95"/>
        <v>0</v>
      </c>
      <c r="DT138" s="43">
        <f t="shared" si="95"/>
        <v>0</v>
      </c>
      <c r="DU138" s="43">
        <f t="shared" si="95"/>
        <v>0</v>
      </c>
      <c r="DV138" s="43">
        <f t="shared" si="95"/>
        <v>0</v>
      </c>
      <c r="DW138" s="43">
        <f t="shared" si="95"/>
        <v>0</v>
      </c>
      <c r="DX138" s="43">
        <f t="shared" si="95"/>
        <v>0</v>
      </c>
      <c r="DY138" s="43">
        <f t="shared" si="95"/>
        <v>0</v>
      </c>
      <c r="DZ138" s="43">
        <f t="shared" si="95"/>
        <v>0</v>
      </c>
      <c r="EA138" s="43">
        <f t="shared" si="95"/>
        <v>0</v>
      </c>
      <c r="EB138" s="43">
        <f t="shared" si="95"/>
        <v>0</v>
      </c>
      <c r="EC138" s="43">
        <f t="shared" si="95"/>
        <v>0</v>
      </c>
      <c r="ED138" s="43">
        <f t="shared" si="95"/>
        <v>0</v>
      </c>
      <c r="EE138" s="43">
        <f t="shared" si="95"/>
        <v>0</v>
      </c>
      <c r="EF138" s="43">
        <f t="shared" si="95"/>
        <v>0</v>
      </c>
      <c r="EG138" s="43">
        <f t="shared" si="95"/>
        <v>0</v>
      </c>
      <c r="EH138" s="43">
        <f t="shared" si="95"/>
        <v>0</v>
      </c>
      <c r="EI138" s="43">
        <f t="shared" si="95"/>
        <v>0</v>
      </c>
      <c r="EJ138" s="43">
        <f t="shared" si="95"/>
        <v>0</v>
      </c>
      <c r="EK138" s="43">
        <f t="shared" si="95"/>
        <v>0</v>
      </c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47"/>
      <c r="FA138" s="47"/>
      <c r="FB138" s="47"/>
      <c r="FC138" s="47"/>
      <c r="FD138" s="47"/>
      <c r="FE138" s="47"/>
    </row>
    <row r="139" spans="1:161" ht="14.25" x14ac:dyDescent="0.15">
      <c r="A139" s="46"/>
      <c r="B139" s="43" t="e">
        <f t="shared" si="74"/>
        <v>#DIV/0!</v>
      </c>
      <c r="C139" s="43" t="e">
        <f t="shared" si="75"/>
        <v>#DIV/0!</v>
      </c>
      <c r="D139" s="43" t="e">
        <f t="shared" si="76"/>
        <v>#DIV/0!</v>
      </c>
      <c r="E139" s="43" t="e">
        <f t="shared" si="77"/>
        <v>#DIV/0!</v>
      </c>
      <c r="F139" s="43" t="e">
        <f t="shared" si="78"/>
        <v>#DIV/0!</v>
      </c>
      <c r="G139" s="43" t="e">
        <f t="shared" si="79"/>
        <v>#DIV/0!</v>
      </c>
      <c r="H139" s="43" t="e">
        <f t="shared" si="80"/>
        <v>#DIV/0!</v>
      </c>
      <c r="I139" s="43" t="e">
        <f t="shared" si="81"/>
        <v>#DIV/0!</v>
      </c>
      <c r="J139" s="43" t="e">
        <f t="shared" si="82"/>
        <v>#DIV/0!</v>
      </c>
      <c r="K139" s="43" t="e">
        <f t="shared" si="83"/>
        <v>#DIV/0!</v>
      </c>
      <c r="L139" s="43" t="e">
        <f t="shared" si="84"/>
        <v>#DIV/0!</v>
      </c>
      <c r="M139" s="43" t="e">
        <f t="shared" si="85"/>
        <v>#DIV/0!</v>
      </c>
      <c r="N139" s="43" t="e">
        <f t="shared" si="86"/>
        <v>#DIV/0!</v>
      </c>
      <c r="O139" s="43" t="e">
        <f t="shared" si="87"/>
        <v>#DIV/0!</v>
      </c>
      <c r="P139" s="43" t="e">
        <f t="shared" si="88"/>
        <v>#DIV/0!</v>
      </c>
      <c r="Q139" s="43" t="e">
        <f t="shared" si="89"/>
        <v>#DIV/0!</v>
      </c>
      <c r="R139" s="43" t="e">
        <f t="shared" si="90"/>
        <v>#DIV/0!</v>
      </c>
      <c r="S139" s="43" t="e">
        <f t="shared" si="91"/>
        <v>#DIV/0!</v>
      </c>
      <c r="T139" s="43" t="e">
        <f t="shared" si="92"/>
        <v>#DIV/0!</v>
      </c>
      <c r="U139" s="43" t="e">
        <f t="shared" si="93"/>
        <v>#DIV/0!</v>
      </c>
      <c r="V139" s="53" t="e">
        <f>V138+ATM_Conf!$C$5*(B138)/(B326*V326)</f>
        <v>#DIV/0!</v>
      </c>
      <c r="W139" s="53" t="e">
        <f>W138+ATM_Conf!$C$5*(C138-B138)/(C326*W326)</f>
        <v>#DIV/0!</v>
      </c>
      <c r="X139" s="53" t="e">
        <f>X138+ATM_Conf!$C$5*(D138-C138)/(D326*X326)</f>
        <v>#DIV/0!</v>
      </c>
      <c r="Y139" s="53" t="e">
        <f>Y138+ATM_Conf!$C$5*(E138-D138)/(E326*Y326)</f>
        <v>#DIV/0!</v>
      </c>
      <c r="Z139" s="53" t="e">
        <f>Z138+ATM_Conf!$C$5*(F138-E138)/(F326*Z326)</f>
        <v>#DIV/0!</v>
      </c>
      <c r="AA139" s="53" t="e">
        <f>AA138+ATM_Conf!$C$5*(G138-F138)/(G326*AA326)</f>
        <v>#DIV/0!</v>
      </c>
      <c r="AB139" s="53" t="e">
        <f>AB138+ATM_Conf!$C$5*(H138-G138)/(H326*AB326)</f>
        <v>#DIV/0!</v>
      </c>
      <c r="AC139" s="53" t="e">
        <f>AC138+ATM_Conf!$C$5*(I138-H138)/(I326*AC326)</f>
        <v>#DIV/0!</v>
      </c>
      <c r="AD139" s="53" t="e">
        <f>AD138+ATM_Conf!$C$5*(J138-I138)/(J326*AD326)</f>
        <v>#DIV/0!</v>
      </c>
      <c r="AE139" s="53" t="e">
        <f>AE138+ATM_Conf!$C$5*(K138-J138)/(K326*AE326)</f>
        <v>#DIV/0!</v>
      </c>
      <c r="AF139" s="53" t="e">
        <f>AF138+ATM_Conf!$C$5*(L138)/(L326*AF326)</f>
        <v>#DIV/0!</v>
      </c>
      <c r="AG139" s="53" t="e">
        <f>AG138+ATM_Conf!$C$5*(M138-L138)/(M326*AG326)</f>
        <v>#DIV/0!</v>
      </c>
      <c r="AH139" s="53" t="e">
        <f>AH138+ATM_Conf!$C$5*(N138-M138)/(N326*AH326)</f>
        <v>#DIV/0!</v>
      </c>
      <c r="AI139" s="53" t="e">
        <f>AI138+ATM_Conf!$C$5*(O138-N138)/(O326*AI326)</f>
        <v>#DIV/0!</v>
      </c>
      <c r="AJ139" s="53" t="e">
        <f>AJ138+ATM_Conf!$C$5*(P138-O138)/(P326*AJ326)</f>
        <v>#DIV/0!</v>
      </c>
      <c r="AK139" s="53" t="e">
        <f>AK138+ATM_Conf!$C$5*(Q138-P138)/(Q326*AK326)</f>
        <v>#DIV/0!</v>
      </c>
      <c r="AL139" s="53" t="e">
        <f>AL138+ATM_Conf!$C$5*(R138-Q138)/(R326*AL326)</f>
        <v>#DIV/0!</v>
      </c>
      <c r="AM139" s="53" t="e">
        <f>AM138+ATM_Conf!$C$5*(S138-R138)/(S326*AM326)</f>
        <v>#DIV/0!</v>
      </c>
      <c r="AN139" s="53" t="e">
        <f>AN138+ATM_Conf!$C$5*(T138-S138)/(T326*AN326)</f>
        <v>#DIV/0!</v>
      </c>
      <c r="AO139" s="53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43">
        <f t="shared" si="96"/>
        <v>0</v>
      </c>
      <c r="DS139" s="43">
        <f t="shared" si="95"/>
        <v>0</v>
      </c>
      <c r="DT139" s="43">
        <f t="shared" si="95"/>
        <v>0</v>
      </c>
      <c r="DU139" s="43">
        <f t="shared" si="95"/>
        <v>0</v>
      </c>
      <c r="DV139" s="43">
        <f t="shared" si="95"/>
        <v>0</v>
      </c>
      <c r="DW139" s="43">
        <f t="shared" si="95"/>
        <v>0</v>
      </c>
      <c r="DX139" s="43">
        <f t="shared" si="95"/>
        <v>0</v>
      </c>
      <c r="DY139" s="43">
        <f t="shared" si="95"/>
        <v>0</v>
      </c>
      <c r="DZ139" s="43">
        <f t="shared" si="95"/>
        <v>0</v>
      </c>
      <c r="EA139" s="43">
        <f t="shared" si="95"/>
        <v>0</v>
      </c>
      <c r="EB139" s="43">
        <f t="shared" si="95"/>
        <v>0</v>
      </c>
      <c r="EC139" s="43">
        <f t="shared" si="95"/>
        <v>0</v>
      </c>
      <c r="ED139" s="43">
        <f t="shared" si="95"/>
        <v>0</v>
      </c>
      <c r="EE139" s="43">
        <f t="shared" si="95"/>
        <v>0</v>
      </c>
      <c r="EF139" s="43">
        <f t="shared" si="95"/>
        <v>0</v>
      </c>
      <c r="EG139" s="43">
        <f t="shared" si="95"/>
        <v>0</v>
      </c>
      <c r="EH139" s="43">
        <f t="shared" si="95"/>
        <v>0</v>
      </c>
      <c r="EI139" s="43">
        <f t="shared" si="95"/>
        <v>0</v>
      </c>
      <c r="EJ139" s="43">
        <f t="shared" si="95"/>
        <v>0</v>
      </c>
      <c r="EK139" s="43">
        <f t="shared" si="95"/>
        <v>0</v>
      </c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47"/>
      <c r="FA139" s="47"/>
      <c r="FB139" s="47"/>
      <c r="FC139" s="47"/>
      <c r="FD139" s="47"/>
      <c r="FE139" s="47"/>
    </row>
    <row r="140" spans="1:161" ht="14.25" x14ac:dyDescent="0.15">
      <c r="A140" s="46"/>
      <c r="B140" s="43" t="e">
        <f t="shared" si="74"/>
        <v>#DIV/0!</v>
      </c>
      <c r="C140" s="43" t="e">
        <f t="shared" si="75"/>
        <v>#DIV/0!</v>
      </c>
      <c r="D140" s="43" t="e">
        <f t="shared" si="76"/>
        <v>#DIV/0!</v>
      </c>
      <c r="E140" s="43" t="e">
        <f t="shared" si="77"/>
        <v>#DIV/0!</v>
      </c>
      <c r="F140" s="43" t="e">
        <f t="shared" si="78"/>
        <v>#DIV/0!</v>
      </c>
      <c r="G140" s="43" t="e">
        <f t="shared" si="79"/>
        <v>#DIV/0!</v>
      </c>
      <c r="H140" s="43" t="e">
        <f t="shared" si="80"/>
        <v>#DIV/0!</v>
      </c>
      <c r="I140" s="43" t="e">
        <f t="shared" si="81"/>
        <v>#DIV/0!</v>
      </c>
      <c r="J140" s="43" t="e">
        <f t="shared" si="82"/>
        <v>#DIV/0!</v>
      </c>
      <c r="K140" s="43" t="e">
        <f t="shared" si="83"/>
        <v>#DIV/0!</v>
      </c>
      <c r="L140" s="43" t="e">
        <f t="shared" si="84"/>
        <v>#DIV/0!</v>
      </c>
      <c r="M140" s="43" t="e">
        <f t="shared" si="85"/>
        <v>#DIV/0!</v>
      </c>
      <c r="N140" s="43" t="e">
        <f t="shared" si="86"/>
        <v>#DIV/0!</v>
      </c>
      <c r="O140" s="43" t="e">
        <f t="shared" si="87"/>
        <v>#DIV/0!</v>
      </c>
      <c r="P140" s="43" t="e">
        <f t="shared" si="88"/>
        <v>#DIV/0!</v>
      </c>
      <c r="Q140" s="43" t="e">
        <f t="shared" si="89"/>
        <v>#DIV/0!</v>
      </c>
      <c r="R140" s="43" t="e">
        <f t="shared" si="90"/>
        <v>#DIV/0!</v>
      </c>
      <c r="S140" s="43" t="e">
        <f t="shared" si="91"/>
        <v>#DIV/0!</v>
      </c>
      <c r="T140" s="43" t="e">
        <f t="shared" si="92"/>
        <v>#DIV/0!</v>
      </c>
      <c r="U140" s="43" t="e">
        <f t="shared" si="93"/>
        <v>#DIV/0!</v>
      </c>
      <c r="V140" s="53" t="e">
        <f>V139+ATM_Conf!$C$5*(B139)/(B327*V327)</f>
        <v>#DIV/0!</v>
      </c>
      <c r="W140" s="53" t="e">
        <f>W139+ATM_Conf!$C$5*(C139-B139)/(C327*W327)</f>
        <v>#DIV/0!</v>
      </c>
      <c r="X140" s="53" t="e">
        <f>X139+ATM_Conf!$C$5*(D139-C139)/(D327*X327)</f>
        <v>#DIV/0!</v>
      </c>
      <c r="Y140" s="53" t="e">
        <f>Y139+ATM_Conf!$C$5*(E139-D139)/(E327*Y327)</f>
        <v>#DIV/0!</v>
      </c>
      <c r="Z140" s="53" t="e">
        <f>Z139+ATM_Conf!$C$5*(F139-E139)/(F327*Z327)</f>
        <v>#DIV/0!</v>
      </c>
      <c r="AA140" s="53" t="e">
        <f>AA139+ATM_Conf!$C$5*(G139-F139)/(G327*AA327)</f>
        <v>#DIV/0!</v>
      </c>
      <c r="AB140" s="53" t="e">
        <f>AB139+ATM_Conf!$C$5*(H139-G139)/(H327*AB327)</f>
        <v>#DIV/0!</v>
      </c>
      <c r="AC140" s="53" t="e">
        <f>AC139+ATM_Conf!$C$5*(I139-H139)/(I327*AC327)</f>
        <v>#DIV/0!</v>
      </c>
      <c r="AD140" s="53" t="e">
        <f>AD139+ATM_Conf!$C$5*(J139-I139)/(J327*AD327)</f>
        <v>#DIV/0!</v>
      </c>
      <c r="AE140" s="53" t="e">
        <f>AE139+ATM_Conf!$C$5*(K139-J139)/(K327*AE327)</f>
        <v>#DIV/0!</v>
      </c>
      <c r="AF140" s="53" t="e">
        <f>AF139+ATM_Conf!$C$5*(L139)/(L327*AF327)</f>
        <v>#DIV/0!</v>
      </c>
      <c r="AG140" s="53" t="e">
        <f>AG139+ATM_Conf!$C$5*(M139-L139)/(M327*AG327)</f>
        <v>#DIV/0!</v>
      </c>
      <c r="AH140" s="53" t="e">
        <f>AH139+ATM_Conf!$C$5*(N139-M139)/(N327*AH327)</f>
        <v>#DIV/0!</v>
      </c>
      <c r="AI140" s="53" t="e">
        <f>AI139+ATM_Conf!$C$5*(O139-N139)/(O327*AI327)</f>
        <v>#DIV/0!</v>
      </c>
      <c r="AJ140" s="53" t="e">
        <f>AJ139+ATM_Conf!$C$5*(P139-O139)/(P327*AJ327)</f>
        <v>#DIV/0!</v>
      </c>
      <c r="AK140" s="53" t="e">
        <f>AK139+ATM_Conf!$C$5*(Q139-P139)/(Q327*AK327)</f>
        <v>#DIV/0!</v>
      </c>
      <c r="AL140" s="53" t="e">
        <f>AL139+ATM_Conf!$C$5*(R139-Q139)/(R327*AL327)</f>
        <v>#DIV/0!</v>
      </c>
      <c r="AM140" s="53" t="e">
        <f>AM139+ATM_Conf!$C$5*(S139-R139)/(S327*AM327)</f>
        <v>#DIV/0!</v>
      </c>
      <c r="AN140" s="53" t="e">
        <f>AN139+ATM_Conf!$C$5*(T139-S139)/(T327*AN327)</f>
        <v>#DIV/0!</v>
      </c>
      <c r="AO140" s="53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43">
        <f t="shared" si="96"/>
        <v>0</v>
      </c>
      <c r="DS140" s="43">
        <f t="shared" si="95"/>
        <v>0</v>
      </c>
      <c r="DT140" s="43">
        <f t="shared" si="95"/>
        <v>0</v>
      </c>
      <c r="DU140" s="43">
        <f t="shared" si="95"/>
        <v>0</v>
      </c>
      <c r="DV140" s="43">
        <f t="shared" si="95"/>
        <v>0</v>
      </c>
      <c r="DW140" s="43">
        <f t="shared" si="95"/>
        <v>0</v>
      </c>
      <c r="DX140" s="43">
        <f t="shared" si="95"/>
        <v>0</v>
      </c>
      <c r="DY140" s="43">
        <f t="shared" si="95"/>
        <v>0</v>
      </c>
      <c r="DZ140" s="43">
        <f t="shared" si="95"/>
        <v>0</v>
      </c>
      <c r="EA140" s="43">
        <f t="shared" si="95"/>
        <v>0</v>
      </c>
      <c r="EB140" s="43">
        <f t="shared" si="95"/>
        <v>0</v>
      </c>
      <c r="EC140" s="43">
        <f t="shared" si="95"/>
        <v>0</v>
      </c>
      <c r="ED140" s="43">
        <f t="shared" si="95"/>
        <v>0</v>
      </c>
      <c r="EE140" s="43">
        <f t="shared" si="95"/>
        <v>0</v>
      </c>
      <c r="EF140" s="43">
        <f t="shared" si="95"/>
        <v>0</v>
      </c>
      <c r="EG140" s="43">
        <f t="shared" si="95"/>
        <v>0</v>
      </c>
      <c r="EH140" s="43">
        <f t="shared" si="95"/>
        <v>0</v>
      </c>
      <c r="EI140" s="43">
        <f t="shared" si="95"/>
        <v>0</v>
      </c>
      <c r="EJ140" s="43">
        <f t="shared" si="95"/>
        <v>0</v>
      </c>
      <c r="EK140" s="43">
        <f t="shared" si="95"/>
        <v>0</v>
      </c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47"/>
      <c r="FA140" s="47"/>
      <c r="FB140" s="47"/>
      <c r="FC140" s="47"/>
      <c r="FD140" s="47"/>
      <c r="FE140" s="47"/>
    </row>
    <row r="141" spans="1:161" ht="14.25" x14ac:dyDescent="0.15">
      <c r="A141" s="46"/>
      <c r="B141" s="43" t="e">
        <f t="shared" si="74"/>
        <v>#DIV/0!</v>
      </c>
      <c r="C141" s="43" t="e">
        <f t="shared" si="75"/>
        <v>#DIV/0!</v>
      </c>
      <c r="D141" s="43" t="e">
        <f t="shared" si="76"/>
        <v>#DIV/0!</v>
      </c>
      <c r="E141" s="43" t="e">
        <f t="shared" si="77"/>
        <v>#DIV/0!</v>
      </c>
      <c r="F141" s="43" t="e">
        <f t="shared" si="78"/>
        <v>#DIV/0!</v>
      </c>
      <c r="G141" s="43" t="e">
        <f t="shared" si="79"/>
        <v>#DIV/0!</v>
      </c>
      <c r="H141" s="43" t="e">
        <f t="shared" si="80"/>
        <v>#DIV/0!</v>
      </c>
      <c r="I141" s="43" t="e">
        <f t="shared" si="81"/>
        <v>#DIV/0!</v>
      </c>
      <c r="J141" s="43" t="e">
        <f t="shared" si="82"/>
        <v>#DIV/0!</v>
      </c>
      <c r="K141" s="43" t="e">
        <f t="shared" si="83"/>
        <v>#DIV/0!</v>
      </c>
      <c r="L141" s="43" t="e">
        <f t="shared" si="84"/>
        <v>#DIV/0!</v>
      </c>
      <c r="M141" s="43" t="e">
        <f t="shared" si="85"/>
        <v>#DIV/0!</v>
      </c>
      <c r="N141" s="43" t="e">
        <f t="shared" si="86"/>
        <v>#DIV/0!</v>
      </c>
      <c r="O141" s="43" t="e">
        <f t="shared" si="87"/>
        <v>#DIV/0!</v>
      </c>
      <c r="P141" s="43" t="e">
        <f t="shared" si="88"/>
        <v>#DIV/0!</v>
      </c>
      <c r="Q141" s="43" t="e">
        <f t="shared" si="89"/>
        <v>#DIV/0!</v>
      </c>
      <c r="R141" s="43" t="e">
        <f t="shared" si="90"/>
        <v>#DIV/0!</v>
      </c>
      <c r="S141" s="43" t="e">
        <f t="shared" si="91"/>
        <v>#DIV/0!</v>
      </c>
      <c r="T141" s="43" t="e">
        <f t="shared" si="92"/>
        <v>#DIV/0!</v>
      </c>
      <c r="U141" s="43" t="e">
        <f t="shared" si="93"/>
        <v>#DIV/0!</v>
      </c>
      <c r="V141" s="53" t="e">
        <f>V140+ATM_Conf!$C$5*(B140)/(B328*V328)</f>
        <v>#DIV/0!</v>
      </c>
      <c r="W141" s="53" t="e">
        <f>W140+ATM_Conf!$C$5*(C140-B140)/(C328*W328)</f>
        <v>#DIV/0!</v>
      </c>
      <c r="X141" s="53" t="e">
        <f>X140+ATM_Conf!$C$5*(D140-C140)/(D328*X328)</f>
        <v>#DIV/0!</v>
      </c>
      <c r="Y141" s="53" t="e">
        <f>Y140+ATM_Conf!$C$5*(E140-D140)/(E328*Y328)</f>
        <v>#DIV/0!</v>
      </c>
      <c r="Z141" s="53" t="e">
        <f>Z140+ATM_Conf!$C$5*(F140-E140)/(F328*Z328)</f>
        <v>#DIV/0!</v>
      </c>
      <c r="AA141" s="53" t="e">
        <f>AA140+ATM_Conf!$C$5*(G140-F140)/(G328*AA328)</f>
        <v>#DIV/0!</v>
      </c>
      <c r="AB141" s="53" t="e">
        <f>AB140+ATM_Conf!$C$5*(H140-G140)/(H328*AB328)</f>
        <v>#DIV/0!</v>
      </c>
      <c r="AC141" s="53" t="e">
        <f>AC140+ATM_Conf!$C$5*(I140-H140)/(I328*AC328)</f>
        <v>#DIV/0!</v>
      </c>
      <c r="AD141" s="53" t="e">
        <f>AD140+ATM_Conf!$C$5*(J140-I140)/(J328*AD328)</f>
        <v>#DIV/0!</v>
      </c>
      <c r="AE141" s="53" t="e">
        <f>AE140+ATM_Conf!$C$5*(K140-J140)/(K328*AE328)</f>
        <v>#DIV/0!</v>
      </c>
      <c r="AF141" s="53" t="e">
        <f>AF140+ATM_Conf!$C$5*(L140)/(L328*AF328)</f>
        <v>#DIV/0!</v>
      </c>
      <c r="AG141" s="53" t="e">
        <f>AG140+ATM_Conf!$C$5*(M140-L140)/(M328*AG328)</f>
        <v>#DIV/0!</v>
      </c>
      <c r="AH141" s="53" t="e">
        <f>AH140+ATM_Conf!$C$5*(N140-M140)/(N328*AH328)</f>
        <v>#DIV/0!</v>
      </c>
      <c r="AI141" s="53" t="e">
        <f>AI140+ATM_Conf!$C$5*(O140-N140)/(O328*AI328)</f>
        <v>#DIV/0!</v>
      </c>
      <c r="AJ141" s="53" t="e">
        <f>AJ140+ATM_Conf!$C$5*(P140-O140)/(P328*AJ328)</f>
        <v>#DIV/0!</v>
      </c>
      <c r="AK141" s="53" t="e">
        <f>AK140+ATM_Conf!$C$5*(Q140-P140)/(Q328*AK328)</f>
        <v>#DIV/0!</v>
      </c>
      <c r="AL141" s="53" t="e">
        <f>AL140+ATM_Conf!$C$5*(R140-Q140)/(R328*AL328)</f>
        <v>#DIV/0!</v>
      </c>
      <c r="AM141" s="53" t="e">
        <f>AM140+ATM_Conf!$C$5*(S140-R140)/(S328*AM328)</f>
        <v>#DIV/0!</v>
      </c>
      <c r="AN141" s="53" t="e">
        <f>AN140+ATM_Conf!$C$5*(T140-S140)/(T328*AN328)</f>
        <v>#DIV/0!</v>
      </c>
      <c r="AO141" s="53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43">
        <f t="shared" si="96"/>
        <v>0</v>
      </c>
      <c r="DS141" s="43">
        <f t="shared" si="95"/>
        <v>0</v>
      </c>
      <c r="DT141" s="43">
        <f t="shared" si="95"/>
        <v>0</v>
      </c>
      <c r="DU141" s="43">
        <f t="shared" si="95"/>
        <v>0</v>
      </c>
      <c r="DV141" s="43">
        <f t="shared" si="95"/>
        <v>0</v>
      </c>
      <c r="DW141" s="43">
        <f t="shared" si="95"/>
        <v>0</v>
      </c>
      <c r="DX141" s="43">
        <f t="shared" si="95"/>
        <v>0</v>
      </c>
      <c r="DY141" s="43">
        <f t="shared" si="95"/>
        <v>0</v>
      </c>
      <c r="DZ141" s="43">
        <f t="shared" si="95"/>
        <v>0</v>
      </c>
      <c r="EA141" s="43">
        <f t="shared" si="95"/>
        <v>0</v>
      </c>
      <c r="EB141" s="43">
        <f t="shared" si="95"/>
        <v>0</v>
      </c>
      <c r="EC141" s="43">
        <f t="shared" si="95"/>
        <v>0</v>
      </c>
      <c r="ED141" s="43">
        <f t="shared" si="95"/>
        <v>0</v>
      </c>
      <c r="EE141" s="43">
        <f t="shared" si="95"/>
        <v>0</v>
      </c>
      <c r="EF141" s="43">
        <f t="shared" si="95"/>
        <v>0</v>
      </c>
      <c r="EG141" s="43">
        <f t="shared" si="95"/>
        <v>0</v>
      </c>
      <c r="EH141" s="43">
        <f t="shared" si="95"/>
        <v>0</v>
      </c>
      <c r="EI141" s="43">
        <f t="shared" si="95"/>
        <v>0</v>
      </c>
      <c r="EJ141" s="43">
        <f t="shared" si="95"/>
        <v>0</v>
      </c>
      <c r="EK141" s="43">
        <f t="shared" si="95"/>
        <v>0</v>
      </c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47"/>
      <c r="FA141" s="47"/>
      <c r="FB141" s="47"/>
      <c r="FC141" s="47"/>
      <c r="FD141" s="47"/>
      <c r="FE141" s="47"/>
    </row>
    <row r="142" spans="1:161" ht="14.25" x14ac:dyDescent="0.15">
      <c r="A142" s="46"/>
      <c r="B142" s="43" t="e">
        <f t="shared" si="74"/>
        <v>#DIV/0!</v>
      </c>
      <c r="C142" s="43" t="e">
        <f t="shared" si="75"/>
        <v>#DIV/0!</v>
      </c>
      <c r="D142" s="43" t="e">
        <f t="shared" si="76"/>
        <v>#DIV/0!</v>
      </c>
      <c r="E142" s="43" t="e">
        <f t="shared" si="77"/>
        <v>#DIV/0!</v>
      </c>
      <c r="F142" s="43" t="e">
        <f t="shared" si="78"/>
        <v>#DIV/0!</v>
      </c>
      <c r="G142" s="43" t="e">
        <f t="shared" si="79"/>
        <v>#DIV/0!</v>
      </c>
      <c r="H142" s="43" t="e">
        <f t="shared" si="80"/>
        <v>#DIV/0!</v>
      </c>
      <c r="I142" s="43" t="e">
        <f t="shared" si="81"/>
        <v>#DIV/0!</v>
      </c>
      <c r="J142" s="43" t="e">
        <f t="shared" si="82"/>
        <v>#DIV/0!</v>
      </c>
      <c r="K142" s="43" t="e">
        <f t="shared" si="83"/>
        <v>#DIV/0!</v>
      </c>
      <c r="L142" s="43" t="e">
        <f t="shared" si="84"/>
        <v>#DIV/0!</v>
      </c>
      <c r="M142" s="43" t="e">
        <f t="shared" si="85"/>
        <v>#DIV/0!</v>
      </c>
      <c r="N142" s="43" t="e">
        <f t="shared" si="86"/>
        <v>#DIV/0!</v>
      </c>
      <c r="O142" s="43" t="e">
        <f t="shared" si="87"/>
        <v>#DIV/0!</v>
      </c>
      <c r="P142" s="43" t="e">
        <f t="shared" si="88"/>
        <v>#DIV/0!</v>
      </c>
      <c r="Q142" s="43" t="e">
        <f t="shared" si="89"/>
        <v>#DIV/0!</v>
      </c>
      <c r="R142" s="43" t="e">
        <f t="shared" si="90"/>
        <v>#DIV/0!</v>
      </c>
      <c r="S142" s="43" t="e">
        <f t="shared" si="91"/>
        <v>#DIV/0!</v>
      </c>
      <c r="T142" s="43" t="e">
        <f t="shared" si="92"/>
        <v>#DIV/0!</v>
      </c>
      <c r="U142" s="43" t="e">
        <f t="shared" si="93"/>
        <v>#DIV/0!</v>
      </c>
      <c r="V142" s="53" t="e">
        <f>V141+ATM_Conf!$C$5*(B141)/(B329*V329)</f>
        <v>#DIV/0!</v>
      </c>
      <c r="W142" s="53" t="e">
        <f>W141+ATM_Conf!$C$5*(C141-B141)/(C329*W329)</f>
        <v>#DIV/0!</v>
      </c>
      <c r="X142" s="53" t="e">
        <f>X141+ATM_Conf!$C$5*(D141-C141)/(D329*X329)</f>
        <v>#DIV/0!</v>
      </c>
      <c r="Y142" s="53" t="e">
        <f>Y141+ATM_Conf!$C$5*(E141-D141)/(E329*Y329)</f>
        <v>#DIV/0!</v>
      </c>
      <c r="Z142" s="53" t="e">
        <f>Z141+ATM_Conf!$C$5*(F141-E141)/(F329*Z329)</f>
        <v>#DIV/0!</v>
      </c>
      <c r="AA142" s="53" t="e">
        <f>AA141+ATM_Conf!$C$5*(G141-F141)/(G329*AA329)</f>
        <v>#DIV/0!</v>
      </c>
      <c r="AB142" s="53" t="e">
        <f>AB141+ATM_Conf!$C$5*(H141-G141)/(H329*AB329)</f>
        <v>#DIV/0!</v>
      </c>
      <c r="AC142" s="53" t="e">
        <f>AC141+ATM_Conf!$C$5*(I141-H141)/(I329*AC329)</f>
        <v>#DIV/0!</v>
      </c>
      <c r="AD142" s="53" t="e">
        <f>AD141+ATM_Conf!$C$5*(J141-I141)/(J329*AD329)</f>
        <v>#DIV/0!</v>
      </c>
      <c r="AE142" s="53" t="e">
        <f>AE141+ATM_Conf!$C$5*(K141-J141)/(K329*AE329)</f>
        <v>#DIV/0!</v>
      </c>
      <c r="AF142" s="53" t="e">
        <f>AF141+ATM_Conf!$C$5*(L141)/(L329*AF329)</f>
        <v>#DIV/0!</v>
      </c>
      <c r="AG142" s="53" t="e">
        <f>AG141+ATM_Conf!$C$5*(M141-L141)/(M329*AG329)</f>
        <v>#DIV/0!</v>
      </c>
      <c r="AH142" s="53" t="e">
        <f>AH141+ATM_Conf!$C$5*(N141-M141)/(N329*AH329)</f>
        <v>#DIV/0!</v>
      </c>
      <c r="AI142" s="53" t="e">
        <f>AI141+ATM_Conf!$C$5*(O141-N141)/(O329*AI329)</f>
        <v>#DIV/0!</v>
      </c>
      <c r="AJ142" s="53" t="e">
        <f>AJ141+ATM_Conf!$C$5*(P141-O141)/(P329*AJ329)</f>
        <v>#DIV/0!</v>
      </c>
      <c r="AK142" s="53" t="e">
        <f>AK141+ATM_Conf!$C$5*(Q141-P141)/(Q329*AK329)</f>
        <v>#DIV/0!</v>
      </c>
      <c r="AL142" s="53" t="e">
        <f>AL141+ATM_Conf!$C$5*(R141-Q141)/(R329*AL329)</f>
        <v>#DIV/0!</v>
      </c>
      <c r="AM142" s="53" t="e">
        <f>AM141+ATM_Conf!$C$5*(S141-R141)/(S329*AM329)</f>
        <v>#DIV/0!</v>
      </c>
      <c r="AN142" s="53" t="e">
        <f>AN141+ATM_Conf!$C$5*(T141-S141)/(T329*AN329)</f>
        <v>#DIV/0!</v>
      </c>
      <c r="AO142" s="53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43">
        <f t="shared" si="96"/>
        <v>0</v>
      </c>
      <c r="DS142" s="43">
        <f t="shared" si="95"/>
        <v>0</v>
      </c>
      <c r="DT142" s="43">
        <f t="shared" si="95"/>
        <v>0</v>
      </c>
      <c r="DU142" s="43">
        <f t="shared" si="95"/>
        <v>0</v>
      </c>
      <c r="DV142" s="43">
        <f t="shared" si="95"/>
        <v>0</v>
      </c>
      <c r="DW142" s="43">
        <f t="shared" si="95"/>
        <v>0</v>
      </c>
      <c r="DX142" s="43">
        <f t="shared" si="95"/>
        <v>0</v>
      </c>
      <c r="DY142" s="43">
        <f t="shared" si="95"/>
        <v>0</v>
      </c>
      <c r="DZ142" s="43">
        <f t="shared" si="95"/>
        <v>0</v>
      </c>
      <c r="EA142" s="43">
        <f t="shared" si="95"/>
        <v>0</v>
      </c>
      <c r="EB142" s="43">
        <f t="shared" si="95"/>
        <v>0</v>
      </c>
      <c r="EC142" s="43">
        <f t="shared" si="95"/>
        <v>0</v>
      </c>
      <c r="ED142" s="43">
        <f t="shared" si="95"/>
        <v>0</v>
      </c>
      <c r="EE142" s="43">
        <f t="shared" si="95"/>
        <v>0</v>
      </c>
      <c r="EF142" s="43">
        <f t="shared" si="95"/>
        <v>0</v>
      </c>
      <c r="EG142" s="43">
        <f t="shared" si="95"/>
        <v>0</v>
      </c>
      <c r="EH142" s="43">
        <f t="shared" si="95"/>
        <v>0</v>
      </c>
      <c r="EI142" s="43">
        <f t="shared" si="95"/>
        <v>0</v>
      </c>
      <c r="EJ142" s="43">
        <f t="shared" si="95"/>
        <v>0</v>
      </c>
      <c r="EK142" s="43">
        <f t="shared" si="95"/>
        <v>0</v>
      </c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47"/>
      <c r="FA142" s="47"/>
      <c r="FB142" s="47"/>
      <c r="FC142" s="47"/>
      <c r="FD142" s="47"/>
      <c r="FE142" s="47"/>
    </row>
    <row r="143" spans="1:161" ht="14.25" x14ac:dyDescent="0.15">
      <c r="A143" s="46"/>
      <c r="B143" s="43" t="e">
        <f t="shared" si="74"/>
        <v>#DIV/0!</v>
      </c>
      <c r="C143" s="43" t="e">
        <f t="shared" si="75"/>
        <v>#DIV/0!</v>
      </c>
      <c r="D143" s="43" t="e">
        <f t="shared" si="76"/>
        <v>#DIV/0!</v>
      </c>
      <c r="E143" s="43" t="e">
        <f t="shared" si="77"/>
        <v>#DIV/0!</v>
      </c>
      <c r="F143" s="43" t="e">
        <f t="shared" si="78"/>
        <v>#DIV/0!</v>
      </c>
      <c r="G143" s="43" t="e">
        <f t="shared" si="79"/>
        <v>#DIV/0!</v>
      </c>
      <c r="H143" s="43" t="e">
        <f t="shared" si="80"/>
        <v>#DIV/0!</v>
      </c>
      <c r="I143" s="43" t="e">
        <f t="shared" si="81"/>
        <v>#DIV/0!</v>
      </c>
      <c r="J143" s="43" t="e">
        <f t="shared" si="82"/>
        <v>#DIV/0!</v>
      </c>
      <c r="K143" s="43" t="e">
        <f t="shared" si="83"/>
        <v>#DIV/0!</v>
      </c>
      <c r="L143" s="43" t="e">
        <f t="shared" si="84"/>
        <v>#DIV/0!</v>
      </c>
      <c r="M143" s="43" t="e">
        <f t="shared" si="85"/>
        <v>#DIV/0!</v>
      </c>
      <c r="N143" s="43" t="e">
        <f t="shared" si="86"/>
        <v>#DIV/0!</v>
      </c>
      <c r="O143" s="43" t="e">
        <f t="shared" si="87"/>
        <v>#DIV/0!</v>
      </c>
      <c r="P143" s="43" t="e">
        <f t="shared" si="88"/>
        <v>#DIV/0!</v>
      </c>
      <c r="Q143" s="43" t="e">
        <f t="shared" si="89"/>
        <v>#DIV/0!</v>
      </c>
      <c r="R143" s="43" t="e">
        <f t="shared" si="90"/>
        <v>#DIV/0!</v>
      </c>
      <c r="S143" s="43" t="e">
        <f t="shared" si="91"/>
        <v>#DIV/0!</v>
      </c>
      <c r="T143" s="43" t="e">
        <f t="shared" si="92"/>
        <v>#DIV/0!</v>
      </c>
      <c r="U143" s="43" t="e">
        <f t="shared" si="93"/>
        <v>#DIV/0!</v>
      </c>
      <c r="V143" s="53" t="e">
        <f>V142+ATM_Conf!$C$5*(B142)/(B330*V330)</f>
        <v>#DIV/0!</v>
      </c>
      <c r="W143" s="53" t="e">
        <f>W142+ATM_Conf!$C$5*(C142-B142)/(C330*W330)</f>
        <v>#DIV/0!</v>
      </c>
      <c r="X143" s="53" t="e">
        <f>X142+ATM_Conf!$C$5*(D142-C142)/(D330*X330)</f>
        <v>#DIV/0!</v>
      </c>
      <c r="Y143" s="53" t="e">
        <f>Y142+ATM_Conf!$C$5*(E142-D142)/(E330*Y330)</f>
        <v>#DIV/0!</v>
      </c>
      <c r="Z143" s="53" t="e">
        <f>Z142+ATM_Conf!$C$5*(F142-E142)/(F330*Z330)</f>
        <v>#DIV/0!</v>
      </c>
      <c r="AA143" s="53" t="e">
        <f>AA142+ATM_Conf!$C$5*(G142-F142)/(G330*AA330)</f>
        <v>#DIV/0!</v>
      </c>
      <c r="AB143" s="53" t="e">
        <f>AB142+ATM_Conf!$C$5*(H142-G142)/(H330*AB330)</f>
        <v>#DIV/0!</v>
      </c>
      <c r="AC143" s="53" t="e">
        <f>AC142+ATM_Conf!$C$5*(I142-H142)/(I330*AC330)</f>
        <v>#DIV/0!</v>
      </c>
      <c r="AD143" s="53" t="e">
        <f>AD142+ATM_Conf!$C$5*(J142-I142)/(J330*AD330)</f>
        <v>#DIV/0!</v>
      </c>
      <c r="AE143" s="53" t="e">
        <f>AE142+ATM_Conf!$C$5*(K142-J142)/(K330*AE330)</f>
        <v>#DIV/0!</v>
      </c>
      <c r="AF143" s="53" t="e">
        <f>AF142+ATM_Conf!$C$5*(L142)/(L330*AF330)</f>
        <v>#DIV/0!</v>
      </c>
      <c r="AG143" s="53" t="e">
        <f>AG142+ATM_Conf!$C$5*(M142-L142)/(M330*AG330)</f>
        <v>#DIV/0!</v>
      </c>
      <c r="AH143" s="53" t="e">
        <f>AH142+ATM_Conf!$C$5*(N142-M142)/(N330*AH330)</f>
        <v>#DIV/0!</v>
      </c>
      <c r="AI143" s="53" t="e">
        <f>AI142+ATM_Conf!$C$5*(O142-N142)/(O330*AI330)</f>
        <v>#DIV/0!</v>
      </c>
      <c r="AJ143" s="53" t="e">
        <f>AJ142+ATM_Conf!$C$5*(P142-O142)/(P330*AJ330)</f>
        <v>#DIV/0!</v>
      </c>
      <c r="AK143" s="53" t="e">
        <f>AK142+ATM_Conf!$C$5*(Q142-P142)/(Q330*AK330)</f>
        <v>#DIV/0!</v>
      </c>
      <c r="AL143" s="53" t="e">
        <f>AL142+ATM_Conf!$C$5*(R142-Q142)/(R330*AL330)</f>
        <v>#DIV/0!</v>
      </c>
      <c r="AM143" s="53" t="e">
        <f>AM142+ATM_Conf!$C$5*(S142-R142)/(S330*AM330)</f>
        <v>#DIV/0!</v>
      </c>
      <c r="AN143" s="53" t="e">
        <f>AN142+ATM_Conf!$C$5*(T142-S142)/(T330*AN330)</f>
        <v>#DIV/0!</v>
      </c>
      <c r="AO143" s="53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43">
        <f t="shared" si="96"/>
        <v>0</v>
      </c>
      <c r="DS143" s="43">
        <f t="shared" si="95"/>
        <v>0</v>
      </c>
      <c r="DT143" s="43">
        <f t="shared" si="95"/>
        <v>0</v>
      </c>
      <c r="DU143" s="43">
        <f t="shared" si="95"/>
        <v>0</v>
      </c>
      <c r="DV143" s="43">
        <f t="shared" si="95"/>
        <v>0</v>
      </c>
      <c r="DW143" s="43">
        <f t="shared" si="95"/>
        <v>0</v>
      </c>
      <c r="DX143" s="43">
        <f t="shared" si="95"/>
        <v>0</v>
      </c>
      <c r="DY143" s="43">
        <f t="shared" si="95"/>
        <v>0</v>
      </c>
      <c r="DZ143" s="43">
        <f t="shared" si="95"/>
        <v>0</v>
      </c>
      <c r="EA143" s="43">
        <f t="shared" si="95"/>
        <v>0</v>
      </c>
      <c r="EB143" s="43">
        <f t="shared" si="95"/>
        <v>0</v>
      </c>
      <c r="EC143" s="43">
        <f t="shared" si="95"/>
        <v>0</v>
      </c>
      <c r="ED143" s="43">
        <f t="shared" si="95"/>
        <v>0</v>
      </c>
      <c r="EE143" s="43">
        <f t="shared" si="95"/>
        <v>0</v>
      </c>
      <c r="EF143" s="43">
        <f t="shared" si="95"/>
        <v>0</v>
      </c>
      <c r="EG143" s="43">
        <f t="shared" si="95"/>
        <v>0</v>
      </c>
      <c r="EH143" s="43">
        <f t="shared" si="95"/>
        <v>0</v>
      </c>
      <c r="EI143" s="43">
        <f t="shared" si="95"/>
        <v>0</v>
      </c>
      <c r="EJ143" s="43">
        <f t="shared" si="95"/>
        <v>0</v>
      </c>
      <c r="EK143" s="43">
        <f t="shared" si="95"/>
        <v>0</v>
      </c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47"/>
      <c r="FA143" s="47"/>
      <c r="FB143" s="47"/>
      <c r="FC143" s="47"/>
      <c r="FD143" s="47"/>
      <c r="FE143" s="47"/>
    </row>
    <row r="144" spans="1:161" ht="14.25" x14ac:dyDescent="0.15">
      <c r="A144" s="46"/>
      <c r="B144" s="43" t="e">
        <f t="shared" si="74"/>
        <v>#DIV/0!</v>
      </c>
      <c r="C144" s="43" t="e">
        <f t="shared" si="75"/>
        <v>#DIV/0!</v>
      </c>
      <c r="D144" s="43" t="e">
        <f t="shared" si="76"/>
        <v>#DIV/0!</v>
      </c>
      <c r="E144" s="43" t="e">
        <f t="shared" si="77"/>
        <v>#DIV/0!</v>
      </c>
      <c r="F144" s="43" t="e">
        <f t="shared" si="78"/>
        <v>#DIV/0!</v>
      </c>
      <c r="G144" s="43" t="e">
        <f t="shared" si="79"/>
        <v>#DIV/0!</v>
      </c>
      <c r="H144" s="43" t="e">
        <f t="shared" si="80"/>
        <v>#DIV/0!</v>
      </c>
      <c r="I144" s="43" t="e">
        <f t="shared" si="81"/>
        <v>#DIV/0!</v>
      </c>
      <c r="J144" s="43" t="e">
        <f t="shared" si="82"/>
        <v>#DIV/0!</v>
      </c>
      <c r="K144" s="43" t="e">
        <f t="shared" si="83"/>
        <v>#DIV/0!</v>
      </c>
      <c r="L144" s="43" t="e">
        <f t="shared" si="84"/>
        <v>#DIV/0!</v>
      </c>
      <c r="M144" s="43" t="e">
        <f t="shared" si="85"/>
        <v>#DIV/0!</v>
      </c>
      <c r="N144" s="43" t="e">
        <f t="shared" si="86"/>
        <v>#DIV/0!</v>
      </c>
      <c r="O144" s="43" t="e">
        <f t="shared" si="87"/>
        <v>#DIV/0!</v>
      </c>
      <c r="P144" s="43" t="e">
        <f t="shared" si="88"/>
        <v>#DIV/0!</v>
      </c>
      <c r="Q144" s="43" t="e">
        <f t="shared" si="89"/>
        <v>#DIV/0!</v>
      </c>
      <c r="R144" s="43" t="e">
        <f t="shared" si="90"/>
        <v>#DIV/0!</v>
      </c>
      <c r="S144" s="43" t="e">
        <f t="shared" si="91"/>
        <v>#DIV/0!</v>
      </c>
      <c r="T144" s="43" t="e">
        <f t="shared" si="92"/>
        <v>#DIV/0!</v>
      </c>
      <c r="U144" s="43" t="e">
        <f t="shared" si="93"/>
        <v>#DIV/0!</v>
      </c>
      <c r="V144" s="53" t="e">
        <f>V143+ATM_Conf!$C$5*(B143)/(B331*V331)</f>
        <v>#DIV/0!</v>
      </c>
      <c r="W144" s="53" t="e">
        <f>W143+ATM_Conf!$C$5*(C143-B143)/(C331*W331)</f>
        <v>#DIV/0!</v>
      </c>
      <c r="X144" s="53" t="e">
        <f>X143+ATM_Conf!$C$5*(D143-C143)/(D331*X331)</f>
        <v>#DIV/0!</v>
      </c>
      <c r="Y144" s="53" t="e">
        <f>Y143+ATM_Conf!$C$5*(E143-D143)/(E331*Y331)</f>
        <v>#DIV/0!</v>
      </c>
      <c r="Z144" s="53" t="e">
        <f>Z143+ATM_Conf!$C$5*(F143-E143)/(F331*Z331)</f>
        <v>#DIV/0!</v>
      </c>
      <c r="AA144" s="53" t="e">
        <f>AA143+ATM_Conf!$C$5*(G143-F143)/(G331*AA331)</f>
        <v>#DIV/0!</v>
      </c>
      <c r="AB144" s="53" t="e">
        <f>AB143+ATM_Conf!$C$5*(H143-G143)/(H331*AB331)</f>
        <v>#DIV/0!</v>
      </c>
      <c r="AC144" s="53" t="e">
        <f>AC143+ATM_Conf!$C$5*(I143-H143)/(I331*AC331)</f>
        <v>#DIV/0!</v>
      </c>
      <c r="AD144" s="53" t="e">
        <f>AD143+ATM_Conf!$C$5*(J143-I143)/(J331*AD331)</f>
        <v>#DIV/0!</v>
      </c>
      <c r="AE144" s="53" t="e">
        <f>AE143+ATM_Conf!$C$5*(K143-J143)/(K331*AE331)</f>
        <v>#DIV/0!</v>
      </c>
      <c r="AF144" s="53" t="e">
        <f>AF143+ATM_Conf!$C$5*(L143)/(L331*AF331)</f>
        <v>#DIV/0!</v>
      </c>
      <c r="AG144" s="53" t="e">
        <f>AG143+ATM_Conf!$C$5*(M143-L143)/(M331*AG331)</f>
        <v>#DIV/0!</v>
      </c>
      <c r="AH144" s="53" t="e">
        <f>AH143+ATM_Conf!$C$5*(N143-M143)/(N331*AH331)</f>
        <v>#DIV/0!</v>
      </c>
      <c r="AI144" s="53" t="e">
        <f>AI143+ATM_Conf!$C$5*(O143-N143)/(O331*AI331)</f>
        <v>#DIV/0!</v>
      </c>
      <c r="AJ144" s="53" t="e">
        <f>AJ143+ATM_Conf!$C$5*(P143-O143)/(P331*AJ331)</f>
        <v>#DIV/0!</v>
      </c>
      <c r="AK144" s="53" t="e">
        <f>AK143+ATM_Conf!$C$5*(Q143-P143)/(Q331*AK331)</f>
        <v>#DIV/0!</v>
      </c>
      <c r="AL144" s="53" t="e">
        <f>AL143+ATM_Conf!$C$5*(R143-Q143)/(R331*AL331)</f>
        <v>#DIV/0!</v>
      </c>
      <c r="AM144" s="53" t="e">
        <f>AM143+ATM_Conf!$C$5*(S143-R143)/(S331*AM331)</f>
        <v>#DIV/0!</v>
      </c>
      <c r="AN144" s="53" t="e">
        <f>AN143+ATM_Conf!$C$5*(T143-S143)/(T331*AN331)</f>
        <v>#DIV/0!</v>
      </c>
      <c r="AO144" s="53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43">
        <f t="shared" si="96"/>
        <v>0</v>
      </c>
      <c r="DS144" s="43">
        <f t="shared" si="95"/>
        <v>0</v>
      </c>
      <c r="DT144" s="43">
        <f t="shared" si="95"/>
        <v>0</v>
      </c>
      <c r="DU144" s="43">
        <f t="shared" si="95"/>
        <v>0</v>
      </c>
      <c r="DV144" s="43">
        <f t="shared" si="95"/>
        <v>0</v>
      </c>
      <c r="DW144" s="43">
        <f t="shared" si="95"/>
        <v>0</v>
      </c>
      <c r="DX144" s="43">
        <f t="shared" si="95"/>
        <v>0</v>
      </c>
      <c r="DY144" s="43">
        <f t="shared" si="95"/>
        <v>0</v>
      </c>
      <c r="DZ144" s="43">
        <f t="shared" si="95"/>
        <v>0</v>
      </c>
      <c r="EA144" s="43">
        <f t="shared" si="95"/>
        <v>0</v>
      </c>
      <c r="EB144" s="43">
        <f t="shared" si="95"/>
        <v>0</v>
      </c>
      <c r="EC144" s="43">
        <f t="shared" si="95"/>
        <v>0</v>
      </c>
      <c r="ED144" s="43">
        <f t="shared" si="95"/>
        <v>0</v>
      </c>
      <c r="EE144" s="43">
        <f t="shared" si="95"/>
        <v>0</v>
      </c>
      <c r="EF144" s="43">
        <f t="shared" si="95"/>
        <v>0</v>
      </c>
      <c r="EG144" s="43">
        <f t="shared" si="95"/>
        <v>0</v>
      </c>
      <c r="EH144" s="43">
        <f t="shared" si="95"/>
        <v>0</v>
      </c>
      <c r="EI144" s="43">
        <f t="shared" si="95"/>
        <v>0</v>
      </c>
      <c r="EJ144" s="43">
        <f t="shared" si="95"/>
        <v>0</v>
      </c>
      <c r="EK144" s="43">
        <f t="shared" si="95"/>
        <v>0</v>
      </c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</row>
    <row r="145" spans="1:161" ht="14.25" x14ac:dyDescent="0.15">
      <c r="A145" s="46"/>
      <c r="B145" s="43" t="e">
        <f t="shared" si="74"/>
        <v>#DIV/0!</v>
      </c>
      <c r="C145" s="43" t="e">
        <f t="shared" si="75"/>
        <v>#DIV/0!</v>
      </c>
      <c r="D145" s="43" t="e">
        <f t="shared" si="76"/>
        <v>#DIV/0!</v>
      </c>
      <c r="E145" s="43" t="e">
        <f t="shared" si="77"/>
        <v>#DIV/0!</v>
      </c>
      <c r="F145" s="43" t="e">
        <f t="shared" si="78"/>
        <v>#DIV/0!</v>
      </c>
      <c r="G145" s="43" t="e">
        <f t="shared" si="79"/>
        <v>#DIV/0!</v>
      </c>
      <c r="H145" s="43" t="e">
        <f t="shared" si="80"/>
        <v>#DIV/0!</v>
      </c>
      <c r="I145" s="43" t="e">
        <f t="shared" si="81"/>
        <v>#DIV/0!</v>
      </c>
      <c r="J145" s="43" t="e">
        <f t="shared" si="82"/>
        <v>#DIV/0!</v>
      </c>
      <c r="K145" s="43" t="e">
        <f t="shared" si="83"/>
        <v>#DIV/0!</v>
      </c>
      <c r="L145" s="43" t="e">
        <f t="shared" si="84"/>
        <v>#DIV/0!</v>
      </c>
      <c r="M145" s="43" t="e">
        <f t="shared" si="85"/>
        <v>#DIV/0!</v>
      </c>
      <c r="N145" s="43" t="e">
        <f t="shared" si="86"/>
        <v>#DIV/0!</v>
      </c>
      <c r="O145" s="43" t="e">
        <f t="shared" si="87"/>
        <v>#DIV/0!</v>
      </c>
      <c r="P145" s="43" t="e">
        <f t="shared" si="88"/>
        <v>#DIV/0!</v>
      </c>
      <c r="Q145" s="43" t="e">
        <f t="shared" si="89"/>
        <v>#DIV/0!</v>
      </c>
      <c r="R145" s="43" t="e">
        <f t="shared" si="90"/>
        <v>#DIV/0!</v>
      </c>
      <c r="S145" s="43" t="e">
        <f t="shared" si="91"/>
        <v>#DIV/0!</v>
      </c>
      <c r="T145" s="43" t="e">
        <f t="shared" si="92"/>
        <v>#DIV/0!</v>
      </c>
      <c r="U145" s="43" t="e">
        <f t="shared" si="93"/>
        <v>#DIV/0!</v>
      </c>
      <c r="V145" s="53" t="e">
        <f>V144+ATM_Conf!$C$5*(B144)/(B332*V332)</f>
        <v>#DIV/0!</v>
      </c>
      <c r="W145" s="53" t="e">
        <f>W144+ATM_Conf!$C$5*(C144-B144)/(C332*W332)</f>
        <v>#DIV/0!</v>
      </c>
      <c r="X145" s="53" t="e">
        <f>X144+ATM_Conf!$C$5*(D144-C144)/(D332*X332)</f>
        <v>#DIV/0!</v>
      </c>
      <c r="Y145" s="53" t="e">
        <f>Y144+ATM_Conf!$C$5*(E144-D144)/(E332*Y332)</f>
        <v>#DIV/0!</v>
      </c>
      <c r="Z145" s="53" t="e">
        <f>Z144+ATM_Conf!$C$5*(F144-E144)/(F332*Z332)</f>
        <v>#DIV/0!</v>
      </c>
      <c r="AA145" s="53" t="e">
        <f>AA144+ATM_Conf!$C$5*(G144-F144)/(G332*AA332)</f>
        <v>#DIV/0!</v>
      </c>
      <c r="AB145" s="53" t="e">
        <f>AB144+ATM_Conf!$C$5*(H144-G144)/(H332*AB332)</f>
        <v>#DIV/0!</v>
      </c>
      <c r="AC145" s="53" t="e">
        <f>AC144+ATM_Conf!$C$5*(I144-H144)/(I332*AC332)</f>
        <v>#DIV/0!</v>
      </c>
      <c r="AD145" s="53" t="e">
        <f>AD144+ATM_Conf!$C$5*(J144-I144)/(J332*AD332)</f>
        <v>#DIV/0!</v>
      </c>
      <c r="AE145" s="53" t="e">
        <f>AE144+ATM_Conf!$C$5*(K144-J144)/(K332*AE332)</f>
        <v>#DIV/0!</v>
      </c>
      <c r="AF145" s="53" t="e">
        <f>AF144+ATM_Conf!$C$5*(L144)/(L332*AF332)</f>
        <v>#DIV/0!</v>
      </c>
      <c r="AG145" s="53" t="e">
        <f>AG144+ATM_Conf!$C$5*(M144-L144)/(M332*AG332)</f>
        <v>#DIV/0!</v>
      </c>
      <c r="AH145" s="53" t="e">
        <f>AH144+ATM_Conf!$C$5*(N144-M144)/(N332*AH332)</f>
        <v>#DIV/0!</v>
      </c>
      <c r="AI145" s="53" t="e">
        <f>AI144+ATM_Conf!$C$5*(O144-N144)/(O332*AI332)</f>
        <v>#DIV/0!</v>
      </c>
      <c r="AJ145" s="53" t="e">
        <f>AJ144+ATM_Conf!$C$5*(P144-O144)/(P332*AJ332)</f>
        <v>#DIV/0!</v>
      </c>
      <c r="AK145" s="53" t="e">
        <f>AK144+ATM_Conf!$C$5*(Q144-P144)/(Q332*AK332)</f>
        <v>#DIV/0!</v>
      </c>
      <c r="AL145" s="53" t="e">
        <f>AL144+ATM_Conf!$C$5*(R144-Q144)/(R332*AL332)</f>
        <v>#DIV/0!</v>
      </c>
      <c r="AM145" s="53" t="e">
        <f>AM144+ATM_Conf!$C$5*(S144-R144)/(S332*AM332)</f>
        <v>#DIV/0!</v>
      </c>
      <c r="AN145" s="53" t="e">
        <f>AN144+ATM_Conf!$C$5*(T144-S144)/(T332*AN332)</f>
        <v>#DIV/0!</v>
      </c>
      <c r="AO145" s="53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43">
        <f t="shared" si="96"/>
        <v>0</v>
      </c>
      <c r="DS145" s="43">
        <f t="shared" si="95"/>
        <v>0</v>
      </c>
      <c r="DT145" s="43">
        <f t="shared" si="95"/>
        <v>0</v>
      </c>
      <c r="DU145" s="43">
        <f t="shared" si="95"/>
        <v>0</v>
      </c>
      <c r="DV145" s="43">
        <f t="shared" si="95"/>
        <v>0</v>
      </c>
      <c r="DW145" s="43">
        <f t="shared" si="95"/>
        <v>0</v>
      </c>
      <c r="DX145" s="43">
        <f t="shared" si="95"/>
        <v>0</v>
      </c>
      <c r="DY145" s="43">
        <f t="shared" si="95"/>
        <v>0</v>
      </c>
      <c r="DZ145" s="43">
        <f t="shared" si="95"/>
        <v>0</v>
      </c>
      <c r="EA145" s="43">
        <f t="shared" si="95"/>
        <v>0</v>
      </c>
      <c r="EB145" s="43">
        <f t="shared" si="95"/>
        <v>0</v>
      </c>
      <c r="EC145" s="43">
        <f t="shared" si="95"/>
        <v>0</v>
      </c>
      <c r="ED145" s="43">
        <f t="shared" si="95"/>
        <v>0</v>
      </c>
      <c r="EE145" s="43">
        <f t="shared" si="95"/>
        <v>0</v>
      </c>
      <c r="EF145" s="43">
        <f t="shared" si="95"/>
        <v>0</v>
      </c>
      <c r="EG145" s="43">
        <f t="shared" si="95"/>
        <v>0</v>
      </c>
      <c r="EH145" s="43">
        <f t="shared" si="95"/>
        <v>0</v>
      </c>
      <c r="EI145" s="43">
        <f t="shared" si="95"/>
        <v>0</v>
      </c>
      <c r="EJ145" s="43">
        <f t="shared" si="95"/>
        <v>0</v>
      </c>
      <c r="EK145" s="43">
        <f t="shared" si="95"/>
        <v>0</v>
      </c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47"/>
      <c r="FA145" s="47"/>
      <c r="FB145" s="47"/>
      <c r="FC145" s="47"/>
      <c r="FD145" s="47"/>
      <c r="FE145" s="47"/>
    </row>
    <row r="146" spans="1:161" ht="14.25" x14ac:dyDescent="0.15">
      <c r="A146" s="46"/>
      <c r="B146" s="43" t="e">
        <f t="shared" si="74"/>
        <v>#DIV/0!</v>
      </c>
      <c r="C146" s="43" t="e">
        <f t="shared" si="75"/>
        <v>#DIV/0!</v>
      </c>
      <c r="D146" s="43" t="e">
        <f t="shared" si="76"/>
        <v>#DIV/0!</v>
      </c>
      <c r="E146" s="43" t="e">
        <f t="shared" si="77"/>
        <v>#DIV/0!</v>
      </c>
      <c r="F146" s="43" t="e">
        <f t="shared" si="78"/>
        <v>#DIV/0!</v>
      </c>
      <c r="G146" s="43" t="e">
        <f t="shared" si="79"/>
        <v>#DIV/0!</v>
      </c>
      <c r="H146" s="43" t="e">
        <f t="shared" si="80"/>
        <v>#DIV/0!</v>
      </c>
      <c r="I146" s="43" t="e">
        <f t="shared" si="81"/>
        <v>#DIV/0!</v>
      </c>
      <c r="J146" s="43" t="e">
        <f t="shared" si="82"/>
        <v>#DIV/0!</v>
      </c>
      <c r="K146" s="43" t="e">
        <f t="shared" si="83"/>
        <v>#DIV/0!</v>
      </c>
      <c r="L146" s="43" t="e">
        <f t="shared" si="84"/>
        <v>#DIV/0!</v>
      </c>
      <c r="M146" s="43" t="e">
        <f t="shared" si="85"/>
        <v>#DIV/0!</v>
      </c>
      <c r="N146" s="43" t="e">
        <f t="shared" si="86"/>
        <v>#DIV/0!</v>
      </c>
      <c r="O146" s="43" t="e">
        <f t="shared" si="87"/>
        <v>#DIV/0!</v>
      </c>
      <c r="P146" s="43" t="e">
        <f t="shared" si="88"/>
        <v>#DIV/0!</v>
      </c>
      <c r="Q146" s="43" t="e">
        <f t="shared" si="89"/>
        <v>#DIV/0!</v>
      </c>
      <c r="R146" s="43" t="e">
        <f t="shared" si="90"/>
        <v>#DIV/0!</v>
      </c>
      <c r="S146" s="43" t="e">
        <f t="shared" si="91"/>
        <v>#DIV/0!</v>
      </c>
      <c r="T146" s="43" t="e">
        <f t="shared" si="92"/>
        <v>#DIV/0!</v>
      </c>
      <c r="U146" s="43" t="e">
        <f t="shared" si="93"/>
        <v>#DIV/0!</v>
      </c>
      <c r="V146" s="53" t="e">
        <f>V145+ATM_Conf!$C$5*(B145)/(B333*V333)</f>
        <v>#DIV/0!</v>
      </c>
      <c r="W146" s="53" t="e">
        <f>W145+ATM_Conf!$C$5*(C145-B145)/(C333*W333)</f>
        <v>#DIV/0!</v>
      </c>
      <c r="X146" s="53" t="e">
        <f>X145+ATM_Conf!$C$5*(D145-C145)/(D333*X333)</f>
        <v>#DIV/0!</v>
      </c>
      <c r="Y146" s="53" t="e">
        <f>Y145+ATM_Conf!$C$5*(E145-D145)/(E333*Y333)</f>
        <v>#DIV/0!</v>
      </c>
      <c r="Z146" s="53" t="e">
        <f>Z145+ATM_Conf!$C$5*(F145-E145)/(F333*Z333)</f>
        <v>#DIV/0!</v>
      </c>
      <c r="AA146" s="53" t="e">
        <f>AA145+ATM_Conf!$C$5*(G145-F145)/(G333*AA333)</f>
        <v>#DIV/0!</v>
      </c>
      <c r="AB146" s="53" t="e">
        <f>AB145+ATM_Conf!$C$5*(H145-G145)/(H333*AB333)</f>
        <v>#DIV/0!</v>
      </c>
      <c r="AC146" s="53" t="e">
        <f>AC145+ATM_Conf!$C$5*(I145-H145)/(I333*AC333)</f>
        <v>#DIV/0!</v>
      </c>
      <c r="AD146" s="53" t="e">
        <f>AD145+ATM_Conf!$C$5*(J145-I145)/(J333*AD333)</f>
        <v>#DIV/0!</v>
      </c>
      <c r="AE146" s="53" t="e">
        <f>AE145+ATM_Conf!$C$5*(K145-J145)/(K333*AE333)</f>
        <v>#DIV/0!</v>
      </c>
      <c r="AF146" s="53" t="e">
        <f>AF145+ATM_Conf!$C$5*(L145)/(L333*AF333)</f>
        <v>#DIV/0!</v>
      </c>
      <c r="AG146" s="53" t="e">
        <f>AG145+ATM_Conf!$C$5*(M145-L145)/(M333*AG333)</f>
        <v>#DIV/0!</v>
      </c>
      <c r="AH146" s="53" t="e">
        <f>AH145+ATM_Conf!$C$5*(N145-M145)/(N333*AH333)</f>
        <v>#DIV/0!</v>
      </c>
      <c r="AI146" s="53" t="e">
        <f>AI145+ATM_Conf!$C$5*(O145-N145)/(O333*AI333)</f>
        <v>#DIV/0!</v>
      </c>
      <c r="AJ146" s="53" t="e">
        <f>AJ145+ATM_Conf!$C$5*(P145-O145)/(P333*AJ333)</f>
        <v>#DIV/0!</v>
      </c>
      <c r="AK146" s="53" t="e">
        <f>AK145+ATM_Conf!$C$5*(Q145-P145)/(Q333*AK333)</f>
        <v>#DIV/0!</v>
      </c>
      <c r="AL146" s="53" t="e">
        <f>AL145+ATM_Conf!$C$5*(R145-Q145)/(R333*AL333)</f>
        <v>#DIV/0!</v>
      </c>
      <c r="AM146" s="53" t="e">
        <f>AM145+ATM_Conf!$C$5*(S145-R145)/(S333*AM333)</f>
        <v>#DIV/0!</v>
      </c>
      <c r="AN146" s="53" t="e">
        <f>AN145+ATM_Conf!$C$5*(T145-S145)/(T333*AN333)</f>
        <v>#DIV/0!</v>
      </c>
      <c r="AO146" s="53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43">
        <f t="shared" si="96"/>
        <v>0</v>
      </c>
      <c r="DS146" s="43">
        <f t="shared" si="95"/>
        <v>0</v>
      </c>
      <c r="DT146" s="43">
        <f t="shared" si="95"/>
        <v>0</v>
      </c>
      <c r="DU146" s="43">
        <f t="shared" si="95"/>
        <v>0</v>
      </c>
      <c r="DV146" s="43">
        <f t="shared" si="95"/>
        <v>0</v>
      </c>
      <c r="DW146" s="43">
        <f t="shared" si="95"/>
        <v>0</v>
      </c>
      <c r="DX146" s="43">
        <f t="shared" si="95"/>
        <v>0</v>
      </c>
      <c r="DY146" s="43">
        <f t="shared" si="95"/>
        <v>0</v>
      </c>
      <c r="DZ146" s="43">
        <f t="shared" si="95"/>
        <v>0</v>
      </c>
      <c r="EA146" s="43">
        <f t="shared" si="95"/>
        <v>0</v>
      </c>
      <c r="EB146" s="43">
        <f t="shared" si="95"/>
        <v>0</v>
      </c>
      <c r="EC146" s="43">
        <f t="shared" si="95"/>
        <v>0</v>
      </c>
      <c r="ED146" s="43">
        <f t="shared" si="95"/>
        <v>0</v>
      </c>
      <c r="EE146" s="43">
        <f t="shared" si="95"/>
        <v>0</v>
      </c>
      <c r="EF146" s="43">
        <f t="shared" si="95"/>
        <v>0</v>
      </c>
      <c r="EG146" s="43">
        <f t="shared" si="95"/>
        <v>0</v>
      </c>
      <c r="EH146" s="43">
        <f t="shared" si="95"/>
        <v>0</v>
      </c>
      <c r="EI146" s="43">
        <f t="shared" si="95"/>
        <v>0</v>
      </c>
      <c r="EJ146" s="43">
        <f t="shared" si="95"/>
        <v>0</v>
      </c>
      <c r="EK146" s="43">
        <f t="shared" si="95"/>
        <v>0</v>
      </c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47"/>
      <c r="FA146" s="47"/>
      <c r="FB146" s="47"/>
      <c r="FC146" s="47"/>
      <c r="FD146" s="47"/>
      <c r="FE146" s="47"/>
    </row>
    <row r="147" spans="1:161" ht="14.25" x14ac:dyDescent="0.15">
      <c r="A147" s="46"/>
      <c r="B147" s="43" t="e">
        <f t="shared" si="74"/>
        <v>#DIV/0!</v>
      </c>
      <c r="C147" s="43" t="e">
        <f t="shared" si="75"/>
        <v>#DIV/0!</v>
      </c>
      <c r="D147" s="43" t="e">
        <f t="shared" si="76"/>
        <v>#DIV/0!</v>
      </c>
      <c r="E147" s="43" t="e">
        <f t="shared" si="77"/>
        <v>#DIV/0!</v>
      </c>
      <c r="F147" s="43" t="e">
        <f t="shared" si="78"/>
        <v>#DIV/0!</v>
      </c>
      <c r="G147" s="43" t="e">
        <f t="shared" si="79"/>
        <v>#DIV/0!</v>
      </c>
      <c r="H147" s="43" t="e">
        <f t="shared" si="80"/>
        <v>#DIV/0!</v>
      </c>
      <c r="I147" s="43" t="e">
        <f t="shared" si="81"/>
        <v>#DIV/0!</v>
      </c>
      <c r="J147" s="43" t="e">
        <f t="shared" si="82"/>
        <v>#DIV/0!</v>
      </c>
      <c r="K147" s="43" t="e">
        <f t="shared" si="83"/>
        <v>#DIV/0!</v>
      </c>
      <c r="L147" s="43" t="e">
        <f t="shared" si="84"/>
        <v>#DIV/0!</v>
      </c>
      <c r="M147" s="43" t="e">
        <f t="shared" si="85"/>
        <v>#DIV/0!</v>
      </c>
      <c r="N147" s="43" t="e">
        <f t="shared" si="86"/>
        <v>#DIV/0!</v>
      </c>
      <c r="O147" s="43" t="e">
        <f t="shared" si="87"/>
        <v>#DIV/0!</v>
      </c>
      <c r="P147" s="43" t="e">
        <f t="shared" si="88"/>
        <v>#DIV/0!</v>
      </c>
      <c r="Q147" s="43" t="e">
        <f t="shared" si="89"/>
        <v>#DIV/0!</v>
      </c>
      <c r="R147" s="43" t="e">
        <f t="shared" si="90"/>
        <v>#DIV/0!</v>
      </c>
      <c r="S147" s="43" t="e">
        <f t="shared" si="91"/>
        <v>#DIV/0!</v>
      </c>
      <c r="T147" s="43" t="e">
        <f t="shared" si="92"/>
        <v>#DIV/0!</v>
      </c>
      <c r="U147" s="43" t="e">
        <f t="shared" si="93"/>
        <v>#DIV/0!</v>
      </c>
      <c r="V147" s="53" t="e">
        <f>V146+ATM_Conf!$C$5*(B146)/(B334*V334)</f>
        <v>#DIV/0!</v>
      </c>
      <c r="W147" s="53" t="e">
        <f>W146+ATM_Conf!$C$5*(C146-B146)/(C334*W334)</f>
        <v>#DIV/0!</v>
      </c>
      <c r="X147" s="53" t="e">
        <f>X146+ATM_Conf!$C$5*(D146-C146)/(D334*X334)</f>
        <v>#DIV/0!</v>
      </c>
      <c r="Y147" s="53" t="e">
        <f>Y146+ATM_Conf!$C$5*(E146-D146)/(E334*Y334)</f>
        <v>#DIV/0!</v>
      </c>
      <c r="Z147" s="53" t="e">
        <f>Z146+ATM_Conf!$C$5*(F146-E146)/(F334*Z334)</f>
        <v>#DIV/0!</v>
      </c>
      <c r="AA147" s="53" t="e">
        <f>AA146+ATM_Conf!$C$5*(G146-F146)/(G334*AA334)</f>
        <v>#DIV/0!</v>
      </c>
      <c r="AB147" s="53" t="e">
        <f>AB146+ATM_Conf!$C$5*(H146-G146)/(H334*AB334)</f>
        <v>#DIV/0!</v>
      </c>
      <c r="AC147" s="53" t="e">
        <f>AC146+ATM_Conf!$C$5*(I146-H146)/(I334*AC334)</f>
        <v>#DIV/0!</v>
      </c>
      <c r="AD147" s="53" t="e">
        <f>AD146+ATM_Conf!$C$5*(J146-I146)/(J334*AD334)</f>
        <v>#DIV/0!</v>
      </c>
      <c r="AE147" s="53" t="e">
        <f>AE146+ATM_Conf!$C$5*(K146-J146)/(K334*AE334)</f>
        <v>#DIV/0!</v>
      </c>
      <c r="AF147" s="53" t="e">
        <f>AF146+ATM_Conf!$C$5*(L146)/(L334*AF334)</f>
        <v>#DIV/0!</v>
      </c>
      <c r="AG147" s="53" t="e">
        <f>AG146+ATM_Conf!$C$5*(M146-L146)/(M334*AG334)</f>
        <v>#DIV/0!</v>
      </c>
      <c r="AH147" s="53" t="e">
        <f>AH146+ATM_Conf!$C$5*(N146-M146)/(N334*AH334)</f>
        <v>#DIV/0!</v>
      </c>
      <c r="AI147" s="53" t="e">
        <f>AI146+ATM_Conf!$C$5*(O146-N146)/(O334*AI334)</f>
        <v>#DIV/0!</v>
      </c>
      <c r="AJ147" s="53" t="e">
        <f>AJ146+ATM_Conf!$C$5*(P146-O146)/(P334*AJ334)</f>
        <v>#DIV/0!</v>
      </c>
      <c r="AK147" s="53" t="e">
        <f>AK146+ATM_Conf!$C$5*(Q146-P146)/(Q334*AK334)</f>
        <v>#DIV/0!</v>
      </c>
      <c r="AL147" s="53" t="e">
        <f>AL146+ATM_Conf!$C$5*(R146-Q146)/(R334*AL334)</f>
        <v>#DIV/0!</v>
      </c>
      <c r="AM147" s="53" t="e">
        <f>AM146+ATM_Conf!$C$5*(S146-R146)/(S334*AM334)</f>
        <v>#DIV/0!</v>
      </c>
      <c r="AN147" s="53" t="e">
        <f>AN146+ATM_Conf!$C$5*(T146-S146)/(T334*AN334)</f>
        <v>#DIV/0!</v>
      </c>
      <c r="AO147" s="53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62"/>
      <c r="DS147" s="62"/>
      <c r="DT147" s="62"/>
      <c r="DU147" s="62"/>
      <c r="DV147" s="62"/>
      <c r="DW147" s="62"/>
      <c r="DX147" s="62"/>
      <c r="DY147" s="62"/>
      <c r="DZ147" s="62"/>
      <c r="EA147" s="62"/>
      <c r="EB147" s="62"/>
      <c r="EC147" s="62"/>
      <c r="ED147" s="62"/>
      <c r="EE147" s="62"/>
      <c r="EF147" s="62"/>
      <c r="EG147" s="62"/>
      <c r="EH147" s="62"/>
      <c r="EI147" s="62"/>
      <c r="EJ147" s="62"/>
      <c r="EK147" s="62"/>
      <c r="EL147" s="47">
        <f>(DR147-DR135)^2</f>
        <v>0</v>
      </c>
      <c r="EM147" s="47">
        <f t="shared" ref="EM147:FE147" si="97">(DS147-DS135)^2</f>
        <v>0</v>
      </c>
      <c r="EN147" s="47">
        <f t="shared" si="97"/>
        <v>0</v>
      </c>
      <c r="EO147" s="47">
        <f t="shared" si="97"/>
        <v>0</v>
      </c>
      <c r="EP147" s="47">
        <f t="shared" si="97"/>
        <v>0</v>
      </c>
      <c r="EQ147" s="47">
        <f t="shared" si="97"/>
        <v>0</v>
      </c>
      <c r="ER147" s="47">
        <f t="shared" si="97"/>
        <v>0</v>
      </c>
      <c r="ES147" s="47">
        <f t="shared" si="97"/>
        <v>0</v>
      </c>
      <c r="ET147" s="47">
        <f t="shared" si="97"/>
        <v>0</v>
      </c>
      <c r="EU147" s="47">
        <f t="shared" si="97"/>
        <v>0</v>
      </c>
      <c r="EV147" s="47">
        <f t="shared" si="97"/>
        <v>0</v>
      </c>
      <c r="EW147" s="47">
        <f t="shared" si="97"/>
        <v>0</v>
      </c>
      <c r="EX147" s="47">
        <f t="shared" si="97"/>
        <v>0</v>
      </c>
      <c r="EY147" s="47">
        <f t="shared" si="97"/>
        <v>0</v>
      </c>
      <c r="EZ147" s="47">
        <f t="shared" si="97"/>
        <v>0</v>
      </c>
      <c r="FA147" s="47">
        <f t="shared" si="97"/>
        <v>0</v>
      </c>
      <c r="FB147" s="47">
        <f t="shared" si="97"/>
        <v>0</v>
      </c>
      <c r="FC147" s="47">
        <f t="shared" si="97"/>
        <v>0</v>
      </c>
      <c r="FD147" s="47">
        <f t="shared" si="97"/>
        <v>0</v>
      </c>
      <c r="FE147" s="47">
        <f t="shared" si="97"/>
        <v>0</v>
      </c>
    </row>
    <row r="148" spans="1:161" ht="14.25" x14ac:dyDescent="0.15">
      <c r="A148" s="46"/>
      <c r="B148" s="43" t="e">
        <f t="shared" si="74"/>
        <v>#DIV/0!</v>
      </c>
      <c r="C148" s="43" t="e">
        <f t="shared" si="75"/>
        <v>#DIV/0!</v>
      </c>
      <c r="D148" s="43" t="e">
        <f t="shared" si="76"/>
        <v>#DIV/0!</v>
      </c>
      <c r="E148" s="43" t="e">
        <f t="shared" si="77"/>
        <v>#DIV/0!</v>
      </c>
      <c r="F148" s="43" t="e">
        <f t="shared" si="78"/>
        <v>#DIV/0!</v>
      </c>
      <c r="G148" s="43" t="e">
        <f t="shared" si="79"/>
        <v>#DIV/0!</v>
      </c>
      <c r="H148" s="43" t="e">
        <f t="shared" si="80"/>
        <v>#DIV/0!</v>
      </c>
      <c r="I148" s="43" t="e">
        <f t="shared" si="81"/>
        <v>#DIV/0!</v>
      </c>
      <c r="J148" s="43" t="e">
        <f t="shared" si="82"/>
        <v>#DIV/0!</v>
      </c>
      <c r="K148" s="43" t="e">
        <f t="shared" si="83"/>
        <v>#DIV/0!</v>
      </c>
      <c r="L148" s="43" t="e">
        <f t="shared" si="84"/>
        <v>#DIV/0!</v>
      </c>
      <c r="M148" s="43" t="e">
        <f t="shared" si="85"/>
        <v>#DIV/0!</v>
      </c>
      <c r="N148" s="43" t="e">
        <f t="shared" si="86"/>
        <v>#DIV/0!</v>
      </c>
      <c r="O148" s="43" t="e">
        <f t="shared" si="87"/>
        <v>#DIV/0!</v>
      </c>
      <c r="P148" s="43" t="e">
        <f t="shared" si="88"/>
        <v>#DIV/0!</v>
      </c>
      <c r="Q148" s="43" t="e">
        <f t="shared" si="89"/>
        <v>#DIV/0!</v>
      </c>
      <c r="R148" s="43" t="e">
        <f t="shared" si="90"/>
        <v>#DIV/0!</v>
      </c>
      <c r="S148" s="43" t="e">
        <f t="shared" si="91"/>
        <v>#DIV/0!</v>
      </c>
      <c r="T148" s="43" t="e">
        <f t="shared" si="92"/>
        <v>#DIV/0!</v>
      </c>
      <c r="U148" s="43" t="e">
        <f t="shared" si="93"/>
        <v>#DIV/0!</v>
      </c>
      <c r="V148" s="53" t="e">
        <f>V147+ATM_Conf!$C$5*(B147)/(B335*V335)</f>
        <v>#DIV/0!</v>
      </c>
      <c r="W148" s="53" t="e">
        <f>W147+ATM_Conf!$C$5*(C147-B147)/(C335*W335)</f>
        <v>#DIV/0!</v>
      </c>
      <c r="X148" s="53" t="e">
        <f>X147+ATM_Conf!$C$5*(D147-C147)/(D335*X335)</f>
        <v>#DIV/0!</v>
      </c>
      <c r="Y148" s="53" t="e">
        <f>Y147+ATM_Conf!$C$5*(E147-D147)/(E335*Y335)</f>
        <v>#DIV/0!</v>
      </c>
      <c r="Z148" s="53" t="e">
        <f>Z147+ATM_Conf!$C$5*(F147-E147)/(F335*Z335)</f>
        <v>#DIV/0!</v>
      </c>
      <c r="AA148" s="53" t="e">
        <f>AA147+ATM_Conf!$C$5*(G147-F147)/(G335*AA335)</f>
        <v>#DIV/0!</v>
      </c>
      <c r="AB148" s="53" t="e">
        <f>AB147+ATM_Conf!$C$5*(H147-G147)/(H335*AB335)</f>
        <v>#DIV/0!</v>
      </c>
      <c r="AC148" s="53" t="e">
        <f>AC147+ATM_Conf!$C$5*(I147-H147)/(I335*AC335)</f>
        <v>#DIV/0!</v>
      </c>
      <c r="AD148" s="53" t="e">
        <f>AD147+ATM_Conf!$C$5*(J147-I147)/(J335*AD335)</f>
        <v>#DIV/0!</v>
      </c>
      <c r="AE148" s="53" t="e">
        <f>AE147+ATM_Conf!$C$5*(K147-J147)/(K335*AE335)</f>
        <v>#DIV/0!</v>
      </c>
      <c r="AF148" s="53" t="e">
        <f>AF147+ATM_Conf!$C$5*(L147)/(L335*AF335)</f>
        <v>#DIV/0!</v>
      </c>
      <c r="AG148" s="53" t="e">
        <f>AG147+ATM_Conf!$C$5*(M147-L147)/(M335*AG335)</f>
        <v>#DIV/0!</v>
      </c>
      <c r="AH148" s="53" t="e">
        <f>AH147+ATM_Conf!$C$5*(N147-M147)/(N335*AH335)</f>
        <v>#DIV/0!</v>
      </c>
      <c r="AI148" s="53" t="e">
        <f>AI147+ATM_Conf!$C$5*(O147-N147)/(O335*AI335)</f>
        <v>#DIV/0!</v>
      </c>
      <c r="AJ148" s="53" t="e">
        <f>AJ147+ATM_Conf!$C$5*(P147-O147)/(P335*AJ335)</f>
        <v>#DIV/0!</v>
      </c>
      <c r="AK148" s="53" t="e">
        <f>AK147+ATM_Conf!$C$5*(Q147-P147)/(Q335*AK335)</f>
        <v>#DIV/0!</v>
      </c>
      <c r="AL148" s="53" t="e">
        <f>AL147+ATM_Conf!$C$5*(R147-Q147)/(R335*AL335)</f>
        <v>#DIV/0!</v>
      </c>
      <c r="AM148" s="53" t="e">
        <f>AM147+ATM_Conf!$C$5*(S147-R147)/(S335*AM335)</f>
        <v>#DIV/0!</v>
      </c>
      <c r="AN148" s="53" t="e">
        <f>AN147+ATM_Conf!$C$5*(T147-S147)/(T335*AN335)</f>
        <v>#DIV/0!</v>
      </c>
      <c r="AO148" s="53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43">
        <f>DR$147</f>
        <v>0</v>
      </c>
      <c r="DS148" s="43">
        <f t="shared" ref="DS148:EK158" si="98">DS$147</f>
        <v>0</v>
      </c>
      <c r="DT148" s="43">
        <f t="shared" si="98"/>
        <v>0</v>
      </c>
      <c r="DU148" s="43">
        <f t="shared" si="98"/>
        <v>0</v>
      </c>
      <c r="DV148" s="43">
        <f t="shared" si="98"/>
        <v>0</v>
      </c>
      <c r="DW148" s="43">
        <f t="shared" si="98"/>
        <v>0</v>
      </c>
      <c r="DX148" s="43">
        <f t="shared" si="98"/>
        <v>0</v>
      </c>
      <c r="DY148" s="43">
        <f t="shared" si="98"/>
        <v>0</v>
      </c>
      <c r="DZ148" s="43">
        <f t="shared" si="98"/>
        <v>0</v>
      </c>
      <c r="EA148" s="43">
        <f t="shared" si="98"/>
        <v>0</v>
      </c>
      <c r="EB148" s="43">
        <f t="shared" si="98"/>
        <v>0</v>
      </c>
      <c r="EC148" s="43">
        <f t="shared" si="98"/>
        <v>0</v>
      </c>
      <c r="ED148" s="43">
        <f t="shared" si="98"/>
        <v>0</v>
      </c>
      <c r="EE148" s="43">
        <f t="shared" si="98"/>
        <v>0</v>
      </c>
      <c r="EF148" s="43">
        <f t="shared" si="98"/>
        <v>0</v>
      </c>
      <c r="EG148" s="43">
        <f t="shared" si="98"/>
        <v>0</v>
      </c>
      <c r="EH148" s="43">
        <f t="shared" si="98"/>
        <v>0</v>
      </c>
      <c r="EI148" s="43">
        <f t="shared" si="98"/>
        <v>0</v>
      </c>
      <c r="EJ148" s="43">
        <f t="shared" si="98"/>
        <v>0</v>
      </c>
      <c r="EK148" s="43">
        <f t="shared" si="98"/>
        <v>0</v>
      </c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47"/>
      <c r="FA148" s="47"/>
      <c r="FB148" s="47"/>
      <c r="FC148" s="47"/>
      <c r="FD148" s="47"/>
      <c r="FE148" s="47"/>
    </row>
    <row r="149" spans="1:161" ht="14.25" x14ac:dyDescent="0.15">
      <c r="A149" s="46"/>
      <c r="B149" s="43" t="e">
        <f t="shared" si="74"/>
        <v>#DIV/0!</v>
      </c>
      <c r="C149" s="43" t="e">
        <f t="shared" si="75"/>
        <v>#DIV/0!</v>
      </c>
      <c r="D149" s="43" t="e">
        <f t="shared" si="76"/>
        <v>#DIV/0!</v>
      </c>
      <c r="E149" s="43" t="e">
        <f t="shared" si="77"/>
        <v>#DIV/0!</v>
      </c>
      <c r="F149" s="43" t="e">
        <f t="shared" si="78"/>
        <v>#DIV/0!</v>
      </c>
      <c r="G149" s="43" t="e">
        <f t="shared" si="79"/>
        <v>#DIV/0!</v>
      </c>
      <c r="H149" s="43" t="e">
        <f t="shared" si="80"/>
        <v>#DIV/0!</v>
      </c>
      <c r="I149" s="43" t="e">
        <f t="shared" si="81"/>
        <v>#DIV/0!</v>
      </c>
      <c r="J149" s="43" t="e">
        <f t="shared" si="82"/>
        <v>#DIV/0!</v>
      </c>
      <c r="K149" s="43" t="e">
        <f t="shared" si="83"/>
        <v>#DIV/0!</v>
      </c>
      <c r="L149" s="43" t="e">
        <f t="shared" si="84"/>
        <v>#DIV/0!</v>
      </c>
      <c r="M149" s="43" t="e">
        <f t="shared" si="85"/>
        <v>#DIV/0!</v>
      </c>
      <c r="N149" s="43" t="e">
        <f t="shared" si="86"/>
        <v>#DIV/0!</v>
      </c>
      <c r="O149" s="43" t="e">
        <f t="shared" si="87"/>
        <v>#DIV/0!</v>
      </c>
      <c r="P149" s="43" t="e">
        <f t="shared" si="88"/>
        <v>#DIV/0!</v>
      </c>
      <c r="Q149" s="43" t="e">
        <f t="shared" si="89"/>
        <v>#DIV/0!</v>
      </c>
      <c r="R149" s="43" t="e">
        <f t="shared" si="90"/>
        <v>#DIV/0!</v>
      </c>
      <c r="S149" s="43" t="e">
        <f t="shared" si="91"/>
        <v>#DIV/0!</v>
      </c>
      <c r="T149" s="43" t="e">
        <f t="shared" si="92"/>
        <v>#DIV/0!</v>
      </c>
      <c r="U149" s="43" t="e">
        <f t="shared" si="93"/>
        <v>#DIV/0!</v>
      </c>
      <c r="V149" s="53" t="e">
        <f>V148+ATM_Conf!$C$5*(B148)/(B336*V336)</f>
        <v>#DIV/0!</v>
      </c>
      <c r="W149" s="53" t="e">
        <f>W148+ATM_Conf!$C$5*(C148-B148)/(C336*W336)</f>
        <v>#DIV/0!</v>
      </c>
      <c r="X149" s="53" t="e">
        <f>X148+ATM_Conf!$C$5*(D148-C148)/(D336*X336)</f>
        <v>#DIV/0!</v>
      </c>
      <c r="Y149" s="53" t="e">
        <f>Y148+ATM_Conf!$C$5*(E148-D148)/(E336*Y336)</f>
        <v>#DIV/0!</v>
      </c>
      <c r="Z149" s="53" t="e">
        <f>Z148+ATM_Conf!$C$5*(F148-E148)/(F336*Z336)</f>
        <v>#DIV/0!</v>
      </c>
      <c r="AA149" s="53" t="e">
        <f>AA148+ATM_Conf!$C$5*(G148-F148)/(G336*AA336)</f>
        <v>#DIV/0!</v>
      </c>
      <c r="AB149" s="53" t="e">
        <f>AB148+ATM_Conf!$C$5*(H148-G148)/(H336*AB336)</f>
        <v>#DIV/0!</v>
      </c>
      <c r="AC149" s="53" t="e">
        <f>AC148+ATM_Conf!$C$5*(I148-H148)/(I336*AC336)</f>
        <v>#DIV/0!</v>
      </c>
      <c r="AD149" s="53" t="e">
        <f>AD148+ATM_Conf!$C$5*(J148-I148)/(J336*AD336)</f>
        <v>#DIV/0!</v>
      </c>
      <c r="AE149" s="53" t="e">
        <f>AE148+ATM_Conf!$C$5*(K148-J148)/(K336*AE336)</f>
        <v>#DIV/0!</v>
      </c>
      <c r="AF149" s="53" t="e">
        <f>AF148+ATM_Conf!$C$5*(L148)/(L336*AF336)</f>
        <v>#DIV/0!</v>
      </c>
      <c r="AG149" s="53" t="e">
        <f>AG148+ATM_Conf!$C$5*(M148-L148)/(M336*AG336)</f>
        <v>#DIV/0!</v>
      </c>
      <c r="AH149" s="53" t="e">
        <f>AH148+ATM_Conf!$C$5*(N148-M148)/(N336*AH336)</f>
        <v>#DIV/0!</v>
      </c>
      <c r="AI149" s="53" t="e">
        <f>AI148+ATM_Conf!$C$5*(O148-N148)/(O336*AI336)</f>
        <v>#DIV/0!</v>
      </c>
      <c r="AJ149" s="53" t="e">
        <f>AJ148+ATM_Conf!$C$5*(P148-O148)/(P336*AJ336)</f>
        <v>#DIV/0!</v>
      </c>
      <c r="AK149" s="53" t="e">
        <f>AK148+ATM_Conf!$C$5*(Q148-P148)/(Q336*AK336)</f>
        <v>#DIV/0!</v>
      </c>
      <c r="AL149" s="53" t="e">
        <f>AL148+ATM_Conf!$C$5*(R148-Q148)/(R336*AL336)</f>
        <v>#DIV/0!</v>
      </c>
      <c r="AM149" s="53" t="e">
        <f>AM148+ATM_Conf!$C$5*(S148-R148)/(S336*AM336)</f>
        <v>#DIV/0!</v>
      </c>
      <c r="AN149" s="53" t="e">
        <f>AN148+ATM_Conf!$C$5*(T148-S148)/(T336*AN336)</f>
        <v>#DIV/0!</v>
      </c>
      <c r="AO149" s="53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43">
        <f t="shared" ref="DR149:DR158" si="99">DR$147</f>
        <v>0</v>
      </c>
      <c r="DS149" s="43">
        <f t="shared" si="98"/>
        <v>0</v>
      </c>
      <c r="DT149" s="43">
        <f t="shared" si="98"/>
        <v>0</v>
      </c>
      <c r="DU149" s="43">
        <f t="shared" si="98"/>
        <v>0</v>
      </c>
      <c r="DV149" s="43">
        <f t="shared" si="98"/>
        <v>0</v>
      </c>
      <c r="DW149" s="43">
        <f t="shared" si="98"/>
        <v>0</v>
      </c>
      <c r="DX149" s="43">
        <f t="shared" si="98"/>
        <v>0</v>
      </c>
      <c r="DY149" s="43">
        <f t="shared" si="98"/>
        <v>0</v>
      </c>
      <c r="DZ149" s="43">
        <f t="shared" si="98"/>
        <v>0</v>
      </c>
      <c r="EA149" s="43">
        <f t="shared" si="98"/>
        <v>0</v>
      </c>
      <c r="EB149" s="43">
        <f t="shared" si="98"/>
        <v>0</v>
      </c>
      <c r="EC149" s="43">
        <f t="shared" si="98"/>
        <v>0</v>
      </c>
      <c r="ED149" s="43">
        <f t="shared" si="98"/>
        <v>0</v>
      </c>
      <c r="EE149" s="43">
        <f t="shared" si="98"/>
        <v>0</v>
      </c>
      <c r="EF149" s="43">
        <f t="shared" si="98"/>
        <v>0</v>
      </c>
      <c r="EG149" s="43">
        <f t="shared" si="98"/>
        <v>0</v>
      </c>
      <c r="EH149" s="43">
        <f t="shared" si="98"/>
        <v>0</v>
      </c>
      <c r="EI149" s="43">
        <f t="shared" si="98"/>
        <v>0</v>
      </c>
      <c r="EJ149" s="43">
        <f t="shared" si="98"/>
        <v>0</v>
      </c>
      <c r="EK149" s="43">
        <f t="shared" si="98"/>
        <v>0</v>
      </c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47"/>
      <c r="FA149" s="47"/>
      <c r="FB149" s="47"/>
      <c r="FC149" s="47"/>
      <c r="FD149" s="47"/>
      <c r="FE149" s="47"/>
    </row>
    <row r="150" spans="1:161" ht="14.25" x14ac:dyDescent="0.15">
      <c r="A150" s="46"/>
      <c r="B150" s="43" t="e">
        <f t="shared" si="74"/>
        <v>#DIV/0!</v>
      </c>
      <c r="C150" s="43" t="e">
        <f t="shared" si="75"/>
        <v>#DIV/0!</v>
      </c>
      <c r="D150" s="43" t="e">
        <f t="shared" si="76"/>
        <v>#DIV/0!</v>
      </c>
      <c r="E150" s="43" t="e">
        <f t="shared" si="77"/>
        <v>#DIV/0!</v>
      </c>
      <c r="F150" s="43" t="e">
        <f t="shared" si="78"/>
        <v>#DIV/0!</v>
      </c>
      <c r="G150" s="43" t="e">
        <f t="shared" si="79"/>
        <v>#DIV/0!</v>
      </c>
      <c r="H150" s="43" t="e">
        <f t="shared" si="80"/>
        <v>#DIV/0!</v>
      </c>
      <c r="I150" s="43" t="e">
        <f t="shared" si="81"/>
        <v>#DIV/0!</v>
      </c>
      <c r="J150" s="43" t="e">
        <f t="shared" si="82"/>
        <v>#DIV/0!</v>
      </c>
      <c r="K150" s="43" t="e">
        <f t="shared" si="83"/>
        <v>#DIV/0!</v>
      </c>
      <c r="L150" s="43" t="e">
        <f t="shared" si="84"/>
        <v>#DIV/0!</v>
      </c>
      <c r="M150" s="43" t="e">
        <f t="shared" si="85"/>
        <v>#DIV/0!</v>
      </c>
      <c r="N150" s="43" t="e">
        <f t="shared" si="86"/>
        <v>#DIV/0!</v>
      </c>
      <c r="O150" s="43" t="e">
        <f t="shared" si="87"/>
        <v>#DIV/0!</v>
      </c>
      <c r="P150" s="43" t="e">
        <f t="shared" si="88"/>
        <v>#DIV/0!</v>
      </c>
      <c r="Q150" s="43" t="e">
        <f t="shared" si="89"/>
        <v>#DIV/0!</v>
      </c>
      <c r="R150" s="43" t="e">
        <f t="shared" si="90"/>
        <v>#DIV/0!</v>
      </c>
      <c r="S150" s="43" t="e">
        <f t="shared" si="91"/>
        <v>#DIV/0!</v>
      </c>
      <c r="T150" s="43" t="e">
        <f t="shared" si="92"/>
        <v>#DIV/0!</v>
      </c>
      <c r="U150" s="43" t="e">
        <f t="shared" si="93"/>
        <v>#DIV/0!</v>
      </c>
      <c r="V150" s="53" t="e">
        <f>V149+ATM_Conf!$C$5*(B149)/(B337*V337)</f>
        <v>#DIV/0!</v>
      </c>
      <c r="W150" s="53" t="e">
        <f>W149+ATM_Conf!$C$5*(C149-B149)/(C337*W337)</f>
        <v>#DIV/0!</v>
      </c>
      <c r="X150" s="53" t="e">
        <f>X149+ATM_Conf!$C$5*(D149-C149)/(D337*X337)</f>
        <v>#DIV/0!</v>
      </c>
      <c r="Y150" s="53" t="e">
        <f>Y149+ATM_Conf!$C$5*(E149-D149)/(E337*Y337)</f>
        <v>#DIV/0!</v>
      </c>
      <c r="Z150" s="53" t="e">
        <f>Z149+ATM_Conf!$C$5*(F149-E149)/(F337*Z337)</f>
        <v>#DIV/0!</v>
      </c>
      <c r="AA150" s="53" t="e">
        <f>AA149+ATM_Conf!$C$5*(G149-F149)/(G337*AA337)</f>
        <v>#DIV/0!</v>
      </c>
      <c r="AB150" s="53" t="e">
        <f>AB149+ATM_Conf!$C$5*(H149-G149)/(H337*AB337)</f>
        <v>#DIV/0!</v>
      </c>
      <c r="AC150" s="53" t="e">
        <f>AC149+ATM_Conf!$C$5*(I149-H149)/(I337*AC337)</f>
        <v>#DIV/0!</v>
      </c>
      <c r="AD150" s="53" t="e">
        <f>AD149+ATM_Conf!$C$5*(J149-I149)/(J337*AD337)</f>
        <v>#DIV/0!</v>
      </c>
      <c r="AE150" s="53" t="e">
        <f>AE149+ATM_Conf!$C$5*(K149-J149)/(K337*AE337)</f>
        <v>#DIV/0!</v>
      </c>
      <c r="AF150" s="53" t="e">
        <f>AF149+ATM_Conf!$C$5*(L149)/(L337*AF337)</f>
        <v>#DIV/0!</v>
      </c>
      <c r="AG150" s="53" t="e">
        <f>AG149+ATM_Conf!$C$5*(M149-L149)/(M337*AG337)</f>
        <v>#DIV/0!</v>
      </c>
      <c r="AH150" s="53" t="e">
        <f>AH149+ATM_Conf!$C$5*(N149-M149)/(N337*AH337)</f>
        <v>#DIV/0!</v>
      </c>
      <c r="AI150" s="53" t="e">
        <f>AI149+ATM_Conf!$C$5*(O149-N149)/(O337*AI337)</f>
        <v>#DIV/0!</v>
      </c>
      <c r="AJ150" s="53" t="e">
        <f>AJ149+ATM_Conf!$C$5*(P149-O149)/(P337*AJ337)</f>
        <v>#DIV/0!</v>
      </c>
      <c r="AK150" s="53" t="e">
        <f>AK149+ATM_Conf!$C$5*(Q149-P149)/(Q337*AK337)</f>
        <v>#DIV/0!</v>
      </c>
      <c r="AL150" s="53" t="e">
        <f>AL149+ATM_Conf!$C$5*(R149-Q149)/(R337*AL337)</f>
        <v>#DIV/0!</v>
      </c>
      <c r="AM150" s="53" t="e">
        <f>AM149+ATM_Conf!$C$5*(S149-R149)/(S337*AM337)</f>
        <v>#DIV/0!</v>
      </c>
      <c r="AN150" s="53" t="e">
        <f>AN149+ATM_Conf!$C$5*(T149-S149)/(T337*AN337)</f>
        <v>#DIV/0!</v>
      </c>
      <c r="AO150" s="53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43">
        <f t="shared" si="99"/>
        <v>0</v>
      </c>
      <c r="DS150" s="43">
        <f t="shared" si="98"/>
        <v>0</v>
      </c>
      <c r="DT150" s="43">
        <f t="shared" si="98"/>
        <v>0</v>
      </c>
      <c r="DU150" s="43">
        <f t="shared" si="98"/>
        <v>0</v>
      </c>
      <c r="DV150" s="43">
        <f t="shared" si="98"/>
        <v>0</v>
      </c>
      <c r="DW150" s="43">
        <f t="shared" si="98"/>
        <v>0</v>
      </c>
      <c r="DX150" s="43">
        <f t="shared" si="98"/>
        <v>0</v>
      </c>
      <c r="DY150" s="43">
        <f t="shared" si="98"/>
        <v>0</v>
      </c>
      <c r="DZ150" s="43">
        <f t="shared" si="98"/>
        <v>0</v>
      </c>
      <c r="EA150" s="43">
        <f t="shared" si="98"/>
        <v>0</v>
      </c>
      <c r="EB150" s="43">
        <f t="shared" si="98"/>
        <v>0</v>
      </c>
      <c r="EC150" s="43">
        <f t="shared" si="98"/>
        <v>0</v>
      </c>
      <c r="ED150" s="43">
        <f t="shared" si="98"/>
        <v>0</v>
      </c>
      <c r="EE150" s="43">
        <f t="shared" si="98"/>
        <v>0</v>
      </c>
      <c r="EF150" s="43">
        <f t="shared" si="98"/>
        <v>0</v>
      </c>
      <c r="EG150" s="43">
        <f t="shared" si="98"/>
        <v>0</v>
      </c>
      <c r="EH150" s="43">
        <f t="shared" si="98"/>
        <v>0</v>
      </c>
      <c r="EI150" s="43">
        <f t="shared" si="98"/>
        <v>0</v>
      </c>
      <c r="EJ150" s="43">
        <f t="shared" si="98"/>
        <v>0</v>
      </c>
      <c r="EK150" s="43">
        <f t="shared" si="98"/>
        <v>0</v>
      </c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47"/>
      <c r="FA150" s="47"/>
      <c r="FB150" s="47"/>
      <c r="FC150" s="47"/>
      <c r="FD150" s="47"/>
      <c r="FE150" s="47"/>
    </row>
    <row r="151" spans="1:161" ht="14.25" x14ac:dyDescent="0.15">
      <c r="A151" s="46"/>
      <c r="B151" s="43" t="e">
        <f t="shared" si="74"/>
        <v>#DIV/0!</v>
      </c>
      <c r="C151" s="43" t="e">
        <f t="shared" si="75"/>
        <v>#DIV/0!</v>
      </c>
      <c r="D151" s="43" t="e">
        <f t="shared" si="76"/>
        <v>#DIV/0!</v>
      </c>
      <c r="E151" s="43" t="e">
        <f t="shared" si="77"/>
        <v>#DIV/0!</v>
      </c>
      <c r="F151" s="43" t="e">
        <f t="shared" si="78"/>
        <v>#DIV/0!</v>
      </c>
      <c r="G151" s="43" t="e">
        <f t="shared" si="79"/>
        <v>#DIV/0!</v>
      </c>
      <c r="H151" s="43" t="e">
        <f t="shared" si="80"/>
        <v>#DIV/0!</v>
      </c>
      <c r="I151" s="43" t="e">
        <f t="shared" si="81"/>
        <v>#DIV/0!</v>
      </c>
      <c r="J151" s="43" t="e">
        <f t="shared" si="82"/>
        <v>#DIV/0!</v>
      </c>
      <c r="K151" s="43" t="e">
        <f t="shared" si="83"/>
        <v>#DIV/0!</v>
      </c>
      <c r="L151" s="43" t="e">
        <f t="shared" si="84"/>
        <v>#DIV/0!</v>
      </c>
      <c r="M151" s="43" t="e">
        <f t="shared" si="85"/>
        <v>#DIV/0!</v>
      </c>
      <c r="N151" s="43" t="e">
        <f t="shared" si="86"/>
        <v>#DIV/0!</v>
      </c>
      <c r="O151" s="43" t="e">
        <f t="shared" si="87"/>
        <v>#DIV/0!</v>
      </c>
      <c r="P151" s="43" t="e">
        <f t="shared" si="88"/>
        <v>#DIV/0!</v>
      </c>
      <c r="Q151" s="43" t="e">
        <f t="shared" si="89"/>
        <v>#DIV/0!</v>
      </c>
      <c r="R151" s="43" t="e">
        <f t="shared" si="90"/>
        <v>#DIV/0!</v>
      </c>
      <c r="S151" s="43" t="e">
        <f t="shared" si="91"/>
        <v>#DIV/0!</v>
      </c>
      <c r="T151" s="43" t="e">
        <f t="shared" si="92"/>
        <v>#DIV/0!</v>
      </c>
      <c r="U151" s="43" t="e">
        <f t="shared" si="93"/>
        <v>#DIV/0!</v>
      </c>
      <c r="V151" s="53" t="e">
        <f>V150+ATM_Conf!$C$5*(B150)/(B338*V338)</f>
        <v>#DIV/0!</v>
      </c>
      <c r="W151" s="53" t="e">
        <f>W150+ATM_Conf!$C$5*(C150-B150)/(C338*W338)</f>
        <v>#DIV/0!</v>
      </c>
      <c r="X151" s="53" t="e">
        <f>X150+ATM_Conf!$C$5*(D150-C150)/(D338*X338)</f>
        <v>#DIV/0!</v>
      </c>
      <c r="Y151" s="53" t="e">
        <f>Y150+ATM_Conf!$C$5*(E150-D150)/(E338*Y338)</f>
        <v>#DIV/0!</v>
      </c>
      <c r="Z151" s="53" t="e">
        <f>Z150+ATM_Conf!$C$5*(F150-E150)/(F338*Z338)</f>
        <v>#DIV/0!</v>
      </c>
      <c r="AA151" s="53" t="e">
        <f>AA150+ATM_Conf!$C$5*(G150-F150)/(G338*AA338)</f>
        <v>#DIV/0!</v>
      </c>
      <c r="AB151" s="53" t="e">
        <f>AB150+ATM_Conf!$C$5*(H150-G150)/(H338*AB338)</f>
        <v>#DIV/0!</v>
      </c>
      <c r="AC151" s="53" t="e">
        <f>AC150+ATM_Conf!$C$5*(I150-H150)/(I338*AC338)</f>
        <v>#DIV/0!</v>
      </c>
      <c r="AD151" s="53" t="e">
        <f>AD150+ATM_Conf!$C$5*(J150-I150)/(J338*AD338)</f>
        <v>#DIV/0!</v>
      </c>
      <c r="AE151" s="53" t="e">
        <f>AE150+ATM_Conf!$C$5*(K150-J150)/(K338*AE338)</f>
        <v>#DIV/0!</v>
      </c>
      <c r="AF151" s="53" t="e">
        <f>AF150+ATM_Conf!$C$5*(L150)/(L338*AF338)</f>
        <v>#DIV/0!</v>
      </c>
      <c r="AG151" s="53" t="e">
        <f>AG150+ATM_Conf!$C$5*(M150-L150)/(M338*AG338)</f>
        <v>#DIV/0!</v>
      </c>
      <c r="AH151" s="53" t="e">
        <f>AH150+ATM_Conf!$C$5*(N150-M150)/(N338*AH338)</f>
        <v>#DIV/0!</v>
      </c>
      <c r="AI151" s="53" t="e">
        <f>AI150+ATM_Conf!$C$5*(O150-N150)/(O338*AI338)</f>
        <v>#DIV/0!</v>
      </c>
      <c r="AJ151" s="53" t="e">
        <f>AJ150+ATM_Conf!$C$5*(P150-O150)/(P338*AJ338)</f>
        <v>#DIV/0!</v>
      </c>
      <c r="AK151" s="53" t="e">
        <f>AK150+ATM_Conf!$C$5*(Q150-P150)/(Q338*AK338)</f>
        <v>#DIV/0!</v>
      </c>
      <c r="AL151" s="53" t="e">
        <f>AL150+ATM_Conf!$C$5*(R150-Q150)/(R338*AL338)</f>
        <v>#DIV/0!</v>
      </c>
      <c r="AM151" s="53" t="e">
        <f>AM150+ATM_Conf!$C$5*(S150-R150)/(S338*AM338)</f>
        <v>#DIV/0!</v>
      </c>
      <c r="AN151" s="53" t="e">
        <f>AN150+ATM_Conf!$C$5*(T150-S150)/(T338*AN338)</f>
        <v>#DIV/0!</v>
      </c>
      <c r="AO151" s="53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43">
        <f t="shared" si="99"/>
        <v>0</v>
      </c>
      <c r="DS151" s="43">
        <f t="shared" si="98"/>
        <v>0</v>
      </c>
      <c r="DT151" s="43">
        <f t="shared" si="98"/>
        <v>0</v>
      </c>
      <c r="DU151" s="43">
        <f t="shared" si="98"/>
        <v>0</v>
      </c>
      <c r="DV151" s="43">
        <f t="shared" si="98"/>
        <v>0</v>
      </c>
      <c r="DW151" s="43">
        <f t="shared" si="98"/>
        <v>0</v>
      </c>
      <c r="DX151" s="43">
        <f t="shared" si="98"/>
        <v>0</v>
      </c>
      <c r="DY151" s="43">
        <f t="shared" si="98"/>
        <v>0</v>
      </c>
      <c r="DZ151" s="43">
        <f t="shared" si="98"/>
        <v>0</v>
      </c>
      <c r="EA151" s="43">
        <f t="shared" si="98"/>
        <v>0</v>
      </c>
      <c r="EB151" s="43">
        <f t="shared" si="98"/>
        <v>0</v>
      </c>
      <c r="EC151" s="43">
        <f t="shared" si="98"/>
        <v>0</v>
      </c>
      <c r="ED151" s="43">
        <f t="shared" si="98"/>
        <v>0</v>
      </c>
      <c r="EE151" s="43">
        <f t="shared" si="98"/>
        <v>0</v>
      </c>
      <c r="EF151" s="43">
        <f t="shared" si="98"/>
        <v>0</v>
      </c>
      <c r="EG151" s="43">
        <f t="shared" si="98"/>
        <v>0</v>
      </c>
      <c r="EH151" s="43">
        <f t="shared" si="98"/>
        <v>0</v>
      </c>
      <c r="EI151" s="43">
        <f t="shared" si="98"/>
        <v>0</v>
      </c>
      <c r="EJ151" s="43">
        <f t="shared" si="98"/>
        <v>0</v>
      </c>
      <c r="EK151" s="43">
        <f t="shared" si="98"/>
        <v>0</v>
      </c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</row>
    <row r="152" spans="1:161" ht="14.25" x14ac:dyDescent="0.15">
      <c r="A152" s="46"/>
      <c r="B152" s="43" t="e">
        <f t="shared" si="74"/>
        <v>#DIV/0!</v>
      </c>
      <c r="C152" s="43" t="e">
        <f t="shared" si="75"/>
        <v>#DIV/0!</v>
      </c>
      <c r="D152" s="43" t="e">
        <f t="shared" si="76"/>
        <v>#DIV/0!</v>
      </c>
      <c r="E152" s="43" t="e">
        <f t="shared" si="77"/>
        <v>#DIV/0!</v>
      </c>
      <c r="F152" s="43" t="e">
        <f t="shared" si="78"/>
        <v>#DIV/0!</v>
      </c>
      <c r="G152" s="43" t="e">
        <f t="shared" si="79"/>
        <v>#DIV/0!</v>
      </c>
      <c r="H152" s="43" t="e">
        <f t="shared" si="80"/>
        <v>#DIV/0!</v>
      </c>
      <c r="I152" s="43" t="e">
        <f t="shared" si="81"/>
        <v>#DIV/0!</v>
      </c>
      <c r="J152" s="43" t="e">
        <f t="shared" si="82"/>
        <v>#DIV/0!</v>
      </c>
      <c r="K152" s="43" t="e">
        <f t="shared" si="83"/>
        <v>#DIV/0!</v>
      </c>
      <c r="L152" s="43" t="e">
        <f t="shared" si="84"/>
        <v>#DIV/0!</v>
      </c>
      <c r="M152" s="43" t="e">
        <f t="shared" si="85"/>
        <v>#DIV/0!</v>
      </c>
      <c r="N152" s="43" t="e">
        <f t="shared" si="86"/>
        <v>#DIV/0!</v>
      </c>
      <c r="O152" s="43" t="e">
        <f t="shared" si="87"/>
        <v>#DIV/0!</v>
      </c>
      <c r="P152" s="43" t="e">
        <f t="shared" si="88"/>
        <v>#DIV/0!</v>
      </c>
      <c r="Q152" s="43" t="e">
        <f t="shared" si="89"/>
        <v>#DIV/0!</v>
      </c>
      <c r="R152" s="43" t="e">
        <f t="shared" si="90"/>
        <v>#DIV/0!</v>
      </c>
      <c r="S152" s="43" t="e">
        <f t="shared" si="91"/>
        <v>#DIV/0!</v>
      </c>
      <c r="T152" s="43" t="e">
        <f t="shared" si="92"/>
        <v>#DIV/0!</v>
      </c>
      <c r="U152" s="43" t="e">
        <f t="shared" si="93"/>
        <v>#DIV/0!</v>
      </c>
      <c r="V152" s="53" t="e">
        <f>V151+ATM_Conf!$C$5*(B151)/(B339*V339)</f>
        <v>#DIV/0!</v>
      </c>
      <c r="W152" s="53" t="e">
        <f>W151+ATM_Conf!$C$5*(C151-B151)/(C339*W339)</f>
        <v>#DIV/0!</v>
      </c>
      <c r="X152" s="53" t="e">
        <f>X151+ATM_Conf!$C$5*(D151-C151)/(D339*X339)</f>
        <v>#DIV/0!</v>
      </c>
      <c r="Y152" s="53" t="e">
        <f>Y151+ATM_Conf!$C$5*(E151-D151)/(E339*Y339)</f>
        <v>#DIV/0!</v>
      </c>
      <c r="Z152" s="53" t="e">
        <f>Z151+ATM_Conf!$C$5*(F151-E151)/(F339*Z339)</f>
        <v>#DIV/0!</v>
      </c>
      <c r="AA152" s="53" t="e">
        <f>AA151+ATM_Conf!$C$5*(G151-F151)/(G339*AA339)</f>
        <v>#DIV/0!</v>
      </c>
      <c r="AB152" s="53" t="e">
        <f>AB151+ATM_Conf!$C$5*(H151-G151)/(H339*AB339)</f>
        <v>#DIV/0!</v>
      </c>
      <c r="AC152" s="53" t="e">
        <f>AC151+ATM_Conf!$C$5*(I151-H151)/(I339*AC339)</f>
        <v>#DIV/0!</v>
      </c>
      <c r="AD152" s="53" t="e">
        <f>AD151+ATM_Conf!$C$5*(J151-I151)/(J339*AD339)</f>
        <v>#DIV/0!</v>
      </c>
      <c r="AE152" s="53" t="e">
        <f>AE151+ATM_Conf!$C$5*(K151-J151)/(K339*AE339)</f>
        <v>#DIV/0!</v>
      </c>
      <c r="AF152" s="53" t="e">
        <f>AF151+ATM_Conf!$C$5*(L151)/(L339*AF339)</f>
        <v>#DIV/0!</v>
      </c>
      <c r="AG152" s="53" t="e">
        <f>AG151+ATM_Conf!$C$5*(M151-L151)/(M339*AG339)</f>
        <v>#DIV/0!</v>
      </c>
      <c r="AH152" s="53" t="e">
        <f>AH151+ATM_Conf!$C$5*(N151-M151)/(N339*AH339)</f>
        <v>#DIV/0!</v>
      </c>
      <c r="AI152" s="53" t="e">
        <f>AI151+ATM_Conf!$C$5*(O151-N151)/(O339*AI339)</f>
        <v>#DIV/0!</v>
      </c>
      <c r="AJ152" s="53" t="e">
        <f>AJ151+ATM_Conf!$C$5*(P151-O151)/(P339*AJ339)</f>
        <v>#DIV/0!</v>
      </c>
      <c r="AK152" s="53" t="e">
        <f>AK151+ATM_Conf!$C$5*(Q151-P151)/(Q339*AK339)</f>
        <v>#DIV/0!</v>
      </c>
      <c r="AL152" s="53" t="e">
        <f>AL151+ATM_Conf!$C$5*(R151-Q151)/(R339*AL339)</f>
        <v>#DIV/0!</v>
      </c>
      <c r="AM152" s="53" t="e">
        <f>AM151+ATM_Conf!$C$5*(S151-R151)/(S339*AM339)</f>
        <v>#DIV/0!</v>
      </c>
      <c r="AN152" s="53" t="e">
        <f>AN151+ATM_Conf!$C$5*(T151-S151)/(T339*AN339)</f>
        <v>#DIV/0!</v>
      </c>
      <c r="AO152" s="53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43">
        <f t="shared" si="99"/>
        <v>0</v>
      </c>
      <c r="DS152" s="43">
        <f t="shared" si="98"/>
        <v>0</v>
      </c>
      <c r="DT152" s="43">
        <f t="shared" si="98"/>
        <v>0</v>
      </c>
      <c r="DU152" s="43">
        <f t="shared" si="98"/>
        <v>0</v>
      </c>
      <c r="DV152" s="43">
        <f t="shared" si="98"/>
        <v>0</v>
      </c>
      <c r="DW152" s="43">
        <f t="shared" si="98"/>
        <v>0</v>
      </c>
      <c r="DX152" s="43">
        <f t="shared" si="98"/>
        <v>0</v>
      </c>
      <c r="DY152" s="43">
        <f t="shared" si="98"/>
        <v>0</v>
      </c>
      <c r="DZ152" s="43">
        <f t="shared" si="98"/>
        <v>0</v>
      </c>
      <c r="EA152" s="43">
        <f t="shared" si="98"/>
        <v>0</v>
      </c>
      <c r="EB152" s="43">
        <f t="shared" si="98"/>
        <v>0</v>
      </c>
      <c r="EC152" s="43">
        <f t="shared" si="98"/>
        <v>0</v>
      </c>
      <c r="ED152" s="43">
        <f t="shared" si="98"/>
        <v>0</v>
      </c>
      <c r="EE152" s="43">
        <f t="shared" si="98"/>
        <v>0</v>
      </c>
      <c r="EF152" s="43">
        <f t="shared" si="98"/>
        <v>0</v>
      </c>
      <c r="EG152" s="43">
        <f t="shared" si="98"/>
        <v>0</v>
      </c>
      <c r="EH152" s="43">
        <f t="shared" si="98"/>
        <v>0</v>
      </c>
      <c r="EI152" s="43">
        <f t="shared" si="98"/>
        <v>0</v>
      </c>
      <c r="EJ152" s="43">
        <f t="shared" si="98"/>
        <v>0</v>
      </c>
      <c r="EK152" s="43">
        <f t="shared" si="98"/>
        <v>0</v>
      </c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47"/>
      <c r="FA152" s="47"/>
      <c r="FB152" s="47"/>
      <c r="FC152" s="47"/>
      <c r="FD152" s="47"/>
      <c r="FE152" s="47"/>
    </row>
    <row r="153" spans="1:161" ht="14.25" x14ac:dyDescent="0.15">
      <c r="A153" s="46"/>
      <c r="B153" s="43" t="e">
        <f t="shared" si="74"/>
        <v>#DIV/0!</v>
      </c>
      <c r="C153" s="43" t="e">
        <f t="shared" si="75"/>
        <v>#DIV/0!</v>
      </c>
      <c r="D153" s="43" t="e">
        <f t="shared" si="76"/>
        <v>#DIV/0!</v>
      </c>
      <c r="E153" s="43" t="e">
        <f t="shared" si="77"/>
        <v>#DIV/0!</v>
      </c>
      <c r="F153" s="43" t="e">
        <f t="shared" si="78"/>
        <v>#DIV/0!</v>
      </c>
      <c r="G153" s="43" t="e">
        <f t="shared" si="79"/>
        <v>#DIV/0!</v>
      </c>
      <c r="H153" s="43" t="e">
        <f t="shared" si="80"/>
        <v>#DIV/0!</v>
      </c>
      <c r="I153" s="43" t="e">
        <f t="shared" si="81"/>
        <v>#DIV/0!</v>
      </c>
      <c r="J153" s="43" t="e">
        <f t="shared" si="82"/>
        <v>#DIV/0!</v>
      </c>
      <c r="K153" s="43" t="e">
        <f t="shared" si="83"/>
        <v>#DIV/0!</v>
      </c>
      <c r="L153" s="43" t="e">
        <f t="shared" si="84"/>
        <v>#DIV/0!</v>
      </c>
      <c r="M153" s="43" t="e">
        <f t="shared" si="85"/>
        <v>#DIV/0!</v>
      </c>
      <c r="N153" s="43" t="e">
        <f t="shared" si="86"/>
        <v>#DIV/0!</v>
      </c>
      <c r="O153" s="43" t="e">
        <f t="shared" si="87"/>
        <v>#DIV/0!</v>
      </c>
      <c r="P153" s="43" t="e">
        <f t="shared" si="88"/>
        <v>#DIV/0!</v>
      </c>
      <c r="Q153" s="43" t="e">
        <f t="shared" si="89"/>
        <v>#DIV/0!</v>
      </c>
      <c r="R153" s="43" t="e">
        <f t="shared" si="90"/>
        <v>#DIV/0!</v>
      </c>
      <c r="S153" s="43" t="e">
        <f t="shared" si="91"/>
        <v>#DIV/0!</v>
      </c>
      <c r="T153" s="43" t="e">
        <f t="shared" si="92"/>
        <v>#DIV/0!</v>
      </c>
      <c r="U153" s="43" t="e">
        <f t="shared" si="93"/>
        <v>#DIV/0!</v>
      </c>
      <c r="V153" s="53" t="e">
        <f>V152+ATM_Conf!$C$5*(B152)/(B340*V340)</f>
        <v>#DIV/0!</v>
      </c>
      <c r="W153" s="53" t="e">
        <f>W152+ATM_Conf!$C$5*(C152-B152)/(C340*W340)</f>
        <v>#DIV/0!</v>
      </c>
      <c r="X153" s="53" t="e">
        <f>X152+ATM_Conf!$C$5*(D152-C152)/(D340*X340)</f>
        <v>#DIV/0!</v>
      </c>
      <c r="Y153" s="53" t="e">
        <f>Y152+ATM_Conf!$C$5*(E152-D152)/(E340*Y340)</f>
        <v>#DIV/0!</v>
      </c>
      <c r="Z153" s="53" t="e">
        <f>Z152+ATM_Conf!$C$5*(F152-E152)/(F340*Z340)</f>
        <v>#DIV/0!</v>
      </c>
      <c r="AA153" s="53" t="e">
        <f>AA152+ATM_Conf!$C$5*(G152-F152)/(G340*AA340)</f>
        <v>#DIV/0!</v>
      </c>
      <c r="AB153" s="53" t="e">
        <f>AB152+ATM_Conf!$C$5*(H152-G152)/(H340*AB340)</f>
        <v>#DIV/0!</v>
      </c>
      <c r="AC153" s="53" t="e">
        <f>AC152+ATM_Conf!$C$5*(I152-H152)/(I340*AC340)</f>
        <v>#DIV/0!</v>
      </c>
      <c r="AD153" s="53" t="e">
        <f>AD152+ATM_Conf!$C$5*(J152-I152)/(J340*AD340)</f>
        <v>#DIV/0!</v>
      </c>
      <c r="AE153" s="53" t="e">
        <f>AE152+ATM_Conf!$C$5*(K152-J152)/(K340*AE340)</f>
        <v>#DIV/0!</v>
      </c>
      <c r="AF153" s="53" t="e">
        <f>AF152+ATM_Conf!$C$5*(L152)/(L340*AF340)</f>
        <v>#DIV/0!</v>
      </c>
      <c r="AG153" s="53" t="e">
        <f>AG152+ATM_Conf!$C$5*(M152-L152)/(M340*AG340)</f>
        <v>#DIV/0!</v>
      </c>
      <c r="AH153" s="53" t="e">
        <f>AH152+ATM_Conf!$C$5*(N152-M152)/(N340*AH340)</f>
        <v>#DIV/0!</v>
      </c>
      <c r="AI153" s="53" t="e">
        <f>AI152+ATM_Conf!$C$5*(O152-N152)/(O340*AI340)</f>
        <v>#DIV/0!</v>
      </c>
      <c r="AJ153" s="53" t="e">
        <f>AJ152+ATM_Conf!$C$5*(P152-O152)/(P340*AJ340)</f>
        <v>#DIV/0!</v>
      </c>
      <c r="AK153" s="53" t="e">
        <f>AK152+ATM_Conf!$C$5*(Q152-P152)/(Q340*AK340)</f>
        <v>#DIV/0!</v>
      </c>
      <c r="AL153" s="53" t="e">
        <f>AL152+ATM_Conf!$C$5*(R152-Q152)/(R340*AL340)</f>
        <v>#DIV/0!</v>
      </c>
      <c r="AM153" s="53" t="e">
        <f>AM152+ATM_Conf!$C$5*(S152-R152)/(S340*AM340)</f>
        <v>#DIV/0!</v>
      </c>
      <c r="AN153" s="53" t="e">
        <f>AN152+ATM_Conf!$C$5*(T152-S152)/(T340*AN340)</f>
        <v>#DIV/0!</v>
      </c>
      <c r="AO153" s="53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43">
        <f t="shared" si="99"/>
        <v>0</v>
      </c>
      <c r="DS153" s="43">
        <f t="shared" si="98"/>
        <v>0</v>
      </c>
      <c r="DT153" s="43">
        <f t="shared" si="98"/>
        <v>0</v>
      </c>
      <c r="DU153" s="43">
        <f t="shared" si="98"/>
        <v>0</v>
      </c>
      <c r="DV153" s="43">
        <f t="shared" si="98"/>
        <v>0</v>
      </c>
      <c r="DW153" s="43">
        <f t="shared" si="98"/>
        <v>0</v>
      </c>
      <c r="DX153" s="43">
        <f t="shared" si="98"/>
        <v>0</v>
      </c>
      <c r="DY153" s="43">
        <f t="shared" si="98"/>
        <v>0</v>
      </c>
      <c r="DZ153" s="43">
        <f t="shared" si="98"/>
        <v>0</v>
      </c>
      <c r="EA153" s="43">
        <f t="shared" si="98"/>
        <v>0</v>
      </c>
      <c r="EB153" s="43">
        <f t="shared" si="98"/>
        <v>0</v>
      </c>
      <c r="EC153" s="43">
        <f t="shared" si="98"/>
        <v>0</v>
      </c>
      <c r="ED153" s="43">
        <f t="shared" si="98"/>
        <v>0</v>
      </c>
      <c r="EE153" s="43">
        <f t="shared" si="98"/>
        <v>0</v>
      </c>
      <c r="EF153" s="43">
        <f t="shared" si="98"/>
        <v>0</v>
      </c>
      <c r="EG153" s="43">
        <f t="shared" si="98"/>
        <v>0</v>
      </c>
      <c r="EH153" s="43">
        <f t="shared" si="98"/>
        <v>0</v>
      </c>
      <c r="EI153" s="43">
        <f t="shared" si="98"/>
        <v>0</v>
      </c>
      <c r="EJ153" s="43">
        <f t="shared" si="98"/>
        <v>0</v>
      </c>
      <c r="EK153" s="43">
        <f t="shared" si="98"/>
        <v>0</v>
      </c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47"/>
      <c r="FA153" s="47"/>
      <c r="FB153" s="47"/>
      <c r="FC153" s="47"/>
      <c r="FD153" s="47"/>
      <c r="FE153" s="47"/>
    </row>
    <row r="154" spans="1:161" ht="14.25" x14ac:dyDescent="0.15">
      <c r="A154" s="46"/>
      <c r="B154" s="43" t="e">
        <f t="shared" si="74"/>
        <v>#DIV/0!</v>
      </c>
      <c r="C154" s="43" t="e">
        <f t="shared" si="75"/>
        <v>#DIV/0!</v>
      </c>
      <c r="D154" s="43" t="e">
        <f t="shared" si="76"/>
        <v>#DIV/0!</v>
      </c>
      <c r="E154" s="43" t="e">
        <f t="shared" si="77"/>
        <v>#DIV/0!</v>
      </c>
      <c r="F154" s="43" t="e">
        <f t="shared" si="78"/>
        <v>#DIV/0!</v>
      </c>
      <c r="G154" s="43" t="e">
        <f t="shared" si="79"/>
        <v>#DIV/0!</v>
      </c>
      <c r="H154" s="43" t="e">
        <f t="shared" si="80"/>
        <v>#DIV/0!</v>
      </c>
      <c r="I154" s="43" t="e">
        <f t="shared" si="81"/>
        <v>#DIV/0!</v>
      </c>
      <c r="J154" s="43" t="e">
        <f t="shared" si="82"/>
        <v>#DIV/0!</v>
      </c>
      <c r="K154" s="43" t="e">
        <f t="shared" si="83"/>
        <v>#DIV/0!</v>
      </c>
      <c r="L154" s="43" t="e">
        <f t="shared" si="84"/>
        <v>#DIV/0!</v>
      </c>
      <c r="M154" s="43" t="e">
        <f t="shared" si="85"/>
        <v>#DIV/0!</v>
      </c>
      <c r="N154" s="43" t="e">
        <f t="shared" si="86"/>
        <v>#DIV/0!</v>
      </c>
      <c r="O154" s="43" t="e">
        <f t="shared" si="87"/>
        <v>#DIV/0!</v>
      </c>
      <c r="P154" s="43" t="e">
        <f t="shared" si="88"/>
        <v>#DIV/0!</v>
      </c>
      <c r="Q154" s="43" t="e">
        <f t="shared" si="89"/>
        <v>#DIV/0!</v>
      </c>
      <c r="R154" s="43" t="e">
        <f t="shared" si="90"/>
        <v>#DIV/0!</v>
      </c>
      <c r="S154" s="43" t="e">
        <f t="shared" si="91"/>
        <v>#DIV/0!</v>
      </c>
      <c r="T154" s="43" t="e">
        <f t="shared" si="92"/>
        <v>#DIV/0!</v>
      </c>
      <c r="U154" s="43" t="e">
        <f t="shared" si="93"/>
        <v>#DIV/0!</v>
      </c>
      <c r="V154" s="53" t="e">
        <f>V153+ATM_Conf!$C$5*(B153)/(B341*V341)</f>
        <v>#DIV/0!</v>
      </c>
      <c r="W154" s="53" t="e">
        <f>W153+ATM_Conf!$C$5*(C153-B153)/(C341*W341)</f>
        <v>#DIV/0!</v>
      </c>
      <c r="X154" s="53" t="e">
        <f>X153+ATM_Conf!$C$5*(D153-C153)/(D341*X341)</f>
        <v>#DIV/0!</v>
      </c>
      <c r="Y154" s="53" t="e">
        <f>Y153+ATM_Conf!$C$5*(E153-D153)/(E341*Y341)</f>
        <v>#DIV/0!</v>
      </c>
      <c r="Z154" s="53" t="e">
        <f>Z153+ATM_Conf!$C$5*(F153-E153)/(F341*Z341)</f>
        <v>#DIV/0!</v>
      </c>
      <c r="AA154" s="53" t="e">
        <f>AA153+ATM_Conf!$C$5*(G153-F153)/(G341*AA341)</f>
        <v>#DIV/0!</v>
      </c>
      <c r="AB154" s="53" t="e">
        <f>AB153+ATM_Conf!$C$5*(H153-G153)/(H341*AB341)</f>
        <v>#DIV/0!</v>
      </c>
      <c r="AC154" s="53" t="e">
        <f>AC153+ATM_Conf!$C$5*(I153-H153)/(I341*AC341)</f>
        <v>#DIV/0!</v>
      </c>
      <c r="AD154" s="53" t="e">
        <f>AD153+ATM_Conf!$C$5*(J153-I153)/(J341*AD341)</f>
        <v>#DIV/0!</v>
      </c>
      <c r="AE154" s="53" t="e">
        <f>AE153+ATM_Conf!$C$5*(K153-J153)/(K341*AE341)</f>
        <v>#DIV/0!</v>
      </c>
      <c r="AF154" s="53" t="e">
        <f>AF153+ATM_Conf!$C$5*(L153)/(L341*AF341)</f>
        <v>#DIV/0!</v>
      </c>
      <c r="AG154" s="53" t="e">
        <f>AG153+ATM_Conf!$C$5*(M153-L153)/(M341*AG341)</f>
        <v>#DIV/0!</v>
      </c>
      <c r="AH154" s="53" t="e">
        <f>AH153+ATM_Conf!$C$5*(N153-M153)/(N341*AH341)</f>
        <v>#DIV/0!</v>
      </c>
      <c r="AI154" s="53" t="e">
        <f>AI153+ATM_Conf!$C$5*(O153-N153)/(O341*AI341)</f>
        <v>#DIV/0!</v>
      </c>
      <c r="AJ154" s="53" t="e">
        <f>AJ153+ATM_Conf!$C$5*(P153-O153)/(P341*AJ341)</f>
        <v>#DIV/0!</v>
      </c>
      <c r="AK154" s="53" t="e">
        <f>AK153+ATM_Conf!$C$5*(Q153-P153)/(Q341*AK341)</f>
        <v>#DIV/0!</v>
      </c>
      <c r="AL154" s="53" t="e">
        <f>AL153+ATM_Conf!$C$5*(R153-Q153)/(R341*AL341)</f>
        <v>#DIV/0!</v>
      </c>
      <c r="AM154" s="53" t="e">
        <f>AM153+ATM_Conf!$C$5*(S153-R153)/(S341*AM341)</f>
        <v>#DIV/0!</v>
      </c>
      <c r="AN154" s="53" t="e">
        <f>AN153+ATM_Conf!$C$5*(T153-S153)/(T341*AN341)</f>
        <v>#DIV/0!</v>
      </c>
      <c r="AO154" s="53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43">
        <f t="shared" si="99"/>
        <v>0</v>
      </c>
      <c r="DS154" s="43">
        <f t="shared" si="98"/>
        <v>0</v>
      </c>
      <c r="DT154" s="43">
        <f t="shared" si="98"/>
        <v>0</v>
      </c>
      <c r="DU154" s="43">
        <f t="shared" si="98"/>
        <v>0</v>
      </c>
      <c r="DV154" s="43">
        <f t="shared" si="98"/>
        <v>0</v>
      </c>
      <c r="DW154" s="43">
        <f t="shared" si="98"/>
        <v>0</v>
      </c>
      <c r="DX154" s="43">
        <f t="shared" si="98"/>
        <v>0</v>
      </c>
      <c r="DY154" s="43">
        <f t="shared" si="98"/>
        <v>0</v>
      </c>
      <c r="DZ154" s="43">
        <f t="shared" si="98"/>
        <v>0</v>
      </c>
      <c r="EA154" s="43">
        <f t="shared" si="98"/>
        <v>0</v>
      </c>
      <c r="EB154" s="43">
        <f t="shared" si="98"/>
        <v>0</v>
      </c>
      <c r="EC154" s="43">
        <f t="shared" si="98"/>
        <v>0</v>
      </c>
      <c r="ED154" s="43">
        <f t="shared" si="98"/>
        <v>0</v>
      </c>
      <c r="EE154" s="43">
        <f t="shared" si="98"/>
        <v>0</v>
      </c>
      <c r="EF154" s="43">
        <f t="shared" si="98"/>
        <v>0</v>
      </c>
      <c r="EG154" s="43">
        <f t="shared" si="98"/>
        <v>0</v>
      </c>
      <c r="EH154" s="43">
        <f t="shared" si="98"/>
        <v>0</v>
      </c>
      <c r="EI154" s="43">
        <f t="shared" si="98"/>
        <v>0</v>
      </c>
      <c r="EJ154" s="43">
        <f t="shared" si="98"/>
        <v>0</v>
      </c>
      <c r="EK154" s="43">
        <f t="shared" si="98"/>
        <v>0</v>
      </c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47"/>
      <c r="FA154" s="47"/>
      <c r="FB154" s="47"/>
      <c r="FC154" s="47"/>
      <c r="FD154" s="47"/>
      <c r="FE154" s="47"/>
    </row>
    <row r="155" spans="1:161" ht="14.25" x14ac:dyDescent="0.15">
      <c r="A155" s="46"/>
      <c r="B155" s="43" t="e">
        <f t="shared" si="74"/>
        <v>#DIV/0!</v>
      </c>
      <c r="C155" s="43" t="e">
        <f t="shared" si="75"/>
        <v>#DIV/0!</v>
      </c>
      <c r="D155" s="43" t="e">
        <f t="shared" si="76"/>
        <v>#DIV/0!</v>
      </c>
      <c r="E155" s="43" t="e">
        <f t="shared" si="77"/>
        <v>#DIV/0!</v>
      </c>
      <c r="F155" s="43" t="e">
        <f t="shared" si="78"/>
        <v>#DIV/0!</v>
      </c>
      <c r="G155" s="43" t="e">
        <f t="shared" si="79"/>
        <v>#DIV/0!</v>
      </c>
      <c r="H155" s="43" t="e">
        <f t="shared" si="80"/>
        <v>#DIV/0!</v>
      </c>
      <c r="I155" s="43" t="e">
        <f t="shared" si="81"/>
        <v>#DIV/0!</v>
      </c>
      <c r="J155" s="43" t="e">
        <f t="shared" si="82"/>
        <v>#DIV/0!</v>
      </c>
      <c r="K155" s="43" t="e">
        <f t="shared" si="83"/>
        <v>#DIV/0!</v>
      </c>
      <c r="L155" s="43" t="e">
        <f t="shared" si="84"/>
        <v>#DIV/0!</v>
      </c>
      <c r="M155" s="43" t="e">
        <f t="shared" si="85"/>
        <v>#DIV/0!</v>
      </c>
      <c r="N155" s="43" t="e">
        <f t="shared" si="86"/>
        <v>#DIV/0!</v>
      </c>
      <c r="O155" s="43" t="e">
        <f t="shared" si="87"/>
        <v>#DIV/0!</v>
      </c>
      <c r="P155" s="43" t="e">
        <f t="shared" si="88"/>
        <v>#DIV/0!</v>
      </c>
      <c r="Q155" s="43" t="e">
        <f t="shared" si="89"/>
        <v>#DIV/0!</v>
      </c>
      <c r="R155" s="43" t="e">
        <f t="shared" si="90"/>
        <v>#DIV/0!</v>
      </c>
      <c r="S155" s="43" t="e">
        <f t="shared" si="91"/>
        <v>#DIV/0!</v>
      </c>
      <c r="T155" s="43" t="e">
        <f t="shared" si="92"/>
        <v>#DIV/0!</v>
      </c>
      <c r="U155" s="43" t="e">
        <f t="shared" si="93"/>
        <v>#DIV/0!</v>
      </c>
      <c r="V155" s="53" t="e">
        <f>V154+ATM_Conf!$C$5*(B154)/(B342*V342)</f>
        <v>#DIV/0!</v>
      </c>
      <c r="W155" s="53" t="e">
        <f>W154+ATM_Conf!$C$5*(C154-B154)/(C342*W342)</f>
        <v>#DIV/0!</v>
      </c>
      <c r="X155" s="53" t="e">
        <f>X154+ATM_Conf!$C$5*(D154-C154)/(D342*X342)</f>
        <v>#DIV/0!</v>
      </c>
      <c r="Y155" s="53" t="e">
        <f>Y154+ATM_Conf!$C$5*(E154-D154)/(E342*Y342)</f>
        <v>#DIV/0!</v>
      </c>
      <c r="Z155" s="53" t="e">
        <f>Z154+ATM_Conf!$C$5*(F154-E154)/(F342*Z342)</f>
        <v>#DIV/0!</v>
      </c>
      <c r="AA155" s="53" t="e">
        <f>AA154+ATM_Conf!$C$5*(G154-F154)/(G342*AA342)</f>
        <v>#DIV/0!</v>
      </c>
      <c r="AB155" s="53" t="e">
        <f>AB154+ATM_Conf!$C$5*(H154-G154)/(H342*AB342)</f>
        <v>#DIV/0!</v>
      </c>
      <c r="AC155" s="53" t="e">
        <f>AC154+ATM_Conf!$C$5*(I154-H154)/(I342*AC342)</f>
        <v>#DIV/0!</v>
      </c>
      <c r="AD155" s="53" t="e">
        <f>AD154+ATM_Conf!$C$5*(J154-I154)/(J342*AD342)</f>
        <v>#DIV/0!</v>
      </c>
      <c r="AE155" s="53" t="e">
        <f>AE154+ATM_Conf!$C$5*(K154-J154)/(K342*AE342)</f>
        <v>#DIV/0!</v>
      </c>
      <c r="AF155" s="53" t="e">
        <f>AF154+ATM_Conf!$C$5*(L154)/(L342*AF342)</f>
        <v>#DIV/0!</v>
      </c>
      <c r="AG155" s="53" t="e">
        <f>AG154+ATM_Conf!$C$5*(M154-L154)/(M342*AG342)</f>
        <v>#DIV/0!</v>
      </c>
      <c r="AH155" s="53" t="e">
        <f>AH154+ATM_Conf!$C$5*(N154-M154)/(N342*AH342)</f>
        <v>#DIV/0!</v>
      </c>
      <c r="AI155" s="53" t="e">
        <f>AI154+ATM_Conf!$C$5*(O154-N154)/(O342*AI342)</f>
        <v>#DIV/0!</v>
      </c>
      <c r="AJ155" s="53" t="e">
        <f>AJ154+ATM_Conf!$C$5*(P154-O154)/(P342*AJ342)</f>
        <v>#DIV/0!</v>
      </c>
      <c r="AK155" s="53" t="e">
        <f>AK154+ATM_Conf!$C$5*(Q154-P154)/(Q342*AK342)</f>
        <v>#DIV/0!</v>
      </c>
      <c r="AL155" s="53" t="e">
        <f>AL154+ATM_Conf!$C$5*(R154-Q154)/(R342*AL342)</f>
        <v>#DIV/0!</v>
      </c>
      <c r="AM155" s="53" t="e">
        <f>AM154+ATM_Conf!$C$5*(S154-R154)/(S342*AM342)</f>
        <v>#DIV/0!</v>
      </c>
      <c r="AN155" s="53" t="e">
        <f>AN154+ATM_Conf!$C$5*(T154-S154)/(T342*AN342)</f>
        <v>#DIV/0!</v>
      </c>
      <c r="AO155" s="53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43">
        <f t="shared" si="99"/>
        <v>0</v>
      </c>
      <c r="DS155" s="43">
        <f t="shared" si="98"/>
        <v>0</v>
      </c>
      <c r="DT155" s="43">
        <f t="shared" si="98"/>
        <v>0</v>
      </c>
      <c r="DU155" s="43">
        <f t="shared" si="98"/>
        <v>0</v>
      </c>
      <c r="DV155" s="43">
        <f t="shared" si="98"/>
        <v>0</v>
      </c>
      <c r="DW155" s="43">
        <f t="shared" si="98"/>
        <v>0</v>
      </c>
      <c r="DX155" s="43">
        <f t="shared" si="98"/>
        <v>0</v>
      </c>
      <c r="DY155" s="43">
        <f t="shared" si="98"/>
        <v>0</v>
      </c>
      <c r="DZ155" s="43">
        <f t="shared" si="98"/>
        <v>0</v>
      </c>
      <c r="EA155" s="43">
        <f t="shared" si="98"/>
        <v>0</v>
      </c>
      <c r="EB155" s="43">
        <f t="shared" si="98"/>
        <v>0</v>
      </c>
      <c r="EC155" s="43">
        <f t="shared" si="98"/>
        <v>0</v>
      </c>
      <c r="ED155" s="43">
        <f t="shared" si="98"/>
        <v>0</v>
      </c>
      <c r="EE155" s="43">
        <f t="shared" si="98"/>
        <v>0</v>
      </c>
      <c r="EF155" s="43">
        <f t="shared" si="98"/>
        <v>0</v>
      </c>
      <c r="EG155" s="43">
        <f t="shared" si="98"/>
        <v>0</v>
      </c>
      <c r="EH155" s="43">
        <f t="shared" si="98"/>
        <v>0</v>
      </c>
      <c r="EI155" s="43">
        <f t="shared" si="98"/>
        <v>0</v>
      </c>
      <c r="EJ155" s="43">
        <f t="shared" si="98"/>
        <v>0</v>
      </c>
      <c r="EK155" s="43">
        <f t="shared" si="98"/>
        <v>0</v>
      </c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47"/>
      <c r="FA155" s="47"/>
      <c r="FB155" s="47"/>
      <c r="FC155" s="47"/>
      <c r="FD155" s="47"/>
      <c r="FE155" s="47"/>
    </row>
    <row r="156" spans="1:161" ht="14.25" x14ac:dyDescent="0.15">
      <c r="A156" s="46"/>
      <c r="B156" s="43" t="e">
        <f t="shared" si="74"/>
        <v>#DIV/0!</v>
      </c>
      <c r="C156" s="43" t="e">
        <f t="shared" si="75"/>
        <v>#DIV/0!</v>
      </c>
      <c r="D156" s="43" t="e">
        <f t="shared" si="76"/>
        <v>#DIV/0!</v>
      </c>
      <c r="E156" s="43" t="e">
        <f t="shared" si="77"/>
        <v>#DIV/0!</v>
      </c>
      <c r="F156" s="43" t="e">
        <f t="shared" si="78"/>
        <v>#DIV/0!</v>
      </c>
      <c r="G156" s="43" t="e">
        <f t="shared" si="79"/>
        <v>#DIV/0!</v>
      </c>
      <c r="H156" s="43" t="e">
        <f t="shared" si="80"/>
        <v>#DIV/0!</v>
      </c>
      <c r="I156" s="43" t="e">
        <f t="shared" si="81"/>
        <v>#DIV/0!</v>
      </c>
      <c r="J156" s="43" t="e">
        <f t="shared" si="82"/>
        <v>#DIV/0!</v>
      </c>
      <c r="K156" s="43" t="e">
        <f t="shared" si="83"/>
        <v>#DIV/0!</v>
      </c>
      <c r="L156" s="43" t="e">
        <f t="shared" si="84"/>
        <v>#DIV/0!</v>
      </c>
      <c r="M156" s="43" t="e">
        <f t="shared" si="85"/>
        <v>#DIV/0!</v>
      </c>
      <c r="N156" s="43" t="e">
        <f t="shared" si="86"/>
        <v>#DIV/0!</v>
      </c>
      <c r="O156" s="43" t="e">
        <f t="shared" si="87"/>
        <v>#DIV/0!</v>
      </c>
      <c r="P156" s="43" t="e">
        <f t="shared" si="88"/>
        <v>#DIV/0!</v>
      </c>
      <c r="Q156" s="43" t="e">
        <f t="shared" si="89"/>
        <v>#DIV/0!</v>
      </c>
      <c r="R156" s="43" t="e">
        <f t="shared" si="90"/>
        <v>#DIV/0!</v>
      </c>
      <c r="S156" s="43" t="e">
        <f t="shared" si="91"/>
        <v>#DIV/0!</v>
      </c>
      <c r="T156" s="43" t="e">
        <f t="shared" si="92"/>
        <v>#DIV/0!</v>
      </c>
      <c r="U156" s="43" t="e">
        <f t="shared" si="93"/>
        <v>#DIV/0!</v>
      </c>
      <c r="V156" s="53" t="e">
        <f>V155+ATM_Conf!$C$5*(B155)/(B343*V343)</f>
        <v>#DIV/0!</v>
      </c>
      <c r="W156" s="53" t="e">
        <f>W155+ATM_Conf!$C$5*(C155-B155)/(C343*W343)</f>
        <v>#DIV/0!</v>
      </c>
      <c r="X156" s="53" t="e">
        <f>X155+ATM_Conf!$C$5*(D155-C155)/(D343*X343)</f>
        <v>#DIV/0!</v>
      </c>
      <c r="Y156" s="53" t="e">
        <f>Y155+ATM_Conf!$C$5*(E155-D155)/(E343*Y343)</f>
        <v>#DIV/0!</v>
      </c>
      <c r="Z156" s="53" t="e">
        <f>Z155+ATM_Conf!$C$5*(F155-E155)/(F343*Z343)</f>
        <v>#DIV/0!</v>
      </c>
      <c r="AA156" s="53" t="e">
        <f>AA155+ATM_Conf!$C$5*(G155-F155)/(G343*AA343)</f>
        <v>#DIV/0!</v>
      </c>
      <c r="AB156" s="53" t="e">
        <f>AB155+ATM_Conf!$C$5*(H155-G155)/(H343*AB343)</f>
        <v>#DIV/0!</v>
      </c>
      <c r="AC156" s="53" t="e">
        <f>AC155+ATM_Conf!$C$5*(I155-H155)/(I343*AC343)</f>
        <v>#DIV/0!</v>
      </c>
      <c r="AD156" s="53" t="e">
        <f>AD155+ATM_Conf!$C$5*(J155-I155)/(J343*AD343)</f>
        <v>#DIV/0!</v>
      </c>
      <c r="AE156" s="53" t="e">
        <f>AE155+ATM_Conf!$C$5*(K155-J155)/(K343*AE343)</f>
        <v>#DIV/0!</v>
      </c>
      <c r="AF156" s="53" t="e">
        <f>AF155+ATM_Conf!$C$5*(L155)/(L343*AF343)</f>
        <v>#DIV/0!</v>
      </c>
      <c r="AG156" s="53" t="e">
        <f>AG155+ATM_Conf!$C$5*(M155-L155)/(M343*AG343)</f>
        <v>#DIV/0!</v>
      </c>
      <c r="AH156" s="53" t="e">
        <f>AH155+ATM_Conf!$C$5*(N155-M155)/(N343*AH343)</f>
        <v>#DIV/0!</v>
      </c>
      <c r="AI156" s="53" t="e">
        <f>AI155+ATM_Conf!$C$5*(O155-N155)/(O343*AI343)</f>
        <v>#DIV/0!</v>
      </c>
      <c r="AJ156" s="53" t="e">
        <f>AJ155+ATM_Conf!$C$5*(P155-O155)/(P343*AJ343)</f>
        <v>#DIV/0!</v>
      </c>
      <c r="AK156" s="53" t="e">
        <f>AK155+ATM_Conf!$C$5*(Q155-P155)/(Q343*AK343)</f>
        <v>#DIV/0!</v>
      </c>
      <c r="AL156" s="53" t="e">
        <f>AL155+ATM_Conf!$C$5*(R155-Q155)/(R343*AL343)</f>
        <v>#DIV/0!</v>
      </c>
      <c r="AM156" s="53" t="e">
        <f>AM155+ATM_Conf!$C$5*(S155-R155)/(S343*AM343)</f>
        <v>#DIV/0!</v>
      </c>
      <c r="AN156" s="53" t="e">
        <f>AN155+ATM_Conf!$C$5*(T155-S155)/(T343*AN343)</f>
        <v>#DIV/0!</v>
      </c>
      <c r="AO156" s="53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43">
        <f t="shared" si="99"/>
        <v>0</v>
      </c>
      <c r="DS156" s="43">
        <f t="shared" si="98"/>
        <v>0</v>
      </c>
      <c r="DT156" s="43">
        <f t="shared" si="98"/>
        <v>0</v>
      </c>
      <c r="DU156" s="43">
        <f t="shared" si="98"/>
        <v>0</v>
      </c>
      <c r="DV156" s="43">
        <f t="shared" si="98"/>
        <v>0</v>
      </c>
      <c r="DW156" s="43">
        <f t="shared" si="98"/>
        <v>0</v>
      </c>
      <c r="DX156" s="43">
        <f t="shared" si="98"/>
        <v>0</v>
      </c>
      <c r="DY156" s="43">
        <f t="shared" si="98"/>
        <v>0</v>
      </c>
      <c r="DZ156" s="43">
        <f t="shared" si="98"/>
        <v>0</v>
      </c>
      <c r="EA156" s="43">
        <f t="shared" si="98"/>
        <v>0</v>
      </c>
      <c r="EB156" s="43">
        <f t="shared" si="98"/>
        <v>0</v>
      </c>
      <c r="EC156" s="43">
        <f t="shared" si="98"/>
        <v>0</v>
      </c>
      <c r="ED156" s="43">
        <f t="shared" si="98"/>
        <v>0</v>
      </c>
      <c r="EE156" s="43">
        <f t="shared" si="98"/>
        <v>0</v>
      </c>
      <c r="EF156" s="43">
        <f t="shared" si="98"/>
        <v>0</v>
      </c>
      <c r="EG156" s="43">
        <f t="shared" si="98"/>
        <v>0</v>
      </c>
      <c r="EH156" s="43">
        <f t="shared" si="98"/>
        <v>0</v>
      </c>
      <c r="EI156" s="43">
        <f t="shared" si="98"/>
        <v>0</v>
      </c>
      <c r="EJ156" s="43">
        <f t="shared" si="98"/>
        <v>0</v>
      </c>
      <c r="EK156" s="43">
        <f t="shared" si="98"/>
        <v>0</v>
      </c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47"/>
      <c r="FA156" s="47"/>
      <c r="FB156" s="47"/>
      <c r="FC156" s="47"/>
      <c r="FD156" s="47"/>
      <c r="FE156" s="47"/>
    </row>
    <row r="157" spans="1:161" ht="14.25" x14ac:dyDescent="0.15">
      <c r="A157" s="46"/>
      <c r="B157" s="43" t="e">
        <f t="shared" si="74"/>
        <v>#DIV/0!</v>
      </c>
      <c r="C157" s="43" t="e">
        <f t="shared" si="75"/>
        <v>#DIV/0!</v>
      </c>
      <c r="D157" s="43" t="e">
        <f t="shared" si="76"/>
        <v>#DIV/0!</v>
      </c>
      <c r="E157" s="43" t="e">
        <f t="shared" si="77"/>
        <v>#DIV/0!</v>
      </c>
      <c r="F157" s="43" t="e">
        <f t="shared" si="78"/>
        <v>#DIV/0!</v>
      </c>
      <c r="G157" s="43" t="e">
        <f t="shared" si="79"/>
        <v>#DIV/0!</v>
      </c>
      <c r="H157" s="43" t="e">
        <f t="shared" si="80"/>
        <v>#DIV/0!</v>
      </c>
      <c r="I157" s="43" t="e">
        <f t="shared" si="81"/>
        <v>#DIV/0!</v>
      </c>
      <c r="J157" s="43" t="e">
        <f t="shared" si="82"/>
        <v>#DIV/0!</v>
      </c>
      <c r="K157" s="43" t="e">
        <f t="shared" si="83"/>
        <v>#DIV/0!</v>
      </c>
      <c r="L157" s="43" t="e">
        <f t="shared" si="84"/>
        <v>#DIV/0!</v>
      </c>
      <c r="M157" s="43" t="e">
        <f t="shared" si="85"/>
        <v>#DIV/0!</v>
      </c>
      <c r="N157" s="43" t="e">
        <f t="shared" si="86"/>
        <v>#DIV/0!</v>
      </c>
      <c r="O157" s="43" t="e">
        <f t="shared" si="87"/>
        <v>#DIV/0!</v>
      </c>
      <c r="P157" s="43" t="e">
        <f t="shared" si="88"/>
        <v>#DIV/0!</v>
      </c>
      <c r="Q157" s="43" t="e">
        <f t="shared" si="89"/>
        <v>#DIV/0!</v>
      </c>
      <c r="R157" s="43" t="e">
        <f t="shared" si="90"/>
        <v>#DIV/0!</v>
      </c>
      <c r="S157" s="43" t="e">
        <f t="shared" si="91"/>
        <v>#DIV/0!</v>
      </c>
      <c r="T157" s="43" t="e">
        <f t="shared" si="92"/>
        <v>#DIV/0!</v>
      </c>
      <c r="U157" s="43" t="e">
        <f t="shared" si="93"/>
        <v>#DIV/0!</v>
      </c>
      <c r="V157" s="53" t="e">
        <f>V156+ATM_Conf!$C$5*(B156)/(B344*V344)</f>
        <v>#DIV/0!</v>
      </c>
      <c r="W157" s="53" t="e">
        <f>W156+ATM_Conf!$C$5*(C156-B156)/(C344*W344)</f>
        <v>#DIV/0!</v>
      </c>
      <c r="X157" s="53" t="e">
        <f>X156+ATM_Conf!$C$5*(D156-C156)/(D344*X344)</f>
        <v>#DIV/0!</v>
      </c>
      <c r="Y157" s="53" t="e">
        <f>Y156+ATM_Conf!$C$5*(E156-D156)/(E344*Y344)</f>
        <v>#DIV/0!</v>
      </c>
      <c r="Z157" s="53" t="e">
        <f>Z156+ATM_Conf!$C$5*(F156-E156)/(F344*Z344)</f>
        <v>#DIV/0!</v>
      </c>
      <c r="AA157" s="53" t="e">
        <f>AA156+ATM_Conf!$C$5*(G156-F156)/(G344*AA344)</f>
        <v>#DIV/0!</v>
      </c>
      <c r="AB157" s="53" t="e">
        <f>AB156+ATM_Conf!$C$5*(H156-G156)/(H344*AB344)</f>
        <v>#DIV/0!</v>
      </c>
      <c r="AC157" s="53" t="e">
        <f>AC156+ATM_Conf!$C$5*(I156-H156)/(I344*AC344)</f>
        <v>#DIV/0!</v>
      </c>
      <c r="AD157" s="53" t="e">
        <f>AD156+ATM_Conf!$C$5*(J156-I156)/(J344*AD344)</f>
        <v>#DIV/0!</v>
      </c>
      <c r="AE157" s="53" t="e">
        <f>AE156+ATM_Conf!$C$5*(K156-J156)/(K344*AE344)</f>
        <v>#DIV/0!</v>
      </c>
      <c r="AF157" s="53" t="e">
        <f>AF156+ATM_Conf!$C$5*(L156)/(L344*AF344)</f>
        <v>#DIV/0!</v>
      </c>
      <c r="AG157" s="53" t="e">
        <f>AG156+ATM_Conf!$C$5*(M156-L156)/(M344*AG344)</f>
        <v>#DIV/0!</v>
      </c>
      <c r="AH157" s="53" t="e">
        <f>AH156+ATM_Conf!$C$5*(N156-M156)/(N344*AH344)</f>
        <v>#DIV/0!</v>
      </c>
      <c r="AI157" s="53" t="e">
        <f>AI156+ATM_Conf!$C$5*(O156-N156)/(O344*AI344)</f>
        <v>#DIV/0!</v>
      </c>
      <c r="AJ157" s="53" t="e">
        <f>AJ156+ATM_Conf!$C$5*(P156-O156)/(P344*AJ344)</f>
        <v>#DIV/0!</v>
      </c>
      <c r="AK157" s="53" t="e">
        <f>AK156+ATM_Conf!$C$5*(Q156-P156)/(Q344*AK344)</f>
        <v>#DIV/0!</v>
      </c>
      <c r="AL157" s="53" t="e">
        <f>AL156+ATM_Conf!$C$5*(R156-Q156)/(R344*AL344)</f>
        <v>#DIV/0!</v>
      </c>
      <c r="AM157" s="53" t="e">
        <f>AM156+ATM_Conf!$C$5*(S156-R156)/(S344*AM344)</f>
        <v>#DIV/0!</v>
      </c>
      <c r="AN157" s="53" t="e">
        <f>AN156+ATM_Conf!$C$5*(T156-S156)/(T344*AN344)</f>
        <v>#DIV/0!</v>
      </c>
      <c r="AO157" s="53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43">
        <f t="shared" si="99"/>
        <v>0</v>
      </c>
      <c r="DS157" s="43">
        <f t="shared" si="98"/>
        <v>0</v>
      </c>
      <c r="DT157" s="43">
        <f t="shared" si="98"/>
        <v>0</v>
      </c>
      <c r="DU157" s="43">
        <f t="shared" si="98"/>
        <v>0</v>
      </c>
      <c r="DV157" s="43">
        <f t="shared" si="98"/>
        <v>0</v>
      </c>
      <c r="DW157" s="43">
        <f t="shared" si="98"/>
        <v>0</v>
      </c>
      <c r="DX157" s="43">
        <f t="shared" si="98"/>
        <v>0</v>
      </c>
      <c r="DY157" s="43">
        <f t="shared" si="98"/>
        <v>0</v>
      </c>
      <c r="DZ157" s="43">
        <f t="shared" si="98"/>
        <v>0</v>
      </c>
      <c r="EA157" s="43">
        <f t="shared" si="98"/>
        <v>0</v>
      </c>
      <c r="EB157" s="43">
        <f t="shared" si="98"/>
        <v>0</v>
      </c>
      <c r="EC157" s="43">
        <f t="shared" si="98"/>
        <v>0</v>
      </c>
      <c r="ED157" s="43">
        <f t="shared" si="98"/>
        <v>0</v>
      </c>
      <c r="EE157" s="43">
        <f t="shared" si="98"/>
        <v>0</v>
      </c>
      <c r="EF157" s="43">
        <f t="shared" si="98"/>
        <v>0</v>
      </c>
      <c r="EG157" s="43">
        <f t="shared" si="98"/>
        <v>0</v>
      </c>
      <c r="EH157" s="43">
        <f t="shared" si="98"/>
        <v>0</v>
      </c>
      <c r="EI157" s="43">
        <f t="shared" si="98"/>
        <v>0</v>
      </c>
      <c r="EJ157" s="43">
        <f t="shared" si="98"/>
        <v>0</v>
      </c>
      <c r="EK157" s="43">
        <f t="shared" si="98"/>
        <v>0</v>
      </c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47"/>
      <c r="FA157" s="47"/>
      <c r="FB157" s="47"/>
      <c r="FC157" s="47"/>
      <c r="FD157" s="47"/>
      <c r="FE157" s="47"/>
    </row>
    <row r="158" spans="1:161" ht="14.25" x14ac:dyDescent="0.15">
      <c r="A158" s="46"/>
      <c r="B158" s="43" t="e">
        <f t="shared" si="74"/>
        <v>#DIV/0!</v>
      </c>
      <c r="C158" s="43" t="e">
        <f t="shared" si="75"/>
        <v>#DIV/0!</v>
      </c>
      <c r="D158" s="43" t="e">
        <f t="shared" si="76"/>
        <v>#DIV/0!</v>
      </c>
      <c r="E158" s="43" t="e">
        <f t="shared" si="77"/>
        <v>#DIV/0!</v>
      </c>
      <c r="F158" s="43" t="e">
        <f t="shared" si="78"/>
        <v>#DIV/0!</v>
      </c>
      <c r="G158" s="43" t="e">
        <f t="shared" si="79"/>
        <v>#DIV/0!</v>
      </c>
      <c r="H158" s="43" t="e">
        <f t="shared" si="80"/>
        <v>#DIV/0!</v>
      </c>
      <c r="I158" s="43" t="e">
        <f t="shared" si="81"/>
        <v>#DIV/0!</v>
      </c>
      <c r="J158" s="43" t="e">
        <f t="shared" si="82"/>
        <v>#DIV/0!</v>
      </c>
      <c r="K158" s="43" t="e">
        <f t="shared" si="83"/>
        <v>#DIV/0!</v>
      </c>
      <c r="L158" s="43" t="e">
        <f t="shared" si="84"/>
        <v>#DIV/0!</v>
      </c>
      <c r="M158" s="43" t="e">
        <f t="shared" si="85"/>
        <v>#DIV/0!</v>
      </c>
      <c r="N158" s="43" t="e">
        <f t="shared" si="86"/>
        <v>#DIV/0!</v>
      </c>
      <c r="O158" s="43" t="e">
        <f t="shared" si="87"/>
        <v>#DIV/0!</v>
      </c>
      <c r="P158" s="43" t="e">
        <f t="shared" si="88"/>
        <v>#DIV/0!</v>
      </c>
      <c r="Q158" s="43" t="e">
        <f t="shared" si="89"/>
        <v>#DIV/0!</v>
      </c>
      <c r="R158" s="43" t="e">
        <f t="shared" si="90"/>
        <v>#DIV/0!</v>
      </c>
      <c r="S158" s="43" t="e">
        <f t="shared" si="91"/>
        <v>#DIV/0!</v>
      </c>
      <c r="T158" s="43" t="e">
        <f t="shared" si="92"/>
        <v>#DIV/0!</v>
      </c>
      <c r="U158" s="43" t="e">
        <f t="shared" si="93"/>
        <v>#DIV/0!</v>
      </c>
      <c r="V158" s="53" t="e">
        <f>V157+ATM_Conf!$C$5*(B157)/(B345*V345)</f>
        <v>#DIV/0!</v>
      </c>
      <c r="W158" s="53" t="e">
        <f>W157+ATM_Conf!$C$5*(C157-B157)/(C345*W345)</f>
        <v>#DIV/0!</v>
      </c>
      <c r="X158" s="53" t="e">
        <f>X157+ATM_Conf!$C$5*(D157-C157)/(D345*X345)</f>
        <v>#DIV/0!</v>
      </c>
      <c r="Y158" s="53" t="e">
        <f>Y157+ATM_Conf!$C$5*(E157-D157)/(E345*Y345)</f>
        <v>#DIV/0!</v>
      </c>
      <c r="Z158" s="53" t="e">
        <f>Z157+ATM_Conf!$C$5*(F157-E157)/(F345*Z345)</f>
        <v>#DIV/0!</v>
      </c>
      <c r="AA158" s="53" t="e">
        <f>AA157+ATM_Conf!$C$5*(G157-F157)/(G345*AA345)</f>
        <v>#DIV/0!</v>
      </c>
      <c r="AB158" s="53" t="e">
        <f>AB157+ATM_Conf!$C$5*(H157-G157)/(H345*AB345)</f>
        <v>#DIV/0!</v>
      </c>
      <c r="AC158" s="53" t="e">
        <f>AC157+ATM_Conf!$C$5*(I157-H157)/(I345*AC345)</f>
        <v>#DIV/0!</v>
      </c>
      <c r="AD158" s="53" t="e">
        <f>AD157+ATM_Conf!$C$5*(J157-I157)/(J345*AD345)</f>
        <v>#DIV/0!</v>
      </c>
      <c r="AE158" s="53" t="e">
        <f>AE157+ATM_Conf!$C$5*(K157-J157)/(K345*AE345)</f>
        <v>#DIV/0!</v>
      </c>
      <c r="AF158" s="53" t="e">
        <f>AF157+ATM_Conf!$C$5*(L157)/(L345*AF345)</f>
        <v>#DIV/0!</v>
      </c>
      <c r="AG158" s="53" t="e">
        <f>AG157+ATM_Conf!$C$5*(M157-L157)/(M345*AG345)</f>
        <v>#DIV/0!</v>
      </c>
      <c r="AH158" s="53" t="e">
        <f>AH157+ATM_Conf!$C$5*(N157-M157)/(N345*AH345)</f>
        <v>#DIV/0!</v>
      </c>
      <c r="AI158" s="53" t="e">
        <f>AI157+ATM_Conf!$C$5*(O157-N157)/(O345*AI345)</f>
        <v>#DIV/0!</v>
      </c>
      <c r="AJ158" s="53" t="e">
        <f>AJ157+ATM_Conf!$C$5*(P157-O157)/(P345*AJ345)</f>
        <v>#DIV/0!</v>
      </c>
      <c r="AK158" s="53" t="e">
        <f>AK157+ATM_Conf!$C$5*(Q157-P157)/(Q345*AK345)</f>
        <v>#DIV/0!</v>
      </c>
      <c r="AL158" s="53" t="e">
        <f>AL157+ATM_Conf!$C$5*(R157-Q157)/(R345*AL345)</f>
        <v>#DIV/0!</v>
      </c>
      <c r="AM158" s="53" t="e">
        <f>AM157+ATM_Conf!$C$5*(S157-R157)/(S345*AM345)</f>
        <v>#DIV/0!</v>
      </c>
      <c r="AN158" s="53" t="e">
        <f>AN157+ATM_Conf!$C$5*(T157-S157)/(T345*AN345)</f>
        <v>#DIV/0!</v>
      </c>
      <c r="AO158" s="53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43">
        <f t="shared" si="99"/>
        <v>0</v>
      </c>
      <c r="DS158" s="43">
        <f t="shared" si="98"/>
        <v>0</v>
      </c>
      <c r="DT158" s="43">
        <f t="shared" si="98"/>
        <v>0</v>
      </c>
      <c r="DU158" s="43">
        <f t="shared" si="98"/>
        <v>0</v>
      </c>
      <c r="DV158" s="43">
        <f t="shared" si="98"/>
        <v>0</v>
      </c>
      <c r="DW158" s="43">
        <f t="shared" si="98"/>
        <v>0</v>
      </c>
      <c r="DX158" s="43">
        <f t="shared" si="98"/>
        <v>0</v>
      </c>
      <c r="DY158" s="43">
        <f t="shared" si="98"/>
        <v>0</v>
      </c>
      <c r="DZ158" s="43">
        <f t="shared" si="98"/>
        <v>0</v>
      </c>
      <c r="EA158" s="43">
        <f t="shared" si="98"/>
        <v>0</v>
      </c>
      <c r="EB158" s="43">
        <f t="shared" si="98"/>
        <v>0</v>
      </c>
      <c r="EC158" s="43">
        <f t="shared" si="98"/>
        <v>0</v>
      </c>
      <c r="ED158" s="43">
        <f t="shared" si="98"/>
        <v>0</v>
      </c>
      <c r="EE158" s="43">
        <f t="shared" si="98"/>
        <v>0</v>
      </c>
      <c r="EF158" s="43">
        <f t="shared" si="98"/>
        <v>0</v>
      </c>
      <c r="EG158" s="43">
        <f t="shared" si="98"/>
        <v>0</v>
      </c>
      <c r="EH158" s="43">
        <f t="shared" si="98"/>
        <v>0</v>
      </c>
      <c r="EI158" s="43">
        <f t="shared" si="98"/>
        <v>0</v>
      </c>
      <c r="EJ158" s="43">
        <f t="shared" si="98"/>
        <v>0</v>
      </c>
      <c r="EK158" s="43">
        <f t="shared" si="98"/>
        <v>0</v>
      </c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</row>
    <row r="159" spans="1:161" ht="14.25" x14ac:dyDescent="0.15">
      <c r="A159" s="46"/>
      <c r="B159" s="43" t="e">
        <f t="shared" si="74"/>
        <v>#DIV/0!</v>
      </c>
      <c r="C159" s="43" t="e">
        <f t="shared" si="75"/>
        <v>#DIV/0!</v>
      </c>
      <c r="D159" s="43" t="e">
        <f t="shared" si="76"/>
        <v>#DIV/0!</v>
      </c>
      <c r="E159" s="43" t="e">
        <f t="shared" si="77"/>
        <v>#DIV/0!</v>
      </c>
      <c r="F159" s="43" t="e">
        <f t="shared" si="78"/>
        <v>#DIV/0!</v>
      </c>
      <c r="G159" s="43" t="e">
        <f t="shared" si="79"/>
        <v>#DIV/0!</v>
      </c>
      <c r="H159" s="43" t="e">
        <f t="shared" si="80"/>
        <v>#DIV/0!</v>
      </c>
      <c r="I159" s="43" t="e">
        <f t="shared" si="81"/>
        <v>#DIV/0!</v>
      </c>
      <c r="J159" s="43" t="e">
        <f t="shared" si="82"/>
        <v>#DIV/0!</v>
      </c>
      <c r="K159" s="43" t="e">
        <f t="shared" si="83"/>
        <v>#DIV/0!</v>
      </c>
      <c r="L159" s="43" t="e">
        <f t="shared" si="84"/>
        <v>#DIV/0!</v>
      </c>
      <c r="M159" s="43" t="e">
        <f t="shared" si="85"/>
        <v>#DIV/0!</v>
      </c>
      <c r="N159" s="43" t="e">
        <f t="shared" si="86"/>
        <v>#DIV/0!</v>
      </c>
      <c r="O159" s="43" t="e">
        <f t="shared" si="87"/>
        <v>#DIV/0!</v>
      </c>
      <c r="P159" s="43" t="e">
        <f t="shared" si="88"/>
        <v>#DIV/0!</v>
      </c>
      <c r="Q159" s="43" t="e">
        <f t="shared" si="89"/>
        <v>#DIV/0!</v>
      </c>
      <c r="R159" s="43" t="e">
        <f t="shared" si="90"/>
        <v>#DIV/0!</v>
      </c>
      <c r="S159" s="43" t="e">
        <f t="shared" si="91"/>
        <v>#DIV/0!</v>
      </c>
      <c r="T159" s="43" t="e">
        <f t="shared" si="92"/>
        <v>#DIV/0!</v>
      </c>
      <c r="U159" s="43" t="e">
        <f t="shared" si="93"/>
        <v>#DIV/0!</v>
      </c>
      <c r="V159" s="53" t="e">
        <f>V158+ATM_Conf!$C$5*(B158)/(B346*V346)</f>
        <v>#DIV/0!</v>
      </c>
      <c r="W159" s="53" t="e">
        <f>W158+ATM_Conf!$C$5*(C158-B158)/(C346*W346)</f>
        <v>#DIV/0!</v>
      </c>
      <c r="X159" s="53" t="e">
        <f>X158+ATM_Conf!$C$5*(D158-C158)/(D346*X346)</f>
        <v>#DIV/0!</v>
      </c>
      <c r="Y159" s="53" t="e">
        <f>Y158+ATM_Conf!$C$5*(E158-D158)/(E346*Y346)</f>
        <v>#DIV/0!</v>
      </c>
      <c r="Z159" s="53" t="e">
        <f>Z158+ATM_Conf!$C$5*(F158-E158)/(F346*Z346)</f>
        <v>#DIV/0!</v>
      </c>
      <c r="AA159" s="53" t="e">
        <f>AA158+ATM_Conf!$C$5*(G158-F158)/(G346*AA346)</f>
        <v>#DIV/0!</v>
      </c>
      <c r="AB159" s="53" t="e">
        <f>AB158+ATM_Conf!$C$5*(H158-G158)/(H346*AB346)</f>
        <v>#DIV/0!</v>
      </c>
      <c r="AC159" s="53" t="e">
        <f>AC158+ATM_Conf!$C$5*(I158-H158)/(I346*AC346)</f>
        <v>#DIV/0!</v>
      </c>
      <c r="AD159" s="53" t="e">
        <f>AD158+ATM_Conf!$C$5*(J158-I158)/(J346*AD346)</f>
        <v>#DIV/0!</v>
      </c>
      <c r="AE159" s="53" t="e">
        <f>AE158+ATM_Conf!$C$5*(K158-J158)/(K346*AE346)</f>
        <v>#DIV/0!</v>
      </c>
      <c r="AF159" s="53" t="e">
        <f>AF158+ATM_Conf!$C$5*(L158)/(L346*AF346)</f>
        <v>#DIV/0!</v>
      </c>
      <c r="AG159" s="53" t="e">
        <f>AG158+ATM_Conf!$C$5*(M158-L158)/(M346*AG346)</f>
        <v>#DIV/0!</v>
      </c>
      <c r="AH159" s="53" t="e">
        <f>AH158+ATM_Conf!$C$5*(N158-M158)/(N346*AH346)</f>
        <v>#DIV/0!</v>
      </c>
      <c r="AI159" s="53" t="e">
        <f>AI158+ATM_Conf!$C$5*(O158-N158)/(O346*AI346)</f>
        <v>#DIV/0!</v>
      </c>
      <c r="AJ159" s="53" t="e">
        <f>AJ158+ATM_Conf!$C$5*(P158-O158)/(P346*AJ346)</f>
        <v>#DIV/0!</v>
      </c>
      <c r="AK159" s="53" t="e">
        <f>AK158+ATM_Conf!$C$5*(Q158-P158)/(Q346*AK346)</f>
        <v>#DIV/0!</v>
      </c>
      <c r="AL159" s="53" t="e">
        <f>AL158+ATM_Conf!$C$5*(R158-Q158)/(R346*AL346)</f>
        <v>#DIV/0!</v>
      </c>
      <c r="AM159" s="53" t="e">
        <f>AM158+ATM_Conf!$C$5*(S158-R158)/(S346*AM346)</f>
        <v>#DIV/0!</v>
      </c>
      <c r="AN159" s="53" t="e">
        <f>AN158+ATM_Conf!$C$5*(T158-S158)/(T346*AN346)</f>
        <v>#DIV/0!</v>
      </c>
      <c r="AO159" s="53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62"/>
      <c r="DS159" s="62"/>
      <c r="DT159" s="62"/>
      <c r="DU159" s="62"/>
      <c r="DV159" s="62"/>
      <c r="DW159" s="62"/>
      <c r="DX159" s="62"/>
      <c r="DY159" s="62"/>
      <c r="DZ159" s="62"/>
      <c r="EA159" s="62"/>
      <c r="EB159" s="62"/>
      <c r="EC159" s="62"/>
      <c r="ED159" s="62"/>
      <c r="EE159" s="62"/>
      <c r="EF159" s="62"/>
      <c r="EG159" s="62"/>
      <c r="EH159" s="62"/>
      <c r="EI159" s="62"/>
      <c r="EJ159" s="62"/>
      <c r="EK159" s="62"/>
      <c r="EL159" s="47">
        <f>(DR159-DR147)^2</f>
        <v>0</v>
      </c>
      <c r="EM159" s="47">
        <f t="shared" ref="EM159:FE159" si="100">(DS159-DS147)^2</f>
        <v>0</v>
      </c>
      <c r="EN159" s="47">
        <f t="shared" si="100"/>
        <v>0</v>
      </c>
      <c r="EO159" s="47">
        <f t="shared" si="100"/>
        <v>0</v>
      </c>
      <c r="EP159" s="47">
        <f t="shared" si="100"/>
        <v>0</v>
      </c>
      <c r="EQ159" s="47">
        <f t="shared" si="100"/>
        <v>0</v>
      </c>
      <c r="ER159" s="47">
        <f t="shared" si="100"/>
        <v>0</v>
      </c>
      <c r="ES159" s="47">
        <f t="shared" si="100"/>
        <v>0</v>
      </c>
      <c r="ET159" s="47">
        <f t="shared" si="100"/>
        <v>0</v>
      </c>
      <c r="EU159" s="47">
        <f t="shared" si="100"/>
        <v>0</v>
      </c>
      <c r="EV159" s="47">
        <f t="shared" si="100"/>
        <v>0</v>
      </c>
      <c r="EW159" s="47">
        <f t="shared" si="100"/>
        <v>0</v>
      </c>
      <c r="EX159" s="47">
        <f t="shared" si="100"/>
        <v>0</v>
      </c>
      <c r="EY159" s="47">
        <f t="shared" si="100"/>
        <v>0</v>
      </c>
      <c r="EZ159" s="47">
        <f t="shared" si="100"/>
        <v>0</v>
      </c>
      <c r="FA159" s="47">
        <f t="shared" si="100"/>
        <v>0</v>
      </c>
      <c r="FB159" s="47">
        <f t="shared" si="100"/>
        <v>0</v>
      </c>
      <c r="FC159" s="47">
        <f t="shared" si="100"/>
        <v>0</v>
      </c>
      <c r="FD159" s="47">
        <f t="shared" si="100"/>
        <v>0</v>
      </c>
      <c r="FE159" s="47">
        <f t="shared" si="100"/>
        <v>0</v>
      </c>
    </row>
    <row r="160" spans="1:161" ht="14.25" x14ac:dyDescent="0.15">
      <c r="A160" s="46"/>
      <c r="B160" s="43" t="e">
        <f t="shared" si="74"/>
        <v>#DIV/0!</v>
      </c>
      <c r="C160" s="43" t="e">
        <f t="shared" si="75"/>
        <v>#DIV/0!</v>
      </c>
      <c r="D160" s="43" t="e">
        <f t="shared" si="76"/>
        <v>#DIV/0!</v>
      </c>
      <c r="E160" s="43" t="e">
        <f t="shared" si="77"/>
        <v>#DIV/0!</v>
      </c>
      <c r="F160" s="43" t="e">
        <f t="shared" si="78"/>
        <v>#DIV/0!</v>
      </c>
      <c r="G160" s="43" t="e">
        <f t="shared" si="79"/>
        <v>#DIV/0!</v>
      </c>
      <c r="H160" s="43" t="e">
        <f t="shared" si="80"/>
        <v>#DIV/0!</v>
      </c>
      <c r="I160" s="43" t="e">
        <f t="shared" si="81"/>
        <v>#DIV/0!</v>
      </c>
      <c r="J160" s="43" t="e">
        <f t="shared" si="82"/>
        <v>#DIV/0!</v>
      </c>
      <c r="K160" s="43" t="e">
        <f t="shared" si="83"/>
        <v>#DIV/0!</v>
      </c>
      <c r="L160" s="43" t="e">
        <f t="shared" si="84"/>
        <v>#DIV/0!</v>
      </c>
      <c r="M160" s="43" t="e">
        <f t="shared" si="85"/>
        <v>#DIV/0!</v>
      </c>
      <c r="N160" s="43" t="e">
        <f t="shared" si="86"/>
        <v>#DIV/0!</v>
      </c>
      <c r="O160" s="43" t="e">
        <f t="shared" si="87"/>
        <v>#DIV/0!</v>
      </c>
      <c r="P160" s="43" t="e">
        <f t="shared" si="88"/>
        <v>#DIV/0!</v>
      </c>
      <c r="Q160" s="43" t="e">
        <f t="shared" si="89"/>
        <v>#DIV/0!</v>
      </c>
      <c r="R160" s="43" t="e">
        <f t="shared" si="90"/>
        <v>#DIV/0!</v>
      </c>
      <c r="S160" s="43" t="e">
        <f t="shared" si="91"/>
        <v>#DIV/0!</v>
      </c>
      <c r="T160" s="43" t="e">
        <f t="shared" si="92"/>
        <v>#DIV/0!</v>
      </c>
      <c r="U160" s="43" t="e">
        <f t="shared" si="93"/>
        <v>#DIV/0!</v>
      </c>
      <c r="V160" s="53" t="e">
        <f>V159+ATM_Conf!$C$5*(B159)/(B347*V347)</f>
        <v>#DIV/0!</v>
      </c>
      <c r="W160" s="53" t="e">
        <f>W159+ATM_Conf!$C$5*(C159-B159)/(C347*W347)</f>
        <v>#DIV/0!</v>
      </c>
      <c r="X160" s="53" t="e">
        <f>X159+ATM_Conf!$C$5*(D159-C159)/(D347*X347)</f>
        <v>#DIV/0!</v>
      </c>
      <c r="Y160" s="53" t="e">
        <f>Y159+ATM_Conf!$C$5*(E159-D159)/(E347*Y347)</f>
        <v>#DIV/0!</v>
      </c>
      <c r="Z160" s="53" t="e">
        <f>Z159+ATM_Conf!$C$5*(F159-E159)/(F347*Z347)</f>
        <v>#DIV/0!</v>
      </c>
      <c r="AA160" s="53" t="e">
        <f>AA159+ATM_Conf!$C$5*(G159-F159)/(G347*AA347)</f>
        <v>#DIV/0!</v>
      </c>
      <c r="AB160" s="53" t="e">
        <f>AB159+ATM_Conf!$C$5*(H159-G159)/(H347*AB347)</f>
        <v>#DIV/0!</v>
      </c>
      <c r="AC160" s="53" t="e">
        <f>AC159+ATM_Conf!$C$5*(I159-H159)/(I347*AC347)</f>
        <v>#DIV/0!</v>
      </c>
      <c r="AD160" s="53" t="e">
        <f>AD159+ATM_Conf!$C$5*(J159-I159)/(J347*AD347)</f>
        <v>#DIV/0!</v>
      </c>
      <c r="AE160" s="53" t="e">
        <f>AE159+ATM_Conf!$C$5*(K159-J159)/(K347*AE347)</f>
        <v>#DIV/0!</v>
      </c>
      <c r="AF160" s="53" t="e">
        <f>AF159+ATM_Conf!$C$5*(L159)/(L347*AF347)</f>
        <v>#DIV/0!</v>
      </c>
      <c r="AG160" s="53" t="e">
        <f>AG159+ATM_Conf!$C$5*(M159-L159)/(M347*AG347)</f>
        <v>#DIV/0!</v>
      </c>
      <c r="AH160" s="53" t="e">
        <f>AH159+ATM_Conf!$C$5*(N159-M159)/(N347*AH347)</f>
        <v>#DIV/0!</v>
      </c>
      <c r="AI160" s="53" t="e">
        <f>AI159+ATM_Conf!$C$5*(O159-N159)/(O347*AI347)</f>
        <v>#DIV/0!</v>
      </c>
      <c r="AJ160" s="53" t="e">
        <f>AJ159+ATM_Conf!$C$5*(P159-O159)/(P347*AJ347)</f>
        <v>#DIV/0!</v>
      </c>
      <c r="AK160" s="53" t="e">
        <f>AK159+ATM_Conf!$C$5*(Q159-P159)/(Q347*AK347)</f>
        <v>#DIV/0!</v>
      </c>
      <c r="AL160" s="53" t="e">
        <f>AL159+ATM_Conf!$C$5*(R159-Q159)/(R347*AL347)</f>
        <v>#DIV/0!</v>
      </c>
      <c r="AM160" s="53" t="e">
        <f>AM159+ATM_Conf!$C$5*(S159-R159)/(S347*AM347)</f>
        <v>#DIV/0!</v>
      </c>
      <c r="AN160" s="53" t="e">
        <f>AN159+ATM_Conf!$C$5*(T159-S159)/(T347*AN347)</f>
        <v>#DIV/0!</v>
      </c>
      <c r="AO160" s="53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43">
        <f>DR$159</f>
        <v>0</v>
      </c>
      <c r="DS160" s="43">
        <f t="shared" ref="DS160:EK170" si="101">DS$159</f>
        <v>0</v>
      </c>
      <c r="DT160" s="43">
        <f t="shared" si="101"/>
        <v>0</v>
      </c>
      <c r="DU160" s="43">
        <f t="shared" si="101"/>
        <v>0</v>
      </c>
      <c r="DV160" s="43">
        <f t="shared" si="101"/>
        <v>0</v>
      </c>
      <c r="DW160" s="43">
        <f t="shared" si="101"/>
        <v>0</v>
      </c>
      <c r="DX160" s="43">
        <f t="shared" si="101"/>
        <v>0</v>
      </c>
      <c r="DY160" s="43">
        <f t="shared" si="101"/>
        <v>0</v>
      </c>
      <c r="DZ160" s="43">
        <f t="shared" si="101"/>
        <v>0</v>
      </c>
      <c r="EA160" s="43">
        <f t="shared" si="101"/>
        <v>0</v>
      </c>
      <c r="EB160" s="43">
        <f t="shared" si="101"/>
        <v>0</v>
      </c>
      <c r="EC160" s="43">
        <f t="shared" si="101"/>
        <v>0</v>
      </c>
      <c r="ED160" s="43">
        <f t="shared" si="101"/>
        <v>0</v>
      </c>
      <c r="EE160" s="43">
        <f t="shared" si="101"/>
        <v>0</v>
      </c>
      <c r="EF160" s="43">
        <f t="shared" si="101"/>
        <v>0</v>
      </c>
      <c r="EG160" s="43">
        <f t="shared" si="101"/>
        <v>0</v>
      </c>
      <c r="EH160" s="43">
        <f t="shared" si="101"/>
        <v>0</v>
      </c>
      <c r="EI160" s="43">
        <f t="shared" si="101"/>
        <v>0</v>
      </c>
      <c r="EJ160" s="43">
        <f t="shared" si="101"/>
        <v>0</v>
      </c>
      <c r="EK160" s="43">
        <f t="shared" si="101"/>
        <v>0</v>
      </c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47"/>
      <c r="FA160" s="47"/>
      <c r="FB160" s="47"/>
      <c r="FC160" s="47"/>
      <c r="FD160" s="47"/>
      <c r="FE160" s="47"/>
    </row>
    <row r="161" spans="1:161" ht="14.25" x14ac:dyDescent="0.15">
      <c r="A161" s="46"/>
      <c r="B161" s="43" t="e">
        <f t="shared" si="74"/>
        <v>#DIV/0!</v>
      </c>
      <c r="C161" s="43" t="e">
        <f t="shared" si="75"/>
        <v>#DIV/0!</v>
      </c>
      <c r="D161" s="43" t="e">
        <f t="shared" si="76"/>
        <v>#DIV/0!</v>
      </c>
      <c r="E161" s="43" t="e">
        <f t="shared" si="77"/>
        <v>#DIV/0!</v>
      </c>
      <c r="F161" s="43" t="e">
        <f t="shared" si="78"/>
        <v>#DIV/0!</v>
      </c>
      <c r="G161" s="43" t="e">
        <f t="shared" si="79"/>
        <v>#DIV/0!</v>
      </c>
      <c r="H161" s="43" t="e">
        <f t="shared" si="80"/>
        <v>#DIV/0!</v>
      </c>
      <c r="I161" s="43" t="e">
        <f t="shared" si="81"/>
        <v>#DIV/0!</v>
      </c>
      <c r="J161" s="43" t="e">
        <f t="shared" si="82"/>
        <v>#DIV/0!</v>
      </c>
      <c r="K161" s="43" t="e">
        <f t="shared" si="83"/>
        <v>#DIV/0!</v>
      </c>
      <c r="L161" s="43" t="e">
        <f t="shared" si="84"/>
        <v>#DIV/0!</v>
      </c>
      <c r="M161" s="43" t="e">
        <f t="shared" si="85"/>
        <v>#DIV/0!</v>
      </c>
      <c r="N161" s="43" t="e">
        <f t="shared" si="86"/>
        <v>#DIV/0!</v>
      </c>
      <c r="O161" s="43" t="e">
        <f t="shared" si="87"/>
        <v>#DIV/0!</v>
      </c>
      <c r="P161" s="43" t="e">
        <f t="shared" si="88"/>
        <v>#DIV/0!</v>
      </c>
      <c r="Q161" s="43" t="e">
        <f t="shared" si="89"/>
        <v>#DIV/0!</v>
      </c>
      <c r="R161" s="43" t="e">
        <f t="shared" si="90"/>
        <v>#DIV/0!</v>
      </c>
      <c r="S161" s="43" t="e">
        <f t="shared" si="91"/>
        <v>#DIV/0!</v>
      </c>
      <c r="T161" s="43" t="e">
        <f t="shared" si="92"/>
        <v>#DIV/0!</v>
      </c>
      <c r="U161" s="43" t="e">
        <f t="shared" si="93"/>
        <v>#DIV/0!</v>
      </c>
      <c r="V161" s="53" t="e">
        <f>V160+ATM_Conf!$C$5*(B160)/(B348*V348)</f>
        <v>#DIV/0!</v>
      </c>
      <c r="W161" s="53" t="e">
        <f>W160+ATM_Conf!$C$5*(C160-B160)/(C348*W348)</f>
        <v>#DIV/0!</v>
      </c>
      <c r="X161" s="53" t="e">
        <f>X160+ATM_Conf!$C$5*(D160-C160)/(D348*X348)</f>
        <v>#DIV/0!</v>
      </c>
      <c r="Y161" s="53" t="e">
        <f>Y160+ATM_Conf!$C$5*(E160-D160)/(E348*Y348)</f>
        <v>#DIV/0!</v>
      </c>
      <c r="Z161" s="53" t="e">
        <f>Z160+ATM_Conf!$C$5*(F160-E160)/(F348*Z348)</f>
        <v>#DIV/0!</v>
      </c>
      <c r="AA161" s="53" t="e">
        <f>AA160+ATM_Conf!$C$5*(G160-F160)/(G348*AA348)</f>
        <v>#DIV/0!</v>
      </c>
      <c r="AB161" s="53" t="e">
        <f>AB160+ATM_Conf!$C$5*(H160-G160)/(H348*AB348)</f>
        <v>#DIV/0!</v>
      </c>
      <c r="AC161" s="53" t="e">
        <f>AC160+ATM_Conf!$C$5*(I160-H160)/(I348*AC348)</f>
        <v>#DIV/0!</v>
      </c>
      <c r="AD161" s="53" t="e">
        <f>AD160+ATM_Conf!$C$5*(J160-I160)/(J348*AD348)</f>
        <v>#DIV/0!</v>
      </c>
      <c r="AE161" s="53" t="e">
        <f>AE160+ATM_Conf!$C$5*(K160-J160)/(K348*AE348)</f>
        <v>#DIV/0!</v>
      </c>
      <c r="AF161" s="53" t="e">
        <f>AF160+ATM_Conf!$C$5*(L160)/(L348*AF348)</f>
        <v>#DIV/0!</v>
      </c>
      <c r="AG161" s="53" t="e">
        <f>AG160+ATM_Conf!$C$5*(M160-L160)/(M348*AG348)</f>
        <v>#DIV/0!</v>
      </c>
      <c r="AH161" s="53" t="e">
        <f>AH160+ATM_Conf!$C$5*(N160-M160)/(N348*AH348)</f>
        <v>#DIV/0!</v>
      </c>
      <c r="AI161" s="53" t="e">
        <f>AI160+ATM_Conf!$C$5*(O160-N160)/(O348*AI348)</f>
        <v>#DIV/0!</v>
      </c>
      <c r="AJ161" s="53" t="e">
        <f>AJ160+ATM_Conf!$C$5*(P160-O160)/(P348*AJ348)</f>
        <v>#DIV/0!</v>
      </c>
      <c r="AK161" s="53" t="e">
        <f>AK160+ATM_Conf!$C$5*(Q160-P160)/(Q348*AK348)</f>
        <v>#DIV/0!</v>
      </c>
      <c r="AL161" s="53" t="e">
        <f>AL160+ATM_Conf!$C$5*(R160-Q160)/(R348*AL348)</f>
        <v>#DIV/0!</v>
      </c>
      <c r="AM161" s="53" t="e">
        <f>AM160+ATM_Conf!$C$5*(S160-R160)/(S348*AM348)</f>
        <v>#DIV/0!</v>
      </c>
      <c r="AN161" s="53" t="e">
        <f>AN160+ATM_Conf!$C$5*(T160-S160)/(T348*AN348)</f>
        <v>#DIV/0!</v>
      </c>
      <c r="AO161" s="53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43">
        <f t="shared" ref="DR161:DR170" si="102">DR$159</f>
        <v>0</v>
      </c>
      <c r="DS161" s="43">
        <f t="shared" si="101"/>
        <v>0</v>
      </c>
      <c r="DT161" s="43">
        <f t="shared" si="101"/>
        <v>0</v>
      </c>
      <c r="DU161" s="43">
        <f t="shared" si="101"/>
        <v>0</v>
      </c>
      <c r="DV161" s="43">
        <f t="shared" si="101"/>
        <v>0</v>
      </c>
      <c r="DW161" s="43">
        <f t="shared" si="101"/>
        <v>0</v>
      </c>
      <c r="DX161" s="43">
        <f t="shared" si="101"/>
        <v>0</v>
      </c>
      <c r="DY161" s="43">
        <f t="shared" si="101"/>
        <v>0</v>
      </c>
      <c r="DZ161" s="43">
        <f t="shared" si="101"/>
        <v>0</v>
      </c>
      <c r="EA161" s="43">
        <f t="shared" si="101"/>
        <v>0</v>
      </c>
      <c r="EB161" s="43">
        <f t="shared" si="101"/>
        <v>0</v>
      </c>
      <c r="EC161" s="43">
        <f t="shared" si="101"/>
        <v>0</v>
      </c>
      <c r="ED161" s="43">
        <f t="shared" si="101"/>
        <v>0</v>
      </c>
      <c r="EE161" s="43">
        <f t="shared" si="101"/>
        <v>0</v>
      </c>
      <c r="EF161" s="43">
        <f t="shared" si="101"/>
        <v>0</v>
      </c>
      <c r="EG161" s="43">
        <f t="shared" si="101"/>
        <v>0</v>
      </c>
      <c r="EH161" s="43">
        <f t="shared" si="101"/>
        <v>0</v>
      </c>
      <c r="EI161" s="43">
        <f t="shared" si="101"/>
        <v>0</v>
      </c>
      <c r="EJ161" s="43">
        <f t="shared" si="101"/>
        <v>0</v>
      </c>
      <c r="EK161" s="43">
        <f t="shared" si="101"/>
        <v>0</v>
      </c>
      <c r="EL161" s="47"/>
      <c r="EM161" s="47"/>
      <c r="EN161" s="47"/>
      <c r="EO161" s="47"/>
      <c r="EP161" s="47"/>
      <c r="EQ161" s="47"/>
      <c r="ER161" s="47"/>
      <c r="ES161" s="47"/>
      <c r="ET161" s="47"/>
      <c r="EU161" s="47"/>
      <c r="EV161" s="47"/>
      <c r="EW161" s="47"/>
      <c r="EX161" s="47"/>
      <c r="EY161" s="47"/>
      <c r="EZ161" s="47"/>
      <c r="FA161" s="47"/>
      <c r="FB161" s="47"/>
      <c r="FC161" s="47"/>
      <c r="FD161" s="47"/>
      <c r="FE161" s="47"/>
    </row>
    <row r="162" spans="1:161" ht="14.25" x14ac:dyDescent="0.15">
      <c r="A162" s="46"/>
      <c r="B162" s="43" t="e">
        <f t="shared" si="74"/>
        <v>#DIV/0!</v>
      </c>
      <c r="C162" s="43" t="e">
        <f t="shared" si="75"/>
        <v>#DIV/0!</v>
      </c>
      <c r="D162" s="43" t="e">
        <f t="shared" si="76"/>
        <v>#DIV/0!</v>
      </c>
      <c r="E162" s="43" t="e">
        <f t="shared" si="77"/>
        <v>#DIV/0!</v>
      </c>
      <c r="F162" s="43" t="e">
        <f t="shared" si="78"/>
        <v>#DIV/0!</v>
      </c>
      <c r="G162" s="43" t="e">
        <f t="shared" si="79"/>
        <v>#DIV/0!</v>
      </c>
      <c r="H162" s="43" t="e">
        <f t="shared" si="80"/>
        <v>#DIV/0!</v>
      </c>
      <c r="I162" s="43" t="e">
        <f t="shared" si="81"/>
        <v>#DIV/0!</v>
      </c>
      <c r="J162" s="43" t="e">
        <f t="shared" si="82"/>
        <v>#DIV/0!</v>
      </c>
      <c r="K162" s="43" t="e">
        <f t="shared" si="83"/>
        <v>#DIV/0!</v>
      </c>
      <c r="L162" s="43" t="e">
        <f t="shared" si="84"/>
        <v>#DIV/0!</v>
      </c>
      <c r="M162" s="43" t="e">
        <f t="shared" si="85"/>
        <v>#DIV/0!</v>
      </c>
      <c r="N162" s="43" t="e">
        <f t="shared" si="86"/>
        <v>#DIV/0!</v>
      </c>
      <c r="O162" s="43" t="e">
        <f t="shared" si="87"/>
        <v>#DIV/0!</v>
      </c>
      <c r="P162" s="43" t="e">
        <f t="shared" si="88"/>
        <v>#DIV/0!</v>
      </c>
      <c r="Q162" s="43" t="e">
        <f t="shared" si="89"/>
        <v>#DIV/0!</v>
      </c>
      <c r="R162" s="43" t="e">
        <f t="shared" si="90"/>
        <v>#DIV/0!</v>
      </c>
      <c r="S162" s="43" t="e">
        <f t="shared" si="91"/>
        <v>#DIV/0!</v>
      </c>
      <c r="T162" s="43" t="e">
        <f t="shared" si="92"/>
        <v>#DIV/0!</v>
      </c>
      <c r="U162" s="43" t="e">
        <f t="shared" si="93"/>
        <v>#DIV/0!</v>
      </c>
      <c r="V162" s="53" t="e">
        <f>V161+ATM_Conf!$C$5*(B161)/(B349*V349)</f>
        <v>#DIV/0!</v>
      </c>
      <c r="W162" s="53" t="e">
        <f>W161+ATM_Conf!$C$5*(C161-B161)/(C349*W349)</f>
        <v>#DIV/0!</v>
      </c>
      <c r="X162" s="53" t="e">
        <f>X161+ATM_Conf!$C$5*(D161-C161)/(D349*X349)</f>
        <v>#DIV/0!</v>
      </c>
      <c r="Y162" s="53" t="e">
        <f>Y161+ATM_Conf!$C$5*(E161-D161)/(E349*Y349)</f>
        <v>#DIV/0!</v>
      </c>
      <c r="Z162" s="53" t="e">
        <f>Z161+ATM_Conf!$C$5*(F161-E161)/(F349*Z349)</f>
        <v>#DIV/0!</v>
      </c>
      <c r="AA162" s="53" t="e">
        <f>AA161+ATM_Conf!$C$5*(G161-F161)/(G349*AA349)</f>
        <v>#DIV/0!</v>
      </c>
      <c r="AB162" s="53" t="e">
        <f>AB161+ATM_Conf!$C$5*(H161-G161)/(H349*AB349)</f>
        <v>#DIV/0!</v>
      </c>
      <c r="AC162" s="53" t="e">
        <f>AC161+ATM_Conf!$C$5*(I161-H161)/(I349*AC349)</f>
        <v>#DIV/0!</v>
      </c>
      <c r="AD162" s="53" t="e">
        <f>AD161+ATM_Conf!$C$5*(J161-I161)/(J349*AD349)</f>
        <v>#DIV/0!</v>
      </c>
      <c r="AE162" s="53" t="e">
        <f>AE161+ATM_Conf!$C$5*(K161-J161)/(K349*AE349)</f>
        <v>#DIV/0!</v>
      </c>
      <c r="AF162" s="53" t="e">
        <f>AF161+ATM_Conf!$C$5*(L161)/(L349*AF349)</f>
        <v>#DIV/0!</v>
      </c>
      <c r="AG162" s="53" t="e">
        <f>AG161+ATM_Conf!$C$5*(M161-L161)/(M349*AG349)</f>
        <v>#DIV/0!</v>
      </c>
      <c r="AH162" s="53" t="e">
        <f>AH161+ATM_Conf!$C$5*(N161-M161)/(N349*AH349)</f>
        <v>#DIV/0!</v>
      </c>
      <c r="AI162" s="53" t="e">
        <f>AI161+ATM_Conf!$C$5*(O161-N161)/(O349*AI349)</f>
        <v>#DIV/0!</v>
      </c>
      <c r="AJ162" s="53" t="e">
        <f>AJ161+ATM_Conf!$C$5*(P161-O161)/(P349*AJ349)</f>
        <v>#DIV/0!</v>
      </c>
      <c r="AK162" s="53" t="e">
        <f>AK161+ATM_Conf!$C$5*(Q161-P161)/(Q349*AK349)</f>
        <v>#DIV/0!</v>
      </c>
      <c r="AL162" s="53" t="e">
        <f>AL161+ATM_Conf!$C$5*(R161-Q161)/(R349*AL349)</f>
        <v>#DIV/0!</v>
      </c>
      <c r="AM162" s="53" t="e">
        <f>AM161+ATM_Conf!$C$5*(S161-R161)/(S349*AM349)</f>
        <v>#DIV/0!</v>
      </c>
      <c r="AN162" s="53" t="e">
        <f>AN161+ATM_Conf!$C$5*(T161-S161)/(T349*AN349)</f>
        <v>#DIV/0!</v>
      </c>
      <c r="AO162" s="53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43">
        <f t="shared" si="102"/>
        <v>0</v>
      </c>
      <c r="DS162" s="43">
        <f t="shared" si="101"/>
        <v>0</v>
      </c>
      <c r="DT162" s="43">
        <f t="shared" si="101"/>
        <v>0</v>
      </c>
      <c r="DU162" s="43">
        <f t="shared" si="101"/>
        <v>0</v>
      </c>
      <c r="DV162" s="43">
        <f t="shared" si="101"/>
        <v>0</v>
      </c>
      <c r="DW162" s="43">
        <f t="shared" si="101"/>
        <v>0</v>
      </c>
      <c r="DX162" s="43">
        <f t="shared" si="101"/>
        <v>0</v>
      </c>
      <c r="DY162" s="43">
        <f t="shared" si="101"/>
        <v>0</v>
      </c>
      <c r="DZ162" s="43">
        <f t="shared" si="101"/>
        <v>0</v>
      </c>
      <c r="EA162" s="43">
        <f t="shared" si="101"/>
        <v>0</v>
      </c>
      <c r="EB162" s="43">
        <f t="shared" si="101"/>
        <v>0</v>
      </c>
      <c r="EC162" s="43">
        <f t="shared" si="101"/>
        <v>0</v>
      </c>
      <c r="ED162" s="43">
        <f t="shared" si="101"/>
        <v>0</v>
      </c>
      <c r="EE162" s="43">
        <f t="shared" si="101"/>
        <v>0</v>
      </c>
      <c r="EF162" s="43">
        <f t="shared" si="101"/>
        <v>0</v>
      </c>
      <c r="EG162" s="43">
        <f t="shared" si="101"/>
        <v>0</v>
      </c>
      <c r="EH162" s="43">
        <f t="shared" si="101"/>
        <v>0</v>
      </c>
      <c r="EI162" s="43">
        <f t="shared" si="101"/>
        <v>0</v>
      </c>
      <c r="EJ162" s="43">
        <f t="shared" si="101"/>
        <v>0</v>
      </c>
      <c r="EK162" s="43">
        <f t="shared" si="101"/>
        <v>0</v>
      </c>
      <c r="EL162" s="47"/>
      <c r="EM162" s="47"/>
      <c r="EN162" s="47"/>
      <c r="EO162" s="47"/>
      <c r="EP162" s="47"/>
      <c r="EQ162" s="47"/>
      <c r="ER162" s="47"/>
      <c r="ES162" s="47"/>
      <c r="ET162" s="47"/>
      <c r="EU162" s="47"/>
      <c r="EV162" s="47"/>
      <c r="EW162" s="47"/>
      <c r="EX162" s="47"/>
      <c r="EY162" s="47"/>
      <c r="EZ162" s="47"/>
      <c r="FA162" s="47"/>
      <c r="FB162" s="47"/>
      <c r="FC162" s="47"/>
      <c r="FD162" s="47"/>
      <c r="FE162" s="47"/>
    </row>
    <row r="163" spans="1:161" ht="14.25" x14ac:dyDescent="0.15">
      <c r="A163" s="46"/>
      <c r="B163" s="43" t="e">
        <f t="shared" si="74"/>
        <v>#DIV/0!</v>
      </c>
      <c r="C163" s="43" t="e">
        <f t="shared" si="75"/>
        <v>#DIV/0!</v>
      </c>
      <c r="D163" s="43" t="e">
        <f t="shared" si="76"/>
        <v>#DIV/0!</v>
      </c>
      <c r="E163" s="43" t="e">
        <f t="shared" si="77"/>
        <v>#DIV/0!</v>
      </c>
      <c r="F163" s="43" t="e">
        <f t="shared" si="78"/>
        <v>#DIV/0!</v>
      </c>
      <c r="G163" s="43" t="e">
        <f t="shared" si="79"/>
        <v>#DIV/0!</v>
      </c>
      <c r="H163" s="43" t="e">
        <f t="shared" si="80"/>
        <v>#DIV/0!</v>
      </c>
      <c r="I163" s="43" t="e">
        <f t="shared" si="81"/>
        <v>#DIV/0!</v>
      </c>
      <c r="J163" s="43" t="e">
        <f t="shared" si="82"/>
        <v>#DIV/0!</v>
      </c>
      <c r="K163" s="43" t="e">
        <f t="shared" si="83"/>
        <v>#DIV/0!</v>
      </c>
      <c r="L163" s="43" t="e">
        <f t="shared" si="84"/>
        <v>#DIV/0!</v>
      </c>
      <c r="M163" s="43" t="e">
        <f t="shared" si="85"/>
        <v>#DIV/0!</v>
      </c>
      <c r="N163" s="43" t="e">
        <f t="shared" si="86"/>
        <v>#DIV/0!</v>
      </c>
      <c r="O163" s="43" t="e">
        <f t="shared" si="87"/>
        <v>#DIV/0!</v>
      </c>
      <c r="P163" s="43" t="e">
        <f t="shared" si="88"/>
        <v>#DIV/0!</v>
      </c>
      <c r="Q163" s="43" t="e">
        <f t="shared" si="89"/>
        <v>#DIV/0!</v>
      </c>
      <c r="R163" s="43" t="e">
        <f t="shared" si="90"/>
        <v>#DIV/0!</v>
      </c>
      <c r="S163" s="43" t="e">
        <f t="shared" si="91"/>
        <v>#DIV/0!</v>
      </c>
      <c r="T163" s="43" t="e">
        <f t="shared" si="92"/>
        <v>#DIV/0!</v>
      </c>
      <c r="U163" s="43" t="e">
        <f t="shared" si="93"/>
        <v>#DIV/0!</v>
      </c>
      <c r="V163" s="53" t="e">
        <f>V162+ATM_Conf!$C$5*(B162)/(B350*V350)</f>
        <v>#DIV/0!</v>
      </c>
      <c r="W163" s="53" t="e">
        <f>W162+ATM_Conf!$C$5*(C162-B162)/(C350*W350)</f>
        <v>#DIV/0!</v>
      </c>
      <c r="X163" s="53" t="e">
        <f>X162+ATM_Conf!$C$5*(D162-C162)/(D350*X350)</f>
        <v>#DIV/0!</v>
      </c>
      <c r="Y163" s="53" t="e">
        <f>Y162+ATM_Conf!$C$5*(E162-D162)/(E350*Y350)</f>
        <v>#DIV/0!</v>
      </c>
      <c r="Z163" s="53" t="e">
        <f>Z162+ATM_Conf!$C$5*(F162-E162)/(F350*Z350)</f>
        <v>#DIV/0!</v>
      </c>
      <c r="AA163" s="53" t="e">
        <f>AA162+ATM_Conf!$C$5*(G162-F162)/(G350*AA350)</f>
        <v>#DIV/0!</v>
      </c>
      <c r="AB163" s="53" t="e">
        <f>AB162+ATM_Conf!$C$5*(H162-G162)/(H350*AB350)</f>
        <v>#DIV/0!</v>
      </c>
      <c r="AC163" s="53" t="e">
        <f>AC162+ATM_Conf!$C$5*(I162-H162)/(I350*AC350)</f>
        <v>#DIV/0!</v>
      </c>
      <c r="AD163" s="53" t="e">
        <f>AD162+ATM_Conf!$C$5*(J162-I162)/(J350*AD350)</f>
        <v>#DIV/0!</v>
      </c>
      <c r="AE163" s="53" t="e">
        <f>AE162+ATM_Conf!$C$5*(K162-J162)/(K350*AE350)</f>
        <v>#DIV/0!</v>
      </c>
      <c r="AF163" s="53" t="e">
        <f>AF162+ATM_Conf!$C$5*(L162)/(L350*AF350)</f>
        <v>#DIV/0!</v>
      </c>
      <c r="AG163" s="53" t="e">
        <f>AG162+ATM_Conf!$C$5*(M162-L162)/(M350*AG350)</f>
        <v>#DIV/0!</v>
      </c>
      <c r="AH163" s="53" t="e">
        <f>AH162+ATM_Conf!$C$5*(N162-M162)/(N350*AH350)</f>
        <v>#DIV/0!</v>
      </c>
      <c r="AI163" s="53" t="e">
        <f>AI162+ATM_Conf!$C$5*(O162-N162)/(O350*AI350)</f>
        <v>#DIV/0!</v>
      </c>
      <c r="AJ163" s="53" t="e">
        <f>AJ162+ATM_Conf!$C$5*(P162-O162)/(P350*AJ350)</f>
        <v>#DIV/0!</v>
      </c>
      <c r="AK163" s="53" t="e">
        <f>AK162+ATM_Conf!$C$5*(Q162-P162)/(Q350*AK350)</f>
        <v>#DIV/0!</v>
      </c>
      <c r="AL163" s="53" t="e">
        <f>AL162+ATM_Conf!$C$5*(R162-Q162)/(R350*AL350)</f>
        <v>#DIV/0!</v>
      </c>
      <c r="AM163" s="53" t="e">
        <f>AM162+ATM_Conf!$C$5*(S162-R162)/(S350*AM350)</f>
        <v>#DIV/0!</v>
      </c>
      <c r="AN163" s="53" t="e">
        <f>AN162+ATM_Conf!$C$5*(T162-S162)/(T350*AN350)</f>
        <v>#DIV/0!</v>
      </c>
      <c r="AO163" s="53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43">
        <f t="shared" si="102"/>
        <v>0</v>
      </c>
      <c r="DS163" s="43">
        <f t="shared" si="101"/>
        <v>0</v>
      </c>
      <c r="DT163" s="43">
        <f t="shared" si="101"/>
        <v>0</v>
      </c>
      <c r="DU163" s="43">
        <f t="shared" si="101"/>
        <v>0</v>
      </c>
      <c r="DV163" s="43">
        <f t="shared" si="101"/>
        <v>0</v>
      </c>
      <c r="DW163" s="43">
        <f t="shared" si="101"/>
        <v>0</v>
      </c>
      <c r="DX163" s="43">
        <f t="shared" si="101"/>
        <v>0</v>
      </c>
      <c r="DY163" s="43">
        <f t="shared" si="101"/>
        <v>0</v>
      </c>
      <c r="DZ163" s="43">
        <f t="shared" si="101"/>
        <v>0</v>
      </c>
      <c r="EA163" s="43">
        <f t="shared" si="101"/>
        <v>0</v>
      </c>
      <c r="EB163" s="43">
        <f t="shared" si="101"/>
        <v>0</v>
      </c>
      <c r="EC163" s="43">
        <f t="shared" si="101"/>
        <v>0</v>
      </c>
      <c r="ED163" s="43">
        <f t="shared" si="101"/>
        <v>0</v>
      </c>
      <c r="EE163" s="43">
        <f t="shared" si="101"/>
        <v>0</v>
      </c>
      <c r="EF163" s="43">
        <f t="shared" si="101"/>
        <v>0</v>
      </c>
      <c r="EG163" s="43">
        <f t="shared" si="101"/>
        <v>0</v>
      </c>
      <c r="EH163" s="43">
        <f t="shared" si="101"/>
        <v>0</v>
      </c>
      <c r="EI163" s="43">
        <f t="shared" si="101"/>
        <v>0</v>
      </c>
      <c r="EJ163" s="43">
        <f t="shared" si="101"/>
        <v>0</v>
      </c>
      <c r="EK163" s="43">
        <f t="shared" si="101"/>
        <v>0</v>
      </c>
      <c r="EL163" s="47"/>
      <c r="EM163" s="47"/>
      <c r="EN163" s="47"/>
      <c r="EO163" s="47"/>
      <c r="EP163" s="47"/>
      <c r="EQ163" s="47"/>
      <c r="ER163" s="47"/>
      <c r="ES163" s="47"/>
      <c r="ET163" s="47"/>
      <c r="EU163" s="47"/>
      <c r="EV163" s="47"/>
      <c r="EW163" s="47"/>
      <c r="EX163" s="47"/>
      <c r="EY163" s="47"/>
      <c r="EZ163" s="47"/>
      <c r="FA163" s="47"/>
      <c r="FB163" s="47"/>
      <c r="FC163" s="47"/>
      <c r="FD163" s="47"/>
      <c r="FE163" s="47"/>
    </row>
    <row r="164" spans="1:161" ht="14.25" x14ac:dyDescent="0.15">
      <c r="A164" s="46"/>
      <c r="B164" s="43" t="e">
        <f t="shared" si="74"/>
        <v>#DIV/0!</v>
      </c>
      <c r="C164" s="43" t="e">
        <f t="shared" si="75"/>
        <v>#DIV/0!</v>
      </c>
      <c r="D164" s="43" t="e">
        <f t="shared" si="76"/>
        <v>#DIV/0!</v>
      </c>
      <c r="E164" s="43" t="e">
        <f t="shared" si="77"/>
        <v>#DIV/0!</v>
      </c>
      <c r="F164" s="43" t="e">
        <f t="shared" si="78"/>
        <v>#DIV/0!</v>
      </c>
      <c r="G164" s="43" t="e">
        <f t="shared" si="79"/>
        <v>#DIV/0!</v>
      </c>
      <c r="H164" s="43" t="e">
        <f t="shared" si="80"/>
        <v>#DIV/0!</v>
      </c>
      <c r="I164" s="43" t="e">
        <f t="shared" si="81"/>
        <v>#DIV/0!</v>
      </c>
      <c r="J164" s="43" t="e">
        <f t="shared" si="82"/>
        <v>#DIV/0!</v>
      </c>
      <c r="K164" s="43" t="e">
        <f t="shared" si="83"/>
        <v>#DIV/0!</v>
      </c>
      <c r="L164" s="43" t="e">
        <f t="shared" si="84"/>
        <v>#DIV/0!</v>
      </c>
      <c r="M164" s="43" t="e">
        <f t="shared" si="85"/>
        <v>#DIV/0!</v>
      </c>
      <c r="N164" s="43" t="e">
        <f t="shared" si="86"/>
        <v>#DIV/0!</v>
      </c>
      <c r="O164" s="43" t="e">
        <f t="shared" si="87"/>
        <v>#DIV/0!</v>
      </c>
      <c r="P164" s="43" t="e">
        <f t="shared" si="88"/>
        <v>#DIV/0!</v>
      </c>
      <c r="Q164" s="43" t="e">
        <f t="shared" si="89"/>
        <v>#DIV/0!</v>
      </c>
      <c r="R164" s="43" t="e">
        <f t="shared" si="90"/>
        <v>#DIV/0!</v>
      </c>
      <c r="S164" s="43" t="e">
        <f t="shared" si="91"/>
        <v>#DIV/0!</v>
      </c>
      <c r="T164" s="43" t="e">
        <f t="shared" si="92"/>
        <v>#DIV/0!</v>
      </c>
      <c r="U164" s="43" t="e">
        <f t="shared" si="93"/>
        <v>#DIV/0!</v>
      </c>
      <c r="V164" s="53" t="e">
        <f>V163+ATM_Conf!$C$5*(B163)/(B351*V351)</f>
        <v>#DIV/0!</v>
      </c>
      <c r="W164" s="53" t="e">
        <f>W163+ATM_Conf!$C$5*(C163-B163)/(C351*W351)</f>
        <v>#DIV/0!</v>
      </c>
      <c r="X164" s="53" t="e">
        <f>X163+ATM_Conf!$C$5*(D163-C163)/(D351*X351)</f>
        <v>#DIV/0!</v>
      </c>
      <c r="Y164" s="53" t="e">
        <f>Y163+ATM_Conf!$C$5*(E163-D163)/(E351*Y351)</f>
        <v>#DIV/0!</v>
      </c>
      <c r="Z164" s="53" t="e">
        <f>Z163+ATM_Conf!$C$5*(F163-E163)/(F351*Z351)</f>
        <v>#DIV/0!</v>
      </c>
      <c r="AA164" s="53" t="e">
        <f>AA163+ATM_Conf!$C$5*(G163-F163)/(G351*AA351)</f>
        <v>#DIV/0!</v>
      </c>
      <c r="AB164" s="53" t="e">
        <f>AB163+ATM_Conf!$C$5*(H163-G163)/(H351*AB351)</f>
        <v>#DIV/0!</v>
      </c>
      <c r="AC164" s="53" t="e">
        <f>AC163+ATM_Conf!$C$5*(I163-H163)/(I351*AC351)</f>
        <v>#DIV/0!</v>
      </c>
      <c r="AD164" s="53" t="e">
        <f>AD163+ATM_Conf!$C$5*(J163-I163)/(J351*AD351)</f>
        <v>#DIV/0!</v>
      </c>
      <c r="AE164" s="53" t="e">
        <f>AE163+ATM_Conf!$C$5*(K163-J163)/(K351*AE351)</f>
        <v>#DIV/0!</v>
      </c>
      <c r="AF164" s="53" t="e">
        <f>AF163+ATM_Conf!$C$5*(L163)/(L351*AF351)</f>
        <v>#DIV/0!</v>
      </c>
      <c r="AG164" s="53" t="e">
        <f>AG163+ATM_Conf!$C$5*(M163-L163)/(M351*AG351)</f>
        <v>#DIV/0!</v>
      </c>
      <c r="AH164" s="53" t="e">
        <f>AH163+ATM_Conf!$C$5*(N163-M163)/(N351*AH351)</f>
        <v>#DIV/0!</v>
      </c>
      <c r="AI164" s="53" t="e">
        <f>AI163+ATM_Conf!$C$5*(O163-N163)/(O351*AI351)</f>
        <v>#DIV/0!</v>
      </c>
      <c r="AJ164" s="53" t="e">
        <f>AJ163+ATM_Conf!$C$5*(P163-O163)/(P351*AJ351)</f>
        <v>#DIV/0!</v>
      </c>
      <c r="AK164" s="53" t="e">
        <f>AK163+ATM_Conf!$C$5*(Q163-P163)/(Q351*AK351)</f>
        <v>#DIV/0!</v>
      </c>
      <c r="AL164" s="53" t="e">
        <f>AL163+ATM_Conf!$C$5*(R163-Q163)/(R351*AL351)</f>
        <v>#DIV/0!</v>
      </c>
      <c r="AM164" s="53" t="e">
        <f>AM163+ATM_Conf!$C$5*(S163-R163)/(S351*AM351)</f>
        <v>#DIV/0!</v>
      </c>
      <c r="AN164" s="53" t="e">
        <f>AN163+ATM_Conf!$C$5*(T163-S163)/(T351*AN351)</f>
        <v>#DIV/0!</v>
      </c>
      <c r="AO164" s="53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43">
        <f t="shared" si="102"/>
        <v>0</v>
      </c>
      <c r="DS164" s="43">
        <f t="shared" si="101"/>
        <v>0</v>
      </c>
      <c r="DT164" s="43">
        <f t="shared" si="101"/>
        <v>0</v>
      </c>
      <c r="DU164" s="43">
        <f t="shared" si="101"/>
        <v>0</v>
      </c>
      <c r="DV164" s="43">
        <f t="shared" si="101"/>
        <v>0</v>
      </c>
      <c r="DW164" s="43">
        <f t="shared" si="101"/>
        <v>0</v>
      </c>
      <c r="DX164" s="43">
        <f t="shared" si="101"/>
        <v>0</v>
      </c>
      <c r="DY164" s="43">
        <f t="shared" si="101"/>
        <v>0</v>
      </c>
      <c r="DZ164" s="43">
        <f t="shared" si="101"/>
        <v>0</v>
      </c>
      <c r="EA164" s="43">
        <f t="shared" si="101"/>
        <v>0</v>
      </c>
      <c r="EB164" s="43">
        <f t="shared" si="101"/>
        <v>0</v>
      </c>
      <c r="EC164" s="43">
        <f t="shared" si="101"/>
        <v>0</v>
      </c>
      <c r="ED164" s="43">
        <f t="shared" si="101"/>
        <v>0</v>
      </c>
      <c r="EE164" s="43">
        <f t="shared" si="101"/>
        <v>0</v>
      </c>
      <c r="EF164" s="43">
        <f t="shared" si="101"/>
        <v>0</v>
      </c>
      <c r="EG164" s="43">
        <f t="shared" si="101"/>
        <v>0</v>
      </c>
      <c r="EH164" s="43">
        <f t="shared" si="101"/>
        <v>0</v>
      </c>
      <c r="EI164" s="43">
        <f t="shared" si="101"/>
        <v>0</v>
      </c>
      <c r="EJ164" s="43">
        <f t="shared" si="101"/>
        <v>0</v>
      </c>
      <c r="EK164" s="43">
        <f t="shared" si="101"/>
        <v>0</v>
      </c>
      <c r="EL164" s="47"/>
      <c r="EM164" s="47"/>
      <c r="EN164" s="47"/>
      <c r="EO164" s="47"/>
      <c r="EP164" s="47"/>
      <c r="EQ164" s="47"/>
      <c r="ER164" s="47"/>
      <c r="ES164" s="47"/>
      <c r="ET164" s="47"/>
      <c r="EU164" s="47"/>
      <c r="EV164" s="47"/>
      <c r="EW164" s="47"/>
      <c r="EX164" s="47"/>
      <c r="EY164" s="47"/>
      <c r="EZ164" s="47"/>
      <c r="FA164" s="47"/>
      <c r="FB164" s="47"/>
      <c r="FC164" s="47"/>
      <c r="FD164" s="47"/>
      <c r="FE164" s="47"/>
    </row>
    <row r="165" spans="1:161" ht="14.25" x14ac:dyDescent="0.15">
      <c r="A165" s="46"/>
      <c r="B165" s="43" t="e">
        <f t="shared" si="74"/>
        <v>#DIV/0!</v>
      </c>
      <c r="C165" s="43" t="e">
        <f t="shared" si="75"/>
        <v>#DIV/0!</v>
      </c>
      <c r="D165" s="43" t="e">
        <f t="shared" si="76"/>
        <v>#DIV/0!</v>
      </c>
      <c r="E165" s="43" t="e">
        <f t="shared" si="77"/>
        <v>#DIV/0!</v>
      </c>
      <c r="F165" s="43" t="e">
        <f t="shared" si="78"/>
        <v>#DIV/0!</v>
      </c>
      <c r="G165" s="43" t="e">
        <f t="shared" si="79"/>
        <v>#DIV/0!</v>
      </c>
      <c r="H165" s="43" t="e">
        <f t="shared" si="80"/>
        <v>#DIV/0!</v>
      </c>
      <c r="I165" s="43" t="e">
        <f t="shared" si="81"/>
        <v>#DIV/0!</v>
      </c>
      <c r="J165" s="43" t="e">
        <f t="shared" si="82"/>
        <v>#DIV/0!</v>
      </c>
      <c r="K165" s="43" t="e">
        <f t="shared" si="83"/>
        <v>#DIV/0!</v>
      </c>
      <c r="L165" s="43" t="e">
        <f t="shared" si="84"/>
        <v>#DIV/0!</v>
      </c>
      <c r="M165" s="43" t="e">
        <f t="shared" si="85"/>
        <v>#DIV/0!</v>
      </c>
      <c r="N165" s="43" t="e">
        <f t="shared" si="86"/>
        <v>#DIV/0!</v>
      </c>
      <c r="O165" s="43" t="e">
        <f t="shared" si="87"/>
        <v>#DIV/0!</v>
      </c>
      <c r="P165" s="43" t="e">
        <f t="shared" si="88"/>
        <v>#DIV/0!</v>
      </c>
      <c r="Q165" s="43" t="e">
        <f t="shared" si="89"/>
        <v>#DIV/0!</v>
      </c>
      <c r="R165" s="43" t="e">
        <f t="shared" si="90"/>
        <v>#DIV/0!</v>
      </c>
      <c r="S165" s="43" t="e">
        <f t="shared" si="91"/>
        <v>#DIV/0!</v>
      </c>
      <c r="T165" s="43" t="e">
        <f t="shared" si="92"/>
        <v>#DIV/0!</v>
      </c>
      <c r="U165" s="43" t="e">
        <f t="shared" si="93"/>
        <v>#DIV/0!</v>
      </c>
      <c r="V165" s="53" t="e">
        <f>V164+ATM_Conf!$C$5*(B164)/(B352*V352)</f>
        <v>#DIV/0!</v>
      </c>
      <c r="W165" s="53" t="e">
        <f>W164+ATM_Conf!$C$5*(C164-B164)/(C352*W352)</f>
        <v>#DIV/0!</v>
      </c>
      <c r="X165" s="53" t="e">
        <f>X164+ATM_Conf!$C$5*(D164-C164)/(D352*X352)</f>
        <v>#DIV/0!</v>
      </c>
      <c r="Y165" s="53" t="e">
        <f>Y164+ATM_Conf!$C$5*(E164-D164)/(E352*Y352)</f>
        <v>#DIV/0!</v>
      </c>
      <c r="Z165" s="53" t="e">
        <f>Z164+ATM_Conf!$C$5*(F164-E164)/(F352*Z352)</f>
        <v>#DIV/0!</v>
      </c>
      <c r="AA165" s="53" t="e">
        <f>AA164+ATM_Conf!$C$5*(G164-F164)/(G352*AA352)</f>
        <v>#DIV/0!</v>
      </c>
      <c r="AB165" s="53" t="e">
        <f>AB164+ATM_Conf!$C$5*(H164-G164)/(H352*AB352)</f>
        <v>#DIV/0!</v>
      </c>
      <c r="AC165" s="53" t="e">
        <f>AC164+ATM_Conf!$C$5*(I164-H164)/(I352*AC352)</f>
        <v>#DIV/0!</v>
      </c>
      <c r="AD165" s="53" t="e">
        <f>AD164+ATM_Conf!$C$5*(J164-I164)/(J352*AD352)</f>
        <v>#DIV/0!</v>
      </c>
      <c r="AE165" s="53" t="e">
        <f>AE164+ATM_Conf!$C$5*(K164-J164)/(K352*AE352)</f>
        <v>#DIV/0!</v>
      </c>
      <c r="AF165" s="53" t="e">
        <f>AF164+ATM_Conf!$C$5*(L164)/(L352*AF352)</f>
        <v>#DIV/0!</v>
      </c>
      <c r="AG165" s="53" t="e">
        <f>AG164+ATM_Conf!$C$5*(M164-L164)/(M352*AG352)</f>
        <v>#DIV/0!</v>
      </c>
      <c r="AH165" s="53" t="e">
        <f>AH164+ATM_Conf!$C$5*(N164-M164)/(N352*AH352)</f>
        <v>#DIV/0!</v>
      </c>
      <c r="AI165" s="53" t="e">
        <f>AI164+ATM_Conf!$C$5*(O164-N164)/(O352*AI352)</f>
        <v>#DIV/0!</v>
      </c>
      <c r="AJ165" s="53" t="e">
        <f>AJ164+ATM_Conf!$C$5*(P164-O164)/(P352*AJ352)</f>
        <v>#DIV/0!</v>
      </c>
      <c r="AK165" s="53" t="e">
        <f>AK164+ATM_Conf!$C$5*(Q164-P164)/(Q352*AK352)</f>
        <v>#DIV/0!</v>
      </c>
      <c r="AL165" s="53" t="e">
        <f>AL164+ATM_Conf!$C$5*(R164-Q164)/(R352*AL352)</f>
        <v>#DIV/0!</v>
      </c>
      <c r="AM165" s="53" t="e">
        <f>AM164+ATM_Conf!$C$5*(S164-R164)/(S352*AM352)</f>
        <v>#DIV/0!</v>
      </c>
      <c r="AN165" s="53" t="e">
        <f>AN164+ATM_Conf!$C$5*(T164-S164)/(T352*AN352)</f>
        <v>#DIV/0!</v>
      </c>
      <c r="AO165" s="53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3"/>
      <c r="CY165" s="53"/>
      <c r="CZ165" s="53"/>
      <c r="DA165" s="53"/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43">
        <f t="shared" si="102"/>
        <v>0</v>
      </c>
      <c r="DS165" s="43">
        <f t="shared" si="101"/>
        <v>0</v>
      </c>
      <c r="DT165" s="43">
        <f t="shared" si="101"/>
        <v>0</v>
      </c>
      <c r="DU165" s="43">
        <f t="shared" si="101"/>
        <v>0</v>
      </c>
      <c r="DV165" s="43">
        <f t="shared" si="101"/>
        <v>0</v>
      </c>
      <c r="DW165" s="43">
        <f t="shared" si="101"/>
        <v>0</v>
      </c>
      <c r="DX165" s="43">
        <f t="shared" si="101"/>
        <v>0</v>
      </c>
      <c r="DY165" s="43">
        <f t="shared" si="101"/>
        <v>0</v>
      </c>
      <c r="DZ165" s="43">
        <f t="shared" si="101"/>
        <v>0</v>
      </c>
      <c r="EA165" s="43">
        <f t="shared" si="101"/>
        <v>0</v>
      </c>
      <c r="EB165" s="43">
        <f t="shared" si="101"/>
        <v>0</v>
      </c>
      <c r="EC165" s="43">
        <f t="shared" si="101"/>
        <v>0</v>
      </c>
      <c r="ED165" s="43">
        <f t="shared" si="101"/>
        <v>0</v>
      </c>
      <c r="EE165" s="43">
        <f t="shared" si="101"/>
        <v>0</v>
      </c>
      <c r="EF165" s="43">
        <f t="shared" si="101"/>
        <v>0</v>
      </c>
      <c r="EG165" s="43">
        <f t="shared" si="101"/>
        <v>0</v>
      </c>
      <c r="EH165" s="43">
        <f t="shared" si="101"/>
        <v>0</v>
      </c>
      <c r="EI165" s="43">
        <f t="shared" si="101"/>
        <v>0</v>
      </c>
      <c r="EJ165" s="43">
        <f t="shared" si="101"/>
        <v>0</v>
      </c>
      <c r="EK165" s="43">
        <f t="shared" si="101"/>
        <v>0</v>
      </c>
      <c r="EL165" s="47"/>
      <c r="EM165" s="47"/>
      <c r="EN165" s="47"/>
      <c r="EO165" s="47"/>
      <c r="EP165" s="47"/>
      <c r="EQ165" s="47"/>
      <c r="ER165" s="47"/>
      <c r="ES165" s="47"/>
      <c r="ET165" s="47"/>
      <c r="EU165" s="47"/>
      <c r="EV165" s="47"/>
      <c r="EW165" s="47"/>
      <c r="EX165" s="47"/>
      <c r="EY165" s="47"/>
      <c r="EZ165" s="47"/>
      <c r="FA165" s="47"/>
      <c r="FB165" s="47"/>
      <c r="FC165" s="47"/>
      <c r="FD165" s="47"/>
      <c r="FE165" s="47"/>
    </row>
    <row r="166" spans="1:161" ht="14.25" x14ac:dyDescent="0.15">
      <c r="A166" s="46"/>
      <c r="B166" s="43" t="e">
        <f t="shared" si="74"/>
        <v>#DIV/0!</v>
      </c>
      <c r="C166" s="43" t="e">
        <f t="shared" si="75"/>
        <v>#DIV/0!</v>
      </c>
      <c r="D166" s="43" t="e">
        <f t="shared" si="76"/>
        <v>#DIV/0!</v>
      </c>
      <c r="E166" s="43" t="e">
        <f t="shared" si="77"/>
        <v>#DIV/0!</v>
      </c>
      <c r="F166" s="43" t="e">
        <f t="shared" si="78"/>
        <v>#DIV/0!</v>
      </c>
      <c r="G166" s="43" t="e">
        <f t="shared" si="79"/>
        <v>#DIV/0!</v>
      </c>
      <c r="H166" s="43" t="e">
        <f t="shared" si="80"/>
        <v>#DIV/0!</v>
      </c>
      <c r="I166" s="43" t="e">
        <f t="shared" si="81"/>
        <v>#DIV/0!</v>
      </c>
      <c r="J166" s="43" t="e">
        <f t="shared" si="82"/>
        <v>#DIV/0!</v>
      </c>
      <c r="K166" s="43" t="e">
        <f t="shared" si="83"/>
        <v>#DIV/0!</v>
      </c>
      <c r="L166" s="43" t="e">
        <f t="shared" si="84"/>
        <v>#DIV/0!</v>
      </c>
      <c r="M166" s="43" t="e">
        <f t="shared" si="85"/>
        <v>#DIV/0!</v>
      </c>
      <c r="N166" s="43" t="e">
        <f t="shared" si="86"/>
        <v>#DIV/0!</v>
      </c>
      <c r="O166" s="43" t="e">
        <f t="shared" si="87"/>
        <v>#DIV/0!</v>
      </c>
      <c r="P166" s="43" t="e">
        <f t="shared" si="88"/>
        <v>#DIV/0!</v>
      </c>
      <c r="Q166" s="43" t="e">
        <f t="shared" si="89"/>
        <v>#DIV/0!</v>
      </c>
      <c r="R166" s="43" t="e">
        <f t="shared" si="90"/>
        <v>#DIV/0!</v>
      </c>
      <c r="S166" s="43" t="e">
        <f t="shared" si="91"/>
        <v>#DIV/0!</v>
      </c>
      <c r="T166" s="43" t="e">
        <f t="shared" si="92"/>
        <v>#DIV/0!</v>
      </c>
      <c r="U166" s="43" t="e">
        <f t="shared" si="93"/>
        <v>#DIV/0!</v>
      </c>
      <c r="V166" s="53" t="e">
        <f>V165+ATM_Conf!$C$5*(B165)/(B353*V353)</f>
        <v>#DIV/0!</v>
      </c>
      <c r="W166" s="53" t="e">
        <f>W165+ATM_Conf!$C$5*(C165-B165)/(C353*W353)</f>
        <v>#DIV/0!</v>
      </c>
      <c r="X166" s="53" t="e">
        <f>X165+ATM_Conf!$C$5*(D165-C165)/(D353*X353)</f>
        <v>#DIV/0!</v>
      </c>
      <c r="Y166" s="53" t="e">
        <f>Y165+ATM_Conf!$C$5*(E165-D165)/(E353*Y353)</f>
        <v>#DIV/0!</v>
      </c>
      <c r="Z166" s="53" t="e">
        <f>Z165+ATM_Conf!$C$5*(F165-E165)/(F353*Z353)</f>
        <v>#DIV/0!</v>
      </c>
      <c r="AA166" s="53" t="e">
        <f>AA165+ATM_Conf!$C$5*(G165-F165)/(G353*AA353)</f>
        <v>#DIV/0!</v>
      </c>
      <c r="AB166" s="53" t="e">
        <f>AB165+ATM_Conf!$C$5*(H165-G165)/(H353*AB353)</f>
        <v>#DIV/0!</v>
      </c>
      <c r="AC166" s="53" t="e">
        <f>AC165+ATM_Conf!$C$5*(I165-H165)/(I353*AC353)</f>
        <v>#DIV/0!</v>
      </c>
      <c r="AD166" s="53" t="e">
        <f>AD165+ATM_Conf!$C$5*(J165-I165)/(J353*AD353)</f>
        <v>#DIV/0!</v>
      </c>
      <c r="AE166" s="53" t="e">
        <f>AE165+ATM_Conf!$C$5*(K165-J165)/(K353*AE353)</f>
        <v>#DIV/0!</v>
      </c>
      <c r="AF166" s="53" t="e">
        <f>AF165+ATM_Conf!$C$5*(L165)/(L353*AF353)</f>
        <v>#DIV/0!</v>
      </c>
      <c r="AG166" s="53" t="e">
        <f>AG165+ATM_Conf!$C$5*(M165-L165)/(M353*AG353)</f>
        <v>#DIV/0!</v>
      </c>
      <c r="AH166" s="53" t="e">
        <f>AH165+ATM_Conf!$C$5*(N165-M165)/(N353*AH353)</f>
        <v>#DIV/0!</v>
      </c>
      <c r="AI166" s="53" t="e">
        <f>AI165+ATM_Conf!$C$5*(O165-N165)/(O353*AI353)</f>
        <v>#DIV/0!</v>
      </c>
      <c r="AJ166" s="53" t="e">
        <f>AJ165+ATM_Conf!$C$5*(P165-O165)/(P353*AJ353)</f>
        <v>#DIV/0!</v>
      </c>
      <c r="AK166" s="53" t="e">
        <f>AK165+ATM_Conf!$C$5*(Q165-P165)/(Q353*AK353)</f>
        <v>#DIV/0!</v>
      </c>
      <c r="AL166" s="53" t="e">
        <f>AL165+ATM_Conf!$C$5*(R165-Q165)/(R353*AL353)</f>
        <v>#DIV/0!</v>
      </c>
      <c r="AM166" s="53" t="e">
        <f>AM165+ATM_Conf!$C$5*(S165-R165)/(S353*AM353)</f>
        <v>#DIV/0!</v>
      </c>
      <c r="AN166" s="53" t="e">
        <f>AN165+ATM_Conf!$C$5*(T165-S165)/(T353*AN353)</f>
        <v>#DIV/0!</v>
      </c>
      <c r="AO166" s="53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43">
        <f t="shared" si="102"/>
        <v>0</v>
      </c>
      <c r="DS166" s="43">
        <f t="shared" si="101"/>
        <v>0</v>
      </c>
      <c r="DT166" s="43">
        <f t="shared" si="101"/>
        <v>0</v>
      </c>
      <c r="DU166" s="43">
        <f t="shared" si="101"/>
        <v>0</v>
      </c>
      <c r="DV166" s="43">
        <f t="shared" si="101"/>
        <v>0</v>
      </c>
      <c r="DW166" s="43">
        <f t="shared" si="101"/>
        <v>0</v>
      </c>
      <c r="DX166" s="43">
        <f t="shared" si="101"/>
        <v>0</v>
      </c>
      <c r="DY166" s="43">
        <f t="shared" si="101"/>
        <v>0</v>
      </c>
      <c r="DZ166" s="43">
        <f t="shared" si="101"/>
        <v>0</v>
      </c>
      <c r="EA166" s="43">
        <f t="shared" si="101"/>
        <v>0</v>
      </c>
      <c r="EB166" s="43">
        <f t="shared" si="101"/>
        <v>0</v>
      </c>
      <c r="EC166" s="43">
        <f t="shared" si="101"/>
        <v>0</v>
      </c>
      <c r="ED166" s="43">
        <f t="shared" si="101"/>
        <v>0</v>
      </c>
      <c r="EE166" s="43">
        <f t="shared" si="101"/>
        <v>0</v>
      </c>
      <c r="EF166" s="43">
        <f t="shared" si="101"/>
        <v>0</v>
      </c>
      <c r="EG166" s="43">
        <f t="shared" si="101"/>
        <v>0</v>
      </c>
      <c r="EH166" s="43">
        <f t="shared" si="101"/>
        <v>0</v>
      </c>
      <c r="EI166" s="43">
        <f t="shared" si="101"/>
        <v>0</v>
      </c>
      <c r="EJ166" s="43">
        <f t="shared" si="101"/>
        <v>0</v>
      </c>
      <c r="EK166" s="43">
        <f t="shared" si="101"/>
        <v>0</v>
      </c>
      <c r="EL166" s="47"/>
      <c r="EM166" s="47"/>
      <c r="EN166" s="47"/>
      <c r="EO166" s="47"/>
      <c r="EP166" s="47"/>
      <c r="EQ166" s="47"/>
      <c r="ER166" s="47"/>
      <c r="ES166" s="47"/>
      <c r="ET166" s="47"/>
      <c r="EU166" s="47"/>
      <c r="EV166" s="47"/>
      <c r="EW166" s="47"/>
      <c r="EX166" s="47"/>
      <c r="EY166" s="47"/>
      <c r="EZ166" s="47"/>
      <c r="FA166" s="47"/>
      <c r="FB166" s="47"/>
      <c r="FC166" s="47"/>
      <c r="FD166" s="47"/>
      <c r="FE166" s="47"/>
    </row>
    <row r="167" spans="1:161" ht="14.25" x14ac:dyDescent="0.15">
      <c r="A167" s="46"/>
      <c r="B167" s="43" t="e">
        <f t="shared" si="74"/>
        <v>#DIV/0!</v>
      </c>
      <c r="C167" s="43" t="e">
        <f t="shared" si="75"/>
        <v>#DIV/0!</v>
      </c>
      <c r="D167" s="43" t="e">
        <f t="shared" si="76"/>
        <v>#DIV/0!</v>
      </c>
      <c r="E167" s="43" t="e">
        <f t="shared" si="77"/>
        <v>#DIV/0!</v>
      </c>
      <c r="F167" s="43" t="e">
        <f t="shared" si="78"/>
        <v>#DIV/0!</v>
      </c>
      <c r="G167" s="43" t="e">
        <f t="shared" si="79"/>
        <v>#DIV/0!</v>
      </c>
      <c r="H167" s="43" t="e">
        <f t="shared" si="80"/>
        <v>#DIV/0!</v>
      </c>
      <c r="I167" s="43" t="e">
        <f t="shared" si="81"/>
        <v>#DIV/0!</v>
      </c>
      <c r="J167" s="43" t="e">
        <f t="shared" si="82"/>
        <v>#DIV/0!</v>
      </c>
      <c r="K167" s="43" t="e">
        <f t="shared" si="83"/>
        <v>#DIV/0!</v>
      </c>
      <c r="L167" s="43" t="e">
        <f t="shared" si="84"/>
        <v>#DIV/0!</v>
      </c>
      <c r="M167" s="43" t="e">
        <f t="shared" si="85"/>
        <v>#DIV/0!</v>
      </c>
      <c r="N167" s="43" t="e">
        <f t="shared" si="86"/>
        <v>#DIV/0!</v>
      </c>
      <c r="O167" s="43" t="e">
        <f t="shared" si="87"/>
        <v>#DIV/0!</v>
      </c>
      <c r="P167" s="43" t="e">
        <f t="shared" si="88"/>
        <v>#DIV/0!</v>
      </c>
      <c r="Q167" s="43" t="e">
        <f t="shared" si="89"/>
        <v>#DIV/0!</v>
      </c>
      <c r="R167" s="43" t="e">
        <f t="shared" si="90"/>
        <v>#DIV/0!</v>
      </c>
      <c r="S167" s="43" t="e">
        <f t="shared" si="91"/>
        <v>#DIV/0!</v>
      </c>
      <c r="T167" s="43" t="e">
        <f t="shared" si="92"/>
        <v>#DIV/0!</v>
      </c>
      <c r="U167" s="43" t="e">
        <f t="shared" si="93"/>
        <v>#DIV/0!</v>
      </c>
      <c r="V167" s="53" t="e">
        <f>V166+ATM_Conf!$C$5*(B166)/(B354*V354)</f>
        <v>#DIV/0!</v>
      </c>
      <c r="W167" s="53" t="e">
        <f>W166+ATM_Conf!$C$5*(C166-B166)/(C354*W354)</f>
        <v>#DIV/0!</v>
      </c>
      <c r="X167" s="53" t="e">
        <f>X166+ATM_Conf!$C$5*(D166-C166)/(D354*X354)</f>
        <v>#DIV/0!</v>
      </c>
      <c r="Y167" s="53" t="e">
        <f>Y166+ATM_Conf!$C$5*(E166-D166)/(E354*Y354)</f>
        <v>#DIV/0!</v>
      </c>
      <c r="Z167" s="53" t="e">
        <f>Z166+ATM_Conf!$C$5*(F166-E166)/(F354*Z354)</f>
        <v>#DIV/0!</v>
      </c>
      <c r="AA167" s="53" t="e">
        <f>AA166+ATM_Conf!$C$5*(G166-F166)/(G354*AA354)</f>
        <v>#DIV/0!</v>
      </c>
      <c r="AB167" s="53" t="e">
        <f>AB166+ATM_Conf!$C$5*(H166-G166)/(H354*AB354)</f>
        <v>#DIV/0!</v>
      </c>
      <c r="AC167" s="53" t="e">
        <f>AC166+ATM_Conf!$C$5*(I166-H166)/(I354*AC354)</f>
        <v>#DIV/0!</v>
      </c>
      <c r="AD167" s="53" t="e">
        <f>AD166+ATM_Conf!$C$5*(J166-I166)/(J354*AD354)</f>
        <v>#DIV/0!</v>
      </c>
      <c r="AE167" s="53" t="e">
        <f>AE166+ATM_Conf!$C$5*(K166-J166)/(K354*AE354)</f>
        <v>#DIV/0!</v>
      </c>
      <c r="AF167" s="53" t="e">
        <f>AF166+ATM_Conf!$C$5*(L166)/(L354*AF354)</f>
        <v>#DIV/0!</v>
      </c>
      <c r="AG167" s="53" t="e">
        <f>AG166+ATM_Conf!$C$5*(M166-L166)/(M354*AG354)</f>
        <v>#DIV/0!</v>
      </c>
      <c r="AH167" s="53" t="e">
        <f>AH166+ATM_Conf!$C$5*(N166-M166)/(N354*AH354)</f>
        <v>#DIV/0!</v>
      </c>
      <c r="AI167" s="53" t="e">
        <f>AI166+ATM_Conf!$C$5*(O166-N166)/(O354*AI354)</f>
        <v>#DIV/0!</v>
      </c>
      <c r="AJ167" s="53" t="e">
        <f>AJ166+ATM_Conf!$C$5*(P166-O166)/(P354*AJ354)</f>
        <v>#DIV/0!</v>
      </c>
      <c r="AK167" s="53" t="e">
        <f>AK166+ATM_Conf!$C$5*(Q166-P166)/(Q354*AK354)</f>
        <v>#DIV/0!</v>
      </c>
      <c r="AL167" s="53" t="e">
        <f>AL166+ATM_Conf!$C$5*(R166-Q166)/(R354*AL354)</f>
        <v>#DIV/0!</v>
      </c>
      <c r="AM167" s="53" t="e">
        <f>AM166+ATM_Conf!$C$5*(S166-R166)/(S354*AM354)</f>
        <v>#DIV/0!</v>
      </c>
      <c r="AN167" s="53" t="e">
        <f>AN166+ATM_Conf!$C$5*(T166-S166)/(T354*AN354)</f>
        <v>#DIV/0!</v>
      </c>
      <c r="AO167" s="53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3"/>
      <c r="CY167" s="53"/>
      <c r="CZ167" s="53"/>
      <c r="DA167" s="53"/>
      <c r="DB167" s="53"/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43">
        <f t="shared" si="102"/>
        <v>0</v>
      </c>
      <c r="DS167" s="43">
        <f t="shared" si="101"/>
        <v>0</v>
      </c>
      <c r="DT167" s="43">
        <f t="shared" si="101"/>
        <v>0</v>
      </c>
      <c r="DU167" s="43">
        <f t="shared" si="101"/>
        <v>0</v>
      </c>
      <c r="DV167" s="43">
        <f t="shared" si="101"/>
        <v>0</v>
      </c>
      <c r="DW167" s="43">
        <f t="shared" si="101"/>
        <v>0</v>
      </c>
      <c r="DX167" s="43">
        <f t="shared" si="101"/>
        <v>0</v>
      </c>
      <c r="DY167" s="43">
        <f t="shared" si="101"/>
        <v>0</v>
      </c>
      <c r="DZ167" s="43">
        <f t="shared" si="101"/>
        <v>0</v>
      </c>
      <c r="EA167" s="43">
        <f t="shared" si="101"/>
        <v>0</v>
      </c>
      <c r="EB167" s="43">
        <f t="shared" si="101"/>
        <v>0</v>
      </c>
      <c r="EC167" s="43">
        <f t="shared" si="101"/>
        <v>0</v>
      </c>
      <c r="ED167" s="43">
        <f t="shared" si="101"/>
        <v>0</v>
      </c>
      <c r="EE167" s="43">
        <f t="shared" si="101"/>
        <v>0</v>
      </c>
      <c r="EF167" s="43">
        <f t="shared" si="101"/>
        <v>0</v>
      </c>
      <c r="EG167" s="43">
        <f t="shared" si="101"/>
        <v>0</v>
      </c>
      <c r="EH167" s="43">
        <f t="shared" si="101"/>
        <v>0</v>
      </c>
      <c r="EI167" s="43">
        <f t="shared" si="101"/>
        <v>0</v>
      </c>
      <c r="EJ167" s="43">
        <f t="shared" si="101"/>
        <v>0</v>
      </c>
      <c r="EK167" s="43">
        <f t="shared" si="101"/>
        <v>0</v>
      </c>
      <c r="EL167" s="47"/>
      <c r="EM167" s="47"/>
      <c r="EN167" s="47"/>
      <c r="EO167" s="47"/>
      <c r="EP167" s="47"/>
      <c r="EQ167" s="47"/>
      <c r="ER167" s="47"/>
      <c r="ES167" s="47"/>
      <c r="ET167" s="47"/>
      <c r="EU167" s="47"/>
      <c r="EV167" s="47"/>
      <c r="EW167" s="47"/>
      <c r="EX167" s="47"/>
      <c r="EY167" s="47"/>
      <c r="EZ167" s="47"/>
      <c r="FA167" s="47"/>
      <c r="FB167" s="47"/>
      <c r="FC167" s="47"/>
      <c r="FD167" s="47"/>
      <c r="FE167" s="47"/>
    </row>
    <row r="168" spans="1:161" ht="14.25" x14ac:dyDescent="0.15">
      <c r="A168" s="46"/>
      <c r="B168" s="43" t="e">
        <f t="shared" si="74"/>
        <v>#DIV/0!</v>
      </c>
      <c r="C168" s="43" t="e">
        <f t="shared" si="75"/>
        <v>#DIV/0!</v>
      </c>
      <c r="D168" s="43" t="e">
        <f t="shared" si="76"/>
        <v>#DIV/0!</v>
      </c>
      <c r="E168" s="43" t="e">
        <f t="shared" si="77"/>
        <v>#DIV/0!</v>
      </c>
      <c r="F168" s="43" t="e">
        <f t="shared" si="78"/>
        <v>#DIV/0!</v>
      </c>
      <c r="G168" s="43" t="e">
        <f t="shared" si="79"/>
        <v>#DIV/0!</v>
      </c>
      <c r="H168" s="43" t="e">
        <f t="shared" si="80"/>
        <v>#DIV/0!</v>
      </c>
      <c r="I168" s="43" t="e">
        <f t="shared" si="81"/>
        <v>#DIV/0!</v>
      </c>
      <c r="J168" s="43" t="e">
        <f t="shared" si="82"/>
        <v>#DIV/0!</v>
      </c>
      <c r="K168" s="43" t="e">
        <f t="shared" si="83"/>
        <v>#DIV/0!</v>
      </c>
      <c r="L168" s="43" t="e">
        <f t="shared" si="84"/>
        <v>#DIV/0!</v>
      </c>
      <c r="M168" s="43" t="e">
        <f t="shared" si="85"/>
        <v>#DIV/0!</v>
      </c>
      <c r="N168" s="43" t="e">
        <f t="shared" si="86"/>
        <v>#DIV/0!</v>
      </c>
      <c r="O168" s="43" t="e">
        <f t="shared" si="87"/>
        <v>#DIV/0!</v>
      </c>
      <c r="P168" s="43" t="e">
        <f t="shared" si="88"/>
        <v>#DIV/0!</v>
      </c>
      <c r="Q168" s="43" t="e">
        <f t="shared" si="89"/>
        <v>#DIV/0!</v>
      </c>
      <c r="R168" s="43" t="e">
        <f t="shared" si="90"/>
        <v>#DIV/0!</v>
      </c>
      <c r="S168" s="43" t="e">
        <f t="shared" si="91"/>
        <v>#DIV/0!</v>
      </c>
      <c r="T168" s="43" t="e">
        <f t="shared" si="92"/>
        <v>#DIV/0!</v>
      </c>
      <c r="U168" s="43" t="e">
        <f t="shared" si="93"/>
        <v>#DIV/0!</v>
      </c>
      <c r="V168" s="53" t="e">
        <f>V167+ATM_Conf!$C$5*(B167)/(B355*V355)</f>
        <v>#DIV/0!</v>
      </c>
      <c r="W168" s="53" t="e">
        <f>W167+ATM_Conf!$C$5*(C167-B167)/(C355*W355)</f>
        <v>#DIV/0!</v>
      </c>
      <c r="X168" s="53" t="e">
        <f>X167+ATM_Conf!$C$5*(D167-C167)/(D355*X355)</f>
        <v>#DIV/0!</v>
      </c>
      <c r="Y168" s="53" t="e">
        <f>Y167+ATM_Conf!$C$5*(E167-D167)/(E355*Y355)</f>
        <v>#DIV/0!</v>
      </c>
      <c r="Z168" s="53" t="e">
        <f>Z167+ATM_Conf!$C$5*(F167-E167)/(F355*Z355)</f>
        <v>#DIV/0!</v>
      </c>
      <c r="AA168" s="53" t="e">
        <f>AA167+ATM_Conf!$C$5*(G167-F167)/(G355*AA355)</f>
        <v>#DIV/0!</v>
      </c>
      <c r="AB168" s="53" t="e">
        <f>AB167+ATM_Conf!$C$5*(H167-G167)/(H355*AB355)</f>
        <v>#DIV/0!</v>
      </c>
      <c r="AC168" s="53" t="e">
        <f>AC167+ATM_Conf!$C$5*(I167-H167)/(I355*AC355)</f>
        <v>#DIV/0!</v>
      </c>
      <c r="AD168" s="53" t="e">
        <f>AD167+ATM_Conf!$C$5*(J167-I167)/(J355*AD355)</f>
        <v>#DIV/0!</v>
      </c>
      <c r="AE168" s="53" t="e">
        <f>AE167+ATM_Conf!$C$5*(K167-J167)/(K355*AE355)</f>
        <v>#DIV/0!</v>
      </c>
      <c r="AF168" s="53" t="e">
        <f>AF167+ATM_Conf!$C$5*(L167)/(L355*AF355)</f>
        <v>#DIV/0!</v>
      </c>
      <c r="AG168" s="53" t="e">
        <f>AG167+ATM_Conf!$C$5*(M167-L167)/(M355*AG355)</f>
        <v>#DIV/0!</v>
      </c>
      <c r="AH168" s="53" t="e">
        <f>AH167+ATM_Conf!$C$5*(N167-M167)/(N355*AH355)</f>
        <v>#DIV/0!</v>
      </c>
      <c r="AI168" s="53" t="e">
        <f>AI167+ATM_Conf!$C$5*(O167-N167)/(O355*AI355)</f>
        <v>#DIV/0!</v>
      </c>
      <c r="AJ168" s="53" t="e">
        <f>AJ167+ATM_Conf!$C$5*(P167-O167)/(P355*AJ355)</f>
        <v>#DIV/0!</v>
      </c>
      <c r="AK168" s="53" t="e">
        <f>AK167+ATM_Conf!$C$5*(Q167-P167)/(Q355*AK355)</f>
        <v>#DIV/0!</v>
      </c>
      <c r="AL168" s="53" t="e">
        <f>AL167+ATM_Conf!$C$5*(R167-Q167)/(R355*AL355)</f>
        <v>#DIV/0!</v>
      </c>
      <c r="AM168" s="53" t="e">
        <f>AM167+ATM_Conf!$C$5*(S167-R167)/(S355*AM355)</f>
        <v>#DIV/0!</v>
      </c>
      <c r="AN168" s="53" t="e">
        <f>AN167+ATM_Conf!$C$5*(T167-S167)/(T355*AN355)</f>
        <v>#DIV/0!</v>
      </c>
      <c r="AO168" s="53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3"/>
      <c r="CY168" s="53"/>
      <c r="CZ168" s="53"/>
      <c r="DA168" s="53"/>
      <c r="DB168" s="53"/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  <c r="DR168" s="43">
        <f t="shared" si="102"/>
        <v>0</v>
      </c>
      <c r="DS168" s="43">
        <f t="shared" si="101"/>
        <v>0</v>
      </c>
      <c r="DT168" s="43">
        <f t="shared" si="101"/>
        <v>0</v>
      </c>
      <c r="DU168" s="43">
        <f t="shared" si="101"/>
        <v>0</v>
      </c>
      <c r="DV168" s="43">
        <f t="shared" si="101"/>
        <v>0</v>
      </c>
      <c r="DW168" s="43">
        <f t="shared" si="101"/>
        <v>0</v>
      </c>
      <c r="DX168" s="43">
        <f t="shared" si="101"/>
        <v>0</v>
      </c>
      <c r="DY168" s="43">
        <f t="shared" si="101"/>
        <v>0</v>
      </c>
      <c r="DZ168" s="43">
        <f t="shared" si="101"/>
        <v>0</v>
      </c>
      <c r="EA168" s="43">
        <f t="shared" si="101"/>
        <v>0</v>
      </c>
      <c r="EB168" s="43">
        <f t="shared" si="101"/>
        <v>0</v>
      </c>
      <c r="EC168" s="43">
        <f t="shared" si="101"/>
        <v>0</v>
      </c>
      <c r="ED168" s="43">
        <f t="shared" si="101"/>
        <v>0</v>
      </c>
      <c r="EE168" s="43">
        <f t="shared" si="101"/>
        <v>0</v>
      </c>
      <c r="EF168" s="43">
        <f t="shared" si="101"/>
        <v>0</v>
      </c>
      <c r="EG168" s="43">
        <f t="shared" si="101"/>
        <v>0</v>
      </c>
      <c r="EH168" s="43">
        <f t="shared" si="101"/>
        <v>0</v>
      </c>
      <c r="EI168" s="43">
        <f t="shared" si="101"/>
        <v>0</v>
      </c>
      <c r="EJ168" s="43">
        <f t="shared" si="101"/>
        <v>0</v>
      </c>
      <c r="EK168" s="43">
        <f t="shared" si="101"/>
        <v>0</v>
      </c>
      <c r="EL168" s="47"/>
      <c r="EM168" s="47"/>
      <c r="EN168" s="47"/>
      <c r="EO168" s="47"/>
      <c r="EP168" s="47"/>
      <c r="EQ168" s="47"/>
      <c r="ER168" s="47"/>
      <c r="ES168" s="47"/>
      <c r="ET168" s="47"/>
      <c r="EU168" s="47"/>
      <c r="EV168" s="47"/>
      <c r="EW168" s="47"/>
      <c r="EX168" s="47"/>
      <c r="EY168" s="47"/>
      <c r="EZ168" s="47"/>
      <c r="FA168" s="47"/>
      <c r="FB168" s="47"/>
      <c r="FC168" s="47"/>
      <c r="FD168" s="47"/>
      <c r="FE168" s="47"/>
    </row>
    <row r="169" spans="1:161" ht="14.25" x14ac:dyDescent="0.15">
      <c r="A169" s="46"/>
      <c r="B169" s="43" t="e">
        <f t="shared" si="74"/>
        <v>#DIV/0!</v>
      </c>
      <c r="C169" s="43" t="e">
        <f t="shared" si="75"/>
        <v>#DIV/0!</v>
      </c>
      <c r="D169" s="43" t="e">
        <f t="shared" si="76"/>
        <v>#DIV/0!</v>
      </c>
      <c r="E169" s="43" t="e">
        <f t="shared" si="77"/>
        <v>#DIV/0!</v>
      </c>
      <c r="F169" s="43" t="e">
        <f t="shared" si="78"/>
        <v>#DIV/0!</v>
      </c>
      <c r="G169" s="43" t="e">
        <f t="shared" si="79"/>
        <v>#DIV/0!</v>
      </c>
      <c r="H169" s="43" t="e">
        <f t="shared" si="80"/>
        <v>#DIV/0!</v>
      </c>
      <c r="I169" s="43" t="e">
        <f t="shared" si="81"/>
        <v>#DIV/0!</v>
      </c>
      <c r="J169" s="43" t="e">
        <f t="shared" si="82"/>
        <v>#DIV/0!</v>
      </c>
      <c r="K169" s="43" t="e">
        <f t="shared" si="83"/>
        <v>#DIV/0!</v>
      </c>
      <c r="L169" s="43" t="e">
        <f t="shared" si="84"/>
        <v>#DIV/0!</v>
      </c>
      <c r="M169" s="43" t="e">
        <f t="shared" si="85"/>
        <v>#DIV/0!</v>
      </c>
      <c r="N169" s="43" t="e">
        <f t="shared" si="86"/>
        <v>#DIV/0!</v>
      </c>
      <c r="O169" s="43" t="e">
        <f t="shared" si="87"/>
        <v>#DIV/0!</v>
      </c>
      <c r="P169" s="43" t="e">
        <f t="shared" si="88"/>
        <v>#DIV/0!</v>
      </c>
      <c r="Q169" s="43" t="e">
        <f t="shared" si="89"/>
        <v>#DIV/0!</v>
      </c>
      <c r="R169" s="43" t="e">
        <f t="shared" si="90"/>
        <v>#DIV/0!</v>
      </c>
      <c r="S169" s="43" t="e">
        <f t="shared" si="91"/>
        <v>#DIV/0!</v>
      </c>
      <c r="T169" s="43" t="e">
        <f t="shared" si="92"/>
        <v>#DIV/0!</v>
      </c>
      <c r="U169" s="43" t="e">
        <f t="shared" si="93"/>
        <v>#DIV/0!</v>
      </c>
      <c r="V169" s="53" t="e">
        <f>V168+ATM_Conf!$C$5*(B168)/(B356*V356)</f>
        <v>#DIV/0!</v>
      </c>
      <c r="W169" s="53" t="e">
        <f>W168+ATM_Conf!$C$5*(C168-B168)/(C356*W356)</f>
        <v>#DIV/0!</v>
      </c>
      <c r="X169" s="53" t="e">
        <f>X168+ATM_Conf!$C$5*(D168-C168)/(D356*X356)</f>
        <v>#DIV/0!</v>
      </c>
      <c r="Y169" s="53" t="e">
        <f>Y168+ATM_Conf!$C$5*(E168-D168)/(E356*Y356)</f>
        <v>#DIV/0!</v>
      </c>
      <c r="Z169" s="53" t="e">
        <f>Z168+ATM_Conf!$C$5*(F168-E168)/(F356*Z356)</f>
        <v>#DIV/0!</v>
      </c>
      <c r="AA169" s="53" t="e">
        <f>AA168+ATM_Conf!$C$5*(G168-F168)/(G356*AA356)</f>
        <v>#DIV/0!</v>
      </c>
      <c r="AB169" s="53" t="e">
        <f>AB168+ATM_Conf!$C$5*(H168-G168)/(H356*AB356)</f>
        <v>#DIV/0!</v>
      </c>
      <c r="AC169" s="53" t="e">
        <f>AC168+ATM_Conf!$C$5*(I168-H168)/(I356*AC356)</f>
        <v>#DIV/0!</v>
      </c>
      <c r="AD169" s="53" t="e">
        <f>AD168+ATM_Conf!$C$5*(J168-I168)/(J356*AD356)</f>
        <v>#DIV/0!</v>
      </c>
      <c r="AE169" s="53" t="e">
        <f>AE168+ATM_Conf!$C$5*(K168-J168)/(K356*AE356)</f>
        <v>#DIV/0!</v>
      </c>
      <c r="AF169" s="53" t="e">
        <f>AF168+ATM_Conf!$C$5*(L168)/(L356*AF356)</f>
        <v>#DIV/0!</v>
      </c>
      <c r="AG169" s="53" t="e">
        <f>AG168+ATM_Conf!$C$5*(M168-L168)/(M356*AG356)</f>
        <v>#DIV/0!</v>
      </c>
      <c r="AH169" s="53" t="e">
        <f>AH168+ATM_Conf!$C$5*(N168-M168)/(N356*AH356)</f>
        <v>#DIV/0!</v>
      </c>
      <c r="AI169" s="53" t="e">
        <f>AI168+ATM_Conf!$C$5*(O168-N168)/(O356*AI356)</f>
        <v>#DIV/0!</v>
      </c>
      <c r="AJ169" s="53" t="e">
        <f>AJ168+ATM_Conf!$C$5*(P168-O168)/(P356*AJ356)</f>
        <v>#DIV/0!</v>
      </c>
      <c r="AK169" s="53" t="e">
        <f>AK168+ATM_Conf!$C$5*(Q168-P168)/(Q356*AK356)</f>
        <v>#DIV/0!</v>
      </c>
      <c r="AL169" s="53" t="e">
        <f>AL168+ATM_Conf!$C$5*(R168-Q168)/(R356*AL356)</f>
        <v>#DIV/0!</v>
      </c>
      <c r="AM169" s="53" t="e">
        <f>AM168+ATM_Conf!$C$5*(S168-R168)/(S356*AM356)</f>
        <v>#DIV/0!</v>
      </c>
      <c r="AN169" s="53" t="e">
        <f>AN168+ATM_Conf!$C$5*(T168-S168)/(T356*AN356)</f>
        <v>#DIV/0!</v>
      </c>
      <c r="AO169" s="53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3"/>
      <c r="CY169" s="53"/>
      <c r="CZ169" s="53"/>
      <c r="DA169" s="53"/>
      <c r="DB169" s="53"/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  <c r="DR169" s="43">
        <f t="shared" si="102"/>
        <v>0</v>
      </c>
      <c r="DS169" s="43">
        <f t="shared" si="101"/>
        <v>0</v>
      </c>
      <c r="DT169" s="43">
        <f t="shared" si="101"/>
        <v>0</v>
      </c>
      <c r="DU169" s="43">
        <f t="shared" si="101"/>
        <v>0</v>
      </c>
      <c r="DV169" s="43">
        <f t="shared" si="101"/>
        <v>0</v>
      </c>
      <c r="DW169" s="43">
        <f t="shared" si="101"/>
        <v>0</v>
      </c>
      <c r="DX169" s="43">
        <f t="shared" si="101"/>
        <v>0</v>
      </c>
      <c r="DY169" s="43">
        <f t="shared" si="101"/>
        <v>0</v>
      </c>
      <c r="DZ169" s="43">
        <f t="shared" si="101"/>
        <v>0</v>
      </c>
      <c r="EA169" s="43">
        <f t="shared" si="101"/>
        <v>0</v>
      </c>
      <c r="EB169" s="43">
        <f t="shared" si="101"/>
        <v>0</v>
      </c>
      <c r="EC169" s="43">
        <f t="shared" si="101"/>
        <v>0</v>
      </c>
      <c r="ED169" s="43">
        <f t="shared" si="101"/>
        <v>0</v>
      </c>
      <c r="EE169" s="43">
        <f t="shared" si="101"/>
        <v>0</v>
      </c>
      <c r="EF169" s="43">
        <f t="shared" si="101"/>
        <v>0</v>
      </c>
      <c r="EG169" s="43">
        <f t="shared" si="101"/>
        <v>0</v>
      </c>
      <c r="EH169" s="43">
        <f t="shared" si="101"/>
        <v>0</v>
      </c>
      <c r="EI169" s="43">
        <f t="shared" si="101"/>
        <v>0</v>
      </c>
      <c r="EJ169" s="43">
        <f t="shared" si="101"/>
        <v>0</v>
      </c>
      <c r="EK169" s="43">
        <f t="shared" si="101"/>
        <v>0</v>
      </c>
      <c r="EL169" s="47"/>
      <c r="EM169" s="47"/>
      <c r="EN169" s="47"/>
      <c r="EO169" s="47"/>
      <c r="EP169" s="47"/>
      <c r="EQ169" s="47"/>
      <c r="ER169" s="47"/>
      <c r="ES169" s="47"/>
      <c r="ET169" s="47"/>
      <c r="EU169" s="47"/>
      <c r="EV169" s="47"/>
      <c r="EW169" s="47"/>
      <c r="EX169" s="47"/>
      <c r="EY169" s="47"/>
      <c r="EZ169" s="47"/>
      <c r="FA169" s="47"/>
      <c r="FB169" s="47"/>
      <c r="FC169" s="47"/>
      <c r="FD169" s="47"/>
      <c r="FE169" s="47"/>
    </row>
    <row r="170" spans="1:161" ht="14.25" x14ac:dyDescent="0.15">
      <c r="A170" s="46"/>
      <c r="B170" s="43" t="e">
        <f t="shared" si="74"/>
        <v>#DIV/0!</v>
      </c>
      <c r="C170" s="43" t="e">
        <f t="shared" si="75"/>
        <v>#DIV/0!</v>
      </c>
      <c r="D170" s="43" t="e">
        <f t="shared" si="76"/>
        <v>#DIV/0!</v>
      </c>
      <c r="E170" s="43" t="e">
        <f t="shared" si="77"/>
        <v>#DIV/0!</v>
      </c>
      <c r="F170" s="43" t="e">
        <f t="shared" si="78"/>
        <v>#DIV/0!</v>
      </c>
      <c r="G170" s="43" t="e">
        <f t="shared" si="79"/>
        <v>#DIV/0!</v>
      </c>
      <c r="H170" s="43" t="e">
        <f t="shared" si="80"/>
        <v>#DIV/0!</v>
      </c>
      <c r="I170" s="43" t="e">
        <f t="shared" si="81"/>
        <v>#DIV/0!</v>
      </c>
      <c r="J170" s="43" t="e">
        <f t="shared" si="82"/>
        <v>#DIV/0!</v>
      </c>
      <c r="K170" s="43" t="e">
        <f t="shared" si="83"/>
        <v>#DIV/0!</v>
      </c>
      <c r="L170" s="43" t="e">
        <f t="shared" si="84"/>
        <v>#DIV/0!</v>
      </c>
      <c r="M170" s="43" t="e">
        <f t="shared" si="85"/>
        <v>#DIV/0!</v>
      </c>
      <c r="N170" s="43" t="e">
        <f t="shared" si="86"/>
        <v>#DIV/0!</v>
      </c>
      <c r="O170" s="43" t="e">
        <f t="shared" si="87"/>
        <v>#DIV/0!</v>
      </c>
      <c r="P170" s="43" t="e">
        <f t="shared" si="88"/>
        <v>#DIV/0!</v>
      </c>
      <c r="Q170" s="43" t="e">
        <f t="shared" si="89"/>
        <v>#DIV/0!</v>
      </c>
      <c r="R170" s="43" t="e">
        <f t="shared" si="90"/>
        <v>#DIV/0!</v>
      </c>
      <c r="S170" s="43" t="e">
        <f t="shared" si="91"/>
        <v>#DIV/0!</v>
      </c>
      <c r="T170" s="43" t="e">
        <f t="shared" si="92"/>
        <v>#DIV/0!</v>
      </c>
      <c r="U170" s="43" t="e">
        <f t="shared" si="93"/>
        <v>#DIV/0!</v>
      </c>
      <c r="V170" s="53" t="e">
        <f>V169+ATM_Conf!$C$5*(B169)/(B357*V357)</f>
        <v>#DIV/0!</v>
      </c>
      <c r="W170" s="53" t="e">
        <f>W169+ATM_Conf!$C$5*(C169-B169)/(C357*W357)</f>
        <v>#DIV/0!</v>
      </c>
      <c r="X170" s="53" t="e">
        <f>X169+ATM_Conf!$C$5*(D169-C169)/(D357*X357)</f>
        <v>#DIV/0!</v>
      </c>
      <c r="Y170" s="53" t="e">
        <f>Y169+ATM_Conf!$C$5*(E169-D169)/(E357*Y357)</f>
        <v>#DIV/0!</v>
      </c>
      <c r="Z170" s="53" t="e">
        <f>Z169+ATM_Conf!$C$5*(F169-E169)/(F357*Z357)</f>
        <v>#DIV/0!</v>
      </c>
      <c r="AA170" s="53" t="e">
        <f>AA169+ATM_Conf!$C$5*(G169-F169)/(G357*AA357)</f>
        <v>#DIV/0!</v>
      </c>
      <c r="AB170" s="53" t="e">
        <f>AB169+ATM_Conf!$C$5*(H169-G169)/(H357*AB357)</f>
        <v>#DIV/0!</v>
      </c>
      <c r="AC170" s="53" t="e">
        <f>AC169+ATM_Conf!$C$5*(I169-H169)/(I357*AC357)</f>
        <v>#DIV/0!</v>
      </c>
      <c r="AD170" s="53" t="e">
        <f>AD169+ATM_Conf!$C$5*(J169-I169)/(J357*AD357)</f>
        <v>#DIV/0!</v>
      </c>
      <c r="AE170" s="53" t="e">
        <f>AE169+ATM_Conf!$C$5*(K169-J169)/(K357*AE357)</f>
        <v>#DIV/0!</v>
      </c>
      <c r="AF170" s="53" t="e">
        <f>AF169+ATM_Conf!$C$5*(L169)/(L357*AF357)</f>
        <v>#DIV/0!</v>
      </c>
      <c r="AG170" s="53" t="e">
        <f>AG169+ATM_Conf!$C$5*(M169-L169)/(M357*AG357)</f>
        <v>#DIV/0!</v>
      </c>
      <c r="AH170" s="53" t="e">
        <f>AH169+ATM_Conf!$C$5*(N169-M169)/(N357*AH357)</f>
        <v>#DIV/0!</v>
      </c>
      <c r="AI170" s="53" t="e">
        <f>AI169+ATM_Conf!$C$5*(O169-N169)/(O357*AI357)</f>
        <v>#DIV/0!</v>
      </c>
      <c r="AJ170" s="53" t="e">
        <f>AJ169+ATM_Conf!$C$5*(P169-O169)/(P357*AJ357)</f>
        <v>#DIV/0!</v>
      </c>
      <c r="AK170" s="53" t="e">
        <f>AK169+ATM_Conf!$C$5*(Q169-P169)/(Q357*AK357)</f>
        <v>#DIV/0!</v>
      </c>
      <c r="AL170" s="53" t="e">
        <f>AL169+ATM_Conf!$C$5*(R169-Q169)/(R357*AL357)</f>
        <v>#DIV/0!</v>
      </c>
      <c r="AM170" s="53" t="e">
        <f>AM169+ATM_Conf!$C$5*(S169-R169)/(S357*AM357)</f>
        <v>#DIV/0!</v>
      </c>
      <c r="AN170" s="53" t="e">
        <f>AN169+ATM_Conf!$C$5*(T169-S169)/(T357*AN357)</f>
        <v>#DIV/0!</v>
      </c>
      <c r="AO170" s="53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43">
        <f t="shared" si="102"/>
        <v>0</v>
      </c>
      <c r="DS170" s="43">
        <f t="shared" si="101"/>
        <v>0</v>
      </c>
      <c r="DT170" s="43">
        <f t="shared" si="101"/>
        <v>0</v>
      </c>
      <c r="DU170" s="43">
        <f t="shared" si="101"/>
        <v>0</v>
      </c>
      <c r="DV170" s="43">
        <f t="shared" si="101"/>
        <v>0</v>
      </c>
      <c r="DW170" s="43">
        <f t="shared" si="101"/>
        <v>0</v>
      </c>
      <c r="DX170" s="43">
        <f t="shared" si="101"/>
        <v>0</v>
      </c>
      <c r="DY170" s="43">
        <f t="shared" si="101"/>
        <v>0</v>
      </c>
      <c r="DZ170" s="43">
        <f t="shared" si="101"/>
        <v>0</v>
      </c>
      <c r="EA170" s="43">
        <f t="shared" si="101"/>
        <v>0</v>
      </c>
      <c r="EB170" s="43">
        <f t="shared" si="101"/>
        <v>0</v>
      </c>
      <c r="EC170" s="43">
        <f t="shared" si="101"/>
        <v>0</v>
      </c>
      <c r="ED170" s="43">
        <f t="shared" si="101"/>
        <v>0</v>
      </c>
      <c r="EE170" s="43">
        <f t="shared" si="101"/>
        <v>0</v>
      </c>
      <c r="EF170" s="43">
        <f t="shared" si="101"/>
        <v>0</v>
      </c>
      <c r="EG170" s="43">
        <f t="shared" si="101"/>
        <v>0</v>
      </c>
      <c r="EH170" s="43">
        <f t="shared" si="101"/>
        <v>0</v>
      </c>
      <c r="EI170" s="43">
        <f t="shared" si="101"/>
        <v>0</v>
      </c>
      <c r="EJ170" s="43">
        <f t="shared" si="101"/>
        <v>0</v>
      </c>
      <c r="EK170" s="43">
        <f t="shared" si="101"/>
        <v>0</v>
      </c>
      <c r="EL170" s="47"/>
      <c r="EM170" s="47"/>
      <c r="EN170" s="47"/>
      <c r="EO170" s="47"/>
      <c r="EP170" s="47"/>
      <c r="EQ170" s="47"/>
      <c r="ER170" s="47"/>
      <c r="ES170" s="47"/>
      <c r="ET170" s="47"/>
      <c r="EU170" s="47"/>
      <c r="EV170" s="47"/>
      <c r="EW170" s="47"/>
      <c r="EX170" s="47"/>
      <c r="EY170" s="47"/>
      <c r="EZ170" s="47"/>
      <c r="FA170" s="47"/>
      <c r="FB170" s="47"/>
      <c r="FC170" s="47"/>
      <c r="FD170" s="47"/>
      <c r="FE170" s="47"/>
    </row>
    <row r="171" spans="1:161" ht="14.25" x14ac:dyDescent="0.15">
      <c r="A171" s="46"/>
      <c r="B171" s="43" t="e">
        <f t="shared" si="74"/>
        <v>#DIV/0!</v>
      </c>
      <c r="C171" s="43" t="e">
        <f t="shared" si="75"/>
        <v>#DIV/0!</v>
      </c>
      <c r="D171" s="43" t="e">
        <f t="shared" si="76"/>
        <v>#DIV/0!</v>
      </c>
      <c r="E171" s="43" t="e">
        <f t="shared" si="77"/>
        <v>#DIV/0!</v>
      </c>
      <c r="F171" s="43" t="e">
        <f t="shared" si="78"/>
        <v>#DIV/0!</v>
      </c>
      <c r="G171" s="43" t="e">
        <f t="shared" si="79"/>
        <v>#DIV/0!</v>
      </c>
      <c r="H171" s="43" t="e">
        <f t="shared" si="80"/>
        <v>#DIV/0!</v>
      </c>
      <c r="I171" s="43" t="e">
        <f t="shared" si="81"/>
        <v>#DIV/0!</v>
      </c>
      <c r="J171" s="43" t="e">
        <f t="shared" si="82"/>
        <v>#DIV/0!</v>
      </c>
      <c r="K171" s="43" t="e">
        <f t="shared" si="83"/>
        <v>#DIV/0!</v>
      </c>
      <c r="L171" s="43" t="e">
        <f t="shared" si="84"/>
        <v>#DIV/0!</v>
      </c>
      <c r="M171" s="43" t="e">
        <f t="shared" si="85"/>
        <v>#DIV/0!</v>
      </c>
      <c r="N171" s="43" t="e">
        <f t="shared" si="86"/>
        <v>#DIV/0!</v>
      </c>
      <c r="O171" s="43" t="e">
        <f t="shared" si="87"/>
        <v>#DIV/0!</v>
      </c>
      <c r="P171" s="43" t="e">
        <f t="shared" si="88"/>
        <v>#DIV/0!</v>
      </c>
      <c r="Q171" s="43" t="e">
        <f t="shared" si="89"/>
        <v>#DIV/0!</v>
      </c>
      <c r="R171" s="43" t="e">
        <f t="shared" si="90"/>
        <v>#DIV/0!</v>
      </c>
      <c r="S171" s="43" t="e">
        <f t="shared" si="91"/>
        <v>#DIV/0!</v>
      </c>
      <c r="T171" s="43" t="e">
        <f t="shared" si="92"/>
        <v>#DIV/0!</v>
      </c>
      <c r="U171" s="43" t="e">
        <f t="shared" si="93"/>
        <v>#DIV/0!</v>
      </c>
      <c r="V171" s="53" t="e">
        <f>V170+ATM_Conf!$C$5*(B170)/(B358*V358)</f>
        <v>#DIV/0!</v>
      </c>
      <c r="W171" s="53" t="e">
        <f>W170+ATM_Conf!$C$5*(C170-B170)/(C358*W358)</f>
        <v>#DIV/0!</v>
      </c>
      <c r="X171" s="53" t="e">
        <f>X170+ATM_Conf!$C$5*(D170-C170)/(D358*X358)</f>
        <v>#DIV/0!</v>
      </c>
      <c r="Y171" s="53" t="e">
        <f>Y170+ATM_Conf!$C$5*(E170-D170)/(E358*Y358)</f>
        <v>#DIV/0!</v>
      </c>
      <c r="Z171" s="53" t="e">
        <f>Z170+ATM_Conf!$C$5*(F170-E170)/(F358*Z358)</f>
        <v>#DIV/0!</v>
      </c>
      <c r="AA171" s="53" t="e">
        <f>AA170+ATM_Conf!$C$5*(G170-F170)/(G358*AA358)</f>
        <v>#DIV/0!</v>
      </c>
      <c r="AB171" s="53" t="e">
        <f>AB170+ATM_Conf!$C$5*(H170-G170)/(H358*AB358)</f>
        <v>#DIV/0!</v>
      </c>
      <c r="AC171" s="53" t="e">
        <f>AC170+ATM_Conf!$C$5*(I170-H170)/(I358*AC358)</f>
        <v>#DIV/0!</v>
      </c>
      <c r="AD171" s="53" t="e">
        <f>AD170+ATM_Conf!$C$5*(J170-I170)/(J358*AD358)</f>
        <v>#DIV/0!</v>
      </c>
      <c r="AE171" s="53" t="e">
        <f>AE170+ATM_Conf!$C$5*(K170-J170)/(K358*AE358)</f>
        <v>#DIV/0!</v>
      </c>
      <c r="AF171" s="53" t="e">
        <f>AF170+ATM_Conf!$C$5*(L170)/(L358*AF358)</f>
        <v>#DIV/0!</v>
      </c>
      <c r="AG171" s="53" t="e">
        <f>AG170+ATM_Conf!$C$5*(M170-L170)/(M358*AG358)</f>
        <v>#DIV/0!</v>
      </c>
      <c r="AH171" s="53" t="e">
        <f>AH170+ATM_Conf!$C$5*(N170-M170)/(N358*AH358)</f>
        <v>#DIV/0!</v>
      </c>
      <c r="AI171" s="53" t="e">
        <f>AI170+ATM_Conf!$C$5*(O170-N170)/(O358*AI358)</f>
        <v>#DIV/0!</v>
      </c>
      <c r="AJ171" s="53" t="e">
        <f>AJ170+ATM_Conf!$C$5*(P170-O170)/(P358*AJ358)</f>
        <v>#DIV/0!</v>
      </c>
      <c r="AK171" s="53" t="e">
        <f>AK170+ATM_Conf!$C$5*(Q170-P170)/(Q358*AK358)</f>
        <v>#DIV/0!</v>
      </c>
      <c r="AL171" s="53" t="e">
        <f>AL170+ATM_Conf!$C$5*(R170-Q170)/(R358*AL358)</f>
        <v>#DIV/0!</v>
      </c>
      <c r="AM171" s="53" t="e">
        <f>AM170+ATM_Conf!$C$5*(S170-R170)/(S358*AM358)</f>
        <v>#DIV/0!</v>
      </c>
      <c r="AN171" s="53" t="e">
        <f>AN170+ATM_Conf!$C$5*(T170-S170)/(T358*AN358)</f>
        <v>#DIV/0!</v>
      </c>
      <c r="AO171" s="53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3"/>
      <c r="CY171" s="53"/>
      <c r="CZ171" s="53"/>
      <c r="DA171" s="53"/>
      <c r="DB171" s="53"/>
      <c r="DC171" s="53"/>
      <c r="DD171" s="53"/>
      <c r="DE171" s="53"/>
      <c r="DF171" s="53"/>
      <c r="DG171" s="53"/>
      <c r="DH171" s="53"/>
      <c r="DI171" s="53"/>
      <c r="DJ171" s="53"/>
      <c r="DK171" s="53"/>
      <c r="DL171" s="53"/>
      <c r="DM171" s="53"/>
      <c r="DN171" s="53"/>
      <c r="DO171" s="53"/>
      <c r="DP171" s="53"/>
      <c r="DQ171" s="53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  <c r="EI171" s="62"/>
      <c r="EJ171" s="62"/>
      <c r="EK171" s="62"/>
      <c r="EL171" s="47">
        <f>(DR171-DR159)^2</f>
        <v>0</v>
      </c>
      <c r="EM171" s="47">
        <f t="shared" ref="EM171:FE171" si="103">(DS171-DS159)^2</f>
        <v>0</v>
      </c>
      <c r="EN171" s="47">
        <f t="shared" si="103"/>
        <v>0</v>
      </c>
      <c r="EO171" s="47">
        <f t="shared" si="103"/>
        <v>0</v>
      </c>
      <c r="EP171" s="47">
        <f t="shared" si="103"/>
        <v>0</v>
      </c>
      <c r="EQ171" s="47">
        <f t="shared" si="103"/>
        <v>0</v>
      </c>
      <c r="ER171" s="47">
        <f t="shared" si="103"/>
        <v>0</v>
      </c>
      <c r="ES171" s="47">
        <f t="shared" si="103"/>
        <v>0</v>
      </c>
      <c r="ET171" s="47">
        <f t="shared" si="103"/>
        <v>0</v>
      </c>
      <c r="EU171" s="47">
        <f t="shared" si="103"/>
        <v>0</v>
      </c>
      <c r="EV171" s="47">
        <f t="shared" si="103"/>
        <v>0</v>
      </c>
      <c r="EW171" s="47">
        <f t="shared" si="103"/>
        <v>0</v>
      </c>
      <c r="EX171" s="47">
        <f t="shared" si="103"/>
        <v>0</v>
      </c>
      <c r="EY171" s="47">
        <f t="shared" si="103"/>
        <v>0</v>
      </c>
      <c r="EZ171" s="47">
        <f t="shared" si="103"/>
        <v>0</v>
      </c>
      <c r="FA171" s="47">
        <f t="shared" si="103"/>
        <v>0</v>
      </c>
      <c r="FB171" s="47">
        <f t="shared" si="103"/>
        <v>0</v>
      </c>
      <c r="FC171" s="47">
        <f t="shared" si="103"/>
        <v>0</v>
      </c>
      <c r="FD171" s="47">
        <f t="shared" si="103"/>
        <v>0</v>
      </c>
      <c r="FE171" s="47">
        <f t="shared" si="103"/>
        <v>0</v>
      </c>
    </row>
    <row r="172" spans="1:161" ht="14.25" x14ac:dyDescent="0.15">
      <c r="A172" s="46"/>
      <c r="B172" s="43" t="e">
        <f t="shared" si="74"/>
        <v>#DIV/0!</v>
      </c>
      <c r="C172" s="43" t="e">
        <f t="shared" si="75"/>
        <v>#DIV/0!</v>
      </c>
      <c r="D172" s="43" t="e">
        <f t="shared" si="76"/>
        <v>#DIV/0!</v>
      </c>
      <c r="E172" s="43" t="e">
        <f t="shared" si="77"/>
        <v>#DIV/0!</v>
      </c>
      <c r="F172" s="43" t="e">
        <f t="shared" si="78"/>
        <v>#DIV/0!</v>
      </c>
      <c r="G172" s="43" t="e">
        <f t="shared" si="79"/>
        <v>#DIV/0!</v>
      </c>
      <c r="H172" s="43" t="e">
        <f t="shared" si="80"/>
        <v>#DIV/0!</v>
      </c>
      <c r="I172" s="43" t="e">
        <f t="shared" si="81"/>
        <v>#DIV/0!</v>
      </c>
      <c r="J172" s="43" t="e">
        <f t="shared" si="82"/>
        <v>#DIV/0!</v>
      </c>
      <c r="K172" s="43" t="e">
        <f t="shared" si="83"/>
        <v>#DIV/0!</v>
      </c>
      <c r="L172" s="43" t="e">
        <f t="shared" si="84"/>
        <v>#DIV/0!</v>
      </c>
      <c r="M172" s="43" t="e">
        <f t="shared" si="85"/>
        <v>#DIV/0!</v>
      </c>
      <c r="N172" s="43" t="e">
        <f t="shared" si="86"/>
        <v>#DIV/0!</v>
      </c>
      <c r="O172" s="43" t="e">
        <f t="shared" si="87"/>
        <v>#DIV/0!</v>
      </c>
      <c r="P172" s="43" t="e">
        <f t="shared" si="88"/>
        <v>#DIV/0!</v>
      </c>
      <c r="Q172" s="43" t="e">
        <f t="shared" si="89"/>
        <v>#DIV/0!</v>
      </c>
      <c r="R172" s="43" t="e">
        <f t="shared" si="90"/>
        <v>#DIV/0!</v>
      </c>
      <c r="S172" s="43" t="e">
        <f t="shared" si="91"/>
        <v>#DIV/0!</v>
      </c>
      <c r="T172" s="43" t="e">
        <f t="shared" si="92"/>
        <v>#DIV/0!</v>
      </c>
      <c r="U172" s="43" t="e">
        <f t="shared" si="93"/>
        <v>#DIV/0!</v>
      </c>
      <c r="V172" s="53" t="e">
        <f>V171+ATM_Conf!$C$5*(B171)/(B359*V359)</f>
        <v>#DIV/0!</v>
      </c>
      <c r="W172" s="53" t="e">
        <f>W171+ATM_Conf!$C$5*(C171-B171)/(C359*W359)</f>
        <v>#DIV/0!</v>
      </c>
      <c r="X172" s="53" t="e">
        <f>X171+ATM_Conf!$C$5*(D171-C171)/(D359*X359)</f>
        <v>#DIV/0!</v>
      </c>
      <c r="Y172" s="53" t="e">
        <f>Y171+ATM_Conf!$C$5*(E171-D171)/(E359*Y359)</f>
        <v>#DIV/0!</v>
      </c>
      <c r="Z172" s="53" t="e">
        <f>Z171+ATM_Conf!$C$5*(F171-E171)/(F359*Z359)</f>
        <v>#DIV/0!</v>
      </c>
      <c r="AA172" s="53" t="e">
        <f>AA171+ATM_Conf!$C$5*(G171-F171)/(G359*AA359)</f>
        <v>#DIV/0!</v>
      </c>
      <c r="AB172" s="53" t="e">
        <f>AB171+ATM_Conf!$C$5*(H171-G171)/(H359*AB359)</f>
        <v>#DIV/0!</v>
      </c>
      <c r="AC172" s="53" t="e">
        <f>AC171+ATM_Conf!$C$5*(I171-H171)/(I359*AC359)</f>
        <v>#DIV/0!</v>
      </c>
      <c r="AD172" s="53" t="e">
        <f>AD171+ATM_Conf!$C$5*(J171-I171)/(J359*AD359)</f>
        <v>#DIV/0!</v>
      </c>
      <c r="AE172" s="53" t="e">
        <f>AE171+ATM_Conf!$C$5*(K171-J171)/(K359*AE359)</f>
        <v>#DIV/0!</v>
      </c>
      <c r="AF172" s="53" t="e">
        <f>AF171+ATM_Conf!$C$5*(L171)/(L359*AF359)</f>
        <v>#DIV/0!</v>
      </c>
      <c r="AG172" s="53" t="e">
        <f>AG171+ATM_Conf!$C$5*(M171-L171)/(M359*AG359)</f>
        <v>#DIV/0!</v>
      </c>
      <c r="AH172" s="53" t="e">
        <f>AH171+ATM_Conf!$C$5*(N171-M171)/(N359*AH359)</f>
        <v>#DIV/0!</v>
      </c>
      <c r="AI172" s="53" t="e">
        <f>AI171+ATM_Conf!$C$5*(O171-N171)/(O359*AI359)</f>
        <v>#DIV/0!</v>
      </c>
      <c r="AJ172" s="53" t="e">
        <f>AJ171+ATM_Conf!$C$5*(P171-O171)/(P359*AJ359)</f>
        <v>#DIV/0!</v>
      </c>
      <c r="AK172" s="53" t="e">
        <f>AK171+ATM_Conf!$C$5*(Q171-P171)/(Q359*AK359)</f>
        <v>#DIV/0!</v>
      </c>
      <c r="AL172" s="53" t="e">
        <f>AL171+ATM_Conf!$C$5*(R171-Q171)/(R359*AL359)</f>
        <v>#DIV/0!</v>
      </c>
      <c r="AM172" s="53" t="e">
        <f>AM171+ATM_Conf!$C$5*(S171-R171)/(S359*AM359)</f>
        <v>#DIV/0!</v>
      </c>
      <c r="AN172" s="53" t="e">
        <f>AN171+ATM_Conf!$C$5*(T171-S171)/(T359*AN359)</f>
        <v>#DIV/0!</v>
      </c>
      <c r="AO172" s="53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3"/>
      <c r="CY172" s="53"/>
      <c r="CZ172" s="53"/>
      <c r="DA172" s="53"/>
      <c r="DB172" s="53"/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  <c r="DR172" s="43">
        <f>DR$171</f>
        <v>0</v>
      </c>
      <c r="DS172" s="43">
        <f t="shared" ref="DS172:EK182" si="104">DS$171</f>
        <v>0</v>
      </c>
      <c r="DT172" s="43">
        <f t="shared" si="104"/>
        <v>0</v>
      </c>
      <c r="DU172" s="43">
        <f t="shared" si="104"/>
        <v>0</v>
      </c>
      <c r="DV172" s="43">
        <f t="shared" si="104"/>
        <v>0</v>
      </c>
      <c r="DW172" s="43">
        <f t="shared" si="104"/>
        <v>0</v>
      </c>
      <c r="DX172" s="43">
        <f t="shared" si="104"/>
        <v>0</v>
      </c>
      <c r="DY172" s="43">
        <f t="shared" si="104"/>
        <v>0</v>
      </c>
      <c r="DZ172" s="43">
        <f t="shared" si="104"/>
        <v>0</v>
      </c>
      <c r="EA172" s="43">
        <f t="shared" si="104"/>
        <v>0</v>
      </c>
      <c r="EB172" s="43">
        <f t="shared" si="104"/>
        <v>0</v>
      </c>
      <c r="EC172" s="43">
        <f t="shared" si="104"/>
        <v>0</v>
      </c>
      <c r="ED172" s="43">
        <f t="shared" si="104"/>
        <v>0</v>
      </c>
      <c r="EE172" s="43">
        <f t="shared" si="104"/>
        <v>0</v>
      </c>
      <c r="EF172" s="43">
        <f t="shared" si="104"/>
        <v>0</v>
      </c>
      <c r="EG172" s="43">
        <f t="shared" si="104"/>
        <v>0</v>
      </c>
      <c r="EH172" s="43">
        <f t="shared" si="104"/>
        <v>0</v>
      </c>
      <c r="EI172" s="43">
        <f t="shared" si="104"/>
        <v>0</v>
      </c>
      <c r="EJ172" s="43">
        <f t="shared" si="104"/>
        <v>0</v>
      </c>
      <c r="EK172" s="43">
        <f t="shared" si="104"/>
        <v>0</v>
      </c>
      <c r="EL172" s="47"/>
      <c r="EM172" s="47"/>
      <c r="EN172" s="47"/>
      <c r="EO172" s="47"/>
      <c r="EP172" s="47"/>
      <c r="EQ172" s="47"/>
      <c r="ER172" s="47"/>
      <c r="ES172" s="47"/>
      <c r="ET172" s="47"/>
      <c r="EU172" s="47"/>
      <c r="EV172" s="47"/>
      <c r="EW172" s="47"/>
      <c r="EX172" s="47"/>
      <c r="EY172" s="47"/>
      <c r="EZ172" s="47"/>
      <c r="FA172" s="47"/>
      <c r="FB172" s="47"/>
      <c r="FC172" s="47"/>
      <c r="FD172" s="47"/>
      <c r="FE172" s="47"/>
    </row>
    <row r="173" spans="1:161" ht="14.25" x14ac:dyDescent="0.15">
      <c r="A173" s="46"/>
      <c r="B173" s="43" t="e">
        <f t="shared" si="74"/>
        <v>#DIV/0!</v>
      </c>
      <c r="C173" s="43" t="e">
        <f t="shared" si="75"/>
        <v>#DIV/0!</v>
      </c>
      <c r="D173" s="43" t="e">
        <f t="shared" si="76"/>
        <v>#DIV/0!</v>
      </c>
      <c r="E173" s="43" t="e">
        <f t="shared" si="77"/>
        <v>#DIV/0!</v>
      </c>
      <c r="F173" s="43" t="e">
        <f t="shared" si="78"/>
        <v>#DIV/0!</v>
      </c>
      <c r="G173" s="43" t="e">
        <f t="shared" si="79"/>
        <v>#DIV/0!</v>
      </c>
      <c r="H173" s="43" t="e">
        <f t="shared" si="80"/>
        <v>#DIV/0!</v>
      </c>
      <c r="I173" s="43" t="e">
        <f t="shared" si="81"/>
        <v>#DIV/0!</v>
      </c>
      <c r="J173" s="43" t="e">
        <f t="shared" si="82"/>
        <v>#DIV/0!</v>
      </c>
      <c r="K173" s="43" t="e">
        <f t="shared" si="83"/>
        <v>#DIV/0!</v>
      </c>
      <c r="L173" s="43" t="e">
        <f t="shared" si="84"/>
        <v>#DIV/0!</v>
      </c>
      <c r="M173" s="43" t="e">
        <f t="shared" si="85"/>
        <v>#DIV/0!</v>
      </c>
      <c r="N173" s="43" t="e">
        <f t="shared" si="86"/>
        <v>#DIV/0!</v>
      </c>
      <c r="O173" s="43" t="e">
        <f t="shared" si="87"/>
        <v>#DIV/0!</v>
      </c>
      <c r="P173" s="43" t="e">
        <f t="shared" si="88"/>
        <v>#DIV/0!</v>
      </c>
      <c r="Q173" s="43" t="e">
        <f t="shared" si="89"/>
        <v>#DIV/0!</v>
      </c>
      <c r="R173" s="43" t="e">
        <f t="shared" si="90"/>
        <v>#DIV/0!</v>
      </c>
      <c r="S173" s="43" t="e">
        <f t="shared" si="91"/>
        <v>#DIV/0!</v>
      </c>
      <c r="T173" s="43" t="e">
        <f t="shared" si="92"/>
        <v>#DIV/0!</v>
      </c>
      <c r="U173" s="43" t="e">
        <f t="shared" si="93"/>
        <v>#DIV/0!</v>
      </c>
      <c r="V173" s="53" t="e">
        <f>V172+ATM_Conf!$C$5*(B172)/(B360*V360)</f>
        <v>#DIV/0!</v>
      </c>
      <c r="W173" s="53" t="e">
        <f>W172+ATM_Conf!$C$5*(C172-B172)/(C360*W360)</f>
        <v>#DIV/0!</v>
      </c>
      <c r="X173" s="53" t="e">
        <f>X172+ATM_Conf!$C$5*(D172-C172)/(D360*X360)</f>
        <v>#DIV/0!</v>
      </c>
      <c r="Y173" s="53" t="e">
        <f>Y172+ATM_Conf!$C$5*(E172-D172)/(E360*Y360)</f>
        <v>#DIV/0!</v>
      </c>
      <c r="Z173" s="53" t="e">
        <f>Z172+ATM_Conf!$C$5*(F172-E172)/(F360*Z360)</f>
        <v>#DIV/0!</v>
      </c>
      <c r="AA173" s="53" t="e">
        <f>AA172+ATM_Conf!$C$5*(G172-F172)/(G360*AA360)</f>
        <v>#DIV/0!</v>
      </c>
      <c r="AB173" s="53" t="e">
        <f>AB172+ATM_Conf!$C$5*(H172-G172)/(H360*AB360)</f>
        <v>#DIV/0!</v>
      </c>
      <c r="AC173" s="53" t="e">
        <f>AC172+ATM_Conf!$C$5*(I172-H172)/(I360*AC360)</f>
        <v>#DIV/0!</v>
      </c>
      <c r="AD173" s="53" t="e">
        <f>AD172+ATM_Conf!$C$5*(J172-I172)/(J360*AD360)</f>
        <v>#DIV/0!</v>
      </c>
      <c r="AE173" s="53" t="e">
        <f>AE172+ATM_Conf!$C$5*(K172-J172)/(K360*AE360)</f>
        <v>#DIV/0!</v>
      </c>
      <c r="AF173" s="53" t="e">
        <f>AF172+ATM_Conf!$C$5*(L172)/(L360*AF360)</f>
        <v>#DIV/0!</v>
      </c>
      <c r="AG173" s="53" t="e">
        <f>AG172+ATM_Conf!$C$5*(M172-L172)/(M360*AG360)</f>
        <v>#DIV/0!</v>
      </c>
      <c r="AH173" s="53" t="e">
        <f>AH172+ATM_Conf!$C$5*(N172-M172)/(N360*AH360)</f>
        <v>#DIV/0!</v>
      </c>
      <c r="AI173" s="53" t="e">
        <f>AI172+ATM_Conf!$C$5*(O172-N172)/(O360*AI360)</f>
        <v>#DIV/0!</v>
      </c>
      <c r="AJ173" s="53" t="e">
        <f>AJ172+ATM_Conf!$C$5*(P172-O172)/(P360*AJ360)</f>
        <v>#DIV/0!</v>
      </c>
      <c r="AK173" s="53" t="e">
        <f>AK172+ATM_Conf!$C$5*(Q172-P172)/(Q360*AK360)</f>
        <v>#DIV/0!</v>
      </c>
      <c r="AL173" s="53" t="e">
        <f>AL172+ATM_Conf!$C$5*(R172-Q172)/(R360*AL360)</f>
        <v>#DIV/0!</v>
      </c>
      <c r="AM173" s="53" t="e">
        <f>AM172+ATM_Conf!$C$5*(S172-R172)/(S360*AM360)</f>
        <v>#DIV/0!</v>
      </c>
      <c r="AN173" s="53" t="e">
        <f>AN172+ATM_Conf!$C$5*(T172-S172)/(T360*AN360)</f>
        <v>#DIV/0!</v>
      </c>
      <c r="AO173" s="53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3"/>
      <c r="CY173" s="53"/>
      <c r="CZ173" s="53"/>
      <c r="DA173" s="53"/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43">
        <f t="shared" ref="DR173:DR182" si="105">DR$171</f>
        <v>0</v>
      </c>
      <c r="DS173" s="43">
        <f t="shared" si="104"/>
        <v>0</v>
      </c>
      <c r="DT173" s="43">
        <f t="shared" si="104"/>
        <v>0</v>
      </c>
      <c r="DU173" s="43">
        <f t="shared" si="104"/>
        <v>0</v>
      </c>
      <c r="DV173" s="43">
        <f t="shared" si="104"/>
        <v>0</v>
      </c>
      <c r="DW173" s="43">
        <f t="shared" si="104"/>
        <v>0</v>
      </c>
      <c r="DX173" s="43">
        <f t="shared" si="104"/>
        <v>0</v>
      </c>
      <c r="DY173" s="43">
        <f t="shared" si="104"/>
        <v>0</v>
      </c>
      <c r="DZ173" s="43">
        <f t="shared" si="104"/>
        <v>0</v>
      </c>
      <c r="EA173" s="43">
        <f t="shared" si="104"/>
        <v>0</v>
      </c>
      <c r="EB173" s="43">
        <f t="shared" si="104"/>
        <v>0</v>
      </c>
      <c r="EC173" s="43">
        <f t="shared" si="104"/>
        <v>0</v>
      </c>
      <c r="ED173" s="43">
        <f t="shared" si="104"/>
        <v>0</v>
      </c>
      <c r="EE173" s="43">
        <f t="shared" si="104"/>
        <v>0</v>
      </c>
      <c r="EF173" s="43">
        <f t="shared" si="104"/>
        <v>0</v>
      </c>
      <c r="EG173" s="43">
        <f t="shared" si="104"/>
        <v>0</v>
      </c>
      <c r="EH173" s="43">
        <f t="shared" si="104"/>
        <v>0</v>
      </c>
      <c r="EI173" s="43">
        <f t="shared" si="104"/>
        <v>0</v>
      </c>
      <c r="EJ173" s="43">
        <f t="shared" si="104"/>
        <v>0</v>
      </c>
      <c r="EK173" s="43">
        <f t="shared" si="104"/>
        <v>0</v>
      </c>
      <c r="EL173" s="47"/>
      <c r="EM173" s="47"/>
      <c r="EN173" s="47"/>
      <c r="EO173" s="47"/>
      <c r="EP173" s="47"/>
      <c r="EQ173" s="47"/>
      <c r="ER173" s="47"/>
      <c r="ES173" s="47"/>
      <c r="ET173" s="47"/>
      <c r="EU173" s="47"/>
      <c r="EV173" s="47"/>
      <c r="EW173" s="47"/>
      <c r="EX173" s="47"/>
      <c r="EY173" s="47"/>
      <c r="EZ173" s="47"/>
      <c r="FA173" s="47"/>
      <c r="FB173" s="47"/>
      <c r="FC173" s="47"/>
      <c r="FD173" s="47"/>
      <c r="FE173" s="47"/>
    </row>
    <row r="174" spans="1:161" ht="14.25" x14ac:dyDescent="0.15">
      <c r="A174" s="46"/>
      <c r="B174" s="43" t="e">
        <f t="shared" si="74"/>
        <v>#DIV/0!</v>
      </c>
      <c r="C174" s="43" t="e">
        <f t="shared" si="75"/>
        <v>#DIV/0!</v>
      </c>
      <c r="D174" s="43" t="e">
        <f t="shared" si="76"/>
        <v>#DIV/0!</v>
      </c>
      <c r="E174" s="43" t="e">
        <f t="shared" si="77"/>
        <v>#DIV/0!</v>
      </c>
      <c r="F174" s="43" t="e">
        <f t="shared" si="78"/>
        <v>#DIV/0!</v>
      </c>
      <c r="G174" s="43" t="e">
        <f t="shared" si="79"/>
        <v>#DIV/0!</v>
      </c>
      <c r="H174" s="43" t="e">
        <f t="shared" si="80"/>
        <v>#DIV/0!</v>
      </c>
      <c r="I174" s="43" t="e">
        <f t="shared" si="81"/>
        <v>#DIV/0!</v>
      </c>
      <c r="J174" s="43" t="e">
        <f t="shared" si="82"/>
        <v>#DIV/0!</v>
      </c>
      <c r="K174" s="43" t="e">
        <f t="shared" si="83"/>
        <v>#DIV/0!</v>
      </c>
      <c r="L174" s="43" t="e">
        <f t="shared" si="84"/>
        <v>#DIV/0!</v>
      </c>
      <c r="M174" s="43" t="e">
        <f t="shared" si="85"/>
        <v>#DIV/0!</v>
      </c>
      <c r="N174" s="43" t="e">
        <f t="shared" si="86"/>
        <v>#DIV/0!</v>
      </c>
      <c r="O174" s="43" t="e">
        <f t="shared" si="87"/>
        <v>#DIV/0!</v>
      </c>
      <c r="P174" s="43" t="e">
        <f t="shared" si="88"/>
        <v>#DIV/0!</v>
      </c>
      <c r="Q174" s="43" t="e">
        <f t="shared" si="89"/>
        <v>#DIV/0!</v>
      </c>
      <c r="R174" s="43" t="e">
        <f t="shared" si="90"/>
        <v>#DIV/0!</v>
      </c>
      <c r="S174" s="43" t="e">
        <f t="shared" si="91"/>
        <v>#DIV/0!</v>
      </c>
      <c r="T174" s="43" t="e">
        <f t="shared" si="92"/>
        <v>#DIV/0!</v>
      </c>
      <c r="U174" s="43" t="e">
        <f t="shared" si="93"/>
        <v>#DIV/0!</v>
      </c>
      <c r="V174" s="53" t="e">
        <f>V173+ATM_Conf!$C$5*(B173)/(B361*V361)</f>
        <v>#DIV/0!</v>
      </c>
      <c r="W174" s="53" t="e">
        <f>W173+ATM_Conf!$C$5*(C173-B173)/(C361*W361)</f>
        <v>#DIV/0!</v>
      </c>
      <c r="X174" s="53" t="e">
        <f>X173+ATM_Conf!$C$5*(D173-C173)/(D361*X361)</f>
        <v>#DIV/0!</v>
      </c>
      <c r="Y174" s="53" t="e">
        <f>Y173+ATM_Conf!$C$5*(E173-D173)/(E361*Y361)</f>
        <v>#DIV/0!</v>
      </c>
      <c r="Z174" s="53" t="e">
        <f>Z173+ATM_Conf!$C$5*(F173-E173)/(F361*Z361)</f>
        <v>#DIV/0!</v>
      </c>
      <c r="AA174" s="53" t="e">
        <f>AA173+ATM_Conf!$C$5*(G173-F173)/(G361*AA361)</f>
        <v>#DIV/0!</v>
      </c>
      <c r="AB174" s="53" t="e">
        <f>AB173+ATM_Conf!$C$5*(H173-G173)/(H361*AB361)</f>
        <v>#DIV/0!</v>
      </c>
      <c r="AC174" s="53" t="e">
        <f>AC173+ATM_Conf!$C$5*(I173-H173)/(I361*AC361)</f>
        <v>#DIV/0!</v>
      </c>
      <c r="AD174" s="53" t="e">
        <f>AD173+ATM_Conf!$C$5*(J173-I173)/(J361*AD361)</f>
        <v>#DIV/0!</v>
      </c>
      <c r="AE174" s="53" t="e">
        <f>AE173+ATM_Conf!$C$5*(K173-J173)/(K361*AE361)</f>
        <v>#DIV/0!</v>
      </c>
      <c r="AF174" s="53" t="e">
        <f>AF173+ATM_Conf!$C$5*(L173)/(L361*AF361)</f>
        <v>#DIV/0!</v>
      </c>
      <c r="AG174" s="53" t="e">
        <f>AG173+ATM_Conf!$C$5*(M173-L173)/(M361*AG361)</f>
        <v>#DIV/0!</v>
      </c>
      <c r="AH174" s="53" t="e">
        <f>AH173+ATM_Conf!$C$5*(N173-M173)/(N361*AH361)</f>
        <v>#DIV/0!</v>
      </c>
      <c r="AI174" s="53" t="e">
        <f>AI173+ATM_Conf!$C$5*(O173-N173)/(O361*AI361)</f>
        <v>#DIV/0!</v>
      </c>
      <c r="AJ174" s="53" t="e">
        <f>AJ173+ATM_Conf!$C$5*(P173-O173)/(P361*AJ361)</f>
        <v>#DIV/0!</v>
      </c>
      <c r="AK174" s="53" t="e">
        <f>AK173+ATM_Conf!$C$5*(Q173-P173)/(Q361*AK361)</f>
        <v>#DIV/0!</v>
      </c>
      <c r="AL174" s="53" t="e">
        <f>AL173+ATM_Conf!$C$5*(R173-Q173)/(R361*AL361)</f>
        <v>#DIV/0!</v>
      </c>
      <c r="AM174" s="53" t="e">
        <f>AM173+ATM_Conf!$C$5*(S173-R173)/(S361*AM361)</f>
        <v>#DIV/0!</v>
      </c>
      <c r="AN174" s="53" t="e">
        <f>AN173+ATM_Conf!$C$5*(T173-S173)/(T361*AN361)</f>
        <v>#DIV/0!</v>
      </c>
      <c r="AO174" s="53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3"/>
      <c r="CY174" s="53"/>
      <c r="CZ174" s="53"/>
      <c r="DA174" s="53"/>
      <c r="DB174" s="53"/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  <c r="DR174" s="43">
        <f t="shared" si="105"/>
        <v>0</v>
      </c>
      <c r="DS174" s="43">
        <f t="shared" si="104"/>
        <v>0</v>
      </c>
      <c r="DT174" s="43">
        <f t="shared" si="104"/>
        <v>0</v>
      </c>
      <c r="DU174" s="43">
        <f t="shared" si="104"/>
        <v>0</v>
      </c>
      <c r="DV174" s="43">
        <f t="shared" si="104"/>
        <v>0</v>
      </c>
      <c r="DW174" s="43">
        <f t="shared" si="104"/>
        <v>0</v>
      </c>
      <c r="DX174" s="43">
        <f t="shared" si="104"/>
        <v>0</v>
      </c>
      <c r="DY174" s="43">
        <f t="shared" si="104"/>
        <v>0</v>
      </c>
      <c r="DZ174" s="43">
        <f t="shared" si="104"/>
        <v>0</v>
      </c>
      <c r="EA174" s="43">
        <f t="shared" si="104"/>
        <v>0</v>
      </c>
      <c r="EB174" s="43">
        <f t="shared" si="104"/>
        <v>0</v>
      </c>
      <c r="EC174" s="43">
        <f t="shared" si="104"/>
        <v>0</v>
      </c>
      <c r="ED174" s="43">
        <f t="shared" si="104"/>
        <v>0</v>
      </c>
      <c r="EE174" s="43">
        <f t="shared" si="104"/>
        <v>0</v>
      </c>
      <c r="EF174" s="43">
        <f t="shared" si="104"/>
        <v>0</v>
      </c>
      <c r="EG174" s="43">
        <f t="shared" si="104"/>
        <v>0</v>
      </c>
      <c r="EH174" s="43">
        <f t="shared" si="104"/>
        <v>0</v>
      </c>
      <c r="EI174" s="43">
        <f t="shared" si="104"/>
        <v>0</v>
      </c>
      <c r="EJ174" s="43">
        <f t="shared" si="104"/>
        <v>0</v>
      </c>
      <c r="EK174" s="43">
        <f t="shared" si="104"/>
        <v>0</v>
      </c>
      <c r="EL174" s="47"/>
      <c r="EM174" s="47"/>
      <c r="EN174" s="47"/>
      <c r="EO174" s="47"/>
      <c r="EP174" s="47"/>
      <c r="EQ174" s="47"/>
      <c r="ER174" s="47"/>
      <c r="ES174" s="47"/>
      <c r="ET174" s="47"/>
      <c r="EU174" s="47"/>
      <c r="EV174" s="47"/>
      <c r="EW174" s="47"/>
      <c r="EX174" s="47"/>
      <c r="EY174" s="47"/>
      <c r="EZ174" s="47"/>
      <c r="FA174" s="47"/>
      <c r="FB174" s="47"/>
      <c r="FC174" s="47"/>
      <c r="FD174" s="47"/>
      <c r="FE174" s="47"/>
    </row>
    <row r="175" spans="1:161" ht="14.25" x14ac:dyDescent="0.15">
      <c r="A175" s="46"/>
      <c r="B175" s="43" t="e">
        <f t="shared" si="74"/>
        <v>#DIV/0!</v>
      </c>
      <c r="C175" s="43" t="e">
        <f t="shared" si="75"/>
        <v>#DIV/0!</v>
      </c>
      <c r="D175" s="43" t="e">
        <f t="shared" si="76"/>
        <v>#DIV/0!</v>
      </c>
      <c r="E175" s="43" t="e">
        <f t="shared" si="77"/>
        <v>#DIV/0!</v>
      </c>
      <c r="F175" s="43" t="e">
        <f t="shared" si="78"/>
        <v>#DIV/0!</v>
      </c>
      <c r="G175" s="43" t="e">
        <f t="shared" si="79"/>
        <v>#DIV/0!</v>
      </c>
      <c r="H175" s="43" t="e">
        <f t="shared" si="80"/>
        <v>#DIV/0!</v>
      </c>
      <c r="I175" s="43" t="e">
        <f t="shared" si="81"/>
        <v>#DIV/0!</v>
      </c>
      <c r="J175" s="43" t="e">
        <f t="shared" si="82"/>
        <v>#DIV/0!</v>
      </c>
      <c r="K175" s="43" t="e">
        <f t="shared" si="83"/>
        <v>#DIV/0!</v>
      </c>
      <c r="L175" s="43" t="e">
        <f t="shared" si="84"/>
        <v>#DIV/0!</v>
      </c>
      <c r="M175" s="43" t="e">
        <f t="shared" si="85"/>
        <v>#DIV/0!</v>
      </c>
      <c r="N175" s="43" t="e">
        <f t="shared" si="86"/>
        <v>#DIV/0!</v>
      </c>
      <c r="O175" s="43" t="e">
        <f t="shared" si="87"/>
        <v>#DIV/0!</v>
      </c>
      <c r="P175" s="43" t="e">
        <f t="shared" si="88"/>
        <v>#DIV/0!</v>
      </c>
      <c r="Q175" s="43" t="e">
        <f t="shared" si="89"/>
        <v>#DIV/0!</v>
      </c>
      <c r="R175" s="43" t="e">
        <f t="shared" si="90"/>
        <v>#DIV/0!</v>
      </c>
      <c r="S175" s="43" t="e">
        <f t="shared" si="91"/>
        <v>#DIV/0!</v>
      </c>
      <c r="T175" s="43" t="e">
        <f t="shared" si="92"/>
        <v>#DIV/0!</v>
      </c>
      <c r="U175" s="43" t="e">
        <f t="shared" si="93"/>
        <v>#DIV/0!</v>
      </c>
      <c r="V175" s="53" t="e">
        <f>V174+ATM_Conf!$C$5*(B174)/(B362*V362)</f>
        <v>#DIV/0!</v>
      </c>
      <c r="W175" s="53" t="e">
        <f>W174+ATM_Conf!$C$5*(C174-B174)/(C362*W362)</f>
        <v>#DIV/0!</v>
      </c>
      <c r="X175" s="53" t="e">
        <f>X174+ATM_Conf!$C$5*(D174-C174)/(D362*X362)</f>
        <v>#DIV/0!</v>
      </c>
      <c r="Y175" s="53" t="e">
        <f>Y174+ATM_Conf!$C$5*(E174-D174)/(E362*Y362)</f>
        <v>#DIV/0!</v>
      </c>
      <c r="Z175" s="53" t="e">
        <f>Z174+ATM_Conf!$C$5*(F174-E174)/(F362*Z362)</f>
        <v>#DIV/0!</v>
      </c>
      <c r="AA175" s="53" t="e">
        <f>AA174+ATM_Conf!$C$5*(G174-F174)/(G362*AA362)</f>
        <v>#DIV/0!</v>
      </c>
      <c r="AB175" s="53" t="e">
        <f>AB174+ATM_Conf!$C$5*(H174-G174)/(H362*AB362)</f>
        <v>#DIV/0!</v>
      </c>
      <c r="AC175" s="53" t="e">
        <f>AC174+ATM_Conf!$C$5*(I174-H174)/(I362*AC362)</f>
        <v>#DIV/0!</v>
      </c>
      <c r="AD175" s="53" t="e">
        <f>AD174+ATM_Conf!$C$5*(J174-I174)/(J362*AD362)</f>
        <v>#DIV/0!</v>
      </c>
      <c r="AE175" s="53" t="e">
        <f>AE174+ATM_Conf!$C$5*(K174-J174)/(K362*AE362)</f>
        <v>#DIV/0!</v>
      </c>
      <c r="AF175" s="53" t="e">
        <f>AF174+ATM_Conf!$C$5*(L174)/(L362*AF362)</f>
        <v>#DIV/0!</v>
      </c>
      <c r="AG175" s="53" t="e">
        <f>AG174+ATM_Conf!$C$5*(M174-L174)/(M362*AG362)</f>
        <v>#DIV/0!</v>
      </c>
      <c r="AH175" s="53" t="e">
        <f>AH174+ATM_Conf!$C$5*(N174-M174)/(N362*AH362)</f>
        <v>#DIV/0!</v>
      </c>
      <c r="AI175" s="53" t="e">
        <f>AI174+ATM_Conf!$C$5*(O174-N174)/(O362*AI362)</f>
        <v>#DIV/0!</v>
      </c>
      <c r="AJ175" s="53" t="e">
        <f>AJ174+ATM_Conf!$C$5*(P174-O174)/(P362*AJ362)</f>
        <v>#DIV/0!</v>
      </c>
      <c r="AK175" s="53" t="e">
        <f>AK174+ATM_Conf!$C$5*(Q174-P174)/(Q362*AK362)</f>
        <v>#DIV/0!</v>
      </c>
      <c r="AL175" s="53" t="e">
        <f>AL174+ATM_Conf!$C$5*(R174-Q174)/(R362*AL362)</f>
        <v>#DIV/0!</v>
      </c>
      <c r="AM175" s="53" t="e">
        <f>AM174+ATM_Conf!$C$5*(S174-R174)/(S362*AM362)</f>
        <v>#DIV/0!</v>
      </c>
      <c r="AN175" s="53" t="e">
        <f>AN174+ATM_Conf!$C$5*(T174-S174)/(T362*AN362)</f>
        <v>#DIV/0!</v>
      </c>
      <c r="AO175" s="53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3"/>
      <c r="CY175" s="53"/>
      <c r="CZ175" s="53"/>
      <c r="DA175" s="53"/>
      <c r="DB175" s="53"/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  <c r="DR175" s="43">
        <f t="shared" si="105"/>
        <v>0</v>
      </c>
      <c r="DS175" s="43">
        <f t="shared" si="104"/>
        <v>0</v>
      </c>
      <c r="DT175" s="43">
        <f t="shared" si="104"/>
        <v>0</v>
      </c>
      <c r="DU175" s="43">
        <f t="shared" si="104"/>
        <v>0</v>
      </c>
      <c r="DV175" s="43">
        <f t="shared" si="104"/>
        <v>0</v>
      </c>
      <c r="DW175" s="43">
        <f t="shared" si="104"/>
        <v>0</v>
      </c>
      <c r="DX175" s="43">
        <f t="shared" si="104"/>
        <v>0</v>
      </c>
      <c r="DY175" s="43">
        <f t="shared" si="104"/>
        <v>0</v>
      </c>
      <c r="DZ175" s="43">
        <f t="shared" si="104"/>
        <v>0</v>
      </c>
      <c r="EA175" s="43">
        <f t="shared" si="104"/>
        <v>0</v>
      </c>
      <c r="EB175" s="43">
        <f t="shared" si="104"/>
        <v>0</v>
      </c>
      <c r="EC175" s="43">
        <f t="shared" si="104"/>
        <v>0</v>
      </c>
      <c r="ED175" s="43">
        <f t="shared" si="104"/>
        <v>0</v>
      </c>
      <c r="EE175" s="43">
        <f t="shared" si="104"/>
        <v>0</v>
      </c>
      <c r="EF175" s="43">
        <f t="shared" si="104"/>
        <v>0</v>
      </c>
      <c r="EG175" s="43">
        <f t="shared" si="104"/>
        <v>0</v>
      </c>
      <c r="EH175" s="43">
        <f t="shared" si="104"/>
        <v>0</v>
      </c>
      <c r="EI175" s="43">
        <f t="shared" si="104"/>
        <v>0</v>
      </c>
      <c r="EJ175" s="43">
        <f t="shared" si="104"/>
        <v>0</v>
      </c>
      <c r="EK175" s="43">
        <f t="shared" si="104"/>
        <v>0</v>
      </c>
      <c r="EL175" s="47"/>
      <c r="EM175" s="47"/>
      <c r="EN175" s="47"/>
      <c r="EO175" s="47"/>
      <c r="EP175" s="47"/>
      <c r="EQ175" s="47"/>
      <c r="ER175" s="47"/>
      <c r="ES175" s="47"/>
      <c r="ET175" s="47"/>
      <c r="EU175" s="47"/>
      <c r="EV175" s="47"/>
      <c r="EW175" s="47"/>
      <c r="EX175" s="47"/>
      <c r="EY175" s="47"/>
      <c r="EZ175" s="47"/>
      <c r="FA175" s="47"/>
      <c r="FB175" s="47"/>
      <c r="FC175" s="47"/>
      <c r="FD175" s="47"/>
      <c r="FE175" s="47"/>
    </row>
    <row r="176" spans="1:161" ht="14.25" x14ac:dyDescent="0.15">
      <c r="A176" s="46"/>
      <c r="B176" s="43" t="e">
        <f t="shared" si="74"/>
        <v>#DIV/0!</v>
      </c>
      <c r="C176" s="43" t="e">
        <f t="shared" si="75"/>
        <v>#DIV/0!</v>
      </c>
      <c r="D176" s="43" t="e">
        <f t="shared" si="76"/>
        <v>#DIV/0!</v>
      </c>
      <c r="E176" s="43" t="e">
        <f t="shared" si="77"/>
        <v>#DIV/0!</v>
      </c>
      <c r="F176" s="43" t="e">
        <f t="shared" si="78"/>
        <v>#DIV/0!</v>
      </c>
      <c r="G176" s="43" t="e">
        <f t="shared" si="79"/>
        <v>#DIV/0!</v>
      </c>
      <c r="H176" s="43" t="e">
        <f t="shared" si="80"/>
        <v>#DIV/0!</v>
      </c>
      <c r="I176" s="43" t="e">
        <f t="shared" si="81"/>
        <v>#DIV/0!</v>
      </c>
      <c r="J176" s="43" t="e">
        <f t="shared" si="82"/>
        <v>#DIV/0!</v>
      </c>
      <c r="K176" s="43" t="e">
        <f t="shared" si="83"/>
        <v>#DIV/0!</v>
      </c>
      <c r="L176" s="43" t="e">
        <f t="shared" si="84"/>
        <v>#DIV/0!</v>
      </c>
      <c r="M176" s="43" t="e">
        <f t="shared" si="85"/>
        <v>#DIV/0!</v>
      </c>
      <c r="N176" s="43" t="e">
        <f t="shared" si="86"/>
        <v>#DIV/0!</v>
      </c>
      <c r="O176" s="43" t="e">
        <f t="shared" si="87"/>
        <v>#DIV/0!</v>
      </c>
      <c r="P176" s="43" t="e">
        <f t="shared" si="88"/>
        <v>#DIV/0!</v>
      </c>
      <c r="Q176" s="43" t="e">
        <f t="shared" si="89"/>
        <v>#DIV/0!</v>
      </c>
      <c r="R176" s="43" t="e">
        <f t="shared" si="90"/>
        <v>#DIV/0!</v>
      </c>
      <c r="S176" s="43" t="e">
        <f t="shared" si="91"/>
        <v>#DIV/0!</v>
      </c>
      <c r="T176" s="43" t="e">
        <f t="shared" si="92"/>
        <v>#DIV/0!</v>
      </c>
      <c r="U176" s="43" t="e">
        <f t="shared" si="93"/>
        <v>#DIV/0!</v>
      </c>
      <c r="V176" s="53" t="e">
        <f>V175+ATM_Conf!$C$5*(B175)/(B363*V363)</f>
        <v>#DIV/0!</v>
      </c>
      <c r="W176" s="53" t="e">
        <f>W175+ATM_Conf!$C$5*(C175-B175)/(C363*W363)</f>
        <v>#DIV/0!</v>
      </c>
      <c r="X176" s="53" t="e">
        <f>X175+ATM_Conf!$C$5*(D175-C175)/(D363*X363)</f>
        <v>#DIV/0!</v>
      </c>
      <c r="Y176" s="53" t="e">
        <f>Y175+ATM_Conf!$C$5*(E175-D175)/(E363*Y363)</f>
        <v>#DIV/0!</v>
      </c>
      <c r="Z176" s="53" t="e">
        <f>Z175+ATM_Conf!$C$5*(F175-E175)/(F363*Z363)</f>
        <v>#DIV/0!</v>
      </c>
      <c r="AA176" s="53" t="e">
        <f>AA175+ATM_Conf!$C$5*(G175-F175)/(G363*AA363)</f>
        <v>#DIV/0!</v>
      </c>
      <c r="AB176" s="53" t="e">
        <f>AB175+ATM_Conf!$C$5*(H175-G175)/(H363*AB363)</f>
        <v>#DIV/0!</v>
      </c>
      <c r="AC176" s="53" t="e">
        <f>AC175+ATM_Conf!$C$5*(I175-H175)/(I363*AC363)</f>
        <v>#DIV/0!</v>
      </c>
      <c r="AD176" s="53" t="e">
        <f>AD175+ATM_Conf!$C$5*(J175-I175)/(J363*AD363)</f>
        <v>#DIV/0!</v>
      </c>
      <c r="AE176" s="53" t="e">
        <f>AE175+ATM_Conf!$C$5*(K175-J175)/(K363*AE363)</f>
        <v>#DIV/0!</v>
      </c>
      <c r="AF176" s="53" t="e">
        <f>AF175+ATM_Conf!$C$5*(L175)/(L363*AF363)</f>
        <v>#DIV/0!</v>
      </c>
      <c r="AG176" s="53" t="e">
        <f>AG175+ATM_Conf!$C$5*(M175-L175)/(M363*AG363)</f>
        <v>#DIV/0!</v>
      </c>
      <c r="AH176" s="53" t="e">
        <f>AH175+ATM_Conf!$C$5*(N175-M175)/(N363*AH363)</f>
        <v>#DIV/0!</v>
      </c>
      <c r="AI176" s="53" t="e">
        <f>AI175+ATM_Conf!$C$5*(O175-N175)/(O363*AI363)</f>
        <v>#DIV/0!</v>
      </c>
      <c r="AJ176" s="53" t="e">
        <f>AJ175+ATM_Conf!$C$5*(P175-O175)/(P363*AJ363)</f>
        <v>#DIV/0!</v>
      </c>
      <c r="AK176" s="53" t="e">
        <f>AK175+ATM_Conf!$C$5*(Q175-P175)/(Q363*AK363)</f>
        <v>#DIV/0!</v>
      </c>
      <c r="AL176" s="53" t="e">
        <f>AL175+ATM_Conf!$C$5*(R175-Q175)/(R363*AL363)</f>
        <v>#DIV/0!</v>
      </c>
      <c r="AM176" s="53" t="e">
        <f>AM175+ATM_Conf!$C$5*(S175-R175)/(S363*AM363)</f>
        <v>#DIV/0!</v>
      </c>
      <c r="AN176" s="53" t="e">
        <f>AN175+ATM_Conf!$C$5*(T175-S175)/(T363*AN363)</f>
        <v>#DIV/0!</v>
      </c>
      <c r="AO176" s="53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43">
        <f t="shared" si="105"/>
        <v>0</v>
      </c>
      <c r="DS176" s="43">
        <f t="shared" si="104"/>
        <v>0</v>
      </c>
      <c r="DT176" s="43">
        <f t="shared" si="104"/>
        <v>0</v>
      </c>
      <c r="DU176" s="43">
        <f t="shared" si="104"/>
        <v>0</v>
      </c>
      <c r="DV176" s="43">
        <f t="shared" si="104"/>
        <v>0</v>
      </c>
      <c r="DW176" s="43">
        <f t="shared" si="104"/>
        <v>0</v>
      </c>
      <c r="DX176" s="43">
        <f t="shared" si="104"/>
        <v>0</v>
      </c>
      <c r="DY176" s="43">
        <f t="shared" si="104"/>
        <v>0</v>
      </c>
      <c r="DZ176" s="43">
        <f t="shared" si="104"/>
        <v>0</v>
      </c>
      <c r="EA176" s="43">
        <f t="shared" si="104"/>
        <v>0</v>
      </c>
      <c r="EB176" s="43">
        <f t="shared" si="104"/>
        <v>0</v>
      </c>
      <c r="EC176" s="43">
        <f t="shared" si="104"/>
        <v>0</v>
      </c>
      <c r="ED176" s="43">
        <f t="shared" si="104"/>
        <v>0</v>
      </c>
      <c r="EE176" s="43">
        <f t="shared" si="104"/>
        <v>0</v>
      </c>
      <c r="EF176" s="43">
        <f t="shared" si="104"/>
        <v>0</v>
      </c>
      <c r="EG176" s="43">
        <f t="shared" si="104"/>
        <v>0</v>
      </c>
      <c r="EH176" s="43">
        <f t="shared" si="104"/>
        <v>0</v>
      </c>
      <c r="EI176" s="43">
        <f t="shared" si="104"/>
        <v>0</v>
      </c>
      <c r="EJ176" s="43">
        <f t="shared" si="104"/>
        <v>0</v>
      </c>
      <c r="EK176" s="43">
        <f t="shared" si="104"/>
        <v>0</v>
      </c>
      <c r="EL176" s="47"/>
      <c r="EM176" s="47"/>
      <c r="EN176" s="47"/>
      <c r="EO176" s="47"/>
      <c r="EP176" s="47"/>
      <c r="EQ176" s="47"/>
      <c r="ER176" s="47"/>
      <c r="ES176" s="47"/>
      <c r="ET176" s="47"/>
      <c r="EU176" s="47"/>
      <c r="EV176" s="47"/>
      <c r="EW176" s="47"/>
      <c r="EX176" s="47"/>
      <c r="EY176" s="47"/>
      <c r="EZ176" s="47"/>
      <c r="FA176" s="47"/>
      <c r="FB176" s="47"/>
      <c r="FC176" s="47"/>
      <c r="FD176" s="47"/>
      <c r="FE176" s="47"/>
    </row>
    <row r="177" spans="1:161" ht="14.25" x14ac:dyDescent="0.15">
      <c r="A177" s="46"/>
      <c r="B177" s="43" t="e">
        <f t="shared" si="74"/>
        <v>#DIV/0!</v>
      </c>
      <c r="C177" s="43" t="e">
        <f t="shared" si="75"/>
        <v>#DIV/0!</v>
      </c>
      <c r="D177" s="43" t="e">
        <f t="shared" si="76"/>
        <v>#DIV/0!</v>
      </c>
      <c r="E177" s="43" t="e">
        <f t="shared" si="77"/>
        <v>#DIV/0!</v>
      </c>
      <c r="F177" s="43" t="e">
        <f t="shared" si="78"/>
        <v>#DIV/0!</v>
      </c>
      <c r="G177" s="43" t="e">
        <f t="shared" si="79"/>
        <v>#DIV/0!</v>
      </c>
      <c r="H177" s="43" t="e">
        <f t="shared" si="80"/>
        <v>#DIV/0!</v>
      </c>
      <c r="I177" s="43" t="e">
        <f t="shared" si="81"/>
        <v>#DIV/0!</v>
      </c>
      <c r="J177" s="43" t="e">
        <f t="shared" si="82"/>
        <v>#DIV/0!</v>
      </c>
      <c r="K177" s="43" t="e">
        <f t="shared" si="83"/>
        <v>#DIV/0!</v>
      </c>
      <c r="L177" s="43" t="e">
        <f t="shared" si="84"/>
        <v>#DIV/0!</v>
      </c>
      <c r="M177" s="43" t="e">
        <f t="shared" si="85"/>
        <v>#DIV/0!</v>
      </c>
      <c r="N177" s="43" t="e">
        <f t="shared" si="86"/>
        <v>#DIV/0!</v>
      </c>
      <c r="O177" s="43" t="e">
        <f t="shared" si="87"/>
        <v>#DIV/0!</v>
      </c>
      <c r="P177" s="43" t="e">
        <f t="shared" si="88"/>
        <v>#DIV/0!</v>
      </c>
      <c r="Q177" s="43" t="e">
        <f t="shared" si="89"/>
        <v>#DIV/0!</v>
      </c>
      <c r="R177" s="43" t="e">
        <f t="shared" si="90"/>
        <v>#DIV/0!</v>
      </c>
      <c r="S177" s="43" t="e">
        <f t="shared" si="91"/>
        <v>#DIV/0!</v>
      </c>
      <c r="T177" s="43" t="e">
        <f t="shared" si="92"/>
        <v>#DIV/0!</v>
      </c>
      <c r="U177" s="43" t="e">
        <f t="shared" si="93"/>
        <v>#DIV/0!</v>
      </c>
      <c r="V177" s="53" t="e">
        <f>V176+ATM_Conf!$C$5*(B176)/(B364*V364)</f>
        <v>#DIV/0!</v>
      </c>
      <c r="W177" s="53" t="e">
        <f>W176+ATM_Conf!$C$5*(C176-B176)/(C364*W364)</f>
        <v>#DIV/0!</v>
      </c>
      <c r="X177" s="53" t="e">
        <f>X176+ATM_Conf!$C$5*(D176-C176)/(D364*X364)</f>
        <v>#DIV/0!</v>
      </c>
      <c r="Y177" s="53" t="e">
        <f>Y176+ATM_Conf!$C$5*(E176-D176)/(E364*Y364)</f>
        <v>#DIV/0!</v>
      </c>
      <c r="Z177" s="53" t="e">
        <f>Z176+ATM_Conf!$C$5*(F176-E176)/(F364*Z364)</f>
        <v>#DIV/0!</v>
      </c>
      <c r="AA177" s="53" t="e">
        <f>AA176+ATM_Conf!$C$5*(G176-F176)/(G364*AA364)</f>
        <v>#DIV/0!</v>
      </c>
      <c r="AB177" s="53" t="e">
        <f>AB176+ATM_Conf!$C$5*(H176-G176)/(H364*AB364)</f>
        <v>#DIV/0!</v>
      </c>
      <c r="AC177" s="53" t="e">
        <f>AC176+ATM_Conf!$C$5*(I176-H176)/(I364*AC364)</f>
        <v>#DIV/0!</v>
      </c>
      <c r="AD177" s="53" t="e">
        <f>AD176+ATM_Conf!$C$5*(J176-I176)/(J364*AD364)</f>
        <v>#DIV/0!</v>
      </c>
      <c r="AE177" s="53" t="e">
        <f>AE176+ATM_Conf!$C$5*(K176-J176)/(K364*AE364)</f>
        <v>#DIV/0!</v>
      </c>
      <c r="AF177" s="53" t="e">
        <f>AF176+ATM_Conf!$C$5*(L176)/(L364*AF364)</f>
        <v>#DIV/0!</v>
      </c>
      <c r="AG177" s="53" t="e">
        <f>AG176+ATM_Conf!$C$5*(M176-L176)/(M364*AG364)</f>
        <v>#DIV/0!</v>
      </c>
      <c r="AH177" s="53" t="e">
        <f>AH176+ATM_Conf!$C$5*(N176-M176)/(N364*AH364)</f>
        <v>#DIV/0!</v>
      </c>
      <c r="AI177" s="53" t="e">
        <f>AI176+ATM_Conf!$C$5*(O176-N176)/(O364*AI364)</f>
        <v>#DIV/0!</v>
      </c>
      <c r="AJ177" s="53" t="e">
        <f>AJ176+ATM_Conf!$C$5*(P176-O176)/(P364*AJ364)</f>
        <v>#DIV/0!</v>
      </c>
      <c r="AK177" s="53" t="e">
        <f>AK176+ATM_Conf!$C$5*(Q176-P176)/(Q364*AK364)</f>
        <v>#DIV/0!</v>
      </c>
      <c r="AL177" s="53" t="e">
        <f>AL176+ATM_Conf!$C$5*(R176-Q176)/(R364*AL364)</f>
        <v>#DIV/0!</v>
      </c>
      <c r="AM177" s="53" t="e">
        <f>AM176+ATM_Conf!$C$5*(S176-R176)/(S364*AM364)</f>
        <v>#DIV/0!</v>
      </c>
      <c r="AN177" s="53" t="e">
        <f>AN176+ATM_Conf!$C$5*(T176-S176)/(T364*AN364)</f>
        <v>#DIV/0!</v>
      </c>
      <c r="AO177" s="53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3"/>
      <c r="CY177" s="53"/>
      <c r="CZ177" s="53"/>
      <c r="DA177" s="53"/>
      <c r="DB177" s="53"/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  <c r="DR177" s="43">
        <f t="shared" si="105"/>
        <v>0</v>
      </c>
      <c r="DS177" s="43">
        <f t="shared" si="104"/>
        <v>0</v>
      </c>
      <c r="DT177" s="43">
        <f t="shared" si="104"/>
        <v>0</v>
      </c>
      <c r="DU177" s="43">
        <f t="shared" si="104"/>
        <v>0</v>
      </c>
      <c r="DV177" s="43">
        <f t="shared" si="104"/>
        <v>0</v>
      </c>
      <c r="DW177" s="43">
        <f t="shared" si="104"/>
        <v>0</v>
      </c>
      <c r="DX177" s="43">
        <f t="shared" si="104"/>
        <v>0</v>
      </c>
      <c r="DY177" s="43">
        <f t="shared" si="104"/>
        <v>0</v>
      </c>
      <c r="DZ177" s="43">
        <f t="shared" si="104"/>
        <v>0</v>
      </c>
      <c r="EA177" s="43">
        <f t="shared" si="104"/>
        <v>0</v>
      </c>
      <c r="EB177" s="43">
        <f t="shared" si="104"/>
        <v>0</v>
      </c>
      <c r="EC177" s="43">
        <f t="shared" si="104"/>
        <v>0</v>
      </c>
      <c r="ED177" s="43">
        <f t="shared" si="104"/>
        <v>0</v>
      </c>
      <c r="EE177" s="43">
        <f t="shared" si="104"/>
        <v>0</v>
      </c>
      <c r="EF177" s="43">
        <f t="shared" si="104"/>
        <v>0</v>
      </c>
      <c r="EG177" s="43">
        <f t="shared" si="104"/>
        <v>0</v>
      </c>
      <c r="EH177" s="43">
        <f t="shared" si="104"/>
        <v>0</v>
      </c>
      <c r="EI177" s="43">
        <f t="shared" si="104"/>
        <v>0</v>
      </c>
      <c r="EJ177" s="43">
        <f t="shared" si="104"/>
        <v>0</v>
      </c>
      <c r="EK177" s="43">
        <f t="shared" si="104"/>
        <v>0</v>
      </c>
      <c r="EL177" s="47"/>
      <c r="EM177" s="47"/>
      <c r="EN177" s="47"/>
      <c r="EO177" s="47"/>
      <c r="EP177" s="47"/>
      <c r="EQ177" s="47"/>
      <c r="ER177" s="47"/>
      <c r="ES177" s="47"/>
      <c r="ET177" s="47"/>
      <c r="EU177" s="47"/>
      <c r="EV177" s="47"/>
      <c r="EW177" s="47"/>
      <c r="EX177" s="47"/>
      <c r="EY177" s="47"/>
      <c r="EZ177" s="47"/>
      <c r="FA177" s="47"/>
      <c r="FB177" s="47"/>
      <c r="FC177" s="47"/>
      <c r="FD177" s="47"/>
      <c r="FE177" s="47"/>
    </row>
    <row r="178" spans="1:161" ht="14.25" x14ac:dyDescent="0.15">
      <c r="A178" s="46"/>
      <c r="B178" s="43" t="e">
        <f t="shared" si="74"/>
        <v>#DIV/0!</v>
      </c>
      <c r="C178" s="43" t="e">
        <f t="shared" si="75"/>
        <v>#DIV/0!</v>
      </c>
      <c r="D178" s="43" t="e">
        <f t="shared" si="76"/>
        <v>#DIV/0!</v>
      </c>
      <c r="E178" s="43" t="e">
        <f t="shared" si="77"/>
        <v>#DIV/0!</v>
      </c>
      <c r="F178" s="43" t="e">
        <f t="shared" si="78"/>
        <v>#DIV/0!</v>
      </c>
      <c r="G178" s="43" t="e">
        <f t="shared" si="79"/>
        <v>#DIV/0!</v>
      </c>
      <c r="H178" s="43" t="e">
        <f t="shared" si="80"/>
        <v>#DIV/0!</v>
      </c>
      <c r="I178" s="43" t="e">
        <f t="shared" si="81"/>
        <v>#DIV/0!</v>
      </c>
      <c r="J178" s="43" t="e">
        <f t="shared" si="82"/>
        <v>#DIV/0!</v>
      </c>
      <c r="K178" s="43" t="e">
        <f t="shared" si="83"/>
        <v>#DIV/0!</v>
      </c>
      <c r="L178" s="43" t="e">
        <f t="shared" si="84"/>
        <v>#DIV/0!</v>
      </c>
      <c r="M178" s="43" t="e">
        <f t="shared" si="85"/>
        <v>#DIV/0!</v>
      </c>
      <c r="N178" s="43" t="e">
        <f t="shared" si="86"/>
        <v>#DIV/0!</v>
      </c>
      <c r="O178" s="43" t="e">
        <f t="shared" si="87"/>
        <v>#DIV/0!</v>
      </c>
      <c r="P178" s="43" t="e">
        <f t="shared" si="88"/>
        <v>#DIV/0!</v>
      </c>
      <c r="Q178" s="43" t="e">
        <f t="shared" si="89"/>
        <v>#DIV/0!</v>
      </c>
      <c r="R178" s="43" t="e">
        <f t="shared" si="90"/>
        <v>#DIV/0!</v>
      </c>
      <c r="S178" s="43" t="e">
        <f t="shared" si="91"/>
        <v>#DIV/0!</v>
      </c>
      <c r="T178" s="43" t="e">
        <f t="shared" si="92"/>
        <v>#DIV/0!</v>
      </c>
      <c r="U178" s="43" t="e">
        <f t="shared" si="93"/>
        <v>#DIV/0!</v>
      </c>
      <c r="V178" s="53" t="e">
        <f>V177+ATM_Conf!$C$5*(B177)/(B365*V365)</f>
        <v>#DIV/0!</v>
      </c>
      <c r="W178" s="53" t="e">
        <f>W177+ATM_Conf!$C$5*(C177-B177)/(C365*W365)</f>
        <v>#DIV/0!</v>
      </c>
      <c r="X178" s="53" t="e">
        <f>X177+ATM_Conf!$C$5*(D177-C177)/(D365*X365)</f>
        <v>#DIV/0!</v>
      </c>
      <c r="Y178" s="53" t="e">
        <f>Y177+ATM_Conf!$C$5*(E177-D177)/(E365*Y365)</f>
        <v>#DIV/0!</v>
      </c>
      <c r="Z178" s="53" t="e">
        <f>Z177+ATM_Conf!$C$5*(F177-E177)/(F365*Z365)</f>
        <v>#DIV/0!</v>
      </c>
      <c r="AA178" s="53" t="e">
        <f>AA177+ATM_Conf!$C$5*(G177-F177)/(G365*AA365)</f>
        <v>#DIV/0!</v>
      </c>
      <c r="AB178" s="53" t="e">
        <f>AB177+ATM_Conf!$C$5*(H177-G177)/(H365*AB365)</f>
        <v>#DIV/0!</v>
      </c>
      <c r="AC178" s="53" t="e">
        <f>AC177+ATM_Conf!$C$5*(I177-H177)/(I365*AC365)</f>
        <v>#DIV/0!</v>
      </c>
      <c r="AD178" s="53" t="e">
        <f>AD177+ATM_Conf!$C$5*(J177-I177)/(J365*AD365)</f>
        <v>#DIV/0!</v>
      </c>
      <c r="AE178" s="53" t="e">
        <f>AE177+ATM_Conf!$C$5*(K177-J177)/(K365*AE365)</f>
        <v>#DIV/0!</v>
      </c>
      <c r="AF178" s="53" t="e">
        <f>AF177+ATM_Conf!$C$5*(L177)/(L365*AF365)</f>
        <v>#DIV/0!</v>
      </c>
      <c r="AG178" s="53" t="e">
        <f>AG177+ATM_Conf!$C$5*(M177-L177)/(M365*AG365)</f>
        <v>#DIV/0!</v>
      </c>
      <c r="AH178" s="53" t="e">
        <f>AH177+ATM_Conf!$C$5*(N177-M177)/(N365*AH365)</f>
        <v>#DIV/0!</v>
      </c>
      <c r="AI178" s="53" t="e">
        <f>AI177+ATM_Conf!$C$5*(O177-N177)/(O365*AI365)</f>
        <v>#DIV/0!</v>
      </c>
      <c r="AJ178" s="53" t="e">
        <f>AJ177+ATM_Conf!$C$5*(P177-O177)/(P365*AJ365)</f>
        <v>#DIV/0!</v>
      </c>
      <c r="AK178" s="53" t="e">
        <f>AK177+ATM_Conf!$C$5*(Q177-P177)/(Q365*AK365)</f>
        <v>#DIV/0!</v>
      </c>
      <c r="AL178" s="53" t="e">
        <f>AL177+ATM_Conf!$C$5*(R177-Q177)/(R365*AL365)</f>
        <v>#DIV/0!</v>
      </c>
      <c r="AM178" s="53" t="e">
        <f>AM177+ATM_Conf!$C$5*(S177-R177)/(S365*AM365)</f>
        <v>#DIV/0!</v>
      </c>
      <c r="AN178" s="53" t="e">
        <f>AN177+ATM_Conf!$C$5*(T177-S177)/(T365*AN365)</f>
        <v>#DIV/0!</v>
      </c>
      <c r="AO178" s="53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43">
        <f t="shared" si="105"/>
        <v>0</v>
      </c>
      <c r="DS178" s="43">
        <f t="shared" si="104"/>
        <v>0</v>
      </c>
      <c r="DT178" s="43">
        <f t="shared" si="104"/>
        <v>0</v>
      </c>
      <c r="DU178" s="43">
        <f t="shared" si="104"/>
        <v>0</v>
      </c>
      <c r="DV178" s="43">
        <f t="shared" si="104"/>
        <v>0</v>
      </c>
      <c r="DW178" s="43">
        <f t="shared" si="104"/>
        <v>0</v>
      </c>
      <c r="DX178" s="43">
        <f t="shared" si="104"/>
        <v>0</v>
      </c>
      <c r="DY178" s="43">
        <f t="shared" si="104"/>
        <v>0</v>
      </c>
      <c r="DZ178" s="43">
        <f t="shared" si="104"/>
        <v>0</v>
      </c>
      <c r="EA178" s="43">
        <f t="shared" si="104"/>
        <v>0</v>
      </c>
      <c r="EB178" s="43">
        <f t="shared" si="104"/>
        <v>0</v>
      </c>
      <c r="EC178" s="43">
        <f t="shared" si="104"/>
        <v>0</v>
      </c>
      <c r="ED178" s="43">
        <f t="shared" si="104"/>
        <v>0</v>
      </c>
      <c r="EE178" s="43">
        <f t="shared" si="104"/>
        <v>0</v>
      </c>
      <c r="EF178" s="43">
        <f t="shared" si="104"/>
        <v>0</v>
      </c>
      <c r="EG178" s="43">
        <f t="shared" si="104"/>
        <v>0</v>
      </c>
      <c r="EH178" s="43">
        <f t="shared" si="104"/>
        <v>0</v>
      </c>
      <c r="EI178" s="43">
        <f t="shared" si="104"/>
        <v>0</v>
      </c>
      <c r="EJ178" s="43">
        <f t="shared" si="104"/>
        <v>0</v>
      </c>
      <c r="EK178" s="43">
        <f t="shared" si="104"/>
        <v>0</v>
      </c>
      <c r="EL178" s="47"/>
      <c r="EM178" s="47"/>
      <c r="EN178" s="47"/>
      <c r="EO178" s="47"/>
      <c r="EP178" s="47"/>
      <c r="EQ178" s="47"/>
      <c r="ER178" s="47"/>
      <c r="ES178" s="47"/>
      <c r="ET178" s="47"/>
      <c r="EU178" s="47"/>
      <c r="EV178" s="47"/>
      <c r="EW178" s="47"/>
      <c r="EX178" s="47"/>
      <c r="EY178" s="47"/>
      <c r="EZ178" s="47"/>
      <c r="FA178" s="47"/>
      <c r="FB178" s="47"/>
      <c r="FC178" s="47"/>
      <c r="FD178" s="47"/>
      <c r="FE178" s="47"/>
    </row>
    <row r="179" spans="1:161" ht="14.25" x14ac:dyDescent="0.15">
      <c r="A179" s="46"/>
      <c r="B179" s="43" t="e">
        <f t="shared" si="74"/>
        <v>#DIV/0!</v>
      </c>
      <c r="C179" s="43" t="e">
        <f t="shared" si="75"/>
        <v>#DIV/0!</v>
      </c>
      <c r="D179" s="43" t="e">
        <f t="shared" si="76"/>
        <v>#DIV/0!</v>
      </c>
      <c r="E179" s="43" t="e">
        <f t="shared" si="77"/>
        <v>#DIV/0!</v>
      </c>
      <c r="F179" s="43" t="e">
        <f t="shared" si="78"/>
        <v>#DIV/0!</v>
      </c>
      <c r="G179" s="43" t="e">
        <f t="shared" si="79"/>
        <v>#DIV/0!</v>
      </c>
      <c r="H179" s="43" t="e">
        <f t="shared" si="80"/>
        <v>#DIV/0!</v>
      </c>
      <c r="I179" s="43" t="e">
        <f t="shared" si="81"/>
        <v>#DIV/0!</v>
      </c>
      <c r="J179" s="43" t="e">
        <f t="shared" si="82"/>
        <v>#DIV/0!</v>
      </c>
      <c r="K179" s="43" t="e">
        <f t="shared" si="83"/>
        <v>#DIV/0!</v>
      </c>
      <c r="L179" s="43" t="e">
        <f t="shared" si="84"/>
        <v>#DIV/0!</v>
      </c>
      <c r="M179" s="43" t="e">
        <f t="shared" si="85"/>
        <v>#DIV/0!</v>
      </c>
      <c r="N179" s="43" t="e">
        <f t="shared" si="86"/>
        <v>#DIV/0!</v>
      </c>
      <c r="O179" s="43" t="e">
        <f t="shared" si="87"/>
        <v>#DIV/0!</v>
      </c>
      <c r="P179" s="43" t="e">
        <f t="shared" si="88"/>
        <v>#DIV/0!</v>
      </c>
      <c r="Q179" s="43" t="e">
        <f t="shared" si="89"/>
        <v>#DIV/0!</v>
      </c>
      <c r="R179" s="43" t="e">
        <f t="shared" si="90"/>
        <v>#DIV/0!</v>
      </c>
      <c r="S179" s="43" t="e">
        <f t="shared" si="91"/>
        <v>#DIV/0!</v>
      </c>
      <c r="T179" s="43" t="e">
        <f t="shared" si="92"/>
        <v>#DIV/0!</v>
      </c>
      <c r="U179" s="43" t="e">
        <f t="shared" si="93"/>
        <v>#DIV/0!</v>
      </c>
      <c r="V179" s="53" t="e">
        <f>V178+ATM_Conf!$C$5*(B178)/(B366*V366)</f>
        <v>#DIV/0!</v>
      </c>
      <c r="W179" s="53" t="e">
        <f>W178+ATM_Conf!$C$5*(C178-B178)/(C366*W366)</f>
        <v>#DIV/0!</v>
      </c>
      <c r="X179" s="53" t="e">
        <f>X178+ATM_Conf!$C$5*(D178-C178)/(D366*X366)</f>
        <v>#DIV/0!</v>
      </c>
      <c r="Y179" s="53" t="e">
        <f>Y178+ATM_Conf!$C$5*(E178-D178)/(E366*Y366)</f>
        <v>#DIV/0!</v>
      </c>
      <c r="Z179" s="53" t="e">
        <f>Z178+ATM_Conf!$C$5*(F178-E178)/(F366*Z366)</f>
        <v>#DIV/0!</v>
      </c>
      <c r="AA179" s="53" t="e">
        <f>AA178+ATM_Conf!$C$5*(G178-F178)/(G366*AA366)</f>
        <v>#DIV/0!</v>
      </c>
      <c r="AB179" s="53" t="e">
        <f>AB178+ATM_Conf!$C$5*(H178-G178)/(H366*AB366)</f>
        <v>#DIV/0!</v>
      </c>
      <c r="AC179" s="53" t="e">
        <f>AC178+ATM_Conf!$C$5*(I178-H178)/(I366*AC366)</f>
        <v>#DIV/0!</v>
      </c>
      <c r="AD179" s="53" t="e">
        <f>AD178+ATM_Conf!$C$5*(J178-I178)/(J366*AD366)</f>
        <v>#DIV/0!</v>
      </c>
      <c r="AE179" s="53" t="e">
        <f>AE178+ATM_Conf!$C$5*(K178-J178)/(K366*AE366)</f>
        <v>#DIV/0!</v>
      </c>
      <c r="AF179" s="53" t="e">
        <f>AF178+ATM_Conf!$C$5*(L178)/(L366*AF366)</f>
        <v>#DIV/0!</v>
      </c>
      <c r="AG179" s="53" t="e">
        <f>AG178+ATM_Conf!$C$5*(M178-L178)/(M366*AG366)</f>
        <v>#DIV/0!</v>
      </c>
      <c r="AH179" s="53" t="e">
        <f>AH178+ATM_Conf!$C$5*(N178-M178)/(N366*AH366)</f>
        <v>#DIV/0!</v>
      </c>
      <c r="AI179" s="53" t="e">
        <f>AI178+ATM_Conf!$C$5*(O178-N178)/(O366*AI366)</f>
        <v>#DIV/0!</v>
      </c>
      <c r="AJ179" s="53" t="e">
        <f>AJ178+ATM_Conf!$C$5*(P178-O178)/(P366*AJ366)</f>
        <v>#DIV/0!</v>
      </c>
      <c r="AK179" s="53" t="e">
        <f>AK178+ATM_Conf!$C$5*(Q178-P178)/(Q366*AK366)</f>
        <v>#DIV/0!</v>
      </c>
      <c r="AL179" s="53" t="e">
        <f>AL178+ATM_Conf!$C$5*(R178-Q178)/(R366*AL366)</f>
        <v>#DIV/0!</v>
      </c>
      <c r="AM179" s="53" t="e">
        <f>AM178+ATM_Conf!$C$5*(S178-R178)/(S366*AM366)</f>
        <v>#DIV/0!</v>
      </c>
      <c r="AN179" s="53" t="e">
        <f>AN178+ATM_Conf!$C$5*(T178-S178)/(T366*AN366)</f>
        <v>#DIV/0!</v>
      </c>
      <c r="AO179" s="53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3"/>
      <c r="BK179" s="53"/>
      <c r="BL179" s="53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/>
      <c r="BW179" s="53"/>
      <c r="BX179" s="53"/>
      <c r="BY179" s="53"/>
      <c r="BZ179" s="53"/>
      <c r="CA179" s="53"/>
      <c r="CB179" s="53"/>
      <c r="CC179" s="5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3"/>
      <c r="CY179" s="53"/>
      <c r="CZ179" s="53"/>
      <c r="DA179" s="53"/>
      <c r="DB179" s="53"/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  <c r="DR179" s="43">
        <f t="shared" si="105"/>
        <v>0</v>
      </c>
      <c r="DS179" s="43">
        <f t="shared" si="104"/>
        <v>0</v>
      </c>
      <c r="DT179" s="43">
        <f t="shared" si="104"/>
        <v>0</v>
      </c>
      <c r="DU179" s="43">
        <f t="shared" si="104"/>
        <v>0</v>
      </c>
      <c r="DV179" s="43">
        <f t="shared" si="104"/>
        <v>0</v>
      </c>
      <c r="DW179" s="43">
        <f t="shared" si="104"/>
        <v>0</v>
      </c>
      <c r="DX179" s="43">
        <f t="shared" si="104"/>
        <v>0</v>
      </c>
      <c r="DY179" s="43">
        <f t="shared" si="104"/>
        <v>0</v>
      </c>
      <c r="DZ179" s="43">
        <f t="shared" si="104"/>
        <v>0</v>
      </c>
      <c r="EA179" s="43">
        <f t="shared" si="104"/>
        <v>0</v>
      </c>
      <c r="EB179" s="43">
        <f t="shared" si="104"/>
        <v>0</v>
      </c>
      <c r="EC179" s="43">
        <f t="shared" si="104"/>
        <v>0</v>
      </c>
      <c r="ED179" s="43">
        <f t="shared" si="104"/>
        <v>0</v>
      </c>
      <c r="EE179" s="43">
        <f t="shared" si="104"/>
        <v>0</v>
      </c>
      <c r="EF179" s="43">
        <f t="shared" si="104"/>
        <v>0</v>
      </c>
      <c r="EG179" s="43">
        <f t="shared" si="104"/>
        <v>0</v>
      </c>
      <c r="EH179" s="43">
        <f t="shared" si="104"/>
        <v>0</v>
      </c>
      <c r="EI179" s="43">
        <f t="shared" si="104"/>
        <v>0</v>
      </c>
      <c r="EJ179" s="43">
        <f t="shared" si="104"/>
        <v>0</v>
      </c>
      <c r="EK179" s="43">
        <f t="shared" si="104"/>
        <v>0</v>
      </c>
      <c r="EL179" s="47"/>
      <c r="EM179" s="47"/>
      <c r="EN179" s="47"/>
      <c r="EO179" s="47"/>
      <c r="EP179" s="47"/>
      <c r="EQ179" s="47"/>
      <c r="ER179" s="47"/>
      <c r="ES179" s="47"/>
      <c r="ET179" s="47"/>
      <c r="EU179" s="47"/>
      <c r="EV179" s="47"/>
      <c r="EW179" s="47"/>
      <c r="EX179" s="47"/>
      <c r="EY179" s="47"/>
      <c r="EZ179" s="47"/>
      <c r="FA179" s="47"/>
      <c r="FB179" s="47"/>
      <c r="FC179" s="47"/>
      <c r="FD179" s="47"/>
      <c r="FE179" s="47"/>
    </row>
    <row r="180" spans="1:161" ht="14.25" x14ac:dyDescent="0.15">
      <c r="A180" s="46"/>
      <c r="B180" s="43" t="e">
        <f t="shared" si="74"/>
        <v>#DIV/0!</v>
      </c>
      <c r="C180" s="43" t="e">
        <f t="shared" si="75"/>
        <v>#DIV/0!</v>
      </c>
      <c r="D180" s="43" t="e">
        <f t="shared" si="76"/>
        <v>#DIV/0!</v>
      </c>
      <c r="E180" s="43" t="e">
        <f t="shared" si="77"/>
        <v>#DIV/0!</v>
      </c>
      <c r="F180" s="43" t="e">
        <f t="shared" si="78"/>
        <v>#DIV/0!</v>
      </c>
      <c r="G180" s="43" t="e">
        <f t="shared" si="79"/>
        <v>#DIV/0!</v>
      </c>
      <c r="H180" s="43" t="e">
        <f t="shared" si="80"/>
        <v>#DIV/0!</v>
      </c>
      <c r="I180" s="43" t="e">
        <f t="shared" si="81"/>
        <v>#DIV/0!</v>
      </c>
      <c r="J180" s="43" t="e">
        <f t="shared" si="82"/>
        <v>#DIV/0!</v>
      </c>
      <c r="K180" s="43" t="e">
        <f t="shared" si="83"/>
        <v>#DIV/0!</v>
      </c>
      <c r="L180" s="43" t="e">
        <f t="shared" si="84"/>
        <v>#DIV/0!</v>
      </c>
      <c r="M180" s="43" t="e">
        <f t="shared" si="85"/>
        <v>#DIV/0!</v>
      </c>
      <c r="N180" s="43" t="e">
        <f t="shared" si="86"/>
        <v>#DIV/0!</v>
      </c>
      <c r="O180" s="43" t="e">
        <f t="shared" si="87"/>
        <v>#DIV/0!</v>
      </c>
      <c r="P180" s="43" t="e">
        <f t="shared" si="88"/>
        <v>#DIV/0!</v>
      </c>
      <c r="Q180" s="43" t="e">
        <f t="shared" si="89"/>
        <v>#DIV/0!</v>
      </c>
      <c r="R180" s="43" t="e">
        <f t="shared" si="90"/>
        <v>#DIV/0!</v>
      </c>
      <c r="S180" s="43" t="e">
        <f t="shared" si="91"/>
        <v>#DIV/0!</v>
      </c>
      <c r="T180" s="43" t="e">
        <f t="shared" si="92"/>
        <v>#DIV/0!</v>
      </c>
      <c r="U180" s="43" t="e">
        <f t="shared" si="93"/>
        <v>#DIV/0!</v>
      </c>
      <c r="V180" s="53" t="e">
        <f>V179+ATM_Conf!$C$5*(B179)/(B367*V367)</f>
        <v>#DIV/0!</v>
      </c>
      <c r="W180" s="53" t="e">
        <f>W179+ATM_Conf!$C$5*(C179-B179)/(C367*W367)</f>
        <v>#DIV/0!</v>
      </c>
      <c r="X180" s="53" t="e">
        <f>X179+ATM_Conf!$C$5*(D179-C179)/(D367*X367)</f>
        <v>#DIV/0!</v>
      </c>
      <c r="Y180" s="53" t="e">
        <f>Y179+ATM_Conf!$C$5*(E179-D179)/(E367*Y367)</f>
        <v>#DIV/0!</v>
      </c>
      <c r="Z180" s="53" t="e">
        <f>Z179+ATM_Conf!$C$5*(F179-E179)/(F367*Z367)</f>
        <v>#DIV/0!</v>
      </c>
      <c r="AA180" s="53" t="e">
        <f>AA179+ATM_Conf!$C$5*(G179-F179)/(G367*AA367)</f>
        <v>#DIV/0!</v>
      </c>
      <c r="AB180" s="53" t="e">
        <f>AB179+ATM_Conf!$C$5*(H179-G179)/(H367*AB367)</f>
        <v>#DIV/0!</v>
      </c>
      <c r="AC180" s="53" t="e">
        <f>AC179+ATM_Conf!$C$5*(I179-H179)/(I367*AC367)</f>
        <v>#DIV/0!</v>
      </c>
      <c r="AD180" s="53" t="e">
        <f>AD179+ATM_Conf!$C$5*(J179-I179)/(J367*AD367)</f>
        <v>#DIV/0!</v>
      </c>
      <c r="AE180" s="53" t="e">
        <f>AE179+ATM_Conf!$C$5*(K179-J179)/(K367*AE367)</f>
        <v>#DIV/0!</v>
      </c>
      <c r="AF180" s="53" t="e">
        <f>AF179+ATM_Conf!$C$5*(L179)/(L367*AF367)</f>
        <v>#DIV/0!</v>
      </c>
      <c r="AG180" s="53" t="e">
        <f>AG179+ATM_Conf!$C$5*(M179-L179)/(M367*AG367)</f>
        <v>#DIV/0!</v>
      </c>
      <c r="AH180" s="53" t="e">
        <f>AH179+ATM_Conf!$C$5*(N179-M179)/(N367*AH367)</f>
        <v>#DIV/0!</v>
      </c>
      <c r="AI180" s="53" t="e">
        <f>AI179+ATM_Conf!$C$5*(O179-N179)/(O367*AI367)</f>
        <v>#DIV/0!</v>
      </c>
      <c r="AJ180" s="53" t="e">
        <f>AJ179+ATM_Conf!$C$5*(P179-O179)/(P367*AJ367)</f>
        <v>#DIV/0!</v>
      </c>
      <c r="AK180" s="53" t="e">
        <f>AK179+ATM_Conf!$C$5*(Q179-P179)/(Q367*AK367)</f>
        <v>#DIV/0!</v>
      </c>
      <c r="AL180" s="53" t="e">
        <f>AL179+ATM_Conf!$C$5*(R179-Q179)/(R367*AL367)</f>
        <v>#DIV/0!</v>
      </c>
      <c r="AM180" s="53" t="e">
        <f>AM179+ATM_Conf!$C$5*(S179-R179)/(S367*AM367)</f>
        <v>#DIV/0!</v>
      </c>
      <c r="AN180" s="53" t="e">
        <f>AN179+ATM_Conf!$C$5*(T179-S179)/(T367*AN367)</f>
        <v>#DIV/0!</v>
      </c>
      <c r="AO180" s="53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3"/>
      <c r="CY180" s="53"/>
      <c r="CZ180" s="53"/>
      <c r="DA180" s="53"/>
      <c r="DB180" s="53"/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  <c r="DR180" s="43">
        <f t="shared" si="105"/>
        <v>0</v>
      </c>
      <c r="DS180" s="43">
        <f t="shared" si="104"/>
        <v>0</v>
      </c>
      <c r="DT180" s="43">
        <f t="shared" si="104"/>
        <v>0</v>
      </c>
      <c r="DU180" s="43">
        <f t="shared" si="104"/>
        <v>0</v>
      </c>
      <c r="DV180" s="43">
        <f t="shared" si="104"/>
        <v>0</v>
      </c>
      <c r="DW180" s="43">
        <f t="shared" si="104"/>
        <v>0</v>
      </c>
      <c r="DX180" s="43">
        <f t="shared" si="104"/>
        <v>0</v>
      </c>
      <c r="DY180" s="43">
        <f t="shared" si="104"/>
        <v>0</v>
      </c>
      <c r="DZ180" s="43">
        <f t="shared" si="104"/>
        <v>0</v>
      </c>
      <c r="EA180" s="43">
        <f t="shared" si="104"/>
        <v>0</v>
      </c>
      <c r="EB180" s="43">
        <f t="shared" si="104"/>
        <v>0</v>
      </c>
      <c r="EC180" s="43">
        <f t="shared" si="104"/>
        <v>0</v>
      </c>
      <c r="ED180" s="43">
        <f t="shared" si="104"/>
        <v>0</v>
      </c>
      <c r="EE180" s="43">
        <f t="shared" si="104"/>
        <v>0</v>
      </c>
      <c r="EF180" s="43">
        <f t="shared" si="104"/>
        <v>0</v>
      </c>
      <c r="EG180" s="43">
        <f t="shared" si="104"/>
        <v>0</v>
      </c>
      <c r="EH180" s="43">
        <f t="shared" si="104"/>
        <v>0</v>
      </c>
      <c r="EI180" s="43">
        <f t="shared" si="104"/>
        <v>0</v>
      </c>
      <c r="EJ180" s="43">
        <f t="shared" si="104"/>
        <v>0</v>
      </c>
      <c r="EK180" s="43">
        <f t="shared" si="104"/>
        <v>0</v>
      </c>
      <c r="EL180" s="47"/>
      <c r="EM180" s="47"/>
      <c r="EN180" s="47"/>
      <c r="EO180" s="47"/>
      <c r="EP180" s="47"/>
      <c r="EQ180" s="47"/>
      <c r="ER180" s="47"/>
      <c r="ES180" s="47"/>
      <c r="ET180" s="47"/>
      <c r="EU180" s="47"/>
      <c r="EV180" s="47"/>
      <c r="EW180" s="47"/>
      <c r="EX180" s="47"/>
      <c r="EY180" s="47"/>
      <c r="EZ180" s="47"/>
      <c r="FA180" s="47"/>
      <c r="FB180" s="47"/>
      <c r="FC180" s="47"/>
      <c r="FD180" s="47"/>
      <c r="FE180" s="47"/>
    </row>
    <row r="181" spans="1:161" ht="14.25" x14ac:dyDescent="0.15">
      <c r="A181" s="46"/>
      <c r="B181" s="43" t="e">
        <f t="shared" si="74"/>
        <v>#DIV/0!</v>
      </c>
      <c r="C181" s="43" t="e">
        <f t="shared" si="75"/>
        <v>#DIV/0!</v>
      </c>
      <c r="D181" s="43" t="e">
        <f t="shared" si="76"/>
        <v>#DIV/0!</v>
      </c>
      <c r="E181" s="43" t="e">
        <f t="shared" si="77"/>
        <v>#DIV/0!</v>
      </c>
      <c r="F181" s="43" t="e">
        <f t="shared" si="78"/>
        <v>#DIV/0!</v>
      </c>
      <c r="G181" s="43" t="e">
        <f t="shared" si="79"/>
        <v>#DIV/0!</v>
      </c>
      <c r="H181" s="43" t="e">
        <f t="shared" si="80"/>
        <v>#DIV/0!</v>
      </c>
      <c r="I181" s="43" t="e">
        <f t="shared" si="81"/>
        <v>#DIV/0!</v>
      </c>
      <c r="J181" s="43" t="e">
        <f t="shared" si="82"/>
        <v>#DIV/0!</v>
      </c>
      <c r="K181" s="43" t="e">
        <f t="shared" si="83"/>
        <v>#DIV/0!</v>
      </c>
      <c r="L181" s="43" t="e">
        <f t="shared" si="84"/>
        <v>#DIV/0!</v>
      </c>
      <c r="M181" s="43" t="e">
        <f t="shared" si="85"/>
        <v>#DIV/0!</v>
      </c>
      <c r="N181" s="43" t="e">
        <f t="shared" si="86"/>
        <v>#DIV/0!</v>
      </c>
      <c r="O181" s="43" t="e">
        <f t="shared" si="87"/>
        <v>#DIV/0!</v>
      </c>
      <c r="P181" s="43" t="e">
        <f t="shared" si="88"/>
        <v>#DIV/0!</v>
      </c>
      <c r="Q181" s="43" t="e">
        <f t="shared" si="89"/>
        <v>#DIV/0!</v>
      </c>
      <c r="R181" s="43" t="e">
        <f t="shared" si="90"/>
        <v>#DIV/0!</v>
      </c>
      <c r="S181" s="43" t="e">
        <f t="shared" si="91"/>
        <v>#DIV/0!</v>
      </c>
      <c r="T181" s="43" t="e">
        <f t="shared" si="92"/>
        <v>#DIV/0!</v>
      </c>
      <c r="U181" s="43" t="e">
        <f t="shared" si="93"/>
        <v>#DIV/0!</v>
      </c>
      <c r="V181" s="53" t="e">
        <f>V180+ATM_Conf!$C$5*(B180)/(B368*V368)</f>
        <v>#DIV/0!</v>
      </c>
      <c r="W181" s="53" t="e">
        <f>W180+ATM_Conf!$C$5*(C180-B180)/(C368*W368)</f>
        <v>#DIV/0!</v>
      </c>
      <c r="X181" s="53" t="e">
        <f>X180+ATM_Conf!$C$5*(D180-C180)/(D368*X368)</f>
        <v>#DIV/0!</v>
      </c>
      <c r="Y181" s="53" t="e">
        <f>Y180+ATM_Conf!$C$5*(E180-D180)/(E368*Y368)</f>
        <v>#DIV/0!</v>
      </c>
      <c r="Z181" s="53" t="e">
        <f>Z180+ATM_Conf!$C$5*(F180-E180)/(F368*Z368)</f>
        <v>#DIV/0!</v>
      </c>
      <c r="AA181" s="53" t="e">
        <f>AA180+ATM_Conf!$C$5*(G180-F180)/(G368*AA368)</f>
        <v>#DIV/0!</v>
      </c>
      <c r="AB181" s="53" t="e">
        <f>AB180+ATM_Conf!$C$5*(H180-G180)/(H368*AB368)</f>
        <v>#DIV/0!</v>
      </c>
      <c r="AC181" s="53" t="e">
        <f>AC180+ATM_Conf!$C$5*(I180-H180)/(I368*AC368)</f>
        <v>#DIV/0!</v>
      </c>
      <c r="AD181" s="53" t="e">
        <f>AD180+ATM_Conf!$C$5*(J180-I180)/(J368*AD368)</f>
        <v>#DIV/0!</v>
      </c>
      <c r="AE181" s="53" t="e">
        <f>AE180+ATM_Conf!$C$5*(K180-J180)/(K368*AE368)</f>
        <v>#DIV/0!</v>
      </c>
      <c r="AF181" s="53" t="e">
        <f>AF180+ATM_Conf!$C$5*(L180)/(L368*AF368)</f>
        <v>#DIV/0!</v>
      </c>
      <c r="AG181" s="53" t="e">
        <f>AG180+ATM_Conf!$C$5*(M180-L180)/(M368*AG368)</f>
        <v>#DIV/0!</v>
      </c>
      <c r="AH181" s="53" t="e">
        <f>AH180+ATM_Conf!$C$5*(N180-M180)/(N368*AH368)</f>
        <v>#DIV/0!</v>
      </c>
      <c r="AI181" s="53" t="e">
        <f>AI180+ATM_Conf!$C$5*(O180-N180)/(O368*AI368)</f>
        <v>#DIV/0!</v>
      </c>
      <c r="AJ181" s="53" t="e">
        <f>AJ180+ATM_Conf!$C$5*(P180-O180)/(P368*AJ368)</f>
        <v>#DIV/0!</v>
      </c>
      <c r="AK181" s="53" t="e">
        <f>AK180+ATM_Conf!$C$5*(Q180-P180)/(Q368*AK368)</f>
        <v>#DIV/0!</v>
      </c>
      <c r="AL181" s="53" t="e">
        <f>AL180+ATM_Conf!$C$5*(R180-Q180)/(R368*AL368)</f>
        <v>#DIV/0!</v>
      </c>
      <c r="AM181" s="53" t="e">
        <f>AM180+ATM_Conf!$C$5*(S180-R180)/(S368*AM368)</f>
        <v>#DIV/0!</v>
      </c>
      <c r="AN181" s="53" t="e">
        <f>AN180+ATM_Conf!$C$5*(T180-S180)/(T368*AN368)</f>
        <v>#DIV/0!</v>
      </c>
      <c r="AO181" s="53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3"/>
      <c r="CY181" s="53"/>
      <c r="CZ181" s="53"/>
      <c r="DA181" s="53"/>
      <c r="DB181" s="53"/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  <c r="DR181" s="43">
        <f t="shared" si="105"/>
        <v>0</v>
      </c>
      <c r="DS181" s="43">
        <f t="shared" si="104"/>
        <v>0</v>
      </c>
      <c r="DT181" s="43">
        <f t="shared" si="104"/>
        <v>0</v>
      </c>
      <c r="DU181" s="43">
        <f t="shared" si="104"/>
        <v>0</v>
      </c>
      <c r="DV181" s="43">
        <f t="shared" si="104"/>
        <v>0</v>
      </c>
      <c r="DW181" s="43">
        <f t="shared" si="104"/>
        <v>0</v>
      </c>
      <c r="DX181" s="43">
        <f t="shared" si="104"/>
        <v>0</v>
      </c>
      <c r="DY181" s="43">
        <f t="shared" si="104"/>
        <v>0</v>
      </c>
      <c r="DZ181" s="43">
        <f t="shared" si="104"/>
        <v>0</v>
      </c>
      <c r="EA181" s="43">
        <f t="shared" si="104"/>
        <v>0</v>
      </c>
      <c r="EB181" s="43">
        <f t="shared" si="104"/>
        <v>0</v>
      </c>
      <c r="EC181" s="43">
        <f t="shared" si="104"/>
        <v>0</v>
      </c>
      <c r="ED181" s="43">
        <f t="shared" si="104"/>
        <v>0</v>
      </c>
      <c r="EE181" s="43">
        <f t="shared" si="104"/>
        <v>0</v>
      </c>
      <c r="EF181" s="43">
        <f t="shared" si="104"/>
        <v>0</v>
      </c>
      <c r="EG181" s="43">
        <f t="shared" si="104"/>
        <v>0</v>
      </c>
      <c r="EH181" s="43">
        <f t="shared" si="104"/>
        <v>0</v>
      </c>
      <c r="EI181" s="43">
        <f t="shared" si="104"/>
        <v>0</v>
      </c>
      <c r="EJ181" s="43">
        <f t="shared" si="104"/>
        <v>0</v>
      </c>
      <c r="EK181" s="43">
        <f t="shared" si="104"/>
        <v>0</v>
      </c>
      <c r="EL181" s="47"/>
      <c r="EM181" s="47"/>
      <c r="EN181" s="47"/>
      <c r="EO181" s="47"/>
      <c r="EP181" s="47"/>
      <c r="EQ181" s="47"/>
      <c r="ER181" s="47"/>
      <c r="ES181" s="47"/>
      <c r="ET181" s="47"/>
      <c r="EU181" s="47"/>
      <c r="EV181" s="47"/>
      <c r="EW181" s="47"/>
      <c r="EX181" s="47"/>
      <c r="EY181" s="47"/>
      <c r="EZ181" s="47"/>
      <c r="FA181" s="47"/>
      <c r="FB181" s="47"/>
      <c r="FC181" s="47"/>
      <c r="FD181" s="47"/>
      <c r="FE181" s="47"/>
    </row>
    <row r="182" spans="1:161" ht="14.25" x14ac:dyDescent="0.15">
      <c r="A182" s="46"/>
      <c r="B182" s="43" t="e">
        <f t="shared" si="74"/>
        <v>#DIV/0!</v>
      </c>
      <c r="C182" s="43" t="e">
        <f t="shared" si="75"/>
        <v>#DIV/0!</v>
      </c>
      <c r="D182" s="43" t="e">
        <f t="shared" si="76"/>
        <v>#DIV/0!</v>
      </c>
      <c r="E182" s="43" t="e">
        <f t="shared" si="77"/>
        <v>#DIV/0!</v>
      </c>
      <c r="F182" s="43" t="e">
        <f t="shared" si="78"/>
        <v>#DIV/0!</v>
      </c>
      <c r="G182" s="43" t="e">
        <f t="shared" si="79"/>
        <v>#DIV/0!</v>
      </c>
      <c r="H182" s="43" t="e">
        <f t="shared" si="80"/>
        <v>#DIV/0!</v>
      </c>
      <c r="I182" s="43" t="e">
        <f t="shared" si="81"/>
        <v>#DIV/0!</v>
      </c>
      <c r="J182" s="43" t="e">
        <f t="shared" si="82"/>
        <v>#DIV/0!</v>
      </c>
      <c r="K182" s="43" t="e">
        <f t="shared" si="83"/>
        <v>#DIV/0!</v>
      </c>
      <c r="L182" s="43" t="e">
        <f t="shared" si="84"/>
        <v>#DIV/0!</v>
      </c>
      <c r="M182" s="43" t="e">
        <f t="shared" si="85"/>
        <v>#DIV/0!</v>
      </c>
      <c r="N182" s="43" t="e">
        <f t="shared" si="86"/>
        <v>#DIV/0!</v>
      </c>
      <c r="O182" s="43" t="e">
        <f t="shared" si="87"/>
        <v>#DIV/0!</v>
      </c>
      <c r="P182" s="43" t="e">
        <f t="shared" si="88"/>
        <v>#DIV/0!</v>
      </c>
      <c r="Q182" s="43" t="e">
        <f t="shared" si="89"/>
        <v>#DIV/0!</v>
      </c>
      <c r="R182" s="43" t="e">
        <f t="shared" si="90"/>
        <v>#DIV/0!</v>
      </c>
      <c r="S182" s="43" t="e">
        <f t="shared" si="91"/>
        <v>#DIV/0!</v>
      </c>
      <c r="T182" s="43" t="e">
        <f t="shared" si="92"/>
        <v>#DIV/0!</v>
      </c>
      <c r="U182" s="43" t="e">
        <f t="shared" si="93"/>
        <v>#DIV/0!</v>
      </c>
      <c r="V182" s="53" t="e">
        <f>V181+ATM_Conf!$C$5*(B181)/(B369*V369)</f>
        <v>#DIV/0!</v>
      </c>
      <c r="W182" s="53" t="e">
        <f>W181+ATM_Conf!$C$5*(C181-B181)/(C369*W369)</f>
        <v>#DIV/0!</v>
      </c>
      <c r="X182" s="53" t="e">
        <f>X181+ATM_Conf!$C$5*(D181-C181)/(D369*X369)</f>
        <v>#DIV/0!</v>
      </c>
      <c r="Y182" s="53" t="e">
        <f>Y181+ATM_Conf!$C$5*(E181-D181)/(E369*Y369)</f>
        <v>#DIV/0!</v>
      </c>
      <c r="Z182" s="53" t="e">
        <f>Z181+ATM_Conf!$C$5*(F181-E181)/(F369*Z369)</f>
        <v>#DIV/0!</v>
      </c>
      <c r="AA182" s="53" t="e">
        <f>AA181+ATM_Conf!$C$5*(G181-F181)/(G369*AA369)</f>
        <v>#DIV/0!</v>
      </c>
      <c r="AB182" s="53" t="e">
        <f>AB181+ATM_Conf!$C$5*(H181-G181)/(H369*AB369)</f>
        <v>#DIV/0!</v>
      </c>
      <c r="AC182" s="53" t="e">
        <f>AC181+ATM_Conf!$C$5*(I181-H181)/(I369*AC369)</f>
        <v>#DIV/0!</v>
      </c>
      <c r="AD182" s="53" t="e">
        <f>AD181+ATM_Conf!$C$5*(J181-I181)/(J369*AD369)</f>
        <v>#DIV/0!</v>
      </c>
      <c r="AE182" s="53" t="e">
        <f>AE181+ATM_Conf!$C$5*(K181-J181)/(K369*AE369)</f>
        <v>#DIV/0!</v>
      </c>
      <c r="AF182" s="53" t="e">
        <f>AF181+ATM_Conf!$C$5*(L181)/(L369*AF369)</f>
        <v>#DIV/0!</v>
      </c>
      <c r="AG182" s="53" t="e">
        <f>AG181+ATM_Conf!$C$5*(M181-L181)/(M369*AG369)</f>
        <v>#DIV/0!</v>
      </c>
      <c r="AH182" s="53" t="e">
        <f>AH181+ATM_Conf!$C$5*(N181-M181)/(N369*AH369)</f>
        <v>#DIV/0!</v>
      </c>
      <c r="AI182" s="53" t="e">
        <f>AI181+ATM_Conf!$C$5*(O181-N181)/(O369*AI369)</f>
        <v>#DIV/0!</v>
      </c>
      <c r="AJ182" s="53" t="e">
        <f>AJ181+ATM_Conf!$C$5*(P181-O181)/(P369*AJ369)</f>
        <v>#DIV/0!</v>
      </c>
      <c r="AK182" s="53" t="e">
        <f>AK181+ATM_Conf!$C$5*(Q181-P181)/(Q369*AK369)</f>
        <v>#DIV/0!</v>
      </c>
      <c r="AL182" s="53" t="e">
        <f>AL181+ATM_Conf!$C$5*(R181-Q181)/(R369*AL369)</f>
        <v>#DIV/0!</v>
      </c>
      <c r="AM182" s="53" t="e">
        <f>AM181+ATM_Conf!$C$5*(S181-R181)/(S369*AM369)</f>
        <v>#DIV/0!</v>
      </c>
      <c r="AN182" s="53" t="e">
        <f>AN181+ATM_Conf!$C$5*(T181-S181)/(T369*AN369)</f>
        <v>#DIV/0!</v>
      </c>
      <c r="AO182" s="53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3"/>
      <c r="CY182" s="53"/>
      <c r="CZ182" s="53"/>
      <c r="DA182" s="53"/>
      <c r="DB182" s="53"/>
      <c r="DC182" s="53"/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  <c r="DR182" s="43">
        <f t="shared" si="105"/>
        <v>0</v>
      </c>
      <c r="DS182" s="43">
        <f t="shared" si="104"/>
        <v>0</v>
      </c>
      <c r="DT182" s="43">
        <f t="shared" si="104"/>
        <v>0</v>
      </c>
      <c r="DU182" s="43">
        <f t="shared" si="104"/>
        <v>0</v>
      </c>
      <c r="DV182" s="43">
        <f t="shared" si="104"/>
        <v>0</v>
      </c>
      <c r="DW182" s="43">
        <f t="shared" si="104"/>
        <v>0</v>
      </c>
      <c r="DX182" s="43">
        <f t="shared" si="104"/>
        <v>0</v>
      </c>
      <c r="DY182" s="43">
        <f t="shared" si="104"/>
        <v>0</v>
      </c>
      <c r="DZ182" s="43">
        <f t="shared" si="104"/>
        <v>0</v>
      </c>
      <c r="EA182" s="43">
        <f t="shared" si="104"/>
        <v>0</v>
      </c>
      <c r="EB182" s="43">
        <f t="shared" si="104"/>
        <v>0</v>
      </c>
      <c r="EC182" s="43">
        <f t="shared" si="104"/>
        <v>0</v>
      </c>
      <c r="ED182" s="43">
        <f t="shared" si="104"/>
        <v>0</v>
      </c>
      <c r="EE182" s="43">
        <f t="shared" si="104"/>
        <v>0</v>
      </c>
      <c r="EF182" s="43">
        <f t="shared" si="104"/>
        <v>0</v>
      </c>
      <c r="EG182" s="43">
        <f t="shared" si="104"/>
        <v>0</v>
      </c>
      <c r="EH182" s="43">
        <f t="shared" si="104"/>
        <v>0</v>
      </c>
      <c r="EI182" s="43">
        <f t="shared" si="104"/>
        <v>0</v>
      </c>
      <c r="EJ182" s="43">
        <f t="shared" si="104"/>
        <v>0</v>
      </c>
      <c r="EK182" s="43">
        <f t="shared" si="104"/>
        <v>0</v>
      </c>
      <c r="EL182" s="47"/>
      <c r="EM182" s="47"/>
      <c r="EN182" s="47"/>
      <c r="EO182" s="47"/>
      <c r="EP182" s="47"/>
      <c r="EQ182" s="47"/>
      <c r="ER182" s="47"/>
      <c r="ES182" s="47"/>
      <c r="ET182" s="47"/>
      <c r="EU182" s="47"/>
      <c r="EV182" s="47"/>
      <c r="EW182" s="47"/>
      <c r="EX182" s="47"/>
      <c r="EY182" s="47"/>
      <c r="EZ182" s="47"/>
      <c r="FA182" s="47"/>
      <c r="FB182" s="47"/>
      <c r="FC182" s="47"/>
      <c r="FD182" s="47"/>
      <c r="FE182" s="47"/>
    </row>
    <row r="183" spans="1:161" x14ac:dyDescent="0.15">
      <c r="EL183" s="79">
        <f>12*SUM(EL3:FE182)</f>
        <v>0</v>
      </c>
    </row>
    <row r="189" spans="1:161" ht="14.25" x14ac:dyDescent="0.15">
      <c r="A189" s="116" t="s">
        <v>188</v>
      </c>
      <c r="B189" s="110" t="s">
        <v>265</v>
      </c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2"/>
      <c r="V189" s="110" t="s">
        <v>266</v>
      </c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2"/>
    </row>
    <row r="190" spans="1:161" ht="14.25" x14ac:dyDescent="0.15">
      <c r="A190" s="117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ht="14.25" x14ac:dyDescent="0.15">
      <c r="A191" s="46">
        <v>1</v>
      </c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</row>
    <row r="197" spans="1:21" ht="14.25" x14ac:dyDescent="0.15">
      <c r="A197" s="46" t="s">
        <v>95</v>
      </c>
      <c r="B197" s="110" t="s">
        <v>207</v>
      </c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2"/>
    </row>
    <row r="198" spans="1:21" ht="13.5" customHeight="1" x14ac:dyDescent="0.15">
      <c r="A198" s="54" t="e">
        <f>SUM(B198:P198)</f>
        <v>#DIV/0!</v>
      </c>
      <c r="B198" s="40" t="e">
        <f>SUM(V3:V182)*B191*V191</f>
        <v>#DIV/0!</v>
      </c>
      <c r="C198" s="40" t="e">
        <f t="shared" ref="C198:U198" si="106">SUM(W3:W182)*C191*W191</f>
        <v>#DIV/0!</v>
      </c>
      <c r="D198" s="40" t="e">
        <f t="shared" si="106"/>
        <v>#DIV/0!</v>
      </c>
      <c r="E198" s="40" t="e">
        <f t="shared" si="106"/>
        <v>#DIV/0!</v>
      </c>
      <c r="F198" s="40" t="e">
        <f t="shared" si="106"/>
        <v>#DIV/0!</v>
      </c>
      <c r="G198" s="40" t="e">
        <f t="shared" si="106"/>
        <v>#DIV/0!</v>
      </c>
      <c r="H198" s="40" t="e">
        <f t="shared" si="106"/>
        <v>#DIV/0!</v>
      </c>
      <c r="I198" s="40" t="e">
        <f t="shared" si="106"/>
        <v>#DIV/0!</v>
      </c>
      <c r="J198" s="40" t="e">
        <f t="shared" si="106"/>
        <v>#DIV/0!</v>
      </c>
      <c r="K198" s="40" t="e">
        <f t="shared" si="106"/>
        <v>#DIV/0!</v>
      </c>
      <c r="L198" s="40" t="e">
        <f t="shared" si="106"/>
        <v>#DIV/0!</v>
      </c>
      <c r="M198" s="40" t="e">
        <f t="shared" si="106"/>
        <v>#DIV/0!</v>
      </c>
      <c r="N198" s="40" t="e">
        <f t="shared" si="106"/>
        <v>#DIV/0!</v>
      </c>
      <c r="O198" s="40" t="e">
        <f t="shared" si="106"/>
        <v>#DIV/0!</v>
      </c>
      <c r="P198" s="40" t="e">
        <f t="shared" si="106"/>
        <v>#DIV/0!</v>
      </c>
      <c r="Q198" s="40" t="e">
        <f t="shared" si="106"/>
        <v>#DIV/0!</v>
      </c>
      <c r="R198" s="40" t="e">
        <f t="shared" si="106"/>
        <v>#DIV/0!</v>
      </c>
      <c r="S198" s="40" t="e">
        <f t="shared" si="106"/>
        <v>#DIV/0!</v>
      </c>
      <c r="T198" s="40" t="e">
        <f t="shared" si="106"/>
        <v>#DIV/0!</v>
      </c>
      <c r="U198" s="40" t="e">
        <f t="shared" si="106"/>
        <v>#DIV/0!</v>
      </c>
    </row>
    <row r="201" spans="1:21" ht="14.25" x14ac:dyDescent="0.15">
      <c r="A201" s="116" t="s">
        <v>188</v>
      </c>
      <c r="B201" s="110" t="s">
        <v>227</v>
      </c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2"/>
    </row>
    <row r="202" spans="1:21" ht="14.25" x14ac:dyDescent="0.15">
      <c r="A202" s="117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21" ht="14.25" x14ac:dyDescent="0.15">
      <c r="A203" s="46" t="s">
        <v>228</v>
      </c>
      <c r="B203" s="42"/>
      <c r="C203" s="42"/>
      <c r="D203" s="42"/>
      <c r="E203" s="42"/>
      <c r="F203" s="42"/>
      <c r="G203" s="42"/>
      <c r="H203" s="49">
        <f>G204</f>
        <v>0</v>
      </c>
      <c r="I203" s="49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ht="14.25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4.25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5">
    <mergeCell ref="DR1:EK1"/>
    <mergeCell ref="EL1:FE1"/>
    <mergeCell ref="B189:U189"/>
    <mergeCell ref="V189:AO189"/>
    <mergeCell ref="A201:A202"/>
    <mergeCell ref="B1:U1"/>
    <mergeCell ref="V1:AO1"/>
    <mergeCell ref="AP1:BI1"/>
    <mergeCell ref="B197:U197"/>
    <mergeCell ref="B201:U201"/>
    <mergeCell ref="A189:A190"/>
    <mergeCell ref="BJ1:CC1"/>
    <mergeCell ref="CD1:CW1"/>
    <mergeCell ref="CX1:DQ1"/>
    <mergeCell ref="A1:A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X1" zoomScale="55" zoomScaleNormal="55" workbookViewId="0">
      <selection activeCell="AS3" sqref="AS3:AY3"/>
    </sheetView>
  </sheetViews>
  <sheetFormatPr defaultRowHeight="13.5" x14ac:dyDescent="0.15"/>
  <sheetData>
    <row r="1" spans="1:79" x14ac:dyDescent="0.15">
      <c r="A1" s="123" t="s">
        <v>169</v>
      </c>
      <c r="B1" s="120" t="s">
        <v>192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2"/>
      <c r="O1" s="120" t="s">
        <v>193</v>
      </c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2"/>
      <c r="AB1" s="120" t="s">
        <v>194</v>
      </c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2"/>
      <c r="AO1" s="120" t="s">
        <v>195</v>
      </c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2"/>
      <c r="BB1" s="118" t="s">
        <v>196</v>
      </c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8" t="s">
        <v>197</v>
      </c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</row>
    <row r="2" spans="1:79" x14ac:dyDescent="0.15">
      <c r="A2" s="123"/>
      <c r="B2" s="55">
        <v>1</v>
      </c>
      <c r="C2" s="55">
        <v>2</v>
      </c>
      <c r="D2" s="55">
        <v>3</v>
      </c>
      <c r="E2" s="55">
        <v>4</v>
      </c>
      <c r="F2" s="55">
        <v>5</v>
      </c>
      <c r="G2" s="55">
        <v>6</v>
      </c>
      <c r="H2" s="55">
        <v>7</v>
      </c>
      <c r="I2" s="55">
        <v>8</v>
      </c>
      <c r="J2" s="55">
        <v>9</v>
      </c>
      <c r="K2" s="55">
        <v>10</v>
      </c>
      <c r="L2" s="55">
        <v>11</v>
      </c>
      <c r="M2" s="55">
        <v>12</v>
      </c>
      <c r="N2" s="55">
        <v>13</v>
      </c>
      <c r="O2" s="55">
        <v>1</v>
      </c>
      <c r="P2" s="55">
        <v>2</v>
      </c>
      <c r="Q2" s="55">
        <v>3</v>
      </c>
      <c r="R2" s="55">
        <v>4</v>
      </c>
      <c r="S2" s="55">
        <v>5</v>
      </c>
      <c r="T2" s="55">
        <v>6</v>
      </c>
      <c r="U2" s="55">
        <v>7</v>
      </c>
      <c r="V2" s="55">
        <v>8</v>
      </c>
      <c r="W2" s="55">
        <v>9</v>
      </c>
      <c r="X2" s="55">
        <v>10</v>
      </c>
      <c r="Y2" s="55">
        <v>11</v>
      </c>
      <c r="Z2" s="55">
        <v>12</v>
      </c>
      <c r="AA2" s="55">
        <v>13</v>
      </c>
      <c r="AB2" s="55">
        <v>1</v>
      </c>
      <c r="AC2" s="55">
        <v>2</v>
      </c>
      <c r="AD2" s="55">
        <v>3</v>
      </c>
      <c r="AE2" s="55">
        <v>4</v>
      </c>
      <c r="AF2" s="55">
        <v>5</v>
      </c>
      <c r="AG2" s="55">
        <v>6</v>
      </c>
      <c r="AH2" s="55">
        <v>7</v>
      </c>
      <c r="AI2" s="55">
        <v>8</v>
      </c>
      <c r="AJ2" s="55">
        <v>9</v>
      </c>
      <c r="AK2" s="55">
        <v>10</v>
      </c>
      <c r="AL2" s="55">
        <v>11</v>
      </c>
      <c r="AM2" s="55">
        <v>12</v>
      </c>
      <c r="AN2" s="55">
        <v>13</v>
      </c>
      <c r="AO2" s="55">
        <v>1</v>
      </c>
      <c r="AP2" s="55">
        <v>2</v>
      </c>
      <c r="AQ2" s="55">
        <v>3</v>
      </c>
      <c r="AR2" s="55">
        <v>4</v>
      </c>
      <c r="AS2" s="55">
        <v>5</v>
      </c>
      <c r="AT2" s="55">
        <v>6</v>
      </c>
      <c r="AU2" s="55">
        <v>7</v>
      </c>
      <c r="AV2" s="55">
        <v>8</v>
      </c>
      <c r="AW2" s="55">
        <v>9</v>
      </c>
      <c r="AX2" s="55">
        <v>10</v>
      </c>
      <c r="AY2" s="55">
        <v>11</v>
      </c>
      <c r="AZ2" s="55">
        <v>12</v>
      </c>
      <c r="BA2" s="55">
        <v>13</v>
      </c>
      <c r="BB2" s="55">
        <v>1</v>
      </c>
      <c r="BC2" s="55">
        <v>2</v>
      </c>
      <c r="BD2" s="55">
        <v>3</v>
      </c>
      <c r="BE2" s="55">
        <v>4</v>
      </c>
      <c r="BF2" s="55">
        <v>5</v>
      </c>
      <c r="BG2" s="55">
        <v>6</v>
      </c>
      <c r="BH2" s="55">
        <v>7</v>
      </c>
      <c r="BI2" s="55">
        <v>8</v>
      </c>
      <c r="BJ2" s="55">
        <v>9</v>
      </c>
      <c r="BK2" s="55">
        <v>10</v>
      </c>
      <c r="BL2" s="55">
        <v>11</v>
      </c>
      <c r="BM2" s="55">
        <v>12</v>
      </c>
      <c r="BN2" s="55">
        <v>13</v>
      </c>
      <c r="BO2" s="55">
        <v>1</v>
      </c>
      <c r="BP2" s="55">
        <v>2</v>
      </c>
      <c r="BQ2" s="55">
        <v>3</v>
      </c>
      <c r="BR2" s="55">
        <v>4</v>
      </c>
      <c r="BS2" s="55">
        <v>5</v>
      </c>
      <c r="BT2" s="55">
        <v>6</v>
      </c>
      <c r="BU2" s="55">
        <v>7</v>
      </c>
      <c r="BV2" s="55">
        <v>8</v>
      </c>
      <c r="BW2" s="55">
        <v>9</v>
      </c>
      <c r="BX2" s="55">
        <v>10</v>
      </c>
      <c r="BY2" s="55">
        <v>11</v>
      </c>
      <c r="BZ2" s="55">
        <v>12</v>
      </c>
      <c r="CA2" s="55">
        <v>13</v>
      </c>
    </row>
    <row r="3" spans="1:79" x14ac:dyDescent="0.15">
      <c r="A3" s="56">
        <v>1</v>
      </c>
      <c r="B3" s="57" t="e">
        <f>O3+AB3</f>
        <v>#DIV/0!</v>
      </c>
      <c r="C3" s="57" t="e">
        <f t="shared" ref="C3:N3" si="0">P3+AC3</f>
        <v>#DIV/0!</v>
      </c>
      <c r="D3" s="57" t="e">
        <f t="shared" si="0"/>
        <v>#DIV/0!</v>
      </c>
      <c r="E3" s="57" t="e">
        <f t="shared" si="0"/>
        <v>#DIV/0!</v>
      </c>
      <c r="F3" s="57" t="e">
        <f t="shared" si="0"/>
        <v>#DIV/0!</v>
      </c>
      <c r="G3" s="57" t="e">
        <f t="shared" si="0"/>
        <v>#DIV/0!</v>
      </c>
      <c r="H3" s="57" t="e">
        <f t="shared" si="0"/>
        <v>#DIV/0!</v>
      </c>
      <c r="I3" s="57" t="e">
        <f t="shared" si="0"/>
        <v>#DIV/0!</v>
      </c>
      <c r="J3" s="57" t="e">
        <f t="shared" si="0"/>
        <v>#DIV/0!</v>
      </c>
      <c r="K3" s="57" t="e">
        <f t="shared" si="0"/>
        <v>#DIV/0!</v>
      </c>
      <c r="L3" s="57" t="e">
        <f t="shared" si="0"/>
        <v>#DIV/0!</v>
      </c>
      <c r="M3" s="57" t="e">
        <f t="shared" si="0"/>
        <v>#DIV/0!</v>
      </c>
      <c r="N3" s="57" t="e">
        <f t="shared" si="0"/>
        <v>#DIV/0!</v>
      </c>
      <c r="O3" s="59" t="e">
        <f>Links!B3</f>
        <v>#DIV/0!</v>
      </c>
      <c r="P3" s="59" t="e">
        <f>Links!C3+'On-Ramps'!AC3</f>
        <v>#DIV/0!</v>
      </c>
      <c r="Q3" s="59" t="e">
        <f>Links!D3</f>
        <v>#DIV/0!</v>
      </c>
      <c r="R3" s="59" t="e">
        <f>Links!E3+'On-Ramps'!AD3</f>
        <v>#DIV/0!</v>
      </c>
      <c r="S3" s="59" t="e">
        <f>Links!F3+'On-Ramps'!AE3</f>
        <v>#DIV/0!</v>
      </c>
      <c r="T3" s="59" t="e">
        <f>Links!I3+'On-Ramps'!AF3</f>
        <v>#DIV/0!</v>
      </c>
      <c r="U3" s="59" t="e">
        <f>Links!J3+'On-Ramps'!AG3</f>
        <v>#DIV/0!</v>
      </c>
      <c r="V3" s="59" t="e">
        <f>Links!L3+'On-Ramps'!AH3</f>
        <v>#DIV/0!</v>
      </c>
      <c r="W3" s="59" t="e">
        <f>Links!M3+'On-Ramps'!AI3</f>
        <v>#DIV/0!</v>
      </c>
      <c r="X3" s="59" t="e">
        <f>Links!P3+'On-Ramps'!AJ3</f>
        <v>#DIV/0!</v>
      </c>
      <c r="Y3" s="59" t="e">
        <f>Links!Q3</f>
        <v>#DIV/0!</v>
      </c>
      <c r="Z3" s="59" t="e">
        <f>Links!R3+'On-Ramps'!AK3</f>
        <v>#DIV/0!</v>
      </c>
      <c r="AA3" s="59" t="e">
        <f>Links!S3</f>
        <v>#DIV/0!</v>
      </c>
      <c r="AB3" s="59">
        <f>'Off-Ramp'!B3</f>
        <v>0</v>
      </c>
      <c r="AC3" s="63"/>
      <c r="AD3" s="59">
        <f>'Off-Ramp'!C3</f>
        <v>0</v>
      </c>
      <c r="AE3" s="63"/>
      <c r="AF3" s="59">
        <f>'Off-Ramp'!D3</f>
        <v>0</v>
      </c>
      <c r="AG3" s="59">
        <f>'Off-Ramp'!E3</f>
        <v>0</v>
      </c>
      <c r="AH3" s="59">
        <f>'Off-Ramp'!F3</f>
        <v>0</v>
      </c>
      <c r="AI3" s="59">
        <f>'Off-Ramp'!G3</f>
        <v>0</v>
      </c>
      <c r="AJ3" s="59">
        <f>'Off-Ramp'!H3</f>
        <v>0</v>
      </c>
      <c r="AK3" s="59" t="e">
        <f>'Off-Ramp'!S3</f>
        <v>#DIV/0!</v>
      </c>
      <c r="AL3" s="59">
        <f>'Off-Ramp'!J3</f>
        <v>0</v>
      </c>
      <c r="AM3" s="63"/>
      <c r="AN3" s="59">
        <f>'Off-Ramp'!K3</f>
        <v>0</v>
      </c>
      <c r="AO3" s="59" t="e">
        <f>OD!B20</f>
        <v>#VALUE!</v>
      </c>
      <c r="AP3" s="63"/>
      <c r="AQ3" s="59" t="e">
        <f>OD!D20</f>
        <v>#DIV/0!</v>
      </c>
      <c r="AR3" s="63"/>
      <c r="AS3" s="59" t="e">
        <f>OD!F20</f>
        <v>#DIV/0!</v>
      </c>
      <c r="AT3" s="59" t="e">
        <f>OD!G20</f>
        <v>#DIV/0!</v>
      </c>
      <c r="AU3" s="59" t="e">
        <f>OD!H20</f>
        <v>#DIV/0!</v>
      </c>
      <c r="AV3" s="59" t="e">
        <f>OD!I20</f>
        <v>#DIV/0!</v>
      </c>
      <c r="AW3" s="59" t="e">
        <f>OD!J20</f>
        <v>#DIV/0!</v>
      </c>
      <c r="AX3" s="59" t="e">
        <f>OD!K20</f>
        <v>#DIV/0!</v>
      </c>
      <c r="AY3" s="59" t="e">
        <f>OD!L20</f>
        <v>#DIV/0!</v>
      </c>
      <c r="AZ3" s="63"/>
      <c r="BA3" s="59" t="e">
        <f>OD!N20</f>
        <v>#DIV/0!</v>
      </c>
      <c r="BB3" s="63"/>
      <c r="BC3" s="57" t="e">
        <f>(Links!C3*Links!AQ3+'On-Ramps'!AC3*'On-Ramps'!CE3)/('On-Ramps'!AC3+Links!C3)</f>
        <v>#DIV/0!</v>
      </c>
      <c r="BD3" s="63"/>
      <c r="BE3" s="57" t="e">
        <f>(Links!E3*Links!AS3+'On-Ramps'!AD3*'On-Ramps'!CF2)/('On-Ramps'!AD3+Links!E3)</f>
        <v>#DIV/0!</v>
      </c>
      <c r="BF3" s="57" t="e">
        <f>(Links!F3*Links!AT3+'On-Ramps'!AE3*'On-Ramps'!CG3)/('On-Ramps'!AE3+Links!F3)</f>
        <v>#DIV/0!</v>
      </c>
      <c r="BG3" s="57" t="e">
        <f>(Links!I3*Links!AW3+'On-Ramps'!AF3*'On-Ramps'!CH3)/('On-Ramps'!AF3+Links!I3)</f>
        <v>#DIV/0!</v>
      </c>
      <c r="BH3" s="57" t="e">
        <f>(Links!AX3*Links!J3+'On-Ramps'!AG3*'On-Ramps'!CI3)/('On-Ramps'!AG3+Links!J3)</f>
        <v>#DIV/0!</v>
      </c>
      <c r="BI3" s="57" t="e">
        <f>(Links!L3*Links!AZ3+'On-Ramps'!AH3*'On-Ramps'!CJ3)/('On-Ramps'!AH3+Links!L3)</f>
        <v>#DIV/0!</v>
      </c>
      <c r="BJ3" s="57" t="e">
        <f>(Links!BA3*Links!M3+'On-Ramps'!AI3*'On-Ramps'!CK3)/('On-Ramps'!AI3+Links!M3)</f>
        <v>#DIV/0!</v>
      </c>
      <c r="BK3" s="57" t="e">
        <f>(Links!BD3*Links!P3+'On-Ramps'!AJ3*'On-Ramps'!CL3)/('On-Ramps'!AJ3+Links!P3)</f>
        <v>#DIV/0!</v>
      </c>
      <c r="BL3" s="63"/>
      <c r="BM3" s="57" t="e">
        <f>(Links!S3*Links!BG3+'On-Ramps'!AL3*'On-Ramps'!CM3)/(Links!S3+'On-Ramps'!AL3)</f>
        <v>#DIV/0!</v>
      </c>
      <c r="BN3" s="63"/>
      <c r="BO3" s="58" t="e">
        <f>(Links!W3^2+'Off-Ramp'!L3^2)/(Links!W3+'Off-Ramp'!L3)</f>
        <v>#DIV/0!</v>
      </c>
      <c r="BP3" s="63"/>
      <c r="BQ3" s="58" t="e">
        <f>(Links!Y3^2+'Off-Ramp'!C3^2)/(Links!Y3+'Off-Ramp'!C3)</f>
        <v>#DIV/0!</v>
      </c>
      <c r="BR3" s="63"/>
      <c r="BS3" s="58" t="e">
        <f>(Links!AA3^2+'Off-Ramp'!N3^2)/(Links!AA3+'Off-Ramp'!N3)</f>
        <v>#DIV/0!</v>
      </c>
      <c r="BT3" s="58" t="e">
        <f>(Links!AD3^2+'Off-Ramp'!O3^2)/(Links!AD3+'Off-Ramp'!O3)</f>
        <v>#DIV/0!</v>
      </c>
      <c r="BU3" s="58" t="e">
        <f>(Links!AE3^2+'Off-Ramp'!V3^2+'Off-Ramp'!W3^2+'Off-Ramp'!X3^2)/(Links!AE3+'Off-Ramp'!V3+'Off-Ramp'!W3+'Off-Ramp'!X3)</f>
        <v>#DIV/0!</v>
      </c>
      <c r="BV3" s="58" t="e">
        <f>(Links!AG3^2+'Off-Ramp'!Y3^2+'Off-Ramp'!Z3^2+'Off-Ramp'!AA3^2)/(Links!AG3+'Off-Ramp'!Y3+'Off-Ramp'!Z3+'Off-Ramp'!AA3)</f>
        <v>#DIV/0!</v>
      </c>
      <c r="BW3" s="58" t="e">
        <f>(Links!AH3^2+'Off-Ramp'!R3^2)/(Links!AH3+'Off-Ramp'!R3)</f>
        <v>#DIV/0!</v>
      </c>
      <c r="BX3" s="58" t="e">
        <f>(Links!AK3^2+'Off-Ramp'!S3^2)/(Links!AK3+'Off-Ramp'!S3)</f>
        <v>#DIV/0!</v>
      </c>
      <c r="BY3" s="58" t="e">
        <f>(Links!AL3^2+'Off-Ramp'!T3^2)/(Links!AL3+'Off-Ramp'!T3)</f>
        <v>#DIV/0!</v>
      </c>
      <c r="BZ3" s="63"/>
      <c r="CA3" s="58" t="e">
        <f>(Links!AN3^2+'Off-Ramp'!U3^2)/(Links!AN3+'Off-Ramp'!U3)</f>
        <v>#DIV/0!</v>
      </c>
    </row>
    <row r="4" spans="1:79" x14ac:dyDescent="0.15">
      <c r="A4" s="56">
        <v>2</v>
      </c>
      <c r="B4" s="57" t="e">
        <f t="shared" ref="B4:B67" si="1">O4+AB4</f>
        <v>#DIV/0!</v>
      </c>
      <c r="C4" s="57" t="e">
        <f t="shared" ref="C4:C67" si="2">P4+AC4</f>
        <v>#DIV/0!</v>
      </c>
      <c r="D4" s="57" t="e">
        <f t="shared" ref="D4:D67" si="3">Q4+AD4</f>
        <v>#DIV/0!</v>
      </c>
      <c r="E4" s="57" t="e">
        <f t="shared" ref="E4:E67" si="4">R4+AE4</f>
        <v>#DIV/0!</v>
      </c>
      <c r="F4" s="57" t="e">
        <f t="shared" ref="F4:F67" si="5">S4+AF4</f>
        <v>#DIV/0!</v>
      </c>
      <c r="G4" s="57" t="e">
        <f t="shared" ref="G4:G67" si="6">T4+AG4</f>
        <v>#DIV/0!</v>
      </c>
      <c r="H4" s="57" t="e">
        <f t="shared" ref="H4:H67" si="7">U4+AH4</f>
        <v>#DIV/0!</v>
      </c>
      <c r="I4" s="57" t="e">
        <f t="shared" ref="I4:I67" si="8">V4+AI4</f>
        <v>#DIV/0!</v>
      </c>
      <c r="J4" s="57" t="e">
        <f t="shared" ref="J4:J67" si="9">W4+AJ4</f>
        <v>#DIV/0!</v>
      </c>
      <c r="K4" s="57" t="e">
        <f t="shared" ref="K4:K67" si="10">X4+AK4</f>
        <v>#DIV/0!</v>
      </c>
      <c r="L4" s="57" t="e">
        <f t="shared" ref="L4:L67" si="11">Y4+AL4</f>
        <v>#DIV/0!</v>
      </c>
      <c r="M4" s="57" t="e">
        <f t="shared" ref="M4:M67" si="12">Z4+AM4</f>
        <v>#DIV/0!</v>
      </c>
      <c r="N4" s="57" t="e">
        <f t="shared" ref="N4:N67" si="13">AA4+AN4</f>
        <v>#DIV/0!</v>
      </c>
      <c r="O4" s="58" t="e">
        <f>Links!B4</f>
        <v>#DIV/0!</v>
      </c>
      <c r="P4" s="58" t="e">
        <f>Links!C4+'On-Ramps'!AC4</f>
        <v>#DIV/0!</v>
      </c>
      <c r="Q4" s="58" t="e">
        <f>Links!D4</f>
        <v>#DIV/0!</v>
      </c>
      <c r="R4" s="58" t="e">
        <f>Links!E4+'On-Ramps'!AD4</f>
        <v>#DIV/0!</v>
      </c>
      <c r="S4" s="58" t="e">
        <f>Links!F4+'On-Ramps'!AE4</f>
        <v>#DIV/0!</v>
      </c>
      <c r="T4" s="58" t="e">
        <f>Links!I4+'On-Ramps'!AF4</f>
        <v>#DIV/0!</v>
      </c>
      <c r="U4" s="58" t="e">
        <f>Links!J4+'On-Ramps'!AG4</f>
        <v>#DIV/0!</v>
      </c>
      <c r="V4" s="58" t="e">
        <f>Links!L4+'On-Ramps'!AH4</f>
        <v>#DIV/0!</v>
      </c>
      <c r="W4" s="58" t="e">
        <f>Links!M4+'On-Ramps'!AI4</f>
        <v>#DIV/0!</v>
      </c>
      <c r="X4" s="58" t="e">
        <f>Links!P4+'On-Ramps'!AJ4</f>
        <v>#DIV/0!</v>
      </c>
      <c r="Y4" s="58" t="e">
        <f>Links!Q4</f>
        <v>#DIV/0!</v>
      </c>
      <c r="Z4" s="58" t="e">
        <f>Links!R4+'On-Ramps'!AK4</f>
        <v>#DIV/0!</v>
      </c>
      <c r="AA4" s="58" t="e">
        <f>Links!S4</f>
        <v>#DIV/0!</v>
      </c>
      <c r="AB4" s="57" t="e">
        <f>AO4*(1-AO4)*O4</f>
        <v>#VALUE!</v>
      </c>
      <c r="AC4" s="63"/>
      <c r="AD4" s="57" t="e">
        <f t="shared" ref="AD4:AN19" si="14">AQ4*(1-AQ4)*Q4</f>
        <v>#DIV/0!</v>
      </c>
      <c r="AE4" s="63"/>
      <c r="AF4" s="57" t="e">
        <f t="shared" si="14"/>
        <v>#DIV/0!</v>
      </c>
      <c r="AG4" s="57" t="e">
        <f t="shared" si="14"/>
        <v>#DIV/0!</v>
      </c>
      <c r="AH4" s="57" t="e">
        <f t="shared" si="14"/>
        <v>#DIV/0!</v>
      </c>
      <c r="AI4" s="57" t="e">
        <f t="shared" si="14"/>
        <v>#DIV/0!</v>
      </c>
      <c r="AJ4" s="57" t="e">
        <f t="shared" si="14"/>
        <v>#DIV/0!</v>
      </c>
      <c r="AK4" s="57" t="e">
        <f t="shared" si="14"/>
        <v>#DIV/0!</v>
      </c>
      <c r="AL4" s="57" t="e">
        <f t="shared" si="14"/>
        <v>#DIV/0!</v>
      </c>
      <c r="AM4" s="63"/>
      <c r="AN4" s="57" t="e">
        <f t="shared" si="14"/>
        <v>#DIV/0!</v>
      </c>
      <c r="AO4" s="58" t="e">
        <f>AO$3</f>
        <v>#VALUE!</v>
      </c>
      <c r="AP4" s="63"/>
      <c r="AQ4" s="58" t="e">
        <f t="shared" ref="AQ4:BA19" si="15">AQ$3</f>
        <v>#DIV/0!</v>
      </c>
      <c r="AR4" s="63"/>
      <c r="AS4" s="58" t="e">
        <f t="shared" si="15"/>
        <v>#DIV/0!</v>
      </c>
      <c r="AT4" s="58" t="e">
        <f t="shared" si="15"/>
        <v>#DIV/0!</v>
      </c>
      <c r="AU4" s="58" t="e">
        <f t="shared" si="15"/>
        <v>#DIV/0!</v>
      </c>
      <c r="AV4" s="58" t="e">
        <f t="shared" si="15"/>
        <v>#DIV/0!</v>
      </c>
      <c r="AW4" s="58" t="e">
        <f t="shared" si="15"/>
        <v>#DIV/0!</v>
      </c>
      <c r="AX4" s="58" t="e">
        <f t="shared" si="15"/>
        <v>#DIV/0!</v>
      </c>
      <c r="AY4" s="58" t="e">
        <f t="shared" si="15"/>
        <v>#DIV/0!</v>
      </c>
      <c r="AZ4" s="63"/>
      <c r="BA4" s="58" t="e">
        <f t="shared" si="15"/>
        <v>#DIV/0!</v>
      </c>
      <c r="BB4" s="63"/>
      <c r="BC4" s="57" t="e">
        <f>(Links!C4*Links!AQ4+'On-Ramps'!AC4*'On-Ramps'!CE4)/('On-Ramps'!AC4+Links!C4)</f>
        <v>#DIV/0!</v>
      </c>
      <c r="BD4" s="63"/>
      <c r="BE4" s="57" t="e">
        <f>(Links!E4*Links!AS4+'On-Ramps'!AD4*'On-Ramps'!CF3)/('On-Ramps'!AD4+Links!E4)</f>
        <v>#DIV/0!</v>
      </c>
      <c r="BF4" s="57" t="e">
        <f>(Links!F4*Links!AT4+'On-Ramps'!AE4*'On-Ramps'!CG4)/('On-Ramps'!AE4+Links!F4)</f>
        <v>#DIV/0!</v>
      </c>
      <c r="BG4" s="57" t="e">
        <f>(Links!I4*Links!AW4+'On-Ramps'!AF4*'On-Ramps'!CH4)/('On-Ramps'!AF4+Links!I4)</f>
        <v>#DIV/0!</v>
      </c>
      <c r="BH4" s="57" t="e">
        <f>(#REF!*#REF!+'On-Ramps'!AG4*'On-Ramps'!CI4)/('On-Ramps'!AG4+#REF!)</f>
        <v>#REF!</v>
      </c>
      <c r="BI4" s="57" t="e">
        <f>(Links!L4*Links!AZ4+'On-Ramps'!AH4*'On-Ramps'!CJ4)/('On-Ramps'!AH4+Links!L4)</f>
        <v>#DIV/0!</v>
      </c>
      <c r="BJ4" s="57" t="e">
        <f>(Links!BA4*Links!M4+'On-Ramps'!AI4*'On-Ramps'!CK4)/('On-Ramps'!AI4+Links!M4)</f>
        <v>#DIV/0!</v>
      </c>
      <c r="BK4" s="57" t="e">
        <f>(Links!S4*Links!BG4+'On-Ramps'!AJ4*'On-Ramps'!CL4)/('On-Ramps'!AJ4+Links!S4)</f>
        <v>#DIV/0!</v>
      </c>
      <c r="BL4" s="63"/>
      <c r="BM4" s="57" t="e">
        <f>(Links!S4*Links!BG4+'On-Ramps'!AL4*'On-Ramps'!CM4)/(Links!S4+'On-Ramps'!AL4)</f>
        <v>#DIV/0!</v>
      </c>
      <c r="BN4" s="63"/>
      <c r="BO4" s="58" t="e">
        <f>(Links!W4^2+'Off-Ramp'!L4^2)/(Links!W4+'Off-Ramp'!L4)</f>
        <v>#DIV/0!</v>
      </c>
      <c r="BP4" s="63"/>
      <c r="BQ4" s="58" t="e">
        <f>(Links!Y4^2+'Off-Ramp'!C4^2)/(Links!Y4+'Off-Ramp'!C4)</f>
        <v>#DIV/0!</v>
      </c>
      <c r="BR4" s="63"/>
      <c r="BS4" s="58" t="e">
        <f>(Links!AA4^2+'Off-Ramp'!N4^2)/(Links!AA4+'Off-Ramp'!N4)</f>
        <v>#DIV/0!</v>
      </c>
      <c r="BT4" s="58" t="e">
        <f>(Links!AD4^2+'Off-Ramp'!O4^2)/(Links!AD4+'Off-Ramp'!O4)</f>
        <v>#DIV/0!</v>
      </c>
      <c r="BU4" s="58" t="e">
        <f>(Links!AE4^2+'Off-Ramp'!V4^2+'Off-Ramp'!W4^2+'Off-Ramp'!X4^2)/(Links!AE4+'Off-Ramp'!V4+'Off-Ramp'!W4+'Off-Ramp'!X4)</f>
        <v>#DIV/0!</v>
      </c>
      <c r="BV4" s="58" t="e">
        <f>(Links!AG4^2+'Off-Ramp'!Y4^2+'Off-Ramp'!Z4^2+'Off-Ramp'!AA4^2)/(Links!AG4+'Off-Ramp'!Y4+'Off-Ramp'!Z4+'Off-Ramp'!AA4)</f>
        <v>#DIV/0!</v>
      </c>
      <c r="BW4" s="58" t="e">
        <f>(Links!AH4^2+'Off-Ramp'!R4^2)/(Links!AH4+'Off-Ramp'!R4)</f>
        <v>#DIV/0!</v>
      </c>
      <c r="BX4" s="58" t="e">
        <f>(Links!AK4^2+'Off-Ramp'!S4^2)/(Links!AK4+'Off-Ramp'!S4)</f>
        <v>#DIV/0!</v>
      </c>
      <c r="BY4" s="58" t="e">
        <f>(Links!AL4^2+'Off-Ramp'!T4^2)/(Links!AL4+'Off-Ramp'!T4)</f>
        <v>#DIV/0!</v>
      </c>
      <c r="BZ4" s="63"/>
      <c r="CA4" s="58" t="e">
        <f>(Links!AN4^2+'Off-Ramp'!U4^2)/(Links!AN4+'Off-Ramp'!U4)</f>
        <v>#DIV/0!</v>
      </c>
    </row>
    <row r="5" spans="1:79" x14ac:dyDescent="0.15">
      <c r="A5" s="56">
        <v>3</v>
      </c>
      <c r="B5" s="57" t="e">
        <f t="shared" si="1"/>
        <v>#DIV/0!</v>
      </c>
      <c r="C5" s="57" t="e">
        <f t="shared" si="2"/>
        <v>#DIV/0!</v>
      </c>
      <c r="D5" s="57" t="e">
        <f t="shared" si="3"/>
        <v>#DIV/0!</v>
      </c>
      <c r="E5" s="57" t="e">
        <f t="shared" si="4"/>
        <v>#DIV/0!</v>
      </c>
      <c r="F5" s="57" t="e">
        <f t="shared" si="5"/>
        <v>#DIV/0!</v>
      </c>
      <c r="G5" s="57" t="e">
        <f t="shared" si="6"/>
        <v>#DIV/0!</v>
      </c>
      <c r="H5" s="57" t="e">
        <f t="shared" si="7"/>
        <v>#DIV/0!</v>
      </c>
      <c r="I5" s="57" t="e">
        <f t="shared" si="8"/>
        <v>#DIV/0!</v>
      </c>
      <c r="J5" s="57" t="e">
        <f t="shared" si="9"/>
        <v>#DIV/0!</v>
      </c>
      <c r="K5" s="57" t="e">
        <f t="shared" si="10"/>
        <v>#DIV/0!</v>
      </c>
      <c r="L5" s="57" t="e">
        <f t="shared" si="11"/>
        <v>#DIV/0!</v>
      </c>
      <c r="M5" s="57" t="e">
        <f t="shared" si="12"/>
        <v>#DIV/0!</v>
      </c>
      <c r="N5" s="57" t="e">
        <f t="shared" si="13"/>
        <v>#DIV/0!</v>
      </c>
      <c r="O5" s="58" t="e">
        <f>Links!B5</f>
        <v>#DIV/0!</v>
      </c>
      <c r="P5" s="58" t="e">
        <f>Links!C5+'On-Ramps'!AC5</f>
        <v>#DIV/0!</v>
      </c>
      <c r="Q5" s="58" t="e">
        <f>Links!D5</f>
        <v>#DIV/0!</v>
      </c>
      <c r="R5" s="58" t="e">
        <f>Links!E5+'On-Ramps'!AD5</f>
        <v>#DIV/0!</v>
      </c>
      <c r="S5" s="58" t="e">
        <f>Links!F5+'On-Ramps'!AE5</f>
        <v>#DIV/0!</v>
      </c>
      <c r="T5" s="58" t="e">
        <f>Links!I5+'On-Ramps'!AF5</f>
        <v>#DIV/0!</v>
      </c>
      <c r="U5" s="58" t="e">
        <f>Links!J5+'On-Ramps'!AG5</f>
        <v>#DIV/0!</v>
      </c>
      <c r="V5" s="58" t="e">
        <f>Links!L5+'On-Ramps'!AH5</f>
        <v>#DIV/0!</v>
      </c>
      <c r="W5" s="58" t="e">
        <f>Links!M5+'On-Ramps'!AI5</f>
        <v>#DIV/0!</v>
      </c>
      <c r="X5" s="58" t="e">
        <f>Links!P5+'On-Ramps'!AJ5</f>
        <v>#DIV/0!</v>
      </c>
      <c r="Y5" s="58" t="e">
        <f>Links!Q5</f>
        <v>#DIV/0!</v>
      </c>
      <c r="Z5" s="58" t="e">
        <f>Links!R5+'On-Ramps'!AK5</f>
        <v>#DIV/0!</v>
      </c>
      <c r="AA5" s="58" t="e">
        <f>Links!S5</f>
        <v>#DIV/0!</v>
      </c>
      <c r="AB5" s="57" t="e">
        <f t="shared" ref="AB5:AB68" si="16">AO5*(1-AO5)*O5</f>
        <v>#VALUE!</v>
      </c>
      <c r="AC5" s="63"/>
      <c r="AD5" s="57" t="e">
        <f t="shared" ref="AD5:AD68" si="17">AQ5*(1-AQ5)*Q5</f>
        <v>#DIV/0!</v>
      </c>
      <c r="AE5" s="63"/>
      <c r="AF5" s="57" t="e">
        <f t="shared" ref="AF5:AF68" si="18">AS5*(1-AS5)*S5</f>
        <v>#DIV/0!</v>
      </c>
      <c r="AG5" s="57" t="e">
        <f t="shared" ref="AG5:AG68" si="19">AT5*(1-AT5)*T5</f>
        <v>#DIV/0!</v>
      </c>
      <c r="AH5" s="57" t="e">
        <f t="shared" ref="AH5:AH68" si="20">AU5*(1-AU5)*U5</f>
        <v>#DIV/0!</v>
      </c>
      <c r="AI5" s="57" t="e">
        <f t="shared" ref="AI5:AI68" si="21">AV5*(1-AV5)*V5</f>
        <v>#DIV/0!</v>
      </c>
      <c r="AJ5" s="57" t="e">
        <f t="shared" ref="AJ5:AJ68" si="22">AW5*(1-AW5)*W5</f>
        <v>#DIV/0!</v>
      </c>
      <c r="AK5" s="57" t="e">
        <f t="shared" ref="AK5:AK68" si="23">AX5*(1-AX5)*X5</f>
        <v>#DIV/0!</v>
      </c>
      <c r="AL5" s="57" t="e">
        <f t="shared" ref="AL5:AL68" si="24">AY5*(1-AY5)*Y5</f>
        <v>#DIV/0!</v>
      </c>
      <c r="AM5" s="63"/>
      <c r="AN5" s="57" t="e">
        <f t="shared" si="14"/>
        <v>#DIV/0!</v>
      </c>
      <c r="AO5" s="58" t="e">
        <f t="shared" ref="AO5:BA36" si="25">AO$3</f>
        <v>#VALUE!</v>
      </c>
      <c r="AP5" s="63"/>
      <c r="AQ5" s="58" t="e">
        <f t="shared" si="15"/>
        <v>#DIV/0!</v>
      </c>
      <c r="AR5" s="63"/>
      <c r="AS5" s="58" t="e">
        <f t="shared" si="15"/>
        <v>#DIV/0!</v>
      </c>
      <c r="AT5" s="58" t="e">
        <f t="shared" si="15"/>
        <v>#DIV/0!</v>
      </c>
      <c r="AU5" s="58" t="e">
        <f t="shared" si="15"/>
        <v>#DIV/0!</v>
      </c>
      <c r="AV5" s="58" t="e">
        <f t="shared" si="15"/>
        <v>#DIV/0!</v>
      </c>
      <c r="AW5" s="58" t="e">
        <f t="shared" si="15"/>
        <v>#DIV/0!</v>
      </c>
      <c r="AX5" s="58" t="e">
        <f t="shared" si="15"/>
        <v>#DIV/0!</v>
      </c>
      <c r="AY5" s="58" t="e">
        <f t="shared" si="15"/>
        <v>#DIV/0!</v>
      </c>
      <c r="AZ5" s="63"/>
      <c r="BA5" s="58" t="e">
        <f t="shared" si="15"/>
        <v>#DIV/0!</v>
      </c>
      <c r="BB5" s="63"/>
      <c r="BC5" s="57" t="e">
        <f>(Links!C5*Links!AQ5+'On-Ramps'!AC5*'On-Ramps'!CE5)/('On-Ramps'!AC5+Links!C5)</f>
        <v>#DIV/0!</v>
      </c>
      <c r="BD5" s="63"/>
      <c r="BE5" s="57" t="e">
        <f>(Links!E5*Links!AS5+'On-Ramps'!AD5*'On-Ramps'!CF4)/('On-Ramps'!AD5+Links!E5)</f>
        <v>#DIV/0!</v>
      </c>
      <c r="BF5" s="57" t="e">
        <f>(Links!F5*Links!AT5+'On-Ramps'!AE5*'On-Ramps'!CG5)/('On-Ramps'!AE5+Links!F5)</f>
        <v>#DIV/0!</v>
      </c>
      <c r="BG5" s="57" t="e">
        <f>(Links!I5*Links!AW5+'On-Ramps'!AF5*'On-Ramps'!CH5)/('On-Ramps'!AF5+Links!I5)</f>
        <v>#DIV/0!</v>
      </c>
      <c r="BH5" s="57" t="e">
        <f>(#REF!*#REF!+'On-Ramps'!AG5*'On-Ramps'!CI5)/('On-Ramps'!AG5+#REF!)</f>
        <v>#REF!</v>
      </c>
      <c r="BI5" s="57" t="e">
        <f>(Links!L5*Links!AZ5+'On-Ramps'!AH5*'On-Ramps'!CJ5)/('On-Ramps'!AH5+Links!L5)</f>
        <v>#DIV/0!</v>
      </c>
      <c r="BJ5" s="57" t="e">
        <f>(Links!BA5*Links!M5+'On-Ramps'!AI5*'On-Ramps'!CK5)/('On-Ramps'!AI5+Links!M5)</f>
        <v>#DIV/0!</v>
      </c>
      <c r="BK5" s="57" t="e">
        <f>(Links!S5*Links!BG5+'On-Ramps'!AJ5*'On-Ramps'!CL5)/('On-Ramps'!AJ5+Links!S5)</f>
        <v>#DIV/0!</v>
      </c>
      <c r="BL5" s="63"/>
      <c r="BM5" s="57" t="e">
        <f>(Links!S5*Links!BG5+'On-Ramps'!AL5*'On-Ramps'!CM5)/(Links!S5+'On-Ramps'!AL5)</f>
        <v>#DIV/0!</v>
      </c>
      <c r="BN5" s="63"/>
      <c r="BO5" s="58" t="e">
        <f>(Links!W5^2+'Off-Ramp'!L5^2)/(Links!W5+'Off-Ramp'!L5)</f>
        <v>#DIV/0!</v>
      </c>
      <c r="BP5" s="63"/>
      <c r="BQ5" s="58" t="e">
        <f>(Links!Y5^2+'Off-Ramp'!C5^2)/(Links!Y5+'Off-Ramp'!C5)</f>
        <v>#DIV/0!</v>
      </c>
      <c r="BR5" s="63"/>
      <c r="BS5" s="58" t="e">
        <f>(Links!AA5^2+'Off-Ramp'!N5^2)/(Links!AA5+'Off-Ramp'!N5)</f>
        <v>#DIV/0!</v>
      </c>
      <c r="BT5" s="58" t="e">
        <f>(Links!AD5^2+'Off-Ramp'!O5^2)/(Links!AD5+'Off-Ramp'!O5)</f>
        <v>#DIV/0!</v>
      </c>
      <c r="BU5" s="58" t="e">
        <f>(Links!AE5^2+'Off-Ramp'!V5^2+'Off-Ramp'!W5^2+'Off-Ramp'!X5^2)/(Links!AE5+'Off-Ramp'!V5+'Off-Ramp'!W5+'Off-Ramp'!X5)</f>
        <v>#DIV/0!</v>
      </c>
      <c r="BV5" s="58" t="e">
        <f>(Links!AG5^2+'Off-Ramp'!Y5^2+'Off-Ramp'!Z5^2+'Off-Ramp'!AA5^2)/(Links!AG5+'Off-Ramp'!Y5+'Off-Ramp'!Z5+'Off-Ramp'!AA5)</f>
        <v>#DIV/0!</v>
      </c>
      <c r="BW5" s="58" t="e">
        <f>(Links!AH5^2+'Off-Ramp'!R5^2)/(Links!AH5+'Off-Ramp'!R5)</f>
        <v>#DIV/0!</v>
      </c>
      <c r="BX5" s="58" t="e">
        <f>(Links!AK5^2+'Off-Ramp'!S5^2)/(Links!AK5+'Off-Ramp'!S5)</f>
        <v>#DIV/0!</v>
      </c>
      <c r="BY5" s="58" t="e">
        <f>(Links!AL5^2+'Off-Ramp'!T5^2)/(Links!AL5+'Off-Ramp'!T5)</f>
        <v>#DIV/0!</v>
      </c>
      <c r="BZ5" s="63"/>
      <c r="CA5" s="58" t="e">
        <f>(Links!AN5^2+'Off-Ramp'!U5^2)/(Links!AN5+'Off-Ramp'!U5)</f>
        <v>#DIV/0!</v>
      </c>
    </row>
    <row r="6" spans="1:79" x14ac:dyDescent="0.15">
      <c r="A6" s="56">
        <v>4</v>
      </c>
      <c r="B6" s="57" t="e">
        <f t="shared" si="1"/>
        <v>#DIV/0!</v>
      </c>
      <c r="C6" s="57" t="e">
        <f t="shared" si="2"/>
        <v>#DIV/0!</v>
      </c>
      <c r="D6" s="57" t="e">
        <f t="shared" si="3"/>
        <v>#DIV/0!</v>
      </c>
      <c r="E6" s="57" t="e">
        <f t="shared" si="4"/>
        <v>#DIV/0!</v>
      </c>
      <c r="F6" s="57" t="e">
        <f t="shared" si="5"/>
        <v>#DIV/0!</v>
      </c>
      <c r="G6" s="57" t="e">
        <f t="shared" si="6"/>
        <v>#DIV/0!</v>
      </c>
      <c r="H6" s="57" t="e">
        <f t="shared" si="7"/>
        <v>#DIV/0!</v>
      </c>
      <c r="I6" s="57" t="e">
        <f t="shared" si="8"/>
        <v>#DIV/0!</v>
      </c>
      <c r="J6" s="57" t="e">
        <f t="shared" si="9"/>
        <v>#DIV/0!</v>
      </c>
      <c r="K6" s="57" t="e">
        <f t="shared" si="10"/>
        <v>#DIV/0!</v>
      </c>
      <c r="L6" s="57" t="e">
        <f t="shared" si="11"/>
        <v>#DIV/0!</v>
      </c>
      <c r="M6" s="57" t="e">
        <f t="shared" si="12"/>
        <v>#DIV/0!</v>
      </c>
      <c r="N6" s="57" t="e">
        <f t="shared" si="13"/>
        <v>#DIV/0!</v>
      </c>
      <c r="O6" s="58" t="e">
        <f>Links!B6</f>
        <v>#DIV/0!</v>
      </c>
      <c r="P6" s="58" t="e">
        <f>Links!C6+'On-Ramps'!AC6</f>
        <v>#DIV/0!</v>
      </c>
      <c r="Q6" s="58" t="e">
        <f>Links!D6</f>
        <v>#DIV/0!</v>
      </c>
      <c r="R6" s="58" t="e">
        <f>Links!E6+'On-Ramps'!AD6</f>
        <v>#DIV/0!</v>
      </c>
      <c r="S6" s="58" t="e">
        <f>Links!F6+'On-Ramps'!AE6</f>
        <v>#DIV/0!</v>
      </c>
      <c r="T6" s="58" t="e">
        <f>Links!I6+'On-Ramps'!AF6</f>
        <v>#DIV/0!</v>
      </c>
      <c r="U6" s="58" t="e">
        <f>Links!J6+'On-Ramps'!AG6</f>
        <v>#DIV/0!</v>
      </c>
      <c r="V6" s="58" t="e">
        <f>Links!L6+'On-Ramps'!AH6</f>
        <v>#DIV/0!</v>
      </c>
      <c r="W6" s="58" t="e">
        <f>Links!M6+'On-Ramps'!AI6</f>
        <v>#DIV/0!</v>
      </c>
      <c r="X6" s="58" t="e">
        <f>Links!P6+'On-Ramps'!AJ6</f>
        <v>#DIV/0!</v>
      </c>
      <c r="Y6" s="58" t="e">
        <f>Links!Q6</f>
        <v>#DIV/0!</v>
      </c>
      <c r="Z6" s="58" t="e">
        <f>Links!R6+'On-Ramps'!AK6</f>
        <v>#DIV/0!</v>
      </c>
      <c r="AA6" s="58" t="e">
        <f>Links!S6</f>
        <v>#DIV/0!</v>
      </c>
      <c r="AB6" s="57" t="e">
        <f t="shared" si="16"/>
        <v>#VALUE!</v>
      </c>
      <c r="AC6" s="63"/>
      <c r="AD6" s="57" t="e">
        <f t="shared" si="17"/>
        <v>#DIV/0!</v>
      </c>
      <c r="AE6" s="63"/>
      <c r="AF6" s="57" t="e">
        <f t="shared" si="18"/>
        <v>#DIV/0!</v>
      </c>
      <c r="AG6" s="57" t="e">
        <f t="shared" si="19"/>
        <v>#DIV/0!</v>
      </c>
      <c r="AH6" s="57" t="e">
        <f t="shared" si="20"/>
        <v>#DIV/0!</v>
      </c>
      <c r="AI6" s="57" t="e">
        <f t="shared" si="21"/>
        <v>#DIV/0!</v>
      </c>
      <c r="AJ6" s="57" t="e">
        <f t="shared" si="22"/>
        <v>#DIV/0!</v>
      </c>
      <c r="AK6" s="57" t="e">
        <f t="shared" si="23"/>
        <v>#DIV/0!</v>
      </c>
      <c r="AL6" s="57" t="e">
        <f t="shared" si="24"/>
        <v>#DIV/0!</v>
      </c>
      <c r="AM6" s="63"/>
      <c r="AN6" s="57" t="e">
        <f t="shared" si="14"/>
        <v>#DIV/0!</v>
      </c>
      <c r="AO6" s="58" t="e">
        <f t="shared" si="25"/>
        <v>#VALUE!</v>
      </c>
      <c r="AP6" s="63"/>
      <c r="AQ6" s="58" t="e">
        <f t="shared" si="15"/>
        <v>#DIV/0!</v>
      </c>
      <c r="AR6" s="63"/>
      <c r="AS6" s="58" t="e">
        <f t="shared" si="15"/>
        <v>#DIV/0!</v>
      </c>
      <c r="AT6" s="58" t="e">
        <f t="shared" si="15"/>
        <v>#DIV/0!</v>
      </c>
      <c r="AU6" s="58" t="e">
        <f t="shared" si="15"/>
        <v>#DIV/0!</v>
      </c>
      <c r="AV6" s="58" t="e">
        <f t="shared" si="15"/>
        <v>#DIV/0!</v>
      </c>
      <c r="AW6" s="58" t="e">
        <f t="shared" si="15"/>
        <v>#DIV/0!</v>
      </c>
      <c r="AX6" s="58" t="e">
        <f t="shared" si="15"/>
        <v>#DIV/0!</v>
      </c>
      <c r="AY6" s="58" t="e">
        <f t="shared" si="15"/>
        <v>#DIV/0!</v>
      </c>
      <c r="AZ6" s="63"/>
      <c r="BA6" s="58" t="e">
        <f t="shared" si="15"/>
        <v>#DIV/0!</v>
      </c>
      <c r="BB6" s="63"/>
      <c r="BC6" s="57" t="e">
        <f>(Links!C6*Links!AQ6+'On-Ramps'!AC6*'On-Ramps'!CE6)/('On-Ramps'!AC6+Links!C6)</f>
        <v>#DIV/0!</v>
      </c>
      <c r="BD6" s="63"/>
      <c r="BE6" s="57" t="e">
        <f>(Links!E6*Links!AS6+'On-Ramps'!AD6*'On-Ramps'!CF5)/('On-Ramps'!AD6+Links!E6)</f>
        <v>#DIV/0!</v>
      </c>
      <c r="BF6" s="57" t="e">
        <f>(Links!F6*Links!AT6+'On-Ramps'!AE6*'On-Ramps'!CG6)/('On-Ramps'!AE6+Links!F6)</f>
        <v>#DIV/0!</v>
      </c>
      <c r="BG6" s="57" t="e">
        <f>(Links!I6*Links!AW6+'On-Ramps'!AF6*'On-Ramps'!CH6)/('On-Ramps'!AF6+Links!I6)</f>
        <v>#DIV/0!</v>
      </c>
      <c r="BH6" s="57" t="e">
        <f>(#REF!*#REF!+'On-Ramps'!AG6*'On-Ramps'!CI6)/('On-Ramps'!AG6+#REF!)</f>
        <v>#REF!</v>
      </c>
      <c r="BI6" s="57" t="e">
        <f>(Links!L6*Links!AZ6+'On-Ramps'!AH6*'On-Ramps'!CJ6)/('On-Ramps'!AH6+Links!L6)</f>
        <v>#DIV/0!</v>
      </c>
      <c r="BJ6" s="57" t="e">
        <f>(Links!BA6*Links!M6+'On-Ramps'!AI6*'On-Ramps'!CK6)/('On-Ramps'!AI6+Links!M6)</f>
        <v>#DIV/0!</v>
      </c>
      <c r="BK6" s="57" t="e">
        <f>(Links!S6*Links!BG6+'On-Ramps'!AJ6*'On-Ramps'!CL6)/('On-Ramps'!AJ6+Links!S6)</f>
        <v>#DIV/0!</v>
      </c>
      <c r="BL6" s="63"/>
      <c r="BM6" s="57" t="e">
        <f>(Links!S6*Links!BG6+'On-Ramps'!AL6*'On-Ramps'!CM6)/(Links!S6+'On-Ramps'!AL6)</f>
        <v>#DIV/0!</v>
      </c>
      <c r="BN6" s="63"/>
      <c r="BO6" s="58" t="e">
        <f>(Links!W6^2+'Off-Ramp'!L6^2)/(Links!W6+'Off-Ramp'!L6)</f>
        <v>#DIV/0!</v>
      </c>
      <c r="BP6" s="63"/>
      <c r="BQ6" s="58" t="e">
        <f>(Links!Y6^2+'Off-Ramp'!C6^2)/(Links!Y6+'Off-Ramp'!C6)</f>
        <v>#DIV/0!</v>
      </c>
      <c r="BR6" s="63"/>
      <c r="BS6" s="58" t="e">
        <f>(Links!AA6^2+'Off-Ramp'!N6^2)/(Links!AA6+'Off-Ramp'!N6)</f>
        <v>#DIV/0!</v>
      </c>
      <c r="BT6" s="58" t="e">
        <f>(Links!AD6^2+'Off-Ramp'!O6^2)/(Links!AD6+'Off-Ramp'!O6)</f>
        <v>#DIV/0!</v>
      </c>
      <c r="BU6" s="58" t="e">
        <f>(Links!AE6^2+'Off-Ramp'!V6^2+'Off-Ramp'!W6^2+'Off-Ramp'!X6^2)/(Links!AE6+'Off-Ramp'!V6+'Off-Ramp'!W6+'Off-Ramp'!X6)</f>
        <v>#DIV/0!</v>
      </c>
      <c r="BV6" s="58" t="e">
        <f>(Links!AG6^2+'Off-Ramp'!Y6^2+'Off-Ramp'!Z6^2+'Off-Ramp'!AA6^2)/(Links!AG6+'Off-Ramp'!Y6+'Off-Ramp'!Z6+'Off-Ramp'!AA6)</f>
        <v>#DIV/0!</v>
      </c>
      <c r="BW6" s="58" t="e">
        <f>(Links!AH6^2+'Off-Ramp'!R6^2)/(Links!AH6+'Off-Ramp'!R6)</f>
        <v>#DIV/0!</v>
      </c>
      <c r="BX6" s="58" t="e">
        <f>(Links!AK6^2+'Off-Ramp'!S6^2)/(Links!AK6+'Off-Ramp'!S6)</f>
        <v>#DIV/0!</v>
      </c>
      <c r="BY6" s="58" t="e">
        <f>(Links!AL6^2+'Off-Ramp'!T6^2)/(Links!AL6+'Off-Ramp'!T6)</f>
        <v>#DIV/0!</v>
      </c>
      <c r="BZ6" s="63"/>
      <c r="CA6" s="58" t="e">
        <f>(Links!AN6^2+'Off-Ramp'!U6^2)/(Links!AN6+'Off-Ramp'!U6)</f>
        <v>#DIV/0!</v>
      </c>
    </row>
    <row r="7" spans="1:79" x14ac:dyDescent="0.15">
      <c r="A7" s="56">
        <v>5</v>
      </c>
      <c r="B7" s="57" t="e">
        <f t="shared" si="1"/>
        <v>#DIV/0!</v>
      </c>
      <c r="C7" s="57" t="e">
        <f t="shared" si="2"/>
        <v>#DIV/0!</v>
      </c>
      <c r="D7" s="57" t="e">
        <f t="shared" si="3"/>
        <v>#DIV/0!</v>
      </c>
      <c r="E7" s="57" t="e">
        <f t="shared" si="4"/>
        <v>#DIV/0!</v>
      </c>
      <c r="F7" s="57" t="e">
        <f t="shared" si="5"/>
        <v>#DIV/0!</v>
      </c>
      <c r="G7" s="57" t="e">
        <f t="shared" si="6"/>
        <v>#DIV/0!</v>
      </c>
      <c r="H7" s="57" t="e">
        <f t="shared" si="7"/>
        <v>#DIV/0!</v>
      </c>
      <c r="I7" s="57" t="e">
        <f t="shared" si="8"/>
        <v>#DIV/0!</v>
      </c>
      <c r="J7" s="57" t="e">
        <f t="shared" si="9"/>
        <v>#DIV/0!</v>
      </c>
      <c r="K7" s="57" t="e">
        <f t="shared" si="10"/>
        <v>#DIV/0!</v>
      </c>
      <c r="L7" s="57" t="e">
        <f t="shared" si="11"/>
        <v>#DIV/0!</v>
      </c>
      <c r="M7" s="57" t="e">
        <f t="shared" si="12"/>
        <v>#DIV/0!</v>
      </c>
      <c r="N7" s="57" t="e">
        <f t="shared" si="13"/>
        <v>#DIV/0!</v>
      </c>
      <c r="O7" s="58" t="e">
        <f>Links!B7</f>
        <v>#DIV/0!</v>
      </c>
      <c r="P7" s="58" t="e">
        <f>Links!C7+'On-Ramps'!AC7</f>
        <v>#DIV/0!</v>
      </c>
      <c r="Q7" s="58" t="e">
        <f>Links!D7</f>
        <v>#DIV/0!</v>
      </c>
      <c r="R7" s="58" t="e">
        <f>Links!E7+'On-Ramps'!AD7</f>
        <v>#DIV/0!</v>
      </c>
      <c r="S7" s="58" t="e">
        <f>Links!F7+'On-Ramps'!AE7</f>
        <v>#DIV/0!</v>
      </c>
      <c r="T7" s="58" t="e">
        <f>Links!I7+'On-Ramps'!AF7</f>
        <v>#DIV/0!</v>
      </c>
      <c r="U7" s="58" t="e">
        <f>Links!J7+'On-Ramps'!AG7</f>
        <v>#DIV/0!</v>
      </c>
      <c r="V7" s="58" t="e">
        <f>Links!L7+'On-Ramps'!AH7</f>
        <v>#DIV/0!</v>
      </c>
      <c r="W7" s="58" t="e">
        <f>Links!M7+'On-Ramps'!AI7</f>
        <v>#DIV/0!</v>
      </c>
      <c r="X7" s="58" t="e">
        <f>Links!P7+'On-Ramps'!AJ7</f>
        <v>#DIV/0!</v>
      </c>
      <c r="Y7" s="58" t="e">
        <f>Links!Q7</f>
        <v>#DIV/0!</v>
      </c>
      <c r="Z7" s="58" t="e">
        <f>Links!R7+'On-Ramps'!AK7</f>
        <v>#DIV/0!</v>
      </c>
      <c r="AA7" s="58" t="e">
        <f>Links!S7</f>
        <v>#DIV/0!</v>
      </c>
      <c r="AB7" s="57" t="e">
        <f t="shared" si="16"/>
        <v>#VALUE!</v>
      </c>
      <c r="AC7" s="63"/>
      <c r="AD7" s="57" t="e">
        <f t="shared" si="17"/>
        <v>#DIV/0!</v>
      </c>
      <c r="AE7" s="63"/>
      <c r="AF7" s="57" t="e">
        <f t="shared" si="18"/>
        <v>#DIV/0!</v>
      </c>
      <c r="AG7" s="57" t="e">
        <f t="shared" si="19"/>
        <v>#DIV/0!</v>
      </c>
      <c r="AH7" s="57" t="e">
        <f t="shared" si="20"/>
        <v>#DIV/0!</v>
      </c>
      <c r="AI7" s="57" t="e">
        <f t="shared" si="21"/>
        <v>#DIV/0!</v>
      </c>
      <c r="AJ7" s="57" t="e">
        <f t="shared" si="22"/>
        <v>#DIV/0!</v>
      </c>
      <c r="AK7" s="57" t="e">
        <f t="shared" si="23"/>
        <v>#DIV/0!</v>
      </c>
      <c r="AL7" s="57" t="e">
        <f t="shared" si="24"/>
        <v>#DIV/0!</v>
      </c>
      <c r="AM7" s="63"/>
      <c r="AN7" s="57" t="e">
        <f t="shared" si="14"/>
        <v>#DIV/0!</v>
      </c>
      <c r="AO7" s="58" t="e">
        <f t="shared" si="25"/>
        <v>#VALUE!</v>
      </c>
      <c r="AP7" s="63"/>
      <c r="AQ7" s="58" t="e">
        <f t="shared" si="15"/>
        <v>#DIV/0!</v>
      </c>
      <c r="AR7" s="63"/>
      <c r="AS7" s="58" t="e">
        <f t="shared" si="15"/>
        <v>#DIV/0!</v>
      </c>
      <c r="AT7" s="58" t="e">
        <f t="shared" si="15"/>
        <v>#DIV/0!</v>
      </c>
      <c r="AU7" s="58" t="e">
        <f t="shared" si="15"/>
        <v>#DIV/0!</v>
      </c>
      <c r="AV7" s="58" t="e">
        <f t="shared" si="15"/>
        <v>#DIV/0!</v>
      </c>
      <c r="AW7" s="58" t="e">
        <f t="shared" si="15"/>
        <v>#DIV/0!</v>
      </c>
      <c r="AX7" s="58" t="e">
        <f t="shared" si="15"/>
        <v>#DIV/0!</v>
      </c>
      <c r="AY7" s="58" t="e">
        <f t="shared" si="15"/>
        <v>#DIV/0!</v>
      </c>
      <c r="AZ7" s="63"/>
      <c r="BA7" s="58" t="e">
        <f t="shared" si="15"/>
        <v>#DIV/0!</v>
      </c>
      <c r="BB7" s="63"/>
      <c r="BC7" s="57" t="e">
        <f>(Links!C7*Links!AQ7+'On-Ramps'!AC7*'On-Ramps'!CE7)/('On-Ramps'!AC7+Links!C7)</f>
        <v>#DIV/0!</v>
      </c>
      <c r="BD7" s="63"/>
      <c r="BE7" s="57" t="e">
        <f>(Links!E7*Links!AS7+'On-Ramps'!AD7*'On-Ramps'!CF6)/('On-Ramps'!AD7+Links!E7)</f>
        <v>#DIV/0!</v>
      </c>
      <c r="BF7" s="57" t="e">
        <f>(Links!F7*Links!AT7+'On-Ramps'!AE7*'On-Ramps'!CG7)/('On-Ramps'!AE7+Links!F7)</f>
        <v>#DIV/0!</v>
      </c>
      <c r="BG7" s="57" t="e">
        <f>(Links!I7*Links!AW7+'On-Ramps'!AF7*'On-Ramps'!CH7)/('On-Ramps'!AF7+Links!I7)</f>
        <v>#DIV/0!</v>
      </c>
      <c r="BH7" s="57" t="e">
        <f>(#REF!*#REF!+'On-Ramps'!AG7*'On-Ramps'!CI7)/('On-Ramps'!AG7+#REF!)</f>
        <v>#REF!</v>
      </c>
      <c r="BI7" s="57" t="e">
        <f>(Links!L7*Links!AZ7+'On-Ramps'!AH7*'On-Ramps'!CJ7)/('On-Ramps'!AH7+Links!L7)</f>
        <v>#DIV/0!</v>
      </c>
      <c r="BJ7" s="57" t="e">
        <f>(Links!BA7*Links!M7+'On-Ramps'!AI7*'On-Ramps'!CK7)/('On-Ramps'!AI7+Links!M7)</f>
        <v>#DIV/0!</v>
      </c>
      <c r="BK7" s="57" t="e">
        <f>(Links!S7*Links!BG7+'On-Ramps'!AJ7*'On-Ramps'!CL7)/('On-Ramps'!AJ7+Links!S7)</f>
        <v>#DIV/0!</v>
      </c>
      <c r="BL7" s="63"/>
      <c r="BM7" s="57" t="e">
        <f>(Links!S7*Links!BG7+'On-Ramps'!AL7*'On-Ramps'!CM7)/(Links!S7+'On-Ramps'!AL7)</f>
        <v>#DIV/0!</v>
      </c>
      <c r="BN7" s="63"/>
      <c r="BO7" s="58" t="e">
        <f>(Links!W7^2+'Off-Ramp'!L7^2)/(Links!W7+'Off-Ramp'!L7)</f>
        <v>#DIV/0!</v>
      </c>
      <c r="BP7" s="63"/>
      <c r="BQ7" s="58" t="e">
        <f>(Links!Y7^2+'Off-Ramp'!C7^2)/(Links!Y7+'Off-Ramp'!C7)</f>
        <v>#DIV/0!</v>
      </c>
      <c r="BR7" s="63"/>
      <c r="BS7" s="58" t="e">
        <f>(Links!AA7^2+'Off-Ramp'!N7^2)/(Links!AA7+'Off-Ramp'!N7)</f>
        <v>#DIV/0!</v>
      </c>
      <c r="BT7" s="58" t="e">
        <f>(Links!AD7^2+'Off-Ramp'!O7^2)/(Links!AD7+'Off-Ramp'!O7)</f>
        <v>#DIV/0!</v>
      </c>
      <c r="BU7" s="58" t="e">
        <f>(Links!AE7^2+'Off-Ramp'!V7^2+'Off-Ramp'!W7^2+'Off-Ramp'!X7^2)/(Links!AE7+'Off-Ramp'!V7+'Off-Ramp'!W7+'Off-Ramp'!X7)</f>
        <v>#DIV/0!</v>
      </c>
      <c r="BV7" s="58" t="e">
        <f>(Links!AG7^2+'Off-Ramp'!Y7^2+'Off-Ramp'!Z7^2+'Off-Ramp'!AA7^2)/(Links!AG7+'Off-Ramp'!Y7+'Off-Ramp'!Z7+'Off-Ramp'!AA7)</f>
        <v>#DIV/0!</v>
      </c>
      <c r="BW7" s="58" t="e">
        <f>(Links!AH7^2+'Off-Ramp'!R7^2)/(Links!AH7+'Off-Ramp'!R7)</f>
        <v>#DIV/0!</v>
      </c>
      <c r="BX7" s="58" t="e">
        <f>(Links!AK7^2+'Off-Ramp'!S7^2)/(Links!AK7+'Off-Ramp'!S7)</f>
        <v>#DIV/0!</v>
      </c>
      <c r="BY7" s="58" t="e">
        <f>(Links!AL7^2+'Off-Ramp'!T7^2)/(Links!AL7+'Off-Ramp'!T7)</f>
        <v>#DIV/0!</v>
      </c>
      <c r="BZ7" s="63"/>
      <c r="CA7" s="58" t="e">
        <f>(Links!AN7^2+'Off-Ramp'!U7^2)/(Links!AN7+'Off-Ramp'!U7)</f>
        <v>#DIV/0!</v>
      </c>
    </row>
    <row r="8" spans="1:79" x14ac:dyDescent="0.15">
      <c r="A8" s="56">
        <v>6</v>
      </c>
      <c r="B8" s="57" t="e">
        <f t="shared" si="1"/>
        <v>#DIV/0!</v>
      </c>
      <c r="C8" s="57" t="e">
        <f t="shared" si="2"/>
        <v>#DIV/0!</v>
      </c>
      <c r="D8" s="57" t="e">
        <f t="shared" si="3"/>
        <v>#DIV/0!</v>
      </c>
      <c r="E8" s="57" t="e">
        <f t="shared" si="4"/>
        <v>#DIV/0!</v>
      </c>
      <c r="F8" s="57" t="e">
        <f t="shared" si="5"/>
        <v>#DIV/0!</v>
      </c>
      <c r="G8" s="57" t="e">
        <f t="shared" si="6"/>
        <v>#DIV/0!</v>
      </c>
      <c r="H8" s="57" t="e">
        <f t="shared" si="7"/>
        <v>#DIV/0!</v>
      </c>
      <c r="I8" s="57" t="e">
        <f t="shared" si="8"/>
        <v>#DIV/0!</v>
      </c>
      <c r="J8" s="57" t="e">
        <f t="shared" si="9"/>
        <v>#DIV/0!</v>
      </c>
      <c r="K8" s="57" t="e">
        <f t="shared" si="10"/>
        <v>#DIV/0!</v>
      </c>
      <c r="L8" s="57" t="e">
        <f t="shared" si="11"/>
        <v>#DIV/0!</v>
      </c>
      <c r="M8" s="57" t="e">
        <f t="shared" si="12"/>
        <v>#DIV/0!</v>
      </c>
      <c r="N8" s="57" t="e">
        <f t="shared" si="13"/>
        <v>#DIV/0!</v>
      </c>
      <c r="O8" s="58" t="e">
        <f>Links!B8</f>
        <v>#DIV/0!</v>
      </c>
      <c r="P8" s="58" t="e">
        <f>Links!C8+'On-Ramps'!AC8</f>
        <v>#DIV/0!</v>
      </c>
      <c r="Q8" s="58" t="e">
        <f>Links!D8</f>
        <v>#DIV/0!</v>
      </c>
      <c r="R8" s="58" t="e">
        <f>Links!E8+'On-Ramps'!AD8</f>
        <v>#DIV/0!</v>
      </c>
      <c r="S8" s="58" t="e">
        <f>Links!F8+'On-Ramps'!AE8</f>
        <v>#DIV/0!</v>
      </c>
      <c r="T8" s="58" t="e">
        <f>Links!I8+'On-Ramps'!AF8</f>
        <v>#DIV/0!</v>
      </c>
      <c r="U8" s="58" t="e">
        <f>Links!J8+'On-Ramps'!AG8</f>
        <v>#DIV/0!</v>
      </c>
      <c r="V8" s="58" t="e">
        <f>Links!L8+'On-Ramps'!AH8</f>
        <v>#DIV/0!</v>
      </c>
      <c r="W8" s="58" t="e">
        <f>Links!M8+'On-Ramps'!AI8</f>
        <v>#DIV/0!</v>
      </c>
      <c r="X8" s="58" t="e">
        <f>Links!P8+'On-Ramps'!AJ8</f>
        <v>#DIV/0!</v>
      </c>
      <c r="Y8" s="58" t="e">
        <f>Links!Q8</f>
        <v>#DIV/0!</v>
      </c>
      <c r="Z8" s="58" t="e">
        <f>Links!R8+'On-Ramps'!AK8</f>
        <v>#DIV/0!</v>
      </c>
      <c r="AA8" s="58" t="e">
        <f>Links!S8</f>
        <v>#DIV/0!</v>
      </c>
      <c r="AB8" s="57" t="e">
        <f t="shared" si="16"/>
        <v>#VALUE!</v>
      </c>
      <c r="AC8" s="63"/>
      <c r="AD8" s="57" t="e">
        <f t="shared" si="17"/>
        <v>#DIV/0!</v>
      </c>
      <c r="AE8" s="63"/>
      <c r="AF8" s="57" t="e">
        <f t="shared" si="18"/>
        <v>#DIV/0!</v>
      </c>
      <c r="AG8" s="57" t="e">
        <f t="shared" si="19"/>
        <v>#DIV/0!</v>
      </c>
      <c r="AH8" s="57" t="e">
        <f t="shared" si="20"/>
        <v>#DIV/0!</v>
      </c>
      <c r="AI8" s="57" t="e">
        <f t="shared" si="21"/>
        <v>#DIV/0!</v>
      </c>
      <c r="AJ8" s="57" t="e">
        <f t="shared" si="22"/>
        <v>#DIV/0!</v>
      </c>
      <c r="AK8" s="57" t="e">
        <f t="shared" si="23"/>
        <v>#DIV/0!</v>
      </c>
      <c r="AL8" s="57" t="e">
        <f t="shared" si="24"/>
        <v>#DIV/0!</v>
      </c>
      <c r="AM8" s="63"/>
      <c r="AN8" s="57" t="e">
        <f t="shared" si="14"/>
        <v>#DIV/0!</v>
      </c>
      <c r="AO8" s="58" t="e">
        <f t="shared" si="25"/>
        <v>#VALUE!</v>
      </c>
      <c r="AP8" s="63"/>
      <c r="AQ8" s="58" t="e">
        <f t="shared" si="15"/>
        <v>#DIV/0!</v>
      </c>
      <c r="AR8" s="63"/>
      <c r="AS8" s="58" t="e">
        <f t="shared" si="15"/>
        <v>#DIV/0!</v>
      </c>
      <c r="AT8" s="58" t="e">
        <f t="shared" si="15"/>
        <v>#DIV/0!</v>
      </c>
      <c r="AU8" s="58" t="e">
        <f t="shared" si="15"/>
        <v>#DIV/0!</v>
      </c>
      <c r="AV8" s="58" t="e">
        <f t="shared" si="15"/>
        <v>#DIV/0!</v>
      </c>
      <c r="AW8" s="58" t="e">
        <f t="shared" si="15"/>
        <v>#DIV/0!</v>
      </c>
      <c r="AX8" s="58" t="e">
        <f t="shared" si="15"/>
        <v>#DIV/0!</v>
      </c>
      <c r="AY8" s="58" t="e">
        <f t="shared" si="15"/>
        <v>#DIV/0!</v>
      </c>
      <c r="AZ8" s="63"/>
      <c r="BA8" s="58" t="e">
        <f t="shared" si="15"/>
        <v>#DIV/0!</v>
      </c>
      <c r="BB8" s="63"/>
      <c r="BC8" s="57" t="e">
        <f>(Links!C8*Links!AQ8+'On-Ramps'!AC8*'On-Ramps'!CE8)/('On-Ramps'!AC8+Links!C8)</f>
        <v>#DIV/0!</v>
      </c>
      <c r="BD8" s="63"/>
      <c r="BE8" s="57" t="e">
        <f>(Links!E8*Links!AS8+'On-Ramps'!AD8*'On-Ramps'!CF7)/('On-Ramps'!AD8+Links!E8)</f>
        <v>#DIV/0!</v>
      </c>
      <c r="BF8" s="57" t="e">
        <f>(Links!F8*Links!AT8+'On-Ramps'!AE8*'On-Ramps'!CG8)/('On-Ramps'!AE8+Links!F8)</f>
        <v>#DIV/0!</v>
      </c>
      <c r="BG8" s="57" t="e">
        <f>(Links!I8*Links!AW8+'On-Ramps'!AF8*'On-Ramps'!CH8)/('On-Ramps'!AF8+Links!I8)</f>
        <v>#DIV/0!</v>
      </c>
      <c r="BH8" s="57" t="e">
        <f>(#REF!*#REF!+'On-Ramps'!AG8*'On-Ramps'!CI8)/('On-Ramps'!AG8+#REF!)</f>
        <v>#REF!</v>
      </c>
      <c r="BI8" s="57" t="e">
        <f>(Links!L8*Links!AZ8+'On-Ramps'!AH8*'On-Ramps'!CJ8)/('On-Ramps'!AH8+Links!L8)</f>
        <v>#DIV/0!</v>
      </c>
      <c r="BJ8" s="57" t="e">
        <f>(Links!BA8*Links!M8+'On-Ramps'!AI8*'On-Ramps'!CK8)/('On-Ramps'!AI8+Links!M8)</f>
        <v>#DIV/0!</v>
      </c>
      <c r="BK8" s="57" t="e">
        <f>(Links!S8*Links!BG8+'On-Ramps'!AJ8*'On-Ramps'!CL8)/('On-Ramps'!AJ8+Links!S8)</f>
        <v>#DIV/0!</v>
      </c>
      <c r="BL8" s="63"/>
      <c r="BM8" s="57" t="e">
        <f>(Links!S8*Links!BG8+'On-Ramps'!AL8*'On-Ramps'!CM8)/(Links!S8+'On-Ramps'!AL8)</f>
        <v>#DIV/0!</v>
      </c>
      <c r="BN8" s="63"/>
      <c r="BO8" s="58" t="e">
        <f>(Links!W8^2+'Off-Ramp'!L8^2)/(Links!W8+'Off-Ramp'!L8)</f>
        <v>#DIV/0!</v>
      </c>
      <c r="BP8" s="63"/>
      <c r="BQ8" s="58" t="e">
        <f>(Links!Y8^2+'Off-Ramp'!C8^2)/(Links!Y8+'Off-Ramp'!C8)</f>
        <v>#DIV/0!</v>
      </c>
      <c r="BR8" s="63"/>
      <c r="BS8" s="58" t="e">
        <f>(Links!AA8^2+'Off-Ramp'!N8^2)/(Links!AA8+'Off-Ramp'!N8)</f>
        <v>#DIV/0!</v>
      </c>
      <c r="BT8" s="58" t="e">
        <f>(Links!AD8^2+'Off-Ramp'!O8^2)/(Links!AD8+'Off-Ramp'!O8)</f>
        <v>#DIV/0!</v>
      </c>
      <c r="BU8" s="58" t="e">
        <f>(Links!AE8^2+'Off-Ramp'!V8^2+'Off-Ramp'!W8^2+'Off-Ramp'!X8^2)/(Links!AE8+'Off-Ramp'!V8+'Off-Ramp'!W8+'Off-Ramp'!X8)</f>
        <v>#DIV/0!</v>
      </c>
      <c r="BV8" s="58" t="e">
        <f>(Links!AG8^2+'Off-Ramp'!Y8^2+'Off-Ramp'!Z8^2+'Off-Ramp'!AA8^2)/(Links!AG8+'Off-Ramp'!Y8+'Off-Ramp'!Z8+'Off-Ramp'!AA8)</f>
        <v>#DIV/0!</v>
      </c>
      <c r="BW8" s="58" t="e">
        <f>(Links!AH8^2+'Off-Ramp'!R8^2)/(Links!AH8+'Off-Ramp'!R8)</f>
        <v>#DIV/0!</v>
      </c>
      <c r="BX8" s="58" t="e">
        <f>(Links!AK8^2+'Off-Ramp'!S8^2)/(Links!AK8+'Off-Ramp'!S8)</f>
        <v>#DIV/0!</v>
      </c>
      <c r="BY8" s="58" t="e">
        <f>(Links!AL8^2+'Off-Ramp'!T8^2)/(Links!AL8+'Off-Ramp'!T8)</f>
        <v>#DIV/0!</v>
      </c>
      <c r="BZ8" s="63"/>
      <c r="CA8" s="58" t="e">
        <f>(Links!AN8^2+'Off-Ramp'!U8^2)/(Links!AN8+'Off-Ramp'!U8)</f>
        <v>#DIV/0!</v>
      </c>
    </row>
    <row r="9" spans="1:79" x14ac:dyDescent="0.15">
      <c r="A9" s="56">
        <v>7</v>
      </c>
      <c r="B9" s="57" t="e">
        <f t="shared" si="1"/>
        <v>#DIV/0!</v>
      </c>
      <c r="C9" s="57" t="e">
        <f t="shared" si="2"/>
        <v>#DIV/0!</v>
      </c>
      <c r="D9" s="57" t="e">
        <f t="shared" si="3"/>
        <v>#DIV/0!</v>
      </c>
      <c r="E9" s="57" t="e">
        <f t="shared" si="4"/>
        <v>#DIV/0!</v>
      </c>
      <c r="F9" s="57" t="e">
        <f t="shared" si="5"/>
        <v>#DIV/0!</v>
      </c>
      <c r="G9" s="57" t="e">
        <f t="shared" si="6"/>
        <v>#DIV/0!</v>
      </c>
      <c r="H9" s="57" t="e">
        <f t="shared" si="7"/>
        <v>#DIV/0!</v>
      </c>
      <c r="I9" s="57" t="e">
        <f t="shared" si="8"/>
        <v>#DIV/0!</v>
      </c>
      <c r="J9" s="57" t="e">
        <f t="shared" si="9"/>
        <v>#DIV/0!</v>
      </c>
      <c r="K9" s="57" t="e">
        <f t="shared" si="10"/>
        <v>#DIV/0!</v>
      </c>
      <c r="L9" s="57" t="e">
        <f t="shared" si="11"/>
        <v>#DIV/0!</v>
      </c>
      <c r="M9" s="57" t="e">
        <f t="shared" si="12"/>
        <v>#DIV/0!</v>
      </c>
      <c r="N9" s="57" t="e">
        <f t="shared" si="13"/>
        <v>#DIV/0!</v>
      </c>
      <c r="O9" s="58" t="e">
        <f>Links!B9</f>
        <v>#DIV/0!</v>
      </c>
      <c r="P9" s="58" t="e">
        <f>Links!C9+'On-Ramps'!AC9</f>
        <v>#DIV/0!</v>
      </c>
      <c r="Q9" s="58" t="e">
        <f>Links!D9</f>
        <v>#DIV/0!</v>
      </c>
      <c r="R9" s="58" t="e">
        <f>Links!E9+'On-Ramps'!AD9</f>
        <v>#DIV/0!</v>
      </c>
      <c r="S9" s="58" t="e">
        <f>Links!F9+'On-Ramps'!AE9</f>
        <v>#DIV/0!</v>
      </c>
      <c r="T9" s="58" t="e">
        <f>Links!I9+'On-Ramps'!AF9</f>
        <v>#DIV/0!</v>
      </c>
      <c r="U9" s="58" t="e">
        <f>Links!J9+'On-Ramps'!AG9</f>
        <v>#DIV/0!</v>
      </c>
      <c r="V9" s="58" t="e">
        <f>Links!L9+'On-Ramps'!AH9</f>
        <v>#DIV/0!</v>
      </c>
      <c r="W9" s="58" t="e">
        <f>Links!M9+'On-Ramps'!AI9</f>
        <v>#DIV/0!</v>
      </c>
      <c r="X9" s="58" t="e">
        <f>Links!P9+'On-Ramps'!AJ9</f>
        <v>#DIV/0!</v>
      </c>
      <c r="Y9" s="58" t="e">
        <f>Links!Q9</f>
        <v>#DIV/0!</v>
      </c>
      <c r="Z9" s="58" t="e">
        <f>Links!R9+'On-Ramps'!AK9</f>
        <v>#DIV/0!</v>
      </c>
      <c r="AA9" s="58" t="e">
        <f>Links!S9</f>
        <v>#DIV/0!</v>
      </c>
      <c r="AB9" s="57" t="e">
        <f t="shared" si="16"/>
        <v>#VALUE!</v>
      </c>
      <c r="AC9" s="63"/>
      <c r="AD9" s="57" t="e">
        <f t="shared" si="17"/>
        <v>#DIV/0!</v>
      </c>
      <c r="AE9" s="63"/>
      <c r="AF9" s="57" t="e">
        <f t="shared" si="18"/>
        <v>#DIV/0!</v>
      </c>
      <c r="AG9" s="57" t="e">
        <f t="shared" si="19"/>
        <v>#DIV/0!</v>
      </c>
      <c r="AH9" s="57" t="e">
        <f t="shared" si="20"/>
        <v>#DIV/0!</v>
      </c>
      <c r="AI9" s="57" t="e">
        <f t="shared" si="21"/>
        <v>#DIV/0!</v>
      </c>
      <c r="AJ9" s="57" t="e">
        <f t="shared" si="22"/>
        <v>#DIV/0!</v>
      </c>
      <c r="AK9" s="57" t="e">
        <f t="shared" si="23"/>
        <v>#DIV/0!</v>
      </c>
      <c r="AL9" s="57" t="e">
        <f t="shared" si="24"/>
        <v>#DIV/0!</v>
      </c>
      <c r="AM9" s="63"/>
      <c r="AN9" s="57" t="e">
        <f t="shared" si="14"/>
        <v>#DIV/0!</v>
      </c>
      <c r="AO9" s="58" t="e">
        <f t="shared" si="25"/>
        <v>#VALUE!</v>
      </c>
      <c r="AP9" s="63"/>
      <c r="AQ9" s="58" t="e">
        <f t="shared" si="15"/>
        <v>#DIV/0!</v>
      </c>
      <c r="AR9" s="63"/>
      <c r="AS9" s="58" t="e">
        <f t="shared" si="15"/>
        <v>#DIV/0!</v>
      </c>
      <c r="AT9" s="58" t="e">
        <f t="shared" si="15"/>
        <v>#DIV/0!</v>
      </c>
      <c r="AU9" s="58" t="e">
        <f t="shared" si="15"/>
        <v>#DIV/0!</v>
      </c>
      <c r="AV9" s="58" t="e">
        <f t="shared" si="15"/>
        <v>#DIV/0!</v>
      </c>
      <c r="AW9" s="58" t="e">
        <f t="shared" si="15"/>
        <v>#DIV/0!</v>
      </c>
      <c r="AX9" s="58" t="e">
        <f t="shared" si="15"/>
        <v>#DIV/0!</v>
      </c>
      <c r="AY9" s="58" t="e">
        <f t="shared" si="15"/>
        <v>#DIV/0!</v>
      </c>
      <c r="AZ9" s="63"/>
      <c r="BA9" s="58" t="e">
        <f t="shared" si="15"/>
        <v>#DIV/0!</v>
      </c>
      <c r="BB9" s="63"/>
      <c r="BC9" s="57" t="e">
        <f>(Links!C9*Links!AQ9+'On-Ramps'!AC9*'On-Ramps'!CE9)/('On-Ramps'!AC9+Links!C9)</f>
        <v>#DIV/0!</v>
      </c>
      <c r="BD9" s="63"/>
      <c r="BE9" s="57" t="e">
        <f>(Links!E9*Links!AS9+'On-Ramps'!AD9*'On-Ramps'!CF8)/('On-Ramps'!AD9+Links!E9)</f>
        <v>#DIV/0!</v>
      </c>
      <c r="BF9" s="57" t="e">
        <f>(Links!F9*Links!AT9+'On-Ramps'!AE9*'On-Ramps'!CG9)/('On-Ramps'!AE9+Links!F9)</f>
        <v>#DIV/0!</v>
      </c>
      <c r="BG9" s="57" t="e">
        <f>(Links!I9*Links!AW9+'On-Ramps'!AF9*'On-Ramps'!CH9)/('On-Ramps'!AF9+Links!I9)</f>
        <v>#DIV/0!</v>
      </c>
      <c r="BH9" s="57" t="e">
        <f>(#REF!*#REF!+'On-Ramps'!AG9*'On-Ramps'!CI9)/('On-Ramps'!AG9+#REF!)</f>
        <v>#REF!</v>
      </c>
      <c r="BI9" s="57" t="e">
        <f>(Links!L9*Links!AZ9+'On-Ramps'!AH9*'On-Ramps'!CJ9)/('On-Ramps'!AH9+Links!L9)</f>
        <v>#DIV/0!</v>
      </c>
      <c r="BJ9" s="57" t="e">
        <f>(Links!BA9*Links!M9+'On-Ramps'!AI9*'On-Ramps'!CK9)/('On-Ramps'!AI9+Links!M9)</f>
        <v>#DIV/0!</v>
      </c>
      <c r="BK9" s="57" t="e">
        <f>(Links!S9*Links!BG9+'On-Ramps'!AJ9*'On-Ramps'!CL9)/('On-Ramps'!AJ9+Links!S9)</f>
        <v>#DIV/0!</v>
      </c>
      <c r="BL9" s="63"/>
      <c r="BM9" s="57" t="e">
        <f>(Links!S9*Links!BG9+'On-Ramps'!AL9*'On-Ramps'!CM9)/(Links!S9+'On-Ramps'!AL9)</f>
        <v>#DIV/0!</v>
      </c>
      <c r="BN9" s="63"/>
      <c r="BO9" s="58" t="e">
        <f>(Links!W9^2+'Off-Ramp'!L9^2)/(Links!W9+'Off-Ramp'!L9)</f>
        <v>#DIV/0!</v>
      </c>
      <c r="BP9" s="63"/>
      <c r="BQ9" s="58" t="e">
        <f>(Links!Y9^2+'Off-Ramp'!C9^2)/(Links!Y9+'Off-Ramp'!C9)</f>
        <v>#DIV/0!</v>
      </c>
      <c r="BR9" s="63"/>
      <c r="BS9" s="58" t="e">
        <f>(Links!AA9^2+'Off-Ramp'!N9^2)/(Links!AA9+'Off-Ramp'!N9)</f>
        <v>#DIV/0!</v>
      </c>
      <c r="BT9" s="58" t="e">
        <f>(Links!AD9^2+'Off-Ramp'!O9^2)/(Links!AD9+'Off-Ramp'!O9)</f>
        <v>#DIV/0!</v>
      </c>
      <c r="BU9" s="58" t="e">
        <f>(Links!AE9^2+'Off-Ramp'!V9^2+'Off-Ramp'!W9^2+'Off-Ramp'!X9^2)/(Links!AE9+'Off-Ramp'!V9+'Off-Ramp'!W9+'Off-Ramp'!X9)</f>
        <v>#DIV/0!</v>
      </c>
      <c r="BV9" s="58" t="e">
        <f>(Links!AG9^2+'Off-Ramp'!Y9^2+'Off-Ramp'!Z9^2+'Off-Ramp'!AA9^2)/(Links!AG9+'Off-Ramp'!Y9+'Off-Ramp'!Z9+'Off-Ramp'!AA9)</f>
        <v>#DIV/0!</v>
      </c>
      <c r="BW9" s="58" t="e">
        <f>(Links!AH9^2+'Off-Ramp'!R9^2)/(Links!AH9+'Off-Ramp'!R9)</f>
        <v>#DIV/0!</v>
      </c>
      <c r="BX9" s="58" t="e">
        <f>(Links!AK9^2+'Off-Ramp'!S9^2)/(Links!AK9+'Off-Ramp'!S9)</f>
        <v>#DIV/0!</v>
      </c>
      <c r="BY9" s="58" t="e">
        <f>(Links!AL9^2+'Off-Ramp'!T9^2)/(Links!AL9+'Off-Ramp'!T9)</f>
        <v>#DIV/0!</v>
      </c>
      <c r="BZ9" s="63"/>
      <c r="CA9" s="58" t="e">
        <f>(Links!AN9^2+'Off-Ramp'!U9^2)/(Links!AN9+'Off-Ramp'!U9)</f>
        <v>#DIV/0!</v>
      </c>
    </row>
    <row r="10" spans="1:79" x14ac:dyDescent="0.15">
      <c r="A10" s="56">
        <v>8</v>
      </c>
      <c r="B10" s="57" t="e">
        <f t="shared" si="1"/>
        <v>#DIV/0!</v>
      </c>
      <c r="C10" s="57" t="e">
        <f t="shared" si="2"/>
        <v>#DIV/0!</v>
      </c>
      <c r="D10" s="57" t="e">
        <f t="shared" si="3"/>
        <v>#DIV/0!</v>
      </c>
      <c r="E10" s="57" t="e">
        <f t="shared" si="4"/>
        <v>#DIV/0!</v>
      </c>
      <c r="F10" s="57" t="e">
        <f t="shared" si="5"/>
        <v>#DIV/0!</v>
      </c>
      <c r="G10" s="57" t="e">
        <f t="shared" si="6"/>
        <v>#DIV/0!</v>
      </c>
      <c r="H10" s="57" t="e">
        <f t="shared" si="7"/>
        <v>#DIV/0!</v>
      </c>
      <c r="I10" s="57" t="e">
        <f t="shared" si="8"/>
        <v>#DIV/0!</v>
      </c>
      <c r="J10" s="57" t="e">
        <f t="shared" si="9"/>
        <v>#DIV/0!</v>
      </c>
      <c r="K10" s="57" t="e">
        <f t="shared" si="10"/>
        <v>#DIV/0!</v>
      </c>
      <c r="L10" s="57" t="e">
        <f t="shared" si="11"/>
        <v>#DIV/0!</v>
      </c>
      <c r="M10" s="57" t="e">
        <f t="shared" si="12"/>
        <v>#DIV/0!</v>
      </c>
      <c r="N10" s="57" t="e">
        <f t="shared" si="13"/>
        <v>#DIV/0!</v>
      </c>
      <c r="O10" s="58" t="e">
        <f>Links!B10</f>
        <v>#DIV/0!</v>
      </c>
      <c r="P10" s="58" t="e">
        <f>Links!C10+'On-Ramps'!AC10</f>
        <v>#DIV/0!</v>
      </c>
      <c r="Q10" s="58" t="e">
        <f>Links!D10</f>
        <v>#DIV/0!</v>
      </c>
      <c r="R10" s="58" t="e">
        <f>Links!E10+'On-Ramps'!AD10</f>
        <v>#DIV/0!</v>
      </c>
      <c r="S10" s="58" t="e">
        <f>Links!F10+'On-Ramps'!AE10</f>
        <v>#DIV/0!</v>
      </c>
      <c r="T10" s="58" t="e">
        <f>Links!I10+'On-Ramps'!AF10</f>
        <v>#DIV/0!</v>
      </c>
      <c r="U10" s="58" t="e">
        <f>Links!J10+'On-Ramps'!AG10</f>
        <v>#DIV/0!</v>
      </c>
      <c r="V10" s="58" t="e">
        <f>Links!L10+'On-Ramps'!AH10</f>
        <v>#DIV/0!</v>
      </c>
      <c r="W10" s="58" t="e">
        <f>Links!M10+'On-Ramps'!AI10</f>
        <v>#DIV/0!</v>
      </c>
      <c r="X10" s="58" t="e">
        <f>Links!P10+'On-Ramps'!AJ10</f>
        <v>#DIV/0!</v>
      </c>
      <c r="Y10" s="58" t="e">
        <f>Links!Q10</f>
        <v>#DIV/0!</v>
      </c>
      <c r="Z10" s="58" t="e">
        <f>Links!R10+'On-Ramps'!AK10</f>
        <v>#DIV/0!</v>
      </c>
      <c r="AA10" s="58" t="e">
        <f>Links!S10</f>
        <v>#DIV/0!</v>
      </c>
      <c r="AB10" s="57" t="e">
        <f t="shared" si="16"/>
        <v>#VALUE!</v>
      </c>
      <c r="AC10" s="63"/>
      <c r="AD10" s="57" t="e">
        <f t="shared" si="17"/>
        <v>#DIV/0!</v>
      </c>
      <c r="AE10" s="63"/>
      <c r="AF10" s="57" t="e">
        <f t="shared" si="18"/>
        <v>#DIV/0!</v>
      </c>
      <c r="AG10" s="57" t="e">
        <f t="shared" si="19"/>
        <v>#DIV/0!</v>
      </c>
      <c r="AH10" s="57" t="e">
        <f t="shared" si="20"/>
        <v>#DIV/0!</v>
      </c>
      <c r="AI10" s="57" t="e">
        <f t="shared" si="21"/>
        <v>#DIV/0!</v>
      </c>
      <c r="AJ10" s="57" t="e">
        <f t="shared" si="22"/>
        <v>#DIV/0!</v>
      </c>
      <c r="AK10" s="57" t="e">
        <f t="shared" si="23"/>
        <v>#DIV/0!</v>
      </c>
      <c r="AL10" s="57" t="e">
        <f t="shared" si="24"/>
        <v>#DIV/0!</v>
      </c>
      <c r="AM10" s="63"/>
      <c r="AN10" s="57" t="e">
        <f t="shared" si="14"/>
        <v>#DIV/0!</v>
      </c>
      <c r="AO10" s="58" t="e">
        <f t="shared" si="25"/>
        <v>#VALUE!</v>
      </c>
      <c r="AP10" s="63"/>
      <c r="AQ10" s="58" t="e">
        <f t="shared" si="15"/>
        <v>#DIV/0!</v>
      </c>
      <c r="AR10" s="63"/>
      <c r="AS10" s="58" t="e">
        <f t="shared" si="15"/>
        <v>#DIV/0!</v>
      </c>
      <c r="AT10" s="58" t="e">
        <f t="shared" si="15"/>
        <v>#DIV/0!</v>
      </c>
      <c r="AU10" s="58" t="e">
        <f t="shared" si="15"/>
        <v>#DIV/0!</v>
      </c>
      <c r="AV10" s="58" t="e">
        <f t="shared" si="15"/>
        <v>#DIV/0!</v>
      </c>
      <c r="AW10" s="58" t="e">
        <f t="shared" si="15"/>
        <v>#DIV/0!</v>
      </c>
      <c r="AX10" s="58" t="e">
        <f t="shared" si="15"/>
        <v>#DIV/0!</v>
      </c>
      <c r="AY10" s="58" t="e">
        <f t="shared" si="15"/>
        <v>#DIV/0!</v>
      </c>
      <c r="AZ10" s="63"/>
      <c r="BA10" s="58" t="e">
        <f t="shared" si="15"/>
        <v>#DIV/0!</v>
      </c>
      <c r="BB10" s="63"/>
      <c r="BC10" s="57" t="e">
        <f>(Links!C10*Links!AQ10+'On-Ramps'!AC10*'On-Ramps'!CE10)/('On-Ramps'!AC10+Links!C10)</f>
        <v>#DIV/0!</v>
      </c>
      <c r="BD10" s="63"/>
      <c r="BE10" s="57" t="e">
        <f>(Links!E10*Links!AS10+'On-Ramps'!AD10*'On-Ramps'!CF9)/('On-Ramps'!AD10+Links!E10)</f>
        <v>#DIV/0!</v>
      </c>
      <c r="BF10" s="57" t="e">
        <f>(Links!F10*Links!AT10+'On-Ramps'!AE10*'On-Ramps'!CG10)/('On-Ramps'!AE10+Links!F10)</f>
        <v>#DIV/0!</v>
      </c>
      <c r="BG10" s="57" t="e">
        <f>(Links!I10*Links!AW10+'On-Ramps'!AF10*'On-Ramps'!CH10)/('On-Ramps'!AF10+Links!I10)</f>
        <v>#DIV/0!</v>
      </c>
      <c r="BH10" s="57" t="e">
        <f>(#REF!*#REF!+'On-Ramps'!AG10*'On-Ramps'!CI10)/('On-Ramps'!AG10+#REF!)</f>
        <v>#REF!</v>
      </c>
      <c r="BI10" s="57" t="e">
        <f>(Links!L10*Links!AZ10+'On-Ramps'!AH10*'On-Ramps'!CJ10)/('On-Ramps'!AH10+Links!L10)</f>
        <v>#DIV/0!</v>
      </c>
      <c r="BJ10" s="57" t="e">
        <f>(Links!BA10*Links!M10+'On-Ramps'!AI10*'On-Ramps'!CK10)/('On-Ramps'!AI10+Links!M10)</f>
        <v>#DIV/0!</v>
      </c>
      <c r="BK10" s="57" t="e">
        <f>(Links!S10*Links!BG10+'On-Ramps'!AJ10*'On-Ramps'!CL10)/('On-Ramps'!AJ10+Links!S10)</f>
        <v>#DIV/0!</v>
      </c>
      <c r="BL10" s="63"/>
      <c r="BM10" s="57" t="e">
        <f>(Links!S10*Links!BG10+'On-Ramps'!AL10*'On-Ramps'!CM10)/(Links!S10+'On-Ramps'!AL10)</f>
        <v>#DIV/0!</v>
      </c>
      <c r="BN10" s="63"/>
      <c r="BO10" s="58" t="e">
        <f>(Links!W10^2+'Off-Ramp'!L10^2)/(Links!W10+'Off-Ramp'!L10)</f>
        <v>#DIV/0!</v>
      </c>
      <c r="BP10" s="63"/>
      <c r="BQ10" s="58" t="e">
        <f>(Links!Y10^2+'Off-Ramp'!C10^2)/(Links!Y10+'Off-Ramp'!C10)</f>
        <v>#DIV/0!</v>
      </c>
      <c r="BR10" s="63"/>
      <c r="BS10" s="58" t="e">
        <f>(Links!AA10^2+'Off-Ramp'!N10^2)/(Links!AA10+'Off-Ramp'!N10)</f>
        <v>#DIV/0!</v>
      </c>
      <c r="BT10" s="58" t="e">
        <f>(Links!AD10^2+'Off-Ramp'!O10^2)/(Links!AD10+'Off-Ramp'!O10)</f>
        <v>#DIV/0!</v>
      </c>
      <c r="BU10" s="58" t="e">
        <f>(Links!AE10^2+'Off-Ramp'!V10^2+'Off-Ramp'!W10^2+'Off-Ramp'!X10^2)/(Links!AE10+'Off-Ramp'!V10+'Off-Ramp'!W10+'Off-Ramp'!X10)</f>
        <v>#DIV/0!</v>
      </c>
      <c r="BV10" s="58" t="e">
        <f>(Links!AG10^2+'Off-Ramp'!Y10^2+'Off-Ramp'!Z10^2+'Off-Ramp'!AA10^2)/(Links!AG10+'Off-Ramp'!Y10+'Off-Ramp'!Z10+'Off-Ramp'!AA10)</f>
        <v>#DIV/0!</v>
      </c>
      <c r="BW10" s="58" t="e">
        <f>(Links!AH10^2+'Off-Ramp'!R10^2)/(Links!AH10+'Off-Ramp'!R10)</f>
        <v>#DIV/0!</v>
      </c>
      <c r="BX10" s="58" t="e">
        <f>(Links!AK10^2+'Off-Ramp'!S10^2)/(Links!AK10+'Off-Ramp'!S10)</f>
        <v>#DIV/0!</v>
      </c>
      <c r="BY10" s="58" t="e">
        <f>(Links!AL10^2+'Off-Ramp'!T10^2)/(Links!AL10+'Off-Ramp'!T10)</f>
        <v>#DIV/0!</v>
      </c>
      <c r="BZ10" s="63"/>
      <c r="CA10" s="58" t="e">
        <f>(Links!AN10^2+'Off-Ramp'!U10^2)/(Links!AN10+'Off-Ramp'!U10)</f>
        <v>#DIV/0!</v>
      </c>
    </row>
    <row r="11" spans="1:79" x14ac:dyDescent="0.15">
      <c r="A11" s="56">
        <v>9</v>
      </c>
      <c r="B11" s="57" t="e">
        <f t="shared" si="1"/>
        <v>#DIV/0!</v>
      </c>
      <c r="C11" s="57" t="e">
        <f t="shared" si="2"/>
        <v>#DIV/0!</v>
      </c>
      <c r="D11" s="57" t="e">
        <f t="shared" si="3"/>
        <v>#DIV/0!</v>
      </c>
      <c r="E11" s="57" t="e">
        <f t="shared" si="4"/>
        <v>#DIV/0!</v>
      </c>
      <c r="F11" s="57" t="e">
        <f t="shared" si="5"/>
        <v>#DIV/0!</v>
      </c>
      <c r="G11" s="57" t="e">
        <f t="shared" si="6"/>
        <v>#DIV/0!</v>
      </c>
      <c r="H11" s="57" t="e">
        <f t="shared" si="7"/>
        <v>#DIV/0!</v>
      </c>
      <c r="I11" s="57" t="e">
        <f t="shared" si="8"/>
        <v>#DIV/0!</v>
      </c>
      <c r="J11" s="57" t="e">
        <f t="shared" si="9"/>
        <v>#DIV/0!</v>
      </c>
      <c r="K11" s="57" t="e">
        <f t="shared" si="10"/>
        <v>#DIV/0!</v>
      </c>
      <c r="L11" s="57" t="e">
        <f t="shared" si="11"/>
        <v>#DIV/0!</v>
      </c>
      <c r="M11" s="57" t="e">
        <f t="shared" si="12"/>
        <v>#DIV/0!</v>
      </c>
      <c r="N11" s="57" t="e">
        <f t="shared" si="13"/>
        <v>#DIV/0!</v>
      </c>
      <c r="O11" s="58" t="e">
        <f>Links!B11</f>
        <v>#DIV/0!</v>
      </c>
      <c r="P11" s="58" t="e">
        <f>Links!C11+'On-Ramps'!AC11</f>
        <v>#DIV/0!</v>
      </c>
      <c r="Q11" s="58" t="e">
        <f>Links!D11</f>
        <v>#DIV/0!</v>
      </c>
      <c r="R11" s="58" t="e">
        <f>Links!E11+'On-Ramps'!AD11</f>
        <v>#DIV/0!</v>
      </c>
      <c r="S11" s="58" t="e">
        <f>Links!F11+'On-Ramps'!AE11</f>
        <v>#DIV/0!</v>
      </c>
      <c r="T11" s="58" t="e">
        <f>Links!I11+'On-Ramps'!AF11</f>
        <v>#DIV/0!</v>
      </c>
      <c r="U11" s="58" t="e">
        <f>Links!J11+'On-Ramps'!AG11</f>
        <v>#DIV/0!</v>
      </c>
      <c r="V11" s="58" t="e">
        <f>Links!L11+'On-Ramps'!AH11</f>
        <v>#DIV/0!</v>
      </c>
      <c r="W11" s="58" t="e">
        <f>Links!M11+'On-Ramps'!AI11</f>
        <v>#DIV/0!</v>
      </c>
      <c r="X11" s="58" t="e">
        <f>Links!P11+'On-Ramps'!AJ11</f>
        <v>#DIV/0!</v>
      </c>
      <c r="Y11" s="58" t="e">
        <f>Links!Q11</f>
        <v>#DIV/0!</v>
      </c>
      <c r="Z11" s="58" t="e">
        <f>Links!R11+'On-Ramps'!AK11</f>
        <v>#DIV/0!</v>
      </c>
      <c r="AA11" s="58" t="e">
        <f>Links!S11</f>
        <v>#DIV/0!</v>
      </c>
      <c r="AB11" s="57" t="e">
        <f t="shared" si="16"/>
        <v>#VALUE!</v>
      </c>
      <c r="AC11" s="63"/>
      <c r="AD11" s="57" t="e">
        <f t="shared" si="17"/>
        <v>#DIV/0!</v>
      </c>
      <c r="AE11" s="63"/>
      <c r="AF11" s="57" t="e">
        <f t="shared" si="18"/>
        <v>#DIV/0!</v>
      </c>
      <c r="AG11" s="57" t="e">
        <f t="shared" si="19"/>
        <v>#DIV/0!</v>
      </c>
      <c r="AH11" s="57" t="e">
        <f t="shared" si="20"/>
        <v>#DIV/0!</v>
      </c>
      <c r="AI11" s="57" t="e">
        <f t="shared" si="21"/>
        <v>#DIV/0!</v>
      </c>
      <c r="AJ11" s="57" t="e">
        <f t="shared" si="22"/>
        <v>#DIV/0!</v>
      </c>
      <c r="AK11" s="57" t="e">
        <f t="shared" si="23"/>
        <v>#DIV/0!</v>
      </c>
      <c r="AL11" s="57" t="e">
        <f t="shared" si="24"/>
        <v>#DIV/0!</v>
      </c>
      <c r="AM11" s="63"/>
      <c r="AN11" s="57" t="e">
        <f t="shared" si="14"/>
        <v>#DIV/0!</v>
      </c>
      <c r="AO11" s="58" t="e">
        <f t="shared" si="25"/>
        <v>#VALUE!</v>
      </c>
      <c r="AP11" s="63"/>
      <c r="AQ11" s="58" t="e">
        <f t="shared" si="15"/>
        <v>#DIV/0!</v>
      </c>
      <c r="AR11" s="63"/>
      <c r="AS11" s="58" t="e">
        <f t="shared" si="15"/>
        <v>#DIV/0!</v>
      </c>
      <c r="AT11" s="58" t="e">
        <f t="shared" si="15"/>
        <v>#DIV/0!</v>
      </c>
      <c r="AU11" s="58" t="e">
        <f t="shared" si="15"/>
        <v>#DIV/0!</v>
      </c>
      <c r="AV11" s="58" t="e">
        <f t="shared" si="15"/>
        <v>#DIV/0!</v>
      </c>
      <c r="AW11" s="58" t="e">
        <f t="shared" si="15"/>
        <v>#DIV/0!</v>
      </c>
      <c r="AX11" s="58" t="e">
        <f t="shared" si="15"/>
        <v>#DIV/0!</v>
      </c>
      <c r="AY11" s="58" t="e">
        <f t="shared" si="15"/>
        <v>#DIV/0!</v>
      </c>
      <c r="AZ11" s="63"/>
      <c r="BA11" s="58" t="e">
        <f t="shared" si="15"/>
        <v>#DIV/0!</v>
      </c>
      <c r="BB11" s="63"/>
      <c r="BC11" s="57" t="e">
        <f>(Links!C11*Links!AQ11+'On-Ramps'!AC11*'On-Ramps'!CE11)/('On-Ramps'!AC11+Links!C11)</f>
        <v>#DIV/0!</v>
      </c>
      <c r="BD11" s="63"/>
      <c r="BE11" s="57" t="e">
        <f>(Links!E11*Links!AS11+'On-Ramps'!AD11*'On-Ramps'!CF10)/('On-Ramps'!AD11+Links!E11)</f>
        <v>#DIV/0!</v>
      </c>
      <c r="BF11" s="57" t="e">
        <f>(Links!F11*Links!AT11+'On-Ramps'!AE11*'On-Ramps'!CG11)/('On-Ramps'!AE11+Links!F11)</f>
        <v>#DIV/0!</v>
      </c>
      <c r="BG11" s="57" t="e">
        <f>(Links!I11*Links!AW11+'On-Ramps'!AF11*'On-Ramps'!CH11)/('On-Ramps'!AF11+Links!I11)</f>
        <v>#DIV/0!</v>
      </c>
      <c r="BH11" s="57" t="e">
        <f>(#REF!*#REF!+'On-Ramps'!AG11*'On-Ramps'!CI11)/('On-Ramps'!AG11+#REF!)</f>
        <v>#REF!</v>
      </c>
      <c r="BI11" s="57" t="e">
        <f>(Links!L11*Links!AZ11+'On-Ramps'!AH11*'On-Ramps'!CJ11)/('On-Ramps'!AH11+Links!L11)</f>
        <v>#DIV/0!</v>
      </c>
      <c r="BJ11" s="57" t="e">
        <f>(Links!BA11*Links!M11+'On-Ramps'!AI11*'On-Ramps'!CK11)/('On-Ramps'!AI11+Links!M11)</f>
        <v>#DIV/0!</v>
      </c>
      <c r="BK11" s="57" t="e">
        <f>(Links!S11*Links!BG11+'On-Ramps'!AJ11*'On-Ramps'!CL11)/('On-Ramps'!AJ11+Links!S11)</f>
        <v>#DIV/0!</v>
      </c>
      <c r="BL11" s="63"/>
      <c r="BM11" s="57" t="e">
        <f>(Links!S11*Links!BG11+'On-Ramps'!AL11*'On-Ramps'!CM11)/(Links!S11+'On-Ramps'!AL11)</f>
        <v>#DIV/0!</v>
      </c>
      <c r="BN11" s="63"/>
      <c r="BO11" s="58" t="e">
        <f>(Links!W11^2+'Off-Ramp'!L11^2)/(Links!W11+'Off-Ramp'!L11)</f>
        <v>#DIV/0!</v>
      </c>
      <c r="BP11" s="63"/>
      <c r="BQ11" s="58" t="e">
        <f>(Links!Y11^2+'Off-Ramp'!C11^2)/(Links!Y11+'Off-Ramp'!C11)</f>
        <v>#DIV/0!</v>
      </c>
      <c r="BR11" s="63"/>
      <c r="BS11" s="58" t="e">
        <f>(Links!AA11^2+'Off-Ramp'!N11^2)/(Links!AA11+'Off-Ramp'!N11)</f>
        <v>#DIV/0!</v>
      </c>
      <c r="BT11" s="58" t="e">
        <f>(Links!AD11^2+'Off-Ramp'!O11^2)/(Links!AD11+'Off-Ramp'!O11)</f>
        <v>#DIV/0!</v>
      </c>
      <c r="BU11" s="58" t="e">
        <f>(Links!AE11^2+'Off-Ramp'!V11^2+'Off-Ramp'!W11^2+'Off-Ramp'!X11^2)/(Links!AE11+'Off-Ramp'!V11+'Off-Ramp'!W11+'Off-Ramp'!X11)</f>
        <v>#DIV/0!</v>
      </c>
      <c r="BV11" s="58" t="e">
        <f>(Links!AG11^2+'Off-Ramp'!Y11^2+'Off-Ramp'!Z11^2+'Off-Ramp'!AA11^2)/(Links!AG11+'Off-Ramp'!Y11+'Off-Ramp'!Z11+'Off-Ramp'!AA11)</f>
        <v>#DIV/0!</v>
      </c>
      <c r="BW11" s="58" t="e">
        <f>(Links!AH11^2+'Off-Ramp'!R11^2)/(Links!AH11+'Off-Ramp'!R11)</f>
        <v>#DIV/0!</v>
      </c>
      <c r="BX11" s="58" t="e">
        <f>(Links!AK11^2+'Off-Ramp'!S11^2)/(Links!AK11+'Off-Ramp'!S11)</f>
        <v>#DIV/0!</v>
      </c>
      <c r="BY11" s="58" t="e">
        <f>(Links!AL11^2+'Off-Ramp'!T11^2)/(Links!AL11+'Off-Ramp'!T11)</f>
        <v>#DIV/0!</v>
      </c>
      <c r="BZ11" s="63"/>
      <c r="CA11" s="58" t="e">
        <f>(Links!AN11^2+'Off-Ramp'!U11^2)/(Links!AN11+'Off-Ramp'!U11)</f>
        <v>#DIV/0!</v>
      </c>
    </row>
    <row r="12" spans="1:79" x14ac:dyDescent="0.15">
      <c r="A12" s="56">
        <v>10</v>
      </c>
      <c r="B12" s="57" t="e">
        <f t="shared" si="1"/>
        <v>#DIV/0!</v>
      </c>
      <c r="C12" s="57" t="e">
        <f t="shared" si="2"/>
        <v>#DIV/0!</v>
      </c>
      <c r="D12" s="57" t="e">
        <f t="shared" si="3"/>
        <v>#DIV/0!</v>
      </c>
      <c r="E12" s="57" t="e">
        <f t="shared" si="4"/>
        <v>#DIV/0!</v>
      </c>
      <c r="F12" s="57" t="e">
        <f t="shared" si="5"/>
        <v>#DIV/0!</v>
      </c>
      <c r="G12" s="57" t="e">
        <f t="shared" si="6"/>
        <v>#DIV/0!</v>
      </c>
      <c r="H12" s="57" t="e">
        <f t="shared" si="7"/>
        <v>#DIV/0!</v>
      </c>
      <c r="I12" s="57" t="e">
        <f t="shared" si="8"/>
        <v>#DIV/0!</v>
      </c>
      <c r="J12" s="57" t="e">
        <f t="shared" si="9"/>
        <v>#DIV/0!</v>
      </c>
      <c r="K12" s="57" t="e">
        <f t="shared" si="10"/>
        <v>#DIV/0!</v>
      </c>
      <c r="L12" s="57" t="e">
        <f t="shared" si="11"/>
        <v>#DIV/0!</v>
      </c>
      <c r="M12" s="57" t="e">
        <f t="shared" si="12"/>
        <v>#DIV/0!</v>
      </c>
      <c r="N12" s="57" t="e">
        <f t="shared" si="13"/>
        <v>#DIV/0!</v>
      </c>
      <c r="O12" s="58" t="e">
        <f>Links!B12</f>
        <v>#DIV/0!</v>
      </c>
      <c r="P12" s="58" t="e">
        <f>Links!C12+'On-Ramps'!AC12</f>
        <v>#DIV/0!</v>
      </c>
      <c r="Q12" s="58" t="e">
        <f>Links!D12</f>
        <v>#DIV/0!</v>
      </c>
      <c r="R12" s="58" t="e">
        <f>Links!E12+'On-Ramps'!AD12</f>
        <v>#DIV/0!</v>
      </c>
      <c r="S12" s="58" t="e">
        <f>Links!F12+'On-Ramps'!AE12</f>
        <v>#DIV/0!</v>
      </c>
      <c r="T12" s="58" t="e">
        <f>Links!I12+'On-Ramps'!AF12</f>
        <v>#DIV/0!</v>
      </c>
      <c r="U12" s="58" t="e">
        <f>Links!J12+'On-Ramps'!AG12</f>
        <v>#DIV/0!</v>
      </c>
      <c r="V12" s="58" t="e">
        <f>Links!L12+'On-Ramps'!AH12</f>
        <v>#DIV/0!</v>
      </c>
      <c r="W12" s="58" t="e">
        <f>Links!M12+'On-Ramps'!AI12</f>
        <v>#DIV/0!</v>
      </c>
      <c r="X12" s="58" t="e">
        <f>Links!P12+'On-Ramps'!AJ12</f>
        <v>#DIV/0!</v>
      </c>
      <c r="Y12" s="58" t="e">
        <f>Links!Q12</f>
        <v>#DIV/0!</v>
      </c>
      <c r="Z12" s="58" t="e">
        <f>Links!R12+'On-Ramps'!AK12</f>
        <v>#DIV/0!</v>
      </c>
      <c r="AA12" s="58" t="e">
        <f>Links!S12</f>
        <v>#DIV/0!</v>
      </c>
      <c r="AB12" s="57" t="e">
        <f t="shared" si="16"/>
        <v>#VALUE!</v>
      </c>
      <c r="AC12" s="63"/>
      <c r="AD12" s="57" t="e">
        <f t="shared" si="17"/>
        <v>#DIV/0!</v>
      </c>
      <c r="AE12" s="63"/>
      <c r="AF12" s="57" t="e">
        <f t="shared" si="18"/>
        <v>#DIV/0!</v>
      </c>
      <c r="AG12" s="57" t="e">
        <f t="shared" si="19"/>
        <v>#DIV/0!</v>
      </c>
      <c r="AH12" s="57" t="e">
        <f t="shared" si="20"/>
        <v>#DIV/0!</v>
      </c>
      <c r="AI12" s="57" t="e">
        <f t="shared" si="21"/>
        <v>#DIV/0!</v>
      </c>
      <c r="AJ12" s="57" t="e">
        <f t="shared" si="22"/>
        <v>#DIV/0!</v>
      </c>
      <c r="AK12" s="57" t="e">
        <f t="shared" si="23"/>
        <v>#DIV/0!</v>
      </c>
      <c r="AL12" s="57" t="e">
        <f t="shared" si="24"/>
        <v>#DIV/0!</v>
      </c>
      <c r="AM12" s="63"/>
      <c r="AN12" s="57" t="e">
        <f t="shared" si="14"/>
        <v>#DIV/0!</v>
      </c>
      <c r="AO12" s="58" t="e">
        <f t="shared" si="25"/>
        <v>#VALUE!</v>
      </c>
      <c r="AP12" s="63"/>
      <c r="AQ12" s="58" t="e">
        <f t="shared" si="15"/>
        <v>#DIV/0!</v>
      </c>
      <c r="AR12" s="63"/>
      <c r="AS12" s="58" t="e">
        <f t="shared" si="15"/>
        <v>#DIV/0!</v>
      </c>
      <c r="AT12" s="58" t="e">
        <f t="shared" si="15"/>
        <v>#DIV/0!</v>
      </c>
      <c r="AU12" s="58" t="e">
        <f t="shared" si="15"/>
        <v>#DIV/0!</v>
      </c>
      <c r="AV12" s="58" t="e">
        <f t="shared" si="15"/>
        <v>#DIV/0!</v>
      </c>
      <c r="AW12" s="58" t="e">
        <f t="shared" si="15"/>
        <v>#DIV/0!</v>
      </c>
      <c r="AX12" s="58" t="e">
        <f t="shared" si="15"/>
        <v>#DIV/0!</v>
      </c>
      <c r="AY12" s="58" t="e">
        <f t="shared" si="15"/>
        <v>#DIV/0!</v>
      </c>
      <c r="AZ12" s="63"/>
      <c r="BA12" s="58" t="e">
        <f t="shared" si="15"/>
        <v>#DIV/0!</v>
      </c>
      <c r="BB12" s="63"/>
      <c r="BC12" s="57" t="e">
        <f>(Links!C12*Links!AQ12+'On-Ramps'!AC12*'On-Ramps'!CE12)/('On-Ramps'!AC12+Links!C12)</f>
        <v>#DIV/0!</v>
      </c>
      <c r="BD12" s="63"/>
      <c r="BE12" s="57" t="e">
        <f>(Links!E12*Links!AS12+'On-Ramps'!AD12*'On-Ramps'!CF11)/('On-Ramps'!AD12+Links!E12)</f>
        <v>#DIV/0!</v>
      </c>
      <c r="BF12" s="57" t="e">
        <f>(Links!F12*Links!AT12+'On-Ramps'!AE12*'On-Ramps'!CG12)/('On-Ramps'!AE12+Links!F12)</f>
        <v>#DIV/0!</v>
      </c>
      <c r="BG12" s="57" t="e">
        <f>(Links!I12*Links!AW12+'On-Ramps'!AF12*'On-Ramps'!CH12)/('On-Ramps'!AF12+Links!I12)</f>
        <v>#DIV/0!</v>
      </c>
      <c r="BH12" s="57" t="e">
        <f>(#REF!*#REF!+'On-Ramps'!AG12*'On-Ramps'!CI12)/('On-Ramps'!AG12+#REF!)</f>
        <v>#REF!</v>
      </c>
      <c r="BI12" s="57" t="e">
        <f>(Links!L12*Links!AZ12+'On-Ramps'!AH12*'On-Ramps'!CJ12)/('On-Ramps'!AH12+Links!L12)</f>
        <v>#DIV/0!</v>
      </c>
      <c r="BJ12" s="57" t="e">
        <f>(Links!BA12*Links!M12+'On-Ramps'!AI12*'On-Ramps'!CK12)/('On-Ramps'!AI12+Links!M12)</f>
        <v>#DIV/0!</v>
      </c>
      <c r="BK12" s="57" t="e">
        <f>(Links!S12*Links!BG12+'On-Ramps'!AJ12*'On-Ramps'!CL12)/('On-Ramps'!AJ12+Links!S12)</f>
        <v>#DIV/0!</v>
      </c>
      <c r="BL12" s="63"/>
      <c r="BM12" s="57" t="e">
        <f>(Links!S12*Links!BG12+'On-Ramps'!AL12*'On-Ramps'!CM12)/(Links!S12+'On-Ramps'!AL12)</f>
        <v>#DIV/0!</v>
      </c>
      <c r="BN12" s="63"/>
      <c r="BO12" s="58" t="e">
        <f>(Links!W12^2+'Off-Ramp'!L12^2)/(Links!W12+'Off-Ramp'!L12)</f>
        <v>#DIV/0!</v>
      </c>
      <c r="BP12" s="63"/>
      <c r="BQ12" s="58" t="e">
        <f>(Links!Y12^2+'Off-Ramp'!C12^2)/(Links!Y12+'Off-Ramp'!C12)</f>
        <v>#DIV/0!</v>
      </c>
      <c r="BR12" s="63"/>
      <c r="BS12" s="58" t="e">
        <f>(Links!AA12^2+'Off-Ramp'!N12^2)/(Links!AA12+'Off-Ramp'!N12)</f>
        <v>#DIV/0!</v>
      </c>
      <c r="BT12" s="58" t="e">
        <f>(Links!AD12^2+'Off-Ramp'!O12^2)/(Links!AD12+'Off-Ramp'!O12)</f>
        <v>#DIV/0!</v>
      </c>
      <c r="BU12" s="58" t="e">
        <f>(Links!AE12^2+'Off-Ramp'!V12^2+'Off-Ramp'!W12^2+'Off-Ramp'!X12^2)/(Links!AE12+'Off-Ramp'!V12+'Off-Ramp'!W12+'Off-Ramp'!X12)</f>
        <v>#DIV/0!</v>
      </c>
      <c r="BV12" s="58" t="e">
        <f>(Links!AG12^2+'Off-Ramp'!Y12^2+'Off-Ramp'!Z12^2+'Off-Ramp'!AA12^2)/(Links!AG12+'Off-Ramp'!Y12+'Off-Ramp'!Z12+'Off-Ramp'!AA12)</f>
        <v>#DIV/0!</v>
      </c>
      <c r="BW12" s="58" t="e">
        <f>(Links!AH12^2+'Off-Ramp'!R12^2)/(Links!AH12+'Off-Ramp'!R12)</f>
        <v>#DIV/0!</v>
      </c>
      <c r="BX12" s="58" t="e">
        <f>(Links!AK12^2+'Off-Ramp'!S12^2)/(Links!AK12+'Off-Ramp'!S12)</f>
        <v>#DIV/0!</v>
      </c>
      <c r="BY12" s="58" t="e">
        <f>(Links!AL12^2+'Off-Ramp'!T12^2)/(Links!AL12+'Off-Ramp'!T12)</f>
        <v>#DIV/0!</v>
      </c>
      <c r="BZ12" s="63"/>
      <c r="CA12" s="58" t="e">
        <f>(Links!AN12^2+'Off-Ramp'!U12^2)/(Links!AN12+'Off-Ramp'!U12)</f>
        <v>#DIV/0!</v>
      </c>
    </row>
    <row r="13" spans="1:79" x14ac:dyDescent="0.15">
      <c r="A13" s="56">
        <v>11</v>
      </c>
      <c r="B13" s="57" t="e">
        <f t="shared" si="1"/>
        <v>#DIV/0!</v>
      </c>
      <c r="C13" s="57" t="e">
        <f t="shared" si="2"/>
        <v>#DIV/0!</v>
      </c>
      <c r="D13" s="57" t="e">
        <f t="shared" si="3"/>
        <v>#DIV/0!</v>
      </c>
      <c r="E13" s="57" t="e">
        <f t="shared" si="4"/>
        <v>#DIV/0!</v>
      </c>
      <c r="F13" s="57" t="e">
        <f t="shared" si="5"/>
        <v>#DIV/0!</v>
      </c>
      <c r="G13" s="57" t="e">
        <f t="shared" si="6"/>
        <v>#DIV/0!</v>
      </c>
      <c r="H13" s="57" t="e">
        <f t="shared" si="7"/>
        <v>#DIV/0!</v>
      </c>
      <c r="I13" s="57" t="e">
        <f t="shared" si="8"/>
        <v>#DIV/0!</v>
      </c>
      <c r="J13" s="57" t="e">
        <f t="shared" si="9"/>
        <v>#DIV/0!</v>
      </c>
      <c r="K13" s="57" t="e">
        <f t="shared" si="10"/>
        <v>#DIV/0!</v>
      </c>
      <c r="L13" s="57" t="e">
        <f t="shared" si="11"/>
        <v>#DIV/0!</v>
      </c>
      <c r="M13" s="57" t="e">
        <f t="shared" si="12"/>
        <v>#DIV/0!</v>
      </c>
      <c r="N13" s="57" t="e">
        <f t="shared" si="13"/>
        <v>#DIV/0!</v>
      </c>
      <c r="O13" s="58" t="e">
        <f>Links!B13</f>
        <v>#DIV/0!</v>
      </c>
      <c r="P13" s="58" t="e">
        <f>Links!C13+'On-Ramps'!AC13</f>
        <v>#DIV/0!</v>
      </c>
      <c r="Q13" s="58" t="e">
        <f>Links!D13</f>
        <v>#DIV/0!</v>
      </c>
      <c r="R13" s="58" t="e">
        <f>Links!E13+'On-Ramps'!AD13</f>
        <v>#DIV/0!</v>
      </c>
      <c r="S13" s="58" t="e">
        <f>Links!F13+'On-Ramps'!AE13</f>
        <v>#DIV/0!</v>
      </c>
      <c r="T13" s="58" t="e">
        <f>Links!I13+'On-Ramps'!AF13</f>
        <v>#DIV/0!</v>
      </c>
      <c r="U13" s="58" t="e">
        <f>Links!J13+'On-Ramps'!AG13</f>
        <v>#DIV/0!</v>
      </c>
      <c r="V13" s="58" t="e">
        <f>Links!L13+'On-Ramps'!AH13</f>
        <v>#DIV/0!</v>
      </c>
      <c r="W13" s="58" t="e">
        <f>Links!M13+'On-Ramps'!AI13</f>
        <v>#DIV/0!</v>
      </c>
      <c r="X13" s="58" t="e">
        <f>Links!P13+'On-Ramps'!AJ13</f>
        <v>#DIV/0!</v>
      </c>
      <c r="Y13" s="58" t="e">
        <f>Links!Q13</f>
        <v>#DIV/0!</v>
      </c>
      <c r="Z13" s="58" t="e">
        <f>Links!R13+'On-Ramps'!AK13</f>
        <v>#DIV/0!</v>
      </c>
      <c r="AA13" s="58" t="e">
        <f>Links!S13</f>
        <v>#DIV/0!</v>
      </c>
      <c r="AB13" s="57" t="e">
        <f t="shared" si="16"/>
        <v>#VALUE!</v>
      </c>
      <c r="AC13" s="63"/>
      <c r="AD13" s="57" t="e">
        <f t="shared" si="17"/>
        <v>#DIV/0!</v>
      </c>
      <c r="AE13" s="63"/>
      <c r="AF13" s="57" t="e">
        <f t="shared" si="18"/>
        <v>#DIV/0!</v>
      </c>
      <c r="AG13" s="57" t="e">
        <f t="shared" si="19"/>
        <v>#DIV/0!</v>
      </c>
      <c r="AH13" s="57" t="e">
        <f t="shared" si="20"/>
        <v>#DIV/0!</v>
      </c>
      <c r="AI13" s="57" t="e">
        <f t="shared" si="21"/>
        <v>#DIV/0!</v>
      </c>
      <c r="AJ13" s="57" t="e">
        <f t="shared" si="22"/>
        <v>#DIV/0!</v>
      </c>
      <c r="AK13" s="57" t="e">
        <f t="shared" si="23"/>
        <v>#DIV/0!</v>
      </c>
      <c r="AL13" s="57" t="e">
        <f t="shared" si="24"/>
        <v>#DIV/0!</v>
      </c>
      <c r="AM13" s="63"/>
      <c r="AN13" s="57" t="e">
        <f t="shared" si="14"/>
        <v>#DIV/0!</v>
      </c>
      <c r="AO13" s="58" t="e">
        <f t="shared" si="25"/>
        <v>#VALUE!</v>
      </c>
      <c r="AP13" s="63"/>
      <c r="AQ13" s="58" t="e">
        <f t="shared" si="15"/>
        <v>#DIV/0!</v>
      </c>
      <c r="AR13" s="63"/>
      <c r="AS13" s="58" t="e">
        <f t="shared" si="15"/>
        <v>#DIV/0!</v>
      </c>
      <c r="AT13" s="58" t="e">
        <f t="shared" si="15"/>
        <v>#DIV/0!</v>
      </c>
      <c r="AU13" s="58" t="e">
        <f t="shared" si="15"/>
        <v>#DIV/0!</v>
      </c>
      <c r="AV13" s="58" t="e">
        <f t="shared" si="15"/>
        <v>#DIV/0!</v>
      </c>
      <c r="AW13" s="58" t="e">
        <f t="shared" si="15"/>
        <v>#DIV/0!</v>
      </c>
      <c r="AX13" s="58" t="e">
        <f t="shared" si="15"/>
        <v>#DIV/0!</v>
      </c>
      <c r="AY13" s="58" t="e">
        <f t="shared" si="15"/>
        <v>#DIV/0!</v>
      </c>
      <c r="AZ13" s="63"/>
      <c r="BA13" s="58" t="e">
        <f t="shared" si="15"/>
        <v>#DIV/0!</v>
      </c>
      <c r="BB13" s="63"/>
      <c r="BC13" s="57" t="e">
        <f>(Links!C13*Links!AQ13+'On-Ramps'!AC13*'On-Ramps'!CE13)/('On-Ramps'!AC13+Links!C13)</f>
        <v>#DIV/0!</v>
      </c>
      <c r="BD13" s="63"/>
      <c r="BE13" s="57" t="e">
        <f>(Links!E13*Links!AS13+'On-Ramps'!AD13*'On-Ramps'!CF12)/('On-Ramps'!AD13+Links!E13)</f>
        <v>#DIV/0!</v>
      </c>
      <c r="BF13" s="57" t="e">
        <f>(Links!F13*Links!AT13+'On-Ramps'!AE13*'On-Ramps'!CG13)/('On-Ramps'!AE13+Links!F13)</f>
        <v>#DIV/0!</v>
      </c>
      <c r="BG13" s="57" t="e">
        <f>(Links!I13*Links!AW13+'On-Ramps'!AF13*'On-Ramps'!CH13)/('On-Ramps'!AF13+Links!I13)</f>
        <v>#DIV/0!</v>
      </c>
      <c r="BH13" s="57" t="e">
        <f>(#REF!*#REF!+'On-Ramps'!AG13*'On-Ramps'!CI13)/('On-Ramps'!AG13+#REF!)</f>
        <v>#REF!</v>
      </c>
      <c r="BI13" s="57" t="e">
        <f>(Links!L13*Links!AZ13+'On-Ramps'!AH13*'On-Ramps'!CJ13)/('On-Ramps'!AH13+Links!L13)</f>
        <v>#DIV/0!</v>
      </c>
      <c r="BJ13" s="57" t="e">
        <f>(Links!BA13*Links!M13+'On-Ramps'!AI13*'On-Ramps'!CK13)/('On-Ramps'!AI13+Links!M13)</f>
        <v>#DIV/0!</v>
      </c>
      <c r="BK13" s="57" t="e">
        <f>(Links!S13*Links!BG13+'On-Ramps'!AJ13*'On-Ramps'!CL13)/('On-Ramps'!AJ13+Links!S13)</f>
        <v>#DIV/0!</v>
      </c>
      <c r="BL13" s="63"/>
      <c r="BM13" s="57" t="e">
        <f>(Links!S13*Links!BG13+'On-Ramps'!AL13*'On-Ramps'!CM13)/(Links!S13+'On-Ramps'!AL13)</f>
        <v>#DIV/0!</v>
      </c>
      <c r="BN13" s="63"/>
      <c r="BO13" s="58" t="e">
        <f>(Links!W13^2+'Off-Ramp'!L13^2)/(Links!W13+'Off-Ramp'!L13)</f>
        <v>#DIV/0!</v>
      </c>
      <c r="BP13" s="63"/>
      <c r="BQ13" s="58" t="e">
        <f>(Links!Y13^2+'Off-Ramp'!C13^2)/(Links!Y13+'Off-Ramp'!C13)</f>
        <v>#DIV/0!</v>
      </c>
      <c r="BR13" s="63"/>
      <c r="BS13" s="58" t="e">
        <f>(Links!AA13^2+'Off-Ramp'!N13^2)/(Links!AA13+'Off-Ramp'!N13)</f>
        <v>#DIV/0!</v>
      </c>
      <c r="BT13" s="58" t="e">
        <f>(Links!AD13^2+'Off-Ramp'!O13^2)/(Links!AD13+'Off-Ramp'!O13)</f>
        <v>#DIV/0!</v>
      </c>
      <c r="BU13" s="58" t="e">
        <f>(Links!AE13^2+'Off-Ramp'!V13^2+'Off-Ramp'!W13^2+'Off-Ramp'!X13^2)/(Links!AE13+'Off-Ramp'!V13+'Off-Ramp'!W13+'Off-Ramp'!X13)</f>
        <v>#DIV/0!</v>
      </c>
      <c r="BV13" s="58" t="e">
        <f>(Links!AG13^2+'Off-Ramp'!Y13^2+'Off-Ramp'!Z13^2+'Off-Ramp'!AA13^2)/(Links!AG13+'Off-Ramp'!Y13+'Off-Ramp'!Z13+'Off-Ramp'!AA13)</f>
        <v>#DIV/0!</v>
      </c>
      <c r="BW13" s="58" t="e">
        <f>(Links!AH13^2+'Off-Ramp'!R13^2)/(Links!AH13+'Off-Ramp'!R13)</f>
        <v>#DIV/0!</v>
      </c>
      <c r="BX13" s="58" t="e">
        <f>(Links!AK13^2+'Off-Ramp'!S13^2)/(Links!AK13+'Off-Ramp'!S13)</f>
        <v>#DIV/0!</v>
      </c>
      <c r="BY13" s="58" t="e">
        <f>(Links!AL13^2+'Off-Ramp'!T13^2)/(Links!AL13+'Off-Ramp'!T13)</f>
        <v>#DIV/0!</v>
      </c>
      <c r="BZ13" s="63"/>
      <c r="CA13" s="58" t="e">
        <f>(Links!AN13^2+'Off-Ramp'!U13^2)/(Links!AN13+'Off-Ramp'!U13)</f>
        <v>#DIV/0!</v>
      </c>
    </row>
    <row r="14" spans="1:79" x14ac:dyDescent="0.15">
      <c r="A14" s="56">
        <v>12</v>
      </c>
      <c r="B14" s="57" t="e">
        <f t="shared" si="1"/>
        <v>#DIV/0!</v>
      </c>
      <c r="C14" s="57" t="e">
        <f t="shared" si="2"/>
        <v>#DIV/0!</v>
      </c>
      <c r="D14" s="57" t="e">
        <f t="shared" si="3"/>
        <v>#DIV/0!</v>
      </c>
      <c r="E14" s="57" t="e">
        <f t="shared" si="4"/>
        <v>#DIV/0!</v>
      </c>
      <c r="F14" s="57" t="e">
        <f t="shared" si="5"/>
        <v>#DIV/0!</v>
      </c>
      <c r="G14" s="57" t="e">
        <f t="shared" si="6"/>
        <v>#DIV/0!</v>
      </c>
      <c r="H14" s="57" t="e">
        <f t="shared" si="7"/>
        <v>#DIV/0!</v>
      </c>
      <c r="I14" s="57" t="e">
        <f t="shared" si="8"/>
        <v>#DIV/0!</v>
      </c>
      <c r="J14" s="57" t="e">
        <f t="shared" si="9"/>
        <v>#DIV/0!</v>
      </c>
      <c r="K14" s="57" t="e">
        <f t="shared" si="10"/>
        <v>#DIV/0!</v>
      </c>
      <c r="L14" s="57" t="e">
        <f t="shared" si="11"/>
        <v>#DIV/0!</v>
      </c>
      <c r="M14" s="57" t="e">
        <f t="shared" si="12"/>
        <v>#DIV/0!</v>
      </c>
      <c r="N14" s="57" t="e">
        <f t="shared" si="13"/>
        <v>#DIV/0!</v>
      </c>
      <c r="O14" s="58" t="e">
        <f>Links!B14</f>
        <v>#DIV/0!</v>
      </c>
      <c r="P14" s="58" t="e">
        <f>Links!C14+'On-Ramps'!AC14</f>
        <v>#DIV/0!</v>
      </c>
      <c r="Q14" s="58" t="e">
        <f>Links!D14</f>
        <v>#DIV/0!</v>
      </c>
      <c r="R14" s="58" t="e">
        <f>Links!E14+'On-Ramps'!AD14</f>
        <v>#DIV/0!</v>
      </c>
      <c r="S14" s="58" t="e">
        <f>Links!F14+'On-Ramps'!AE14</f>
        <v>#DIV/0!</v>
      </c>
      <c r="T14" s="58" t="e">
        <f>Links!I14+'On-Ramps'!AF14</f>
        <v>#DIV/0!</v>
      </c>
      <c r="U14" s="58" t="e">
        <f>Links!J14+'On-Ramps'!AG14</f>
        <v>#DIV/0!</v>
      </c>
      <c r="V14" s="58" t="e">
        <f>Links!L14+'On-Ramps'!AH14</f>
        <v>#DIV/0!</v>
      </c>
      <c r="W14" s="58" t="e">
        <f>Links!M14+'On-Ramps'!AI14</f>
        <v>#DIV/0!</v>
      </c>
      <c r="X14" s="58" t="e">
        <f>Links!P14+'On-Ramps'!AJ14</f>
        <v>#DIV/0!</v>
      </c>
      <c r="Y14" s="58" t="e">
        <f>Links!Q14</f>
        <v>#DIV/0!</v>
      </c>
      <c r="Z14" s="58" t="e">
        <f>Links!R14+'On-Ramps'!AK14</f>
        <v>#DIV/0!</v>
      </c>
      <c r="AA14" s="58" t="e">
        <f>Links!S14</f>
        <v>#DIV/0!</v>
      </c>
      <c r="AB14" s="57" t="e">
        <f t="shared" si="16"/>
        <v>#VALUE!</v>
      </c>
      <c r="AC14" s="63"/>
      <c r="AD14" s="57" t="e">
        <f t="shared" si="17"/>
        <v>#DIV/0!</v>
      </c>
      <c r="AE14" s="63"/>
      <c r="AF14" s="57" t="e">
        <f t="shared" si="18"/>
        <v>#DIV/0!</v>
      </c>
      <c r="AG14" s="57" t="e">
        <f t="shared" si="19"/>
        <v>#DIV/0!</v>
      </c>
      <c r="AH14" s="57" t="e">
        <f t="shared" si="20"/>
        <v>#DIV/0!</v>
      </c>
      <c r="AI14" s="57" t="e">
        <f t="shared" si="21"/>
        <v>#DIV/0!</v>
      </c>
      <c r="AJ14" s="57" t="e">
        <f t="shared" si="22"/>
        <v>#DIV/0!</v>
      </c>
      <c r="AK14" s="57" t="e">
        <f t="shared" si="23"/>
        <v>#DIV/0!</v>
      </c>
      <c r="AL14" s="57" t="e">
        <f t="shared" si="24"/>
        <v>#DIV/0!</v>
      </c>
      <c r="AM14" s="63"/>
      <c r="AN14" s="57" t="e">
        <f t="shared" si="14"/>
        <v>#DIV/0!</v>
      </c>
      <c r="AO14" s="58" t="e">
        <f t="shared" si="25"/>
        <v>#VALUE!</v>
      </c>
      <c r="AP14" s="63"/>
      <c r="AQ14" s="58" t="e">
        <f t="shared" si="15"/>
        <v>#DIV/0!</v>
      </c>
      <c r="AR14" s="63"/>
      <c r="AS14" s="58" t="e">
        <f t="shared" si="15"/>
        <v>#DIV/0!</v>
      </c>
      <c r="AT14" s="58" t="e">
        <f t="shared" si="15"/>
        <v>#DIV/0!</v>
      </c>
      <c r="AU14" s="58" t="e">
        <f t="shared" si="15"/>
        <v>#DIV/0!</v>
      </c>
      <c r="AV14" s="58" t="e">
        <f t="shared" si="15"/>
        <v>#DIV/0!</v>
      </c>
      <c r="AW14" s="58" t="e">
        <f t="shared" si="15"/>
        <v>#DIV/0!</v>
      </c>
      <c r="AX14" s="58" t="e">
        <f t="shared" si="15"/>
        <v>#DIV/0!</v>
      </c>
      <c r="AY14" s="58" t="e">
        <f t="shared" si="15"/>
        <v>#DIV/0!</v>
      </c>
      <c r="AZ14" s="63"/>
      <c r="BA14" s="58" t="e">
        <f t="shared" si="15"/>
        <v>#DIV/0!</v>
      </c>
      <c r="BB14" s="63"/>
      <c r="BC14" s="57" t="e">
        <f>(Links!C14*Links!AQ14+'On-Ramps'!AC14*'On-Ramps'!CE14)/('On-Ramps'!AC14+Links!C14)</f>
        <v>#DIV/0!</v>
      </c>
      <c r="BD14" s="63"/>
      <c r="BE14" s="57" t="e">
        <f>(Links!E14*Links!AS14+'On-Ramps'!AD14*'On-Ramps'!CF13)/('On-Ramps'!AD14+Links!E14)</f>
        <v>#DIV/0!</v>
      </c>
      <c r="BF14" s="57" t="e">
        <f>(Links!F14*Links!AT14+'On-Ramps'!AE14*'On-Ramps'!CG14)/('On-Ramps'!AE14+Links!F14)</f>
        <v>#DIV/0!</v>
      </c>
      <c r="BG14" s="57" t="e">
        <f>(Links!I14*Links!AW14+'On-Ramps'!AF14*'On-Ramps'!CH14)/('On-Ramps'!AF14+Links!I14)</f>
        <v>#DIV/0!</v>
      </c>
      <c r="BH14" s="57" t="e">
        <f>(#REF!*#REF!+'On-Ramps'!AG14*'On-Ramps'!CI14)/('On-Ramps'!AG14+#REF!)</f>
        <v>#REF!</v>
      </c>
      <c r="BI14" s="57" t="e">
        <f>(Links!L14*Links!AZ14+'On-Ramps'!AH14*'On-Ramps'!CJ14)/('On-Ramps'!AH14+Links!L14)</f>
        <v>#DIV/0!</v>
      </c>
      <c r="BJ14" s="57" t="e">
        <f>(Links!BA14*Links!M14+'On-Ramps'!AI14*'On-Ramps'!CK14)/('On-Ramps'!AI14+Links!M14)</f>
        <v>#DIV/0!</v>
      </c>
      <c r="BK14" s="57" t="e">
        <f>(Links!S14*Links!BG14+'On-Ramps'!AJ14*'On-Ramps'!CL14)/('On-Ramps'!AJ14+Links!S14)</f>
        <v>#DIV/0!</v>
      </c>
      <c r="BL14" s="63"/>
      <c r="BM14" s="57" t="e">
        <f>(Links!S14*Links!BG14+'On-Ramps'!AL14*'On-Ramps'!CM14)/(Links!S14+'On-Ramps'!AL14)</f>
        <v>#DIV/0!</v>
      </c>
      <c r="BN14" s="63"/>
      <c r="BO14" s="58" t="e">
        <f>(Links!W14^2+'Off-Ramp'!L14^2)/(Links!W14+'Off-Ramp'!L14)</f>
        <v>#DIV/0!</v>
      </c>
      <c r="BP14" s="63"/>
      <c r="BQ14" s="58" t="e">
        <f>(Links!Y14^2+'Off-Ramp'!C14^2)/(Links!Y14+'Off-Ramp'!C14)</f>
        <v>#DIV/0!</v>
      </c>
      <c r="BR14" s="63"/>
      <c r="BS14" s="58" t="e">
        <f>(Links!AA14^2+'Off-Ramp'!N14^2)/(Links!AA14+'Off-Ramp'!N14)</f>
        <v>#DIV/0!</v>
      </c>
      <c r="BT14" s="58" t="e">
        <f>(Links!AD14^2+'Off-Ramp'!O14^2)/(Links!AD14+'Off-Ramp'!O14)</f>
        <v>#DIV/0!</v>
      </c>
      <c r="BU14" s="58" t="e">
        <f>(Links!AE14^2+'Off-Ramp'!V14^2+'Off-Ramp'!W14^2+'Off-Ramp'!X14^2)/(Links!AE14+'Off-Ramp'!V14+'Off-Ramp'!W14+'Off-Ramp'!X14)</f>
        <v>#DIV/0!</v>
      </c>
      <c r="BV14" s="58" t="e">
        <f>(Links!AG14^2+'Off-Ramp'!Y14^2+'Off-Ramp'!Z14^2+'Off-Ramp'!AA14^2)/(Links!AG14+'Off-Ramp'!Y14+'Off-Ramp'!Z14+'Off-Ramp'!AA14)</f>
        <v>#DIV/0!</v>
      </c>
      <c r="BW14" s="58" t="e">
        <f>(Links!AH14^2+'Off-Ramp'!R14^2)/(Links!AH14+'Off-Ramp'!R14)</f>
        <v>#DIV/0!</v>
      </c>
      <c r="BX14" s="58" t="e">
        <f>(Links!AK14^2+'Off-Ramp'!S14^2)/(Links!AK14+'Off-Ramp'!S14)</f>
        <v>#DIV/0!</v>
      </c>
      <c r="BY14" s="58" t="e">
        <f>(Links!AL14^2+'Off-Ramp'!T14^2)/(Links!AL14+'Off-Ramp'!T14)</f>
        <v>#DIV/0!</v>
      </c>
      <c r="BZ14" s="63"/>
      <c r="CA14" s="58" t="e">
        <f>(Links!AN14^2+'Off-Ramp'!U14^2)/(Links!AN14+'Off-Ramp'!U14)</f>
        <v>#DIV/0!</v>
      </c>
    </row>
    <row r="15" spans="1:79" x14ac:dyDescent="0.15">
      <c r="A15" s="56">
        <v>13</v>
      </c>
      <c r="B15" s="57" t="e">
        <f t="shared" si="1"/>
        <v>#DIV/0!</v>
      </c>
      <c r="C15" s="57" t="e">
        <f t="shared" si="2"/>
        <v>#DIV/0!</v>
      </c>
      <c r="D15" s="57" t="e">
        <f t="shared" si="3"/>
        <v>#DIV/0!</v>
      </c>
      <c r="E15" s="57" t="e">
        <f t="shared" si="4"/>
        <v>#DIV/0!</v>
      </c>
      <c r="F15" s="57" t="e">
        <f t="shared" si="5"/>
        <v>#DIV/0!</v>
      </c>
      <c r="G15" s="57" t="e">
        <f t="shared" si="6"/>
        <v>#DIV/0!</v>
      </c>
      <c r="H15" s="57" t="e">
        <f t="shared" si="7"/>
        <v>#DIV/0!</v>
      </c>
      <c r="I15" s="57" t="e">
        <f t="shared" si="8"/>
        <v>#DIV/0!</v>
      </c>
      <c r="J15" s="57" t="e">
        <f t="shared" si="9"/>
        <v>#DIV/0!</v>
      </c>
      <c r="K15" s="57" t="e">
        <f t="shared" si="10"/>
        <v>#DIV/0!</v>
      </c>
      <c r="L15" s="57" t="e">
        <f t="shared" si="11"/>
        <v>#DIV/0!</v>
      </c>
      <c r="M15" s="57" t="e">
        <f t="shared" si="12"/>
        <v>#DIV/0!</v>
      </c>
      <c r="N15" s="57" t="e">
        <f t="shared" si="13"/>
        <v>#DIV/0!</v>
      </c>
      <c r="O15" s="58" t="e">
        <f>Links!B15</f>
        <v>#DIV/0!</v>
      </c>
      <c r="P15" s="58" t="e">
        <f>Links!C15+'On-Ramps'!AC15</f>
        <v>#DIV/0!</v>
      </c>
      <c r="Q15" s="58" t="e">
        <f>Links!D15</f>
        <v>#DIV/0!</v>
      </c>
      <c r="R15" s="58" t="e">
        <f>Links!E15+'On-Ramps'!AD15</f>
        <v>#DIV/0!</v>
      </c>
      <c r="S15" s="58" t="e">
        <f>Links!F15+'On-Ramps'!AE15</f>
        <v>#DIV/0!</v>
      </c>
      <c r="T15" s="58" t="e">
        <f>Links!I15+'On-Ramps'!AF15</f>
        <v>#DIV/0!</v>
      </c>
      <c r="U15" s="58" t="e">
        <f>Links!J15+'On-Ramps'!AG15</f>
        <v>#DIV/0!</v>
      </c>
      <c r="V15" s="58" t="e">
        <f>Links!L15+'On-Ramps'!AH15</f>
        <v>#DIV/0!</v>
      </c>
      <c r="W15" s="58" t="e">
        <f>Links!M15+'On-Ramps'!AI15</f>
        <v>#DIV/0!</v>
      </c>
      <c r="X15" s="58" t="e">
        <f>Links!P15+'On-Ramps'!AJ15</f>
        <v>#DIV/0!</v>
      </c>
      <c r="Y15" s="58" t="e">
        <f>Links!Q15</f>
        <v>#DIV/0!</v>
      </c>
      <c r="Z15" s="58" t="e">
        <f>Links!R15+'On-Ramps'!AK15</f>
        <v>#DIV/0!</v>
      </c>
      <c r="AA15" s="58" t="e">
        <f>Links!S15</f>
        <v>#DIV/0!</v>
      </c>
      <c r="AB15" s="57" t="e">
        <f t="shared" si="16"/>
        <v>#VALUE!</v>
      </c>
      <c r="AC15" s="63"/>
      <c r="AD15" s="57" t="e">
        <f t="shared" si="17"/>
        <v>#DIV/0!</v>
      </c>
      <c r="AE15" s="63"/>
      <c r="AF15" s="57" t="e">
        <f t="shared" si="18"/>
        <v>#DIV/0!</v>
      </c>
      <c r="AG15" s="57" t="e">
        <f t="shared" si="19"/>
        <v>#DIV/0!</v>
      </c>
      <c r="AH15" s="57" t="e">
        <f t="shared" si="20"/>
        <v>#DIV/0!</v>
      </c>
      <c r="AI15" s="57" t="e">
        <f t="shared" si="21"/>
        <v>#DIV/0!</v>
      </c>
      <c r="AJ15" s="57" t="e">
        <f t="shared" si="22"/>
        <v>#DIV/0!</v>
      </c>
      <c r="AK15" s="57" t="e">
        <f t="shared" si="23"/>
        <v>#DIV/0!</v>
      </c>
      <c r="AL15" s="57" t="e">
        <f t="shared" si="24"/>
        <v>#DIV/0!</v>
      </c>
      <c r="AM15" s="63"/>
      <c r="AN15" s="57" t="e">
        <f t="shared" si="14"/>
        <v>#DIV/0!</v>
      </c>
      <c r="AO15" s="58" t="e">
        <f t="shared" si="25"/>
        <v>#VALUE!</v>
      </c>
      <c r="AP15" s="63"/>
      <c r="AQ15" s="58" t="e">
        <f t="shared" si="15"/>
        <v>#DIV/0!</v>
      </c>
      <c r="AR15" s="63"/>
      <c r="AS15" s="58" t="e">
        <f t="shared" si="15"/>
        <v>#DIV/0!</v>
      </c>
      <c r="AT15" s="58" t="e">
        <f t="shared" si="15"/>
        <v>#DIV/0!</v>
      </c>
      <c r="AU15" s="58" t="e">
        <f t="shared" si="15"/>
        <v>#DIV/0!</v>
      </c>
      <c r="AV15" s="58" t="e">
        <f t="shared" si="15"/>
        <v>#DIV/0!</v>
      </c>
      <c r="AW15" s="58" t="e">
        <f t="shared" si="15"/>
        <v>#DIV/0!</v>
      </c>
      <c r="AX15" s="58" t="e">
        <f t="shared" si="15"/>
        <v>#DIV/0!</v>
      </c>
      <c r="AY15" s="58" t="e">
        <f t="shared" si="15"/>
        <v>#DIV/0!</v>
      </c>
      <c r="AZ15" s="63"/>
      <c r="BA15" s="58" t="e">
        <f t="shared" si="15"/>
        <v>#DIV/0!</v>
      </c>
      <c r="BB15" s="63"/>
      <c r="BC15" s="57" t="e">
        <f>(Links!C15*Links!AQ15+'On-Ramps'!AC15*'On-Ramps'!CE15)/('On-Ramps'!AC15+Links!C15)</f>
        <v>#DIV/0!</v>
      </c>
      <c r="BD15" s="63"/>
      <c r="BE15" s="57" t="e">
        <f>(Links!E15*Links!AS15+'On-Ramps'!AD15*'On-Ramps'!CF14)/('On-Ramps'!AD15+Links!E15)</f>
        <v>#DIV/0!</v>
      </c>
      <c r="BF15" s="57" t="e">
        <f>(Links!F15*Links!AT15+'On-Ramps'!AE15*'On-Ramps'!CG15)/('On-Ramps'!AE15+Links!F15)</f>
        <v>#DIV/0!</v>
      </c>
      <c r="BG15" s="57" t="e">
        <f>(Links!I15*Links!AW15+'On-Ramps'!AF15*'On-Ramps'!CH15)/('On-Ramps'!AF15+Links!I15)</f>
        <v>#DIV/0!</v>
      </c>
      <c r="BH15" s="57" t="e">
        <f>(#REF!*#REF!+'On-Ramps'!AG15*'On-Ramps'!CI15)/('On-Ramps'!AG15+#REF!)</f>
        <v>#REF!</v>
      </c>
      <c r="BI15" s="57" t="e">
        <f>(Links!L15*Links!AZ15+'On-Ramps'!AH15*'On-Ramps'!CJ15)/('On-Ramps'!AH15+Links!L15)</f>
        <v>#DIV/0!</v>
      </c>
      <c r="BJ15" s="57" t="e">
        <f>(Links!BA15*Links!M15+'On-Ramps'!AI15*'On-Ramps'!CK15)/('On-Ramps'!AI15+Links!M15)</f>
        <v>#DIV/0!</v>
      </c>
      <c r="BK15" s="57" t="e">
        <f>(Links!S15*Links!BG15+'On-Ramps'!AJ15*'On-Ramps'!CL15)/('On-Ramps'!AJ15+Links!S15)</f>
        <v>#DIV/0!</v>
      </c>
      <c r="BL15" s="63"/>
      <c r="BM15" s="57" t="e">
        <f>(Links!S15*Links!BG15+'On-Ramps'!AL15*'On-Ramps'!CM15)/(Links!S15+'On-Ramps'!AL15)</f>
        <v>#DIV/0!</v>
      </c>
      <c r="BN15" s="63"/>
      <c r="BO15" s="58" t="e">
        <f>(Links!W15^2+'Off-Ramp'!L15^2)/(Links!W15+'Off-Ramp'!L15)</f>
        <v>#DIV/0!</v>
      </c>
      <c r="BP15" s="63"/>
      <c r="BQ15" s="58" t="e">
        <f>(Links!Y15^2+'Off-Ramp'!C15^2)/(Links!Y15+'Off-Ramp'!C15)</f>
        <v>#DIV/0!</v>
      </c>
      <c r="BR15" s="63"/>
      <c r="BS15" s="58" t="e">
        <f>(Links!AA15^2+'Off-Ramp'!N15^2)/(Links!AA15+'Off-Ramp'!N15)</f>
        <v>#DIV/0!</v>
      </c>
      <c r="BT15" s="58" t="e">
        <f>(Links!AD15^2+'Off-Ramp'!O15^2)/(Links!AD15+'Off-Ramp'!O15)</f>
        <v>#DIV/0!</v>
      </c>
      <c r="BU15" s="58" t="e">
        <f>(Links!AE15^2+'Off-Ramp'!V15^2+'Off-Ramp'!W15^2+'Off-Ramp'!X15^2)/(Links!AE15+'Off-Ramp'!V15+'Off-Ramp'!W15+'Off-Ramp'!X15)</f>
        <v>#DIV/0!</v>
      </c>
      <c r="BV15" s="58" t="e">
        <f>(Links!AG15^2+'Off-Ramp'!Y15^2+'Off-Ramp'!Z15^2+'Off-Ramp'!AA15^2)/(Links!AG15+'Off-Ramp'!Y15+'Off-Ramp'!Z15+'Off-Ramp'!AA15)</f>
        <v>#DIV/0!</v>
      </c>
      <c r="BW15" s="58" t="e">
        <f>(Links!AH15^2+'Off-Ramp'!R15^2)/(Links!AH15+'Off-Ramp'!R15)</f>
        <v>#DIV/0!</v>
      </c>
      <c r="BX15" s="58" t="e">
        <f>(Links!AK15^2+'Off-Ramp'!S15^2)/(Links!AK15+'Off-Ramp'!S15)</f>
        <v>#DIV/0!</v>
      </c>
      <c r="BY15" s="58" t="e">
        <f>(Links!AL15^2+'Off-Ramp'!T15^2)/(Links!AL15+'Off-Ramp'!T15)</f>
        <v>#DIV/0!</v>
      </c>
      <c r="BZ15" s="63"/>
      <c r="CA15" s="58" t="e">
        <f>(Links!AN15^2+'Off-Ramp'!U15^2)/(Links!AN15+'Off-Ramp'!U15)</f>
        <v>#DIV/0!</v>
      </c>
    </row>
    <row r="16" spans="1:79" x14ac:dyDescent="0.15">
      <c r="A16" s="56">
        <v>14</v>
      </c>
      <c r="B16" s="57" t="e">
        <f t="shared" si="1"/>
        <v>#DIV/0!</v>
      </c>
      <c r="C16" s="57" t="e">
        <f t="shared" si="2"/>
        <v>#DIV/0!</v>
      </c>
      <c r="D16" s="57" t="e">
        <f t="shared" si="3"/>
        <v>#DIV/0!</v>
      </c>
      <c r="E16" s="57" t="e">
        <f t="shared" si="4"/>
        <v>#DIV/0!</v>
      </c>
      <c r="F16" s="57" t="e">
        <f t="shared" si="5"/>
        <v>#DIV/0!</v>
      </c>
      <c r="G16" s="57" t="e">
        <f t="shared" si="6"/>
        <v>#DIV/0!</v>
      </c>
      <c r="H16" s="57" t="e">
        <f t="shared" si="7"/>
        <v>#DIV/0!</v>
      </c>
      <c r="I16" s="57" t="e">
        <f t="shared" si="8"/>
        <v>#DIV/0!</v>
      </c>
      <c r="J16" s="57" t="e">
        <f t="shared" si="9"/>
        <v>#DIV/0!</v>
      </c>
      <c r="K16" s="57" t="e">
        <f t="shared" si="10"/>
        <v>#DIV/0!</v>
      </c>
      <c r="L16" s="57" t="e">
        <f t="shared" si="11"/>
        <v>#DIV/0!</v>
      </c>
      <c r="M16" s="57" t="e">
        <f t="shared" si="12"/>
        <v>#DIV/0!</v>
      </c>
      <c r="N16" s="57" t="e">
        <f t="shared" si="13"/>
        <v>#DIV/0!</v>
      </c>
      <c r="O16" s="58" t="e">
        <f>Links!B16</f>
        <v>#DIV/0!</v>
      </c>
      <c r="P16" s="58" t="e">
        <f>Links!C16+'On-Ramps'!AC16</f>
        <v>#DIV/0!</v>
      </c>
      <c r="Q16" s="58" t="e">
        <f>Links!D16</f>
        <v>#DIV/0!</v>
      </c>
      <c r="R16" s="58" t="e">
        <f>Links!E16+'On-Ramps'!AD16</f>
        <v>#DIV/0!</v>
      </c>
      <c r="S16" s="58" t="e">
        <f>Links!F16+'On-Ramps'!AE16</f>
        <v>#DIV/0!</v>
      </c>
      <c r="T16" s="58" t="e">
        <f>Links!I16+'On-Ramps'!AF16</f>
        <v>#DIV/0!</v>
      </c>
      <c r="U16" s="58" t="e">
        <f>Links!J16+'On-Ramps'!AG16</f>
        <v>#DIV/0!</v>
      </c>
      <c r="V16" s="58" t="e">
        <f>Links!L16+'On-Ramps'!AH16</f>
        <v>#DIV/0!</v>
      </c>
      <c r="W16" s="58" t="e">
        <f>Links!M16+'On-Ramps'!AI16</f>
        <v>#DIV/0!</v>
      </c>
      <c r="X16" s="58" t="e">
        <f>Links!P16+'On-Ramps'!AJ16</f>
        <v>#DIV/0!</v>
      </c>
      <c r="Y16" s="58" t="e">
        <f>Links!Q16</f>
        <v>#DIV/0!</v>
      </c>
      <c r="Z16" s="58" t="e">
        <f>Links!R16+'On-Ramps'!AK16</f>
        <v>#DIV/0!</v>
      </c>
      <c r="AA16" s="58" t="e">
        <f>Links!S16</f>
        <v>#DIV/0!</v>
      </c>
      <c r="AB16" s="57" t="e">
        <f t="shared" si="16"/>
        <v>#VALUE!</v>
      </c>
      <c r="AC16" s="63"/>
      <c r="AD16" s="57" t="e">
        <f t="shared" si="17"/>
        <v>#DIV/0!</v>
      </c>
      <c r="AE16" s="63"/>
      <c r="AF16" s="57" t="e">
        <f t="shared" si="18"/>
        <v>#DIV/0!</v>
      </c>
      <c r="AG16" s="57" t="e">
        <f t="shared" si="19"/>
        <v>#DIV/0!</v>
      </c>
      <c r="AH16" s="57" t="e">
        <f t="shared" si="20"/>
        <v>#DIV/0!</v>
      </c>
      <c r="AI16" s="57" t="e">
        <f t="shared" si="21"/>
        <v>#DIV/0!</v>
      </c>
      <c r="AJ16" s="57" t="e">
        <f t="shared" si="22"/>
        <v>#DIV/0!</v>
      </c>
      <c r="AK16" s="57" t="e">
        <f t="shared" si="23"/>
        <v>#DIV/0!</v>
      </c>
      <c r="AL16" s="57" t="e">
        <f t="shared" si="24"/>
        <v>#DIV/0!</v>
      </c>
      <c r="AM16" s="63"/>
      <c r="AN16" s="57" t="e">
        <f t="shared" si="14"/>
        <v>#DIV/0!</v>
      </c>
      <c r="AO16" s="58" t="e">
        <f t="shared" si="25"/>
        <v>#VALUE!</v>
      </c>
      <c r="AP16" s="63"/>
      <c r="AQ16" s="58" t="e">
        <f t="shared" si="15"/>
        <v>#DIV/0!</v>
      </c>
      <c r="AR16" s="63"/>
      <c r="AS16" s="58" t="e">
        <f t="shared" si="15"/>
        <v>#DIV/0!</v>
      </c>
      <c r="AT16" s="58" t="e">
        <f t="shared" si="15"/>
        <v>#DIV/0!</v>
      </c>
      <c r="AU16" s="58" t="e">
        <f t="shared" si="15"/>
        <v>#DIV/0!</v>
      </c>
      <c r="AV16" s="58" t="e">
        <f t="shared" si="15"/>
        <v>#DIV/0!</v>
      </c>
      <c r="AW16" s="58" t="e">
        <f t="shared" si="15"/>
        <v>#DIV/0!</v>
      </c>
      <c r="AX16" s="58" t="e">
        <f t="shared" si="15"/>
        <v>#DIV/0!</v>
      </c>
      <c r="AY16" s="58" t="e">
        <f t="shared" si="15"/>
        <v>#DIV/0!</v>
      </c>
      <c r="AZ16" s="63"/>
      <c r="BA16" s="58" t="e">
        <f t="shared" si="15"/>
        <v>#DIV/0!</v>
      </c>
      <c r="BB16" s="63"/>
      <c r="BC16" s="57" t="e">
        <f>(Links!C16*Links!AQ16+'On-Ramps'!AC16*'On-Ramps'!CE16)/('On-Ramps'!AC16+Links!C16)</f>
        <v>#DIV/0!</v>
      </c>
      <c r="BD16" s="63"/>
      <c r="BE16" s="57" t="e">
        <f>(Links!E16*Links!AS16+'On-Ramps'!AD16*'On-Ramps'!CF15)/('On-Ramps'!AD16+Links!E16)</f>
        <v>#DIV/0!</v>
      </c>
      <c r="BF16" s="57" t="e">
        <f>(Links!F16*Links!AT16+'On-Ramps'!AE16*'On-Ramps'!CG16)/('On-Ramps'!AE16+Links!F16)</f>
        <v>#DIV/0!</v>
      </c>
      <c r="BG16" s="57" t="e">
        <f>(Links!I16*Links!AW16+'On-Ramps'!AF16*'On-Ramps'!CH16)/('On-Ramps'!AF16+Links!I16)</f>
        <v>#DIV/0!</v>
      </c>
      <c r="BH16" s="57" t="e">
        <f>(#REF!*#REF!+'On-Ramps'!AG16*'On-Ramps'!CI16)/('On-Ramps'!AG16+#REF!)</f>
        <v>#REF!</v>
      </c>
      <c r="BI16" s="57" t="e">
        <f>(Links!L16*Links!AZ16+'On-Ramps'!AH16*'On-Ramps'!CJ16)/('On-Ramps'!AH16+Links!L16)</f>
        <v>#DIV/0!</v>
      </c>
      <c r="BJ16" s="57" t="e">
        <f>(Links!BA16*Links!M16+'On-Ramps'!AI16*'On-Ramps'!CK16)/('On-Ramps'!AI16+Links!M16)</f>
        <v>#DIV/0!</v>
      </c>
      <c r="BK16" s="57" t="e">
        <f>(Links!S16*Links!BG16+'On-Ramps'!AJ16*'On-Ramps'!CL16)/('On-Ramps'!AJ16+Links!S16)</f>
        <v>#DIV/0!</v>
      </c>
      <c r="BL16" s="63"/>
      <c r="BM16" s="57" t="e">
        <f>(Links!S16*Links!BG16+'On-Ramps'!AL16*'On-Ramps'!CM16)/(Links!S16+'On-Ramps'!AL16)</f>
        <v>#DIV/0!</v>
      </c>
      <c r="BN16" s="63"/>
      <c r="BO16" s="58" t="e">
        <f>(Links!W16^2+'Off-Ramp'!L16^2)/(Links!W16+'Off-Ramp'!L16)</f>
        <v>#DIV/0!</v>
      </c>
      <c r="BP16" s="63"/>
      <c r="BQ16" s="58" t="e">
        <f>(Links!Y16^2+'Off-Ramp'!C16^2)/(Links!Y16+'Off-Ramp'!C16)</f>
        <v>#DIV/0!</v>
      </c>
      <c r="BR16" s="63"/>
      <c r="BS16" s="58" t="e">
        <f>(Links!AA16^2+'Off-Ramp'!N16^2)/(Links!AA16+'Off-Ramp'!N16)</f>
        <v>#DIV/0!</v>
      </c>
      <c r="BT16" s="58" t="e">
        <f>(Links!AD16^2+'Off-Ramp'!O16^2)/(Links!AD16+'Off-Ramp'!O16)</f>
        <v>#DIV/0!</v>
      </c>
      <c r="BU16" s="58" t="e">
        <f>(Links!AE16^2+'Off-Ramp'!V16^2+'Off-Ramp'!W16^2+'Off-Ramp'!X16^2)/(Links!AE16+'Off-Ramp'!V16+'Off-Ramp'!W16+'Off-Ramp'!X16)</f>
        <v>#DIV/0!</v>
      </c>
      <c r="BV16" s="58" t="e">
        <f>(Links!AG16^2+'Off-Ramp'!Y16^2+'Off-Ramp'!Z16^2+'Off-Ramp'!AA16^2)/(Links!AG16+'Off-Ramp'!Y16+'Off-Ramp'!Z16+'Off-Ramp'!AA16)</f>
        <v>#DIV/0!</v>
      </c>
      <c r="BW16" s="58" t="e">
        <f>(Links!AH16^2+'Off-Ramp'!R16^2)/(Links!AH16+'Off-Ramp'!R16)</f>
        <v>#DIV/0!</v>
      </c>
      <c r="BX16" s="58" t="e">
        <f>(Links!AK16^2+'Off-Ramp'!S16^2)/(Links!AK16+'Off-Ramp'!S16)</f>
        <v>#DIV/0!</v>
      </c>
      <c r="BY16" s="58" t="e">
        <f>(Links!AL16^2+'Off-Ramp'!T16^2)/(Links!AL16+'Off-Ramp'!T16)</f>
        <v>#DIV/0!</v>
      </c>
      <c r="BZ16" s="63"/>
      <c r="CA16" s="58" t="e">
        <f>(Links!AN16^2+'Off-Ramp'!U16^2)/(Links!AN16+'Off-Ramp'!U16)</f>
        <v>#DIV/0!</v>
      </c>
    </row>
    <row r="17" spans="1:79" x14ac:dyDescent="0.15">
      <c r="A17" s="56">
        <v>15</v>
      </c>
      <c r="B17" s="57" t="e">
        <f t="shared" si="1"/>
        <v>#DIV/0!</v>
      </c>
      <c r="C17" s="57" t="e">
        <f t="shared" si="2"/>
        <v>#DIV/0!</v>
      </c>
      <c r="D17" s="57" t="e">
        <f t="shared" si="3"/>
        <v>#DIV/0!</v>
      </c>
      <c r="E17" s="57" t="e">
        <f t="shared" si="4"/>
        <v>#DIV/0!</v>
      </c>
      <c r="F17" s="57" t="e">
        <f t="shared" si="5"/>
        <v>#DIV/0!</v>
      </c>
      <c r="G17" s="57" t="e">
        <f t="shared" si="6"/>
        <v>#DIV/0!</v>
      </c>
      <c r="H17" s="57" t="e">
        <f t="shared" si="7"/>
        <v>#DIV/0!</v>
      </c>
      <c r="I17" s="57" t="e">
        <f t="shared" si="8"/>
        <v>#DIV/0!</v>
      </c>
      <c r="J17" s="57" t="e">
        <f t="shared" si="9"/>
        <v>#DIV/0!</v>
      </c>
      <c r="K17" s="57" t="e">
        <f t="shared" si="10"/>
        <v>#DIV/0!</v>
      </c>
      <c r="L17" s="57" t="e">
        <f t="shared" si="11"/>
        <v>#DIV/0!</v>
      </c>
      <c r="M17" s="57" t="e">
        <f t="shared" si="12"/>
        <v>#DIV/0!</v>
      </c>
      <c r="N17" s="57" t="e">
        <f t="shared" si="13"/>
        <v>#DIV/0!</v>
      </c>
      <c r="O17" s="58" t="e">
        <f>Links!B17</f>
        <v>#DIV/0!</v>
      </c>
      <c r="P17" s="58" t="e">
        <f>Links!C17+'On-Ramps'!AC17</f>
        <v>#DIV/0!</v>
      </c>
      <c r="Q17" s="58" t="e">
        <f>Links!D17</f>
        <v>#DIV/0!</v>
      </c>
      <c r="R17" s="58" t="e">
        <f>Links!E17+'On-Ramps'!AD17</f>
        <v>#DIV/0!</v>
      </c>
      <c r="S17" s="58" t="e">
        <f>Links!F17+'On-Ramps'!AE17</f>
        <v>#DIV/0!</v>
      </c>
      <c r="T17" s="58" t="e">
        <f>Links!I17+'On-Ramps'!AF17</f>
        <v>#DIV/0!</v>
      </c>
      <c r="U17" s="58" t="e">
        <f>Links!J17+'On-Ramps'!AG17</f>
        <v>#DIV/0!</v>
      </c>
      <c r="V17" s="58" t="e">
        <f>Links!L17+'On-Ramps'!AH17</f>
        <v>#DIV/0!</v>
      </c>
      <c r="W17" s="58" t="e">
        <f>Links!M17+'On-Ramps'!AI17</f>
        <v>#DIV/0!</v>
      </c>
      <c r="X17" s="58" t="e">
        <f>Links!P17+'On-Ramps'!AJ17</f>
        <v>#DIV/0!</v>
      </c>
      <c r="Y17" s="58" t="e">
        <f>Links!Q17</f>
        <v>#DIV/0!</v>
      </c>
      <c r="Z17" s="58" t="e">
        <f>Links!R17+'On-Ramps'!AK17</f>
        <v>#DIV/0!</v>
      </c>
      <c r="AA17" s="58" t="e">
        <f>Links!S17</f>
        <v>#DIV/0!</v>
      </c>
      <c r="AB17" s="57" t="e">
        <f t="shared" si="16"/>
        <v>#VALUE!</v>
      </c>
      <c r="AC17" s="63"/>
      <c r="AD17" s="57" t="e">
        <f t="shared" si="17"/>
        <v>#DIV/0!</v>
      </c>
      <c r="AE17" s="63"/>
      <c r="AF17" s="57" t="e">
        <f t="shared" si="18"/>
        <v>#DIV/0!</v>
      </c>
      <c r="AG17" s="57" t="e">
        <f t="shared" si="19"/>
        <v>#DIV/0!</v>
      </c>
      <c r="AH17" s="57" t="e">
        <f t="shared" si="20"/>
        <v>#DIV/0!</v>
      </c>
      <c r="AI17" s="57" t="e">
        <f t="shared" si="21"/>
        <v>#DIV/0!</v>
      </c>
      <c r="AJ17" s="57" t="e">
        <f t="shared" si="22"/>
        <v>#DIV/0!</v>
      </c>
      <c r="AK17" s="57" t="e">
        <f t="shared" si="23"/>
        <v>#DIV/0!</v>
      </c>
      <c r="AL17" s="57" t="e">
        <f t="shared" si="24"/>
        <v>#DIV/0!</v>
      </c>
      <c r="AM17" s="63"/>
      <c r="AN17" s="57" t="e">
        <f t="shared" si="14"/>
        <v>#DIV/0!</v>
      </c>
      <c r="AO17" s="58" t="e">
        <f t="shared" si="25"/>
        <v>#VALUE!</v>
      </c>
      <c r="AP17" s="63"/>
      <c r="AQ17" s="58" t="e">
        <f t="shared" si="15"/>
        <v>#DIV/0!</v>
      </c>
      <c r="AR17" s="63"/>
      <c r="AS17" s="58" t="e">
        <f t="shared" si="15"/>
        <v>#DIV/0!</v>
      </c>
      <c r="AT17" s="58" t="e">
        <f t="shared" si="15"/>
        <v>#DIV/0!</v>
      </c>
      <c r="AU17" s="58" t="e">
        <f t="shared" si="15"/>
        <v>#DIV/0!</v>
      </c>
      <c r="AV17" s="58" t="e">
        <f t="shared" si="15"/>
        <v>#DIV/0!</v>
      </c>
      <c r="AW17" s="58" t="e">
        <f t="shared" si="15"/>
        <v>#DIV/0!</v>
      </c>
      <c r="AX17" s="58" t="e">
        <f t="shared" si="15"/>
        <v>#DIV/0!</v>
      </c>
      <c r="AY17" s="58" t="e">
        <f t="shared" si="15"/>
        <v>#DIV/0!</v>
      </c>
      <c r="AZ17" s="63"/>
      <c r="BA17" s="58" t="e">
        <f t="shared" si="15"/>
        <v>#DIV/0!</v>
      </c>
      <c r="BB17" s="63"/>
      <c r="BC17" s="57" t="e">
        <f>(Links!C17*Links!AQ17+'On-Ramps'!AC17*'On-Ramps'!CE17)/('On-Ramps'!AC17+Links!C17)</f>
        <v>#DIV/0!</v>
      </c>
      <c r="BD17" s="63"/>
      <c r="BE17" s="57" t="e">
        <f>(Links!E17*Links!AS17+'On-Ramps'!AD17*'On-Ramps'!CF16)/('On-Ramps'!AD17+Links!E17)</f>
        <v>#DIV/0!</v>
      </c>
      <c r="BF17" s="57" t="e">
        <f>(Links!F17*Links!AT17+'On-Ramps'!AE17*'On-Ramps'!CG17)/('On-Ramps'!AE17+Links!F17)</f>
        <v>#DIV/0!</v>
      </c>
      <c r="BG17" s="57" t="e">
        <f>(Links!I17*Links!AW17+'On-Ramps'!AF17*'On-Ramps'!CH17)/('On-Ramps'!AF17+Links!I17)</f>
        <v>#DIV/0!</v>
      </c>
      <c r="BH17" s="57" t="e">
        <f>(#REF!*#REF!+'On-Ramps'!AG17*'On-Ramps'!CI17)/('On-Ramps'!AG17+#REF!)</f>
        <v>#REF!</v>
      </c>
      <c r="BI17" s="57" t="e">
        <f>(Links!L17*Links!AZ17+'On-Ramps'!AH17*'On-Ramps'!CJ17)/('On-Ramps'!AH17+Links!L17)</f>
        <v>#DIV/0!</v>
      </c>
      <c r="BJ17" s="57" t="e">
        <f>(Links!BA17*Links!M17+'On-Ramps'!AI17*'On-Ramps'!CK17)/('On-Ramps'!AI17+Links!M17)</f>
        <v>#DIV/0!</v>
      </c>
      <c r="BK17" s="57" t="e">
        <f>(Links!S17*Links!BG17+'On-Ramps'!AJ17*'On-Ramps'!CL17)/('On-Ramps'!AJ17+Links!S17)</f>
        <v>#DIV/0!</v>
      </c>
      <c r="BL17" s="63"/>
      <c r="BM17" s="57" t="e">
        <f>(Links!S17*Links!BG17+'On-Ramps'!AL17*'On-Ramps'!CM17)/(Links!S17+'On-Ramps'!AL17)</f>
        <v>#DIV/0!</v>
      </c>
      <c r="BN17" s="63"/>
      <c r="BO17" s="58" t="e">
        <f>(Links!W17^2+'Off-Ramp'!L17^2)/(Links!W17+'Off-Ramp'!L17)</f>
        <v>#DIV/0!</v>
      </c>
      <c r="BP17" s="63"/>
      <c r="BQ17" s="58" t="e">
        <f>(Links!Y17^2+'Off-Ramp'!C17^2)/(Links!Y17+'Off-Ramp'!C17)</f>
        <v>#DIV/0!</v>
      </c>
      <c r="BR17" s="63"/>
      <c r="BS17" s="58" t="e">
        <f>(Links!AA17^2+'Off-Ramp'!N17^2)/(Links!AA17+'Off-Ramp'!N17)</f>
        <v>#DIV/0!</v>
      </c>
      <c r="BT17" s="58" t="e">
        <f>(Links!AD17^2+'Off-Ramp'!O17^2)/(Links!AD17+'Off-Ramp'!O17)</f>
        <v>#DIV/0!</v>
      </c>
      <c r="BU17" s="58" t="e">
        <f>(Links!AE17^2+'Off-Ramp'!V17^2+'Off-Ramp'!W17^2+'Off-Ramp'!X17^2)/(Links!AE17+'Off-Ramp'!V17+'Off-Ramp'!W17+'Off-Ramp'!X17)</f>
        <v>#DIV/0!</v>
      </c>
      <c r="BV17" s="58" t="e">
        <f>(Links!AG17^2+'Off-Ramp'!Y17^2+'Off-Ramp'!Z17^2+'Off-Ramp'!AA17^2)/(Links!AG17+'Off-Ramp'!Y17+'Off-Ramp'!Z17+'Off-Ramp'!AA17)</f>
        <v>#DIV/0!</v>
      </c>
      <c r="BW17" s="58" t="e">
        <f>(Links!AH17^2+'Off-Ramp'!R17^2)/(Links!AH17+'Off-Ramp'!R17)</f>
        <v>#DIV/0!</v>
      </c>
      <c r="BX17" s="58" t="e">
        <f>(Links!AK17^2+'Off-Ramp'!S17^2)/(Links!AK17+'Off-Ramp'!S17)</f>
        <v>#DIV/0!</v>
      </c>
      <c r="BY17" s="58" t="e">
        <f>(Links!AL17^2+'Off-Ramp'!T17^2)/(Links!AL17+'Off-Ramp'!T17)</f>
        <v>#DIV/0!</v>
      </c>
      <c r="BZ17" s="63"/>
      <c r="CA17" s="58" t="e">
        <f>(Links!AN17^2+'Off-Ramp'!U17^2)/(Links!AN17+'Off-Ramp'!U17)</f>
        <v>#DIV/0!</v>
      </c>
    </row>
    <row r="18" spans="1:79" x14ac:dyDescent="0.15">
      <c r="A18" s="56">
        <v>16</v>
      </c>
      <c r="B18" s="57" t="e">
        <f t="shared" si="1"/>
        <v>#DIV/0!</v>
      </c>
      <c r="C18" s="57" t="e">
        <f t="shared" si="2"/>
        <v>#DIV/0!</v>
      </c>
      <c r="D18" s="57" t="e">
        <f t="shared" si="3"/>
        <v>#DIV/0!</v>
      </c>
      <c r="E18" s="57" t="e">
        <f t="shared" si="4"/>
        <v>#DIV/0!</v>
      </c>
      <c r="F18" s="57" t="e">
        <f t="shared" si="5"/>
        <v>#DIV/0!</v>
      </c>
      <c r="G18" s="57" t="e">
        <f t="shared" si="6"/>
        <v>#DIV/0!</v>
      </c>
      <c r="H18" s="57" t="e">
        <f t="shared" si="7"/>
        <v>#DIV/0!</v>
      </c>
      <c r="I18" s="57" t="e">
        <f t="shared" si="8"/>
        <v>#DIV/0!</v>
      </c>
      <c r="J18" s="57" t="e">
        <f t="shared" si="9"/>
        <v>#DIV/0!</v>
      </c>
      <c r="K18" s="57" t="e">
        <f t="shared" si="10"/>
        <v>#DIV/0!</v>
      </c>
      <c r="L18" s="57" t="e">
        <f t="shared" si="11"/>
        <v>#DIV/0!</v>
      </c>
      <c r="M18" s="57" t="e">
        <f t="shared" si="12"/>
        <v>#DIV/0!</v>
      </c>
      <c r="N18" s="57" t="e">
        <f t="shared" si="13"/>
        <v>#DIV/0!</v>
      </c>
      <c r="O18" s="58" t="e">
        <f>Links!B18</f>
        <v>#DIV/0!</v>
      </c>
      <c r="P18" s="58" t="e">
        <f>Links!C18+'On-Ramps'!AC18</f>
        <v>#DIV/0!</v>
      </c>
      <c r="Q18" s="58" t="e">
        <f>Links!D18</f>
        <v>#DIV/0!</v>
      </c>
      <c r="R18" s="58" t="e">
        <f>Links!E18+'On-Ramps'!AD18</f>
        <v>#DIV/0!</v>
      </c>
      <c r="S18" s="58" t="e">
        <f>Links!F18+'On-Ramps'!AE18</f>
        <v>#DIV/0!</v>
      </c>
      <c r="T18" s="58" t="e">
        <f>Links!I18+'On-Ramps'!AF18</f>
        <v>#DIV/0!</v>
      </c>
      <c r="U18" s="58" t="e">
        <f>Links!J18+'On-Ramps'!AG18</f>
        <v>#DIV/0!</v>
      </c>
      <c r="V18" s="58" t="e">
        <f>Links!L18+'On-Ramps'!AH18</f>
        <v>#DIV/0!</v>
      </c>
      <c r="W18" s="58" t="e">
        <f>Links!M18+'On-Ramps'!AI18</f>
        <v>#DIV/0!</v>
      </c>
      <c r="X18" s="58" t="e">
        <f>Links!P18+'On-Ramps'!AJ18</f>
        <v>#DIV/0!</v>
      </c>
      <c r="Y18" s="58" t="e">
        <f>Links!Q18</f>
        <v>#DIV/0!</v>
      </c>
      <c r="Z18" s="58" t="e">
        <f>Links!R18+'On-Ramps'!AK18</f>
        <v>#DIV/0!</v>
      </c>
      <c r="AA18" s="58" t="e">
        <f>Links!S18</f>
        <v>#DIV/0!</v>
      </c>
      <c r="AB18" s="57" t="e">
        <f t="shared" si="16"/>
        <v>#VALUE!</v>
      </c>
      <c r="AC18" s="63"/>
      <c r="AD18" s="57" t="e">
        <f t="shared" si="17"/>
        <v>#DIV/0!</v>
      </c>
      <c r="AE18" s="63"/>
      <c r="AF18" s="57" t="e">
        <f t="shared" si="18"/>
        <v>#DIV/0!</v>
      </c>
      <c r="AG18" s="57" t="e">
        <f t="shared" si="19"/>
        <v>#DIV/0!</v>
      </c>
      <c r="AH18" s="57" t="e">
        <f t="shared" si="20"/>
        <v>#DIV/0!</v>
      </c>
      <c r="AI18" s="57" t="e">
        <f t="shared" si="21"/>
        <v>#DIV/0!</v>
      </c>
      <c r="AJ18" s="57" t="e">
        <f t="shared" si="22"/>
        <v>#DIV/0!</v>
      </c>
      <c r="AK18" s="57" t="e">
        <f t="shared" si="23"/>
        <v>#DIV/0!</v>
      </c>
      <c r="AL18" s="57" t="e">
        <f t="shared" si="24"/>
        <v>#DIV/0!</v>
      </c>
      <c r="AM18" s="63"/>
      <c r="AN18" s="57" t="e">
        <f t="shared" si="14"/>
        <v>#DIV/0!</v>
      </c>
      <c r="AO18" s="58" t="e">
        <f t="shared" si="25"/>
        <v>#VALUE!</v>
      </c>
      <c r="AP18" s="63"/>
      <c r="AQ18" s="58" t="e">
        <f t="shared" si="15"/>
        <v>#DIV/0!</v>
      </c>
      <c r="AR18" s="63"/>
      <c r="AS18" s="58" t="e">
        <f t="shared" si="15"/>
        <v>#DIV/0!</v>
      </c>
      <c r="AT18" s="58" t="e">
        <f t="shared" si="15"/>
        <v>#DIV/0!</v>
      </c>
      <c r="AU18" s="58" t="e">
        <f t="shared" si="15"/>
        <v>#DIV/0!</v>
      </c>
      <c r="AV18" s="58" t="e">
        <f t="shared" si="15"/>
        <v>#DIV/0!</v>
      </c>
      <c r="AW18" s="58" t="e">
        <f t="shared" si="15"/>
        <v>#DIV/0!</v>
      </c>
      <c r="AX18" s="58" t="e">
        <f t="shared" si="15"/>
        <v>#DIV/0!</v>
      </c>
      <c r="AY18" s="58" t="e">
        <f t="shared" si="15"/>
        <v>#DIV/0!</v>
      </c>
      <c r="AZ18" s="63"/>
      <c r="BA18" s="58" t="e">
        <f t="shared" si="15"/>
        <v>#DIV/0!</v>
      </c>
      <c r="BB18" s="63"/>
      <c r="BC18" s="57" t="e">
        <f>(Links!C18*Links!AQ18+'On-Ramps'!AC18*'On-Ramps'!CE18)/('On-Ramps'!AC18+Links!C18)</f>
        <v>#DIV/0!</v>
      </c>
      <c r="BD18" s="63"/>
      <c r="BE18" s="57" t="e">
        <f>(Links!E18*Links!AS18+'On-Ramps'!AD18*'On-Ramps'!CF17)/('On-Ramps'!AD18+Links!E18)</f>
        <v>#DIV/0!</v>
      </c>
      <c r="BF18" s="57" t="e">
        <f>(Links!F18*Links!AT18+'On-Ramps'!AE18*'On-Ramps'!CG18)/('On-Ramps'!AE18+Links!F18)</f>
        <v>#DIV/0!</v>
      </c>
      <c r="BG18" s="57" t="e">
        <f>(Links!I18*Links!AW18+'On-Ramps'!AF18*'On-Ramps'!CH18)/('On-Ramps'!AF18+Links!I18)</f>
        <v>#DIV/0!</v>
      </c>
      <c r="BH18" s="57" t="e">
        <f>(#REF!*#REF!+'On-Ramps'!AG18*'On-Ramps'!CI18)/('On-Ramps'!AG18+#REF!)</f>
        <v>#REF!</v>
      </c>
      <c r="BI18" s="57" t="e">
        <f>(Links!L18*Links!AZ18+'On-Ramps'!AH18*'On-Ramps'!CJ18)/('On-Ramps'!AH18+Links!L18)</f>
        <v>#DIV/0!</v>
      </c>
      <c r="BJ18" s="57" t="e">
        <f>(Links!BA18*Links!M18+'On-Ramps'!AI18*'On-Ramps'!CK18)/('On-Ramps'!AI18+Links!M18)</f>
        <v>#DIV/0!</v>
      </c>
      <c r="BK18" s="57" t="e">
        <f>(Links!S18*Links!BG18+'On-Ramps'!AJ18*'On-Ramps'!CL18)/('On-Ramps'!AJ18+Links!S18)</f>
        <v>#DIV/0!</v>
      </c>
      <c r="BL18" s="63"/>
      <c r="BM18" s="57" t="e">
        <f>(Links!S18*Links!BG18+'On-Ramps'!AL18*'On-Ramps'!CM18)/(Links!S18+'On-Ramps'!AL18)</f>
        <v>#DIV/0!</v>
      </c>
      <c r="BN18" s="63"/>
      <c r="BO18" s="58" t="e">
        <f>(Links!W18^2+'Off-Ramp'!L18^2)/(Links!W18+'Off-Ramp'!L18)</f>
        <v>#DIV/0!</v>
      </c>
      <c r="BP18" s="63"/>
      <c r="BQ18" s="58" t="e">
        <f>(Links!Y18^2+'Off-Ramp'!C18^2)/(Links!Y18+'Off-Ramp'!C18)</f>
        <v>#DIV/0!</v>
      </c>
      <c r="BR18" s="63"/>
      <c r="BS18" s="58" t="e">
        <f>(Links!AA18^2+'Off-Ramp'!N18^2)/(Links!AA18+'Off-Ramp'!N18)</f>
        <v>#DIV/0!</v>
      </c>
      <c r="BT18" s="58" t="e">
        <f>(Links!AD18^2+'Off-Ramp'!O18^2)/(Links!AD18+'Off-Ramp'!O18)</f>
        <v>#DIV/0!</v>
      </c>
      <c r="BU18" s="58" t="e">
        <f>(Links!AE18^2+'Off-Ramp'!V18^2+'Off-Ramp'!W18^2+'Off-Ramp'!X18^2)/(Links!AE18+'Off-Ramp'!V18+'Off-Ramp'!W18+'Off-Ramp'!X18)</f>
        <v>#DIV/0!</v>
      </c>
      <c r="BV18" s="58" t="e">
        <f>(Links!AG18^2+'Off-Ramp'!Y18^2+'Off-Ramp'!Z18^2+'Off-Ramp'!AA18^2)/(Links!AG18+'Off-Ramp'!Y18+'Off-Ramp'!Z18+'Off-Ramp'!AA18)</f>
        <v>#DIV/0!</v>
      </c>
      <c r="BW18" s="58" t="e">
        <f>(Links!AH18^2+'Off-Ramp'!R18^2)/(Links!AH18+'Off-Ramp'!R18)</f>
        <v>#DIV/0!</v>
      </c>
      <c r="BX18" s="58" t="e">
        <f>(Links!AK18^2+'Off-Ramp'!S18^2)/(Links!AK18+'Off-Ramp'!S18)</f>
        <v>#DIV/0!</v>
      </c>
      <c r="BY18" s="58" t="e">
        <f>(Links!AL18^2+'Off-Ramp'!T18^2)/(Links!AL18+'Off-Ramp'!T18)</f>
        <v>#DIV/0!</v>
      </c>
      <c r="BZ18" s="63"/>
      <c r="CA18" s="58" t="e">
        <f>(Links!AN18^2+'Off-Ramp'!U18^2)/(Links!AN18+'Off-Ramp'!U18)</f>
        <v>#DIV/0!</v>
      </c>
    </row>
    <row r="19" spans="1:79" x14ac:dyDescent="0.15">
      <c r="A19" s="56">
        <v>17</v>
      </c>
      <c r="B19" s="57" t="e">
        <f t="shared" si="1"/>
        <v>#DIV/0!</v>
      </c>
      <c r="C19" s="57" t="e">
        <f t="shared" si="2"/>
        <v>#DIV/0!</v>
      </c>
      <c r="D19" s="57" t="e">
        <f t="shared" si="3"/>
        <v>#DIV/0!</v>
      </c>
      <c r="E19" s="57" t="e">
        <f t="shared" si="4"/>
        <v>#DIV/0!</v>
      </c>
      <c r="F19" s="57" t="e">
        <f t="shared" si="5"/>
        <v>#DIV/0!</v>
      </c>
      <c r="G19" s="57" t="e">
        <f t="shared" si="6"/>
        <v>#DIV/0!</v>
      </c>
      <c r="H19" s="57" t="e">
        <f t="shared" si="7"/>
        <v>#DIV/0!</v>
      </c>
      <c r="I19" s="57" t="e">
        <f t="shared" si="8"/>
        <v>#DIV/0!</v>
      </c>
      <c r="J19" s="57" t="e">
        <f t="shared" si="9"/>
        <v>#DIV/0!</v>
      </c>
      <c r="K19" s="57" t="e">
        <f t="shared" si="10"/>
        <v>#DIV/0!</v>
      </c>
      <c r="L19" s="57" t="e">
        <f t="shared" si="11"/>
        <v>#DIV/0!</v>
      </c>
      <c r="M19" s="57" t="e">
        <f t="shared" si="12"/>
        <v>#DIV/0!</v>
      </c>
      <c r="N19" s="57" t="e">
        <f t="shared" si="13"/>
        <v>#DIV/0!</v>
      </c>
      <c r="O19" s="58" t="e">
        <f>Links!B19</f>
        <v>#DIV/0!</v>
      </c>
      <c r="P19" s="58" t="e">
        <f>Links!C19+'On-Ramps'!AC19</f>
        <v>#DIV/0!</v>
      </c>
      <c r="Q19" s="58" t="e">
        <f>Links!D19</f>
        <v>#DIV/0!</v>
      </c>
      <c r="R19" s="58" t="e">
        <f>Links!E19+'On-Ramps'!AD19</f>
        <v>#DIV/0!</v>
      </c>
      <c r="S19" s="58" t="e">
        <f>Links!F19+'On-Ramps'!AE19</f>
        <v>#DIV/0!</v>
      </c>
      <c r="T19" s="58" t="e">
        <f>Links!I19+'On-Ramps'!AF19</f>
        <v>#DIV/0!</v>
      </c>
      <c r="U19" s="58" t="e">
        <f>Links!J19+'On-Ramps'!AG19</f>
        <v>#DIV/0!</v>
      </c>
      <c r="V19" s="58" t="e">
        <f>Links!L19+'On-Ramps'!AH19</f>
        <v>#DIV/0!</v>
      </c>
      <c r="W19" s="58" t="e">
        <f>Links!M19+'On-Ramps'!AI19</f>
        <v>#DIV/0!</v>
      </c>
      <c r="X19" s="58" t="e">
        <f>Links!P19+'On-Ramps'!AJ19</f>
        <v>#DIV/0!</v>
      </c>
      <c r="Y19" s="58" t="e">
        <f>Links!Q19</f>
        <v>#DIV/0!</v>
      </c>
      <c r="Z19" s="58" t="e">
        <f>Links!R19+'On-Ramps'!AK19</f>
        <v>#DIV/0!</v>
      </c>
      <c r="AA19" s="58" t="e">
        <f>Links!S19</f>
        <v>#DIV/0!</v>
      </c>
      <c r="AB19" s="57" t="e">
        <f t="shared" si="16"/>
        <v>#VALUE!</v>
      </c>
      <c r="AC19" s="63"/>
      <c r="AD19" s="57" t="e">
        <f t="shared" si="17"/>
        <v>#DIV/0!</v>
      </c>
      <c r="AE19" s="63"/>
      <c r="AF19" s="57" t="e">
        <f t="shared" si="18"/>
        <v>#DIV/0!</v>
      </c>
      <c r="AG19" s="57" t="e">
        <f t="shared" si="19"/>
        <v>#DIV/0!</v>
      </c>
      <c r="AH19" s="57" t="e">
        <f t="shared" si="20"/>
        <v>#DIV/0!</v>
      </c>
      <c r="AI19" s="57" t="e">
        <f t="shared" si="21"/>
        <v>#DIV/0!</v>
      </c>
      <c r="AJ19" s="57" t="e">
        <f t="shared" si="22"/>
        <v>#DIV/0!</v>
      </c>
      <c r="AK19" s="57" t="e">
        <f t="shared" si="23"/>
        <v>#DIV/0!</v>
      </c>
      <c r="AL19" s="57" t="e">
        <f t="shared" si="24"/>
        <v>#DIV/0!</v>
      </c>
      <c r="AM19" s="63"/>
      <c r="AN19" s="57" t="e">
        <f t="shared" si="14"/>
        <v>#DIV/0!</v>
      </c>
      <c r="AO19" s="58" t="e">
        <f t="shared" si="25"/>
        <v>#VALUE!</v>
      </c>
      <c r="AP19" s="63"/>
      <c r="AQ19" s="58" t="e">
        <f t="shared" si="15"/>
        <v>#DIV/0!</v>
      </c>
      <c r="AR19" s="63"/>
      <c r="AS19" s="58" t="e">
        <f t="shared" si="15"/>
        <v>#DIV/0!</v>
      </c>
      <c r="AT19" s="58" t="e">
        <f t="shared" si="15"/>
        <v>#DIV/0!</v>
      </c>
      <c r="AU19" s="58" t="e">
        <f t="shared" si="15"/>
        <v>#DIV/0!</v>
      </c>
      <c r="AV19" s="58" t="e">
        <f t="shared" si="15"/>
        <v>#DIV/0!</v>
      </c>
      <c r="AW19" s="58" t="e">
        <f t="shared" si="15"/>
        <v>#DIV/0!</v>
      </c>
      <c r="AX19" s="58" t="e">
        <f t="shared" si="15"/>
        <v>#DIV/0!</v>
      </c>
      <c r="AY19" s="58" t="e">
        <f t="shared" si="15"/>
        <v>#DIV/0!</v>
      </c>
      <c r="AZ19" s="63"/>
      <c r="BA19" s="58" t="e">
        <f t="shared" si="15"/>
        <v>#DIV/0!</v>
      </c>
      <c r="BB19" s="63"/>
      <c r="BC19" s="57" t="e">
        <f>(Links!C19*Links!AQ19+'On-Ramps'!AC19*'On-Ramps'!CE19)/('On-Ramps'!AC19+Links!C19)</f>
        <v>#DIV/0!</v>
      </c>
      <c r="BD19" s="63"/>
      <c r="BE19" s="57" t="e">
        <f>(Links!E19*Links!AS19+'On-Ramps'!AD19*'On-Ramps'!CF18)/('On-Ramps'!AD19+Links!E19)</f>
        <v>#DIV/0!</v>
      </c>
      <c r="BF19" s="57" t="e">
        <f>(Links!F19*Links!AT19+'On-Ramps'!AE19*'On-Ramps'!CG19)/('On-Ramps'!AE19+Links!F19)</f>
        <v>#DIV/0!</v>
      </c>
      <c r="BG19" s="57" t="e">
        <f>(Links!I19*Links!AW19+'On-Ramps'!AF19*'On-Ramps'!CH19)/('On-Ramps'!AF19+Links!I19)</f>
        <v>#DIV/0!</v>
      </c>
      <c r="BH19" s="57" t="e">
        <f>(#REF!*#REF!+'On-Ramps'!AG19*'On-Ramps'!CI19)/('On-Ramps'!AG19+#REF!)</f>
        <v>#REF!</v>
      </c>
      <c r="BI19" s="57" t="e">
        <f>(Links!L19*Links!AZ19+'On-Ramps'!AH19*'On-Ramps'!CJ19)/('On-Ramps'!AH19+Links!L19)</f>
        <v>#DIV/0!</v>
      </c>
      <c r="BJ19" s="57" t="e">
        <f>(Links!BA19*Links!M19+'On-Ramps'!AI19*'On-Ramps'!CK19)/('On-Ramps'!AI19+Links!M19)</f>
        <v>#DIV/0!</v>
      </c>
      <c r="BK19" s="57" t="e">
        <f>(Links!S19*Links!BG19+'On-Ramps'!AJ19*'On-Ramps'!CL19)/('On-Ramps'!AJ19+Links!S19)</f>
        <v>#DIV/0!</v>
      </c>
      <c r="BL19" s="63"/>
      <c r="BM19" s="57" t="e">
        <f>(Links!S19*Links!BG19+'On-Ramps'!AL19*'On-Ramps'!CM19)/(Links!S19+'On-Ramps'!AL19)</f>
        <v>#DIV/0!</v>
      </c>
      <c r="BN19" s="63"/>
      <c r="BO19" s="58" t="e">
        <f>(Links!W19^2+'Off-Ramp'!L19^2)/(Links!W19+'Off-Ramp'!L19)</f>
        <v>#DIV/0!</v>
      </c>
      <c r="BP19" s="63"/>
      <c r="BQ19" s="58" t="e">
        <f>(Links!Y19^2+'Off-Ramp'!C19^2)/(Links!Y19+'Off-Ramp'!C19)</f>
        <v>#DIV/0!</v>
      </c>
      <c r="BR19" s="63"/>
      <c r="BS19" s="58" t="e">
        <f>(Links!AA19^2+'Off-Ramp'!N19^2)/(Links!AA19+'Off-Ramp'!N19)</f>
        <v>#DIV/0!</v>
      </c>
      <c r="BT19" s="58" t="e">
        <f>(Links!AD19^2+'Off-Ramp'!O19^2)/(Links!AD19+'Off-Ramp'!O19)</f>
        <v>#DIV/0!</v>
      </c>
      <c r="BU19" s="58" t="e">
        <f>(Links!AE19^2+'Off-Ramp'!V19^2+'Off-Ramp'!W19^2+'Off-Ramp'!X19^2)/(Links!AE19+'Off-Ramp'!V19+'Off-Ramp'!W19+'Off-Ramp'!X19)</f>
        <v>#DIV/0!</v>
      </c>
      <c r="BV19" s="58" t="e">
        <f>(Links!AG19^2+'Off-Ramp'!Y19^2+'Off-Ramp'!Z19^2+'Off-Ramp'!AA19^2)/(Links!AG19+'Off-Ramp'!Y19+'Off-Ramp'!Z19+'Off-Ramp'!AA19)</f>
        <v>#DIV/0!</v>
      </c>
      <c r="BW19" s="58" t="e">
        <f>(Links!AH19^2+'Off-Ramp'!R19^2)/(Links!AH19+'Off-Ramp'!R19)</f>
        <v>#DIV/0!</v>
      </c>
      <c r="BX19" s="58" t="e">
        <f>(Links!AK19^2+'Off-Ramp'!S19^2)/(Links!AK19+'Off-Ramp'!S19)</f>
        <v>#DIV/0!</v>
      </c>
      <c r="BY19" s="58" t="e">
        <f>(Links!AL19^2+'Off-Ramp'!T19^2)/(Links!AL19+'Off-Ramp'!T19)</f>
        <v>#DIV/0!</v>
      </c>
      <c r="BZ19" s="63"/>
      <c r="CA19" s="58" t="e">
        <f>(Links!AN19^2+'Off-Ramp'!U19^2)/(Links!AN19+'Off-Ramp'!U19)</f>
        <v>#DIV/0!</v>
      </c>
    </row>
    <row r="20" spans="1:79" x14ac:dyDescent="0.15">
      <c r="A20" s="56">
        <v>18</v>
      </c>
      <c r="B20" s="57" t="e">
        <f t="shared" si="1"/>
        <v>#DIV/0!</v>
      </c>
      <c r="C20" s="57" t="e">
        <f t="shared" si="2"/>
        <v>#DIV/0!</v>
      </c>
      <c r="D20" s="57" t="e">
        <f t="shared" si="3"/>
        <v>#DIV/0!</v>
      </c>
      <c r="E20" s="57" t="e">
        <f t="shared" si="4"/>
        <v>#DIV/0!</v>
      </c>
      <c r="F20" s="57" t="e">
        <f t="shared" si="5"/>
        <v>#DIV/0!</v>
      </c>
      <c r="G20" s="57" t="e">
        <f t="shared" si="6"/>
        <v>#DIV/0!</v>
      </c>
      <c r="H20" s="57" t="e">
        <f t="shared" si="7"/>
        <v>#DIV/0!</v>
      </c>
      <c r="I20" s="57" t="e">
        <f t="shared" si="8"/>
        <v>#DIV/0!</v>
      </c>
      <c r="J20" s="57" t="e">
        <f t="shared" si="9"/>
        <v>#DIV/0!</v>
      </c>
      <c r="K20" s="57" t="e">
        <f t="shared" si="10"/>
        <v>#DIV/0!</v>
      </c>
      <c r="L20" s="57" t="e">
        <f t="shared" si="11"/>
        <v>#DIV/0!</v>
      </c>
      <c r="M20" s="57" t="e">
        <f t="shared" si="12"/>
        <v>#DIV/0!</v>
      </c>
      <c r="N20" s="57" t="e">
        <f t="shared" si="13"/>
        <v>#DIV/0!</v>
      </c>
      <c r="O20" s="58" t="e">
        <f>Links!B20</f>
        <v>#DIV/0!</v>
      </c>
      <c r="P20" s="58" t="e">
        <f>Links!C20+'On-Ramps'!AC20</f>
        <v>#DIV/0!</v>
      </c>
      <c r="Q20" s="58" t="e">
        <f>Links!D20</f>
        <v>#DIV/0!</v>
      </c>
      <c r="R20" s="58" t="e">
        <f>Links!E20+'On-Ramps'!AD20</f>
        <v>#DIV/0!</v>
      </c>
      <c r="S20" s="58" t="e">
        <f>Links!F20+'On-Ramps'!AE20</f>
        <v>#DIV/0!</v>
      </c>
      <c r="T20" s="58" t="e">
        <f>Links!I20+'On-Ramps'!AF20</f>
        <v>#DIV/0!</v>
      </c>
      <c r="U20" s="58" t="e">
        <f>Links!J20+'On-Ramps'!AG20</f>
        <v>#DIV/0!</v>
      </c>
      <c r="V20" s="58" t="e">
        <f>Links!L20+'On-Ramps'!AH20</f>
        <v>#DIV/0!</v>
      </c>
      <c r="W20" s="58" t="e">
        <f>Links!M20+'On-Ramps'!AI20</f>
        <v>#DIV/0!</v>
      </c>
      <c r="X20" s="58" t="e">
        <f>Links!P20+'On-Ramps'!AJ20</f>
        <v>#DIV/0!</v>
      </c>
      <c r="Y20" s="58" t="e">
        <f>Links!Q20</f>
        <v>#DIV/0!</v>
      </c>
      <c r="Z20" s="58" t="e">
        <f>Links!R20+'On-Ramps'!AK20</f>
        <v>#DIV/0!</v>
      </c>
      <c r="AA20" s="58" t="e">
        <f>Links!S20</f>
        <v>#DIV/0!</v>
      </c>
      <c r="AB20" s="57" t="e">
        <f t="shared" si="16"/>
        <v>#VALUE!</v>
      </c>
      <c r="AC20" s="63"/>
      <c r="AD20" s="57" t="e">
        <f t="shared" si="17"/>
        <v>#DIV/0!</v>
      </c>
      <c r="AE20" s="63"/>
      <c r="AF20" s="57" t="e">
        <f t="shared" si="18"/>
        <v>#DIV/0!</v>
      </c>
      <c r="AG20" s="57" t="e">
        <f t="shared" si="19"/>
        <v>#DIV/0!</v>
      </c>
      <c r="AH20" s="57" t="e">
        <f t="shared" si="20"/>
        <v>#DIV/0!</v>
      </c>
      <c r="AI20" s="57" t="e">
        <f t="shared" si="21"/>
        <v>#DIV/0!</v>
      </c>
      <c r="AJ20" s="57" t="e">
        <f t="shared" si="22"/>
        <v>#DIV/0!</v>
      </c>
      <c r="AK20" s="57" t="e">
        <f t="shared" si="23"/>
        <v>#DIV/0!</v>
      </c>
      <c r="AL20" s="57" t="e">
        <f t="shared" si="24"/>
        <v>#DIV/0!</v>
      </c>
      <c r="AM20" s="63"/>
      <c r="AN20" s="57" t="e">
        <f t="shared" ref="AN20:AN83" si="26">BA20*(1-BA20)*AA20</f>
        <v>#DIV/0!</v>
      </c>
      <c r="AO20" s="58" t="e">
        <f t="shared" si="25"/>
        <v>#VALUE!</v>
      </c>
      <c r="AP20" s="63"/>
      <c r="AQ20" s="58" t="e">
        <f t="shared" si="25"/>
        <v>#DIV/0!</v>
      </c>
      <c r="AR20" s="63"/>
      <c r="AS20" s="58" t="e">
        <f t="shared" si="25"/>
        <v>#DIV/0!</v>
      </c>
      <c r="AT20" s="58" t="e">
        <f t="shared" si="25"/>
        <v>#DIV/0!</v>
      </c>
      <c r="AU20" s="58" t="e">
        <f t="shared" si="25"/>
        <v>#DIV/0!</v>
      </c>
      <c r="AV20" s="58" t="e">
        <f t="shared" si="25"/>
        <v>#DIV/0!</v>
      </c>
      <c r="AW20" s="58" t="e">
        <f t="shared" si="25"/>
        <v>#DIV/0!</v>
      </c>
      <c r="AX20" s="58" t="e">
        <f t="shared" si="25"/>
        <v>#DIV/0!</v>
      </c>
      <c r="AY20" s="58" t="e">
        <f t="shared" si="25"/>
        <v>#DIV/0!</v>
      </c>
      <c r="AZ20" s="63"/>
      <c r="BA20" s="58" t="e">
        <f t="shared" si="25"/>
        <v>#DIV/0!</v>
      </c>
      <c r="BB20" s="63"/>
      <c r="BC20" s="57" t="e">
        <f>(Links!C20*Links!AQ20+'On-Ramps'!AC20*'On-Ramps'!CE20)/('On-Ramps'!AC20+Links!C20)</f>
        <v>#DIV/0!</v>
      </c>
      <c r="BD20" s="63"/>
      <c r="BE20" s="57" t="e">
        <f>(Links!E20*Links!AS20+'On-Ramps'!AD20*'On-Ramps'!CF19)/('On-Ramps'!AD20+Links!E20)</f>
        <v>#DIV/0!</v>
      </c>
      <c r="BF20" s="57" t="e">
        <f>(Links!F20*Links!AT20+'On-Ramps'!AE20*'On-Ramps'!CG20)/('On-Ramps'!AE20+Links!F20)</f>
        <v>#DIV/0!</v>
      </c>
      <c r="BG20" s="57" t="e">
        <f>(Links!I20*Links!AW20+'On-Ramps'!AF20*'On-Ramps'!CH20)/('On-Ramps'!AF20+Links!I20)</f>
        <v>#DIV/0!</v>
      </c>
      <c r="BH20" s="57" t="e">
        <f>(#REF!*#REF!+'On-Ramps'!AG20*'On-Ramps'!CI20)/('On-Ramps'!AG20+#REF!)</f>
        <v>#REF!</v>
      </c>
      <c r="BI20" s="57" t="e">
        <f>(Links!L20*Links!AZ20+'On-Ramps'!AH20*'On-Ramps'!CJ20)/('On-Ramps'!AH20+Links!L20)</f>
        <v>#DIV/0!</v>
      </c>
      <c r="BJ20" s="57" t="e">
        <f>(Links!BA20*Links!M20+'On-Ramps'!AI20*'On-Ramps'!CK20)/('On-Ramps'!AI20+Links!M20)</f>
        <v>#DIV/0!</v>
      </c>
      <c r="BK20" s="57" t="e">
        <f>(Links!S20*Links!BG20+'On-Ramps'!AJ20*'On-Ramps'!CL20)/('On-Ramps'!AJ20+Links!S20)</f>
        <v>#DIV/0!</v>
      </c>
      <c r="BL20" s="63"/>
      <c r="BM20" s="57" t="e">
        <f>(Links!S20*Links!BG20+'On-Ramps'!AL20*'On-Ramps'!CM20)/(Links!S20+'On-Ramps'!AL20)</f>
        <v>#DIV/0!</v>
      </c>
      <c r="BN20" s="63"/>
      <c r="BO20" s="58" t="e">
        <f>(Links!W20^2+'Off-Ramp'!L20^2)/(Links!W20+'Off-Ramp'!L20)</f>
        <v>#DIV/0!</v>
      </c>
      <c r="BP20" s="63"/>
      <c r="BQ20" s="58" t="e">
        <f>(Links!Y20^2+'Off-Ramp'!C20^2)/(Links!Y20+'Off-Ramp'!C20)</f>
        <v>#DIV/0!</v>
      </c>
      <c r="BR20" s="63"/>
      <c r="BS20" s="58" t="e">
        <f>(Links!AA20^2+'Off-Ramp'!N20^2)/(Links!AA20+'Off-Ramp'!N20)</f>
        <v>#DIV/0!</v>
      </c>
      <c r="BT20" s="58" t="e">
        <f>(Links!AD20^2+'Off-Ramp'!O20^2)/(Links!AD20+'Off-Ramp'!O20)</f>
        <v>#DIV/0!</v>
      </c>
      <c r="BU20" s="58" t="e">
        <f>(Links!AE20^2+'Off-Ramp'!V20^2+'Off-Ramp'!W20^2+'Off-Ramp'!X20^2)/(Links!AE20+'Off-Ramp'!V20+'Off-Ramp'!W20+'Off-Ramp'!X20)</f>
        <v>#DIV/0!</v>
      </c>
      <c r="BV20" s="58" t="e">
        <f>(Links!AG20^2+'Off-Ramp'!Y20^2+'Off-Ramp'!Z20^2+'Off-Ramp'!AA20^2)/(Links!AG20+'Off-Ramp'!Y20+'Off-Ramp'!Z20+'Off-Ramp'!AA20)</f>
        <v>#DIV/0!</v>
      </c>
      <c r="BW20" s="58" t="e">
        <f>(Links!AH20^2+'Off-Ramp'!R20^2)/(Links!AH20+'Off-Ramp'!R20)</f>
        <v>#DIV/0!</v>
      </c>
      <c r="BX20" s="58" t="e">
        <f>(Links!AK20^2+'Off-Ramp'!S20^2)/(Links!AK20+'Off-Ramp'!S20)</f>
        <v>#DIV/0!</v>
      </c>
      <c r="BY20" s="58" t="e">
        <f>(Links!AL20^2+'Off-Ramp'!T20^2)/(Links!AL20+'Off-Ramp'!T20)</f>
        <v>#DIV/0!</v>
      </c>
      <c r="BZ20" s="63"/>
      <c r="CA20" s="58" t="e">
        <f>(Links!AN20^2+'Off-Ramp'!U20^2)/(Links!AN20+'Off-Ramp'!U20)</f>
        <v>#DIV/0!</v>
      </c>
    </row>
    <row r="21" spans="1:79" x14ac:dyDescent="0.15">
      <c r="A21" s="56">
        <v>19</v>
      </c>
      <c r="B21" s="57" t="e">
        <f t="shared" si="1"/>
        <v>#DIV/0!</v>
      </c>
      <c r="C21" s="57" t="e">
        <f t="shared" si="2"/>
        <v>#DIV/0!</v>
      </c>
      <c r="D21" s="57" t="e">
        <f t="shared" si="3"/>
        <v>#DIV/0!</v>
      </c>
      <c r="E21" s="57" t="e">
        <f t="shared" si="4"/>
        <v>#DIV/0!</v>
      </c>
      <c r="F21" s="57" t="e">
        <f t="shared" si="5"/>
        <v>#DIV/0!</v>
      </c>
      <c r="G21" s="57" t="e">
        <f t="shared" si="6"/>
        <v>#DIV/0!</v>
      </c>
      <c r="H21" s="57" t="e">
        <f t="shared" si="7"/>
        <v>#DIV/0!</v>
      </c>
      <c r="I21" s="57" t="e">
        <f t="shared" si="8"/>
        <v>#DIV/0!</v>
      </c>
      <c r="J21" s="57" t="e">
        <f t="shared" si="9"/>
        <v>#DIV/0!</v>
      </c>
      <c r="K21" s="57" t="e">
        <f t="shared" si="10"/>
        <v>#DIV/0!</v>
      </c>
      <c r="L21" s="57" t="e">
        <f t="shared" si="11"/>
        <v>#DIV/0!</v>
      </c>
      <c r="M21" s="57" t="e">
        <f t="shared" si="12"/>
        <v>#DIV/0!</v>
      </c>
      <c r="N21" s="57" t="e">
        <f t="shared" si="13"/>
        <v>#DIV/0!</v>
      </c>
      <c r="O21" s="58" t="e">
        <f>Links!B21</f>
        <v>#DIV/0!</v>
      </c>
      <c r="P21" s="58" t="e">
        <f>Links!C21+'On-Ramps'!AC21</f>
        <v>#DIV/0!</v>
      </c>
      <c r="Q21" s="58" t="e">
        <f>Links!D21</f>
        <v>#DIV/0!</v>
      </c>
      <c r="R21" s="58" t="e">
        <f>Links!E21+'On-Ramps'!AD21</f>
        <v>#DIV/0!</v>
      </c>
      <c r="S21" s="58" t="e">
        <f>Links!F21+'On-Ramps'!AE21</f>
        <v>#DIV/0!</v>
      </c>
      <c r="T21" s="58" t="e">
        <f>Links!I21+'On-Ramps'!AF21</f>
        <v>#DIV/0!</v>
      </c>
      <c r="U21" s="58" t="e">
        <f>Links!J21+'On-Ramps'!AG21</f>
        <v>#DIV/0!</v>
      </c>
      <c r="V21" s="58" t="e">
        <f>Links!L21+'On-Ramps'!AH21</f>
        <v>#DIV/0!</v>
      </c>
      <c r="W21" s="58" t="e">
        <f>Links!M21+'On-Ramps'!AI21</f>
        <v>#DIV/0!</v>
      </c>
      <c r="X21" s="58" t="e">
        <f>Links!P21+'On-Ramps'!AJ21</f>
        <v>#DIV/0!</v>
      </c>
      <c r="Y21" s="58" t="e">
        <f>Links!Q21</f>
        <v>#DIV/0!</v>
      </c>
      <c r="Z21" s="58" t="e">
        <f>Links!R21+'On-Ramps'!AK21</f>
        <v>#DIV/0!</v>
      </c>
      <c r="AA21" s="58" t="e">
        <f>Links!S21</f>
        <v>#DIV/0!</v>
      </c>
      <c r="AB21" s="57" t="e">
        <f t="shared" si="16"/>
        <v>#VALUE!</v>
      </c>
      <c r="AC21" s="63"/>
      <c r="AD21" s="57" t="e">
        <f t="shared" si="17"/>
        <v>#DIV/0!</v>
      </c>
      <c r="AE21" s="63"/>
      <c r="AF21" s="57" t="e">
        <f t="shared" si="18"/>
        <v>#DIV/0!</v>
      </c>
      <c r="AG21" s="57" t="e">
        <f t="shared" si="19"/>
        <v>#DIV/0!</v>
      </c>
      <c r="AH21" s="57" t="e">
        <f t="shared" si="20"/>
        <v>#DIV/0!</v>
      </c>
      <c r="AI21" s="57" t="e">
        <f t="shared" si="21"/>
        <v>#DIV/0!</v>
      </c>
      <c r="AJ21" s="57" t="e">
        <f t="shared" si="22"/>
        <v>#DIV/0!</v>
      </c>
      <c r="AK21" s="57" t="e">
        <f t="shared" si="23"/>
        <v>#DIV/0!</v>
      </c>
      <c r="AL21" s="57" t="e">
        <f t="shared" si="24"/>
        <v>#DIV/0!</v>
      </c>
      <c r="AM21" s="63"/>
      <c r="AN21" s="57" t="e">
        <f t="shared" si="26"/>
        <v>#DIV/0!</v>
      </c>
      <c r="AO21" s="58" t="e">
        <f t="shared" si="25"/>
        <v>#VALUE!</v>
      </c>
      <c r="AP21" s="63"/>
      <c r="AQ21" s="58" t="e">
        <f t="shared" si="25"/>
        <v>#DIV/0!</v>
      </c>
      <c r="AR21" s="63"/>
      <c r="AS21" s="58" t="e">
        <f t="shared" si="25"/>
        <v>#DIV/0!</v>
      </c>
      <c r="AT21" s="58" t="e">
        <f t="shared" si="25"/>
        <v>#DIV/0!</v>
      </c>
      <c r="AU21" s="58" t="e">
        <f t="shared" si="25"/>
        <v>#DIV/0!</v>
      </c>
      <c r="AV21" s="58" t="e">
        <f t="shared" si="25"/>
        <v>#DIV/0!</v>
      </c>
      <c r="AW21" s="58" t="e">
        <f t="shared" si="25"/>
        <v>#DIV/0!</v>
      </c>
      <c r="AX21" s="58" t="e">
        <f t="shared" si="25"/>
        <v>#DIV/0!</v>
      </c>
      <c r="AY21" s="58" t="e">
        <f t="shared" si="25"/>
        <v>#DIV/0!</v>
      </c>
      <c r="AZ21" s="63"/>
      <c r="BA21" s="58" t="e">
        <f t="shared" si="25"/>
        <v>#DIV/0!</v>
      </c>
      <c r="BB21" s="63"/>
      <c r="BC21" s="57" t="e">
        <f>(Links!C21*Links!AQ21+'On-Ramps'!AC21*'On-Ramps'!CE21)/('On-Ramps'!AC21+Links!C21)</f>
        <v>#DIV/0!</v>
      </c>
      <c r="BD21" s="63"/>
      <c r="BE21" s="57" t="e">
        <f>(Links!E21*Links!AS21+'On-Ramps'!AD21*'On-Ramps'!CF20)/('On-Ramps'!AD21+Links!E21)</f>
        <v>#DIV/0!</v>
      </c>
      <c r="BF21" s="57" t="e">
        <f>(Links!F21*Links!AT21+'On-Ramps'!AE21*'On-Ramps'!CG21)/('On-Ramps'!AE21+Links!F21)</f>
        <v>#DIV/0!</v>
      </c>
      <c r="BG21" s="57" t="e">
        <f>(Links!I21*Links!AW21+'On-Ramps'!AF21*'On-Ramps'!CH21)/('On-Ramps'!AF21+Links!I21)</f>
        <v>#DIV/0!</v>
      </c>
      <c r="BH21" s="57" t="e">
        <f>(#REF!*#REF!+'On-Ramps'!AG21*'On-Ramps'!CI21)/('On-Ramps'!AG21+#REF!)</f>
        <v>#REF!</v>
      </c>
      <c r="BI21" s="57" t="e">
        <f>(Links!L21*Links!AZ21+'On-Ramps'!AH21*'On-Ramps'!CJ21)/('On-Ramps'!AH21+Links!L21)</f>
        <v>#DIV/0!</v>
      </c>
      <c r="BJ21" s="57" t="e">
        <f>(Links!BA21*Links!M21+'On-Ramps'!AI21*'On-Ramps'!CK21)/('On-Ramps'!AI21+Links!M21)</f>
        <v>#DIV/0!</v>
      </c>
      <c r="BK21" s="57" t="e">
        <f>(Links!S21*Links!BG21+'On-Ramps'!AJ21*'On-Ramps'!CL21)/('On-Ramps'!AJ21+Links!S21)</f>
        <v>#DIV/0!</v>
      </c>
      <c r="BL21" s="63"/>
      <c r="BM21" s="57" t="e">
        <f>(Links!S21*Links!BG21+'On-Ramps'!AL21*'On-Ramps'!CM21)/(Links!S21+'On-Ramps'!AL21)</f>
        <v>#DIV/0!</v>
      </c>
      <c r="BN21" s="63"/>
      <c r="BO21" s="58" t="e">
        <f>(Links!W21^2+'Off-Ramp'!L21^2)/(Links!W21+'Off-Ramp'!L21)</f>
        <v>#DIV/0!</v>
      </c>
      <c r="BP21" s="63"/>
      <c r="BQ21" s="58" t="e">
        <f>(Links!Y21^2+'Off-Ramp'!C21^2)/(Links!Y21+'Off-Ramp'!C21)</f>
        <v>#DIV/0!</v>
      </c>
      <c r="BR21" s="63"/>
      <c r="BS21" s="58" t="e">
        <f>(Links!AA21^2+'Off-Ramp'!N21^2)/(Links!AA21+'Off-Ramp'!N21)</f>
        <v>#DIV/0!</v>
      </c>
      <c r="BT21" s="58" t="e">
        <f>(Links!AD21^2+'Off-Ramp'!O21^2)/(Links!AD21+'Off-Ramp'!O21)</f>
        <v>#DIV/0!</v>
      </c>
      <c r="BU21" s="58" t="e">
        <f>(Links!AE21^2+'Off-Ramp'!V21^2+'Off-Ramp'!W21^2+'Off-Ramp'!X21^2)/(Links!AE21+'Off-Ramp'!V21+'Off-Ramp'!W21+'Off-Ramp'!X21)</f>
        <v>#DIV/0!</v>
      </c>
      <c r="BV21" s="58" t="e">
        <f>(Links!AG21^2+'Off-Ramp'!Y21^2+'Off-Ramp'!Z21^2+'Off-Ramp'!AA21^2)/(Links!AG21+'Off-Ramp'!Y21+'Off-Ramp'!Z21+'Off-Ramp'!AA21)</f>
        <v>#DIV/0!</v>
      </c>
      <c r="BW21" s="58" t="e">
        <f>(Links!AH21^2+'Off-Ramp'!R21^2)/(Links!AH21+'Off-Ramp'!R21)</f>
        <v>#DIV/0!</v>
      </c>
      <c r="BX21" s="58" t="e">
        <f>(Links!AK21^2+'Off-Ramp'!S21^2)/(Links!AK21+'Off-Ramp'!S21)</f>
        <v>#DIV/0!</v>
      </c>
      <c r="BY21" s="58" t="e">
        <f>(Links!AL21^2+'Off-Ramp'!T21^2)/(Links!AL21+'Off-Ramp'!T21)</f>
        <v>#DIV/0!</v>
      </c>
      <c r="BZ21" s="63"/>
      <c r="CA21" s="58" t="e">
        <f>(Links!AN21^2+'Off-Ramp'!U21^2)/(Links!AN21+'Off-Ramp'!U21)</f>
        <v>#DIV/0!</v>
      </c>
    </row>
    <row r="22" spans="1:79" x14ac:dyDescent="0.15">
      <c r="A22" s="56">
        <v>20</v>
      </c>
      <c r="B22" s="57" t="e">
        <f t="shared" si="1"/>
        <v>#DIV/0!</v>
      </c>
      <c r="C22" s="57" t="e">
        <f t="shared" si="2"/>
        <v>#DIV/0!</v>
      </c>
      <c r="D22" s="57" t="e">
        <f t="shared" si="3"/>
        <v>#DIV/0!</v>
      </c>
      <c r="E22" s="57" t="e">
        <f t="shared" si="4"/>
        <v>#DIV/0!</v>
      </c>
      <c r="F22" s="57" t="e">
        <f t="shared" si="5"/>
        <v>#DIV/0!</v>
      </c>
      <c r="G22" s="57" t="e">
        <f t="shared" si="6"/>
        <v>#DIV/0!</v>
      </c>
      <c r="H22" s="57" t="e">
        <f t="shared" si="7"/>
        <v>#DIV/0!</v>
      </c>
      <c r="I22" s="57" t="e">
        <f t="shared" si="8"/>
        <v>#DIV/0!</v>
      </c>
      <c r="J22" s="57" t="e">
        <f t="shared" si="9"/>
        <v>#DIV/0!</v>
      </c>
      <c r="K22" s="57" t="e">
        <f t="shared" si="10"/>
        <v>#DIV/0!</v>
      </c>
      <c r="L22" s="57" t="e">
        <f t="shared" si="11"/>
        <v>#DIV/0!</v>
      </c>
      <c r="M22" s="57" t="e">
        <f t="shared" si="12"/>
        <v>#DIV/0!</v>
      </c>
      <c r="N22" s="57" t="e">
        <f t="shared" si="13"/>
        <v>#DIV/0!</v>
      </c>
      <c r="O22" s="58" t="e">
        <f>Links!B22</f>
        <v>#DIV/0!</v>
      </c>
      <c r="P22" s="58" t="e">
        <f>Links!C22+'On-Ramps'!AC22</f>
        <v>#DIV/0!</v>
      </c>
      <c r="Q22" s="58" t="e">
        <f>Links!D22</f>
        <v>#DIV/0!</v>
      </c>
      <c r="R22" s="58" t="e">
        <f>Links!E22+'On-Ramps'!AD22</f>
        <v>#DIV/0!</v>
      </c>
      <c r="S22" s="58" t="e">
        <f>Links!F22+'On-Ramps'!AE22</f>
        <v>#DIV/0!</v>
      </c>
      <c r="T22" s="58" t="e">
        <f>Links!I22+'On-Ramps'!AF22</f>
        <v>#DIV/0!</v>
      </c>
      <c r="U22" s="58" t="e">
        <f>Links!J22+'On-Ramps'!AG22</f>
        <v>#DIV/0!</v>
      </c>
      <c r="V22" s="58" t="e">
        <f>Links!L22+'On-Ramps'!AH22</f>
        <v>#DIV/0!</v>
      </c>
      <c r="W22" s="58" t="e">
        <f>Links!M22+'On-Ramps'!AI22</f>
        <v>#DIV/0!</v>
      </c>
      <c r="X22" s="58" t="e">
        <f>Links!P22+'On-Ramps'!AJ22</f>
        <v>#DIV/0!</v>
      </c>
      <c r="Y22" s="58" t="e">
        <f>Links!Q22</f>
        <v>#DIV/0!</v>
      </c>
      <c r="Z22" s="58" t="e">
        <f>Links!R22+'On-Ramps'!AK22</f>
        <v>#DIV/0!</v>
      </c>
      <c r="AA22" s="58" t="e">
        <f>Links!S22</f>
        <v>#DIV/0!</v>
      </c>
      <c r="AB22" s="57" t="e">
        <f t="shared" si="16"/>
        <v>#VALUE!</v>
      </c>
      <c r="AC22" s="63"/>
      <c r="AD22" s="57" t="e">
        <f t="shared" si="17"/>
        <v>#DIV/0!</v>
      </c>
      <c r="AE22" s="63"/>
      <c r="AF22" s="57" t="e">
        <f t="shared" si="18"/>
        <v>#DIV/0!</v>
      </c>
      <c r="AG22" s="57" t="e">
        <f t="shared" si="19"/>
        <v>#DIV/0!</v>
      </c>
      <c r="AH22" s="57" t="e">
        <f t="shared" si="20"/>
        <v>#DIV/0!</v>
      </c>
      <c r="AI22" s="57" t="e">
        <f t="shared" si="21"/>
        <v>#DIV/0!</v>
      </c>
      <c r="AJ22" s="57" t="e">
        <f t="shared" si="22"/>
        <v>#DIV/0!</v>
      </c>
      <c r="AK22" s="57" t="e">
        <f t="shared" si="23"/>
        <v>#DIV/0!</v>
      </c>
      <c r="AL22" s="57" t="e">
        <f t="shared" si="24"/>
        <v>#DIV/0!</v>
      </c>
      <c r="AM22" s="63"/>
      <c r="AN22" s="57" t="e">
        <f t="shared" si="26"/>
        <v>#DIV/0!</v>
      </c>
      <c r="AO22" s="58" t="e">
        <f t="shared" si="25"/>
        <v>#VALUE!</v>
      </c>
      <c r="AP22" s="63"/>
      <c r="AQ22" s="58" t="e">
        <f t="shared" si="25"/>
        <v>#DIV/0!</v>
      </c>
      <c r="AR22" s="63"/>
      <c r="AS22" s="58" t="e">
        <f t="shared" si="25"/>
        <v>#DIV/0!</v>
      </c>
      <c r="AT22" s="58" t="e">
        <f t="shared" si="25"/>
        <v>#DIV/0!</v>
      </c>
      <c r="AU22" s="58" t="e">
        <f t="shared" si="25"/>
        <v>#DIV/0!</v>
      </c>
      <c r="AV22" s="58" t="e">
        <f t="shared" si="25"/>
        <v>#DIV/0!</v>
      </c>
      <c r="AW22" s="58" t="e">
        <f t="shared" si="25"/>
        <v>#DIV/0!</v>
      </c>
      <c r="AX22" s="58" t="e">
        <f t="shared" si="25"/>
        <v>#DIV/0!</v>
      </c>
      <c r="AY22" s="58" t="e">
        <f t="shared" si="25"/>
        <v>#DIV/0!</v>
      </c>
      <c r="AZ22" s="63"/>
      <c r="BA22" s="58" t="e">
        <f t="shared" si="25"/>
        <v>#DIV/0!</v>
      </c>
      <c r="BB22" s="63"/>
      <c r="BC22" s="57" t="e">
        <f>(Links!C22*Links!AQ22+'On-Ramps'!AC22*'On-Ramps'!CE22)/('On-Ramps'!AC22+Links!C22)</f>
        <v>#DIV/0!</v>
      </c>
      <c r="BD22" s="63"/>
      <c r="BE22" s="57" t="e">
        <f>(Links!E22*Links!AS22+'On-Ramps'!AD22*'On-Ramps'!CF21)/('On-Ramps'!AD22+Links!E22)</f>
        <v>#DIV/0!</v>
      </c>
      <c r="BF22" s="57" t="e">
        <f>(Links!F22*Links!AT22+'On-Ramps'!AE22*'On-Ramps'!CG22)/('On-Ramps'!AE22+Links!F22)</f>
        <v>#DIV/0!</v>
      </c>
      <c r="BG22" s="57" t="e">
        <f>(Links!I22*Links!AW22+'On-Ramps'!AF22*'On-Ramps'!CH22)/('On-Ramps'!AF22+Links!I22)</f>
        <v>#DIV/0!</v>
      </c>
      <c r="BH22" s="57" t="e">
        <f>(#REF!*#REF!+'On-Ramps'!AG22*'On-Ramps'!CI22)/('On-Ramps'!AG22+#REF!)</f>
        <v>#REF!</v>
      </c>
      <c r="BI22" s="57" t="e">
        <f>(Links!L22*Links!AZ22+'On-Ramps'!AH22*'On-Ramps'!CJ22)/('On-Ramps'!AH22+Links!L22)</f>
        <v>#DIV/0!</v>
      </c>
      <c r="BJ22" s="57" t="e">
        <f>(Links!BA22*Links!M22+'On-Ramps'!AI22*'On-Ramps'!CK22)/('On-Ramps'!AI22+Links!M22)</f>
        <v>#DIV/0!</v>
      </c>
      <c r="BK22" s="57" t="e">
        <f>(Links!S22*Links!BG22+'On-Ramps'!AJ22*'On-Ramps'!CL22)/('On-Ramps'!AJ22+Links!S22)</f>
        <v>#DIV/0!</v>
      </c>
      <c r="BL22" s="63"/>
      <c r="BM22" s="57" t="e">
        <f>(Links!S22*Links!BG22+'On-Ramps'!AL22*'On-Ramps'!CM22)/(Links!S22+'On-Ramps'!AL22)</f>
        <v>#DIV/0!</v>
      </c>
      <c r="BN22" s="63"/>
      <c r="BO22" s="58" t="e">
        <f>(Links!W22^2+'Off-Ramp'!L22^2)/(Links!W22+'Off-Ramp'!L22)</f>
        <v>#DIV/0!</v>
      </c>
      <c r="BP22" s="63"/>
      <c r="BQ22" s="58" t="e">
        <f>(Links!Y22^2+'Off-Ramp'!C22^2)/(Links!Y22+'Off-Ramp'!C22)</f>
        <v>#DIV/0!</v>
      </c>
      <c r="BR22" s="63"/>
      <c r="BS22" s="58" t="e">
        <f>(Links!AA22^2+'Off-Ramp'!N22^2)/(Links!AA22+'Off-Ramp'!N22)</f>
        <v>#DIV/0!</v>
      </c>
      <c r="BT22" s="58" t="e">
        <f>(Links!AD22^2+'Off-Ramp'!O22^2)/(Links!AD22+'Off-Ramp'!O22)</f>
        <v>#DIV/0!</v>
      </c>
      <c r="BU22" s="58" t="e">
        <f>(Links!AE22^2+'Off-Ramp'!V22^2+'Off-Ramp'!W22^2+'Off-Ramp'!X22^2)/(Links!AE22+'Off-Ramp'!V22+'Off-Ramp'!W22+'Off-Ramp'!X22)</f>
        <v>#DIV/0!</v>
      </c>
      <c r="BV22" s="58" t="e">
        <f>(Links!AG22^2+'Off-Ramp'!Y22^2+'Off-Ramp'!Z22^2+'Off-Ramp'!AA22^2)/(Links!AG22+'Off-Ramp'!Y22+'Off-Ramp'!Z22+'Off-Ramp'!AA22)</f>
        <v>#DIV/0!</v>
      </c>
      <c r="BW22" s="58" t="e">
        <f>(Links!AH22^2+'Off-Ramp'!R22^2)/(Links!AH22+'Off-Ramp'!R22)</f>
        <v>#DIV/0!</v>
      </c>
      <c r="BX22" s="58" t="e">
        <f>(Links!AK22^2+'Off-Ramp'!S22^2)/(Links!AK22+'Off-Ramp'!S22)</f>
        <v>#DIV/0!</v>
      </c>
      <c r="BY22" s="58" t="e">
        <f>(Links!AL22^2+'Off-Ramp'!T22^2)/(Links!AL22+'Off-Ramp'!T22)</f>
        <v>#DIV/0!</v>
      </c>
      <c r="BZ22" s="63"/>
      <c r="CA22" s="58" t="e">
        <f>(Links!AN22^2+'Off-Ramp'!U22^2)/(Links!AN22+'Off-Ramp'!U22)</f>
        <v>#DIV/0!</v>
      </c>
    </row>
    <row r="23" spans="1:79" x14ac:dyDescent="0.15">
      <c r="A23" s="56">
        <v>21</v>
      </c>
      <c r="B23" s="57" t="e">
        <f t="shared" si="1"/>
        <v>#DIV/0!</v>
      </c>
      <c r="C23" s="57" t="e">
        <f t="shared" si="2"/>
        <v>#DIV/0!</v>
      </c>
      <c r="D23" s="57" t="e">
        <f t="shared" si="3"/>
        <v>#DIV/0!</v>
      </c>
      <c r="E23" s="57" t="e">
        <f t="shared" si="4"/>
        <v>#DIV/0!</v>
      </c>
      <c r="F23" s="57" t="e">
        <f t="shared" si="5"/>
        <v>#DIV/0!</v>
      </c>
      <c r="G23" s="57" t="e">
        <f t="shared" si="6"/>
        <v>#DIV/0!</v>
      </c>
      <c r="H23" s="57" t="e">
        <f t="shared" si="7"/>
        <v>#DIV/0!</v>
      </c>
      <c r="I23" s="57" t="e">
        <f t="shared" si="8"/>
        <v>#DIV/0!</v>
      </c>
      <c r="J23" s="57" t="e">
        <f t="shared" si="9"/>
        <v>#DIV/0!</v>
      </c>
      <c r="K23" s="57" t="e">
        <f t="shared" si="10"/>
        <v>#DIV/0!</v>
      </c>
      <c r="L23" s="57" t="e">
        <f t="shared" si="11"/>
        <v>#DIV/0!</v>
      </c>
      <c r="M23" s="57" t="e">
        <f t="shared" si="12"/>
        <v>#DIV/0!</v>
      </c>
      <c r="N23" s="57" t="e">
        <f t="shared" si="13"/>
        <v>#DIV/0!</v>
      </c>
      <c r="O23" s="58" t="e">
        <f>Links!B23</f>
        <v>#DIV/0!</v>
      </c>
      <c r="P23" s="58" t="e">
        <f>Links!C23+'On-Ramps'!AC23</f>
        <v>#DIV/0!</v>
      </c>
      <c r="Q23" s="58" t="e">
        <f>Links!D23</f>
        <v>#DIV/0!</v>
      </c>
      <c r="R23" s="58" t="e">
        <f>Links!E23+'On-Ramps'!AD23</f>
        <v>#DIV/0!</v>
      </c>
      <c r="S23" s="58" t="e">
        <f>Links!F23+'On-Ramps'!AE23</f>
        <v>#DIV/0!</v>
      </c>
      <c r="T23" s="58" t="e">
        <f>Links!I23+'On-Ramps'!AF23</f>
        <v>#DIV/0!</v>
      </c>
      <c r="U23" s="58" t="e">
        <f>Links!J23+'On-Ramps'!AG23</f>
        <v>#DIV/0!</v>
      </c>
      <c r="V23" s="58" t="e">
        <f>Links!L23+'On-Ramps'!AH23</f>
        <v>#DIV/0!</v>
      </c>
      <c r="W23" s="58" t="e">
        <f>Links!M23+'On-Ramps'!AI23</f>
        <v>#DIV/0!</v>
      </c>
      <c r="X23" s="58" t="e">
        <f>Links!P23+'On-Ramps'!AJ23</f>
        <v>#DIV/0!</v>
      </c>
      <c r="Y23" s="58" t="e">
        <f>Links!Q23</f>
        <v>#DIV/0!</v>
      </c>
      <c r="Z23" s="58" t="e">
        <f>Links!R23+'On-Ramps'!AK23</f>
        <v>#DIV/0!</v>
      </c>
      <c r="AA23" s="58" t="e">
        <f>Links!S23</f>
        <v>#DIV/0!</v>
      </c>
      <c r="AB23" s="57" t="e">
        <f t="shared" si="16"/>
        <v>#VALUE!</v>
      </c>
      <c r="AC23" s="63"/>
      <c r="AD23" s="57" t="e">
        <f t="shared" si="17"/>
        <v>#DIV/0!</v>
      </c>
      <c r="AE23" s="63"/>
      <c r="AF23" s="57" t="e">
        <f t="shared" si="18"/>
        <v>#DIV/0!</v>
      </c>
      <c r="AG23" s="57" t="e">
        <f t="shared" si="19"/>
        <v>#DIV/0!</v>
      </c>
      <c r="AH23" s="57" t="e">
        <f t="shared" si="20"/>
        <v>#DIV/0!</v>
      </c>
      <c r="AI23" s="57" t="e">
        <f t="shared" si="21"/>
        <v>#DIV/0!</v>
      </c>
      <c r="AJ23" s="57" t="e">
        <f t="shared" si="22"/>
        <v>#DIV/0!</v>
      </c>
      <c r="AK23" s="57" t="e">
        <f t="shared" si="23"/>
        <v>#DIV/0!</v>
      </c>
      <c r="AL23" s="57" t="e">
        <f t="shared" si="24"/>
        <v>#DIV/0!</v>
      </c>
      <c r="AM23" s="63"/>
      <c r="AN23" s="57" t="e">
        <f t="shared" si="26"/>
        <v>#DIV/0!</v>
      </c>
      <c r="AO23" s="58" t="e">
        <f t="shared" si="25"/>
        <v>#VALUE!</v>
      </c>
      <c r="AP23" s="63"/>
      <c r="AQ23" s="58" t="e">
        <f t="shared" si="25"/>
        <v>#DIV/0!</v>
      </c>
      <c r="AR23" s="63"/>
      <c r="AS23" s="58" t="e">
        <f t="shared" si="25"/>
        <v>#DIV/0!</v>
      </c>
      <c r="AT23" s="58" t="e">
        <f t="shared" si="25"/>
        <v>#DIV/0!</v>
      </c>
      <c r="AU23" s="58" t="e">
        <f t="shared" si="25"/>
        <v>#DIV/0!</v>
      </c>
      <c r="AV23" s="58" t="e">
        <f t="shared" si="25"/>
        <v>#DIV/0!</v>
      </c>
      <c r="AW23" s="58" t="e">
        <f t="shared" si="25"/>
        <v>#DIV/0!</v>
      </c>
      <c r="AX23" s="58" t="e">
        <f t="shared" si="25"/>
        <v>#DIV/0!</v>
      </c>
      <c r="AY23" s="58" t="e">
        <f t="shared" si="25"/>
        <v>#DIV/0!</v>
      </c>
      <c r="AZ23" s="63"/>
      <c r="BA23" s="58" t="e">
        <f t="shared" si="25"/>
        <v>#DIV/0!</v>
      </c>
      <c r="BB23" s="63"/>
      <c r="BC23" s="57" t="e">
        <f>(Links!C23*Links!AQ23+'On-Ramps'!AC23*'On-Ramps'!CE23)/('On-Ramps'!AC23+Links!C23)</f>
        <v>#DIV/0!</v>
      </c>
      <c r="BD23" s="63"/>
      <c r="BE23" s="57" t="e">
        <f>(Links!E23*Links!AS23+'On-Ramps'!AD23*'On-Ramps'!CF22)/('On-Ramps'!AD23+Links!E23)</f>
        <v>#DIV/0!</v>
      </c>
      <c r="BF23" s="57" t="e">
        <f>(Links!F23*Links!AT23+'On-Ramps'!AE23*'On-Ramps'!CG23)/('On-Ramps'!AE23+Links!F23)</f>
        <v>#DIV/0!</v>
      </c>
      <c r="BG23" s="57" t="e">
        <f>(Links!I23*Links!AW23+'On-Ramps'!AF23*'On-Ramps'!CH23)/('On-Ramps'!AF23+Links!I23)</f>
        <v>#DIV/0!</v>
      </c>
      <c r="BH23" s="57" t="e">
        <f>(#REF!*#REF!+'On-Ramps'!AG23*'On-Ramps'!CI23)/('On-Ramps'!AG23+#REF!)</f>
        <v>#REF!</v>
      </c>
      <c r="BI23" s="57" t="e">
        <f>(Links!L23*Links!AZ23+'On-Ramps'!AH23*'On-Ramps'!CJ23)/('On-Ramps'!AH23+Links!L23)</f>
        <v>#DIV/0!</v>
      </c>
      <c r="BJ23" s="57" t="e">
        <f>(Links!BA23*Links!M23+'On-Ramps'!AI23*'On-Ramps'!CK23)/('On-Ramps'!AI23+Links!M23)</f>
        <v>#DIV/0!</v>
      </c>
      <c r="BK23" s="57" t="e">
        <f>(Links!S23*Links!BG23+'On-Ramps'!AJ23*'On-Ramps'!CL23)/('On-Ramps'!AJ23+Links!S23)</f>
        <v>#DIV/0!</v>
      </c>
      <c r="BL23" s="63"/>
      <c r="BM23" s="57" t="e">
        <f>(Links!S23*Links!BG23+'On-Ramps'!AL23*'On-Ramps'!CM23)/(Links!S23+'On-Ramps'!AL23)</f>
        <v>#DIV/0!</v>
      </c>
      <c r="BN23" s="63"/>
      <c r="BO23" s="58" t="e">
        <f>(Links!W23^2+'Off-Ramp'!L23^2)/(Links!W23+'Off-Ramp'!L23)</f>
        <v>#DIV/0!</v>
      </c>
      <c r="BP23" s="63"/>
      <c r="BQ23" s="58" t="e">
        <f>(Links!Y23^2+'Off-Ramp'!C23^2)/(Links!Y23+'Off-Ramp'!C23)</f>
        <v>#DIV/0!</v>
      </c>
      <c r="BR23" s="63"/>
      <c r="BS23" s="58" t="e">
        <f>(Links!AA23^2+'Off-Ramp'!N23^2)/(Links!AA23+'Off-Ramp'!N23)</f>
        <v>#DIV/0!</v>
      </c>
      <c r="BT23" s="58" t="e">
        <f>(Links!AD23^2+'Off-Ramp'!O23^2)/(Links!AD23+'Off-Ramp'!O23)</f>
        <v>#DIV/0!</v>
      </c>
      <c r="BU23" s="58" t="e">
        <f>(Links!AE23^2+'Off-Ramp'!V23^2+'Off-Ramp'!W23^2+'Off-Ramp'!X23^2)/(Links!AE23+'Off-Ramp'!V23+'Off-Ramp'!W23+'Off-Ramp'!X23)</f>
        <v>#DIV/0!</v>
      </c>
      <c r="BV23" s="58" t="e">
        <f>(Links!AG23^2+'Off-Ramp'!Y23^2+'Off-Ramp'!Z23^2+'Off-Ramp'!AA23^2)/(Links!AG23+'Off-Ramp'!Y23+'Off-Ramp'!Z23+'Off-Ramp'!AA23)</f>
        <v>#DIV/0!</v>
      </c>
      <c r="BW23" s="58" t="e">
        <f>(Links!AH23^2+'Off-Ramp'!R23^2)/(Links!AH23+'Off-Ramp'!R23)</f>
        <v>#DIV/0!</v>
      </c>
      <c r="BX23" s="58" t="e">
        <f>(Links!AK23^2+'Off-Ramp'!S23^2)/(Links!AK23+'Off-Ramp'!S23)</f>
        <v>#DIV/0!</v>
      </c>
      <c r="BY23" s="58" t="e">
        <f>(Links!AL23^2+'Off-Ramp'!T23^2)/(Links!AL23+'Off-Ramp'!T23)</f>
        <v>#DIV/0!</v>
      </c>
      <c r="BZ23" s="63"/>
      <c r="CA23" s="58" t="e">
        <f>(Links!AN23^2+'Off-Ramp'!U23^2)/(Links!AN23+'Off-Ramp'!U23)</f>
        <v>#DIV/0!</v>
      </c>
    </row>
    <row r="24" spans="1:79" x14ac:dyDescent="0.15">
      <c r="A24" s="56">
        <v>22</v>
      </c>
      <c r="B24" s="57" t="e">
        <f t="shared" si="1"/>
        <v>#DIV/0!</v>
      </c>
      <c r="C24" s="57" t="e">
        <f t="shared" si="2"/>
        <v>#DIV/0!</v>
      </c>
      <c r="D24" s="57" t="e">
        <f t="shared" si="3"/>
        <v>#DIV/0!</v>
      </c>
      <c r="E24" s="57" t="e">
        <f t="shared" si="4"/>
        <v>#DIV/0!</v>
      </c>
      <c r="F24" s="57" t="e">
        <f t="shared" si="5"/>
        <v>#DIV/0!</v>
      </c>
      <c r="G24" s="57" t="e">
        <f t="shared" si="6"/>
        <v>#DIV/0!</v>
      </c>
      <c r="H24" s="57" t="e">
        <f t="shared" si="7"/>
        <v>#DIV/0!</v>
      </c>
      <c r="I24" s="57" t="e">
        <f t="shared" si="8"/>
        <v>#DIV/0!</v>
      </c>
      <c r="J24" s="57" t="e">
        <f t="shared" si="9"/>
        <v>#DIV/0!</v>
      </c>
      <c r="K24" s="57" t="e">
        <f t="shared" si="10"/>
        <v>#DIV/0!</v>
      </c>
      <c r="L24" s="57" t="e">
        <f t="shared" si="11"/>
        <v>#DIV/0!</v>
      </c>
      <c r="M24" s="57" t="e">
        <f t="shared" si="12"/>
        <v>#DIV/0!</v>
      </c>
      <c r="N24" s="57" t="e">
        <f t="shared" si="13"/>
        <v>#DIV/0!</v>
      </c>
      <c r="O24" s="58" t="e">
        <f>Links!B24</f>
        <v>#DIV/0!</v>
      </c>
      <c r="P24" s="58" t="e">
        <f>Links!C24+'On-Ramps'!AC24</f>
        <v>#DIV/0!</v>
      </c>
      <c r="Q24" s="58" t="e">
        <f>Links!D24</f>
        <v>#DIV/0!</v>
      </c>
      <c r="R24" s="58" t="e">
        <f>Links!E24+'On-Ramps'!AD24</f>
        <v>#DIV/0!</v>
      </c>
      <c r="S24" s="58" t="e">
        <f>Links!F24+'On-Ramps'!AE24</f>
        <v>#DIV/0!</v>
      </c>
      <c r="T24" s="58" t="e">
        <f>Links!I24+'On-Ramps'!AF24</f>
        <v>#DIV/0!</v>
      </c>
      <c r="U24" s="58" t="e">
        <f>Links!J24+'On-Ramps'!AG24</f>
        <v>#DIV/0!</v>
      </c>
      <c r="V24" s="58" t="e">
        <f>Links!L24+'On-Ramps'!AH24</f>
        <v>#DIV/0!</v>
      </c>
      <c r="W24" s="58" t="e">
        <f>Links!M24+'On-Ramps'!AI24</f>
        <v>#DIV/0!</v>
      </c>
      <c r="X24" s="58" t="e">
        <f>Links!P24+'On-Ramps'!AJ24</f>
        <v>#DIV/0!</v>
      </c>
      <c r="Y24" s="58" t="e">
        <f>Links!Q24</f>
        <v>#DIV/0!</v>
      </c>
      <c r="Z24" s="58" t="e">
        <f>Links!R24+'On-Ramps'!AK24</f>
        <v>#DIV/0!</v>
      </c>
      <c r="AA24" s="58" t="e">
        <f>Links!S24</f>
        <v>#DIV/0!</v>
      </c>
      <c r="AB24" s="57" t="e">
        <f t="shared" si="16"/>
        <v>#VALUE!</v>
      </c>
      <c r="AC24" s="63"/>
      <c r="AD24" s="57" t="e">
        <f t="shared" si="17"/>
        <v>#DIV/0!</v>
      </c>
      <c r="AE24" s="63"/>
      <c r="AF24" s="57" t="e">
        <f t="shared" si="18"/>
        <v>#DIV/0!</v>
      </c>
      <c r="AG24" s="57" t="e">
        <f t="shared" si="19"/>
        <v>#DIV/0!</v>
      </c>
      <c r="AH24" s="57" t="e">
        <f t="shared" si="20"/>
        <v>#DIV/0!</v>
      </c>
      <c r="AI24" s="57" t="e">
        <f t="shared" si="21"/>
        <v>#DIV/0!</v>
      </c>
      <c r="AJ24" s="57" t="e">
        <f t="shared" si="22"/>
        <v>#DIV/0!</v>
      </c>
      <c r="AK24" s="57" t="e">
        <f t="shared" si="23"/>
        <v>#DIV/0!</v>
      </c>
      <c r="AL24" s="57" t="e">
        <f t="shared" si="24"/>
        <v>#DIV/0!</v>
      </c>
      <c r="AM24" s="63"/>
      <c r="AN24" s="57" t="e">
        <f t="shared" si="26"/>
        <v>#DIV/0!</v>
      </c>
      <c r="AO24" s="58" t="e">
        <f t="shared" si="25"/>
        <v>#VALUE!</v>
      </c>
      <c r="AP24" s="63"/>
      <c r="AQ24" s="58" t="e">
        <f t="shared" si="25"/>
        <v>#DIV/0!</v>
      </c>
      <c r="AR24" s="63"/>
      <c r="AS24" s="58" t="e">
        <f t="shared" si="25"/>
        <v>#DIV/0!</v>
      </c>
      <c r="AT24" s="58" t="e">
        <f t="shared" si="25"/>
        <v>#DIV/0!</v>
      </c>
      <c r="AU24" s="58" t="e">
        <f t="shared" si="25"/>
        <v>#DIV/0!</v>
      </c>
      <c r="AV24" s="58" t="e">
        <f t="shared" si="25"/>
        <v>#DIV/0!</v>
      </c>
      <c r="AW24" s="58" t="e">
        <f t="shared" si="25"/>
        <v>#DIV/0!</v>
      </c>
      <c r="AX24" s="58" t="e">
        <f t="shared" si="25"/>
        <v>#DIV/0!</v>
      </c>
      <c r="AY24" s="58" t="e">
        <f t="shared" si="25"/>
        <v>#DIV/0!</v>
      </c>
      <c r="AZ24" s="63"/>
      <c r="BA24" s="58" t="e">
        <f t="shared" si="25"/>
        <v>#DIV/0!</v>
      </c>
      <c r="BB24" s="63"/>
      <c r="BC24" s="57" t="e">
        <f>(Links!C24*Links!AQ24+'On-Ramps'!AC24*'On-Ramps'!CE24)/('On-Ramps'!AC24+Links!C24)</f>
        <v>#DIV/0!</v>
      </c>
      <c r="BD24" s="63"/>
      <c r="BE24" s="57" t="e">
        <f>(Links!E24*Links!AS24+'On-Ramps'!AD24*'On-Ramps'!CF23)/('On-Ramps'!AD24+Links!E24)</f>
        <v>#DIV/0!</v>
      </c>
      <c r="BF24" s="57" t="e">
        <f>(Links!F24*Links!AT24+'On-Ramps'!AE24*'On-Ramps'!CG24)/('On-Ramps'!AE24+Links!F24)</f>
        <v>#DIV/0!</v>
      </c>
      <c r="BG24" s="57" t="e">
        <f>(Links!I24*Links!AW24+'On-Ramps'!AF24*'On-Ramps'!CH24)/('On-Ramps'!AF24+Links!I24)</f>
        <v>#DIV/0!</v>
      </c>
      <c r="BH24" s="57" t="e">
        <f>(#REF!*#REF!+'On-Ramps'!AG24*'On-Ramps'!CI24)/('On-Ramps'!AG24+#REF!)</f>
        <v>#REF!</v>
      </c>
      <c r="BI24" s="57" t="e">
        <f>(Links!L24*Links!AZ24+'On-Ramps'!AH24*'On-Ramps'!CJ24)/('On-Ramps'!AH24+Links!L24)</f>
        <v>#DIV/0!</v>
      </c>
      <c r="BJ24" s="57" t="e">
        <f>(Links!BA24*Links!M24+'On-Ramps'!AI24*'On-Ramps'!CK24)/('On-Ramps'!AI24+Links!M24)</f>
        <v>#DIV/0!</v>
      </c>
      <c r="BK24" s="57" t="e">
        <f>(Links!S24*Links!BG24+'On-Ramps'!AJ24*'On-Ramps'!CL24)/('On-Ramps'!AJ24+Links!S24)</f>
        <v>#DIV/0!</v>
      </c>
      <c r="BL24" s="63"/>
      <c r="BM24" s="57" t="e">
        <f>(Links!S24*Links!BG24+'On-Ramps'!AL24*'On-Ramps'!CM24)/(Links!S24+'On-Ramps'!AL24)</f>
        <v>#DIV/0!</v>
      </c>
      <c r="BN24" s="63"/>
      <c r="BO24" s="58" t="e">
        <f>(Links!W24^2+'Off-Ramp'!L24^2)/(Links!W24+'Off-Ramp'!L24)</f>
        <v>#DIV/0!</v>
      </c>
      <c r="BP24" s="63"/>
      <c r="BQ24" s="58" t="e">
        <f>(Links!Y24^2+'Off-Ramp'!C24^2)/(Links!Y24+'Off-Ramp'!C24)</f>
        <v>#DIV/0!</v>
      </c>
      <c r="BR24" s="63"/>
      <c r="BS24" s="58" t="e">
        <f>(Links!AA24^2+'Off-Ramp'!N24^2)/(Links!AA24+'Off-Ramp'!N24)</f>
        <v>#DIV/0!</v>
      </c>
      <c r="BT24" s="58" t="e">
        <f>(Links!AD24^2+'Off-Ramp'!O24^2)/(Links!AD24+'Off-Ramp'!O24)</f>
        <v>#DIV/0!</v>
      </c>
      <c r="BU24" s="58" t="e">
        <f>(Links!AE24^2+'Off-Ramp'!V24^2+'Off-Ramp'!W24^2+'Off-Ramp'!X24^2)/(Links!AE24+'Off-Ramp'!V24+'Off-Ramp'!W24+'Off-Ramp'!X24)</f>
        <v>#DIV/0!</v>
      </c>
      <c r="BV24" s="58" t="e">
        <f>(Links!AG24^2+'Off-Ramp'!Y24^2+'Off-Ramp'!Z24^2+'Off-Ramp'!AA24^2)/(Links!AG24+'Off-Ramp'!Y24+'Off-Ramp'!Z24+'Off-Ramp'!AA24)</f>
        <v>#DIV/0!</v>
      </c>
      <c r="BW24" s="58" t="e">
        <f>(Links!AH24^2+'Off-Ramp'!R24^2)/(Links!AH24+'Off-Ramp'!R24)</f>
        <v>#DIV/0!</v>
      </c>
      <c r="BX24" s="58" t="e">
        <f>(Links!AK24^2+'Off-Ramp'!S24^2)/(Links!AK24+'Off-Ramp'!S24)</f>
        <v>#DIV/0!</v>
      </c>
      <c r="BY24" s="58" t="e">
        <f>(Links!AL24^2+'Off-Ramp'!T24^2)/(Links!AL24+'Off-Ramp'!T24)</f>
        <v>#DIV/0!</v>
      </c>
      <c r="BZ24" s="63"/>
      <c r="CA24" s="58" t="e">
        <f>(Links!AN24^2+'Off-Ramp'!U24^2)/(Links!AN24+'Off-Ramp'!U24)</f>
        <v>#DIV/0!</v>
      </c>
    </row>
    <row r="25" spans="1:79" x14ac:dyDescent="0.15">
      <c r="A25" s="56">
        <v>23</v>
      </c>
      <c r="B25" s="57" t="e">
        <f t="shared" si="1"/>
        <v>#DIV/0!</v>
      </c>
      <c r="C25" s="57" t="e">
        <f t="shared" si="2"/>
        <v>#DIV/0!</v>
      </c>
      <c r="D25" s="57" t="e">
        <f t="shared" si="3"/>
        <v>#DIV/0!</v>
      </c>
      <c r="E25" s="57" t="e">
        <f t="shared" si="4"/>
        <v>#DIV/0!</v>
      </c>
      <c r="F25" s="57" t="e">
        <f t="shared" si="5"/>
        <v>#DIV/0!</v>
      </c>
      <c r="G25" s="57" t="e">
        <f t="shared" si="6"/>
        <v>#DIV/0!</v>
      </c>
      <c r="H25" s="57" t="e">
        <f t="shared" si="7"/>
        <v>#DIV/0!</v>
      </c>
      <c r="I25" s="57" t="e">
        <f t="shared" si="8"/>
        <v>#DIV/0!</v>
      </c>
      <c r="J25" s="57" t="e">
        <f t="shared" si="9"/>
        <v>#DIV/0!</v>
      </c>
      <c r="K25" s="57" t="e">
        <f t="shared" si="10"/>
        <v>#DIV/0!</v>
      </c>
      <c r="L25" s="57" t="e">
        <f t="shared" si="11"/>
        <v>#DIV/0!</v>
      </c>
      <c r="M25" s="57" t="e">
        <f t="shared" si="12"/>
        <v>#DIV/0!</v>
      </c>
      <c r="N25" s="57" t="e">
        <f t="shared" si="13"/>
        <v>#DIV/0!</v>
      </c>
      <c r="O25" s="58" t="e">
        <f>Links!B25</f>
        <v>#DIV/0!</v>
      </c>
      <c r="P25" s="58" t="e">
        <f>Links!C25+'On-Ramps'!AC25</f>
        <v>#DIV/0!</v>
      </c>
      <c r="Q25" s="58" t="e">
        <f>Links!D25</f>
        <v>#DIV/0!</v>
      </c>
      <c r="R25" s="58" t="e">
        <f>Links!E25+'On-Ramps'!AD25</f>
        <v>#DIV/0!</v>
      </c>
      <c r="S25" s="58" t="e">
        <f>Links!F25+'On-Ramps'!AE25</f>
        <v>#DIV/0!</v>
      </c>
      <c r="T25" s="58" t="e">
        <f>Links!I25+'On-Ramps'!AF25</f>
        <v>#DIV/0!</v>
      </c>
      <c r="U25" s="58" t="e">
        <f>Links!J25+'On-Ramps'!AG25</f>
        <v>#DIV/0!</v>
      </c>
      <c r="V25" s="58" t="e">
        <f>Links!L25+'On-Ramps'!AH25</f>
        <v>#DIV/0!</v>
      </c>
      <c r="W25" s="58" t="e">
        <f>Links!M25+'On-Ramps'!AI25</f>
        <v>#DIV/0!</v>
      </c>
      <c r="X25" s="58" t="e">
        <f>Links!P25+'On-Ramps'!AJ25</f>
        <v>#DIV/0!</v>
      </c>
      <c r="Y25" s="58" t="e">
        <f>Links!Q25</f>
        <v>#DIV/0!</v>
      </c>
      <c r="Z25" s="58" t="e">
        <f>Links!R25+'On-Ramps'!AK25</f>
        <v>#DIV/0!</v>
      </c>
      <c r="AA25" s="58" t="e">
        <f>Links!S25</f>
        <v>#DIV/0!</v>
      </c>
      <c r="AB25" s="57" t="e">
        <f t="shared" si="16"/>
        <v>#VALUE!</v>
      </c>
      <c r="AC25" s="63"/>
      <c r="AD25" s="57" t="e">
        <f t="shared" si="17"/>
        <v>#DIV/0!</v>
      </c>
      <c r="AE25" s="63"/>
      <c r="AF25" s="57" t="e">
        <f t="shared" si="18"/>
        <v>#DIV/0!</v>
      </c>
      <c r="AG25" s="57" t="e">
        <f t="shared" si="19"/>
        <v>#DIV/0!</v>
      </c>
      <c r="AH25" s="57" t="e">
        <f t="shared" si="20"/>
        <v>#DIV/0!</v>
      </c>
      <c r="AI25" s="57" t="e">
        <f t="shared" si="21"/>
        <v>#DIV/0!</v>
      </c>
      <c r="AJ25" s="57" t="e">
        <f t="shared" si="22"/>
        <v>#DIV/0!</v>
      </c>
      <c r="AK25" s="57" t="e">
        <f t="shared" si="23"/>
        <v>#DIV/0!</v>
      </c>
      <c r="AL25" s="57" t="e">
        <f t="shared" si="24"/>
        <v>#DIV/0!</v>
      </c>
      <c r="AM25" s="63"/>
      <c r="AN25" s="57" t="e">
        <f t="shared" si="26"/>
        <v>#DIV/0!</v>
      </c>
      <c r="AO25" s="58" t="e">
        <f t="shared" si="25"/>
        <v>#VALUE!</v>
      </c>
      <c r="AP25" s="63"/>
      <c r="AQ25" s="58" t="e">
        <f t="shared" si="25"/>
        <v>#DIV/0!</v>
      </c>
      <c r="AR25" s="63"/>
      <c r="AS25" s="58" t="e">
        <f t="shared" si="25"/>
        <v>#DIV/0!</v>
      </c>
      <c r="AT25" s="58" t="e">
        <f t="shared" si="25"/>
        <v>#DIV/0!</v>
      </c>
      <c r="AU25" s="58" t="e">
        <f t="shared" si="25"/>
        <v>#DIV/0!</v>
      </c>
      <c r="AV25" s="58" t="e">
        <f t="shared" si="25"/>
        <v>#DIV/0!</v>
      </c>
      <c r="AW25" s="58" t="e">
        <f t="shared" si="25"/>
        <v>#DIV/0!</v>
      </c>
      <c r="AX25" s="58" t="e">
        <f t="shared" si="25"/>
        <v>#DIV/0!</v>
      </c>
      <c r="AY25" s="58" t="e">
        <f t="shared" si="25"/>
        <v>#DIV/0!</v>
      </c>
      <c r="AZ25" s="63"/>
      <c r="BA25" s="58" t="e">
        <f t="shared" si="25"/>
        <v>#DIV/0!</v>
      </c>
      <c r="BB25" s="63"/>
      <c r="BC25" s="57" t="e">
        <f>(Links!C25*Links!AQ25+'On-Ramps'!AC25*'On-Ramps'!CE25)/('On-Ramps'!AC25+Links!C25)</f>
        <v>#DIV/0!</v>
      </c>
      <c r="BD25" s="63"/>
      <c r="BE25" s="57" t="e">
        <f>(Links!E25*Links!AS25+'On-Ramps'!AD25*'On-Ramps'!CF24)/('On-Ramps'!AD25+Links!E25)</f>
        <v>#DIV/0!</v>
      </c>
      <c r="BF25" s="57" t="e">
        <f>(Links!F25*Links!AT25+'On-Ramps'!AE25*'On-Ramps'!CG25)/('On-Ramps'!AE25+Links!F25)</f>
        <v>#DIV/0!</v>
      </c>
      <c r="BG25" s="57" t="e">
        <f>(Links!I25*Links!AW25+'On-Ramps'!AF25*'On-Ramps'!CH25)/('On-Ramps'!AF25+Links!I25)</f>
        <v>#DIV/0!</v>
      </c>
      <c r="BH25" s="57" t="e">
        <f>(#REF!*#REF!+'On-Ramps'!AG25*'On-Ramps'!CI25)/('On-Ramps'!AG25+#REF!)</f>
        <v>#REF!</v>
      </c>
      <c r="BI25" s="57" t="e">
        <f>(Links!L25*Links!AZ25+'On-Ramps'!AH25*'On-Ramps'!CJ25)/('On-Ramps'!AH25+Links!L25)</f>
        <v>#DIV/0!</v>
      </c>
      <c r="BJ25" s="57" t="e">
        <f>(Links!BA25*Links!M25+'On-Ramps'!AI25*'On-Ramps'!CK25)/('On-Ramps'!AI25+Links!M25)</f>
        <v>#DIV/0!</v>
      </c>
      <c r="BK25" s="57" t="e">
        <f>(Links!S25*Links!BG25+'On-Ramps'!AJ25*'On-Ramps'!CL25)/('On-Ramps'!AJ25+Links!S25)</f>
        <v>#DIV/0!</v>
      </c>
      <c r="BL25" s="63"/>
      <c r="BM25" s="57" t="e">
        <f>(Links!S25*Links!BG25+'On-Ramps'!AL25*'On-Ramps'!CM25)/(Links!S25+'On-Ramps'!AL25)</f>
        <v>#DIV/0!</v>
      </c>
      <c r="BN25" s="63"/>
      <c r="BO25" s="58" t="e">
        <f>(Links!W25^2+'Off-Ramp'!L25^2)/(Links!W25+'Off-Ramp'!L25)</f>
        <v>#DIV/0!</v>
      </c>
      <c r="BP25" s="63"/>
      <c r="BQ25" s="58" t="e">
        <f>(Links!Y25^2+'Off-Ramp'!C25^2)/(Links!Y25+'Off-Ramp'!C25)</f>
        <v>#DIV/0!</v>
      </c>
      <c r="BR25" s="63"/>
      <c r="BS25" s="58" t="e">
        <f>(Links!AA25^2+'Off-Ramp'!N25^2)/(Links!AA25+'Off-Ramp'!N25)</f>
        <v>#DIV/0!</v>
      </c>
      <c r="BT25" s="58" t="e">
        <f>(Links!AD25^2+'Off-Ramp'!O25^2)/(Links!AD25+'Off-Ramp'!O25)</f>
        <v>#DIV/0!</v>
      </c>
      <c r="BU25" s="58" t="e">
        <f>(Links!AE25^2+'Off-Ramp'!V25^2+'Off-Ramp'!W25^2+'Off-Ramp'!X25^2)/(Links!AE25+'Off-Ramp'!V25+'Off-Ramp'!W25+'Off-Ramp'!X25)</f>
        <v>#DIV/0!</v>
      </c>
      <c r="BV25" s="58" t="e">
        <f>(Links!AG25^2+'Off-Ramp'!Y25^2+'Off-Ramp'!Z25^2+'Off-Ramp'!AA25^2)/(Links!AG25+'Off-Ramp'!Y25+'Off-Ramp'!Z25+'Off-Ramp'!AA25)</f>
        <v>#DIV/0!</v>
      </c>
      <c r="BW25" s="58" t="e">
        <f>(Links!AH25^2+'Off-Ramp'!R25^2)/(Links!AH25+'Off-Ramp'!R25)</f>
        <v>#DIV/0!</v>
      </c>
      <c r="BX25" s="58" t="e">
        <f>(Links!AK25^2+'Off-Ramp'!S25^2)/(Links!AK25+'Off-Ramp'!S25)</f>
        <v>#DIV/0!</v>
      </c>
      <c r="BY25" s="58" t="e">
        <f>(Links!AL25^2+'Off-Ramp'!T25^2)/(Links!AL25+'Off-Ramp'!T25)</f>
        <v>#DIV/0!</v>
      </c>
      <c r="BZ25" s="63"/>
      <c r="CA25" s="58" t="e">
        <f>(Links!AN25^2+'Off-Ramp'!U25^2)/(Links!AN25+'Off-Ramp'!U25)</f>
        <v>#DIV/0!</v>
      </c>
    </row>
    <row r="26" spans="1:79" x14ac:dyDescent="0.15">
      <c r="A26" s="56">
        <v>24</v>
      </c>
      <c r="B26" s="57" t="e">
        <f t="shared" si="1"/>
        <v>#DIV/0!</v>
      </c>
      <c r="C26" s="57" t="e">
        <f t="shared" si="2"/>
        <v>#DIV/0!</v>
      </c>
      <c r="D26" s="57" t="e">
        <f t="shared" si="3"/>
        <v>#DIV/0!</v>
      </c>
      <c r="E26" s="57" t="e">
        <f t="shared" si="4"/>
        <v>#DIV/0!</v>
      </c>
      <c r="F26" s="57" t="e">
        <f t="shared" si="5"/>
        <v>#DIV/0!</v>
      </c>
      <c r="G26" s="57" t="e">
        <f t="shared" si="6"/>
        <v>#DIV/0!</v>
      </c>
      <c r="H26" s="57" t="e">
        <f t="shared" si="7"/>
        <v>#DIV/0!</v>
      </c>
      <c r="I26" s="57" t="e">
        <f t="shared" si="8"/>
        <v>#DIV/0!</v>
      </c>
      <c r="J26" s="57" t="e">
        <f t="shared" si="9"/>
        <v>#DIV/0!</v>
      </c>
      <c r="K26" s="57" t="e">
        <f t="shared" si="10"/>
        <v>#DIV/0!</v>
      </c>
      <c r="L26" s="57" t="e">
        <f t="shared" si="11"/>
        <v>#DIV/0!</v>
      </c>
      <c r="M26" s="57" t="e">
        <f t="shared" si="12"/>
        <v>#DIV/0!</v>
      </c>
      <c r="N26" s="57" t="e">
        <f t="shared" si="13"/>
        <v>#DIV/0!</v>
      </c>
      <c r="O26" s="58" t="e">
        <f>Links!B26</f>
        <v>#DIV/0!</v>
      </c>
      <c r="P26" s="58" t="e">
        <f>Links!C26+'On-Ramps'!AC26</f>
        <v>#DIV/0!</v>
      </c>
      <c r="Q26" s="58" t="e">
        <f>Links!D26</f>
        <v>#DIV/0!</v>
      </c>
      <c r="R26" s="58" t="e">
        <f>Links!E26+'On-Ramps'!AD26</f>
        <v>#DIV/0!</v>
      </c>
      <c r="S26" s="58" t="e">
        <f>Links!F26+'On-Ramps'!AE26</f>
        <v>#DIV/0!</v>
      </c>
      <c r="T26" s="58" t="e">
        <f>Links!I26+'On-Ramps'!AF26</f>
        <v>#DIV/0!</v>
      </c>
      <c r="U26" s="58" t="e">
        <f>Links!J26+'On-Ramps'!AG26</f>
        <v>#DIV/0!</v>
      </c>
      <c r="V26" s="58" t="e">
        <f>Links!L26+'On-Ramps'!AH26</f>
        <v>#DIV/0!</v>
      </c>
      <c r="W26" s="58" t="e">
        <f>Links!M26+'On-Ramps'!AI26</f>
        <v>#DIV/0!</v>
      </c>
      <c r="X26" s="58" t="e">
        <f>Links!P26+'On-Ramps'!AJ26</f>
        <v>#DIV/0!</v>
      </c>
      <c r="Y26" s="58" t="e">
        <f>Links!Q26</f>
        <v>#DIV/0!</v>
      </c>
      <c r="Z26" s="58" t="e">
        <f>Links!R26+'On-Ramps'!AK26</f>
        <v>#DIV/0!</v>
      </c>
      <c r="AA26" s="58" t="e">
        <f>Links!S26</f>
        <v>#DIV/0!</v>
      </c>
      <c r="AB26" s="57" t="e">
        <f t="shared" si="16"/>
        <v>#VALUE!</v>
      </c>
      <c r="AC26" s="63"/>
      <c r="AD26" s="57" t="e">
        <f t="shared" si="17"/>
        <v>#DIV/0!</v>
      </c>
      <c r="AE26" s="63"/>
      <c r="AF26" s="57" t="e">
        <f t="shared" si="18"/>
        <v>#DIV/0!</v>
      </c>
      <c r="AG26" s="57" t="e">
        <f t="shared" si="19"/>
        <v>#DIV/0!</v>
      </c>
      <c r="AH26" s="57" t="e">
        <f t="shared" si="20"/>
        <v>#DIV/0!</v>
      </c>
      <c r="AI26" s="57" t="e">
        <f t="shared" si="21"/>
        <v>#DIV/0!</v>
      </c>
      <c r="AJ26" s="57" t="e">
        <f t="shared" si="22"/>
        <v>#DIV/0!</v>
      </c>
      <c r="AK26" s="57" t="e">
        <f t="shared" si="23"/>
        <v>#DIV/0!</v>
      </c>
      <c r="AL26" s="57" t="e">
        <f t="shared" si="24"/>
        <v>#DIV/0!</v>
      </c>
      <c r="AM26" s="63"/>
      <c r="AN26" s="57" t="e">
        <f t="shared" si="26"/>
        <v>#DIV/0!</v>
      </c>
      <c r="AO26" s="58" t="e">
        <f t="shared" si="25"/>
        <v>#VALUE!</v>
      </c>
      <c r="AP26" s="63"/>
      <c r="AQ26" s="58" t="e">
        <f t="shared" si="25"/>
        <v>#DIV/0!</v>
      </c>
      <c r="AR26" s="63"/>
      <c r="AS26" s="58" t="e">
        <f t="shared" si="25"/>
        <v>#DIV/0!</v>
      </c>
      <c r="AT26" s="58" t="e">
        <f t="shared" si="25"/>
        <v>#DIV/0!</v>
      </c>
      <c r="AU26" s="58" t="e">
        <f t="shared" si="25"/>
        <v>#DIV/0!</v>
      </c>
      <c r="AV26" s="58" t="e">
        <f t="shared" si="25"/>
        <v>#DIV/0!</v>
      </c>
      <c r="AW26" s="58" t="e">
        <f t="shared" si="25"/>
        <v>#DIV/0!</v>
      </c>
      <c r="AX26" s="58" t="e">
        <f t="shared" si="25"/>
        <v>#DIV/0!</v>
      </c>
      <c r="AY26" s="58" t="e">
        <f t="shared" si="25"/>
        <v>#DIV/0!</v>
      </c>
      <c r="AZ26" s="63"/>
      <c r="BA26" s="58" t="e">
        <f t="shared" si="25"/>
        <v>#DIV/0!</v>
      </c>
      <c r="BB26" s="63"/>
      <c r="BC26" s="57" t="e">
        <f>(Links!C26*Links!AQ26+'On-Ramps'!AC26*'On-Ramps'!CE26)/('On-Ramps'!AC26+Links!C26)</f>
        <v>#DIV/0!</v>
      </c>
      <c r="BD26" s="63"/>
      <c r="BE26" s="57" t="e">
        <f>(Links!E26*Links!AS26+'On-Ramps'!AD26*'On-Ramps'!CF25)/('On-Ramps'!AD26+Links!E26)</f>
        <v>#DIV/0!</v>
      </c>
      <c r="BF26" s="57" t="e">
        <f>(Links!F26*Links!AT26+'On-Ramps'!AE26*'On-Ramps'!CG26)/('On-Ramps'!AE26+Links!F26)</f>
        <v>#DIV/0!</v>
      </c>
      <c r="BG26" s="57" t="e">
        <f>(Links!I26*Links!AW26+'On-Ramps'!AF26*'On-Ramps'!CH26)/('On-Ramps'!AF26+Links!I26)</f>
        <v>#DIV/0!</v>
      </c>
      <c r="BH26" s="57" t="e">
        <f>(#REF!*#REF!+'On-Ramps'!AG26*'On-Ramps'!CI26)/('On-Ramps'!AG26+#REF!)</f>
        <v>#REF!</v>
      </c>
      <c r="BI26" s="57" t="e">
        <f>(Links!L26*Links!AZ26+'On-Ramps'!AH26*'On-Ramps'!CJ26)/('On-Ramps'!AH26+Links!L26)</f>
        <v>#DIV/0!</v>
      </c>
      <c r="BJ26" s="57" t="e">
        <f>(Links!BA26*Links!M26+'On-Ramps'!AI26*'On-Ramps'!CK26)/('On-Ramps'!AI26+Links!M26)</f>
        <v>#DIV/0!</v>
      </c>
      <c r="BK26" s="57" t="e">
        <f>(Links!S26*Links!BG26+'On-Ramps'!AJ26*'On-Ramps'!CL26)/('On-Ramps'!AJ26+Links!S26)</f>
        <v>#DIV/0!</v>
      </c>
      <c r="BL26" s="63"/>
      <c r="BM26" s="57" t="e">
        <f>(Links!S26*Links!BG26+'On-Ramps'!AL26*'On-Ramps'!CM26)/(Links!S26+'On-Ramps'!AL26)</f>
        <v>#DIV/0!</v>
      </c>
      <c r="BN26" s="63"/>
      <c r="BO26" s="58" t="e">
        <f>(Links!W26^2+'Off-Ramp'!L26^2)/(Links!W26+'Off-Ramp'!L26)</f>
        <v>#DIV/0!</v>
      </c>
      <c r="BP26" s="63"/>
      <c r="BQ26" s="58" t="e">
        <f>(Links!Y26^2+'Off-Ramp'!C26^2)/(Links!Y26+'Off-Ramp'!C26)</f>
        <v>#DIV/0!</v>
      </c>
      <c r="BR26" s="63"/>
      <c r="BS26" s="58" t="e">
        <f>(Links!AA26^2+'Off-Ramp'!N26^2)/(Links!AA26+'Off-Ramp'!N26)</f>
        <v>#DIV/0!</v>
      </c>
      <c r="BT26" s="58" t="e">
        <f>(Links!AD26^2+'Off-Ramp'!O26^2)/(Links!AD26+'Off-Ramp'!O26)</f>
        <v>#DIV/0!</v>
      </c>
      <c r="BU26" s="58" t="e">
        <f>(Links!AE26^2+'Off-Ramp'!V26^2+'Off-Ramp'!W26^2+'Off-Ramp'!X26^2)/(Links!AE26+'Off-Ramp'!V26+'Off-Ramp'!W26+'Off-Ramp'!X26)</f>
        <v>#DIV/0!</v>
      </c>
      <c r="BV26" s="58" t="e">
        <f>(Links!AG26^2+'Off-Ramp'!Y26^2+'Off-Ramp'!Z26^2+'Off-Ramp'!AA26^2)/(Links!AG26+'Off-Ramp'!Y26+'Off-Ramp'!Z26+'Off-Ramp'!AA26)</f>
        <v>#DIV/0!</v>
      </c>
      <c r="BW26" s="58" t="e">
        <f>(Links!AH26^2+'Off-Ramp'!R26^2)/(Links!AH26+'Off-Ramp'!R26)</f>
        <v>#DIV/0!</v>
      </c>
      <c r="BX26" s="58" t="e">
        <f>(Links!AK26^2+'Off-Ramp'!S26^2)/(Links!AK26+'Off-Ramp'!S26)</f>
        <v>#DIV/0!</v>
      </c>
      <c r="BY26" s="58" t="e">
        <f>(Links!AL26^2+'Off-Ramp'!T26^2)/(Links!AL26+'Off-Ramp'!T26)</f>
        <v>#DIV/0!</v>
      </c>
      <c r="BZ26" s="63"/>
      <c r="CA26" s="58" t="e">
        <f>(Links!AN26^2+'Off-Ramp'!U26^2)/(Links!AN26+'Off-Ramp'!U26)</f>
        <v>#DIV/0!</v>
      </c>
    </row>
    <row r="27" spans="1:79" x14ac:dyDescent="0.15">
      <c r="A27" s="56">
        <v>25</v>
      </c>
      <c r="B27" s="57" t="e">
        <f t="shared" si="1"/>
        <v>#DIV/0!</v>
      </c>
      <c r="C27" s="57" t="e">
        <f t="shared" si="2"/>
        <v>#DIV/0!</v>
      </c>
      <c r="D27" s="57" t="e">
        <f t="shared" si="3"/>
        <v>#DIV/0!</v>
      </c>
      <c r="E27" s="57" t="e">
        <f t="shared" si="4"/>
        <v>#DIV/0!</v>
      </c>
      <c r="F27" s="57" t="e">
        <f t="shared" si="5"/>
        <v>#DIV/0!</v>
      </c>
      <c r="G27" s="57" t="e">
        <f t="shared" si="6"/>
        <v>#DIV/0!</v>
      </c>
      <c r="H27" s="57" t="e">
        <f t="shared" si="7"/>
        <v>#DIV/0!</v>
      </c>
      <c r="I27" s="57" t="e">
        <f t="shared" si="8"/>
        <v>#DIV/0!</v>
      </c>
      <c r="J27" s="57" t="e">
        <f t="shared" si="9"/>
        <v>#DIV/0!</v>
      </c>
      <c r="K27" s="57" t="e">
        <f t="shared" si="10"/>
        <v>#DIV/0!</v>
      </c>
      <c r="L27" s="57" t="e">
        <f t="shared" si="11"/>
        <v>#DIV/0!</v>
      </c>
      <c r="M27" s="57" t="e">
        <f t="shared" si="12"/>
        <v>#DIV/0!</v>
      </c>
      <c r="N27" s="57" t="e">
        <f t="shared" si="13"/>
        <v>#DIV/0!</v>
      </c>
      <c r="O27" s="58" t="e">
        <f>Links!B27</f>
        <v>#DIV/0!</v>
      </c>
      <c r="P27" s="58" t="e">
        <f>Links!C27+'On-Ramps'!AC27</f>
        <v>#DIV/0!</v>
      </c>
      <c r="Q27" s="58" t="e">
        <f>Links!D27</f>
        <v>#DIV/0!</v>
      </c>
      <c r="R27" s="58" t="e">
        <f>Links!E27+'On-Ramps'!AD27</f>
        <v>#DIV/0!</v>
      </c>
      <c r="S27" s="58" t="e">
        <f>Links!F27+'On-Ramps'!AE27</f>
        <v>#DIV/0!</v>
      </c>
      <c r="T27" s="58" t="e">
        <f>Links!I27+'On-Ramps'!AF27</f>
        <v>#DIV/0!</v>
      </c>
      <c r="U27" s="58" t="e">
        <f>Links!J27+'On-Ramps'!AG27</f>
        <v>#DIV/0!</v>
      </c>
      <c r="V27" s="58" t="e">
        <f>Links!L27+'On-Ramps'!AH27</f>
        <v>#DIV/0!</v>
      </c>
      <c r="W27" s="58" t="e">
        <f>Links!M27+'On-Ramps'!AI27</f>
        <v>#DIV/0!</v>
      </c>
      <c r="X27" s="58" t="e">
        <f>Links!P27+'On-Ramps'!AJ27</f>
        <v>#DIV/0!</v>
      </c>
      <c r="Y27" s="58" t="e">
        <f>Links!Q27</f>
        <v>#DIV/0!</v>
      </c>
      <c r="Z27" s="58" t="e">
        <f>Links!R27+'On-Ramps'!AK27</f>
        <v>#DIV/0!</v>
      </c>
      <c r="AA27" s="58" t="e">
        <f>Links!S27</f>
        <v>#DIV/0!</v>
      </c>
      <c r="AB27" s="57" t="e">
        <f t="shared" si="16"/>
        <v>#VALUE!</v>
      </c>
      <c r="AC27" s="63"/>
      <c r="AD27" s="57" t="e">
        <f t="shared" si="17"/>
        <v>#DIV/0!</v>
      </c>
      <c r="AE27" s="63"/>
      <c r="AF27" s="57" t="e">
        <f t="shared" si="18"/>
        <v>#DIV/0!</v>
      </c>
      <c r="AG27" s="57" t="e">
        <f t="shared" si="19"/>
        <v>#DIV/0!</v>
      </c>
      <c r="AH27" s="57" t="e">
        <f t="shared" si="20"/>
        <v>#DIV/0!</v>
      </c>
      <c r="AI27" s="57" t="e">
        <f t="shared" si="21"/>
        <v>#DIV/0!</v>
      </c>
      <c r="AJ27" s="57" t="e">
        <f t="shared" si="22"/>
        <v>#DIV/0!</v>
      </c>
      <c r="AK27" s="57" t="e">
        <f t="shared" si="23"/>
        <v>#DIV/0!</v>
      </c>
      <c r="AL27" s="57" t="e">
        <f t="shared" si="24"/>
        <v>#DIV/0!</v>
      </c>
      <c r="AM27" s="63"/>
      <c r="AN27" s="57" t="e">
        <f t="shared" si="26"/>
        <v>#DIV/0!</v>
      </c>
      <c r="AO27" s="58" t="e">
        <f t="shared" si="25"/>
        <v>#VALUE!</v>
      </c>
      <c r="AP27" s="63"/>
      <c r="AQ27" s="58" t="e">
        <f t="shared" si="25"/>
        <v>#DIV/0!</v>
      </c>
      <c r="AR27" s="63"/>
      <c r="AS27" s="58" t="e">
        <f t="shared" si="25"/>
        <v>#DIV/0!</v>
      </c>
      <c r="AT27" s="58" t="e">
        <f t="shared" si="25"/>
        <v>#DIV/0!</v>
      </c>
      <c r="AU27" s="58" t="e">
        <f t="shared" si="25"/>
        <v>#DIV/0!</v>
      </c>
      <c r="AV27" s="58" t="e">
        <f t="shared" si="25"/>
        <v>#DIV/0!</v>
      </c>
      <c r="AW27" s="58" t="e">
        <f t="shared" si="25"/>
        <v>#DIV/0!</v>
      </c>
      <c r="AX27" s="58" t="e">
        <f t="shared" si="25"/>
        <v>#DIV/0!</v>
      </c>
      <c r="AY27" s="58" t="e">
        <f t="shared" si="25"/>
        <v>#DIV/0!</v>
      </c>
      <c r="AZ27" s="63"/>
      <c r="BA27" s="58" t="e">
        <f t="shared" si="25"/>
        <v>#DIV/0!</v>
      </c>
      <c r="BB27" s="63"/>
      <c r="BC27" s="57" t="e">
        <f>(Links!C27*Links!AQ27+'On-Ramps'!AC27*'On-Ramps'!CE27)/('On-Ramps'!AC27+Links!C27)</f>
        <v>#DIV/0!</v>
      </c>
      <c r="BD27" s="63"/>
      <c r="BE27" s="57" t="e">
        <f>(Links!E27*Links!AS27+'On-Ramps'!AD27*'On-Ramps'!CF26)/('On-Ramps'!AD27+Links!E27)</f>
        <v>#DIV/0!</v>
      </c>
      <c r="BF27" s="57" t="e">
        <f>(Links!F27*Links!AT27+'On-Ramps'!AE27*'On-Ramps'!CG27)/('On-Ramps'!AE27+Links!F27)</f>
        <v>#DIV/0!</v>
      </c>
      <c r="BG27" s="57" t="e">
        <f>(Links!I27*Links!AW27+'On-Ramps'!AF27*'On-Ramps'!CH27)/('On-Ramps'!AF27+Links!I27)</f>
        <v>#DIV/0!</v>
      </c>
      <c r="BH27" s="57" t="e">
        <f>(#REF!*#REF!+'On-Ramps'!AG27*'On-Ramps'!CI27)/('On-Ramps'!AG27+#REF!)</f>
        <v>#REF!</v>
      </c>
      <c r="BI27" s="57" t="e">
        <f>(Links!L27*Links!AZ27+'On-Ramps'!AH27*'On-Ramps'!CJ27)/('On-Ramps'!AH27+Links!L27)</f>
        <v>#DIV/0!</v>
      </c>
      <c r="BJ27" s="57" t="e">
        <f>(Links!BA27*Links!M27+'On-Ramps'!AI27*'On-Ramps'!CK27)/('On-Ramps'!AI27+Links!M27)</f>
        <v>#DIV/0!</v>
      </c>
      <c r="BK27" s="57" t="e">
        <f>(Links!S27*Links!BG27+'On-Ramps'!AJ27*'On-Ramps'!CL27)/('On-Ramps'!AJ27+Links!S27)</f>
        <v>#DIV/0!</v>
      </c>
      <c r="BL27" s="63"/>
      <c r="BM27" s="57" t="e">
        <f>(Links!S27*Links!BG27+'On-Ramps'!AL27*'On-Ramps'!CM27)/(Links!S27+'On-Ramps'!AL27)</f>
        <v>#DIV/0!</v>
      </c>
      <c r="BN27" s="63"/>
      <c r="BO27" s="58" t="e">
        <f>(Links!W27^2+'Off-Ramp'!L27^2)/(Links!W27+'Off-Ramp'!L27)</f>
        <v>#DIV/0!</v>
      </c>
      <c r="BP27" s="63"/>
      <c r="BQ27" s="58" t="e">
        <f>(Links!Y27^2+'Off-Ramp'!C27^2)/(Links!Y27+'Off-Ramp'!C27)</f>
        <v>#DIV/0!</v>
      </c>
      <c r="BR27" s="63"/>
      <c r="BS27" s="58" t="e">
        <f>(Links!AA27^2+'Off-Ramp'!N27^2)/(Links!AA27+'Off-Ramp'!N27)</f>
        <v>#DIV/0!</v>
      </c>
      <c r="BT27" s="58" t="e">
        <f>(Links!AD27^2+'Off-Ramp'!O27^2)/(Links!AD27+'Off-Ramp'!O27)</f>
        <v>#DIV/0!</v>
      </c>
      <c r="BU27" s="58" t="e">
        <f>(Links!AE27^2+'Off-Ramp'!V27^2+'Off-Ramp'!W27^2+'Off-Ramp'!X27^2)/(Links!AE27+'Off-Ramp'!V27+'Off-Ramp'!W27+'Off-Ramp'!X27)</f>
        <v>#DIV/0!</v>
      </c>
      <c r="BV27" s="58" t="e">
        <f>(Links!AG27^2+'Off-Ramp'!Y27^2+'Off-Ramp'!Z27^2+'Off-Ramp'!AA27^2)/(Links!AG27+'Off-Ramp'!Y27+'Off-Ramp'!Z27+'Off-Ramp'!AA27)</f>
        <v>#DIV/0!</v>
      </c>
      <c r="BW27" s="58" t="e">
        <f>(Links!AH27^2+'Off-Ramp'!R27^2)/(Links!AH27+'Off-Ramp'!R27)</f>
        <v>#DIV/0!</v>
      </c>
      <c r="BX27" s="58" t="e">
        <f>(Links!AK27^2+'Off-Ramp'!S27^2)/(Links!AK27+'Off-Ramp'!S27)</f>
        <v>#DIV/0!</v>
      </c>
      <c r="BY27" s="58" t="e">
        <f>(Links!AL27^2+'Off-Ramp'!T27^2)/(Links!AL27+'Off-Ramp'!T27)</f>
        <v>#DIV/0!</v>
      </c>
      <c r="BZ27" s="63"/>
      <c r="CA27" s="58" t="e">
        <f>(Links!AN27^2+'Off-Ramp'!U27^2)/(Links!AN27+'Off-Ramp'!U27)</f>
        <v>#DIV/0!</v>
      </c>
    </row>
    <row r="28" spans="1:79" x14ac:dyDescent="0.15">
      <c r="A28" s="56">
        <v>26</v>
      </c>
      <c r="B28" s="57" t="e">
        <f t="shared" si="1"/>
        <v>#DIV/0!</v>
      </c>
      <c r="C28" s="57" t="e">
        <f t="shared" si="2"/>
        <v>#DIV/0!</v>
      </c>
      <c r="D28" s="57" t="e">
        <f t="shared" si="3"/>
        <v>#DIV/0!</v>
      </c>
      <c r="E28" s="57" t="e">
        <f t="shared" si="4"/>
        <v>#DIV/0!</v>
      </c>
      <c r="F28" s="57" t="e">
        <f t="shared" si="5"/>
        <v>#DIV/0!</v>
      </c>
      <c r="G28" s="57" t="e">
        <f t="shared" si="6"/>
        <v>#DIV/0!</v>
      </c>
      <c r="H28" s="57" t="e">
        <f t="shared" si="7"/>
        <v>#DIV/0!</v>
      </c>
      <c r="I28" s="57" t="e">
        <f t="shared" si="8"/>
        <v>#DIV/0!</v>
      </c>
      <c r="J28" s="57" t="e">
        <f t="shared" si="9"/>
        <v>#DIV/0!</v>
      </c>
      <c r="K28" s="57" t="e">
        <f t="shared" si="10"/>
        <v>#DIV/0!</v>
      </c>
      <c r="L28" s="57" t="e">
        <f t="shared" si="11"/>
        <v>#DIV/0!</v>
      </c>
      <c r="M28" s="57" t="e">
        <f t="shared" si="12"/>
        <v>#DIV/0!</v>
      </c>
      <c r="N28" s="57" t="e">
        <f t="shared" si="13"/>
        <v>#DIV/0!</v>
      </c>
      <c r="O28" s="58" t="e">
        <f>Links!B28</f>
        <v>#DIV/0!</v>
      </c>
      <c r="P28" s="58" t="e">
        <f>Links!C28+'On-Ramps'!AC28</f>
        <v>#DIV/0!</v>
      </c>
      <c r="Q28" s="58" t="e">
        <f>Links!D28</f>
        <v>#DIV/0!</v>
      </c>
      <c r="R28" s="58" t="e">
        <f>Links!E28+'On-Ramps'!AD28</f>
        <v>#DIV/0!</v>
      </c>
      <c r="S28" s="58" t="e">
        <f>Links!F28+'On-Ramps'!AE28</f>
        <v>#DIV/0!</v>
      </c>
      <c r="T28" s="58" t="e">
        <f>Links!I28+'On-Ramps'!AF28</f>
        <v>#DIV/0!</v>
      </c>
      <c r="U28" s="58" t="e">
        <f>Links!J28+'On-Ramps'!AG28</f>
        <v>#DIV/0!</v>
      </c>
      <c r="V28" s="58" t="e">
        <f>Links!L28+'On-Ramps'!AH28</f>
        <v>#DIV/0!</v>
      </c>
      <c r="W28" s="58" t="e">
        <f>Links!M28+'On-Ramps'!AI28</f>
        <v>#DIV/0!</v>
      </c>
      <c r="X28" s="58" t="e">
        <f>Links!P28+'On-Ramps'!AJ28</f>
        <v>#DIV/0!</v>
      </c>
      <c r="Y28" s="58" t="e">
        <f>Links!Q28</f>
        <v>#DIV/0!</v>
      </c>
      <c r="Z28" s="58" t="e">
        <f>Links!R28+'On-Ramps'!AK28</f>
        <v>#DIV/0!</v>
      </c>
      <c r="AA28" s="58" t="e">
        <f>Links!S28</f>
        <v>#DIV/0!</v>
      </c>
      <c r="AB28" s="57" t="e">
        <f t="shared" si="16"/>
        <v>#VALUE!</v>
      </c>
      <c r="AC28" s="63"/>
      <c r="AD28" s="57" t="e">
        <f t="shared" si="17"/>
        <v>#DIV/0!</v>
      </c>
      <c r="AE28" s="63"/>
      <c r="AF28" s="57" t="e">
        <f t="shared" si="18"/>
        <v>#DIV/0!</v>
      </c>
      <c r="AG28" s="57" t="e">
        <f t="shared" si="19"/>
        <v>#DIV/0!</v>
      </c>
      <c r="AH28" s="57" t="e">
        <f t="shared" si="20"/>
        <v>#DIV/0!</v>
      </c>
      <c r="AI28" s="57" t="e">
        <f t="shared" si="21"/>
        <v>#DIV/0!</v>
      </c>
      <c r="AJ28" s="57" t="e">
        <f t="shared" si="22"/>
        <v>#DIV/0!</v>
      </c>
      <c r="AK28" s="57" t="e">
        <f t="shared" si="23"/>
        <v>#DIV/0!</v>
      </c>
      <c r="AL28" s="57" t="e">
        <f t="shared" si="24"/>
        <v>#DIV/0!</v>
      </c>
      <c r="AM28" s="63"/>
      <c r="AN28" s="57" t="e">
        <f t="shared" si="26"/>
        <v>#DIV/0!</v>
      </c>
      <c r="AO28" s="58" t="e">
        <f t="shared" si="25"/>
        <v>#VALUE!</v>
      </c>
      <c r="AP28" s="63"/>
      <c r="AQ28" s="58" t="e">
        <f t="shared" si="25"/>
        <v>#DIV/0!</v>
      </c>
      <c r="AR28" s="63"/>
      <c r="AS28" s="58" t="e">
        <f t="shared" si="25"/>
        <v>#DIV/0!</v>
      </c>
      <c r="AT28" s="58" t="e">
        <f t="shared" si="25"/>
        <v>#DIV/0!</v>
      </c>
      <c r="AU28" s="58" t="e">
        <f t="shared" si="25"/>
        <v>#DIV/0!</v>
      </c>
      <c r="AV28" s="58" t="e">
        <f t="shared" si="25"/>
        <v>#DIV/0!</v>
      </c>
      <c r="AW28" s="58" t="e">
        <f t="shared" si="25"/>
        <v>#DIV/0!</v>
      </c>
      <c r="AX28" s="58" t="e">
        <f t="shared" si="25"/>
        <v>#DIV/0!</v>
      </c>
      <c r="AY28" s="58" t="e">
        <f t="shared" si="25"/>
        <v>#DIV/0!</v>
      </c>
      <c r="AZ28" s="63"/>
      <c r="BA28" s="58" t="e">
        <f t="shared" si="25"/>
        <v>#DIV/0!</v>
      </c>
      <c r="BB28" s="63"/>
      <c r="BC28" s="57" t="e">
        <f>(Links!C28*Links!AQ28+'On-Ramps'!AC28*'On-Ramps'!CE28)/('On-Ramps'!AC28+Links!C28)</f>
        <v>#DIV/0!</v>
      </c>
      <c r="BD28" s="63"/>
      <c r="BE28" s="57" t="e">
        <f>(Links!E28*Links!AS28+'On-Ramps'!AD28*'On-Ramps'!CF27)/('On-Ramps'!AD28+Links!E28)</f>
        <v>#DIV/0!</v>
      </c>
      <c r="BF28" s="57" t="e">
        <f>(Links!F28*Links!AT28+'On-Ramps'!AE28*'On-Ramps'!CG28)/('On-Ramps'!AE28+Links!F28)</f>
        <v>#DIV/0!</v>
      </c>
      <c r="BG28" s="57" t="e">
        <f>(Links!I28*Links!AW28+'On-Ramps'!AF28*'On-Ramps'!CH28)/('On-Ramps'!AF28+Links!I28)</f>
        <v>#DIV/0!</v>
      </c>
      <c r="BH28" s="57" t="e">
        <f>(#REF!*#REF!+'On-Ramps'!AG28*'On-Ramps'!CI28)/('On-Ramps'!AG28+#REF!)</f>
        <v>#REF!</v>
      </c>
      <c r="BI28" s="57" t="e">
        <f>(Links!L28*Links!AZ28+'On-Ramps'!AH28*'On-Ramps'!CJ28)/('On-Ramps'!AH28+Links!L28)</f>
        <v>#DIV/0!</v>
      </c>
      <c r="BJ28" s="57" t="e">
        <f>(Links!BA28*Links!M28+'On-Ramps'!AI28*'On-Ramps'!CK28)/('On-Ramps'!AI28+Links!M28)</f>
        <v>#DIV/0!</v>
      </c>
      <c r="BK28" s="57" t="e">
        <f>(Links!S28*Links!BG28+'On-Ramps'!AJ28*'On-Ramps'!CL28)/('On-Ramps'!AJ28+Links!S28)</f>
        <v>#DIV/0!</v>
      </c>
      <c r="BL28" s="63"/>
      <c r="BM28" s="57" t="e">
        <f>(Links!S28*Links!BG28+'On-Ramps'!AL28*'On-Ramps'!CM28)/(Links!S28+'On-Ramps'!AL28)</f>
        <v>#DIV/0!</v>
      </c>
      <c r="BN28" s="63"/>
      <c r="BO28" s="58" t="e">
        <f>(Links!W28^2+'Off-Ramp'!L28^2)/(Links!W28+'Off-Ramp'!L28)</f>
        <v>#DIV/0!</v>
      </c>
      <c r="BP28" s="63"/>
      <c r="BQ28" s="58" t="e">
        <f>(Links!Y28^2+'Off-Ramp'!C28^2)/(Links!Y28+'Off-Ramp'!C28)</f>
        <v>#DIV/0!</v>
      </c>
      <c r="BR28" s="63"/>
      <c r="BS28" s="58" t="e">
        <f>(Links!AA28^2+'Off-Ramp'!N28^2)/(Links!AA28+'Off-Ramp'!N28)</f>
        <v>#DIV/0!</v>
      </c>
      <c r="BT28" s="58" t="e">
        <f>(Links!AD28^2+'Off-Ramp'!O28^2)/(Links!AD28+'Off-Ramp'!O28)</f>
        <v>#DIV/0!</v>
      </c>
      <c r="BU28" s="58" t="e">
        <f>(Links!AE28^2+'Off-Ramp'!V28^2+'Off-Ramp'!W28^2+'Off-Ramp'!X28^2)/(Links!AE28+'Off-Ramp'!V28+'Off-Ramp'!W28+'Off-Ramp'!X28)</f>
        <v>#DIV/0!</v>
      </c>
      <c r="BV28" s="58" t="e">
        <f>(Links!AG28^2+'Off-Ramp'!Y28^2+'Off-Ramp'!Z28^2+'Off-Ramp'!AA28^2)/(Links!AG28+'Off-Ramp'!Y28+'Off-Ramp'!Z28+'Off-Ramp'!AA28)</f>
        <v>#DIV/0!</v>
      </c>
      <c r="BW28" s="58" t="e">
        <f>(Links!AH28^2+'Off-Ramp'!R28^2)/(Links!AH28+'Off-Ramp'!R28)</f>
        <v>#DIV/0!</v>
      </c>
      <c r="BX28" s="58" t="e">
        <f>(Links!AK28^2+'Off-Ramp'!S28^2)/(Links!AK28+'Off-Ramp'!S28)</f>
        <v>#DIV/0!</v>
      </c>
      <c r="BY28" s="58" t="e">
        <f>(Links!AL28^2+'Off-Ramp'!T28^2)/(Links!AL28+'Off-Ramp'!T28)</f>
        <v>#DIV/0!</v>
      </c>
      <c r="BZ28" s="63"/>
      <c r="CA28" s="58" t="e">
        <f>(Links!AN28^2+'Off-Ramp'!U28^2)/(Links!AN28+'Off-Ramp'!U28)</f>
        <v>#DIV/0!</v>
      </c>
    </row>
    <row r="29" spans="1:79" x14ac:dyDescent="0.15">
      <c r="A29" s="56">
        <v>27</v>
      </c>
      <c r="B29" s="57" t="e">
        <f t="shared" si="1"/>
        <v>#DIV/0!</v>
      </c>
      <c r="C29" s="57" t="e">
        <f t="shared" si="2"/>
        <v>#DIV/0!</v>
      </c>
      <c r="D29" s="57" t="e">
        <f t="shared" si="3"/>
        <v>#DIV/0!</v>
      </c>
      <c r="E29" s="57" t="e">
        <f t="shared" si="4"/>
        <v>#DIV/0!</v>
      </c>
      <c r="F29" s="57" t="e">
        <f t="shared" si="5"/>
        <v>#DIV/0!</v>
      </c>
      <c r="G29" s="57" t="e">
        <f t="shared" si="6"/>
        <v>#DIV/0!</v>
      </c>
      <c r="H29" s="57" t="e">
        <f t="shared" si="7"/>
        <v>#DIV/0!</v>
      </c>
      <c r="I29" s="57" t="e">
        <f t="shared" si="8"/>
        <v>#DIV/0!</v>
      </c>
      <c r="J29" s="57" t="e">
        <f t="shared" si="9"/>
        <v>#DIV/0!</v>
      </c>
      <c r="K29" s="57" t="e">
        <f t="shared" si="10"/>
        <v>#DIV/0!</v>
      </c>
      <c r="L29" s="57" t="e">
        <f t="shared" si="11"/>
        <v>#DIV/0!</v>
      </c>
      <c r="M29" s="57" t="e">
        <f t="shared" si="12"/>
        <v>#DIV/0!</v>
      </c>
      <c r="N29" s="57" t="e">
        <f t="shared" si="13"/>
        <v>#DIV/0!</v>
      </c>
      <c r="O29" s="58" t="e">
        <f>Links!B29</f>
        <v>#DIV/0!</v>
      </c>
      <c r="P29" s="58" t="e">
        <f>Links!C29+'On-Ramps'!AC29</f>
        <v>#DIV/0!</v>
      </c>
      <c r="Q29" s="58" t="e">
        <f>Links!D29</f>
        <v>#DIV/0!</v>
      </c>
      <c r="R29" s="58" t="e">
        <f>Links!E29+'On-Ramps'!AD29</f>
        <v>#DIV/0!</v>
      </c>
      <c r="S29" s="58" t="e">
        <f>Links!F29+'On-Ramps'!AE29</f>
        <v>#DIV/0!</v>
      </c>
      <c r="T29" s="58" t="e">
        <f>Links!I29+'On-Ramps'!AF29</f>
        <v>#DIV/0!</v>
      </c>
      <c r="U29" s="58" t="e">
        <f>Links!J29+'On-Ramps'!AG29</f>
        <v>#DIV/0!</v>
      </c>
      <c r="V29" s="58" t="e">
        <f>Links!L29+'On-Ramps'!AH29</f>
        <v>#DIV/0!</v>
      </c>
      <c r="W29" s="58" t="e">
        <f>Links!M29+'On-Ramps'!AI29</f>
        <v>#DIV/0!</v>
      </c>
      <c r="X29" s="58" t="e">
        <f>Links!P29+'On-Ramps'!AJ29</f>
        <v>#DIV/0!</v>
      </c>
      <c r="Y29" s="58" t="e">
        <f>Links!Q29</f>
        <v>#DIV/0!</v>
      </c>
      <c r="Z29" s="58" t="e">
        <f>Links!R29+'On-Ramps'!AK29</f>
        <v>#DIV/0!</v>
      </c>
      <c r="AA29" s="58" t="e">
        <f>Links!S29</f>
        <v>#DIV/0!</v>
      </c>
      <c r="AB29" s="57" t="e">
        <f t="shared" si="16"/>
        <v>#VALUE!</v>
      </c>
      <c r="AC29" s="63"/>
      <c r="AD29" s="57" t="e">
        <f t="shared" si="17"/>
        <v>#DIV/0!</v>
      </c>
      <c r="AE29" s="63"/>
      <c r="AF29" s="57" t="e">
        <f t="shared" si="18"/>
        <v>#DIV/0!</v>
      </c>
      <c r="AG29" s="57" t="e">
        <f t="shared" si="19"/>
        <v>#DIV/0!</v>
      </c>
      <c r="AH29" s="57" t="e">
        <f t="shared" si="20"/>
        <v>#DIV/0!</v>
      </c>
      <c r="AI29" s="57" t="e">
        <f t="shared" si="21"/>
        <v>#DIV/0!</v>
      </c>
      <c r="AJ29" s="57" t="e">
        <f t="shared" si="22"/>
        <v>#DIV/0!</v>
      </c>
      <c r="AK29" s="57" t="e">
        <f t="shared" si="23"/>
        <v>#DIV/0!</v>
      </c>
      <c r="AL29" s="57" t="e">
        <f t="shared" si="24"/>
        <v>#DIV/0!</v>
      </c>
      <c r="AM29" s="63"/>
      <c r="AN29" s="57" t="e">
        <f t="shared" si="26"/>
        <v>#DIV/0!</v>
      </c>
      <c r="AO29" s="58" t="e">
        <f t="shared" si="25"/>
        <v>#VALUE!</v>
      </c>
      <c r="AP29" s="63"/>
      <c r="AQ29" s="58" t="e">
        <f t="shared" si="25"/>
        <v>#DIV/0!</v>
      </c>
      <c r="AR29" s="63"/>
      <c r="AS29" s="58" t="e">
        <f t="shared" si="25"/>
        <v>#DIV/0!</v>
      </c>
      <c r="AT29" s="58" t="e">
        <f t="shared" si="25"/>
        <v>#DIV/0!</v>
      </c>
      <c r="AU29" s="58" t="e">
        <f t="shared" si="25"/>
        <v>#DIV/0!</v>
      </c>
      <c r="AV29" s="58" t="e">
        <f t="shared" si="25"/>
        <v>#DIV/0!</v>
      </c>
      <c r="AW29" s="58" t="e">
        <f t="shared" si="25"/>
        <v>#DIV/0!</v>
      </c>
      <c r="AX29" s="58" t="e">
        <f t="shared" si="25"/>
        <v>#DIV/0!</v>
      </c>
      <c r="AY29" s="58" t="e">
        <f t="shared" si="25"/>
        <v>#DIV/0!</v>
      </c>
      <c r="AZ29" s="63"/>
      <c r="BA29" s="58" t="e">
        <f t="shared" si="25"/>
        <v>#DIV/0!</v>
      </c>
      <c r="BB29" s="63"/>
      <c r="BC29" s="57" t="e">
        <f>(Links!C29*Links!AQ29+'On-Ramps'!AC29*'On-Ramps'!CE29)/('On-Ramps'!AC29+Links!C29)</f>
        <v>#DIV/0!</v>
      </c>
      <c r="BD29" s="63"/>
      <c r="BE29" s="57" t="e">
        <f>(Links!E29*Links!AS29+'On-Ramps'!AD29*'On-Ramps'!CF28)/('On-Ramps'!AD29+Links!E29)</f>
        <v>#DIV/0!</v>
      </c>
      <c r="BF29" s="57" t="e">
        <f>(Links!F29*Links!AT29+'On-Ramps'!AE29*'On-Ramps'!CG29)/('On-Ramps'!AE29+Links!F29)</f>
        <v>#DIV/0!</v>
      </c>
      <c r="BG29" s="57" t="e">
        <f>(Links!I29*Links!AW29+'On-Ramps'!AF29*'On-Ramps'!CH29)/('On-Ramps'!AF29+Links!I29)</f>
        <v>#DIV/0!</v>
      </c>
      <c r="BH29" s="57" t="e">
        <f>(#REF!*#REF!+'On-Ramps'!AG29*'On-Ramps'!CI29)/('On-Ramps'!AG29+#REF!)</f>
        <v>#REF!</v>
      </c>
      <c r="BI29" s="57" t="e">
        <f>(Links!L29*Links!AZ29+'On-Ramps'!AH29*'On-Ramps'!CJ29)/('On-Ramps'!AH29+Links!L29)</f>
        <v>#DIV/0!</v>
      </c>
      <c r="BJ29" s="57" t="e">
        <f>(Links!BA29*Links!M29+'On-Ramps'!AI29*'On-Ramps'!CK29)/('On-Ramps'!AI29+Links!M29)</f>
        <v>#DIV/0!</v>
      </c>
      <c r="BK29" s="57" t="e">
        <f>(Links!S29*Links!BG29+'On-Ramps'!AJ29*'On-Ramps'!CL29)/('On-Ramps'!AJ29+Links!S29)</f>
        <v>#DIV/0!</v>
      </c>
      <c r="BL29" s="63"/>
      <c r="BM29" s="57" t="e">
        <f>(Links!S29*Links!BG29+'On-Ramps'!AL29*'On-Ramps'!CM29)/(Links!S29+'On-Ramps'!AL29)</f>
        <v>#DIV/0!</v>
      </c>
      <c r="BN29" s="63"/>
      <c r="BO29" s="58" t="e">
        <f>(Links!W29^2+'Off-Ramp'!L29^2)/(Links!W29+'Off-Ramp'!L29)</f>
        <v>#DIV/0!</v>
      </c>
      <c r="BP29" s="63"/>
      <c r="BQ29" s="58" t="e">
        <f>(Links!Y29^2+'Off-Ramp'!C29^2)/(Links!Y29+'Off-Ramp'!C29)</f>
        <v>#DIV/0!</v>
      </c>
      <c r="BR29" s="63"/>
      <c r="BS29" s="58" t="e">
        <f>(Links!AA29^2+'Off-Ramp'!N29^2)/(Links!AA29+'Off-Ramp'!N29)</f>
        <v>#DIV/0!</v>
      </c>
      <c r="BT29" s="58" t="e">
        <f>(Links!AD29^2+'Off-Ramp'!O29^2)/(Links!AD29+'Off-Ramp'!O29)</f>
        <v>#DIV/0!</v>
      </c>
      <c r="BU29" s="58" t="e">
        <f>(Links!AE29^2+'Off-Ramp'!V29^2+'Off-Ramp'!W29^2+'Off-Ramp'!X29^2)/(Links!AE29+'Off-Ramp'!V29+'Off-Ramp'!W29+'Off-Ramp'!X29)</f>
        <v>#DIV/0!</v>
      </c>
      <c r="BV29" s="58" t="e">
        <f>(Links!AG29^2+'Off-Ramp'!Y29^2+'Off-Ramp'!Z29^2+'Off-Ramp'!AA29^2)/(Links!AG29+'Off-Ramp'!Y29+'Off-Ramp'!Z29+'Off-Ramp'!AA29)</f>
        <v>#DIV/0!</v>
      </c>
      <c r="BW29" s="58" t="e">
        <f>(Links!AH29^2+'Off-Ramp'!R29^2)/(Links!AH29+'Off-Ramp'!R29)</f>
        <v>#DIV/0!</v>
      </c>
      <c r="BX29" s="58" t="e">
        <f>(Links!AK29^2+'Off-Ramp'!S29^2)/(Links!AK29+'Off-Ramp'!S29)</f>
        <v>#DIV/0!</v>
      </c>
      <c r="BY29" s="58" t="e">
        <f>(Links!AL29^2+'Off-Ramp'!T29^2)/(Links!AL29+'Off-Ramp'!T29)</f>
        <v>#DIV/0!</v>
      </c>
      <c r="BZ29" s="63"/>
      <c r="CA29" s="58" t="e">
        <f>(Links!AN29^2+'Off-Ramp'!U29^2)/(Links!AN29+'Off-Ramp'!U29)</f>
        <v>#DIV/0!</v>
      </c>
    </row>
    <row r="30" spans="1:79" x14ac:dyDescent="0.15">
      <c r="A30" s="56">
        <v>28</v>
      </c>
      <c r="B30" s="57" t="e">
        <f t="shared" si="1"/>
        <v>#DIV/0!</v>
      </c>
      <c r="C30" s="57" t="e">
        <f t="shared" si="2"/>
        <v>#DIV/0!</v>
      </c>
      <c r="D30" s="57" t="e">
        <f t="shared" si="3"/>
        <v>#DIV/0!</v>
      </c>
      <c r="E30" s="57" t="e">
        <f t="shared" si="4"/>
        <v>#DIV/0!</v>
      </c>
      <c r="F30" s="57" t="e">
        <f t="shared" si="5"/>
        <v>#DIV/0!</v>
      </c>
      <c r="G30" s="57" t="e">
        <f t="shared" si="6"/>
        <v>#DIV/0!</v>
      </c>
      <c r="H30" s="57" t="e">
        <f t="shared" si="7"/>
        <v>#DIV/0!</v>
      </c>
      <c r="I30" s="57" t="e">
        <f t="shared" si="8"/>
        <v>#DIV/0!</v>
      </c>
      <c r="J30" s="57" t="e">
        <f t="shared" si="9"/>
        <v>#DIV/0!</v>
      </c>
      <c r="K30" s="57" t="e">
        <f t="shared" si="10"/>
        <v>#DIV/0!</v>
      </c>
      <c r="L30" s="57" t="e">
        <f t="shared" si="11"/>
        <v>#DIV/0!</v>
      </c>
      <c r="M30" s="57" t="e">
        <f t="shared" si="12"/>
        <v>#DIV/0!</v>
      </c>
      <c r="N30" s="57" t="e">
        <f t="shared" si="13"/>
        <v>#DIV/0!</v>
      </c>
      <c r="O30" s="58" t="e">
        <f>Links!B30</f>
        <v>#DIV/0!</v>
      </c>
      <c r="P30" s="58" t="e">
        <f>Links!C30+'On-Ramps'!AC30</f>
        <v>#DIV/0!</v>
      </c>
      <c r="Q30" s="58" t="e">
        <f>Links!D30</f>
        <v>#DIV/0!</v>
      </c>
      <c r="R30" s="58" t="e">
        <f>Links!E30+'On-Ramps'!AD30</f>
        <v>#DIV/0!</v>
      </c>
      <c r="S30" s="58" t="e">
        <f>Links!F30+'On-Ramps'!AE30</f>
        <v>#DIV/0!</v>
      </c>
      <c r="T30" s="58" t="e">
        <f>Links!I30+'On-Ramps'!AF30</f>
        <v>#DIV/0!</v>
      </c>
      <c r="U30" s="58" t="e">
        <f>Links!J30+'On-Ramps'!AG30</f>
        <v>#DIV/0!</v>
      </c>
      <c r="V30" s="58" t="e">
        <f>Links!L30+'On-Ramps'!AH30</f>
        <v>#DIV/0!</v>
      </c>
      <c r="W30" s="58" t="e">
        <f>Links!M30+'On-Ramps'!AI30</f>
        <v>#DIV/0!</v>
      </c>
      <c r="X30" s="58" t="e">
        <f>Links!P30+'On-Ramps'!AJ30</f>
        <v>#DIV/0!</v>
      </c>
      <c r="Y30" s="58" t="e">
        <f>Links!Q30</f>
        <v>#DIV/0!</v>
      </c>
      <c r="Z30" s="58" t="e">
        <f>Links!R30+'On-Ramps'!AK30</f>
        <v>#DIV/0!</v>
      </c>
      <c r="AA30" s="58" t="e">
        <f>Links!S30</f>
        <v>#DIV/0!</v>
      </c>
      <c r="AB30" s="57" t="e">
        <f t="shared" si="16"/>
        <v>#VALUE!</v>
      </c>
      <c r="AC30" s="63"/>
      <c r="AD30" s="57" t="e">
        <f t="shared" si="17"/>
        <v>#DIV/0!</v>
      </c>
      <c r="AE30" s="63"/>
      <c r="AF30" s="57" t="e">
        <f t="shared" si="18"/>
        <v>#DIV/0!</v>
      </c>
      <c r="AG30" s="57" t="e">
        <f t="shared" si="19"/>
        <v>#DIV/0!</v>
      </c>
      <c r="AH30" s="57" t="e">
        <f t="shared" si="20"/>
        <v>#DIV/0!</v>
      </c>
      <c r="AI30" s="57" t="e">
        <f t="shared" si="21"/>
        <v>#DIV/0!</v>
      </c>
      <c r="AJ30" s="57" t="e">
        <f t="shared" si="22"/>
        <v>#DIV/0!</v>
      </c>
      <c r="AK30" s="57" t="e">
        <f t="shared" si="23"/>
        <v>#DIV/0!</v>
      </c>
      <c r="AL30" s="57" t="e">
        <f t="shared" si="24"/>
        <v>#DIV/0!</v>
      </c>
      <c r="AM30" s="63"/>
      <c r="AN30" s="57" t="e">
        <f t="shared" si="26"/>
        <v>#DIV/0!</v>
      </c>
      <c r="AO30" s="58" t="e">
        <f t="shared" si="25"/>
        <v>#VALUE!</v>
      </c>
      <c r="AP30" s="63"/>
      <c r="AQ30" s="58" t="e">
        <f t="shared" si="25"/>
        <v>#DIV/0!</v>
      </c>
      <c r="AR30" s="63"/>
      <c r="AS30" s="58" t="e">
        <f t="shared" si="25"/>
        <v>#DIV/0!</v>
      </c>
      <c r="AT30" s="58" t="e">
        <f t="shared" si="25"/>
        <v>#DIV/0!</v>
      </c>
      <c r="AU30" s="58" t="e">
        <f t="shared" si="25"/>
        <v>#DIV/0!</v>
      </c>
      <c r="AV30" s="58" t="e">
        <f t="shared" si="25"/>
        <v>#DIV/0!</v>
      </c>
      <c r="AW30" s="58" t="e">
        <f t="shared" si="25"/>
        <v>#DIV/0!</v>
      </c>
      <c r="AX30" s="58" t="e">
        <f t="shared" si="25"/>
        <v>#DIV/0!</v>
      </c>
      <c r="AY30" s="58" t="e">
        <f t="shared" si="25"/>
        <v>#DIV/0!</v>
      </c>
      <c r="AZ30" s="63"/>
      <c r="BA30" s="58" t="e">
        <f t="shared" si="25"/>
        <v>#DIV/0!</v>
      </c>
      <c r="BB30" s="63"/>
      <c r="BC30" s="57" t="e">
        <f>(Links!C30*Links!AQ30+'On-Ramps'!AC30*'On-Ramps'!CE30)/('On-Ramps'!AC30+Links!C30)</f>
        <v>#DIV/0!</v>
      </c>
      <c r="BD30" s="63"/>
      <c r="BE30" s="57" t="e">
        <f>(Links!E30*Links!AS30+'On-Ramps'!AD30*'On-Ramps'!CF29)/('On-Ramps'!AD30+Links!E30)</f>
        <v>#DIV/0!</v>
      </c>
      <c r="BF30" s="57" t="e">
        <f>(Links!F30*Links!AT30+'On-Ramps'!AE30*'On-Ramps'!CG30)/('On-Ramps'!AE30+Links!F30)</f>
        <v>#DIV/0!</v>
      </c>
      <c r="BG30" s="57" t="e">
        <f>(Links!I30*Links!AW30+'On-Ramps'!AF30*'On-Ramps'!CH30)/('On-Ramps'!AF30+Links!I30)</f>
        <v>#DIV/0!</v>
      </c>
      <c r="BH30" s="57" t="e">
        <f>(#REF!*#REF!+'On-Ramps'!AG30*'On-Ramps'!CI30)/('On-Ramps'!AG30+#REF!)</f>
        <v>#REF!</v>
      </c>
      <c r="BI30" s="57" t="e">
        <f>(Links!L30*Links!AZ30+'On-Ramps'!AH30*'On-Ramps'!CJ30)/('On-Ramps'!AH30+Links!L30)</f>
        <v>#DIV/0!</v>
      </c>
      <c r="BJ30" s="57" t="e">
        <f>(Links!BA30*Links!M30+'On-Ramps'!AI30*'On-Ramps'!CK30)/('On-Ramps'!AI30+Links!M30)</f>
        <v>#DIV/0!</v>
      </c>
      <c r="BK30" s="57" t="e">
        <f>(Links!S30*Links!BG30+'On-Ramps'!AJ30*'On-Ramps'!CL30)/('On-Ramps'!AJ30+Links!S30)</f>
        <v>#DIV/0!</v>
      </c>
      <c r="BL30" s="63"/>
      <c r="BM30" s="57" t="e">
        <f>(Links!S30*Links!BG30+'On-Ramps'!AL30*'On-Ramps'!CM30)/(Links!S30+'On-Ramps'!AL30)</f>
        <v>#DIV/0!</v>
      </c>
      <c r="BN30" s="63"/>
      <c r="BO30" s="58" t="e">
        <f>(Links!W30^2+'Off-Ramp'!L30^2)/(Links!W30+'Off-Ramp'!L30)</f>
        <v>#DIV/0!</v>
      </c>
      <c r="BP30" s="63"/>
      <c r="BQ30" s="58" t="e">
        <f>(Links!Y30^2+'Off-Ramp'!C30^2)/(Links!Y30+'Off-Ramp'!C30)</f>
        <v>#DIV/0!</v>
      </c>
      <c r="BR30" s="63"/>
      <c r="BS30" s="58" t="e">
        <f>(Links!AA30^2+'Off-Ramp'!N30^2)/(Links!AA30+'Off-Ramp'!N30)</f>
        <v>#DIV/0!</v>
      </c>
      <c r="BT30" s="58" t="e">
        <f>(Links!AD30^2+'Off-Ramp'!O30^2)/(Links!AD30+'Off-Ramp'!O30)</f>
        <v>#DIV/0!</v>
      </c>
      <c r="BU30" s="58" t="e">
        <f>(Links!AE30^2+'Off-Ramp'!V30^2+'Off-Ramp'!W30^2+'Off-Ramp'!X30^2)/(Links!AE30+'Off-Ramp'!V30+'Off-Ramp'!W30+'Off-Ramp'!X30)</f>
        <v>#DIV/0!</v>
      </c>
      <c r="BV30" s="58" t="e">
        <f>(Links!AG30^2+'Off-Ramp'!Y30^2+'Off-Ramp'!Z30^2+'Off-Ramp'!AA30^2)/(Links!AG30+'Off-Ramp'!Y30+'Off-Ramp'!Z30+'Off-Ramp'!AA30)</f>
        <v>#DIV/0!</v>
      </c>
      <c r="BW30" s="58" t="e">
        <f>(Links!AH30^2+'Off-Ramp'!R30^2)/(Links!AH30+'Off-Ramp'!R30)</f>
        <v>#DIV/0!</v>
      </c>
      <c r="BX30" s="58" t="e">
        <f>(Links!AK30^2+'Off-Ramp'!S30^2)/(Links!AK30+'Off-Ramp'!S30)</f>
        <v>#DIV/0!</v>
      </c>
      <c r="BY30" s="58" t="e">
        <f>(Links!AL30^2+'Off-Ramp'!T30^2)/(Links!AL30+'Off-Ramp'!T30)</f>
        <v>#DIV/0!</v>
      </c>
      <c r="BZ30" s="63"/>
      <c r="CA30" s="58" t="e">
        <f>(Links!AN30^2+'Off-Ramp'!U30^2)/(Links!AN30+'Off-Ramp'!U30)</f>
        <v>#DIV/0!</v>
      </c>
    </row>
    <row r="31" spans="1:79" x14ac:dyDescent="0.15">
      <c r="A31" s="56">
        <v>29</v>
      </c>
      <c r="B31" s="57" t="e">
        <f t="shared" si="1"/>
        <v>#DIV/0!</v>
      </c>
      <c r="C31" s="57" t="e">
        <f t="shared" si="2"/>
        <v>#DIV/0!</v>
      </c>
      <c r="D31" s="57" t="e">
        <f t="shared" si="3"/>
        <v>#DIV/0!</v>
      </c>
      <c r="E31" s="57" t="e">
        <f t="shared" si="4"/>
        <v>#DIV/0!</v>
      </c>
      <c r="F31" s="57" t="e">
        <f t="shared" si="5"/>
        <v>#DIV/0!</v>
      </c>
      <c r="G31" s="57" t="e">
        <f t="shared" si="6"/>
        <v>#DIV/0!</v>
      </c>
      <c r="H31" s="57" t="e">
        <f t="shared" si="7"/>
        <v>#DIV/0!</v>
      </c>
      <c r="I31" s="57" t="e">
        <f t="shared" si="8"/>
        <v>#DIV/0!</v>
      </c>
      <c r="J31" s="57" t="e">
        <f t="shared" si="9"/>
        <v>#DIV/0!</v>
      </c>
      <c r="K31" s="57" t="e">
        <f t="shared" si="10"/>
        <v>#DIV/0!</v>
      </c>
      <c r="L31" s="57" t="e">
        <f t="shared" si="11"/>
        <v>#DIV/0!</v>
      </c>
      <c r="M31" s="57" t="e">
        <f t="shared" si="12"/>
        <v>#DIV/0!</v>
      </c>
      <c r="N31" s="57" t="e">
        <f t="shared" si="13"/>
        <v>#DIV/0!</v>
      </c>
      <c r="O31" s="58" t="e">
        <f>Links!B31</f>
        <v>#DIV/0!</v>
      </c>
      <c r="P31" s="58" t="e">
        <f>Links!C31+'On-Ramps'!AC31</f>
        <v>#DIV/0!</v>
      </c>
      <c r="Q31" s="58" t="e">
        <f>Links!D31</f>
        <v>#DIV/0!</v>
      </c>
      <c r="R31" s="58" t="e">
        <f>Links!E31+'On-Ramps'!AD31</f>
        <v>#DIV/0!</v>
      </c>
      <c r="S31" s="58" t="e">
        <f>Links!F31+'On-Ramps'!AE31</f>
        <v>#DIV/0!</v>
      </c>
      <c r="T31" s="58" t="e">
        <f>Links!I31+'On-Ramps'!AF31</f>
        <v>#DIV/0!</v>
      </c>
      <c r="U31" s="58" t="e">
        <f>Links!J31+'On-Ramps'!AG31</f>
        <v>#DIV/0!</v>
      </c>
      <c r="V31" s="58" t="e">
        <f>Links!L31+'On-Ramps'!AH31</f>
        <v>#DIV/0!</v>
      </c>
      <c r="W31" s="58" t="e">
        <f>Links!M31+'On-Ramps'!AI31</f>
        <v>#DIV/0!</v>
      </c>
      <c r="X31" s="58" t="e">
        <f>Links!P31+'On-Ramps'!AJ31</f>
        <v>#DIV/0!</v>
      </c>
      <c r="Y31" s="58" t="e">
        <f>Links!Q31</f>
        <v>#DIV/0!</v>
      </c>
      <c r="Z31" s="58" t="e">
        <f>Links!R31+'On-Ramps'!AK31</f>
        <v>#DIV/0!</v>
      </c>
      <c r="AA31" s="58" t="e">
        <f>Links!S31</f>
        <v>#DIV/0!</v>
      </c>
      <c r="AB31" s="57" t="e">
        <f t="shared" si="16"/>
        <v>#VALUE!</v>
      </c>
      <c r="AC31" s="63"/>
      <c r="AD31" s="57" t="e">
        <f t="shared" si="17"/>
        <v>#DIV/0!</v>
      </c>
      <c r="AE31" s="63"/>
      <c r="AF31" s="57" t="e">
        <f t="shared" si="18"/>
        <v>#DIV/0!</v>
      </c>
      <c r="AG31" s="57" t="e">
        <f t="shared" si="19"/>
        <v>#DIV/0!</v>
      </c>
      <c r="AH31" s="57" t="e">
        <f t="shared" si="20"/>
        <v>#DIV/0!</v>
      </c>
      <c r="AI31" s="57" t="e">
        <f t="shared" si="21"/>
        <v>#DIV/0!</v>
      </c>
      <c r="AJ31" s="57" t="e">
        <f t="shared" si="22"/>
        <v>#DIV/0!</v>
      </c>
      <c r="AK31" s="57" t="e">
        <f t="shared" si="23"/>
        <v>#DIV/0!</v>
      </c>
      <c r="AL31" s="57" t="e">
        <f t="shared" si="24"/>
        <v>#DIV/0!</v>
      </c>
      <c r="AM31" s="63"/>
      <c r="AN31" s="57" t="e">
        <f t="shared" si="26"/>
        <v>#DIV/0!</v>
      </c>
      <c r="AO31" s="58" t="e">
        <f t="shared" si="25"/>
        <v>#VALUE!</v>
      </c>
      <c r="AP31" s="63"/>
      <c r="AQ31" s="58" t="e">
        <f t="shared" si="25"/>
        <v>#DIV/0!</v>
      </c>
      <c r="AR31" s="63"/>
      <c r="AS31" s="58" t="e">
        <f t="shared" si="25"/>
        <v>#DIV/0!</v>
      </c>
      <c r="AT31" s="58" t="e">
        <f t="shared" si="25"/>
        <v>#DIV/0!</v>
      </c>
      <c r="AU31" s="58" t="e">
        <f t="shared" si="25"/>
        <v>#DIV/0!</v>
      </c>
      <c r="AV31" s="58" t="e">
        <f t="shared" si="25"/>
        <v>#DIV/0!</v>
      </c>
      <c r="AW31" s="58" t="e">
        <f t="shared" si="25"/>
        <v>#DIV/0!</v>
      </c>
      <c r="AX31" s="58" t="e">
        <f t="shared" si="25"/>
        <v>#DIV/0!</v>
      </c>
      <c r="AY31" s="58" t="e">
        <f t="shared" si="25"/>
        <v>#DIV/0!</v>
      </c>
      <c r="AZ31" s="63"/>
      <c r="BA31" s="58" t="e">
        <f t="shared" si="25"/>
        <v>#DIV/0!</v>
      </c>
      <c r="BB31" s="63"/>
      <c r="BC31" s="57" t="e">
        <f>(Links!C31*Links!AQ31+'On-Ramps'!AC31*'On-Ramps'!CE31)/('On-Ramps'!AC31+Links!C31)</f>
        <v>#DIV/0!</v>
      </c>
      <c r="BD31" s="63"/>
      <c r="BE31" s="57" t="e">
        <f>(Links!E31*Links!AS31+'On-Ramps'!AD31*'On-Ramps'!CF30)/('On-Ramps'!AD31+Links!E31)</f>
        <v>#DIV/0!</v>
      </c>
      <c r="BF31" s="57" t="e">
        <f>(Links!F31*Links!AT31+'On-Ramps'!AE31*'On-Ramps'!CG31)/('On-Ramps'!AE31+Links!F31)</f>
        <v>#DIV/0!</v>
      </c>
      <c r="BG31" s="57" t="e">
        <f>(Links!I31*Links!AW31+'On-Ramps'!AF31*'On-Ramps'!CH31)/('On-Ramps'!AF31+Links!I31)</f>
        <v>#DIV/0!</v>
      </c>
      <c r="BH31" s="57" t="e">
        <f>(#REF!*#REF!+'On-Ramps'!AG31*'On-Ramps'!CI31)/('On-Ramps'!AG31+#REF!)</f>
        <v>#REF!</v>
      </c>
      <c r="BI31" s="57" t="e">
        <f>(Links!L31*Links!AZ31+'On-Ramps'!AH31*'On-Ramps'!CJ31)/('On-Ramps'!AH31+Links!L31)</f>
        <v>#DIV/0!</v>
      </c>
      <c r="BJ31" s="57" t="e">
        <f>(Links!BA31*Links!M31+'On-Ramps'!AI31*'On-Ramps'!CK31)/('On-Ramps'!AI31+Links!M31)</f>
        <v>#DIV/0!</v>
      </c>
      <c r="BK31" s="57" t="e">
        <f>(Links!S31*Links!BG31+'On-Ramps'!AJ31*'On-Ramps'!CL31)/('On-Ramps'!AJ31+Links!S31)</f>
        <v>#DIV/0!</v>
      </c>
      <c r="BL31" s="63"/>
      <c r="BM31" s="57" t="e">
        <f>(Links!S31*Links!BG31+'On-Ramps'!AL31*'On-Ramps'!CM31)/(Links!S31+'On-Ramps'!AL31)</f>
        <v>#DIV/0!</v>
      </c>
      <c r="BN31" s="63"/>
      <c r="BO31" s="58" t="e">
        <f>(Links!W31^2+'Off-Ramp'!L31^2)/(Links!W31+'Off-Ramp'!L31)</f>
        <v>#DIV/0!</v>
      </c>
      <c r="BP31" s="63"/>
      <c r="BQ31" s="58" t="e">
        <f>(Links!Y31^2+'Off-Ramp'!C31^2)/(Links!Y31+'Off-Ramp'!C31)</f>
        <v>#DIV/0!</v>
      </c>
      <c r="BR31" s="63"/>
      <c r="BS31" s="58" t="e">
        <f>(Links!AA31^2+'Off-Ramp'!N31^2)/(Links!AA31+'Off-Ramp'!N31)</f>
        <v>#DIV/0!</v>
      </c>
      <c r="BT31" s="58" t="e">
        <f>(Links!AD31^2+'Off-Ramp'!O31^2)/(Links!AD31+'Off-Ramp'!O31)</f>
        <v>#DIV/0!</v>
      </c>
      <c r="BU31" s="58" t="e">
        <f>(Links!AE31^2+'Off-Ramp'!V31^2+'Off-Ramp'!W31^2+'Off-Ramp'!X31^2)/(Links!AE31+'Off-Ramp'!V31+'Off-Ramp'!W31+'Off-Ramp'!X31)</f>
        <v>#DIV/0!</v>
      </c>
      <c r="BV31" s="58" t="e">
        <f>(Links!AG31^2+'Off-Ramp'!Y31^2+'Off-Ramp'!Z31^2+'Off-Ramp'!AA31^2)/(Links!AG31+'Off-Ramp'!Y31+'Off-Ramp'!Z31+'Off-Ramp'!AA31)</f>
        <v>#DIV/0!</v>
      </c>
      <c r="BW31" s="58" t="e">
        <f>(Links!AH31^2+'Off-Ramp'!R31^2)/(Links!AH31+'Off-Ramp'!R31)</f>
        <v>#DIV/0!</v>
      </c>
      <c r="BX31" s="58" t="e">
        <f>(Links!AK31^2+'Off-Ramp'!S31^2)/(Links!AK31+'Off-Ramp'!S31)</f>
        <v>#DIV/0!</v>
      </c>
      <c r="BY31" s="58" t="e">
        <f>(Links!AL31^2+'Off-Ramp'!T31^2)/(Links!AL31+'Off-Ramp'!T31)</f>
        <v>#DIV/0!</v>
      </c>
      <c r="BZ31" s="63"/>
      <c r="CA31" s="58" t="e">
        <f>(Links!AN31^2+'Off-Ramp'!U31^2)/(Links!AN31+'Off-Ramp'!U31)</f>
        <v>#DIV/0!</v>
      </c>
    </row>
    <row r="32" spans="1:79" x14ac:dyDescent="0.15">
      <c r="A32" s="56">
        <v>30</v>
      </c>
      <c r="B32" s="57" t="e">
        <f t="shared" si="1"/>
        <v>#DIV/0!</v>
      </c>
      <c r="C32" s="57" t="e">
        <f t="shared" si="2"/>
        <v>#DIV/0!</v>
      </c>
      <c r="D32" s="57" t="e">
        <f t="shared" si="3"/>
        <v>#DIV/0!</v>
      </c>
      <c r="E32" s="57" t="e">
        <f t="shared" si="4"/>
        <v>#DIV/0!</v>
      </c>
      <c r="F32" s="57" t="e">
        <f t="shared" si="5"/>
        <v>#DIV/0!</v>
      </c>
      <c r="G32" s="57" t="e">
        <f t="shared" si="6"/>
        <v>#DIV/0!</v>
      </c>
      <c r="H32" s="57" t="e">
        <f t="shared" si="7"/>
        <v>#DIV/0!</v>
      </c>
      <c r="I32" s="57" t="e">
        <f t="shared" si="8"/>
        <v>#DIV/0!</v>
      </c>
      <c r="J32" s="57" t="e">
        <f t="shared" si="9"/>
        <v>#DIV/0!</v>
      </c>
      <c r="K32" s="57" t="e">
        <f t="shared" si="10"/>
        <v>#DIV/0!</v>
      </c>
      <c r="L32" s="57" t="e">
        <f t="shared" si="11"/>
        <v>#DIV/0!</v>
      </c>
      <c r="M32" s="57" t="e">
        <f t="shared" si="12"/>
        <v>#DIV/0!</v>
      </c>
      <c r="N32" s="57" t="e">
        <f t="shared" si="13"/>
        <v>#DIV/0!</v>
      </c>
      <c r="O32" s="58" t="e">
        <f>Links!B32</f>
        <v>#DIV/0!</v>
      </c>
      <c r="P32" s="58" t="e">
        <f>Links!C32+'On-Ramps'!AC32</f>
        <v>#DIV/0!</v>
      </c>
      <c r="Q32" s="58" t="e">
        <f>Links!D32</f>
        <v>#DIV/0!</v>
      </c>
      <c r="R32" s="58" t="e">
        <f>Links!E32+'On-Ramps'!AD32</f>
        <v>#DIV/0!</v>
      </c>
      <c r="S32" s="58" t="e">
        <f>Links!F32+'On-Ramps'!AE32</f>
        <v>#DIV/0!</v>
      </c>
      <c r="T32" s="58" t="e">
        <f>Links!I32+'On-Ramps'!AF32</f>
        <v>#DIV/0!</v>
      </c>
      <c r="U32" s="58" t="e">
        <f>Links!J32+'On-Ramps'!AG32</f>
        <v>#DIV/0!</v>
      </c>
      <c r="V32" s="58" t="e">
        <f>Links!L32+'On-Ramps'!AH32</f>
        <v>#DIV/0!</v>
      </c>
      <c r="W32" s="58" t="e">
        <f>Links!M32+'On-Ramps'!AI32</f>
        <v>#DIV/0!</v>
      </c>
      <c r="X32" s="58" t="e">
        <f>Links!P32+'On-Ramps'!AJ32</f>
        <v>#DIV/0!</v>
      </c>
      <c r="Y32" s="58" t="e">
        <f>Links!Q32</f>
        <v>#DIV/0!</v>
      </c>
      <c r="Z32" s="58" t="e">
        <f>Links!R32+'On-Ramps'!AK32</f>
        <v>#DIV/0!</v>
      </c>
      <c r="AA32" s="58" t="e">
        <f>Links!S32</f>
        <v>#DIV/0!</v>
      </c>
      <c r="AB32" s="57" t="e">
        <f t="shared" si="16"/>
        <v>#VALUE!</v>
      </c>
      <c r="AC32" s="63"/>
      <c r="AD32" s="57" t="e">
        <f t="shared" si="17"/>
        <v>#DIV/0!</v>
      </c>
      <c r="AE32" s="63"/>
      <c r="AF32" s="57" t="e">
        <f t="shared" si="18"/>
        <v>#DIV/0!</v>
      </c>
      <c r="AG32" s="57" t="e">
        <f t="shared" si="19"/>
        <v>#DIV/0!</v>
      </c>
      <c r="AH32" s="57" t="e">
        <f t="shared" si="20"/>
        <v>#DIV/0!</v>
      </c>
      <c r="AI32" s="57" t="e">
        <f t="shared" si="21"/>
        <v>#DIV/0!</v>
      </c>
      <c r="AJ32" s="57" t="e">
        <f t="shared" si="22"/>
        <v>#DIV/0!</v>
      </c>
      <c r="AK32" s="57" t="e">
        <f t="shared" si="23"/>
        <v>#DIV/0!</v>
      </c>
      <c r="AL32" s="57" t="e">
        <f t="shared" si="24"/>
        <v>#DIV/0!</v>
      </c>
      <c r="AM32" s="63"/>
      <c r="AN32" s="57" t="e">
        <f t="shared" si="26"/>
        <v>#DIV/0!</v>
      </c>
      <c r="AO32" s="58" t="e">
        <f t="shared" si="25"/>
        <v>#VALUE!</v>
      </c>
      <c r="AP32" s="63"/>
      <c r="AQ32" s="58" t="e">
        <f t="shared" si="25"/>
        <v>#DIV/0!</v>
      </c>
      <c r="AR32" s="63"/>
      <c r="AS32" s="58" t="e">
        <f t="shared" si="25"/>
        <v>#DIV/0!</v>
      </c>
      <c r="AT32" s="58" t="e">
        <f t="shared" si="25"/>
        <v>#DIV/0!</v>
      </c>
      <c r="AU32" s="58" t="e">
        <f t="shared" si="25"/>
        <v>#DIV/0!</v>
      </c>
      <c r="AV32" s="58" t="e">
        <f t="shared" si="25"/>
        <v>#DIV/0!</v>
      </c>
      <c r="AW32" s="58" t="e">
        <f t="shared" si="25"/>
        <v>#DIV/0!</v>
      </c>
      <c r="AX32" s="58" t="e">
        <f t="shared" si="25"/>
        <v>#DIV/0!</v>
      </c>
      <c r="AY32" s="58" t="e">
        <f t="shared" si="25"/>
        <v>#DIV/0!</v>
      </c>
      <c r="AZ32" s="63"/>
      <c r="BA32" s="58" t="e">
        <f t="shared" si="25"/>
        <v>#DIV/0!</v>
      </c>
      <c r="BB32" s="63"/>
      <c r="BC32" s="57" t="e">
        <f>(Links!C32*Links!AQ32+'On-Ramps'!AC32*'On-Ramps'!CE32)/('On-Ramps'!AC32+Links!C32)</f>
        <v>#DIV/0!</v>
      </c>
      <c r="BD32" s="63"/>
      <c r="BE32" s="57" t="e">
        <f>(Links!E32*Links!AS32+'On-Ramps'!AD32*'On-Ramps'!CF31)/('On-Ramps'!AD32+Links!E32)</f>
        <v>#DIV/0!</v>
      </c>
      <c r="BF32" s="57" t="e">
        <f>(Links!F32*Links!AT32+'On-Ramps'!AE32*'On-Ramps'!CG32)/('On-Ramps'!AE32+Links!F32)</f>
        <v>#DIV/0!</v>
      </c>
      <c r="BG32" s="57" t="e">
        <f>(Links!I32*Links!AW32+'On-Ramps'!AF32*'On-Ramps'!CH32)/('On-Ramps'!AF32+Links!I32)</f>
        <v>#DIV/0!</v>
      </c>
      <c r="BH32" s="57" t="e">
        <f>(#REF!*#REF!+'On-Ramps'!AG32*'On-Ramps'!CI32)/('On-Ramps'!AG32+#REF!)</f>
        <v>#REF!</v>
      </c>
      <c r="BI32" s="57" t="e">
        <f>(Links!L32*Links!AZ32+'On-Ramps'!AH32*'On-Ramps'!CJ32)/('On-Ramps'!AH32+Links!L32)</f>
        <v>#DIV/0!</v>
      </c>
      <c r="BJ32" s="57" t="e">
        <f>(Links!BA32*Links!M32+'On-Ramps'!AI32*'On-Ramps'!CK32)/('On-Ramps'!AI32+Links!M32)</f>
        <v>#DIV/0!</v>
      </c>
      <c r="BK32" s="57" t="e">
        <f>(Links!S32*Links!BG32+'On-Ramps'!AJ32*'On-Ramps'!CL32)/('On-Ramps'!AJ32+Links!S32)</f>
        <v>#DIV/0!</v>
      </c>
      <c r="BL32" s="63"/>
      <c r="BM32" s="57" t="e">
        <f>(Links!S32*Links!BG32+'On-Ramps'!AL32*'On-Ramps'!CM32)/(Links!S32+'On-Ramps'!AL32)</f>
        <v>#DIV/0!</v>
      </c>
      <c r="BN32" s="63"/>
      <c r="BO32" s="58" t="e">
        <f>(Links!W32^2+'Off-Ramp'!L32^2)/(Links!W32+'Off-Ramp'!L32)</f>
        <v>#DIV/0!</v>
      </c>
      <c r="BP32" s="63"/>
      <c r="BQ32" s="58" t="e">
        <f>(Links!Y32^2+'Off-Ramp'!C32^2)/(Links!Y32+'Off-Ramp'!C32)</f>
        <v>#DIV/0!</v>
      </c>
      <c r="BR32" s="63"/>
      <c r="BS32" s="58" t="e">
        <f>(Links!AA32^2+'Off-Ramp'!N32^2)/(Links!AA32+'Off-Ramp'!N32)</f>
        <v>#DIV/0!</v>
      </c>
      <c r="BT32" s="58" t="e">
        <f>(Links!AD32^2+'Off-Ramp'!O32^2)/(Links!AD32+'Off-Ramp'!O32)</f>
        <v>#DIV/0!</v>
      </c>
      <c r="BU32" s="58" t="e">
        <f>(Links!AE32^2+'Off-Ramp'!V32^2+'Off-Ramp'!W32^2+'Off-Ramp'!X32^2)/(Links!AE32+'Off-Ramp'!V32+'Off-Ramp'!W32+'Off-Ramp'!X32)</f>
        <v>#DIV/0!</v>
      </c>
      <c r="BV32" s="58" t="e">
        <f>(Links!AG32^2+'Off-Ramp'!Y32^2+'Off-Ramp'!Z32^2+'Off-Ramp'!AA32^2)/(Links!AG32+'Off-Ramp'!Y32+'Off-Ramp'!Z32+'Off-Ramp'!AA32)</f>
        <v>#DIV/0!</v>
      </c>
      <c r="BW32" s="58" t="e">
        <f>(Links!AH32^2+'Off-Ramp'!R32^2)/(Links!AH32+'Off-Ramp'!R32)</f>
        <v>#DIV/0!</v>
      </c>
      <c r="BX32" s="58" t="e">
        <f>(Links!AK32^2+'Off-Ramp'!S32^2)/(Links!AK32+'Off-Ramp'!S32)</f>
        <v>#DIV/0!</v>
      </c>
      <c r="BY32" s="58" t="e">
        <f>(Links!AL32^2+'Off-Ramp'!T32^2)/(Links!AL32+'Off-Ramp'!T32)</f>
        <v>#DIV/0!</v>
      </c>
      <c r="BZ32" s="63"/>
      <c r="CA32" s="58" t="e">
        <f>(Links!AN32^2+'Off-Ramp'!U32^2)/(Links!AN32+'Off-Ramp'!U32)</f>
        <v>#DIV/0!</v>
      </c>
    </row>
    <row r="33" spans="1:79" x14ac:dyDescent="0.15">
      <c r="A33" s="56">
        <v>31</v>
      </c>
      <c r="B33" s="57" t="e">
        <f t="shared" si="1"/>
        <v>#DIV/0!</v>
      </c>
      <c r="C33" s="57" t="e">
        <f t="shared" si="2"/>
        <v>#DIV/0!</v>
      </c>
      <c r="D33" s="57" t="e">
        <f t="shared" si="3"/>
        <v>#DIV/0!</v>
      </c>
      <c r="E33" s="57" t="e">
        <f t="shared" si="4"/>
        <v>#DIV/0!</v>
      </c>
      <c r="F33" s="57" t="e">
        <f t="shared" si="5"/>
        <v>#DIV/0!</v>
      </c>
      <c r="G33" s="57" t="e">
        <f t="shared" si="6"/>
        <v>#DIV/0!</v>
      </c>
      <c r="H33" s="57" t="e">
        <f t="shared" si="7"/>
        <v>#DIV/0!</v>
      </c>
      <c r="I33" s="57" t="e">
        <f t="shared" si="8"/>
        <v>#DIV/0!</v>
      </c>
      <c r="J33" s="57" t="e">
        <f t="shared" si="9"/>
        <v>#DIV/0!</v>
      </c>
      <c r="K33" s="57" t="e">
        <f t="shared" si="10"/>
        <v>#DIV/0!</v>
      </c>
      <c r="L33" s="57" t="e">
        <f t="shared" si="11"/>
        <v>#DIV/0!</v>
      </c>
      <c r="M33" s="57" t="e">
        <f t="shared" si="12"/>
        <v>#DIV/0!</v>
      </c>
      <c r="N33" s="57" t="e">
        <f t="shared" si="13"/>
        <v>#DIV/0!</v>
      </c>
      <c r="O33" s="58" t="e">
        <f>Links!B33</f>
        <v>#DIV/0!</v>
      </c>
      <c r="P33" s="58" t="e">
        <f>Links!C33+'On-Ramps'!AC33</f>
        <v>#DIV/0!</v>
      </c>
      <c r="Q33" s="58" t="e">
        <f>Links!D33</f>
        <v>#DIV/0!</v>
      </c>
      <c r="R33" s="58" t="e">
        <f>Links!E33+'On-Ramps'!AD33</f>
        <v>#DIV/0!</v>
      </c>
      <c r="S33" s="58" t="e">
        <f>Links!F33+'On-Ramps'!AE33</f>
        <v>#DIV/0!</v>
      </c>
      <c r="T33" s="58" t="e">
        <f>Links!I33+'On-Ramps'!AF33</f>
        <v>#DIV/0!</v>
      </c>
      <c r="U33" s="58" t="e">
        <f>Links!J33+'On-Ramps'!AG33</f>
        <v>#DIV/0!</v>
      </c>
      <c r="V33" s="58" t="e">
        <f>Links!L33+'On-Ramps'!AH33</f>
        <v>#DIV/0!</v>
      </c>
      <c r="W33" s="58" t="e">
        <f>Links!M33+'On-Ramps'!AI33</f>
        <v>#DIV/0!</v>
      </c>
      <c r="X33" s="58" t="e">
        <f>Links!P33+'On-Ramps'!AJ33</f>
        <v>#DIV/0!</v>
      </c>
      <c r="Y33" s="58" t="e">
        <f>Links!Q33</f>
        <v>#DIV/0!</v>
      </c>
      <c r="Z33" s="58" t="e">
        <f>Links!R33+'On-Ramps'!AK33</f>
        <v>#DIV/0!</v>
      </c>
      <c r="AA33" s="58" t="e">
        <f>Links!S33</f>
        <v>#DIV/0!</v>
      </c>
      <c r="AB33" s="57" t="e">
        <f t="shared" si="16"/>
        <v>#VALUE!</v>
      </c>
      <c r="AC33" s="63"/>
      <c r="AD33" s="57" t="e">
        <f t="shared" si="17"/>
        <v>#DIV/0!</v>
      </c>
      <c r="AE33" s="63"/>
      <c r="AF33" s="57" t="e">
        <f t="shared" si="18"/>
        <v>#DIV/0!</v>
      </c>
      <c r="AG33" s="57" t="e">
        <f t="shared" si="19"/>
        <v>#DIV/0!</v>
      </c>
      <c r="AH33" s="57" t="e">
        <f t="shared" si="20"/>
        <v>#DIV/0!</v>
      </c>
      <c r="AI33" s="57" t="e">
        <f t="shared" si="21"/>
        <v>#DIV/0!</v>
      </c>
      <c r="AJ33" s="57" t="e">
        <f t="shared" si="22"/>
        <v>#DIV/0!</v>
      </c>
      <c r="AK33" s="57" t="e">
        <f t="shared" si="23"/>
        <v>#DIV/0!</v>
      </c>
      <c r="AL33" s="57" t="e">
        <f t="shared" si="24"/>
        <v>#DIV/0!</v>
      </c>
      <c r="AM33" s="63"/>
      <c r="AN33" s="57" t="e">
        <f t="shared" si="26"/>
        <v>#DIV/0!</v>
      </c>
      <c r="AO33" s="58" t="e">
        <f t="shared" si="25"/>
        <v>#VALUE!</v>
      </c>
      <c r="AP33" s="63"/>
      <c r="AQ33" s="58" t="e">
        <f t="shared" si="25"/>
        <v>#DIV/0!</v>
      </c>
      <c r="AR33" s="63"/>
      <c r="AS33" s="58" t="e">
        <f t="shared" si="25"/>
        <v>#DIV/0!</v>
      </c>
      <c r="AT33" s="58" t="e">
        <f t="shared" si="25"/>
        <v>#DIV/0!</v>
      </c>
      <c r="AU33" s="58" t="e">
        <f t="shared" si="25"/>
        <v>#DIV/0!</v>
      </c>
      <c r="AV33" s="58" t="e">
        <f t="shared" si="25"/>
        <v>#DIV/0!</v>
      </c>
      <c r="AW33" s="58" t="e">
        <f t="shared" si="25"/>
        <v>#DIV/0!</v>
      </c>
      <c r="AX33" s="58" t="e">
        <f t="shared" si="25"/>
        <v>#DIV/0!</v>
      </c>
      <c r="AY33" s="58" t="e">
        <f t="shared" si="25"/>
        <v>#DIV/0!</v>
      </c>
      <c r="AZ33" s="63"/>
      <c r="BA33" s="58" t="e">
        <f t="shared" si="25"/>
        <v>#DIV/0!</v>
      </c>
      <c r="BB33" s="63"/>
      <c r="BC33" s="57" t="e">
        <f>(Links!C33*Links!AQ33+'On-Ramps'!AC33*'On-Ramps'!CE33)/('On-Ramps'!AC33+Links!C33)</f>
        <v>#DIV/0!</v>
      </c>
      <c r="BD33" s="63"/>
      <c r="BE33" s="57" t="e">
        <f>(Links!E33*Links!AS33+'On-Ramps'!AD33*'On-Ramps'!CF32)/('On-Ramps'!AD33+Links!E33)</f>
        <v>#DIV/0!</v>
      </c>
      <c r="BF33" s="57" t="e">
        <f>(Links!F33*Links!AT33+'On-Ramps'!AE33*'On-Ramps'!CG33)/('On-Ramps'!AE33+Links!F33)</f>
        <v>#DIV/0!</v>
      </c>
      <c r="BG33" s="57" t="e">
        <f>(Links!I33*Links!AW33+'On-Ramps'!AF33*'On-Ramps'!CH33)/('On-Ramps'!AF33+Links!I33)</f>
        <v>#DIV/0!</v>
      </c>
      <c r="BH33" s="57" t="e">
        <f>(#REF!*#REF!+'On-Ramps'!AG33*'On-Ramps'!CI33)/('On-Ramps'!AG33+#REF!)</f>
        <v>#REF!</v>
      </c>
      <c r="BI33" s="57" t="e">
        <f>(Links!L33*Links!AZ33+'On-Ramps'!AH33*'On-Ramps'!CJ33)/('On-Ramps'!AH33+Links!L33)</f>
        <v>#DIV/0!</v>
      </c>
      <c r="BJ33" s="57" t="e">
        <f>(Links!BA33*Links!M33+'On-Ramps'!AI33*'On-Ramps'!CK33)/('On-Ramps'!AI33+Links!M33)</f>
        <v>#DIV/0!</v>
      </c>
      <c r="BK33" s="57" t="e">
        <f>(Links!S33*Links!BG33+'On-Ramps'!AJ33*'On-Ramps'!CL33)/('On-Ramps'!AJ33+Links!S33)</f>
        <v>#DIV/0!</v>
      </c>
      <c r="BL33" s="63"/>
      <c r="BM33" s="57" t="e">
        <f>(Links!S33*Links!BG33+'On-Ramps'!AL33*'On-Ramps'!CM33)/(Links!S33+'On-Ramps'!AL33)</f>
        <v>#DIV/0!</v>
      </c>
      <c r="BN33" s="63"/>
      <c r="BO33" s="58" t="e">
        <f>(Links!W33^2+'Off-Ramp'!L33^2)/(Links!W33+'Off-Ramp'!L33)</f>
        <v>#DIV/0!</v>
      </c>
      <c r="BP33" s="63"/>
      <c r="BQ33" s="58" t="e">
        <f>(Links!Y33^2+'Off-Ramp'!C33^2)/(Links!Y33+'Off-Ramp'!C33)</f>
        <v>#DIV/0!</v>
      </c>
      <c r="BR33" s="63"/>
      <c r="BS33" s="58" t="e">
        <f>(Links!AA33^2+'Off-Ramp'!N33^2)/(Links!AA33+'Off-Ramp'!N33)</f>
        <v>#DIV/0!</v>
      </c>
      <c r="BT33" s="58" t="e">
        <f>(Links!AD33^2+'Off-Ramp'!O33^2)/(Links!AD33+'Off-Ramp'!O33)</f>
        <v>#DIV/0!</v>
      </c>
      <c r="BU33" s="58" t="e">
        <f>(Links!AE33^2+'Off-Ramp'!V33^2+'Off-Ramp'!W33^2+'Off-Ramp'!X33^2)/(Links!AE33+'Off-Ramp'!V33+'Off-Ramp'!W33+'Off-Ramp'!X33)</f>
        <v>#DIV/0!</v>
      </c>
      <c r="BV33" s="58" t="e">
        <f>(Links!AG33^2+'Off-Ramp'!Y33^2+'Off-Ramp'!Z33^2+'Off-Ramp'!AA33^2)/(Links!AG33+'Off-Ramp'!Y33+'Off-Ramp'!Z33+'Off-Ramp'!AA33)</f>
        <v>#DIV/0!</v>
      </c>
      <c r="BW33" s="58" t="e">
        <f>(Links!AH33^2+'Off-Ramp'!R33^2)/(Links!AH33+'Off-Ramp'!R33)</f>
        <v>#DIV/0!</v>
      </c>
      <c r="BX33" s="58" t="e">
        <f>(Links!AK33^2+'Off-Ramp'!S33^2)/(Links!AK33+'Off-Ramp'!S33)</f>
        <v>#DIV/0!</v>
      </c>
      <c r="BY33" s="58" t="e">
        <f>(Links!AL33^2+'Off-Ramp'!T33^2)/(Links!AL33+'Off-Ramp'!T33)</f>
        <v>#DIV/0!</v>
      </c>
      <c r="BZ33" s="63"/>
      <c r="CA33" s="58" t="e">
        <f>(Links!AN33^2+'Off-Ramp'!U33^2)/(Links!AN33+'Off-Ramp'!U33)</f>
        <v>#DIV/0!</v>
      </c>
    </row>
    <row r="34" spans="1:79" x14ac:dyDescent="0.15">
      <c r="A34" s="56">
        <v>32</v>
      </c>
      <c r="B34" s="57" t="e">
        <f t="shared" si="1"/>
        <v>#DIV/0!</v>
      </c>
      <c r="C34" s="57" t="e">
        <f t="shared" si="2"/>
        <v>#DIV/0!</v>
      </c>
      <c r="D34" s="57" t="e">
        <f t="shared" si="3"/>
        <v>#DIV/0!</v>
      </c>
      <c r="E34" s="57" t="e">
        <f t="shared" si="4"/>
        <v>#DIV/0!</v>
      </c>
      <c r="F34" s="57" t="e">
        <f t="shared" si="5"/>
        <v>#DIV/0!</v>
      </c>
      <c r="G34" s="57" t="e">
        <f t="shared" si="6"/>
        <v>#DIV/0!</v>
      </c>
      <c r="H34" s="57" t="e">
        <f t="shared" si="7"/>
        <v>#DIV/0!</v>
      </c>
      <c r="I34" s="57" t="e">
        <f t="shared" si="8"/>
        <v>#DIV/0!</v>
      </c>
      <c r="J34" s="57" t="e">
        <f t="shared" si="9"/>
        <v>#DIV/0!</v>
      </c>
      <c r="K34" s="57" t="e">
        <f t="shared" si="10"/>
        <v>#DIV/0!</v>
      </c>
      <c r="L34" s="57" t="e">
        <f t="shared" si="11"/>
        <v>#DIV/0!</v>
      </c>
      <c r="M34" s="57" t="e">
        <f t="shared" si="12"/>
        <v>#DIV/0!</v>
      </c>
      <c r="N34" s="57" t="e">
        <f t="shared" si="13"/>
        <v>#DIV/0!</v>
      </c>
      <c r="O34" s="58" t="e">
        <f>Links!B34</f>
        <v>#DIV/0!</v>
      </c>
      <c r="P34" s="58" t="e">
        <f>Links!C34+'On-Ramps'!AC34</f>
        <v>#DIV/0!</v>
      </c>
      <c r="Q34" s="58" t="e">
        <f>Links!D34</f>
        <v>#DIV/0!</v>
      </c>
      <c r="R34" s="58" t="e">
        <f>Links!E34+'On-Ramps'!AD34</f>
        <v>#DIV/0!</v>
      </c>
      <c r="S34" s="58" t="e">
        <f>Links!F34+'On-Ramps'!AE34</f>
        <v>#DIV/0!</v>
      </c>
      <c r="T34" s="58" t="e">
        <f>Links!I34+'On-Ramps'!AF34</f>
        <v>#DIV/0!</v>
      </c>
      <c r="U34" s="58" t="e">
        <f>Links!J34+'On-Ramps'!AG34</f>
        <v>#DIV/0!</v>
      </c>
      <c r="V34" s="58" t="e">
        <f>Links!L34+'On-Ramps'!AH34</f>
        <v>#DIV/0!</v>
      </c>
      <c r="W34" s="58" t="e">
        <f>Links!M34+'On-Ramps'!AI34</f>
        <v>#DIV/0!</v>
      </c>
      <c r="X34" s="58" t="e">
        <f>Links!P34+'On-Ramps'!AJ34</f>
        <v>#DIV/0!</v>
      </c>
      <c r="Y34" s="58" t="e">
        <f>Links!Q34</f>
        <v>#DIV/0!</v>
      </c>
      <c r="Z34" s="58" t="e">
        <f>Links!R34+'On-Ramps'!AK34</f>
        <v>#DIV/0!</v>
      </c>
      <c r="AA34" s="58" t="e">
        <f>Links!S34</f>
        <v>#DIV/0!</v>
      </c>
      <c r="AB34" s="57" t="e">
        <f t="shared" si="16"/>
        <v>#VALUE!</v>
      </c>
      <c r="AC34" s="63"/>
      <c r="AD34" s="57" t="e">
        <f t="shared" si="17"/>
        <v>#DIV/0!</v>
      </c>
      <c r="AE34" s="63"/>
      <c r="AF34" s="57" t="e">
        <f t="shared" si="18"/>
        <v>#DIV/0!</v>
      </c>
      <c r="AG34" s="57" t="e">
        <f t="shared" si="19"/>
        <v>#DIV/0!</v>
      </c>
      <c r="AH34" s="57" t="e">
        <f t="shared" si="20"/>
        <v>#DIV/0!</v>
      </c>
      <c r="AI34" s="57" t="e">
        <f t="shared" si="21"/>
        <v>#DIV/0!</v>
      </c>
      <c r="AJ34" s="57" t="e">
        <f t="shared" si="22"/>
        <v>#DIV/0!</v>
      </c>
      <c r="AK34" s="57" t="e">
        <f t="shared" si="23"/>
        <v>#DIV/0!</v>
      </c>
      <c r="AL34" s="57" t="e">
        <f t="shared" si="24"/>
        <v>#DIV/0!</v>
      </c>
      <c r="AM34" s="63"/>
      <c r="AN34" s="57" t="e">
        <f t="shared" si="26"/>
        <v>#DIV/0!</v>
      </c>
      <c r="AO34" s="58" t="e">
        <f t="shared" si="25"/>
        <v>#VALUE!</v>
      </c>
      <c r="AP34" s="63"/>
      <c r="AQ34" s="58" t="e">
        <f t="shared" si="25"/>
        <v>#DIV/0!</v>
      </c>
      <c r="AR34" s="63"/>
      <c r="AS34" s="58" t="e">
        <f t="shared" si="25"/>
        <v>#DIV/0!</v>
      </c>
      <c r="AT34" s="58" t="e">
        <f t="shared" si="25"/>
        <v>#DIV/0!</v>
      </c>
      <c r="AU34" s="58" t="e">
        <f t="shared" si="25"/>
        <v>#DIV/0!</v>
      </c>
      <c r="AV34" s="58" t="e">
        <f t="shared" si="25"/>
        <v>#DIV/0!</v>
      </c>
      <c r="AW34" s="58" t="e">
        <f t="shared" si="25"/>
        <v>#DIV/0!</v>
      </c>
      <c r="AX34" s="58" t="e">
        <f t="shared" si="25"/>
        <v>#DIV/0!</v>
      </c>
      <c r="AY34" s="58" t="e">
        <f t="shared" si="25"/>
        <v>#DIV/0!</v>
      </c>
      <c r="AZ34" s="63"/>
      <c r="BA34" s="58" t="e">
        <f t="shared" si="25"/>
        <v>#DIV/0!</v>
      </c>
      <c r="BB34" s="63"/>
      <c r="BC34" s="57" t="e">
        <f>(Links!C34*Links!AQ34+'On-Ramps'!AC34*'On-Ramps'!CE34)/('On-Ramps'!AC34+Links!C34)</f>
        <v>#DIV/0!</v>
      </c>
      <c r="BD34" s="63"/>
      <c r="BE34" s="57" t="e">
        <f>(Links!E34*Links!AS34+'On-Ramps'!AD34*'On-Ramps'!CF33)/('On-Ramps'!AD34+Links!E34)</f>
        <v>#DIV/0!</v>
      </c>
      <c r="BF34" s="57" t="e">
        <f>(Links!F34*Links!AT34+'On-Ramps'!AE34*'On-Ramps'!CG34)/('On-Ramps'!AE34+Links!F34)</f>
        <v>#DIV/0!</v>
      </c>
      <c r="BG34" s="57" t="e">
        <f>(Links!I34*Links!AW34+'On-Ramps'!AF34*'On-Ramps'!CH34)/('On-Ramps'!AF34+Links!I34)</f>
        <v>#DIV/0!</v>
      </c>
      <c r="BH34" s="57" t="e">
        <f>(#REF!*#REF!+'On-Ramps'!AG34*'On-Ramps'!CI34)/('On-Ramps'!AG34+#REF!)</f>
        <v>#REF!</v>
      </c>
      <c r="BI34" s="57" t="e">
        <f>(Links!L34*Links!AZ34+'On-Ramps'!AH34*'On-Ramps'!CJ34)/('On-Ramps'!AH34+Links!L34)</f>
        <v>#DIV/0!</v>
      </c>
      <c r="BJ34" s="57" t="e">
        <f>(Links!BA34*Links!M34+'On-Ramps'!AI34*'On-Ramps'!CK34)/('On-Ramps'!AI34+Links!M34)</f>
        <v>#DIV/0!</v>
      </c>
      <c r="BK34" s="57" t="e">
        <f>(Links!S34*Links!BG34+'On-Ramps'!AJ34*'On-Ramps'!CL34)/('On-Ramps'!AJ34+Links!S34)</f>
        <v>#DIV/0!</v>
      </c>
      <c r="BL34" s="63"/>
      <c r="BM34" s="57" t="e">
        <f>(Links!S34*Links!BG34+'On-Ramps'!AL34*'On-Ramps'!CM34)/(Links!S34+'On-Ramps'!AL34)</f>
        <v>#DIV/0!</v>
      </c>
      <c r="BN34" s="63"/>
      <c r="BO34" s="58" t="e">
        <f>(Links!W34^2+'Off-Ramp'!L34^2)/(Links!W34+'Off-Ramp'!L34)</f>
        <v>#DIV/0!</v>
      </c>
      <c r="BP34" s="63"/>
      <c r="BQ34" s="58" t="e">
        <f>(Links!Y34^2+'Off-Ramp'!C34^2)/(Links!Y34+'Off-Ramp'!C34)</f>
        <v>#DIV/0!</v>
      </c>
      <c r="BR34" s="63"/>
      <c r="BS34" s="58" t="e">
        <f>(Links!AA34^2+'Off-Ramp'!N34^2)/(Links!AA34+'Off-Ramp'!N34)</f>
        <v>#DIV/0!</v>
      </c>
      <c r="BT34" s="58" t="e">
        <f>(Links!AD34^2+'Off-Ramp'!O34^2)/(Links!AD34+'Off-Ramp'!O34)</f>
        <v>#DIV/0!</v>
      </c>
      <c r="BU34" s="58" t="e">
        <f>(Links!AE34^2+'Off-Ramp'!V34^2+'Off-Ramp'!W34^2+'Off-Ramp'!X34^2)/(Links!AE34+'Off-Ramp'!V34+'Off-Ramp'!W34+'Off-Ramp'!X34)</f>
        <v>#DIV/0!</v>
      </c>
      <c r="BV34" s="58" t="e">
        <f>(Links!AG34^2+'Off-Ramp'!Y34^2+'Off-Ramp'!Z34^2+'Off-Ramp'!AA34^2)/(Links!AG34+'Off-Ramp'!Y34+'Off-Ramp'!Z34+'Off-Ramp'!AA34)</f>
        <v>#DIV/0!</v>
      </c>
      <c r="BW34" s="58" t="e">
        <f>(Links!AH34^2+'Off-Ramp'!R34^2)/(Links!AH34+'Off-Ramp'!R34)</f>
        <v>#DIV/0!</v>
      </c>
      <c r="BX34" s="58" t="e">
        <f>(Links!AK34^2+'Off-Ramp'!S34^2)/(Links!AK34+'Off-Ramp'!S34)</f>
        <v>#DIV/0!</v>
      </c>
      <c r="BY34" s="58" t="e">
        <f>(Links!AL34^2+'Off-Ramp'!T34^2)/(Links!AL34+'Off-Ramp'!T34)</f>
        <v>#DIV/0!</v>
      </c>
      <c r="BZ34" s="63"/>
      <c r="CA34" s="58" t="e">
        <f>(Links!AN34^2+'Off-Ramp'!U34^2)/(Links!AN34+'Off-Ramp'!U34)</f>
        <v>#DIV/0!</v>
      </c>
    </row>
    <row r="35" spans="1:79" x14ac:dyDescent="0.15">
      <c r="A35" s="56">
        <v>33</v>
      </c>
      <c r="B35" s="57" t="e">
        <f t="shared" si="1"/>
        <v>#DIV/0!</v>
      </c>
      <c r="C35" s="57" t="e">
        <f t="shared" si="2"/>
        <v>#DIV/0!</v>
      </c>
      <c r="D35" s="57" t="e">
        <f t="shared" si="3"/>
        <v>#DIV/0!</v>
      </c>
      <c r="E35" s="57" t="e">
        <f t="shared" si="4"/>
        <v>#DIV/0!</v>
      </c>
      <c r="F35" s="57" t="e">
        <f t="shared" si="5"/>
        <v>#DIV/0!</v>
      </c>
      <c r="G35" s="57" t="e">
        <f t="shared" si="6"/>
        <v>#DIV/0!</v>
      </c>
      <c r="H35" s="57" t="e">
        <f t="shared" si="7"/>
        <v>#DIV/0!</v>
      </c>
      <c r="I35" s="57" t="e">
        <f t="shared" si="8"/>
        <v>#DIV/0!</v>
      </c>
      <c r="J35" s="57" t="e">
        <f t="shared" si="9"/>
        <v>#DIV/0!</v>
      </c>
      <c r="K35" s="57" t="e">
        <f t="shared" si="10"/>
        <v>#DIV/0!</v>
      </c>
      <c r="L35" s="57" t="e">
        <f t="shared" si="11"/>
        <v>#DIV/0!</v>
      </c>
      <c r="M35" s="57" t="e">
        <f t="shared" si="12"/>
        <v>#DIV/0!</v>
      </c>
      <c r="N35" s="57" t="e">
        <f t="shared" si="13"/>
        <v>#DIV/0!</v>
      </c>
      <c r="O35" s="58" t="e">
        <f>Links!B35</f>
        <v>#DIV/0!</v>
      </c>
      <c r="P35" s="58" t="e">
        <f>Links!C35+'On-Ramps'!AC35</f>
        <v>#DIV/0!</v>
      </c>
      <c r="Q35" s="58" t="e">
        <f>Links!D35</f>
        <v>#DIV/0!</v>
      </c>
      <c r="R35" s="58" t="e">
        <f>Links!E35+'On-Ramps'!AD35</f>
        <v>#DIV/0!</v>
      </c>
      <c r="S35" s="58" t="e">
        <f>Links!F35+'On-Ramps'!AE35</f>
        <v>#DIV/0!</v>
      </c>
      <c r="T35" s="58" t="e">
        <f>Links!I35+'On-Ramps'!AF35</f>
        <v>#DIV/0!</v>
      </c>
      <c r="U35" s="58" t="e">
        <f>Links!J35+'On-Ramps'!AG35</f>
        <v>#DIV/0!</v>
      </c>
      <c r="V35" s="58" t="e">
        <f>Links!L35+'On-Ramps'!AH35</f>
        <v>#DIV/0!</v>
      </c>
      <c r="W35" s="58" t="e">
        <f>Links!M35+'On-Ramps'!AI35</f>
        <v>#DIV/0!</v>
      </c>
      <c r="X35" s="58" t="e">
        <f>Links!P35+'On-Ramps'!AJ35</f>
        <v>#DIV/0!</v>
      </c>
      <c r="Y35" s="58" t="e">
        <f>Links!Q35</f>
        <v>#DIV/0!</v>
      </c>
      <c r="Z35" s="58" t="e">
        <f>Links!R35+'On-Ramps'!AK35</f>
        <v>#DIV/0!</v>
      </c>
      <c r="AA35" s="58" t="e">
        <f>Links!S35</f>
        <v>#DIV/0!</v>
      </c>
      <c r="AB35" s="57" t="e">
        <f t="shared" si="16"/>
        <v>#VALUE!</v>
      </c>
      <c r="AC35" s="63"/>
      <c r="AD35" s="57" t="e">
        <f t="shared" si="17"/>
        <v>#DIV/0!</v>
      </c>
      <c r="AE35" s="63"/>
      <c r="AF35" s="57" t="e">
        <f t="shared" si="18"/>
        <v>#DIV/0!</v>
      </c>
      <c r="AG35" s="57" t="e">
        <f t="shared" si="19"/>
        <v>#DIV/0!</v>
      </c>
      <c r="AH35" s="57" t="e">
        <f t="shared" si="20"/>
        <v>#DIV/0!</v>
      </c>
      <c r="AI35" s="57" t="e">
        <f t="shared" si="21"/>
        <v>#DIV/0!</v>
      </c>
      <c r="AJ35" s="57" t="e">
        <f t="shared" si="22"/>
        <v>#DIV/0!</v>
      </c>
      <c r="AK35" s="57" t="e">
        <f t="shared" si="23"/>
        <v>#DIV/0!</v>
      </c>
      <c r="AL35" s="57" t="e">
        <f t="shared" si="24"/>
        <v>#DIV/0!</v>
      </c>
      <c r="AM35" s="63"/>
      <c r="AN35" s="57" t="e">
        <f t="shared" si="26"/>
        <v>#DIV/0!</v>
      </c>
      <c r="AO35" s="58" t="e">
        <f t="shared" si="25"/>
        <v>#VALUE!</v>
      </c>
      <c r="AP35" s="63"/>
      <c r="AQ35" s="58" t="e">
        <f t="shared" si="25"/>
        <v>#DIV/0!</v>
      </c>
      <c r="AR35" s="63"/>
      <c r="AS35" s="58" t="e">
        <f t="shared" si="25"/>
        <v>#DIV/0!</v>
      </c>
      <c r="AT35" s="58" t="e">
        <f t="shared" si="25"/>
        <v>#DIV/0!</v>
      </c>
      <c r="AU35" s="58" t="e">
        <f t="shared" si="25"/>
        <v>#DIV/0!</v>
      </c>
      <c r="AV35" s="58" t="e">
        <f t="shared" si="25"/>
        <v>#DIV/0!</v>
      </c>
      <c r="AW35" s="58" t="e">
        <f t="shared" si="25"/>
        <v>#DIV/0!</v>
      </c>
      <c r="AX35" s="58" t="e">
        <f t="shared" si="25"/>
        <v>#DIV/0!</v>
      </c>
      <c r="AY35" s="58" t="e">
        <f t="shared" si="25"/>
        <v>#DIV/0!</v>
      </c>
      <c r="AZ35" s="63"/>
      <c r="BA35" s="58" t="e">
        <f t="shared" si="25"/>
        <v>#DIV/0!</v>
      </c>
      <c r="BB35" s="63"/>
      <c r="BC35" s="57" t="e">
        <f>(Links!C35*Links!AQ35+'On-Ramps'!AC35*'On-Ramps'!CE35)/('On-Ramps'!AC35+Links!C35)</f>
        <v>#DIV/0!</v>
      </c>
      <c r="BD35" s="63"/>
      <c r="BE35" s="57" t="e">
        <f>(Links!E35*Links!AS35+'On-Ramps'!AD35*'On-Ramps'!CF34)/('On-Ramps'!AD35+Links!E35)</f>
        <v>#DIV/0!</v>
      </c>
      <c r="BF35" s="57" t="e">
        <f>(Links!F35*Links!AT35+'On-Ramps'!AE35*'On-Ramps'!CG35)/('On-Ramps'!AE35+Links!F35)</f>
        <v>#DIV/0!</v>
      </c>
      <c r="BG35" s="57" t="e">
        <f>(Links!I35*Links!AW35+'On-Ramps'!AF35*'On-Ramps'!CH35)/('On-Ramps'!AF35+Links!I35)</f>
        <v>#DIV/0!</v>
      </c>
      <c r="BH35" s="57" t="e">
        <f>(#REF!*#REF!+'On-Ramps'!AG35*'On-Ramps'!CI35)/('On-Ramps'!AG35+#REF!)</f>
        <v>#REF!</v>
      </c>
      <c r="BI35" s="57" t="e">
        <f>(Links!L35*Links!AZ35+'On-Ramps'!AH35*'On-Ramps'!CJ35)/('On-Ramps'!AH35+Links!L35)</f>
        <v>#DIV/0!</v>
      </c>
      <c r="BJ35" s="57" t="e">
        <f>(Links!BA35*Links!M35+'On-Ramps'!AI35*'On-Ramps'!CK35)/('On-Ramps'!AI35+Links!M35)</f>
        <v>#DIV/0!</v>
      </c>
      <c r="BK35" s="57" t="e">
        <f>(Links!S35*Links!BG35+'On-Ramps'!AJ35*'On-Ramps'!CL35)/('On-Ramps'!AJ35+Links!S35)</f>
        <v>#DIV/0!</v>
      </c>
      <c r="BL35" s="63"/>
      <c r="BM35" s="57" t="e">
        <f>(Links!S35*Links!BG35+'On-Ramps'!AL35*'On-Ramps'!CM35)/(Links!S35+'On-Ramps'!AL35)</f>
        <v>#DIV/0!</v>
      </c>
      <c r="BN35" s="63"/>
      <c r="BO35" s="58" t="e">
        <f>(Links!W35^2+'Off-Ramp'!L35^2)/(Links!W35+'Off-Ramp'!L35)</f>
        <v>#DIV/0!</v>
      </c>
      <c r="BP35" s="63"/>
      <c r="BQ35" s="58" t="e">
        <f>(Links!Y35^2+'Off-Ramp'!C35^2)/(Links!Y35+'Off-Ramp'!C35)</f>
        <v>#DIV/0!</v>
      </c>
      <c r="BR35" s="63"/>
      <c r="BS35" s="58" t="e">
        <f>(Links!AA35^2+'Off-Ramp'!N35^2)/(Links!AA35+'Off-Ramp'!N35)</f>
        <v>#DIV/0!</v>
      </c>
      <c r="BT35" s="58" t="e">
        <f>(Links!AD35^2+'Off-Ramp'!O35^2)/(Links!AD35+'Off-Ramp'!O35)</f>
        <v>#DIV/0!</v>
      </c>
      <c r="BU35" s="58" t="e">
        <f>(Links!AE35^2+'Off-Ramp'!V35^2+'Off-Ramp'!W35^2+'Off-Ramp'!X35^2)/(Links!AE35+'Off-Ramp'!V35+'Off-Ramp'!W35+'Off-Ramp'!X35)</f>
        <v>#DIV/0!</v>
      </c>
      <c r="BV35" s="58" t="e">
        <f>(Links!AG35^2+'Off-Ramp'!Y35^2+'Off-Ramp'!Z35^2+'Off-Ramp'!AA35^2)/(Links!AG35+'Off-Ramp'!Y35+'Off-Ramp'!Z35+'Off-Ramp'!AA35)</f>
        <v>#DIV/0!</v>
      </c>
      <c r="BW35" s="58" t="e">
        <f>(Links!AH35^2+'Off-Ramp'!R35^2)/(Links!AH35+'Off-Ramp'!R35)</f>
        <v>#DIV/0!</v>
      </c>
      <c r="BX35" s="58" t="e">
        <f>(Links!AK35^2+'Off-Ramp'!S35^2)/(Links!AK35+'Off-Ramp'!S35)</f>
        <v>#DIV/0!</v>
      </c>
      <c r="BY35" s="58" t="e">
        <f>(Links!AL35^2+'Off-Ramp'!T35^2)/(Links!AL35+'Off-Ramp'!T35)</f>
        <v>#DIV/0!</v>
      </c>
      <c r="BZ35" s="63"/>
      <c r="CA35" s="58" t="e">
        <f>(Links!AN35^2+'Off-Ramp'!U35^2)/(Links!AN35+'Off-Ramp'!U35)</f>
        <v>#DIV/0!</v>
      </c>
    </row>
    <row r="36" spans="1:79" x14ac:dyDescent="0.15">
      <c r="A36" s="56">
        <v>34</v>
      </c>
      <c r="B36" s="57" t="e">
        <f t="shared" si="1"/>
        <v>#DIV/0!</v>
      </c>
      <c r="C36" s="57" t="e">
        <f t="shared" si="2"/>
        <v>#DIV/0!</v>
      </c>
      <c r="D36" s="57" t="e">
        <f t="shared" si="3"/>
        <v>#DIV/0!</v>
      </c>
      <c r="E36" s="57" t="e">
        <f t="shared" si="4"/>
        <v>#DIV/0!</v>
      </c>
      <c r="F36" s="57" t="e">
        <f t="shared" si="5"/>
        <v>#DIV/0!</v>
      </c>
      <c r="G36" s="57" t="e">
        <f t="shared" si="6"/>
        <v>#DIV/0!</v>
      </c>
      <c r="H36" s="57" t="e">
        <f t="shared" si="7"/>
        <v>#DIV/0!</v>
      </c>
      <c r="I36" s="57" t="e">
        <f t="shared" si="8"/>
        <v>#DIV/0!</v>
      </c>
      <c r="J36" s="57" t="e">
        <f t="shared" si="9"/>
        <v>#DIV/0!</v>
      </c>
      <c r="K36" s="57" t="e">
        <f t="shared" si="10"/>
        <v>#DIV/0!</v>
      </c>
      <c r="L36" s="57" t="e">
        <f t="shared" si="11"/>
        <v>#DIV/0!</v>
      </c>
      <c r="M36" s="57" t="e">
        <f t="shared" si="12"/>
        <v>#DIV/0!</v>
      </c>
      <c r="N36" s="57" t="e">
        <f t="shared" si="13"/>
        <v>#DIV/0!</v>
      </c>
      <c r="O36" s="58" t="e">
        <f>Links!B36</f>
        <v>#DIV/0!</v>
      </c>
      <c r="P36" s="58" t="e">
        <f>Links!C36+'On-Ramps'!AC36</f>
        <v>#DIV/0!</v>
      </c>
      <c r="Q36" s="58" t="e">
        <f>Links!D36</f>
        <v>#DIV/0!</v>
      </c>
      <c r="R36" s="58" t="e">
        <f>Links!E36+'On-Ramps'!AD36</f>
        <v>#DIV/0!</v>
      </c>
      <c r="S36" s="58" t="e">
        <f>Links!F36+'On-Ramps'!AE36</f>
        <v>#DIV/0!</v>
      </c>
      <c r="T36" s="58" t="e">
        <f>Links!I36+'On-Ramps'!AF36</f>
        <v>#DIV/0!</v>
      </c>
      <c r="U36" s="58" t="e">
        <f>Links!J36+'On-Ramps'!AG36</f>
        <v>#DIV/0!</v>
      </c>
      <c r="V36" s="58" t="e">
        <f>Links!L36+'On-Ramps'!AH36</f>
        <v>#DIV/0!</v>
      </c>
      <c r="W36" s="58" t="e">
        <f>Links!M36+'On-Ramps'!AI36</f>
        <v>#DIV/0!</v>
      </c>
      <c r="X36" s="58" t="e">
        <f>Links!P36+'On-Ramps'!AJ36</f>
        <v>#DIV/0!</v>
      </c>
      <c r="Y36" s="58" t="e">
        <f>Links!Q36</f>
        <v>#DIV/0!</v>
      </c>
      <c r="Z36" s="58" t="e">
        <f>Links!R36+'On-Ramps'!AK36</f>
        <v>#DIV/0!</v>
      </c>
      <c r="AA36" s="58" t="e">
        <f>Links!S36</f>
        <v>#DIV/0!</v>
      </c>
      <c r="AB36" s="57" t="e">
        <f t="shared" si="16"/>
        <v>#VALUE!</v>
      </c>
      <c r="AC36" s="63"/>
      <c r="AD36" s="57" t="e">
        <f t="shared" si="17"/>
        <v>#DIV/0!</v>
      </c>
      <c r="AE36" s="63"/>
      <c r="AF36" s="57" t="e">
        <f t="shared" si="18"/>
        <v>#DIV/0!</v>
      </c>
      <c r="AG36" s="57" t="e">
        <f t="shared" si="19"/>
        <v>#DIV/0!</v>
      </c>
      <c r="AH36" s="57" t="e">
        <f t="shared" si="20"/>
        <v>#DIV/0!</v>
      </c>
      <c r="AI36" s="57" t="e">
        <f t="shared" si="21"/>
        <v>#DIV/0!</v>
      </c>
      <c r="AJ36" s="57" t="e">
        <f t="shared" si="22"/>
        <v>#DIV/0!</v>
      </c>
      <c r="AK36" s="57" t="e">
        <f t="shared" si="23"/>
        <v>#DIV/0!</v>
      </c>
      <c r="AL36" s="57" t="e">
        <f t="shared" si="24"/>
        <v>#DIV/0!</v>
      </c>
      <c r="AM36" s="63"/>
      <c r="AN36" s="57" t="e">
        <f t="shared" si="26"/>
        <v>#DIV/0!</v>
      </c>
      <c r="AO36" s="58" t="e">
        <f t="shared" si="25"/>
        <v>#VALUE!</v>
      </c>
      <c r="AP36" s="63"/>
      <c r="AQ36" s="58" t="e">
        <f t="shared" si="25"/>
        <v>#DIV/0!</v>
      </c>
      <c r="AR36" s="63"/>
      <c r="AS36" s="58" t="e">
        <f t="shared" si="25"/>
        <v>#DIV/0!</v>
      </c>
      <c r="AT36" s="58" t="e">
        <f t="shared" si="25"/>
        <v>#DIV/0!</v>
      </c>
      <c r="AU36" s="58" t="e">
        <f t="shared" si="25"/>
        <v>#DIV/0!</v>
      </c>
      <c r="AV36" s="58" t="e">
        <f t="shared" si="25"/>
        <v>#DIV/0!</v>
      </c>
      <c r="AW36" s="58" t="e">
        <f t="shared" si="25"/>
        <v>#DIV/0!</v>
      </c>
      <c r="AX36" s="58" t="e">
        <f t="shared" si="25"/>
        <v>#DIV/0!</v>
      </c>
      <c r="AY36" s="58" t="e">
        <f t="shared" si="25"/>
        <v>#DIV/0!</v>
      </c>
      <c r="AZ36" s="63"/>
      <c r="BA36" s="58" t="e">
        <f t="shared" si="25"/>
        <v>#DIV/0!</v>
      </c>
      <c r="BB36" s="63"/>
      <c r="BC36" s="57" t="e">
        <f>(Links!C36*Links!AQ36+'On-Ramps'!AC36*'On-Ramps'!CE36)/('On-Ramps'!AC36+Links!C36)</f>
        <v>#DIV/0!</v>
      </c>
      <c r="BD36" s="63"/>
      <c r="BE36" s="57" t="e">
        <f>(Links!E36*Links!AS36+'On-Ramps'!AD36*'On-Ramps'!CF35)/('On-Ramps'!AD36+Links!E36)</f>
        <v>#DIV/0!</v>
      </c>
      <c r="BF36" s="57" t="e">
        <f>(Links!F36*Links!AT36+'On-Ramps'!AE36*'On-Ramps'!CG36)/('On-Ramps'!AE36+Links!F36)</f>
        <v>#DIV/0!</v>
      </c>
      <c r="BG36" s="57" t="e">
        <f>(Links!I36*Links!AW36+'On-Ramps'!AF36*'On-Ramps'!CH36)/('On-Ramps'!AF36+Links!I36)</f>
        <v>#DIV/0!</v>
      </c>
      <c r="BH36" s="57" t="e">
        <f>(#REF!*#REF!+'On-Ramps'!AG36*'On-Ramps'!CI36)/('On-Ramps'!AG36+#REF!)</f>
        <v>#REF!</v>
      </c>
      <c r="BI36" s="57" t="e">
        <f>(Links!L36*Links!AZ36+'On-Ramps'!AH36*'On-Ramps'!CJ36)/('On-Ramps'!AH36+Links!L36)</f>
        <v>#DIV/0!</v>
      </c>
      <c r="BJ36" s="57" t="e">
        <f>(Links!BA36*Links!M36+'On-Ramps'!AI36*'On-Ramps'!CK36)/('On-Ramps'!AI36+Links!M36)</f>
        <v>#DIV/0!</v>
      </c>
      <c r="BK36" s="57" t="e">
        <f>(Links!S36*Links!BG36+'On-Ramps'!AJ36*'On-Ramps'!CL36)/('On-Ramps'!AJ36+Links!S36)</f>
        <v>#DIV/0!</v>
      </c>
      <c r="BL36" s="63"/>
      <c r="BM36" s="57" t="e">
        <f>(Links!S36*Links!BG36+'On-Ramps'!AL36*'On-Ramps'!CM36)/(Links!S36+'On-Ramps'!AL36)</f>
        <v>#DIV/0!</v>
      </c>
      <c r="BN36" s="63"/>
      <c r="BO36" s="58" t="e">
        <f>(Links!W36^2+'Off-Ramp'!L36^2)/(Links!W36+'Off-Ramp'!L36)</f>
        <v>#DIV/0!</v>
      </c>
      <c r="BP36" s="63"/>
      <c r="BQ36" s="58" t="e">
        <f>(Links!Y36^2+'Off-Ramp'!C36^2)/(Links!Y36+'Off-Ramp'!C36)</f>
        <v>#DIV/0!</v>
      </c>
      <c r="BR36" s="63"/>
      <c r="BS36" s="58" t="e">
        <f>(Links!AA36^2+'Off-Ramp'!N36^2)/(Links!AA36+'Off-Ramp'!N36)</f>
        <v>#DIV/0!</v>
      </c>
      <c r="BT36" s="58" t="e">
        <f>(Links!AD36^2+'Off-Ramp'!O36^2)/(Links!AD36+'Off-Ramp'!O36)</f>
        <v>#DIV/0!</v>
      </c>
      <c r="BU36" s="58" t="e">
        <f>(Links!AE36^2+'Off-Ramp'!V36^2+'Off-Ramp'!W36^2+'Off-Ramp'!X36^2)/(Links!AE36+'Off-Ramp'!V36+'Off-Ramp'!W36+'Off-Ramp'!X36)</f>
        <v>#DIV/0!</v>
      </c>
      <c r="BV36" s="58" t="e">
        <f>(Links!AG36^2+'Off-Ramp'!Y36^2+'Off-Ramp'!Z36^2+'Off-Ramp'!AA36^2)/(Links!AG36+'Off-Ramp'!Y36+'Off-Ramp'!Z36+'Off-Ramp'!AA36)</f>
        <v>#DIV/0!</v>
      </c>
      <c r="BW36" s="58" t="e">
        <f>(Links!AH36^2+'Off-Ramp'!R36^2)/(Links!AH36+'Off-Ramp'!R36)</f>
        <v>#DIV/0!</v>
      </c>
      <c r="BX36" s="58" t="e">
        <f>(Links!AK36^2+'Off-Ramp'!S36^2)/(Links!AK36+'Off-Ramp'!S36)</f>
        <v>#DIV/0!</v>
      </c>
      <c r="BY36" s="58" t="e">
        <f>(Links!AL36^2+'Off-Ramp'!T36^2)/(Links!AL36+'Off-Ramp'!T36)</f>
        <v>#DIV/0!</v>
      </c>
      <c r="BZ36" s="63"/>
      <c r="CA36" s="58" t="e">
        <f>(Links!AN36^2+'Off-Ramp'!U36^2)/(Links!AN36+'Off-Ramp'!U36)</f>
        <v>#DIV/0!</v>
      </c>
    </row>
    <row r="37" spans="1:79" x14ac:dyDescent="0.15">
      <c r="A37" s="56">
        <v>35</v>
      </c>
      <c r="B37" s="57" t="e">
        <f t="shared" si="1"/>
        <v>#DIV/0!</v>
      </c>
      <c r="C37" s="57" t="e">
        <f t="shared" si="2"/>
        <v>#DIV/0!</v>
      </c>
      <c r="D37" s="57" t="e">
        <f t="shared" si="3"/>
        <v>#DIV/0!</v>
      </c>
      <c r="E37" s="57" t="e">
        <f t="shared" si="4"/>
        <v>#DIV/0!</v>
      </c>
      <c r="F37" s="57" t="e">
        <f t="shared" si="5"/>
        <v>#DIV/0!</v>
      </c>
      <c r="G37" s="57" t="e">
        <f t="shared" si="6"/>
        <v>#DIV/0!</v>
      </c>
      <c r="H37" s="57" t="e">
        <f t="shared" si="7"/>
        <v>#DIV/0!</v>
      </c>
      <c r="I37" s="57" t="e">
        <f t="shared" si="8"/>
        <v>#DIV/0!</v>
      </c>
      <c r="J37" s="57" t="e">
        <f t="shared" si="9"/>
        <v>#DIV/0!</v>
      </c>
      <c r="K37" s="57" t="e">
        <f t="shared" si="10"/>
        <v>#DIV/0!</v>
      </c>
      <c r="L37" s="57" t="e">
        <f t="shared" si="11"/>
        <v>#DIV/0!</v>
      </c>
      <c r="M37" s="57" t="e">
        <f t="shared" si="12"/>
        <v>#DIV/0!</v>
      </c>
      <c r="N37" s="57" t="e">
        <f t="shared" si="13"/>
        <v>#DIV/0!</v>
      </c>
      <c r="O37" s="58" t="e">
        <f>Links!B37</f>
        <v>#DIV/0!</v>
      </c>
      <c r="P37" s="58" t="e">
        <f>Links!C37+'On-Ramps'!AC37</f>
        <v>#DIV/0!</v>
      </c>
      <c r="Q37" s="58" t="e">
        <f>Links!D37</f>
        <v>#DIV/0!</v>
      </c>
      <c r="R37" s="58" t="e">
        <f>Links!E37+'On-Ramps'!AD37</f>
        <v>#DIV/0!</v>
      </c>
      <c r="S37" s="58" t="e">
        <f>Links!F37+'On-Ramps'!AE37</f>
        <v>#DIV/0!</v>
      </c>
      <c r="T37" s="58" t="e">
        <f>Links!I37+'On-Ramps'!AF37</f>
        <v>#DIV/0!</v>
      </c>
      <c r="U37" s="58" t="e">
        <f>Links!J37+'On-Ramps'!AG37</f>
        <v>#DIV/0!</v>
      </c>
      <c r="V37" s="58" t="e">
        <f>Links!L37+'On-Ramps'!AH37</f>
        <v>#DIV/0!</v>
      </c>
      <c r="W37" s="58" t="e">
        <f>Links!M37+'On-Ramps'!AI37</f>
        <v>#DIV/0!</v>
      </c>
      <c r="X37" s="58" t="e">
        <f>Links!P37+'On-Ramps'!AJ37</f>
        <v>#DIV/0!</v>
      </c>
      <c r="Y37" s="58" t="e">
        <f>Links!Q37</f>
        <v>#DIV/0!</v>
      </c>
      <c r="Z37" s="58" t="e">
        <f>Links!R37+'On-Ramps'!AK37</f>
        <v>#DIV/0!</v>
      </c>
      <c r="AA37" s="58" t="e">
        <f>Links!S37</f>
        <v>#DIV/0!</v>
      </c>
      <c r="AB37" s="57" t="e">
        <f t="shared" si="16"/>
        <v>#VALUE!</v>
      </c>
      <c r="AC37" s="63"/>
      <c r="AD37" s="57" t="e">
        <f t="shared" si="17"/>
        <v>#DIV/0!</v>
      </c>
      <c r="AE37" s="63"/>
      <c r="AF37" s="57" t="e">
        <f t="shared" si="18"/>
        <v>#DIV/0!</v>
      </c>
      <c r="AG37" s="57" t="e">
        <f t="shared" si="19"/>
        <v>#DIV/0!</v>
      </c>
      <c r="AH37" s="57" t="e">
        <f t="shared" si="20"/>
        <v>#DIV/0!</v>
      </c>
      <c r="AI37" s="57" t="e">
        <f t="shared" si="21"/>
        <v>#DIV/0!</v>
      </c>
      <c r="AJ37" s="57" t="e">
        <f t="shared" si="22"/>
        <v>#DIV/0!</v>
      </c>
      <c r="AK37" s="57" t="e">
        <f t="shared" si="23"/>
        <v>#DIV/0!</v>
      </c>
      <c r="AL37" s="57" t="e">
        <f t="shared" si="24"/>
        <v>#DIV/0!</v>
      </c>
      <c r="AM37" s="63"/>
      <c r="AN37" s="57" t="e">
        <f t="shared" si="26"/>
        <v>#DIV/0!</v>
      </c>
      <c r="AO37" s="58" t="e">
        <f t="shared" ref="AO37:BA56" si="27">AO$3</f>
        <v>#VALUE!</v>
      </c>
      <c r="AP37" s="63"/>
      <c r="AQ37" s="58" t="e">
        <f t="shared" si="27"/>
        <v>#DIV/0!</v>
      </c>
      <c r="AR37" s="63"/>
      <c r="AS37" s="58" t="e">
        <f t="shared" si="27"/>
        <v>#DIV/0!</v>
      </c>
      <c r="AT37" s="58" t="e">
        <f t="shared" si="27"/>
        <v>#DIV/0!</v>
      </c>
      <c r="AU37" s="58" t="e">
        <f t="shared" si="27"/>
        <v>#DIV/0!</v>
      </c>
      <c r="AV37" s="58" t="e">
        <f t="shared" si="27"/>
        <v>#DIV/0!</v>
      </c>
      <c r="AW37" s="58" t="e">
        <f t="shared" si="27"/>
        <v>#DIV/0!</v>
      </c>
      <c r="AX37" s="58" t="e">
        <f t="shared" si="27"/>
        <v>#DIV/0!</v>
      </c>
      <c r="AY37" s="58" t="e">
        <f t="shared" si="27"/>
        <v>#DIV/0!</v>
      </c>
      <c r="AZ37" s="63"/>
      <c r="BA37" s="58" t="e">
        <f t="shared" si="27"/>
        <v>#DIV/0!</v>
      </c>
      <c r="BB37" s="63"/>
      <c r="BC37" s="57" t="e">
        <f>(Links!C37*Links!AQ37+'On-Ramps'!AC37*'On-Ramps'!CE37)/('On-Ramps'!AC37+Links!C37)</f>
        <v>#DIV/0!</v>
      </c>
      <c r="BD37" s="63"/>
      <c r="BE37" s="57" t="e">
        <f>(Links!E37*Links!AS37+'On-Ramps'!AD37*'On-Ramps'!CF36)/('On-Ramps'!AD37+Links!E37)</f>
        <v>#DIV/0!</v>
      </c>
      <c r="BF37" s="57" t="e">
        <f>(Links!F37*Links!AT37+'On-Ramps'!AE37*'On-Ramps'!CG37)/('On-Ramps'!AE37+Links!F37)</f>
        <v>#DIV/0!</v>
      </c>
      <c r="BG37" s="57" t="e">
        <f>(Links!I37*Links!AW37+'On-Ramps'!AF37*'On-Ramps'!CH37)/('On-Ramps'!AF37+Links!I37)</f>
        <v>#DIV/0!</v>
      </c>
      <c r="BH37" s="57" t="e">
        <f>(#REF!*#REF!+'On-Ramps'!AG37*'On-Ramps'!CI37)/('On-Ramps'!AG37+#REF!)</f>
        <v>#REF!</v>
      </c>
      <c r="BI37" s="57" t="e">
        <f>(Links!L37*Links!AZ37+'On-Ramps'!AH37*'On-Ramps'!CJ37)/('On-Ramps'!AH37+Links!L37)</f>
        <v>#DIV/0!</v>
      </c>
      <c r="BJ37" s="57" t="e">
        <f>(Links!BA37*Links!M37+'On-Ramps'!AI37*'On-Ramps'!CK37)/('On-Ramps'!AI37+Links!M37)</f>
        <v>#DIV/0!</v>
      </c>
      <c r="BK37" s="57" t="e">
        <f>(Links!S37*Links!BG37+'On-Ramps'!AJ37*'On-Ramps'!CL37)/('On-Ramps'!AJ37+Links!S37)</f>
        <v>#DIV/0!</v>
      </c>
      <c r="BL37" s="63"/>
      <c r="BM37" s="57" t="e">
        <f>(Links!S37*Links!BG37+'On-Ramps'!AL37*'On-Ramps'!CM37)/(Links!S37+'On-Ramps'!AL37)</f>
        <v>#DIV/0!</v>
      </c>
      <c r="BN37" s="63"/>
      <c r="BO37" s="58" t="e">
        <f>(Links!W37^2+'Off-Ramp'!L37^2)/(Links!W37+'Off-Ramp'!L37)</f>
        <v>#DIV/0!</v>
      </c>
      <c r="BP37" s="63"/>
      <c r="BQ37" s="58" t="e">
        <f>(Links!Y37^2+'Off-Ramp'!C37^2)/(Links!Y37+'Off-Ramp'!C37)</f>
        <v>#DIV/0!</v>
      </c>
      <c r="BR37" s="63"/>
      <c r="BS37" s="58" t="e">
        <f>(Links!AA37^2+'Off-Ramp'!N37^2)/(Links!AA37+'Off-Ramp'!N37)</f>
        <v>#DIV/0!</v>
      </c>
      <c r="BT37" s="58" t="e">
        <f>(Links!AD37^2+'Off-Ramp'!O37^2)/(Links!AD37+'Off-Ramp'!O37)</f>
        <v>#DIV/0!</v>
      </c>
      <c r="BU37" s="58" t="e">
        <f>(Links!AE37^2+'Off-Ramp'!V37^2+'Off-Ramp'!W37^2+'Off-Ramp'!X37^2)/(Links!AE37+'Off-Ramp'!V37+'Off-Ramp'!W37+'Off-Ramp'!X37)</f>
        <v>#DIV/0!</v>
      </c>
      <c r="BV37" s="58" t="e">
        <f>(Links!AG37^2+'Off-Ramp'!Y37^2+'Off-Ramp'!Z37^2+'Off-Ramp'!AA37^2)/(Links!AG37+'Off-Ramp'!Y37+'Off-Ramp'!Z37+'Off-Ramp'!AA37)</f>
        <v>#DIV/0!</v>
      </c>
      <c r="BW37" s="58" t="e">
        <f>(Links!AH37^2+'Off-Ramp'!R37^2)/(Links!AH37+'Off-Ramp'!R37)</f>
        <v>#DIV/0!</v>
      </c>
      <c r="BX37" s="58" t="e">
        <f>(Links!AK37^2+'Off-Ramp'!S37^2)/(Links!AK37+'Off-Ramp'!S37)</f>
        <v>#DIV/0!</v>
      </c>
      <c r="BY37" s="58" t="e">
        <f>(Links!AL37^2+'Off-Ramp'!T37^2)/(Links!AL37+'Off-Ramp'!T37)</f>
        <v>#DIV/0!</v>
      </c>
      <c r="BZ37" s="63"/>
      <c r="CA37" s="58" t="e">
        <f>(Links!AN37^2+'Off-Ramp'!U37^2)/(Links!AN37+'Off-Ramp'!U37)</f>
        <v>#DIV/0!</v>
      </c>
    </row>
    <row r="38" spans="1:79" x14ac:dyDescent="0.15">
      <c r="A38" s="56">
        <v>36</v>
      </c>
      <c r="B38" s="57" t="e">
        <f t="shared" si="1"/>
        <v>#DIV/0!</v>
      </c>
      <c r="C38" s="57" t="e">
        <f t="shared" si="2"/>
        <v>#DIV/0!</v>
      </c>
      <c r="D38" s="57" t="e">
        <f t="shared" si="3"/>
        <v>#DIV/0!</v>
      </c>
      <c r="E38" s="57" t="e">
        <f t="shared" si="4"/>
        <v>#DIV/0!</v>
      </c>
      <c r="F38" s="57" t="e">
        <f t="shared" si="5"/>
        <v>#DIV/0!</v>
      </c>
      <c r="G38" s="57" t="e">
        <f t="shared" si="6"/>
        <v>#DIV/0!</v>
      </c>
      <c r="H38" s="57" t="e">
        <f t="shared" si="7"/>
        <v>#DIV/0!</v>
      </c>
      <c r="I38" s="57" t="e">
        <f t="shared" si="8"/>
        <v>#DIV/0!</v>
      </c>
      <c r="J38" s="57" t="e">
        <f t="shared" si="9"/>
        <v>#DIV/0!</v>
      </c>
      <c r="K38" s="57" t="e">
        <f t="shared" si="10"/>
        <v>#DIV/0!</v>
      </c>
      <c r="L38" s="57" t="e">
        <f t="shared" si="11"/>
        <v>#DIV/0!</v>
      </c>
      <c r="M38" s="57" t="e">
        <f t="shared" si="12"/>
        <v>#DIV/0!</v>
      </c>
      <c r="N38" s="57" t="e">
        <f t="shared" si="13"/>
        <v>#DIV/0!</v>
      </c>
      <c r="O38" s="58" t="e">
        <f>Links!B38</f>
        <v>#DIV/0!</v>
      </c>
      <c r="P38" s="58" t="e">
        <f>Links!C38+'On-Ramps'!AC38</f>
        <v>#DIV/0!</v>
      </c>
      <c r="Q38" s="58" t="e">
        <f>Links!D38</f>
        <v>#DIV/0!</v>
      </c>
      <c r="R38" s="58" t="e">
        <f>Links!E38+'On-Ramps'!AD38</f>
        <v>#DIV/0!</v>
      </c>
      <c r="S38" s="58" t="e">
        <f>Links!F38+'On-Ramps'!AE38</f>
        <v>#DIV/0!</v>
      </c>
      <c r="T38" s="58" t="e">
        <f>Links!I38+'On-Ramps'!AF38</f>
        <v>#DIV/0!</v>
      </c>
      <c r="U38" s="58" t="e">
        <f>Links!J38+'On-Ramps'!AG38</f>
        <v>#DIV/0!</v>
      </c>
      <c r="V38" s="58" t="e">
        <f>Links!L38+'On-Ramps'!AH38</f>
        <v>#DIV/0!</v>
      </c>
      <c r="W38" s="58" t="e">
        <f>Links!M38+'On-Ramps'!AI38</f>
        <v>#DIV/0!</v>
      </c>
      <c r="X38" s="58" t="e">
        <f>Links!P38+'On-Ramps'!AJ38</f>
        <v>#DIV/0!</v>
      </c>
      <c r="Y38" s="58" t="e">
        <f>Links!Q38</f>
        <v>#DIV/0!</v>
      </c>
      <c r="Z38" s="58" t="e">
        <f>Links!R38+'On-Ramps'!AK38</f>
        <v>#DIV/0!</v>
      </c>
      <c r="AA38" s="58" t="e">
        <f>Links!S38</f>
        <v>#DIV/0!</v>
      </c>
      <c r="AB38" s="57" t="e">
        <f t="shared" si="16"/>
        <v>#VALUE!</v>
      </c>
      <c r="AC38" s="63"/>
      <c r="AD38" s="57" t="e">
        <f t="shared" si="17"/>
        <v>#DIV/0!</v>
      </c>
      <c r="AE38" s="63"/>
      <c r="AF38" s="57" t="e">
        <f t="shared" si="18"/>
        <v>#DIV/0!</v>
      </c>
      <c r="AG38" s="57" t="e">
        <f t="shared" si="19"/>
        <v>#DIV/0!</v>
      </c>
      <c r="AH38" s="57" t="e">
        <f t="shared" si="20"/>
        <v>#DIV/0!</v>
      </c>
      <c r="AI38" s="57" t="e">
        <f t="shared" si="21"/>
        <v>#DIV/0!</v>
      </c>
      <c r="AJ38" s="57" t="e">
        <f t="shared" si="22"/>
        <v>#DIV/0!</v>
      </c>
      <c r="AK38" s="57" t="e">
        <f t="shared" si="23"/>
        <v>#DIV/0!</v>
      </c>
      <c r="AL38" s="57" t="e">
        <f t="shared" si="24"/>
        <v>#DIV/0!</v>
      </c>
      <c r="AM38" s="63"/>
      <c r="AN38" s="57" t="e">
        <f t="shared" si="26"/>
        <v>#DIV/0!</v>
      </c>
      <c r="AO38" s="58" t="e">
        <f t="shared" si="27"/>
        <v>#VALUE!</v>
      </c>
      <c r="AP38" s="63"/>
      <c r="AQ38" s="58" t="e">
        <f t="shared" si="27"/>
        <v>#DIV/0!</v>
      </c>
      <c r="AR38" s="63"/>
      <c r="AS38" s="58" t="e">
        <f t="shared" si="27"/>
        <v>#DIV/0!</v>
      </c>
      <c r="AT38" s="58" t="e">
        <f t="shared" si="27"/>
        <v>#DIV/0!</v>
      </c>
      <c r="AU38" s="58" t="e">
        <f t="shared" si="27"/>
        <v>#DIV/0!</v>
      </c>
      <c r="AV38" s="58" t="e">
        <f t="shared" si="27"/>
        <v>#DIV/0!</v>
      </c>
      <c r="AW38" s="58" t="e">
        <f t="shared" si="27"/>
        <v>#DIV/0!</v>
      </c>
      <c r="AX38" s="58" t="e">
        <f t="shared" si="27"/>
        <v>#DIV/0!</v>
      </c>
      <c r="AY38" s="58" t="e">
        <f t="shared" si="27"/>
        <v>#DIV/0!</v>
      </c>
      <c r="AZ38" s="63"/>
      <c r="BA38" s="58" t="e">
        <f t="shared" si="27"/>
        <v>#DIV/0!</v>
      </c>
      <c r="BB38" s="63"/>
      <c r="BC38" s="57" t="e">
        <f>(Links!C38*Links!AQ38+'On-Ramps'!AC38*'On-Ramps'!CE38)/('On-Ramps'!AC38+Links!C38)</f>
        <v>#DIV/0!</v>
      </c>
      <c r="BD38" s="63"/>
      <c r="BE38" s="57" t="e">
        <f>(Links!E38*Links!AS38+'On-Ramps'!AD38*'On-Ramps'!CF37)/('On-Ramps'!AD38+Links!E38)</f>
        <v>#DIV/0!</v>
      </c>
      <c r="BF38" s="57" t="e">
        <f>(Links!F38*Links!AT38+'On-Ramps'!AE38*'On-Ramps'!CG38)/('On-Ramps'!AE38+Links!F38)</f>
        <v>#DIV/0!</v>
      </c>
      <c r="BG38" s="57" t="e">
        <f>(Links!I38*Links!AW38+'On-Ramps'!AF38*'On-Ramps'!CH38)/('On-Ramps'!AF38+Links!I38)</f>
        <v>#DIV/0!</v>
      </c>
      <c r="BH38" s="57" t="e">
        <f>(#REF!*#REF!+'On-Ramps'!AG38*'On-Ramps'!CI38)/('On-Ramps'!AG38+#REF!)</f>
        <v>#REF!</v>
      </c>
      <c r="BI38" s="57" t="e">
        <f>(Links!L38*Links!AZ38+'On-Ramps'!AH38*'On-Ramps'!CJ38)/('On-Ramps'!AH38+Links!L38)</f>
        <v>#DIV/0!</v>
      </c>
      <c r="BJ38" s="57" t="e">
        <f>(Links!BA38*Links!M38+'On-Ramps'!AI38*'On-Ramps'!CK38)/('On-Ramps'!AI38+Links!M38)</f>
        <v>#DIV/0!</v>
      </c>
      <c r="BK38" s="57" t="e">
        <f>(Links!S38*Links!BG38+'On-Ramps'!AJ38*'On-Ramps'!CL38)/('On-Ramps'!AJ38+Links!S38)</f>
        <v>#DIV/0!</v>
      </c>
      <c r="BL38" s="63"/>
      <c r="BM38" s="57" t="e">
        <f>(Links!S38*Links!BG38+'On-Ramps'!AL38*'On-Ramps'!CM38)/(Links!S38+'On-Ramps'!AL38)</f>
        <v>#DIV/0!</v>
      </c>
      <c r="BN38" s="63"/>
      <c r="BO38" s="58" t="e">
        <f>(Links!W38^2+'Off-Ramp'!L38^2)/(Links!W38+'Off-Ramp'!L38)</f>
        <v>#DIV/0!</v>
      </c>
      <c r="BP38" s="63"/>
      <c r="BQ38" s="58" t="e">
        <f>(Links!Y38^2+'Off-Ramp'!C38^2)/(Links!Y38+'Off-Ramp'!C38)</f>
        <v>#DIV/0!</v>
      </c>
      <c r="BR38" s="63"/>
      <c r="BS38" s="58" t="e">
        <f>(Links!AA38^2+'Off-Ramp'!N38^2)/(Links!AA38+'Off-Ramp'!N38)</f>
        <v>#DIV/0!</v>
      </c>
      <c r="BT38" s="58" t="e">
        <f>(Links!AD38^2+'Off-Ramp'!O38^2)/(Links!AD38+'Off-Ramp'!O38)</f>
        <v>#DIV/0!</v>
      </c>
      <c r="BU38" s="58" t="e">
        <f>(Links!AE38^2+'Off-Ramp'!V38^2+'Off-Ramp'!W38^2+'Off-Ramp'!X38^2)/(Links!AE38+'Off-Ramp'!V38+'Off-Ramp'!W38+'Off-Ramp'!X38)</f>
        <v>#DIV/0!</v>
      </c>
      <c r="BV38" s="58" t="e">
        <f>(Links!AG38^2+'Off-Ramp'!Y38^2+'Off-Ramp'!Z38^2+'Off-Ramp'!AA38^2)/(Links!AG38+'Off-Ramp'!Y38+'Off-Ramp'!Z38+'Off-Ramp'!AA38)</f>
        <v>#DIV/0!</v>
      </c>
      <c r="BW38" s="58" t="e">
        <f>(Links!AH38^2+'Off-Ramp'!R38^2)/(Links!AH38+'Off-Ramp'!R38)</f>
        <v>#DIV/0!</v>
      </c>
      <c r="BX38" s="58" t="e">
        <f>(Links!AK38^2+'Off-Ramp'!S38^2)/(Links!AK38+'Off-Ramp'!S38)</f>
        <v>#DIV/0!</v>
      </c>
      <c r="BY38" s="58" t="e">
        <f>(Links!AL38^2+'Off-Ramp'!T38^2)/(Links!AL38+'Off-Ramp'!T38)</f>
        <v>#DIV/0!</v>
      </c>
      <c r="BZ38" s="63"/>
      <c r="CA38" s="58" t="e">
        <f>(Links!AN38^2+'Off-Ramp'!U38^2)/(Links!AN38+'Off-Ramp'!U38)</f>
        <v>#DIV/0!</v>
      </c>
    </row>
    <row r="39" spans="1:79" x14ac:dyDescent="0.15">
      <c r="A39" s="56">
        <v>37</v>
      </c>
      <c r="B39" s="57" t="e">
        <f t="shared" si="1"/>
        <v>#DIV/0!</v>
      </c>
      <c r="C39" s="57" t="e">
        <f t="shared" si="2"/>
        <v>#DIV/0!</v>
      </c>
      <c r="D39" s="57" t="e">
        <f t="shared" si="3"/>
        <v>#DIV/0!</v>
      </c>
      <c r="E39" s="57" t="e">
        <f t="shared" si="4"/>
        <v>#DIV/0!</v>
      </c>
      <c r="F39" s="57" t="e">
        <f t="shared" si="5"/>
        <v>#DIV/0!</v>
      </c>
      <c r="G39" s="57" t="e">
        <f t="shared" si="6"/>
        <v>#DIV/0!</v>
      </c>
      <c r="H39" s="57" t="e">
        <f t="shared" si="7"/>
        <v>#DIV/0!</v>
      </c>
      <c r="I39" s="57" t="e">
        <f t="shared" si="8"/>
        <v>#DIV/0!</v>
      </c>
      <c r="J39" s="57" t="e">
        <f t="shared" si="9"/>
        <v>#DIV/0!</v>
      </c>
      <c r="K39" s="57" t="e">
        <f t="shared" si="10"/>
        <v>#DIV/0!</v>
      </c>
      <c r="L39" s="57" t="e">
        <f t="shared" si="11"/>
        <v>#DIV/0!</v>
      </c>
      <c r="M39" s="57" t="e">
        <f t="shared" si="12"/>
        <v>#DIV/0!</v>
      </c>
      <c r="N39" s="57" t="e">
        <f t="shared" si="13"/>
        <v>#DIV/0!</v>
      </c>
      <c r="O39" s="58" t="e">
        <f>Links!B39</f>
        <v>#DIV/0!</v>
      </c>
      <c r="P39" s="58" t="e">
        <f>Links!C39+'On-Ramps'!AC39</f>
        <v>#DIV/0!</v>
      </c>
      <c r="Q39" s="58" t="e">
        <f>Links!D39</f>
        <v>#DIV/0!</v>
      </c>
      <c r="R39" s="58" t="e">
        <f>Links!E39+'On-Ramps'!AD39</f>
        <v>#DIV/0!</v>
      </c>
      <c r="S39" s="58" t="e">
        <f>Links!F39+'On-Ramps'!AE39</f>
        <v>#DIV/0!</v>
      </c>
      <c r="T39" s="58" t="e">
        <f>Links!I39+'On-Ramps'!AF39</f>
        <v>#DIV/0!</v>
      </c>
      <c r="U39" s="58" t="e">
        <f>Links!J39+'On-Ramps'!AG39</f>
        <v>#DIV/0!</v>
      </c>
      <c r="V39" s="58" t="e">
        <f>Links!L39+'On-Ramps'!AH39</f>
        <v>#DIV/0!</v>
      </c>
      <c r="W39" s="58" t="e">
        <f>Links!M39+'On-Ramps'!AI39</f>
        <v>#DIV/0!</v>
      </c>
      <c r="X39" s="58" t="e">
        <f>Links!P39+'On-Ramps'!AJ39</f>
        <v>#DIV/0!</v>
      </c>
      <c r="Y39" s="58" t="e">
        <f>Links!Q39</f>
        <v>#DIV/0!</v>
      </c>
      <c r="Z39" s="58" t="e">
        <f>Links!R39+'On-Ramps'!AK39</f>
        <v>#DIV/0!</v>
      </c>
      <c r="AA39" s="58" t="e">
        <f>Links!S39</f>
        <v>#DIV/0!</v>
      </c>
      <c r="AB39" s="57" t="e">
        <f t="shared" si="16"/>
        <v>#VALUE!</v>
      </c>
      <c r="AC39" s="63"/>
      <c r="AD39" s="57" t="e">
        <f t="shared" si="17"/>
        <v>#DIV/0!</v>
      </c>
      <c r="AE39" s="63"/>
      <c r="AF39" s="57" t="e">
        <f t="shared" si="18"/>
        <v>#DIV/0!</v>
      </c>
      <c r="AG39" s="57" t="e">
        <f t="shared" si="19"/>
        <v>#DIV/0!</v>
      </c>
      <c r="AH39" s="57" t="e">
        <f t="shared" si="20"/>
        <v>#DIV/0!</v>
      </c>
      <c r="AI39" s="57" t="e">
        <f t="shared" si="21"/>
        <v>#DIV/0!</v>
      </c>
      <c r="AJ39" s="57" t="e">
        <f t="shared" si="22"/>
        <v>#DIV/0!</v>
      </c>
      <c r="AK39" s="57" t="e">
        <f t="shared" si="23"/>
        <v>#DIV/0!</v>
      </c>
      <c r="AL39" s="57" t="e">
        <f t="shared" si="24"/>
        <v>#DIV/0!</v>
      </c>
      <c r="AM39" s="63"/>
      <c r="AN39" s="57" t="e">
        <f t="shared" si="26"/>
        <v>#DIV/0!</v>
      </c>
      <c r="AO39" s="58" t="e">
        <f t="shared" si="27"/>
        <v>#VALUE!</v>
      </c>
      <c r="AP39" s="63"/>
      <c r="AQ39" s="58" t="e">
        <f t="shared" si="27"/>
        <v>#DIV/0!</v>
      </c>
      <c r="AR39" s="63"/>
      <c r="AS39" s="58" t="e">
        <f t="shared" si="27"/>
        <v>#DIV/0!</v>
      </c>
      <c r="AT39" s="58" t="e">
        <f t="shared" si="27"/>
        <v>#DIV/0!</v>
      </c>
      <c r="AU39" s="58" t="e">
        <f t="shared" si="27"/>
        <v>#DIV/0!</v>
      </c>
      <c r="AV39" s="58" t="e">
        <f t="shared" si="27"/>
        <v>#DIV/0!</v>
      </c>
      <c r="AW39" s="58" t="e">
        <f t="shared" si="27"/>
        <v>#DIV/0!</v>
      </c>
      <c r="AX39" s="58" t="e">
        <f t="shared" si="27"/>
        <v>#DIV/0!</v>
      </c>
      <c r="AY39" s="58" t="e">
        <f t="shared" si="27"/>
        <v>#DIV/0!</v>
      </c>
      <c r="AZ39" s="63"/>
      <c r="BA39" s="58" t="e">
        <f t="shared" si="27"/>
        <v>#DIV/0!</v>
      </c>
      <c r="BB39" s="63"/>
      <c r="BC39" s="57" t="e">
        <f>(Links!C39*Links!AQ39+'On-Ramps'!AC39*'On-Ramps'!CE39)/('On-Ramps'!AC39+Links!C39)</f>
        <v>#DIV/0!</v>
      </c>
      <c r="BD39" s="63"/>
      <c r="BE39" s="57" t="e">
        <f>(Links!E39*Links!AS39+'On-Ramps'!AD39*'On-Ramps'!CF38)/('On-Ramps'!AD39+Links!E39)</f>
        <v>#DIV/0!</v>
      </c>
      <c r="BF39" s="57" t="e">
        <f>(Links!F39*Links!AT39+'On-Ramps'!AE39*'On-Ramps'!CG39)/('On-Ramps'!AE39+Links!F39)</f>
        <v>#DIV/0!</v>
      </c>
      <c r="BG39" s="57" t="e">
        <f>(Links!I39*Links!AW39+'On-Ramps'!AF39*'On-Ramps'!CH39)/('On-Ramps'!AF39+Links!I39)</f>
        <v>#DIV/0!</v>
      </c>
      <c r="BH39" s="57" t="e">
        <f>(#REF!*#REF!+'On-Ramps'!AG39*'On-Ramps'!CI39)/('On-Ramps'!AG39+#REF!)</f>
        <v>#REF!</v>
      </c>
      <c r="BI39" s="57" t="e">
        <f>(Links!L39*Links!AZ39+'On-Ramps'!AH39*'On-Ramps'!CJ39)/('On-Ramps'!AH39+Links!L39)</f>
        <v>#DIV/0!</v>
      </c>
      <c r="BJ39" s="57" t="e">
        <f>(Links!BA39*Links!M39+'On-Ramps'!AI39*'On-Ramps'!CK39)/('On-Ramps'!AI39+Links!M39)</f>
        <v>#DIV/0!</v>
      </c>
      <c r="BK39" s="57" t="e">
        <f>(Links!S39*Links!BG39+'On-Ramps'!AJ39*'On-Ramps'!CL39)/('On-Ramps'!AJ39+Links!S39)</f>
        <v>#DIV/0!</v>
      </c>
      <c r="BL39" s="63"/>
      <c r="BM39" s="57" t="e">
        <f>(Links!S39*Links!BG39+'On-Ramps'!AL39*'On-Ramps'!CM39)/(Links!S39+'On-Ramps'!AL39)</f>
        <v>#DIV/0!</v>
      </c>
      <c r="BN39" s="63"/>
      <c r="BO39" s="58" t="e">
        <f>(Links!W39^2+'Off-Ramp'!L39^2)/(Links!W39+'Off-Ramp'!L39)</f>
        <v>#DIV/0!</v>
      </c>
      <c r="BP39" s="63"/>
      <c r="BQ39" s="58" t="e">
        <f>(Links!Y39^2+'Off-Ramp'!C39^2)/(Links!Y39+'Off-Ramp'!C39)</f>
        <v>#DIV/0!</v>
      </c>
      <c r="BR39" s="63"/>
      <c r="BS39" s="58" t="e">
        <f>(Links!AA39^2+'Off-Ramp'!N39^2)/(Links!AA39+'Off-Ramp'!N39)</f>
        <v>#DIV/0!</v>
      </c>
      <c r="BT39" s="58" t="e">
        <f>(Links!AD39^2+'Off-Ramp'!O39^2)/(Links!AD39+'Off-Ramp'!O39)</f>
        <v>#DIV/0!</v>
      </c>
      <c r="BU39" s="58" t="e">
        <f>(Links!AE39^2+'Off-Ramp'!V39^2+'Off-Ramp'!W39^2+'Off-Ramp'!X39^2)/(Links!AE39+'Off-Ramp'!V39+'Off-Ramp'!W39+'Off-Ramp'!X39)</f>
        <v>#DIV/0!</v>
      </c>
      <c r="BV39" s="58" t="e">
        <f>(Links!AG39^2+'Off-Ramp'!Y39^2+'Off-Ramp'!Z39^2+'Off-Ramp'!AA39^2)/(Links!AG39+'Off-Ramp'!Y39+'Off-Ramp'!Z39+'Off-Ramp'!AA39)</f>
        <v>#DIV/0!</v>
      </c>
      <c r="BW39" s="58" t="e">
        <f>(Links!AH39^2+'Off-Ramp'!R39^2)/(Links!AH39+'Off-Ramp'!R39)</f>
        <v>#DIV/0!</v>
      </c>
      <c r="BX39" s="58" t="e">
        <f>(Links!AK39^2+'Off-Ramp'!S39^2)/(Links!AK39+'Off-Ramp'!S39)</f>
        <v>#DIV/0!</v>
      </c>
      <c r="BY39" s="58" t="e">
        <f>(Links!AL39^2+'Off-Ramp'!T39^2)/(Links!AL39+'Off-Ramp'!T39)</f>
        <v>#DIV/0!</v>
      </c>
      <c r="BZ39" s="63"/>
      <c r="CA39" s="58" t="e">
        <f>(Links!AN39^2+'Off-Ramp'!U39^2)/(Links!AN39+'Off-Ramp'!U39)</f>
        <v>#DIV/0!</v>
      </c>
    </row>
    <row r="40" spans="1:79" x14ac:dyDescent="0.15">
      <c r="A40" s="56">
        <v>38</v>
      </c>
      <c r="B40" s="57" t="e">
        <f t="shared" si="1"/>
        <v>#DIV/0!</v>
      </c>
      <c r="C40" s="57" t="e">
        <f t="shared" si="2"/>
        <v>#DIV/0!</v>
      </c>
      <c r="D40" s="57" t="e">
        <f t="shared" si="3"/>
        <v>#DIV/0!</v>
      </c>
      <c r="E40" s="57" t="e">
        <f t="shared" si="4"/>
        <v>#DIV/0!</v>
      </c>
      <c r="F40" s="57" t="e">
        <f t="shared" si="5"/>
        <v>#DIV/0!</v>
      </c>
      <c r="G40" s="57" t="e">
        <f t="shared" si="6"/>
        <v>#DIV/0!</v>
      </c>
      <c r="H40" s="57" t="e">
        <f t="shared" si="7"/>
        <v>#DIV/0!</v>
      </c>
      <c r="I40" s="57" t="e">
        <f t="shared" si="8"/>
        <v>#DIV/0!</v>
      </c>
      <c r="J40" s="57" t="e">
        <f t="shared" si="9"/>
        <v>#DIV/0!</v>
      </c>
      <c r="K40" s="57" t="e">
        <f t="shared" si="10"/>
        <v>#DIV/0!</v>
      </c>
      <c r="L40" s="57" t="e">
        <f t="shared" si="11"/>
        <v>#DIV/0!</v>
      </c>
      <c r="M40" s="57" t="e">
        <f t="shared" si="12"/>
        <v>#DIV/0!</v>
      </c>
      <c r="N40" s="57" t="e">
        <f t="shared" si="13"/>
        <v>#DIV/0!</v>
      </c>
      <c r="O40" s="58" t="e">
        <f>Links!B40</f>
        <v>#DIV/0!</v>
      </c>
      <c r="P40" s="58" t="e">
        <f>Links!C40+'On-Ramps'!AC40</f>
        <v>#DIV/0!</v>
      </c>
      <c r="Q40" s="58" t="e">
        <f>Links!D40</f>
        <v>#DIV/0!</v>
      </c>
      <c r="R40" s="58" t="e">
        <f>Links!E40+'On-Ramps'!AD40</f>
        <v>#DIV/0!</v>
      </c>
      <c r="S40" s="58" t="e">
        <f>Links!F40+'On-Ramps'!AE40</f>
        <v>#DIV/0!</v>
      </c>
      <c r="T40" s="58" t="e">
        <f>Links!I40+'On-Ramps'!AF40</f>
        <v>#DIV/0!</v>
      </c>
      <c r="U40" s="58" t="e">
        <f>Links!J40+'On-Ramps'!AG40</f>
        <v>#DIV/0!</v>
      </c>
      <c r="V40" s="58" t="e">
        <f>Links!L40+'On-Ramps'!AH40</f>
        <v>#DIV/0!</v>
      </c>
      <c r="W40" s="58" t="e">
        <f>Links!M40+'On-Ramps'!AI40</f>
        <v>#DIV/0!</v>
      </c>
      <c r="X40" s="58" t="e">
        <f>Links!P40+'On-Ramps'!AJ40</f>
        <v>#DIV/0!</v>
      </c>
      <c r="Y40" s="58" t="e">
        <f>Links!Q40</f>
        <v>#DIV/0!</v>
      </c>
      <c r="Z40" s="58" t="e">
        <f>Links!R40+'On-Ramps'!AK40</f>
        <v>#DIV/0!</v>
      </c>
      <c r="AA40" s="58" t="e">
        <f>Links!S40</f>
        <v>#DIV/0!</v>
      </c>
      <c r="AB40" s="57" t="e">
        <f t="shared" si="16"/>
        <v>#VALUE!</v>
      </c>
      <c r="AC40" s="63"/>
      <c r="AD40" s="57" t="e">
        <f t="shared" si="17"/>
        <v>#DIV/0!</v>
      </c>
      <c r="AE40" s="63"/>
      <c r="AF40" s="57" t="e">
        <f t="shared" si="18"/>
        <v>#DIV/0!</v>
      </c>
      <c r="AG40" s="57" t="e">
        <f t="shared" si="19"/>
        <v>#DIV/0!</v>
      </c>
      <c r="AH40" s="57" t="e">
        <f t="shared" si="20"/>
        <v>#DIV/0!</v>
      </c>
      <c r="AI40" s="57" t="e">
        <f t="shared" si="21"/>
        <v>#DIV/0!</v>
      </c>
      <c r="AJ40" s="57" t="e">
        <f t="shared" si="22"/>
        <v>#DIV/0!</v>
      </c>
      <c r="AK40" s="57" t="e">
        <f t="shared" si="23"/>
        <v>#DIV/0!</v>
      </c>
      <c r="AL40" s="57" t="e">
        <f t="shared" si="24"/>
        <v>#DIV/0!</v>
      </c>
      <c r="AM40" s="63"/>
      <c r="AN40" s="57" t="e">
        <f t="shared" si="26"/>
        <v>#DIV/0!</v>
      </c>
      <c r="AO40" s="58" t="e">
        <f t="shared" si="27"/>
        <v>#VALUE!</v>
      </c>
      <c r="AP40" s="63"/>
      <c r="AQ40" s="58" t="e">
        <f t="shared" si="27"/>
        <v>#DIV/0!</v>
      </c>
      <c r="AR40" s="63"/>
      <c r="AS40" s="58" t="e">
        <f t="shared" si="27"/>
        <v>#DIV/0!</v>
      </c>
      <c r="AT40" s="58" t="e">
        <f t="shared" si="27"/>
        <v>#DIV/0!</v>
      </c>
      <c r="AU40" s="58" t="e">
        <f t="shared" si="27"/>
        <v>#DIV/0!</v>
      </c>
      <c r="AV40" s="58" t="e">
        <f t="shared" si="27"/>
        <v>#DIV/0!</v>
      </c>
      <c r="AW40" s="58" t="e">
        <f t="shared" si="27"/>
        <v>#DIV/0!</v>
      </c>
      <c r="AX40" s="58" t="e">
        <f t="shared" si="27"/>
        <v>#DIV/0!</v>
      </c>
      <c r="AY40" s="58" t="e">
        <f t="shared" si="27"/>
        <v>#DIV/0!</v>
      </c>
      <c r="AZ40" s="63"/>
      <c r="BA40" s="58" t="e">
        <f t="shared" si="27"/>
        <v>#DIV/0!</v>
      </c>
      <c r="BB40" s="63"/>
      <c r="BC40" s="57" t="e">
        <f>(Links!C40*Links!AQ40+'On-Ramps'!AC40*'On-Ramps'!CE40)/('On-Ramps'!AC40+Links!C40)</f>
        <v>#DIV/0!</v>
      </c>
      <c r="BD40" s="63"/>
      <c r="BE40" s="57" t="e">
        <f>(Links!E40*Links!AS40+'On-Ramps'!AD40*'On-Ramps'!CF39)/('On-Ramps'!AD40+Links!E40)</f>
        <v>#DIV/0!</v>
      </c>
      <c r="BF40" s="57" t="e">
        <f>(Links!F40*Links!AT40+'On-Ramps'!AE40*'On-Ramps'!CG40)/('On-Ramps'!AE40+Links!F40)</f>
        <v>#DIV/0!</v>
      </c>
      <c r="BG40" s="57" t="e">
        <f>(Links!I40*Links!AW40+'On-Ramps'!AF40*'On-Ramps'!CH40)/('On-Ramps'!AF40+Links!I40)</f>
        <v>#DIV/0!</v>
      </c>
      <c r="BH40" s="57" t="e">
        <f>(#REF!*#REF!+'On-Ramps'!AG40*'On-Ramps'!CI40)/('On-Ramps'!AG40+#REF!)</f>
        <v>#REF!</v>
      </c>
      <c r="BI40" s="57" t="e">
        <f>(Links!L40*Links!AZ40+'On-Ramps'!AH40*'On-Ramps'!CJ40)/('On-Ramps'!AH40+Links!L40)</f>
        <v>#DIV/0!</v>
      </c>
      <c r="BJ40" s="57" t="e">
        <f>(Links!BA40*Links!M40+'On-Ramps'!AI40*'On-Ramps'!CK40)/('On-Ramps'!AI40+Links!M40)</f>
        <v>#DIV/0!</v>
      </c>
      <c r="BK40" s="57" t="e">
        <f>(Links!S40*Links!BG40+'On-Ramps'!AJ40*'On-Ramps'!CL40)/('On-Ramps'!AJ40+Links!S40)</f>
        <v>#DIV/0!</v>
      </c>
      <c r="BL40" s="63"/>
      <c r="BM40" s="57" t="e">
        <f>(Links!S40*Links!BG40+'On-Ramps'!AL40*'On-Ramps'!CM40)/(Links!S40+'On-Ramps'!AL40)</f>
        <v>#DIV/0!</v>
      </c>
      <c r="BN40" s="63"/>
      <c r="BO40" s="58" t="e">
        <f>(Links!W40^2+'Off-Ramp'!L40^2)/(Links!W40+'Off-Ramp'!L40)</f>
        <v>#DIV/0!</v>
      </c>
      <c r="BP40" s="63"/>
      <c r="BQ40" s="58" t="e">
        <f>(Links!Y40^2+'Off-Ramp'!C40^2)/(Links!Y40+'Off-Ramp'!C40)</f>
        <v>#DIV/0!</v>
      </c>
      <c r="BR40" s="63"/>
      <c r="BS40" s="58" t="e">
        <f>(Links!AA40^2+'Off-Ramp'!N40^2)/(Links!AA40+'Off-Ramp'!N40)</f>
        <v>#DIV/0!</v>
      </c>
      <c r="BT40" s="58" t="e">
        <f>(Links!AD40^2+'Off-Ramp'!O40^2)/(Links!AD40+'Off-Ramp'!O40)</f>
        <v>#DIV/0!</v>
      </c>
      <c r="BU40" s="58" t="e">
        <f>(Links!AE40^2+'Off-Ramp'!V40^2+'Off-Ramp'!W40^2+'Off-Ramp'!X40^2)/(Links!AE40+'Off-Ramp'!V40+'Off-Ramp'!W40+'Off-Ramp'!X40)</f>
        <v>#DIV/0!</v>
      </c>
      <c r="BV40" s="58" t="e">
        <f>(Links!AG40^2+'Off-Ramp'!Y40^2+'Off-Ramp'!Z40^2+'Off-Ramp'!AA40^2)/(Links!AG40+'Off-Ramp'!Y40+'Off-Ramp'!Z40+'Off-Ramp'!AA40)</f>
        <v>#DIV/0!</v>
      </c>
      <c r="BW40" s="58" t="e">
        <f>(Links!AH40^2+'Off-Ramp'!R40^2)/(Links!AH40+'Off-Ramp'!R40)</f>
        <v>#DIV/0!</v>
      </c>
      <c r="BX40" s="58" t="e">
        <f>(Links!AK40^2+'Off-Ramp'!S40^2)/(Links!AK40+'Off-Ramp'!S40)</f>
        <v>#DIV/0!</v>
      </c>
      <c r="BY40" s="58" t="e">
        <f>(Links!AL40^2+'Off-Ramp'!T40^2)/(Links!AL40+'Off-Ramp'!T40)</f>
        <v>#DIV/0!</v>
      </c>
      <c r="BZ40" s="63"/>
      <c r="CA40" s="58" t="e">
        <f>(Links!AN40^2+'Off-Ramp'!U40^2)/(Links!AN40+'Off-Ramp'!U40)</f>
        <v>#DIV/0!</v>
      </c>
    </row>
    <row r="41" spans="1:79" x14ac:dyDescent="0.15">
      <c r="A41" s="56">
        <v>39</v>
      </c>
      <c r="B41" s="57" t="e">
        <f t="shared" si="1"/>
        <v>#DIV/0!</v>
      </c>
      <c r="C41" s="57" t="e">
        <f t="shared" si="2"/>
        <v>#DIV/0!</v>
      </c>
      <c r="D41" s="57" t="e">
        <f t="shared" si="3"/>
        <v>#DIV/0!</v>
      </c>
      <c r="E41" s="57" t="e">
        <f t="shared" si="4"/>
        <v>#DIV/0!</v>
      </c>
      <c r="F41" s="57" t="e">
        <f t="shared" si="5"/>
        <v>#DIV/0!</v>
      </c>
      <c r="G41" s="57" t="e">
        <f t="shared" si="6"/>
        <v>#DIV/0!</v>
      </c>
      <c r="H41" s="57" t="e">
        <f t="shared" si="7"/>
        <v>#DIV/0!</v>
      </c>
      <c r="I41" s="57" t="e">
        <f t="shared" si="8"/>
        <v>#DIV/0!</v>
      </c>
      <c r="J41" s="57" t="e">
        <f t="shared" si="9"/>
        <v>#DIV/0!</v>
      </c>
      <c r="K41" s="57" t="e">
        <f t="shared" si="10"/>
        <v>#DIV/0!</v>
      </c>
      <c r="L41" s="57" t="e">
        <f t="shared" si="11"/>
        <v>#DIV/0!</v>
      </c>
      <c r="M41" s="57" t="e">
        <f t="shared" si="12"/>
        <v>#DIV/0!</v>
      </c>
      <c r="N41" s="57" t="e">
        <f t="shared" si="13"/>
        <v>#DIV/0!</v>
      </c>
      <c r="O41" s="58" t="e">
        <f>Links!B41</f>
        <v>#DIV/0!</v>
      </c>
      <c r="P41" s="58" t="e">
        <f>Links!C41+'On-Ramps'!AC41</f>
        <v>#DIV/0!</v>
      </c>
      <c r="Q41" s="58" t="e">
        <f>Links!D41</f>
        <v>#DIV/0!</v>
      </c>
      <c r="R41" s="58" t="e">
        <f>Links!E41+'On-Ramps'!AD41</f>
        <v>#DIV/0!</v>
      </c>
      <c r="S41" s="58" t="e">
        <f>Links!F41+'On-Ramps'!AE41</f>
        <v>#DIV/0!</v>
      </c>
      <c r="T41" s="58" t="e">
        <f>Links!I41+'On-Ramps'!AF41</f>
        <v>#DIV/0!</v>
      </c>
      <c r="U41" s="58" t="e">
        <f>Links!J41+'On-Ramps'!AG41</f>
        <v>#DIV/0!</v>
      </c>
      <c r="V41" s="58" t="e">
        <f>Links!L41+'On-Ramps'!AH41</f>
        <v>#DIV/0!</v>
      </c>
      <c r="W41" s="58" t="e">
        <f>Links!M41+'On-Ramps'!AI41</f>
        <v>#DIV/0!</v>
      </c>
      <c r="X41" s="58" t="e">
        <f>Links!P41+'On-Ramps'!AJ41</f>
        <v>#DIV/0!</v>
      </c>
      <c r="Y41" s="58" t="e">
        <f>Links!Q41</f>
        <v>#DIV/0!</v>
      </c>
      <c r="Z41" s="58" t="e">
        <f>Links!R41+'On-Ramps'!AK41</f>
        <v>#DIV/0!</v>
      </c>
      <c r="AA41" s="58" t="e">
        <f>Links!S41</f>
        <v>#DIV/0!</v>
      </c>
      <c r="AB41" s="57" t="e">
        <f t="shared" si="16"/>
        <v>#VALUE!</v>
      </c>
      <c r="AC41" s="63"/>
      <c r="AD41" s="57" t="e">
        <f t="shared" si="17"/>
        <v>#DIV/0!</v>
      </c>
      <c r="AE41" s="63"/>
      <c r="AF41" s="57" t="e">
        <f t="shared" si="18"/>
        <v>#DIV/0!</v>
      </c>
      <c r="AG41" s="57" t="e">
        <f t="shared" si="19"/>
        <v>#DIV/0!</v>
      </c>
      <c r="AH41" s="57" t="e">
        <f t="shared" si="20"/>
        <v>#DIV/0!</v>
      </c>
      <c r="AI41" s="57" t="e">
        <f t="shared" si="21"/>
        <v>#DIV/0!</v>
      </c>
      <c r="AJ41" s="57" t="e">
        <f t="shared" si="22"/>
        <v>#DIV/0!</v>
      </c>
      <c r="AK41" s="57" t="e">
        <f t="shared" si="23"/>
        <v>#DIV/0!</v>
      </c>
      <c r="AL41" s="57" t="e">
        <f t="shared" si="24"/>
        <v>#DIV/0!</v>
      </c>
      <c r="AM41" s="63"/>
      <c r="AN41" s="57" t="e">
        <f t="shared" si="26"/>
        <v>#DIV/0!</v>
      </c>
      <c r="AO41" s="58" t="e">
        <f t="shared" si="27"/>
        <v>#VALUE!</v>
      </c>
      <c r="AP41" s="63"/>
      <c r="AQ41" s="58" t="e">
        <f t="shared" si="27"/>
        <v>#DIV/0!</v>
      </c>
      <c r="AR41" s="63"/>
      <c r="AS41" s="58" t="e">
        <f t="shared" si="27"/>
        <v>#DIV/0!</v>
      </c>
      <c r="AT41" s="58" t="e">
        <f t="shared" si="27"/>
        <v>#DIV/0!</v>
      </c>
      <c r="AU41" s="58" t="e">
        <f t="shared" si="27"/>
        <v>#DIV/0!</v>
      </c>
      <c r="AV41" s="58" t="e">
        <f t="shared" si="27"/>
        <v>#DIV/0!</v>
      </c>
      <c r="AW41" s="58" t="e">
        <f t="shared" si="27"/>
        <v>#DIV/0!</v>
      </c>
      <c r="AX41" s="58" t="e">
        <f t="shared" si="27"/>
        <v>#DIV/0!</v>
      </c>
      <c r="AY41" s="58" t="e">
        <f t="shared" si="27"/>
        <v>#DIV/0!</v>
      </c>
      <c r="AZ41" s="63"/>
      <c r="BA41" s="58" t="e">
        <f t="shared" si="27"/>
        <v>#DIV/0!</v>
      </c>
      <c r="BB41" s="63"/>
      <c r="BC41" s="57" t="e">
        <f>(Links!C41*Links!AQ41+'On-Ramps'!AC41*'On-Ramps'!CE41)/('On-Ramps'!AC41+Links!C41)</f>
        <v>#DIV/0!</v>
      </c>
      <c r="BD41" s="63"/>
      <c r="BE41" s="57" t="e">
        <f>(Links!E41*Links!AS41+'On-Ramps'!AD41*'On-Ramps'!CF40)/('On-Ramps'!AD41+Links!E41)</f>
        <v>#DIV/0!</v>
      </c>
      <c r="BF41" s="57" t="e">
        <f>(Links!F41*Links!AT41+'On-Ramps'!AE41*'On-Ramps'!CG41)/('On-Ramps'!AE41+Links!F41)</f>
        <v>#DIV/0!</v>
      </c>
      <c r="BG41" s="57" t="e">
        <f>(Links!I41*Links!AW41+'On-Ramps'!AF41*'On-Ramps'!CH41)/('On-Ramps'!AF41+Links!I41)</f>
        <v>#DIV/0!</v>
      </c>
      <c r="BH41" s="57" t="e">
        <f>(#REF!*#REF!+'On-Ramps'!AG41*'On-Ramps'!CI41)/('On-Ramps'!AG41+#REF!)</f>
        <v>#REF!</v>
      </c>
      <c r="BI41" s="57" t="e">
        <f>(Links!L41*Links!AZ41+'On-Ramps'!AH41*'On-Ramps'!CJ41)/('On-Ramps'!AH41+Links!L41)</f>
        <v>#DIV/0!</v>
      </c>
      <c r="BJ41" s="57" t="e">
        <f>(Links!BA41*Links!M41+'On-Ramps'!AI41*'On-Ramps'!CK41)/('On-Ramps'!AI41+Links!M41)</f>
        <v>#DIV/0!</v>
      </c>
      <c r="BK41" s="57" t="e">
        <f>(Links!S41*Links!BG41+'On-Ramps'!AJ41*'On-Ramps'!CL41)/('On-Ramps'!AJ41+Links!S41)</f>
        <v>#DIV/0!</v>
      </c>
      <c r="BL41" s="63"/>
      <c r="BM41" s="57" t="e">
        <f>(Links!S41*Links!BG41+'On-Ramps'!AL41*'On-Ramps'!CM41)/(Links!S41+'On-Ramps'!AL41)</f>
        <v>#DIV/0!</v>
      </c>
      <c r="BN41" s="63"/>
      <c r="BO41" s="58" t="e">
        <f>(Links!W41^2+'Off-Ramp'!L41^2)/(Links!W41+'Off-Ramp'!L41)</f>
        <v>#DIV/0!</v>
      </c>
      <c r="BP41" s="63"/>
      <c r="BQ41" s="58" t="e">
        <f>(Links!Y41^2+'Off-Ramp'!C41^2)/(Links!Y41+'Off-Ramp'!C41)</f>
        <v>#DIV/0!</v>
      </c>
      <c r="BR41" s="63"/>
      <c r="BS41" s="58" t="e">
        <f>(Links!AA41^2+'Off-Ramp'!N41^2)/(Links!AA41+'Off-Ramp'!N41)</f>
        <v>#DIV/0!</v>
      </c>
      <c r="BT41" s="58" t="e">
        <f>(Links!AD41^2+'Off-Ramp'!O41^2)/(Links!AD41+'Off-Ramp'!O41)</f>
        <v>#DIV/0!</v>
      </c>
      <c r="BU41" s="58" t="e">
        <f>(Links!AE41^2+'Off-Ramp'!V41^2+'Off-Ramp'!W41^2+'Off-Ramp'!X41^2)/(Links!AE41+'Off-Ramp'!V41+'Off-Ramp'!W41+'Off-Ramp'!X41)</f>
        <v>#DIV/0!</v>
      </c>
      <c r="BV41" s="58" t="e">
        <f>(Links!AG41^2+'Off-Ramp'!Y41^2+'Off-Ramp'!Z41^2+'Off-Ramp'!AA41^2)/(Links!AG41+'Off-Ramp'!Y41+'Off-Ramp'!Z41+'Off-Ramp'!AA41)</f>
        <v>#DIV/0!</v>
      </c>
      <c r="BW41" s="58" t="e">
        <f>(Links!AH41^2+'Off-Ramp'!R41^2)/(Links!AH41+'Off-Ramp'!R41)</f>
        <v>#DIV/0!</v>
      </c>
      <c r="BX41" s="58" t="e">
        <f>(Links!AK41^2+'Off-Ramp'!S41^2)/(Links!AK41+'Off-Ramp'!S41)</f>
        <v>#DIV/0!</v>
      </c>
      <c r="BY41" s="58" t="e">
        <f>(Links!AL41^2+'Off-Ramp'!T41^2)/(Links!AL41+'Off-Ramp'!T41)</f>
        <v>#DIV/0!</v>
      </c>
      <c r="BZ41" s="63"/>
      <c r="CA41" s="58" t="e">
        <f>(Links!AN41^2+'Off-Ramp'!U41^2)/(Links!AN41+'Off-Ramp'!U41)</f>
        <v>#DIV/0!</v>
      </c>
    </row>
    <row r="42" spans="1:79" x14ac:dyDescent="0.15">
      <c r="A42" s="56">
        <v>40</v>
      </c>
      <c r="B42" s="57" t="e">
        <f t="shared" si="1"/>
        <v>#DIV/0!</v>
      </c>
      <c r="C42" s="57" t="e">
        <f t="shared" si="2"/>
        <v>#DIV/0!</v>
      </c>
      <c r="D42" s="57" t="e">
        <f t="shared" si="3"/>
        <v>#DIV/0!</v>
      </c>
      <c r="E42" s="57" t="e">
        <f t="shared" si="4"/>
        <v>#DIV/0!</v>
      </c>
      <c r="F42" s="57" t="e">
        <f t="shared" si="5"/>
        <v>#DIV/0!</v>
      </c>
      <c r="G42" s="57" t="e">
        <f t="shared" si="6"/>
        <v>#DIV/0!</v>
      </c>
      <c r="H42" s="57" t="e">
        <f t="shared" si="7"/>
        <v>#DIV/0!</v>
      </c>
      <c r="I42" s="57" t="e">
        <f t="shared" si="8"/>
        <v>#DIV/0!</v>
      </c>
      <c r="J42" s="57" t="e">
        <f t="shared" si="9"/>
        <v>#DIV/0!</v>
      </c>
      <c r="K42" s="57" t="e">
        <f t="shared" si="10"/>
        <v>#DIV/0!</v>
      </c>
      <c r="L42" s="57" t="e">
        <f t="shared" si="11"/>
        <v>#DIV/0!</v>
      </c>
      <c r="M42" s="57" t="e">
        <f t="shared" si="12"/>
        <v>#DIV/0!</v>
      </c>
      <c r="N42" s="57" t="e">
        <f t="shared" si="13"/>
        <v>#DIV/0!</v>
      </c>
      <c r="O42" s="58" t="e">
        <f>Links!B42</f>
        <v>#DIV/0!</v>
      </c>
      <c r="P42" s="58" t="e">
        <f>Links!C42+'On-Ramps'!AC42</f>
        <v>#DIV/0!</v>
      </c>
      <c r="Q42" s="58" t="e">
        <f>Links!D42</f>
        <v>#DIV/0!</v>
      </c>
      <c r="R42" s="58" t="e">
        <f>Links!E42+'On-Ramps'!AD42</f>
        <v>#DIV/0!</v>
      </c>
      <c r="S42" s="58" t="e">
        <f>Links!F42+'On-Ramps'!AE42</f>
        <v>#DIV/0!</v>
      </c>
      <c r="T42" s="58" t="e">
        <f>Links!I42+'On-Ramps'!AF42</f>
        <v>#DIV/0!</v>
      </c>
      <c r="U42" s="58" t="e">
        <f>Links!J42+'On-Ramps'!AG42</f>
        <v>#DIV/0!</v>
      </c>
      <c r="V42" s="58" t="e">
        <f>Links!L42+'On-Ramps'!AH42</f>
        <v>#DIV/0!</v>
      </c>
      <c r="W42" s="58" t="e">
        <f>Links!M42+'On-Ramps'!AI42</f>
        <v>#DIV/0!</v>
      </c>
      <c r="X42" s="58" t="e">
        <f>Links!P42+'On-Ramps'!AJ42</f>
        <v>#DIV/0!</v>
      </c>
      <c r="Y42" s="58" t="e">
        <f>Links!Q42</f>
        <v>#DIV/0!</v>
      </c>
      <c r="Z42" s="58" t="e">
        <f>Links!R42+'On-Ramps'!AK42</f>
        <v>#DIV/0!</v>
      </c>
      <c r="AA42" s="58" t="e">
        <f>Links!S42</f>
        <v>#DIV/0!</v>
      </c>
      <c r="AB42" s="57" t="e">
        <f t="shared" si="16"/>
        <v>#VALUE!</v>
      </c>
      <c r="AC42" s="63"/>
      <c r="AD42" s="57" t="e">
        <f t="shared" si="17"/>
        <v>#DIV/0!</v>
      </c>
      <c r="AE42" s="63"/>
      <c r="AF42" s="57" t="e">
        <f t="shared" si="18"/>
        <v>#DIV/0!</v>
      </c>
      <c r="AG42" s="57" t="e">
        <f t="shared" si="19"/>
        <v>#DIV/0!</v>
      </c>
      <c r="AH42" s="57" t="e">
        <f t="shared" si="20"/>
        <v>#DIV/0!</v>
      </c>
      <c r="AI42" s="57" t="e">
        <f t="shared" si="21"/>
        <v>#DIV/0!</v>
      </c>
      <c r="AJ42" s="57" t="e">
        <f t="shared" si="22"/>
        <v>#DIV/0!</v>
      </c>
      <c r="AK42" s="57" t="e">
        <f t="shared" si="23"/>
        <v>#DIV/0!</v>
      </c>
      <c r="AL42" s="57" t="e">
        <f t="shared" si="24"/>
        <v>#DIV/0!</v>
      </c>
      <c r="AM42" s="63"/>
      <c r="AN42" s="57" t="e">
        <f t="shared" si="26"/>
        <v>#DIV/0!</v>
      </c>
      <c r="AO42" s="58" t="e">
        <f t="shared" si="27"/>
        <v>#VALUE!</v>
      </c>
      <c r="AP42" s="63"/>
      <c r="AQ42" s="58" t="e">
        <f t="shared" si="27"/>
        <v>#DIV/0!</v>
      </c>
      <c r="AR42" s="63"/>
      <c r="AS42" s="58" t="e">
        <f t="shared" si="27"/>
        <v>#DIV/0!</v>
      </c>
      <c r="AT42" s="58" t="e">
        <f t="shared" si="27"/>
        <v>#DIV/0!</v>
      </c>
      <c r="AU42" s="58" t="e">
        <f t="shared" si="27"/>
        <v>#DIV/0!</v>
      </c>
      <c r="AV42" s="58" t="e">
        <f t="shared" si="27"/>
        <v>#DIV/0!</v>
      </c>
      <c r="AW42" s="58" t="e">
        <f t="shared" si="27"/>
        <v>#DIV/0!</v>
      </c>
      <c r="AX42" s="58" t="e">
        <f t="shared" si="27"/>
        <v>#DIV/0!</v>
      </c>
      <c r="AY42" s="58" t="e">
        <f t="shared" si="27"/>
        <v>#DIV/0!</v>
      </c>
      <c r="AZ42" s="63"/>
      <c r="BA42" s="58" t="e">
        <f t="shared" si="27"/>
        <v>#DIV/0!</v>
      </c>
      <c r="BB42" s="63"/>
      <c r="BC42" s="57" t="e">
        <f>(Links!C42*Links!AQ42+'On-Ramps'!AC42*'On-Ramps'!CE42)/('On-Ramps'!AC42+Links!C42)</f>
        <v>#DIV/0!</v>
      </c>
      <c r="BD42" s="63"/>
      <c r="BE42" s="57" t="e">
        <f>(Links!E42*Links!AS42+'On-Ramps'!AD42*'On-Ramps'!CF41)/('On-Ramps'!AD42+Links!E42)</f>
        <v>#DIV/0!</v>
      </c>
      <c r="BF42" s="57" t="e">
        <f>(Links!F42*Links!AT42+'On-Ramps'!AE42*'On-Ramps'!CG42)/('On-Ramps'!AE42+Links!F42)</f>
        <v>#DIV/0!</v>
      </c>
      <c r="BG42" s="57" t="e">
        <f>(Links!I42*Links!AW42+'On-Ramps'!AF42*'On-Ramps'!CH42)/('On-Ramps'!AF42+Links!I42)</f>
        <v>#DIV/0!</v>
      </c>
      <c r="BH42" s="57" t="e">
        <f>(#REF!*#REF!+'On-Ramps'!AG42*'On-Ramps'!CI42)/('On-Ramps'!AG42+#REF!)</f>
        <v>#REF!</v>
      </c>
      <c r="BI42" s="57" t="e">
        <f>(Links!L42*Links!AZ42+'On-Ramps'!AH42*'On-Ramps'!CJ42)/('On-Ramps'!AH42+Links!L42)</f>
        <v>#DIV/0!</v>
      </c>
      <c r="BJ42" s="57" t="e">
        <f>(Links!BA42*Links!M42+'On-Ramps'!AI42*'On-Ramps'!CK42)/('On-Ramps'!AI42+Links!M42)</f>
        <v>#DIV/0!</v>
      </c>
      <c r="BK42" s="57" t="e">
        <f>(Links!S42*Links!BG42+'On-Ramps'!AJ42*'On-Ramps'!CL42)/('On-Ramps'!AJ42+Links!S42)</f>
        <v>#DIV/0!</v>
      </c>
      <c r="BL42" s="63"/>
      <c r="BM42" s="57" t="e">
        <f>(Links!S42*Links!BG42+'On-Ramps'!AL42*'On-Ramps'!CM42)/(Links!S42+'On-Ramps'!AL42)</f>
        <v>#DIV/0!</v>
      </c>
      <c r="BN42" s="63"/>
      <c r="BO42" s="58" t="e">
        <f>(Links!W42^2+'Off-Ramp'!L42^2)/(Links!W42+'Off-Ramp'!L42)</f>
        <v>#DIV/0!</v>
      </c>
      <c r="BP42" s="63"/>
      <c r="BQ42" s="58" t="e">
        <f>(Links!Y42^2+'Off-Ramp'!C42^2)/(Links!Y42+'Off-Ramp'!C42)</f>
        <v>#DIV/0!</v>
      </c>
      <c r="BR42" s="63"/>
      <c r="BS42" s="58" t="e">
        <f>(Links!AA42^2+'Off-Ramp'!N42^2)/(Links!AA42+'Off-Ramp'!N42)</f>
        <v>#DIV/0!</v>
      </c>
      <c r="BT42" s="58" t="e">
        <f>(Links!AD42^2+'Off-Ramp'!O42^2)/(Links!AD42+'Off-Ramp'!O42)</f>
        <v>#DIV/0!</v>
      </c>
      <c r="BU42" s="58" t="e">
        <f>(Links!AE42^2+'Off-Ramp'!V42^2+'Off-Ramp'!W42^2+'Off-Ramp'!X42^2)/(Links!AE42+'Off-Ramp'!V42+'Off-Ramp'!W42+'Off-Ramp'!X42)</f>
        <v>#DIV/0!</v>
      </c>
      <c r="BV42" s="58" t="e">
        <f>(Links!AG42^2+'Off-Ramp'!Y42^2+'Off-Ramp'!Z42^2+'Off-Ramp'!AA42^2)/(Links!AG42+'Off-Ramp'!Y42+'Off-Ramp'!Z42+'Off-Ramp'!AA42)</f>
        <v>#DIV/0!</v>
      </c>
      <c r="BW42" s="58" t="e">
        <f>(Links!AH42^2+'Off-Ramp'!R42^2)/(Links!AH42+'Off-Ramp'!R42)</f>
        <v>#DIV/0!</v>
      </c>
      <c r="BX42" s="58" t="e">
        <f>(Links!AK42^2+'Off-Ramp'!S42^2)/(Links!AK42+'Off-Ramp'!S42)</f>
        <v>#DIV/0!</v>
      </c>
      <c r="BY42" s="58" t="e">
        <f>(Links!AL42^2+'Off-Ramp'!T42^2)/(Links!AL42+'Off-Ramp'!T42)</f>
        <v>#DIV/0!</v>
      </c>
      <c r="BZ42" s="63"/>
      <c r="CA42" s="58" t="e">
        <f>(Links!AN42^2+'Off-Ramp'!U42^2)/(Links!AN42+'Off-Ramp'!U42)</f>
        <v>#DIV/0!</v>
      </c>
    </row>
    <row r="43" spans="1:79" x14ac:dyDescent="0.15">
      <c r="A43" s="56">
        <v>41</v>
      </c>
      <c r="B43" s="57" t="e">
        <f t="shared" si="1"/>
        <v>#DIV/0!</v>
      </c>
      <c r="C43" s="57" t="e">
        <f t="shared" si="2"/>
        <v>#DIV/0!</v>
      </c>
      <c r="D43" s="57" t="e">
        <f t="shared" si="3"/>
        <v>#DIV/0!</v>
      </c>
      <c r="E43" s="57" t="e">
        <f t="shared" si="4"/>
        <v>#DIV/0!</v>
      </c>
      <c r="F43" s="57" t="e">
        <f t="shared" si="5"/>
        <v>#DIV/0!</v>
      </c>
      <c r="G43" s="57" t="e">
        <f t="shared" si="6"/>
        <v>#DIV/0!</v>
      </c>
      <c r="H43" s="57" t="e">
        <f t="shared" si="7"/>
        <v>#DIV/0!</v>
      </c>
      <c r="I43" s="57" t="e">
        <f t="shared" si="8"/>
        <v>#DIV/0!</v>
      </c>
      <c r="J43" s="57" t="e">
        <f t="shared" si="9"/>
        <v>#DIV/0!</v>
      </c>
      <c r="K43" s="57" t="e">
        <f t="shared" si="10"/>
        <v>#DIV/0!</v>
      </c>
      <c r="L43" s="57" t="e">
        <f t="shared" si="11"/>
        <v>#DIV/0!</v>
      </c>
      <c r="M43" s="57" t="e">
        <f t="shared" si="12"/>
        <v>#DIV/0!</v>
      </c>
      <c r="N43" s="57" t="e">
        <f t="shared" si="13"/>
        <v>#DIV/0!</v>
      </c>
      <c r="O43" s="58" t="e">
        <f>Links!B43</f>
        <v>#DIV/0!</v>
      </c>
      <c r="P43" s="58" t="e">
        <f>Links!C43+'On-Ramps'!AC43</f>
        <v>#DIV/0!</v>
      </c>
      <c r="Q43" s="58" t="e">
        <f>Links!D43</f>
        <v>#DIV/0!</v>
      </c>
      <c r="R43" s="58" t="e">
        <f>Links!E43+'On-Ramps'!AD43</f>
        <v>#DIV/0!</v>
      </c>
      <c r="S43" s="58" t="e">
        <f>Links!F43+'On-Ramps'!AE43</f>
        <v>#DIV/0!</v>
      </c>
      <c r="T43" s="58" t="e">
        <f>Links!I43+'On-Ramps'!AF43</f>
        <v>#DIV/0!</v>
      </c>
      <c r="U43" s="58" t="e">
        <f>Links!J43+'On-Ramps'!AG43</f>
        <v>#DIV/0!</v>
      </c>
      <c r="V43" s="58" t="e">
        <f>Links!L43+'On-Ramps'!AH43</f>
        <v>#DIV/0!</v>
      </c>
      <c r="W43" s="58" t="e">
        <f>Links!M43+'On-Ramps'!AI43</f>
        <v>#DIV/0!</v>
      </c>
      <c r="X43" s="58" t="e">
        <f>Links!P43+'On-Ramps'!AJ43</f>
        <v>#DIV/0!</v>
      </c>
      <c r="Y43" s="58" t="e">
        <f>Links!Q43</f>
        <v>#DIV/0!</v>
      </c>
      <c r="Z43" s="58" t="e">
        <f>Links!R43+'On-Ramps'!AK43</f>
        <v>#DIV/0!</v>
      </c>
      <c r="AA43" s="58" t="e">
        <f>Links!S43</f>
        <v>#DIV/0!</v>
      </c>
      <c r="AB43" s="57" t="e">
        <f t="shared" si="16"/>
        <v>#VALUE!</v>
      </c>
      <c r="AC43" s="63"/>
      <c r="AD43" s="57" t="e">
        <f t="shared" si="17"/>
        <v>#DIV/0!</v>
      </c>
      <c r="AE43" s="63"/>
      <c r="AF43" s="57" t="e">
        <f t="shared" si="18"/>
        <v>#DIV/0!</v>
      </c>
      <c r="AG43" s="57" t="e">
        <f t="shared" si="19"/>
        <v>#DIV/0!</v>
      </c>
      <c r="AH43" s="57" t="e">
        <f t="shared" si="20"/>
        <v>#DIV/0!</v>
      </c>
      <c r="AI43" s="57" t="e">
        <f t="shared" si="21"/>
        <v>#DIV/0!</v>
      </c>
      <c r="AJ43" s="57" t="e">
        <f t="shared" si="22"/>
        <v>#DIV/0!</v>
      </c>
      <c r="AK43" s="57" t="e">
        <f t="shared" si="23"/>
        <v>#DIV/0!</v>
      </c>
      <c r="AL43" s="57" t="e">
        <f t="shared" si="24"/>
        <v>#DIV/0!</v>
      </c>
      <c r="AM43" s="63"/>
      <c r="AN43" s="57" t="e">
        <f t="shared" si="26"/>
        <v>#DIV/0!</v>
      </c>
      <c r="AO43" s="58" t="e">
        <f t="shared" si="27"/>
        <v>#VALUE!</v>
      </c>
      <c r="AP43" s="63"/>
      <c r="AQ43" s="58" t="e">
        <f t="shared" si="27"/>
        <v>#DIV/0!</v>
      </c>
      <c r="AR43" s="63"/>
      <c r="AS43" s="58" t="e">
        <f t="shared" si="27"/>
        <v>#DIV/0!</v>
      </c>
      <c r="AT43" s="58" t="e">
        <f t="shared" si="27"/>
        <v>#DIV/0!</v>
      </c>
      <c r="AU43" s="58" t="e">
        <f t="shared" si="27"/>
        <v>#DIV/0!</v>
      </c>
      <c r="AV43" s="58" t="e">
        <f t="shared" si="27"/>
        <v>#DIV/0!</v>
      </c>
      <c r="AW43" s="58" t="e">
        <f t="shared" si="27"/>
        <v>#DIV/0!</v>
      </c>
      <c r="AX43" s="58" t="e">
        <f t="shared" si="27"/>
        <v>#DIV/0!</v>
      </c>
      <c r="AY43" s="58" t="e">
        <f t="shared" si="27"/>
        <v>#DIV/0!</v>
      </c>
      <c r="AZ43" s="63"/>
      <c r="BA43" s="58" t="e">
        <f t="shared" si="27"/>
        <v>#DIV/0!</v>
      </c>
      <c r="BB43" s="63"/>
      <c r="BC43" s="57" t="e">
        <f>(Links!C43*Links!AQ43+'On-Ramps'!AC43*'On-Ramps'!CE43)/('On-Ramps'!AC43+Links!C43)</f>
        <v>#DIV/0!</v>
      </c>
      <c r="BD43" s="63"/>
      <c r="BE43" s="57" t="e">
        <f>(Links!E43*Links!AS43+'On-Ramps'!AD43*'On-Ramps'!CF42)/('On-Ramps'!AD43+Links!E43)</f>
        <v>#DIV/0!</v>
      </c>
      <c r="BF43" s="57" t="e">
        <f>(Links!F43*Links!AT43+'On-Ramps'!AE43*'On-Ramps'!CG43)/('On-Ramps'!AE43+Links!F43)</f>
        <v>#DIV/0!</v>
      </c>
      <c r="BG43" s="57" t="e">
        <f>(Links!I43*Links!AW43+'On-Ramps'!AF43*'On-Ramps'!CH43)/('On-Ramps'!AF43+Links!I43)</f>
        <v>#DIV/0!</v>
      </c>
      <c r="BH43" s="57" t="e">
        <f>(#REF!*#REF!+'On-Ramps'!AG43*'On-Ramps'!CI43)/('On-Ramps'!AG43+#REF!)</f>
        <v>#REF!</v>
      </c>
      <c r="BI43" s="57" t="e">
        <f>(Links!L43*Links!AZ43+'On-Ramps'!AH43*'On-Ramps'!CJ43)/('On-Ramps'!AH43+Links!L43)</f>
        <v>#DIV/0!</v>
      </c>
      <c r="BJ43" s="57" t="e">
        <f>(Links!BA43*Links!M43+'On-Ramps'!AI43*'On-Ramps'!CK43)/('On-Ramps'!AI43+Links!M43)</f>
        <v>#DIV/0!</v>
      </c>
      <c r="BK43" s="57" t="e">
        <f>(Links!S43*Links!BG43+'On-Ramps'!AJ43*'On-Ramps'!CL43)/('On-Ramps'!AJ43+Links!S43)</f>
        <v>#DIV/0!</v>
      </c>
      <c r="BL43" s="63"/>
      <c r="BM43" s="57" t="e">
        <f>(Links!S43*Links!BG43+'On-Ramps'!AL43*'On-Ramps'!CM43)/(Links!S43+'On-Ramps'!AL43)</f>
        <v>#DIV/0!</v>
      </c>
      <c r="BN43" s="63"/>
      <c r="BO43" s="58" t="e">
        <f>(Links!W43^2+'Off-Ramp'!L43^2)/(Links!W43+'Off-Ramp'!L43)</f>
        <v>#DIV/0!</v>
      </c>
      <c r="BP43" s="63"/>
      <c r="BQ43" s="58" t="e">
        <f>(Links!Y43^2+'Off-Ramp'!C43^2)/(Links!Y43+'Off-Ramp'!C43)</f>
        <v>#DIV/0!</v>
      </c>
      <c r="BR43" s="63"/>
      <c r="BS43" s="58" t="e">
        <f>(Links!AA43^2+'Off-Ramp'!N43^2)/(Links!AA43+'Off-Ramp'!N43)</f>
        <v>#DIV/0!</v>
      </c>
      <c r="BT43" s="58" t="e">
        <f>(Links!AD43^2+'Off-Ramp'!O43^2)/(Links!AD43+'Off-Ramp'!O43)</f>
        <v>#DIV/0!</v>
      </c>
      <c r="BU43" s="58" t="e">
        <f>(Links!AE43^2+'Off-Ramp'!V43^2+'Off-Ramp'!W43^2+'Off-Ramp'!X43^2)/(Links!AE43+'Off-Ramp'!V43+'Off-Ramp'!W43+'Off-Ramp'!X43)</f>
        <v>#DIV/0!</v>
      </c>
      <c r="BV43" s="58" t="e">
        <f>(Links!AG43^2+'Off-Ramp'!Y43^2+'Off-Ramp'!Z43^2+'Off-Ramp'!AA43^2)/(Links!AG43+'Off-Ramp'!Y43+'Off-Ramp'!Z43+'Off-Ramp'!AA43)</f>
        <v>#DIV/0!</v>
      </c>
      <c r="BW43" s="58" t="e">
        <f>(Links!AH43^2+'Off-Ramp'!R43^2)/(Links!AH43+'Off-Ramp'!R43)</f>
        <v>#DIV/0!</v>
      </c>
      <c r="BX43" s="58" t="e">
        <f>(Links!AK43^2+'Off-Ramp'!S43^2)/(Links!AK43+'Off-Ramp'!S43)</f>
        <v>#DIV/0!</v>
      </c>
      <c r="BY43" s="58" t="e">
        <f>(Links!AL43^2+'Off-Ramp'!T43^2)/(Links!AL43+'Off-Ramp'!T43)</f>
        <v>#DIV/0!</v>
      </c>
      <c r="BZ43" s="63"/>
      <c r="CA43" s="58" t="e">
        <f>(Links!AN43^2+'Off-Ramp'!U43^2)/(Links!AN43+'Off-Ramp'!U43)</f>
        <v>#DIV/0!</v>
      </c>
    </row>
    <row r="44" spans="1:79" x14ac:dyDescent="0.15">
      <c r="A44" s="56">
        <v>42</v>
      </c>
      <c r="B44" s="57" t="e">
        <f t="shared" si="1"/>
        <v>#DIV/0!</v>
      </c>
      <c r="C44" s="57" t="e">
        <f t="shared" si="2"/>
        <v>#DIV/0!</v>
      </c>
      <c r="D44" s="57" t="e">
        <f t="shared" si="3"/>
        <v>#DIV/0!</v>
      </c>
      <c r="E44" s="57" t="e">
        <f t="shared" si="4"/>
        <v>#DIV/0!</v>
      </c>
      <c r="F44" s="57" t="e">
        <f t="shared" si="5"/>
        <v>#DIV/0!</v>
      </c>
      <c r="G44" s="57" t="e">
        <f t="shared" si="6"/>
        <v>#DIV/0!</v>
      </c>
      <c r="H44" s="57" t="e">
        <f t="shared" si="7"/>
        <v>#DIV/0!</v>
      </c>
      <c r="I44" s="57" t="e">
        <f t="shared" si="8"/>
        <v>#DIV/0!</v>
      </c>
      <c r="J44" s="57" t="e">
        <f t="shared" si="9"/>
        <v>#DIV/0!</v>
      </c>
      <c r="K44" s="57" t="e">
        <f t="shared" si="10"/>
        <v>#DIV/0!</v>
      </c>
      <c r="L44" s="57" t="e">
        <f t="shared" si="11"/>
        <v>#DIV/0!</v>
      </c>
      <c r="M44" s="57" t="e">
        <f t="shared" si="12"/>
        <v>#DIV/0!</v>
      </c>
      <c r="N44" s="57" t="e">
        <f t="shared" si="13"/>
        <v>#DIV/0!</v>
      </c>
      <c r="O44" s="58" t="e">
        <f>Links!B44</f>
        <v>#DIV/0!</v>
      </c>
      <c r="P44" s="58" t="e">
        <f>Links!C44+'On-Ramps'!AC44</f>
        <v>#DIV/0!</v>
      </c>
      <c r="Q44" s="58" t="e">
        <f>Links!D44</f>
        <v>#DIV/0!</v>
      </c>
      <c r="R44" s="58" t="e">
        <f>Links!E44+'On-Ramps'!AD44</f>
        <v>#DIV/0!</v>
      </c>
      <c r="S44" s="58" t="e">
        <f>Links!F44+'On-Ramps'!AE44</f>
        <v>#DIV/0!</v>
      </c>
      <c r="T44" s="58" t="e">
        <f>Links!I44+'On-Ramps'!AF44</f>
        <v>#DIV/0!</v>
      </c>
      <c r="U44" s="58" t="e">
        <f>Links!J44+'On-Ramps'!AG44</f>
        <v>#DIV/0!</v>
      </c>
      <c r="V44" s="58" t="e">
        <f>Links!L44+'On-Ramps'!AH44</f>
        <v>#DIV/0!</v>
      </c>
      <c r="W44" s="58" t="e">
        <f>Links!M44+'On-Ramps'!AI44</f>
        <v>#DIV/0!</v>
      </c>
      <c r="X44" s="58" t="e">
        <f>Links!P44+'On-Ramps'!AJ44</f>
        <v>#DIV/0!</v>
      </c>
      <c r="Y44" s="58" t="e">
        <f>Links!Q44</f>
        <v>#DIV/0!</v>
      </c>
      <c r="Z44" s="58" t="e">
        <f>Links!R44+'On-Ramps'!AK44</f>
        <v>#DIV/0!</v>
      </c>
      <c r="AA44" s="58" t="e">
        <f>Links!S44</f>
        <v>#DIV/0!</v>
      </c>
      <c r="AB44" s="57" t="e">
        <f t="shared" si="16"/>
        <v>#VALUE!</v>
      </c>
      <c r="AC44" s="63"/>
      <c r="AD44" s="57" t="e">
        <f t="shared" si="17"/>
        <v>#DIV/0!</v>
      </c>
      <c r="AE44" s="63"/>
      <c r="AF44" s="57" t="e">
        <f t="shared" si="18"/>
        <v>#DIV/0!</v>
      </c>
      <c r="AG44" s="57" t="e">
        <f t="shared" si="19"/>
        <v>#DIV/0!</v>
      </c>
      <c r="AH44" s="57" t="e">
        <f t="shared" si="20"/>
        <v>#DIV/0!</v>
      </c>
      <c r="AI44" s="57" t="e">
        <f t="shared" si="21"/>
        <v>#DIV/0!</v>
      </c>
      <c r="AJ44" s="57" t="e">
        <f t="shared" si="22"/>
        <v>#DIV/0!</v>
      </c>
      <c r="AK44" s="57" t="e">
        <f t="shared" si="23"/>
        <v>#DIV/0!</v>
      </c>
      <c r="AL44" s="57" t="e">
        <f t="shared" si="24"/>
        <v>#DIV/0!</v>
      </c>
      <c r="AM44" s="63"/>
      <c r="AN44" s="57" t="e">
        <f t="shared" si="26"/>
        <v>#DIV/0!</v>
      </c>
      <c r="AO44" s="58" t="e">
        <f t="shared" si="27"/>
        <v>#VALUE!</v>
      </c>
      <c r="AP44" s="63"/>
      <c r="AQ44" s="58" t="e">
        <f t="shared" si="27"/>
        <v>#DIV/0!</v>
      </c>
      <c r="AR44" s="63"/>
      <c r="AS44" s="58" t="e">
        <f t="shared" si="27"/>
        <v>#DIV/0!</v>
      </c>
      <c r="AT44" s="58" t="e">
        <f t="shared" si="27"/>
        <v>#DIV/0!</v>
      </c>
      <c r="AU44" s="58" t="e">
        <f t="shared" si="27"/>
        <v>#DIV/0!</v>
      </c>
      <c r="AV44" s="58" t="e">
        <f t="shared" si="27"/>
        <v>#DIV/0!</v>
      </c>
      <c r="AW44" s="58" t="e">
        <f t="shared" si="27"/>
        <v>#DIV/0!</v>
      </c>
      <c r="AX44" s="58" t="e">
        <f t="shared" si="27"/>
        <v>#DIV/0!</v>
      </c>
      <c r="AY44" s="58" t="e">
        <f t="shared" si="27"/>
        <v>#DIV/0!</v>
      </c>
      <c r="AZ44" s="63"/>
      <c r="BA44" s="58" t="e">
        <f t="shared" si="27"/>
        <v>#DIV/0!</v>
      </c>
      <c r="BB44" s="63"/>
      <c r="BC44" s="57" t="e">
        <f>(Links!C44*Links!AQ44+'On-Ramps'!AC44*'On-Ramps'!CE44)/('On-Ramps'!AC44+Links!C44)</f>
        <v>#DIV/0!</v>
      </c>
      <c r="BD44" s="63"/>
      <c r="BE44" s="57" t="e">
        <f>(Links!E44*Links!AS44+'On-Ramps'!AD44*'On-Ramps'!CF43)/('On-Ramps'!AD44+Links!E44)</f>
        <v>#DIV/0!</v>
      </c>
      <c r="BF44" s="57" t="e">
        <f>(Links!F44*Links!AT44+'On-Ramps'!AE44*'On-Ramps'!CG44)/('On-Ramps'!AE44+Links!F44)</f>
        <v>#DIV/0!</v>
      </c>
      <c r="BG44" s="57" t="e">
        <f>(Links!I44*Links!AW44+'On-Ramps'!AF44*'On-Ramps'!CH44)/('On-Ramps'!AF44+Links!I44)</f>
        <v>#DIV/0!</v>
      </c>
      <c r="BH44" s="57" t="e">
        <f>(#REF!*#REF!+'On-Ramps'!AG44*'On-Ramps'!CI44)/('On-Ramps'!AG44+#REF!)</f>
        <v>#REF!</v>
      </c>
      <c r="BI44" s="57" t="e">
        <f>(Links!L44*Links!AZ44+'On-Ramps'!AH44*'On-Ramps'!CJ44)/('On-Ramps'!AH44+Links!L44)</f>
        <v>#DIV/0!</v>
      </c>
      <c r="BJ44" s="57" t="e">
        <f>(Links!BA44*Links!M44+'On-Ramps'!AI44*'On-Ramps'!CK44)/('On-Ramps'!AI44+Links!M44)</f>
        <v>#DIV/0!</v>
      </c>
      <c r="BK44" s="57" t="e">
        <f>(Links!S44*Links!BG44+'On-Ramps'!AJ44*'On-Ramps'!CL44)/('On-Ramps'!AJ44+Links!S44)</f>
        <v>#DIV/0!</v>
      </c>
      <c r="BL44" s="63"/>
      <c r="BM44" s="57" t="e">
        <f>(Links!S44*Links!BG44+'On-Ramps'!AL44*'On-Ramps'!CM44)/(Links!S44+'On-Ramps'!AL44)</f>
        <v>#DIV/0!</v>
      </c>
      <c r="BN44" s="63"/>
      <c r="BO44" s="58" t="e">
        <f>(Links!W44^2+'Off-Ramp'!L44^2)/(Links!W44+'Off-Ramp'!L44)</f>
        <v>#DIV/0!</v>
      </c>
      <c r="BP44" s="63"/>
      <c r="BQ44" s="58" t="e">
        <f>(Links!Y44^2+'Off-Ramp'!C44^2)/(Links!Y44+'Off-Ramp'!C44)</f>
        <v>#DIV/0!</v>
      </c>
      <c r="BR44" s="63"/>
      <c r="BS44" s="58" t="e">
        <f>(Links!AA44^2+'Off-Ramp'!N44^2)/(Links!AA44+'Off-Ramp'!N44)</f>
        <v>#DIV/0!</v>
      </c>
      <c r="BT44" s="58" t="e">
        <f>(Links!AD44^2+'Off-Ramp'!O44^2)/(Links!AD44+'Off-Ramp'!O44)</f>
        <v>#DIV/0!</v>
      </c>
      <c r="BU44" s="58" t="e">
        <f>(Links!AE44^2+'Off-Ramp'!V44^2+'Off-Ramp'!W44^2+'Off-Ramp'!X44^2)/(Links!AE44+'Off-Ramp'!V44+'Off-Ramp'!W44+'Off-Ramp'!X44)</f>
        <v>#DIV/0!</v>
      </c>
      <c r="BV44" s="58" t="e">
        <f>(Links!AG44^2+'Off-Ramp'!Y44^2+'Off-Ramp'!Z44^2+'Off-Ramp'!AA44^2)/(Links!AG44+'Off-Ramp'!Y44+'Off-Ramp'!Z44+'Off-Ramp'!AA44)</f>
        <v>#DIV/0!</v>
      </c>
      <c r="BW44" s="58" t="e">
        <f>(Links!AH44^2+'Off-Ramp'!R44^2)/(Links!AH44+'Off-Ramp'!R44)</f>
        <v>#DIV/0!</v>
      </c>
      <c r="BX44" s="58" t="e">
        <f>(Links!AK44^2+'Off-Ramp'!S44^2)/(Links!AK44+'Off-Ramp'!S44)</f>
        <v>#DIV/0!</v>
      </c>
      <c r="BY44" s="58" t="e">
        <f>(Links!AL44^2+'Off-Ramp'!T44^2)/(Links!AL44+'Off-Ramp'!T44)</f>
        <v>#DIV/0!</v>
      </c>
      <c r="BZ44" s="63"/>
      <c r="CA44" s="58" t="e">
        <f>(Links!AN44^2+'Off-Ramp'!U44^2)/(Links!AN44+'Off-Ramp'!U44)</f>
        <v>#DIV/0!</v>
      </c>
    </row>
    <row r="45" spans="1:79" x14ac:dyDescent="0.15">
      <c r="A45" s="56">
        <v>43</v>
      </c>
      <c r="B45" s="57" t="e">
        <f t="shared" si="1"/>
        <v>#DIV/0!</v>
      </c>
      <c r="C45" s="57" t="e">
        <f t="shared" si="2"/>
        <v>#DIV/0!</v>
      </c>
      <c r="D45" s="57" t="e">
        <f t="shared" si="3"/>
        <v>#DIV/0!</v>
      </c>
      <c r="E45" s="57" t="e">
        <f t="shared" si="4"/>
        <v>#DIV/0!</v>
      </c>
      <c r="F45" s="57" t="e">
        <f t="shared" si="5"/>
        <v>#DIV/0!</v>
      </c>
      <c r="G45" s="57" t="e">
        <f t="shared" si="6"/>
        <v>#DIV/0!</v>
      </c>
      <c r="H45" s="57" t="e">
        <f t="shared" si="7"/>
        <v>#DIV/0!</v>
      </c>
      <c r="I45" s="57" t="e">
        <f t="shared" si="8"/>
        <v>#DIV/0!</v>
      </c>
      <c r="J45" s="57" t="e">
        <f t="shared" si="9"/>
        <v>#DIV/0!</v>
      </c>
      <c r="K45" s="57" t="e">
        <f t="shared" si="10"/>
        <v>#DIV/0!</v>
      </c>
      <c r="L45" s="57" t="e">
        <f t="shared" si="11"/>
        <v>#DIV/0!</v>
      </c>
      <c r="M45" s="57" t="e">
        <f t="shared" si="12"/>
        <v>#DIV/0!</v>
      </c>
      <c r="N45" s="57" t="e">
        <f t="shared" si="13"/>
        <v>#DIV/0!</v>
      </c>
      <c r="O45" s="58" t="e">
        <f>Links!B45</f>
        <v>#DIV/0!</v>
      </c>
      <c r="P45" s="58" t="e">
        <f>Links!C45+'On-Ramps'!AC45</f>
        <v>#DIV/0!</v>
      </c>
      <c r="Q45" s="58" t="e">
        <f>Links!D45</f>
        <v>#DIV/0!</v>
      </c>
      <c r="R45" s="58" t="e">
        <f>Links!E45+'On-Ramps'!AD45</f>
        <v>#DIV/0!</v>
      </c>
      <c r="S45" s="58" t="e">
        <f>Links!F45+'On-Ramps'!AE45</f>
        <v>#DIV/0!</v>
      </c>
      <c r="T45" s="58" t="e">
        <f>Links!I45+'On-Ramps'!AF45</f>
        <v>#DIV/0!</v>
      </c>
      <c r="U45" s="58" t="e">
        <f>Links!J45+'On-Ramps'!AG45</f>
        <v>#DIV/0!</v>
      </c>
      <c r="V45" s="58" t="e">
        <f>Links!L45+'On-Ramps'!AH45</f>
        <v>#DIV/0!</v>
      </c>
      <c r="W45" s="58" t="e">
        <f>Links!M45+'On-Ramps'!AI45</f>
        <v>#DIV/0!</v>
      </c>
      <c r="X45" s="58" t="e">
        <f>Links!P45+'On-Ramps'!AJ45</f>
        <v>#DIV/0!</v>
      </c>
      <c r="Y45" s="58" t="e">
        <f>Links!Q45</f>
        <v>#DIV/0!</v>
      </c>
      <c r="Z45" s="58" t="e">
        <f>Links!R45+'On-Ramps'!AK45</f>
        <v>#DIV/0!</v>
      </c>
      <c r="AA45" s="58" t="e">
        <f>Links!S45</f>
        <v>#DIV/0!</v>
      </c>
      <c r="AB45" s="57" t="e">
        <f t="shared" si="16"/>
        <v>#VALUE!</v>
      </c>
      <c r="AC45" s="63"/>
      <c r="AD45" s="57" t="e">
        <f t="shared" si="17"/>
        <v>#DIV/0!</v>
      </c>
      <c r="AE45" s="63"/>
      <c r="AF45" s="57" t="e">
        <f t="shared" si="18"/>
        <v>#DIV/0!</v>
      </c>
      <c r="AG45" s="57" t="e">
        <f t="shared" si="19"/>
        <v>#DIV/0!</v>
      </c>
      <c r="AH45" s="57" t="e">
        <f t="shared" si="20"/>
        <v>#DIV/0!</v>
      </c>
      <c r="AI45" s="57" t="e">
        <f t="shared" si="21"/>
        <v>#DIV/0!</v>
      </c>
      <c r="AJ45" s="57" t="e">
        <f t="shared" si="22"/>
        <v>#DIV/0!</v>
      </c>
      <c r="AK45" s="57" t="e">
        <f t="shared" si="23"/>
        <v>#DIV/0!</v>
      </c>
      <c r="AL45" s="57" t="e">
        <f t="shared" si="24"/>
        <v>#DIV/0!</v>
      </c>
      <c r="AM45" s="63"/>
      <c r="AN45" s="57" t="e">
        <f t="shared" si="26"/>
        <v>#DIV/0!</v>
      </c>
      <c r="AO45" s="58" t="e">
        <f t="shared" si="27"/>
        <v>#VALUE!</v>
      </c>
      <c r="AP45" s="63"/>
      <c r="AQ45" s="58" t="e">
        <f t="shared" si="27"/>
        <v>#DIV/0!</v>
      </c>
      <c r="AR45" s="63"/>
      <c r="AS45" s="58" t="e">
        <f t="shared" si="27"/>
        <v>#DIV/0!</v>
      </c>
      <c r="AT45" s="58" t="e">
        <f t="shared" si="27"/>
        <v>#DIV/0!</v>
      </c>
      <c r="AU45" s="58" t="e">
        <f t="shared" si="27"/>
        <v>#DIV/0!</v>
      </c>
      <c r="AV45" s="58" t="e">
        <f t="shared" si="27"/>
        <v>#DIV/0!</v>
      </c>
      <c r="AW45" s="58" t="e">
        <f t="shared" si="27"/>
        <v>#DIV/0!</v>
      </c>
      <c r="AX45" s="58" t="e">
        <f t="shared" si="27"/>
        <v>#DIV/0!</v>
      </c>
      <c r="AY45" s="58" t="e">
        <f t="shared" si="27"/>
        <v>#DIV/0!</v>
      </c>
      <c r="AZ45" s="63"/>
      <c r="BA45" s="58" t="e">
        <f t="shared" si="27"/>
        <v>#DIV/0!</v>
      </c>
      <c r="BB45" s="63"/>
      <c r="BC45" s="57" t="e">
        <f>(Links!C45*Links!AQ45+'On-Ramps'!AC45*'On-Ramps'!CE45)/('On-Ramps'!AC45+Links!C45)</f>
        <v>#DIV/0!</v>
      </c>
      <c r="BD45" s="63"/>
      <c r="BE45" s="57" t="e">
        <f>(Links!E45*Links!AS45+'On-Ramps'!AD45*'On-Ramps'!CF44)/('On-Ramps'!AD45+Links!E45)</f>
        <v>#DIV/0!</v>
      </c>
      <c r="BF45" s="57" t="e">
        <f>(Links!F45*Links!AT45+'On-Ramps'!AE45*'On-Ramps'!CG45)/('On-Ramps'!AE45+Links!F45)</f>
        <v>#DIV/0!</v>
      </c>
      <c r="BG45" s="57" t="e">
        <f>(Links!I45*Links!AW45+'On-Ramps'!AF45*'On-Ramps'!CH45)/('On-Ramps'!AF45+Links!I45)</f>
        <v>#DIV/0!</v>
      </c>
      <c r="BH45" s="57" t="e">
        <f>(#REF!*#REF!+'On-Ramps'!AG45*'On-Ramps'!CI45)/('On-Ramps'!AG45+#REF!)</f>
        <v>#REF!</v>
      </c>
      <c r="BI45" s="57" t="e">
        <f>(Links!L45*Links!AZ45+'On-Ramps'!AH45*'On-Ramps'!CJ45)/('On-Ramps'!AH45+Links!L45)</f>
        <v>#DIV/0!</v>
      </c>
      <c r="BJ45" s="57" t="e">
        <f>(Links!BA45*Links!M45+'On-Ramps'!AI45*'On-Ramps'!CK45)/('On-Ramps'!AI45+Links!M45)</f>
        <v>#DIV/0!</v>
      </c>
      <c r="BK45" s="57" t="e">
        <f>(Links!S45*Links!BG45+'On-Ramps'!AJ45*'On-Ramps'!CL45)/('On-Ramps'!AJ45+Links!S45)</f>
        <v>#DIV/0!</v>
      </c>
      <c r="BL45" s="63"/>
      <c r="BM45" s="57" t="e">
        <f>(Links!S45*Links!BG45+'On-Ramps'!AL45*'On-Ramps'!CM45)/(Links!S45+'On-Ramps'!AL45)</f>
        <v>#DIV/0!</v>
      </c>
      <c r="BN45" s="63"/>
      <c r="BO45" s="58" t="e">
        <f>(Links!W45^2+'Off-Ramp'!L45^2)/(Links!W45+'Off-Ramp'!L45)</f>
        <v>#DIV/0!</v>
      </c>
      <c r="BP45" s="63"/>
      <c r="BQ45" s="58" t="e">
        <f>(Links!Y45^2+'Off-Ramp'!C45^2)/(Links!Y45+'Off-Ramp'!C45)</f>
        <v>#DIV/0!</v>
      </c>
      <c r="BR45" s="63"/>
      <c r="BS45" s="58" t="e">
        <f>(Links!AA45^2+'Off-Ramp'!N45^2)/(Links!AA45+'Off-Ramp'!N45)</f>
        <v>#DIV/0!</v>
      </c>
      <c r="BT45" s="58" t="e">
        <f>(Links!AD45^2+'Off-Ramp'!O45^2)/(Links!AD45+'Off-Ramp'!O45)</f>
        <v>#DIV/0!</v>
      </c>
      <c r="BU45" s="58" t="e">
        <f>(Links!AE45^2+'Off-Ramp'!V45^2+'Off-Ramp'!W45^2+'Off-Ramp'!X45^2)/(Links!AE45+'Off-Ramp'!V45+'Off-Ramp'!W45+'Off-Ramp'!X45)</f>
        <v>#DIV/0!</v>
      </c>
      <c r="BV45" s="58" t="e">
        <f>(Links!AG45^2+'Off-Ramp'!Y45^2+'Off-Ramp'!Z45^2+'Off-Ramp'!AA45^2)/(Links!AG45+'Off-Ramp'!Y45+'Off-Ramp'!Z45+'Off-Ramp'!AA45)</f>
        <v>#DIV/0!</v>
      </c>
      <c r="BW45" s="58" t="e">
        <f>(Links!AH45^2+'Off-Ramp'!R45^2)/(Links!AH45+'Off-Ramp'!R45)</f>
        <v>#DIV/0!</v>
      </c>
      <c r="BX45" s="58" t="e">
        <f>(Links!AK45^2+'Off-Ramp'!S45^2)/(Links!AK45+'Off-Ramp'!S45)</f>
        <v>#DIV/0!</v>
      </c>
      <c r="BY45" s="58" t="e">
        <f>(Links!AL45^2+'Off-Ramp'!T45^2)/(Links!AL45+'Off-Ramp'!T45)</f>
        <v>#DIV/0!</v>
      </c>
      <c r="BZ45" s="63"/>
      <c r="CA45" s="58" t="e">
        <f>(Links!AN45^2+'Off-Ramp'!U45^2)/(Links!AN45+'Off-Ramp'!U45)</f>
        <v>#DIV/0!</v>
      </c>
    </row>
    <row r="46" spans="1:79" x14ac:dyDescent="0.15">
      <c r="A46" s="56">
        <v>44</v>
      </c>
      <c r="B46" s="57" t="e">
        <f t="shared" si="1"/>
        <v>#DIV/0!</v>
      </c>
      <c r="C46" s="57" t="e">
        <f t="shared" si="2"/>
        <v>#DIV/0!</v>
      </c>
      <c r="D46" s="57" t="e">
        <f t="shared" si="3"/>
        <v>#DIV/0!</v>
      </c>
      <c r="E46" s="57" t="e">
        <f t="shared" si="4"/>
        <v>#DIV/0!</v>
      </c>
      <c r="F46" s="57" t="e">
        <f t="shared" si="5"/>
        <v>#DIV/0!</v>
      </c>
      <c r="G46" s="57" t="e">
        <f t="shared" si="6"/>
        <v>#DIV/0!</v>
      </c>
      <c r="H46" s="57" t="e">
        <f t="shared" si="7"/>
        <v>#DIV/0!</v>
      </c>
      <c r="I46" s="57" t="e">
        <f t="shared" si="8"/>
        <v>#DIV/0!</v>
      </c>
      <c r="J46" s="57" t="e">
        <f t="shared" si="9"/>
        <v>#DIV/0!</v>
      </c>
      <c r="K46" s="57" t="e">
        <f t="shared" si="10"/>
        <v>#DIV/0!</v>
      </c>
      <c r="L46" s="57" t="e">
        <f t="shared" si="11"/>
        <v>#DIV/0!</v>
      </c>
      <c r="M46" s="57" t="e">
        <f t="shared" si="12"/>
        <v>#DIV/0!</v>
      </c>
      <c r="N46" s="57" t="e">
        <f t="shared" si="13"/>
        <v>#DIV/0!</v>
      </c>
      <c r="O46" s="58" t="e">
        <f>Links!B46</f>
        <v>#DIV/0!</v>
      </c>
      <c r="P46" s="58" t="e">
        <f>Links!C46+'On-Ramps'!AC46</f>
        <v>#DIV/0!</v>
      </c>
      <c r="Q46" s="58" t="e">
        <f>Links!D46</f>
        <v>#DIV/0!</v>
      </c>
      <c r="R46" s="58" t="e">
        <f>Links!E46+'On-Ramps'!AD46</f>
        <v>#DIV/0!</v>
      </c>
      <c r="S46" s="58" t="e">
        <f>Links!F46+'On-Ramps'!AE46</f>
        <v>#DIV/0!</v>
      </c>
      <c r="T46" s="58" t="e">
        <f>Links!I46+'On-Ramps'!AF46</f>
        <v>#DIV/0!</v>
      </c>
      <c r="U46" s="58" t="e">
        <f>Links!J46+'On-Ramps'!AG46</f>
        <v>#DIV/0!</v>
      </c>
      <c r="V46" s="58" t="e">
        <f>Links!L46+'On-Ramps'!AH46</f>
        <v>#DIV/0!</v>
      </c>
      <c r="W46" s="58" t="e">
        <f>Links!M46+'On-Ramps'!AI46</f>
        <v>#DIV/0!</v>
      </c>
      <c r="X46" s="58" t="e">
        <f>Links!P46+'On-Ramps'!AJ46</f>
        <v>#DIV/0!</v>
      </c>
      <c r="Y46" s="58" t="e">
        <f>Links!Q46</f>
        <v>#DIV/0!</v>
      </c>
      <c r="Z46" s="58" t="e">
        <f>Links!R46+'On-Ramps'!AK46</f>
        <v>#DIV/0!</v>
      </c>
      <c r="AA46" s="58" t="e">
        <f>Links!S46</f>
        <v>#DIV/0!</v>
      </c>
      <c r="AB46" s="57" t="e">
        <f t="shared" si="16"/>
        <v>#VALUE!</v>
      </c>
      <c r="AC46" s="63"/>
      <c r="AD46" s="57" t="e">
        <f t="shared" si="17"/>
        <v>#DIV/0!</v>
      </c>
      <c r="AE46" s="63"/>
      <c r="AF46" s="57" t="e">
        <f t="shared" si="18"/>
        <v>#DIV/0!</v>
      </c>
      <c r="AG46" s="57" t="e">
        <f t="shared" si="19"/>
        <v>#DIV/0!</v>
      </c>
      <c r="AH46" s="57" t="e">
        <f t="shared" si="20"/>
        <v>#DIV/0!</v>
      </c>
      <c r="AI46" s="57" t="e">
        <f t="shared" si="21"/>
        <v>#DIV/0!</v>
      </c>
      <c r="AJ46" s="57" t="e">
        <f t="shared" si="22"/>
        <v>#DIV/0!</v>
      </c>
      <c r="AK46" s="57" t="e">
        <f t="shared" si="23"/>
        <v>#DIV/0!</v>
      </c>
      <c r="AL46" s="57" t="e">
        <f t="shared" si="24"/>
        <v>#DIV/0!</v>
      </c>
      <c r="AM46" s="63"/>
      <c r="AN46" s="57" t="e">
        <f t="shared" si="26"/>
        <v>#DIV/0!</v>
      </c>
      <c r="AO46" s="58" t="e">
        <f t="shared" si="27"/>
        <v>#VALUE!</v>
      </c>
      <c r="AP46" s="63"/>
      <c r="AQ46" s="58" t="e">
        <f t="shared" si="27"/>
        <v>#DIV/0!</v>
      </c>
      <c r="AR46" s="63"/>
      <c r="AS46" s="58" t="e">
        <f t="shared" si="27"/>
        <v>#DIV/0!</v>
      </c>
      <c r="AT46" s="58" t="e">
        <f t="shared" si="27"/>
        <v>#DIV/0!</v>
      </c>
      <c r="AU46" s="58" t="e">
        <f t="shared" si="27"/>
        <v>#DIV/0!</v>
      </c>
      <c r="AV46" s="58" t="e">
        <f t="shared" si="27"/>
        <v>#DIV/0!</v>
      </c>
      <c r="AW46" s="58" t="e">
        <f t="shared" si="27"/>
        <v>#DIV/0!</v>
      </c>
      <c r="AX46" s="58" t="e">
        <f t="shared" si="27"/>
        <v>#DIV/0!</v>
      </c>
      <c r="AY46" s="58" t="e">
        <f t="shared" si="27"/>
        <v>#DIV/0!</v>
      </c>
      <c r="AZ46" s="63"/>
      <c r="BA46" s="58" t="e">
        <f t="shared" si="27"/>
        <v>#DIV/0!</v>
      </c>
      <c r="BB46" s="63"/>
      <c r="BC46" s="57" t="e">
        <f>(Links!C46*Links!AQ46+'On-Ramps'!AC46*'On-Ramps'!CE46)/('On-Ramps'!AC46+Links!C46)</f>
        <v>#DIV/0!</v>
      </c>
      <c r="BD46" s="63"/>
      <c r="BE46" s="57" t="e">
        <f>(Links!E46*Links!AS46+'On-Ramps'!AD46*'On-Ramps'!CF45)/('On-Ramps'!AD46+Links!E46)</f>
        <v>#DIV/0!</v>
      </c>
      <c r="BF46" s="57" t="e">
        <f>(Links!F46*Links!AT46+'On-Ramps'!AE46*'On-Ramps'!CG46)/('On-Ramps'!AE46+Links!F46)</f>
        <v>#DIV/0!</v>
      </c>
      <c r="BG46" s="57" t="e">
        <f>(Links!I46*Links!AW46+'On-Ramps'!AF46*'On-Ramps'!CH46)/('On-Ramps'!AF46+Links!I46)</f>
        <v>#DIV/0!</v>
      </c>
      <c r="BH46" s="57" t="e">
        <f>(#REF!*#REF!+'On-Ramps'!AG46*'On-Ramps'!CI46)/('On-Ramps'!AG46+#REF!)</f>
        <v>#REF!</v>
      </c>
      <c r="BI46" s="57" t="e">
        <f>(Links!L46*Links!AZ46+'On-Ramps'!AH46*'On-Ramps'!CJ46)/('On-Ramps'!AH46+Links!L46)</f>
        <v>#DIV/0!</v>
      </c>
      <c r="BJ46" s="57" t="e">
        <f>(Links!BA46*Links!M46+'On-Ramps'!AI46*'On-Ramps'!CK46)/('On-Ramps'!AI46+Links!M46)</f>
        <v>#DIV/0!</v>
      </c>
      <c r="BK46" s="57" t="e">
        <f>(Links!S46*Links!BG46+'On-Ramps'!AJ46*'On-Ramps'!CL46)/('On-Ramps'!AJ46+Links!S46)</f>
        <v>#DIV/0!</v>
      </c>
      <c r="BL46" s="63"/>
      <c r="BM46" s="57" t="e">
        <f>(Links!S46*Links!BG46+'On-Ramps'!AL46*'On-Ramps'!CM46)/(Links!S46+'On-Ramps'!AL46)</f>
        <v>#DIV/0!</v>
      </c>
      <c r="BN46" s="63"/>
      <c r="BO46" s="58" t="e">
        <f>(Links!W46^2+'Off-Ramp'!L46^2)/(Links!W46+'Off-Ramp'!L46)</f>
        <v>#DIV/0!</v>
      </c>
      <c r="BP46" s="63"/>
      <c r="BQ46" s="58" t="e">
        <f>(Links!Y46^2+'Off-Ramp'!C46^2)/(Links!Y46+'Off-Ramp'!C46)</f>
        <v>#DIV/0!</v>
      </c>
      <c r="BR46" s="63"/>
      <c r="BS46" s="58" t="e">
        <f>(Links!AA46^2+'Off-Ramp'!N46^2)/(Links!AA46+'Off-Ramp'!N46)</f>
        <v>#DIV/0!</v>
      </c>
      <c r="BT46" s="58" t="e">
        <f>(Links!AD46^2+'Off-Ramp'!O46^2)/(Links!AD46+'Off-Ramp'!O46)</f>
        <v>#DIV/0!</v>
      </c>
      <c r="BU46" s="58" t="e">
        <f>(Links!AE46^2+'Off-Ramp'!V46^2+'Off-Ramp'!W46^2+'Off-Ramp'!X46^2)/(Links!AE46+'Off-Ramp'!V46+'Off-Ramp'!W46+'Off-Ramp'!X46)</f>
        <v>#DIV/0!</v>
      </c>
      <c r="BV46" s="58" t="e">
        <f>(Links!AG46^2+'Off-Ramp'!Y46^2+'Off-Ramp'!Z46^2+'Off-Ramp'!AA46^2)/(Links!AG46+'Off-Ramp'!Y46+'Off-Ramp'!Z46+'Off-Ramp'!AA46)</f>
        <v>#DIV/0!</v>
      </c>
      <c r="BW46" s="58" t="e">
        <f>(Links!AH46^2+'Off-Ramp'!R46^2)/(Links!AH46+'Off-Ramp'!R46)</f>
        <v>#DIV/0!</v>
      </c>
      <c r="BX46" s="58" t="e">
        <f>(Links!AK46^2+'Off-Ramp'!S46^2)/(Links!AK46+'Off-Ramp'!S46)</f>
        <v>#DIV/0!</v>
      </c>
      <c r="BY46" s="58" t="e">
        <f>(Links!AL46^2+'Off-Ramp'!T46^2)/(Links!AL46+'Off-Ramp'!T46)</f>
        <v>#DIV/0!</v>
      </c>
      <c r="BZ46" s="63"/>
      <c r="CA46" s="58" t="e">
        <f>(Links!AN46^2+'Off-Ramp'!U46^2)/(Links!AN46+'Off-Ramp'!U46)</f>
        <v>#DIV/0!</v>
      </c>
    </row>
    <row r="47" spans="1:79" x14ac:dyDescent="0.15">
      <c r="A47" s="56">
        <v>45</v>
      </c>
      <c r="B47" s="57" t="e">
        <f t="shared" si="1"/>
        <v>#DIV/0!</v>
      </c>
      <c r="C47" s="57" t="e">
        <f t="shared" si="2"/>
        <v>#DIV/0!</v>
      </c>
      <c r="D47" s="57" t="e">
        <f t="shared" si="3"/>
        <v>#DIV/0!</v>
      </c>
      <c r="E47" s="57" t="e">
        <f t="shared" si="4"/>
        <v>#DIV/0!</v>
      </c>
      <c r="F47" s="57" t="e">
        <f t="shared" si="5"/>
        <v>#DIV/0!</v>
      </c>
      <c r="G47" s="57" t="e">
        <f t="shared" si="6"/>
        <v>#DIV/0!</v>
      </c>
      <c r="H47" s="57" t="e">
        <f t="shared" si="7"/>
        <v>#DIV/0!</v>
      </c>
      <c r="I47" s="57" t="e">
        <f t="shared" si="8"/>
        <v>#DIV/0!</v>
      </c>
      <c r="J47" s="57" t="e">
        <f t="shared" si="9"/>
        <v>#DIV/0!</v>
      </c>
      <c r="K47" s="57" t="e">
        <f t="shared" si="10"/>
        <v>#DIV/0!</v>
      </c>
      <c r="L47" s="57" t="e">
        <f t="shared" si="11"/>
        <v>#DIV/0!</v>
      </c>
      <c r="M47" s="57" t="e">
        <f t="shared" si="12"/>
        <v>#DIV/0!</v>
      </c>
      <c r="N47" s="57" t="e">
        <f t="shared" si="13"/>
        <v>#DIV/0!</v>
      </c>
      <c r="O47" s="58" t="e">
        <f>Links!B47</f>
        <v>#DIV/0!</v>
      </c>
      <c r="P47" s="58" t="e">
        <f>Links!C47+'On-Ramps'!AC47</f>
        <v>#DIV/0!</v>
      </c>
      <c r="Q47" s="58" t="e">
        <f>Links!D47</f>
        <v>#DIV/0!</v>
      </c>
      <c r="R47" s="58" t="e">
        <f>Links!E47+'On-Ramps'!AD47</f>
        <v>#DIV/0!</v>
      </c>
      <c r="S47" s="58" t="e">
        <f>Links!F47+'On-Ramps'!AE47</f>
        <v>#DIV/0!</v>
      </c>
      <c r="T47" s="58" t="e">
        <f>Links!I47+'On-Ramps'!AF47</f>
        <v>#DIV/0!</v>
      </c>
      <c r="U47" s="58" t="e">
        <f>Links!J47+'On-Ramps'!AG47</f>
        <v>#DIV/0!</v>
      </c>
      <c r="V47" s="58" t="e">
        <f>Links!L47+'On-Ramps'!AH47</f>
        <v>#DIV/0!</v>
      </c>
      <c r="W47" s="58" t="e">
        <f>Links!M47+'On-Ramps'!AI47</f>
        <v>#DIV/0!</v>
      </c>
      <c r="X47" s="58" t="e">
        <f>Links!P47+'On-Ramps'!AJ47</f>
        <v>#DIV/0!</v>
      </c>
      <c r="Y47" s="58" t="e">
        <f>Links!Q47</f>
        <v>#DIV/0!</v>
      </c>
      <c r="Z47" s="58" t="e">
        <f>Links!R47+'On-Ramps'!AK47</f>
        <v>#DIV/0!</v>
      </c>
      <c r="AA47" s="58" t="e">
        <f>Links!S47</f>
        <v>#DIV/0!</v>
      </c>
      <c r="AB47" s="57" t="e">
        <f t="shared" si="16"/>
        <v>#VALUE!</v>
      </c>
      <c r="AC47" s="63"/>
      <c r="AD47" s="57" t="e">
        <f t="shared" si="17"/>
        <v>#DIV/0!</v>
      </c>
      <c r="AE47" s="63"/>
      <c r="AF47" s="57" t="e">
        <f t="shared" si="18"/>
        <v>#DIV/0!</v>
      </c>
      <c r="AG47" s="57" t="e">
        <f t="shared" si="19"/>
        <v>#DIV/0!</v>
      </c>
      <c r="AH47" s="57" t="e">
        <f t="shared" si="20"/>
        <v>#DIV/0!</v>
      </c>
      <c r="AI47" s="57" t="e">
        <f t="shared" si="21"/>
        <v>#DIV/0!</v>
      </c>
      <c r="AJ47" s="57" t="e">
        <f t="shared" si="22"/>
        <v>#DIV/0!</v>
      </c>
      <c r="AK47" s="57" t="e">
        <f t="shared" si="23"/>
        <v>#DIV/0!</v>
      </c>
      <c r="AL47" s="57" t="e">
        <f t="shared" si="24"/>
        <v>#DIV/0!</v>
      </c>
      <c r="AM47" s="63"/>
      <c r="AN47" s="57" t="e">
        <f t="shared" si="26"/>
        <v>#DIV/0!</v>
      </c>
      <c r="AO47" s="58" t="e">
        <f t="shared" si="27"/>
        <v>#VALUE!</v>
      </c>
      <c r="AP47" s="63"/>
      <c r="AQ47" s="58" t="e">
        <f t="shared" si="27"/>
        <v>#DIV/0!</v>
      </c>
      <c r="AR47" s="63"/>
      <c r="AS47" s="58" t="e">
        <f t="shared" si="27"/>
        <v>#DIV/0!</v>
      </c>
      <c r="AT47" s="58" t="e">
        <f t="shared" si="27"/>
        <v>#DIV/0!</v>
      </c>
      <c r="AU47" s="58" t="e">
        <f t="shared" si="27"/>
        <v>#DIV/0!</v>
      </c>
      <c r="AV47" s="58" t="e">
        <f t="shared" si="27"/>
        <v>#DIV/0!</v>
      </c>
      <c r="AW47" s="58" t="e">
        <f t="shared" si="27"/>
        <v>#DIV/0!</v>
      </c>
      <c r="AX47" s="58" t="e">
        <f t="shared" si="27"/>
        <v>#DIV/0!</v>
      </c>
      <c r="AY47" s="58" t="e">
        <f t="shared" si="27"/>
        <v>#DIV/0!</v>
      </c>
      <c r="AZ47" s="63"/>
      <c r="BA47" s="58" t="e">
        <f t="shared" si="27"/>
        <v>#DIV/0!</v>
      </c>
      <c r="BB47" s="63"/>
      <c r="BC47" s="57" t="e">
        <f>(Links!C47*Links!AQ47+'On-Ramps'!AC47*'On-Ramps'!CE47)/('On-Ramps'!AC47+Links!C47)</f>
        <v>#DIV/0!</v>
      </c>
      <c r="BD47" s="63"/>
      <c r="BE47" s="57" t="e">
        <f>(Links!E47*Links!AS47+'On-Ramps'!AD47*'On-Ramps'!CF46)/('On-Ramps'!AD47+Links!E47)</f>
        <v>#DIV/0!</v>
      </c>
      <c r="BF47" s="57" t="e">
        <f>(Links!F47*Links!AT47+'On-Ramps'!AE47*'On-Ramps'!CG47)/('On-Ramps'!AE47+Links!F47)</f>
        <v>#DIV/0!</v>
      </c>
      <c r="BG47" s="57" t="e">
        <f>(Links!I47*Links!AW47+'On-Ramps'!AF47*'On-Ramps'!CH47)/('On-Ramps'!AF47+Links!I47)</f>
        <v>#DIV/0!</v>
      </c>
      <c r="BH47" s="57" t="e">
        <f>(#REF!*#REF!+'On-Ramps'!AG47*'On-Ramps'!CI47)/('On-Ramps'!AG47+#REF!)</f>
        <v>#REF!</v>
      </c>
      <c r="BI47" s="57" t="e">
        <f>(Links!L47*Links!AZ47+'On-Ramps'!AH47*'On-Ramps'!CJ47)/('On-Ramps'!AH47+Links!L47)</f>
        <v>#DIV/0!</v>
      </c>
      <c r="BJ47" s="57" t="e">
        <f>(Links!BA47*Links!M47+'On-Ramps'!AI47*'On-Ramps'!CK47)/('On-Ramps'!AI47+Links!M47)</f>
        <v>#DIV/0!</v>
      </c>
      <c r="BK47" s="57" t="e">
        <f>(Links!S47*Links!BG47+'On-Ramps'!AJ47*'On-Ramps'!CL47)/('On-Ramps'!AJ47+Links!S47)</f>
        <v>#DIV/0!</v>
      </c>
      <c r="BL47" s="63"/>
      <c r="BM47" s="57" t="e">
        <f>(Links!S47*Links!BG47+'On-Ramps'!AL47*'On-Ramps'!CM47)/(Links!S47+'On-Ramps'!AL47)</f>
        <v>#DIV/0!</v>
      </c>
      <c r="BN47" s="63"/>
      <c r="BO47" s="58" t="e">
        <f>(Links!W47^2+'Off-Ramp'!L47^2)/(Links!W47+'Off-Ramp'!L47)</f>
        <v>#DIV/0!</v>
      </c>
      <c r="BP47" s="63"/>
      <c r="BQ47" s="58" t="e">
        <f>(Links!Y47^2+'Off-Ramp'!C47^2)/(Links!Y47+'Off-Ramp'!C47)</f>
        <v>#DIV/0!</v>
      </c>
      <c r="BR47" s="63"/>
      <c r="BS47" s="58" t="e">
        <f>(Links!AA47^2+'Off-Ramp'!N47^2)/(Links!AA47+'Off-Ramp'!N47)</f>
        <v>#DIV/0!</v>
      </c>
      <c r="BT47" s="58" t="e">
        <f>(Links!AD47^2+'Off-Ramp'!O47^2)/(Links!AD47+'Off-Ramp'!O47)</f>
        <v>#DIV/0!</v>
      </c>
      <c r="BU47" s="58" t="e">
        <f>(Links!AE47^2+'Off-Ramp'!V47^2+'Off-Ramp'!W47^2+'Off-Ramp'!X47^2)/(Links!AE47+'Off-Ramp'!V47+'Off-Ramp'!W47+'Off-Ramp'!X47)</f>
        <v>#DIV/0!</v>
      </c>
      <c r="BV47" s="58" t="e">
        <f>(Links!AG47^2+'Off-Ramp'!Y47^2+'Off-Ramp'!Z47^2+'Off-Ramp'!AA47^2)/(Links!AG47+'Off-Ramp'!Y47+'Off-Ramp'!Z47+'Off-Ramp'!AA47)</f>
        <v>#DIV/0!</v>
      </c>
      <c r="BW47" s="58" t="e">
        <f>(Links!AH47^2+'Off-Ramp'!R47^2)/(Links!AH47+'Off-Ramp'!R47)</f>
        <v>#DIV/0!</v>
      </c>
      <c r="BX47" s="58" t="e">
        <f>(Links!AK47^2+'Off-Ramp'!S47^2)/(Links!AK47+'Off-Ramp'!S47)</f>
        <v>#DIV/0!</v>
      </c>
      <c r="BY47" s="58" t="e">
        <f>(Links!AL47^2+'Off-Ramp'!T47^2)/(Links!AL47+'Off-Ramp'!T47)</f>
        <v>#DIV/0!</v>
      </c>
      <c r="BZ47" s="63"/>
      <c r="CA47" s="58" t="e">
        <f>(Links!AN47^2+'Off-Ramp'!U47^2)/(Links!AN47+'Off-Ramp'!U47)</f>
        <v>#DIV/0!</v>
      </c>
    </row>
    <row r="48" spans="1:79" x14ac:dyDescent="0.15">
      <c r="A48" s="56">
        <v>46</v>
      </c>
      <c r="B48" s="57" t="e">
        <f t="shared" si="1"/>
        <v>#DIV/0!</v>
      </c>
      <c r="C48" s="57" t="e">
        <f t="shared" si="2"/>
        <v>#DIV/0!</v>
      </c>
      <c r="D48" s="57" t="e">
        <f t="shared" si="3"/>
        <v>#DIV/0!</v>
      </c>
      <c r="E48" s="57" t="e">
        <f t="shared" si="4"/>
        <v>#DIV/0!</v>
      </c>
      <c r="F48" s="57" t="e">
        <f t="shared" si="5"/>
        <v>#DIV/0!</v>
      </c>
      <c r="G48" s="57" t="e">
        <f t="shared" si="6"/>
        <v>#DIV/0!</v>
      </c>
      <c r="H48" s="57" t="e">
        <f t="shared" si="7"/>
        <v>#DIV/0!</v>
      </c>
      <c r="I48" s="57" t="e">
        <f t="shared" si="8"/>
        <v>#DIV/0!</v>
      </c>
      <c r="J48" s="57" t="e">
        <f t="shared" si="9"/>
        <v>#DIV/0!</v>
      </c>
      <c r="K48" s="57" t="e">
        <f t="shared" si="10"/>
        <v>#DIV/0!</v>
      </c>
      <c r="L48" s="57" t="e">
        <f t="shared" si="11"/>
        <v>#DIV/0!</v>
      </c>
      <c r="M48" s="57" t="e">
        <f t="shared" si="12"/>
        <v>#DIV/0!</v>
      </c>
      <c r="N48" s="57" t="e">
        <f t="shared" si="13"/>
        <v>#DIV/0!</v>
      </c>
      <c r="O48" s="58" t="e">
        <f>Links!B48</f>
        <v>#DIV/0!</v>
      </c>
      <c r="P48" s="58" t="e">
        <f>Links!C48+'On-Ramps'!AC48</f>
        <v>#DIV/0!</v>
      </c>
      <c r="Q48" s="58" t="e">
        <f>Links!D48</f>
        <v>#DIV/0!</v>
      </c>
      <c r="R48" s="58" t="e">
        <f>Links!E48+'On-Ramps'!AD48</f>
        <v>#DIV/0!</v>
      </c>
      <c r="S48" s="58" t="e">
        <f>Links!F48+'On-Ramps'!AE48</f>
        <v>#DIV/0!</v>
      </c>
      <c r="T48" s="58" t="e">
        <f>Links!I48+'On-Ramps'!AF48</f>
        <v>#DIV/0!</v>
      </c>
      <c r="U48" s="58" t="e">
        <f>Links!J48+'On-Ramps'!AG48</f>
        <v>#DIV/0!</v>
      </c>
      <c r="V48" s="58" t="e">
        <f>Links!L48+'On-Ramps'!AH48</f>
        <v>#DIV/0!</v>
      </c>
      <c r="W48" s="58" t="e">
        <f>Links!M48+'On-Ramps'!AI48</f>
        <v>#DIV/0!</v>
      </c>
      <c r="X48" s="58" t="e">
        <f>Links!P48+'On-Ramps'!AJ48</f>
        <v>#DIV/0!</v>
      </c>
      <c r="Y48" s="58" t="e">
        <f>Links!Q48</f>
        <v>#DIV/0!</v>
      </c>
      <c r="Z48" s="58" t="e">
        <f>Links!R48+'On-Ramps'!AK48</f>
        <v>#DIV/0!</v>
      </c>
      <c r="AA48" s="58" t="e">
        <f>Links!S48</f>
        <v>#DIV/0!</v>
      </c>
      <c r="AB48" s="57" t="e">
        <f t="shared" si="16"/>
        <v>#VALUE!</v>
      </c>
      <c r="AC48" s="63"/>
      <c r="AD48" s="57" t="e">
        <f t="shared" si="17"/>
        <v>#DIV/0!</v>
      </c>
      <c r="AE48" s="63"/>
      <c r="AF48" s="57" t="e">
        <f t="shared" si="18"/>
        <v>#DIV/0!</v>
      </c>
      <c r="AG48" s="57" t="e">
        <f t="shared" si="19"/>
        <v>#DIV/0!</v>
      </c>
      <c r="AH48" s="57" t="e">
        <f t="shared" si="20"/>
        <v>#DIV/0!</v>
      </c>
      <c r="AI48" s="57" t="e">
        <f t="shared" si="21"/>
        <v>#DIV/0!</v>
      </c>
      <c r="AJ48" s="57" t="e">
        <f t="shared" si="22"/>
        <v>#DIV/0!</v>
      </c>
      <c r="AK48" s="57" t="e">
        <f t="shared" si="23"/>
        <v>#DIV/0!</v>
      </c>
      <c r="AL48" s="57" t="e">
        <f t="shared" si="24"/>
        <v>#DIV/0!</v>
      </c>
      <c r="AM48" s="63"/>
      <c r="AN48" s="57" t="e">
        <f t="shared" si="26"/>
        <v>#DIV/0!</v>
      </c>
      <c r="AO48" s="58" t="e">
        <f t="shared" si="27"/>
        <v>#VALUE!</v>
      </c>
      <c r="AP48" s="63"/>
      <c r="AQ48" s="58" t="e">
        <f t="shared" si="27"/>
        <v>#DIV/0!</v>
      </c>
      <c r="AR48" s="63"/>
      <c r="AS48" s="58" t="e">
        <f t="shared" si="27"/>
        <v>#DIV/0!</v>
      </c>
      <c r="AT48" s="58" t="e">
        <f t="shared" si="27"/>
        <v>#DIV/0!</v>
      </c>
      <c r="AU48" s="58" t="e">
        <f t="shared" si="27"/>
        <v>#DIV/0!</v>
      </c>
      <c r="AV48" s="58" t="e">
        <f t="shared" si="27"/>
        <v>#DIV/0!</v>
      </c>
      <c r="AW48" s="58" t="e">
        <f t="shared" si="27"/>
        <v>#DIV/0!</v>
      </c>
      <c r="AX48" s="58" t="e">
        <f t="shared" si="27"/>
        <v>#DIV/0!</v>
      </c>
      <c r="AY48" s="58" t="e">
        <f t="shared" si="27"/>
        <v>#DIV/0!</v>
      </c>
      <c r="AZ48" s="63"/>
      <c r="BA48" s="58" t="e">
        <f t="shared" si="27"/>
        <v>#DIV/0!</v>
      </c>
      <c r="BB48" s="63"/>
      <c r="BC48" s="57" t="e">
        <f>(Links!C48*Links!AQ48+'On-Ramps'!AC48*'On-Ramps'!CE48)/('On-Ramps'!AC48+Links!C48)</f>
        <v>#DIV/0!</v>
      </c>
      <c r="BD48" s="63"/>
      <c r="BE48" s="57" t="e">
        <f>(Links!E48*Links!AS48+'On-Ramps'!AD48*'On-Ramps'!CF47)/('On-Ramps'!AD48+Links!E48)</f>
        <v>#DIV/0!</v>
      </c>
      <c r="BF48" s="57" t="e">
        <f>(Links!F48*Links!AT48+'On-Ramps'!AE48*'On-Ramps'!CG48)/('On-Ramps'!AE48+Links!F48)</f>
        <v>#DIV/0!</v>
      </c>
      <c r="BG48" s="57" t="e">
        <f>(Links!I48*Links!AW48+'On-Ramps'!AF48*'On-Ramps'!CH48)/('On-Ramps'!AF48+Links!I48)</f>
        <v>#DIV/0!</v>
      </c>
      <c r="BH48" s="57" t="e">
        <f>(#REF!*#REF!+'On-Ramps'!AG48*'On-Ramps'!CI48)/('On-Ramps'!AG48+#REF!)</f>
        <v>#REF!</v>
      </c>
      <c r="BI48" s="57" t="e">
        <f>(Links!L48*Links!AZ48+'On-Ramps'!AH48*'On-Ramps'!CJ48)/('On-Ramps'!AH48+Links!L48)</f>
        <v>#DIV/0!</v>
      </c>
      <c r="BJ48" s="57" t="e">
        <f>(Links!BA48*Links!M48+'On-Ramps'!AI48*'On-Ramps'!CK48)/('On-Ramps'!AI48+Links!M48)</f>
        <v>#DIV/0!</v>
      </c>
      <c r="BK48" s="57" t="e">
        <f>(Links!S48*Links!BG48+'On-Ramps'!AJ48*'On-Ramps'!CL48)/('On-Ramps'!AJ48+Links!S48)</f>
        <v>#DIV/0!</v>
      </c>
      <c r="BL48" s="63"/>
      <c r="BM48" s="57" t="e">
        <f>(Links!S48*Links!BG48+'On-Ramps'!AL48*'On-Ramps'!CM48)/(Links!S48+'On-Ramps'!AL48)</f>
        <v>#DIV/0!</v>
      </c>
      <c r="BN48" s="63"/>
      <c r="BO48" s="58" t="e">
        <f>(Links!W48^2+'Off-Ramp'!L48^2)/(Links!W48+'Off-Ramp'!L48)</f>
        <v>#DIV/0!</v>
      </c>
      <c r="BP48" s="63"/>
      <c r="BQ48" s="58" t="e">
        <f>(Links!Y48^2+'Off-Ramp'!C48^2)/(Links!Y48+'Off-Ramp'!C48)</f>
        <v>#DIV/0!</v>
      </c>
      <c r="BR48" s="63"/>
      <c r="BS48" s="58" t="e">
        <f>(Links!AA48^2+'Off-Ramp'!N48^2)/(Links!AA48+'Off-Ramp'!N48)</f>
        <v>#DIV/0!</v>
      </c>
      <c r="BT48" s="58" t="e">
        <f>(Links!AD48^2+'Off-Ramp'!O48^2)/(Links!AD48+'Off-Ramp'!O48)</f>
        <v>#DIV/0!</v>
      </c>
      <c r="BU48" s="58" t="e">
        <f>(Links!AE48^2+'Off-Ramp'!V48^2+'Off-Ramp'!W48^2+'Off-Ramp'!X48^2)/(Links!AE48+'Off-Ramp'!V48+'Off-Ramp'!W48+'Off-Ramp'!X48)</f>
        <v>#DIV/0!</v>
      </c>
      <c r="BV48" s="58" t="e">
        <f>(Links!AG48^2+'Off-Ramp'!Y48^2+'Off-Ramp'!Z48^2+'Off-Ramp'!AA48^2)/(Links!AG48+'Off-Ramp'!Y48+'Off-Ramp'!Z48+'Off-Ramp'!AA48)</f>
        <v>#DIV/0!</v>
      </c>
      <c r="BW48" s="58" t="e">
        <f>(Links!AH48^2+'Off-Ramp'!R48^2)/(Links!AH48+'Off-Ramp'!R48)</f>
        <v>#DIV/0!</v>
      </c>
      <c r="BX48" s="58" t="e">
        <f>(Links!AK48^2+'Off-Ramp'!S48^2)/(Links!AK48+'Off-Ramp'!S48)</f>
        <v>#DIV/0!</v>
      </c>
      <c r="BY48" s="58" t="e">
        <f>(Links!AL48^2+'Off-Ramp'!T48^2)/(Links!AL48+'Off-Ramp'!T48)</f>
        <v>#DIV/0!</v>
      </c>
      <c r="BZ48" s="63"/>
      <c r="CA48" s="58" t="e">
        <f>(Links!AN48^2+'Off-Ramp'!U48^2)/(Links!AN48+'Off-Ramp'!U48)</f>
        <v>#DIV/0!</v>
      </c>
    </row>
    <row r="49" spans="1:79" x14ac:dyDescent="0.15">
      <c r="A49" s="56">
        <v>47</v>
      </c>
      <c r="B49" s="57" t="e">
        <f t="shared" si="1"/>
        <v>#DIV/0!</v>
      </c>
      <c r="C49" s="57" t="e">
        <f t="shared" si="2"/>
        <v>#DIV/0!</v>
      </c>
      <c r="D49" s="57" t="e">
        <f t="shared" si="3"/>
        <v>#DIV/0!</v>
      </c>
      <c r="E49" s="57" t="e">
        <f t="shared" si="4"/>
        <v>#DIV/0!</v>
      </c>
      <c r="F49" s="57" t="e">
        <f t="shared" si="5"/>
        <v>#DIV/0!</v>
      </c>
      <c r="G49" s="57" t="e">
        <f t="shared" si="6"/>
        <v>#DIV/0!</v>
      </c>
      <c r="H49" s="57" t="e">
        <f t="shared" si="7"/>
        <v>#DIV/0!</v>
      </c>
      <c r="I49" s="57" t="e">
        <f t="shared" si="8"/>
        <v>#DIV/0!</v>
      </c>
      <c r="J49" s="57" t="e">
        <f t="shared" si="9"/>
        <v>#DIV/0!</v>
      </c>
      <c r="K49" s="57" t="e">
        <f t="shared" si="10"/>
        <v>#DIV/0!</v>
      </c>
      <c r="L49" s="57" t="e">
        <f t="shared" si="11"/>
        <v>#DIV/0!</v>
      </c>
      <c r="M49" s="57" t="e">
        <f t="shared" si="12"/>
        <v>#DIV/0!</v>
      </c>
      <c r="N49" s="57" t="e">
        <f t="shared" si="13"/>
        <v>#DIV/0!</v>
      </c>
      <c r="O49" s="58" t="e">
        <f>Links!B49</f>
        <v>#DIV/0!</v>
      </c>
      <c r="P49" s="58" t="e">
        <f>Links!C49+'On-Ramps'!AC49</f>
        <v>#DIV/0!</v>
      </c>
      <c r="Q49" s="58" t="e">
        <f>Links!D49</f>
        <v>#DIV/0!</v>
      </c>
      <c r="R49" s="58" t="e">
        <f>Links!E49+'On-Ramps'!AD49</f>
        <v>#DIV/0!</v>
      </c>
      <c r="S49" s="58" t="e">
        <f>Links!F49+'On-Ramps'!AE49</f>
        <v>#DIV/0!</v>
      </c>
      <c r="T49" s="58" t="e">
        <f>Links!I49+'On-Ramps'!AF49</f>
        <v>#DIV/0!</v>
      </c>
      <c r="U49" s="58" t="e">
        <f>Links!J49+'On-Ramps'!AG49</f>
        <v>#DIV/0!</v>
      </c>
      <c r="V49" s="58" t="e">
        <f>Links!L49+'On-Ramps'!AH49</f>
        <v>#DIV/0!</v>
      </c>
      <c r="W49" s="58" t="e">
        <f>Links!M49+'On-Ramps'!AI49</f>
        <v>#DIV/0!</v>
      </c>
      <c r="X49" s="58" t="e">
        <f>Links!P49+'On-Ramps'!AJ49</f>
        <v>#DIV/0!</v>
      </c>
      <c r="Y49" s="58" t="e">
        <f>Links!Q49</f>
        <v>#DIV/0!</v>
      </c>
      <c r="Z49" s="58" t="e">
        <f>Links!R49+'On-Ramps'!AK49</f>
        <v>#DIV/0!</v>
      </c>
      <c r="AA49" s="58" t="e">
        <f>Links!S49</f>
        <v>#DIV/0!</v>
      </c>
      <c r="AB49" s="57" t="e">
        <f t="shared" si="16"/>
        <v>#VALUE!</v>
      </c>
      <c r="AC49" s="63"/>
      <c r="AD49" s="57" t="e">
        <f t="shared" si="17"/>
        <v>#DIV/0!</v>
      </c>
      <c r="AE49" s="63"/>
      <c r="AF49" s="57" t="e">
        <f t="shared" si="18"/>
        <v>#DIV/0!</v>
      </c>
      <c r="AG49" s="57" t="e">
        <f t="shared" si="19"/>
        <v>#DIV/0!</v>
      </c>
      <c r="AH49" s="57" t="e">
        <f t="shared" si="20"/>
        <v>#DIV/0!</v>
      </c>
      <c r="AI49" s="57" t="e">
        <f t="shared" si="21"/>
        <v>#DIV/0!</v>
      </c>
      <c r="AJ49" s="57" t="e">
        <f t="shared" si="22"/>
        <v>#DIV/0!</v>
      </c>
      <c r="AK49" s="57" t="e">
        <f t="shared" si="23"/>
        <v>#DIV/0!</v>
      </c>
      <c r="AL49" s="57" t="e">
        <f t="shared" si="24"/>
        <v>#DIV/0!</v>
      </c>
      <c r="AM49" s="63"/>
      <c r="AN49" s="57" t="e">
        <f t="shared" si="26"/>
        <v>#DIV/0!</v>
      </c>
      <c r="AO49" s="58" t="e">
        <f t="shared" si="27"/>
        <v>#VALUE!</v>
      </c>
      <c r="AP49" s="63"/>
      <c r="AQ49" s="58" t="e">
        <f t="shared" si="27"/>
        <v>#DIV/0!</v>
      </c>
      <c r="AR49" s="63"/>
      <c r="AS49" s="58" t="e">
        <f t="shared" si="27"/>
        <v>#DIV/0!</v>
      </c>
      <c r="AT49" s="58" t="e">
        <f t="shared" si="27"/>
        <v>#DIV/0!</v>
      </c>
      <c r="AU49" s="58" t="e">
        <f t="shared" si="27"/>
        <v>#DIV/0!</v>
      </c>
      <c r="AV49" s="58" t="e">
        <f t="shared" si="27"/>
        <v>#DIV/0!</v>
      </c>
      <c r="AW49" s="58" t="e">
        <f t="shared" si="27"/>
        <v>#DIV/0!</v>
      </c>
      <c r="AX49" s="58" t="e">
        <f t="shared" si="27"/>
        <v>#DIV/0!</v>
      </c>
      <c r="AY49" s="58" t="e">
        <f t="shared" si="27"/>
        <v>#DIV/0!</v>
      </c>
      <c r="AZ49" s="63"/>
      <c r="BA49" s="58" t="e">
        <f t="shared" si="27"/>
        <v>#DIV/0!</v>
      </c>
      <c r="BB49" s="63"/>
      <c r="BC49" s="57" t="e">
        <f>(Links!C49*Links!AQ49+'On-Ramps'!AC49*'On-Ramps'!CE49)/('On-Ramps'!AC49+Links!C49)</f>
        <v>#DIV/0!</v>
      </c>
      <c r="BD49" s="63"/>
      <c r="BE49" s="57" t="e">
        <f>(Links!E49*Links!AS49+'On-Ramps'!AD49*'On-Ramps'!CF48)/('On-Ramps'!AD49+Links!E49)</f>
        <v>#DIV/0!</v>
      </c>
      <c r="BF49" s="57" t="e">
        <f>(Links!F49*Links!AT49+'On-Ramps'!AE49*'On-Ramps'!CG49)/('On-Ramps'!AE49+Links!F49)</f>
        <v>#DIV/0!</v>
      </c>
      <c r="BG49" s="57" t="e">
        <f>(Links!I49*Links!AW49+'On-Ramps'!AF49*'On-Ramps'!CH49)/('On-Ramps'!AF49+Links!I49)</f>
        <v>#DIV/0!</v>
      </c>
      <c r="BH49" s="57" t="e">
        <f>(#REF!*#REF!+'On-Ramps'!AG49*'On-Ramps'!CI49)/('On-Ramps'!AG49+#REF!)</f>
        <v>#REF!</v>
      </c>
      <c r="BI49" s="57" t="e">
        <f>(Links!L49*Links!AZ49+'On-Ramps'!AH49*'On-Ramps'!CJ49)/('On-Ramps'!AH49+Links!L49)</f>
        <v>#DIV/0!</v>
      </c>
      <c r="BJ49" s="57" t="e">
        <f>(Links!BA49*Links!M49+'On-Ramps'!AI49*'On-Ramps'!CK49)/('On-Ramps'!AI49+Links!M49)</f>
        <v>#DIV/0!</v>
      </c>
      <c r="BK49" s="57" t="e">
        <f>(Links!S49*Links!BG49+'On-Ramps'!AJ49*'On-Ramps'!CL49)/('On-Ramps'!AJ49+Links!S49)</f>
        <v>#DIV/0!</v>
      </c>
      <c r="BL49" s="63"/>
      <c r="BM49" s="57" t="e">
        <f>(Links!S49*Links!BG49+'On-Ramps'!AL49*'On-Ramps'!CM49)/(Links!S49+'On-Ramps'!AL49)</f>
        <v>#DIV/0!</v>
      </c>
      <c r="BN49" s="63"/>
      <c r="BO49" s="58" t="e">
        <f>(Links!W49^2+'Off-Ramp'!L49^2)/(Links!W49+'Off-Ramp'!L49)</f>
        <v>#DIV/0!</v>
      </c>
      <c r="BP49" s="63"/>
      <c r="BQ49" s="58" t="e">
        <f>(Links!Y49^2+'Off-Ramp'!C49^2)/(Links!Y49+'Off-Ramp'!C49)</f>
        <v>#DIV/0!</v>
      </c>
      <c r="BR49" s="63"/>
      <c r="BS49" s="58" t="e">
        <f>(Links!AA49^2+'Off-Ramp'!N49^2)/(Links!AA49+'Off-Ramp'!N49)</f>
        <v>#DIV/0!</v>
      </c>
      <c r="BT49" s="58" t="e">
        <f>(Links!AD49^2+'Off-Ramp'!O49^2)/(Links!AD49+'Off-Ramp'!O49)</f>
        <v>#DIV/0!</v>
      </c>
      <c r="BU49" s="58" t="e">
        <f>(Links!AE49^2+'Off-Ramp'!V49^2+'Off-Ramp'!W49^2+'Off-Ramp'!X49^2)/(Links!AE49+'Off-Ramp'!V49+'Off-Ramp'!W49+'Off-Ramp'!X49)</f>
        <v>#DIV/0!</v>
      </c>
      <c r="BV49" s="58" t="e">
        <f>(Links!AG49^2+'Off-Ramp'!Y49^2+'Off-Ramp'!Z49^2+'Off-Ramp'!AA49^2)/(Links!AG49+'Off-Ramp'!Y49+'Off-Ramp'!Z49+'Off-Ramp'!AA49)</f>
        <v>#DIV/0!</v>
      </c>
      <c r="BW49" s="58" t="e">
        <f>(Links!AH49^2+'Off-Ramp'!R49^2)/(Links!AH49+'Off-Ramp'!R49)</f>
        <v>#DIV/0!</v>
      </c>
      <c r="BX49" s="58" t="e">
        <f>(Links!AK49^2+'Off-Ramp'!S49^2)/(Links!AK49+'Off-Ramp'!S49)</f>
        <v>#DIV/0!</v>
      </c>
      <c r="BY49" s="58" t="e">
        <f>(Links!AL49^2+'Off-Ramp'!T49^2)/(Links!AL49+'Off-Ramp'!T49)</f>
        <v>#DIV/0!</v>
      </c>
      <c r="BZ49" s="63"/>
      <c r="CA49" s="58" t="e">
        <f>(Links!AN49^2+'Off-Ramp'!U49^2)/(Links!AN49+'Off-Ramp'!U49)</f>
        <v>#DIV/0!</v>
      </c>
    </row>
    <row r="50" spans="1:79" x14ac:dyDescent="0.15">
      <c r="A50" s="56">
        <v>48</v>
      </c>
      <c r="B50" s="57" t="e">
        <f t="shared" si="1"/>
        <v>#DIV/0!</v>
      </c>
      <c r="C50" s="57" t="e">
        <f t="shared" si="2"/>
        <v>#DIV/0!</v>
      </c>
      <c r="D50" s="57" t="e">
        <f t="shared" si="3"/>
        <v>#DIV/0!</v>
      </c>
      <c r="E50" s="57" t="e">
        <f t="shared" si="4"/>
        <v>#DIV/0!</v>
      </c>
      <c r="F50" s="57" t="e">
        <f t="shared" si="5"/>
        <v>#DIV/0!</v>
      </c>
      <c r="G50" s="57" t="e">
        <f t="shared" si="6"/>
        <v>#DIV/0!</v>
      </c>
      <c r="H50" s="57" t="e">
        <f t="shared" si="7"/>
        <v>#DIV/0!</v>
      </c>
      <c r="I50" s="57" t="e">
        <f t="shared" si="8"/>
        <v>#DIV/0!</v>
      </c>
      <c r="J50" s="57" t="e">
        <f t="shared" si="9"/>
        <v>#DIV/0!</v>
      </c>
      <c r="K50" s="57" t="e">
        <f t="shared" si="10"/>
        <v>#DIV/0!</v>
      </c>
      <c r="L50" s="57" t="e">
        <f t="shared" si="11"/>
        <v>#DIV/0!</v>
      </c>
      <c r="M50" s="57" t="e">
        <f t="shared" si="12"/>
        <v>#DIV/0!</v>
      </c>
      <c r="N50" s="57" t="e">
        <f t="shared" si="13"/>
        <v>#DIV/0!</v>
      </c>
      <c r="O50" s="58" t="e">
        <f>Links!B50</f>
        <v>#DIV/0!</v>
      </c>
      <c r="P50" s="58" t="e">
        <f>Links!C50+'On-Ramps'!AC50</f>
        <v>#DIV/0!</v>
      </c>
      <c r="Q50" s="58" t="e">
        <f>Links!D50</f>
        <v>#DIV/0!</v>
      </c>
      <c r="R50" s="58" t="e">
        <f>Links!E50+'On-Ramps'!AD50</f>
        <v>#DIV/0!</v>
      </c>
      <c r="S50" s="58" t="e">
        <f>Links!F50+'On-Ramps'!AE50</f>
        <v>#DIV/0!</v>
      </c>
      <c r="T50" s="58" t="e">
        <f>Links!I50+'On-Ramps'!AF50</f>
        <v>#DIV/0!</v>
      </c>
      <c r="U50" s="58" t="e">
        <f>Links!J50+'On-Ramps'!AG50</f>
        <v>#DIV/0!</v>
      </c>
      <c r="V50" s="58" t="e">
        <f>Links!L50+'On-Ramps'!AH50</f>
        <v>#DIV/0!</v>
      </c>
      <c r="W50" s="58" t="e">
        <f>Links!M50+'On-Ramps'!AI50</f>
        <v>#DIV/0!</v>
      </c>
      <c r="X50" s="58" t="e">
        <f>Links!P50+'On-Ramps'!AJ50</f>
        <v>#DIV/0!</v>
      </c>
      <c r="Y50" s="58" t="e">
        <f>Links!Q50</f>
        <v>#DIV/0!</v>
      </c>
      <c r="Z50" s="58" t="e">
        <f>Links!R50+'On-Ramps'!AK50</f>
        <v>#DIV/0!</v>
      </c>
      <c r="AA50" s="58" t="e">
        <f>Links!S50</f>
        <v>#DIV/0!</v>
      </c>
      <c r="AB50" s="57" t="e">
        <f t="shared" si="16"/>
        <v>#VALUE!</v>
      </c>
      <c r="AC50" s="63"/>
      <c r="AD50" s="57" t="e">
        <f t="shared" si="17"/>
        <v>#DIV/0!</v>
      </c>
      <c r="AE50" s="63"/>
      <c r="AF50" s="57" t="e">
        <f t="shared" si="18"/>
        <v>#DIV/0!</v>
      </c>
      <c r="AG50" s="57" t="e">
        <f t="shared" si="19"/>
        <v>#DIV/0!</v>
      </c>
      <c r="AH50" s="57" t="e">
        <f t="shared" si="20"/>
        <v>#DIV/0!</v>
      </c>
      <c r="AI50" s="57" t="e">
        <f t="shared" si="21"/>
        <v>#DIV/0!</v>
      </c>
      <c r="AJ50" s="57" t="e">
        <f t="shared" si="22"/>
        <v>#DIV/0!</v>
      </c>
      <c r="AK50" s="57" t="e">
        <f t="shared" si="23"/>
        <v>#DIV/0!</v>
      </c>
      <c r="AL50" s="57" t="e">
        <f t="shared" si="24"/>
        <v>#DIV/0!</v>
      </c>
      <c r="AM50" s="63"/>
      <c r="AN50" s="57" t="e">
        <f t="shared" si="26"/>
        <v>#DIV/0!</v>
      </c>
      <c r="AO50" s="58" t="e">
        <f t="shared" si="27"/>
        <v>#VALUE!</v>
      </c>
      <c r="AP50" s="63"/>
      <c r="AQ50" s="58" t="e">
        <f t="shared" si="27"/>
        <v>#DIV/0!</v>
      </c>
      <c r="AR50" s="63"/>
      <c r="AS50" s="58" t="e">
        <f t="shared" si="27"/>
        <v>#DIV/0!</v>
      </c>
      <c r="AT50" s="58" t="e">
        <f t="shared" si="27"/>
        <v>#DIV/0!</v>
      </c>
      <c r="AU50" s="58" t="e">
        <f t="shared" si="27"/>
        <v>#DIV/0!</v>
      </c>
      <c r="AV50" s="58" t="e">
        <f t="shared" si="27"/>
        <v>#DIV/0!</v>
      </c>
      <c r="AW50" s="58" t="e">
        <f t="shared" si="27"/>
        <v>#DIV/0!</v>
      </c>
      <c r="AX50" s="58" t="e">
        <f t="shared" si="27"/>
        <v>#DIV/0!</v>
      </c>
      <c r="AY50" s="58" t="e">
        <f t="shared" si="27"/>
        <v>#DIV/0!</v>
      </c>
      <c r="AZ50" s="63"/>
      <c r="BA50" s="58" t="e">
        <f t="shared" si="27"/>
        <v>#DIV/0!</v>
      </c>
      <c r="BB50" s="63"/>
      <c r="BC50" s="57" t="e">
        <f>(Links!C50*Links!AQ50+'On-Ramps'!AC50*'On-Ramps'!CE50)/('On-Ramps'!AC50+Links!C50)</f>
        <v>#DIV/0!</v>
      </c>
      <c r="BD50" s="63"/>
      <c r="BE50" s="57" t="e">
        <f>(Links!E50*Links!AS50+'On-Ramps'!AD50*'On-Ramps'!CF49)/('On-Ramps'!AD50+Links!E50)</f>
        <v>#DIV/0!</v>
      </c>
      <c r="BF50" s="57" t="e">
        <f>(Links!F50*Links!AT50+'On-Ramps'!AE50*'On-Ramps'!CG50)/('On-Ramps'!AE50+Links!F50)</f>
        <v>#DIV/0!</v>
      </c>
      <c r="BG50" s="57" t="e">
        <f>(Links!I50*Links!AW50+'On-Ramps'!AF50*'On-Ramps'!CH50)/('On-Ramps'!AF50+Links!I50)</f>
        <v>#DIV/0!</v>
      </c>
      <c r="BH50" s="57" t="e">
        <f>(#REF!*#REF!+'On-Ramps'!AG50*'On-Ramps'!CI50)/('On-Ramps'!AG50+#REF!)</f>
        <v>#REF!</v>
      </c>
      <c r="BI50" s="57" t="e">
        <f>(Links!L50*Links!AZ50+'On-Ramps'!AH50*'On-Ramps'!CJ50)/('On-Ramps'!AH50+Links!L50)</f>
        <v>#DIV/0!</v>
      </c>
      <c r="BJ50" s="57" t="e">
        <f>(Links!BA50*Links!M50+'On-Ramps'!AI50*'On-Ramps'!CK50)/('On-Ramps'!AI50+Links!M50)</f>
        <v>#DIV/0!</v>
      </c>
      <c r="BK50" s="57" t="e">
        <f>(Links!S50*Links!BG50+'On-Ramps'!AJ50*'On-Ramps'!CL50)/('On-Ramps'!AJ50+Links!S50)</f>
        <v>#DIV/0!</v>
      </c>
      <c r="BL50" s="63"/>
      <c r="BM50" s="57" t="e">
        <f>(Links!S50*Links!BG50+'On-Ramps'!AL50*'On-Ramps'!CM50)/(Links!S50+'On-Ramps'!AL50)</f>
        <v>#DIV/0!</v>
      </c>
      <c r="BN50" s="63"/>
      <c r="BO50" s="58" t="e">
        <f>(Links!W50^2+'Off-Ramp'!L50^2)/(Links!W50+'Off-Ramp'!L50)</f>
        <v>#DIV/0!</v>
      </c>
      <c r="BP50" s="63"/>
      <c r="BQ50" s="58" t="e">
        <f>(Links!Y50^2+'Off-Ramp'!C50^2)/(Links!Y50+'Off-Ramp'!C50)</f>
        <v>#DIV/0!</v>
      </c>
      <c r="BR50" s="63"/>
      <c r="BS50" s="58" t="e">
        <f>(Links!AA50^2+'Off-Ramp'!N50^2)/(Links!AA50+'Off-Ramp'!N50)</f>
        <v>#DIV/0!</v>
      </c>
      <c r="BT50" s="58" t="e">
        <f>(Links!AD50^2+'Off-Ramp'!O50^2)/(Links!AD50+'Off-Ramp'!O50)</f>
        <v>#DIV/0!</v>
      </c>
      <c r="BU50" s="58" t="e">
        <f>(Links!AE50^2+'Off-Ramp'!V50^2+'Off-Ramp'!W50^2+'Off-Ramp'!X50^2)/(Links!AE50+'Off-Ramp'!V50+'Off-Ramp'!W50+'Off-Ramp'!X50)</f>
        <v>#DIV/0!</v>
      </c>
      <c r="BV50" s="58" t="e">
        <f>(Links!AG50^2+'Off-Ramp'!Y50^2+'Off-Ramp'!Z50^2+'Off-Ramp'!AA50^2)/(Links!AG50+'Off-Ramp'!Y50+'Off-Ramp'!Z50+'Off-Ramp'!AA50)</f>
        <v>#DIV/0!</v>
      </c>
      <c r="BW50" s="58" t="e">
        <f>(Links!AH50^2+'Off-Ramp'!R50^2)/(Links!AH50+'Off-Ramp'!R50)</f>
        <v>#DIV/0!</v>
      </c>
      <c r="BX50" s="58" t="e">
        <f>(Links!AK50^2+'Off-Ramp'!S50^2)/(Links!AK50+'Off-Ramp'!S50)</f>
        <v>#DIV/0!</v>
      </c>
      <c r="BY50" s="58" t="e">
        <f>(Links!AL50^2+'Off-Ramp'!T50^2)/(Links!AL50+'Off-Ramp'!T50)</f>
        <v>#DIV/0!</v>
      </c>
      <c r="BZ50" s="63"/>
      <c r="CA50" s="58" t="e">
        <f>(Links!AN50^2+'Off-Ramp'!U50^2)/(Links!AN50+'Off-Ramp'!U50)</f>
        <v>#DIV/0!</v>
      </c>
    </row>
    <row r="51" spans="1:79" x14ac:dyDescent="0.15">
      <c r="A51" s="56">
        <v>49</v>
      </c>
      <c r="B51" s="57" t="e">
        <f t="shared" si="1"/>
        <v>#DIV/0!</v>
      </c>
      <c r="C51" s="57" t="e">
        <f t="shared" si="2"/>
        <v>#DIV/0!</v>
      </c>
      <c r="D51" s="57" t="e">
        <f t="shared" si="3"/>
        <v>#DIV/0!</v>
      </c>
      <c r="E51" s="57" t="e">
        <f t="shared" si="4"/>
        <v>#DIV/0!</v>
      </c>
      <c r="F51" s="57" t="e">
        <f t="shared" si="5"/>
        <v>#DIV/0!</v>
      </c>
      <c r="G51" s="57" t="e">
        <f t="shared" si="6"/>
        <v>#DIV/0!</v>
      </c>
      <c r="H51" s="57" t="e">
        <f t="shared" si="7"/>
        <v>#DIV/0!</v>
      </c>
      <c r="I51" s="57" t="e">
        <f t="shared" si="8"/>
        <v>#DIV/0!</v>
      </c>
      <c r="J51" s="57" t="e">
        <f t="shared" si="9"/>
        <v>#DIV/0!</v>
      </c>
      <c r="K51" s="57" t="e">
        <f t="shared" si="10"/>
        <v>#DIV/0!</v>
      </c>
      <c r="L51" s="57" t="e">
        <f t="shared" si="11"/>
        <v>#DIV/0!</v>
      </c>
      <c r="M51" s="57" t="e">
        <f t="shared" si="12"/>
        <v>#DIV/0!</v>
      </c>
      <c r="N51" s="57" t="e">
        <f t="shared" si="13"/>
        <v>#DIV/0!</v>
      </c>
      <c r="O51" s="58" t="e">
        <f>Links!B51</f>
        <v>#DIV/0!</v>
      </c>
      <c r="P51" s="58" t="e">
        <f>Links!C51+'On-Ramps'!AC51</f>
        <v>#DIV/0!</v>
      </c>
      <c r="Q51" s="58" t="e">
        <f>Links!D51</f>
        <v>#DIV/0!</v>
      </c>
      <c r="R51" s="58" t="e">
        <f>Links!E51+'On-Ramps'!AD51</f>
        <v>#DIV/0!</v>
      </c>
      <c r="S51" s="58" t="e">
        <f>Links!F51+'On-Ramps'!AE51</f>
        <v>#DIV/0!</v>
      </c>
      <c r="T51" s="58" t="e">
        <f>Links!I51+'On-Ramps'!AF51</f>
        <v>#DIV/0!</v>
      </c>
      <c r="U51" s="58" t="e">
        <f>Links!J51+'On-Ramps'!AG51</f>
        <v>#DIV/0!</v>
      </c>
      <c r="V51" s="58" t="e">
        <f>Links!L51+'On-Ramps'!AH51</f>
        <v>#DIV/0!</v>
      </c>
      <c r="W51" s="58" t="e">
        <f>Links!M51+'On-Ramps'!AI51</f>
        <v>#DIV/0!</v>
      </c>
      <c r="X51" s="58" t="e">
        <f>Links!P51+'On-Ramps'!AJ51</f>
        <v>#DIV/0!</v>
      </c>
      <c r="Y51" s="58" t="e">
        <f>Links!Q51</f>
        <v>#DIV/0!</v>
      </c>
      <c r="Z51" s="58" t="e">
        <f>Links!R51+'On-Ramps'!AK51</f>
        <v>#DIV/0!</v>
      </c>
      <c r="AA51" s="58" t="e">
        <f>Links!S51</f>
        <v>#DIV/0!</v>
      </c>
      <c r="AB51" s="57" t="e">
        <f t="shared" si="16"/>
        <v>#VALUE!</v>
      </c>
      <c r="AC51" s="63"/>
      <c r="AD51" s="57" t="e">
        <f t="shared" si="17"/>
        <v>#DIV/0!</v>
      </c>
      <c r="AE51" s="63"/>
      <c r="AF51" s="57" t="e">
        <f t="shared" si="18"/>
        <v>#DIV/0!</v>
      </c>
      <c r="AG51" s="57" t="e">
        <f t="shared" si="19"/>
        <v>#DIV/0!</v>
      </c>
      <c r="AH51" s="57" t="e">
        <f t="shared" si="20"/>
        <v>#DIV/0!</v>
      </c>
      <c r="AI51" s="57" t="e">
        <f t="shared" si="21"/>
        <v>#DIV/0!</v>
      </c>
      <c r="AJ51" s="57" t="e">
        <f t="shared" si="22"/>
        <v>#DIV/0!</v>
      </c>
      <c r="AK51" s="57" t="e">
        <f t="shared" si="23"/>
        <v>#DIV/0!</v>
      </c>
      <c r="AL51" s="57" t="e">
        <f t="shared" si="24"/>
        <v>#DIV/0!</v>
      </c>
      <c r="AM51" s="63"/>
      <c r="AN51" s="57" t="e">
        <f t="shared" si="26"/>
        <v>#DIV/0!</v>
      </c>
      <c r="AO51" s="58" t="e">
        <f t="shared" si="27"/>
        <v>#VALUE!</v>
      </c>
      <c r="AP51" s="63"/>
      <c r="AQ51" s="58" t="e">
        <f t="shared" si="27"/>
        <v>#DIV/0!</v>
      </c>
      <c r="AR51" s="63"/>
      <c r="AS51" s="58" t="e">
        <f t="shared" si="27"/>
        <v>#DIV/0!</v>
      </c>
      <c r="AT51" s="58" t="e">
        <f t="shared" si="27"/>
        <v>#DIV/0!</v>
      </c>
      <c r="AU51" s="58" t="e">
        <f t="shared" si="27"/>
        <v>#DIV/0!</v>
      </c>
      <c r="AV51" s="58" t="e">
        <f t="shared" si="27"/>
        <v>#DIV/0!</v>
      </c>
      <c r="AW51" s="58" t="e">
        <f t="shared" si="27"/>
        <v>#DIV/0!</v>
      </c>
      <c r="AX51" s="58" t="e">
        <f t="shared" si="27"/>
        <v>#DIV/0!</v>
      </c>
      <c r="AY51" s="58" t="e">
        <f t="shared" si="27"/>
        <v>#DIV/0!</v>
      </c>
      <c r="AZ51" s="63"/>
      <c r="BA51" s="58" t="e">
        <f t="shared" si="27"/>
        <v>#DIV/0!</v>
      </c>
      <c r="BB51" s="63"/>
      <c r="BC51" s="57" t="e">
        <f>(Links!C51*Links!AQ51+'On-Ramps'!AC51*'On-Ramps'!CE51)/('On-Ramps'!AC51+Links!C51)</f>
        <v>#DIV/0!</v>
      </c>
      <c r="BD51" s="63"/>
      <c r="BE51" s="57" t="e">
        <f>(Links!E51*Links!AS51+'On-Ramps'!AD51*'On-Ramps'!CF50)/('On-Ramps'!AD51+Links!E51)</f>
        <v>#DIV/0!</v>
      </c>
      <c r="BF51" s="57" t="e">
        <f>(Links!F51*Links!AT51+'On-Ramps'!AE51*'On-Ramps'!CG51)/('On-Ramps'!AE51+Links!F51)</f>
        <v>#DIV/0!</v>
      </c>
      <c r="BG51" s="57" t="e">
        <f>(Links!I51*Links!AW51+'On-Ramps'!AF51*'On-Ramps'!CH51)/('On-Ramps'!AF51+Links!I51)</f>
        <v>#DIV/0!</v>
      </c>
      <c r="BH51" s="57" t="e">
        <f>(#REF!*#REF!+'On-Ramps'!AG51*'On-Ramps'!CI51)/('On-Ramps'!AG51+#REF!)</f>
        <v>#REF!</v>
      </c>
      <c r="BI51" s="57" t="e">
        <f>(Links!L51*Links!AZ51+'On-Ramps'!AH51*'On-Ramps'!CJ51)/('On-Ramps'!AH51+Links!L51)</f>
        <v>#DIV/0!</v>
      </c>
      <c r="BJ51" s="57" t="e">
        <f>(Links!BA51*Links!M51+'On-Ramps'!AI51*'On-Ramps'!CK51)/('On-Ramps'!AI51+Links!M51)</f>
        <v>#DIV/0!</v>
      </c>
      <c r="BK51" s="57" t="e">
        <f>(Links!S51*Links!BG51+'On-Ramps'!AJ51*'On-Ramps'!CL51)/('On-Ramps'!AJ51+Links!S51)</f>
        <v>#DIV/0!</v>
      </c>
      <c r="BL51" s="63"/>
      <c r="BM51" s="57" t="e">
        <f>(Links!S51*Links!BG51+'On-Ramps'!AL51*'On-Ramps'!CM51)/(Links!S51+'On-Ramps'!AL51)</f>
        <v>#DIV/0!</v>
      </c>
      <c r="BN51" s="63"/>
      <c r="BO51" s="58" t="e">
        <f>(Links!W51^2+'Off-Ramp'!L51^2)/(Links!W51+'Off-Ramp'!L51)</f>
        <v>#DIV/0!</v>
      </c>
      <c r="BP51" s="63"/>
      <c r="BQ51" s="58" t="e">
        <f>(Links!Y51^2+'Off-Ramp'!C51^2)/(Links!Y51+'Off-Ramp'!C51)</f>
        <v>#DIV/0!</v>
      </c>
      <c r="BR51" s="63"/>
      <c r="BS51" s="58" t="e">
        <f>(Links!AA51^2+'Off-Ramp'!N51^2)/(Links!AA51+'Off-Ramp'!N51)</f>
        <v>#DIV/0!</v>
      </c>
      <c r="BT51" s="58" t="e">
        <f>(Links!AD51^2+'Off-Ramp'!O51^2)/(Links!AD51+'Off-Ramp'!O51)</f>
        <v>#DIV/0!</v>
      </c>
      <c r="BU51" s="58" t="e">
        <f>(Links!AE51^2+'Off-Ramp'!V51^2+'Off-Ramp'!W51^2+'Off-Ramp'!X51^2)/(Links!AE51+'Off-Ramp'!V51+'Off-Ramp'!W51+'Off-Ramp'!X51)</f>
        <v>#DIV/0!</v>
      </c>
      <c r="BV51" s="58" t="e">
        <f>(Links!AG51^2+'Off-Ramp'!Y51^2+'Off-Ramp'!Z51^2+'Off-Ramp'!AA51^2)/(Links!AG51+'Off-Ramp'!Y51+'Off-Ramp'!Z51+'Off-Ramp'!AA51)</f>
        <v>#DIV/0!</v>
      </c>
      <c r="BW51" s="58" t="e">
        <f>(Links!AH51^2+'Off-Ramp'!R51^2)/(Links!AH51+'Off-Ramp'!R51)</f>
        <v>#DIV/0!</v>
      </c>
      <c r="BX51" s="58" t="e">
        <f>(Links!AK51^2+'Off-Ramp'!S51^2)/(Links!AK51+'Off-Ramp'!S51)</f>
        <v>#DIV/0!</v>
      </c>
      <c r="BY51" s="58" t="e">
        <f>(Links!AL51^2+'Off-Ramp'!T51^2)/(Links!AL51+'Off-Ramp'!T51)</f>
        <v>#DIV/0!</v>
      </c>
      <c r="BZ51" s="63"/>
      <c r="CA51" s="58" t="e">
        <f>(Links!AN51^2+'Off-Ramp'!U51^2)/(Links!AN51+'Off-Ramp'!U51)</f>
        <v>#DIV/0!</v>
      </c>
    </row>
    <row r="52" spans="1:79" x14ac:dyDescent="0.15">
      <c r="A52" s="56">
        <v>50</v>
      </c>
      <c r="B52" s="57" t="e">
        <f t="shared" si="1"/>
        <v>#DIV/0!</v>
      </c>
      <c r="C52" s="57" t="e">
        <f t="shared" si="2"/>
        <v>#DIV/0!</v>
      </c>
      <c r="D52" s="57" t="e">
        <f t="shared" si="3"/>
        <v>#DIV/0!</v>
      </c>
      <c r="E52" s="57" t="e">
        <f t="shared" si="4"/>
        <v>#DIV/0!</v>
      </c>
      <c r="F52" s="57" t="e">
        <f t="shared" si="5"/>
        <v>#DIV/0!</v>
      </c>
      <c r="G52" s="57" t="e">
        <f t="shared" si="6"/>
        <v>#DIV/0!</v>
      </c>
      <c r="H52" s="57" t="e">
        <f t="shared" si="7"/>
        <v>#DIV/0!</v>
      </c>
      <c r="I52" s="57" t="e">
        <f t="shared" si="8"/>
        <v>#DIV/0!</v>
      </c>
      <c r="J52" s="57" t="e">
        <f t="shared" si="9"/>
        <v>#DIV/0!</v>
      </c>
      <c r="K52" s="57" t="e">
        <f t="shared" si="10"/>
        <v>#DIV/0!</v>
      </c>
      <c r="L52" s="57" t="e">
        <f t="shared" si="11"/>
        <v>#DIV/0!</v>
      </c>
      <c r="M52" s="57" t="e">
        <f t="shared" si="12"/>
        <v>#DIV/0!</v>
      </c>
      <c r="N52" s="57" t="e">
        <f t="shared" si="13"/>
        <v>#DIV/0!</v>
      </c>
      <c r="O52" s="58" t="e">
        <f>Links!B52</f>
        <v>#DIV/0!</v>
      </c>
      <c r="P52" s="58" t="e">
        <f>Links!C52+'On-Ramps'!AC52</f>
        <v>#DIV/0!</v>
      </c>
      <c r="Q52" s="58" t="e">
        <f>Links!D52</f>
        <v>#DIV/0!</v>
      </c>
      <c r="R52" s="58" t="e">
        <f>Links!E52+'On-Ramps'!AD52</f>
        <v>#DIV/0!</v>
      </c>
      <c r="S52" s="58" t="e">
        <f>Links!F52+'On-Ramps'!AE52</f>
        <v>#DIV/0!</v>
      </c>
      <c r="T52" s="58" t="e">
        <f>Links!I52+'On-Ramps'!AF52</f>
        <v>#DIV/0!</v>
      </c>
      <c r="U52" s="58" t="e">
        <f>Links!J52+'On-Ramps'!AG52</f>
        <v>#DIV/0!</v>
      </c>
      <c r="V52" s="58" t="e">
        <f>Links!L52+'On-Ramps'!AH52</f>
        <v>#DIV/0!</v>
      </c>
      <c r="W52" s="58" t="e">
        <f>Links!M52+'On-Ramps'!AI52</f>
        <v>#DIV/0!</v>
      </c>
      <c r="X52" s="58" t="e">
        <f>Links!P52+'On-Ramps'!AJ52</f>
        <v>#DIV/0!</v>
      </c>
      <c r="Y52" s="58" t="e">
        <f>Links!Q52</f>
        <v>#DIV/0!</v>
      </c>
      <c r="Z52" s="58" t="e">
        <f>Links!R52+'On-Ramps'!AK52</f>
        <v>#DIV/0!</v>
      </c>
      <c r="AA52" s="58" t="e">
        <f>Links!S52</f>
        <v>#DIV/0!</v>
      </c>
      <c r="AB52" s="57" t="e">
        <f t="shared" si="16"/>
        <v>#VALUE!</v>
      </c>
      <c r="AC52" s="63"/>
      <c r="AD52" s="57" t="e">
        <f t="shared" si="17"/>
        <v>#DIV/0!</v>
      </c>
      <c r="AE52" s="63"/>
      <c r="AF52" s="57" t="e">
        <f t="shared" si="18"/>
        <v>#DIV/0!</v>
      </c>
      <c r="AG52" s="57" t="e">
        <f t="shared" si="19"/>
        <v>#DIV/0!</v>
      </c>
      <c r="AH52" s="57" t="e">
        <f t="shared" si="20"/>
        <v>#DIV/0!</v>
      </c>
      <c r="AI52" s="57" t="e">
        <f t="shared" si="21"/>
        <v>#DIV/0!</v>
      </c>
      <c r="AJ52" s="57" t="e">
        <f t="shared" si="22"/>
        <v>#DIV/0!</v>
      </c>
      <c r="AK52" s="57" t="e">
        <f t="shared" si="23"/>
        <v>#DIV/0!</v>
      </c>
      <c r="AL52" s="57" t="e">
        <f t="shared" si="24"/>
        <v>#DIV/0!</v>
      </c>
      <c r="AM52" s="63"/>
      <c r="AN52" s="57" t="e">
        <f t="shared" si="26"/>
        <v>#DIV/0!</v>
      </c>
      <c r="AO52" s="58" t="e">
        <f t="shared" si="27"/>
        <v>#VALUE!</v>
      </c>
      <c r="AP52" s="63"/>
      <c r="AQ52" s="58" t="e">
        <f t="shared" si="27"/>
        <v>#DIV/0!</v>
      </c>
      <c r="AR52" s="63"/>
      <c r="AS52" s="58" t="e">
        <f t="shared" si="27"/>
        <v>#DIV/0!</v>
      </c>
      <c r="AT52" s="58" t="e">
        <f t="shared" si="27"/>
        <v>#DIV/0!</v>
      </c>
      <c r="AU52" s="58" t="e">
        <f t="shared" si="27"/>
        <v>#DIV/0!</v>
      </c>
      <c r="AV52" s="58" t="e">
        <f t="shared" si="27"/>
        <v>#DIV/0!</v>
      </c>
      <c r="AW52" s="58" t="e">
        <f t="shared" si="27"/>
        <v>#DIV/0!</v>
      </c>
      <c r="AX52" s="58" t="e">
        <f t="shared" si="27"/>
        <v>#DIV/0!</v>
      </c>
      <c r="AY52" s="58" t="e">
        <f t="shared" si="27"/>
        <v>#DIV/0!</v>
      </c>
      <c r="AZ52" s="63"/>
      <c r="BA52" s="58" t="e">
        <f t="shared" si="27"/>
        <v>#DIV/0!</v>
      </c>
      <c r="BB52" s="63"/>
      <c r="BC52" s="57" t="e">
        <f>(Links!C52*Links!AQ52+'On-Ramps'!AC52*'On-Ramps'!CE52)/('On-Ramps'!AC52+Links!C52)</f>
        <v>#DIV/0!</v>
      </c>
      <c r="BD52" s="63"/>
      <c r="BE52" s="57" t="e">
        <f>(Links!E52*Links!AS52+'On-Ramps'!AD52*'On-Ramps'!CF51)/('On-Ramps'!AD52+Links!E52)</f>
        <v>#DIV/0!</v>
      </c>
      <c r="BF52" s="57" t="e">
        <f>(Links!F52*Links!AT52+'On-Ramps'!AE52*'On-Ramps'!CG52)/('On-Ramps'!AE52+Links!F52)</f>
        <v>#DIV/0!</v>
      </c>
      <c r="BG52" s="57" t="e">
        <f>(Links!I52*Links!AW52+'On-Ramps'!AF52*'On-Ramps'!CH52)/('On-Ramps'!AF52+Links!I52)</f>
        <v>#DIV/0!</v>
      </c>
      <c r="BH52" s="57" t="e">
        <f>(#REF!*#REF!+'On-Ramps'!AG52*'On-Ramps'!CI52)/('On-Ramps'!AG52+#REF!)</f>
        <v>#REF!</v>
      </c>
      <c r="BI52" s="57" t="e">
        <f>(Links!L52*Links!AZ52+'On-Ramps'!AH52*'On-Ramps'!CJ52)/('On-Ramps'!AH52+Links!L52)</f>
        <v>#DIV/0!</v>
      </c>
      <c r="BJ52" s="57" t="e">
        <f>(Links!BA52*Links!M52+'On-Ramps'!AI52*'On-Ramps'!CK52)/('On-Ramps'!AI52+Links!M52)</f>
        <v>#DIV/0!</v>
      </c>
      <c r="BK52" s="57" t="e">
        <f>(Links!S52*Links!BG52+'On-Ramps'!AJ52*'On-Ramps'!CL52)/('On-Ramps'!AJ52+Links!S52)</f>
        <v>#DIV/0!</v>
      </c>
      <c r="BL52" s="63"/>
      <c r="BM52" s="57" t="e">
        <f>(Links!S52*Links!BG52+'On-Ramps'!AL52*'On-Ramps'!CM52)/(Links!S52+'On-Ramps'!AL52)</f>
        <v>#DIV/0!</v>
      </c>
      <c r="BN52" s="63"/>
      <c r="BO52" s="58" t="e">
        <f>(Links!W52^2+'Off-Ramp'!L52^2)/(Links!W52+'Off-Ramp'!L52)</f>
        <v>#DIV/0!</v>
      </c>
      <c r="BP52" s="63"/>
      <c r="BQ52" s="58" t="e">
        <f>(Links!Y52^2+'Off-Ramp'!C52^2)/(Links!Y52+'Off-Ramp'!C52)</f>
        <v>#DIV/0!</v>
      </c>
      <c r="BR52" s="63"/>
      <c r="BS52" s="58" t="e">
        <f>(Links!AA52^2+'Off-Ramp'!N52^2)/(Links!AA52+'Off-Ramp'!N52)</f>
        <v>#DIV/0!</v>
      </c>
      <c r="BT52" s="58" t="e">
        <f>(Links!AD52^2+'Off-Ramp'!O52^2)/(Links!AD52+'Off-Ramp'!O52)</f>
        <v>#DIV/0!</v>
      </c>
      <c r="BU52" s="58" t="e">
        <f>(Links!AE52^2+'Off-Ramp'!V52^2+'Off-Ramp'!W52^2+'Off-Ramp'!X52^2)/(Links!AE52+'Off-Ramp'!V52+'Off-Ramp'!W52+'Off-Ramp'!X52)</f>
        <v>#DIV/0!</v>
      </c>
      <c r="BV52" s="58" t="e">
        <f>(Links!AG52^2+'Off-Ramp'!Y52^2+'Off-Ramp'!Z52^2+'Off-Ramp'!AA52^2)/(Links!AG52+'Off-Ramp'!Y52+'Off-Ramp'!Z52+'Off-Ramp'!AA52)</f>
        <v>#DIV/0!</v>
      </c>
      <c r="BW52" s="58" t="e">
        <f>(Links!AH52^2+'Off-Ramp'!R52^2)/(Links!AH52+'Off-Ramp'!R52)</f>
        <v>#DIV/0!</v>
      </c>
      <c r="BX52" s="58" t="e">
        <f>(Links!AK52^2+'Off-Ramp'!S52^2)/(Links!AK52+'Off-Ramp'!S52)</f>
        <v>#DIV/0!</v>
      </c>
      <c r="BY52" s="58" t="e">
        <f>(Links!AL52^2+'Off-Ramp'!T52^2)/(Links!AL52+'Off-Ramp'!T52)</f>
        <v>#DIV/0!</v>
      </c>
      <c r="BZ52" s="63"/>
      <c r="CA52" s="58" t="e">
        <f>(Links!AN52^2+'Off-Ramp'!U52^2)/(Links!AN52+'Off-Ramp'!U52)</f>
        <v>#DIV/0!</v>
      </c>
    </row>
    <row r="53" spans="1:79" x14ac:dyDescent="0.15">
      <c r="A53" s="56">
        <v>51</v>
      </c>
      <c r="B53" s="57" t="e">
        <f t="shared" si="1"/>
        <v>#DIV/0!</v>
      </c>
      <c r="C53" s="57" t="e">
        <f t="shared" si="2"/>
        <v>#DIV/0!</v>
      </c>
      <c r="D53" s="57" t="e">
        <f t="shared" si="3"/>
        <v>#DIV/0!</v>
      </c>
      <c r="E53" s="57" t="e">
        <f t="shared" si="4"/>
        <v>#DIV/0!</v>
      </c>
      <c r="F53" s="57" t="e">
        <f t="shared" si="5"/>
        <v>#DIV/0!</v>
      </c>
      <c r="G53" s="57" t="e">
        <f t="shared" si="6"/>
        <v>#DIV/0!</v>
      </c>
      <c r="H53" s="57" t="e">
        <f t="shared" si="7"/>
        <v>#DIV/0!</v>
      </c>
      <c r="I53" s="57" t="e">
        <f t="shared" si="8"/>
        <v>#DIV/0!</v>
      </c>
      <c r="J53" s="57" t="e">
        <f t="shared" si="9"/>
        <v>#DIV/0!</v>
      </c>
      <c r="K53" s="57" t="e">
        <f t="shared" si="10"/>
        <v>#DIV/0!</v>
      </c>
      <c r="L53" s="57" t="e">
        <f t="shared" si="11"/>
        <v>#DIV/0!</v>
      </c>
      <c r="M53" s="57" t="e">
        <f t="shared" si="12"/>
        <v>#DIV/0!</v>
      </c>
      <c r="N53" s="57" t="e">
        <f t="shared" si="13"/>
        <v>#DIV/0!</v>
      </c>
      <c r="O53" s="58" t="e">
        <f>Links!B53</f>
        <v>#DIV/0!</v>
      </c>
      <c r="P53" s="58" t="e">
        <f>Links!C53+'On-Ramps'!AC53</f>
        <v>#DIV/0!</v>
      </c>
      <c r="Q53" s="58" t="e">
        <f>Links!D53</f>
        <v>#DIV/0!</v>
      </c>
      <c r="R53" s="58" t="e">
        <f>Links!E53+'On-Ramps'!AD53</f>
        <v>#DIV/0!</v>
      </c>
      <c r="S53" s="58" t="e">
        <f>Links!F53+'On-Ramps'!AE53</f>
        <v>#DIV/0!</v>
      </c>
      <c r="T53" s="58" t="e">
        <f>Links!I53+'On-Ramps'!AF53</f>
        <v>#DIV/0!</v>
      </c>
      <c r="U53" s="58" t="e">
        <f>Links!J53+'On-Ramps'!AG53</f>
        <v>#DIV/0!</v>
      </c>
      <c r="V53" s="58" t="e">
        <f>Links!L53+'On-Ramps'!AH53</f>
        <v>#DIV/0!</v>
      </c>
      <c r="W53" s="58" t="e">
        <f>Links!M53+'On-Ramps'!AI53</f>
        <v>#DIV/0!</v>
      </c>
      <c r="X53" s="58" t="e">
        <f>Links!P53+'On-Ramps'!AJ53</f>
        <v>#DIV/0!</v>
      </c>
      <c r="Y53" s="58" t="e">
        <f>Links!Q53</f>
        <v>#DIV/0!</v>
      </c>
      <c r="Z53" s="58" t="e">
        <f>Links!R53+'On-Ramps'!AK53</f>
        <v>#DIV/0!</v>
      </c>
      <c r="AA53" s="58" t="e">
        <f>Links!S53</f>
        <v>#DIV/0!</v>
      </c>
      <c r="AB53" s="57" t="e">
        <f t="shared" si="16"/>
        <v>#VALUE!</v>
      </c>
      <c r="AC53" s="63"/>
      <c r="AD53" s="57" t="e">
        <f t="shared" si="17"/>
        <v>#DIV/0!</v>
      </c>
      <c r="AE53" s="63"/>
      <c r="AF53" s="57" t="e">
        <f t="shared" si="18"/>
        <v>#DIV/0!</v>
      </c>
      <c r="AG53" s="57" t="e">
        <f t="shared" si="19"/>
        <v>#DIV/0!</v>
      </c>
      <c r="AH53" s="57" t="e">
        <f t="shared" si="20"/>
        <v>#DIV/0!</v>
      </c>
      <c r="AI53" s="57" t="e">
        <f t="shared" si="21"/>
        <v>#DIV/0!</v>
      </c>
      <c r="AJ53" s="57" t="e">
        <f t="shared" si="22"/>
        <v>#DIV/0!</v>
      </c>
      <c r="AK53" s="57" t="e">
        <f t="shared" si="23"/>
        <v>#DIV/0!</v>
      </c>
      <c r="AL53" s="57" t="e">
        <f t="shared" si="24"/>
        <v>#DIV/0!</v>
      </c>
      <c r="AM53" s="63"/>
      <c r="AN53" s="57" t="e">
        <f t="shared" si="26"/>
        <v>#DIV/0!</v>
      </c>
      <c r="AO53" s="58" t="e">
        <f t="shared" si="27"/>
        <v>#VALUE!</v>
      </c>
      <c r="AP53" s="63"/>
      <c r="AQ53" s="58" t="e">
        <f t="shared" si="27"/>
        <v>#DIV/0!</v>
      </c>
      <c r="AR53" s="63"/>
      <c r="AS53" s="58" t="e">
        <f t="shared" si="27"/>
        <v>#DIV/0!</v>
      </c>
      <c r="AT53" s="58" t="e">
        <f t="shared" si="27"/>
        <v>#DIV/0!</v>
      </c>
      <c r="AU53" s="58" t="e">
        <f t="shared" si="27"/>
        <v>#DIV/0!</v>
      </c>
      <c r="AV53" s="58" t="e">
        <f t="shared" si="27"/>
        <v>#DIV/0!</v>
      </c>
      <c r="AW53" s="58" t="e">
        <f t="shared" si="27"/>
        <v>#DIV/0!</v>
      </c>
      <c r="AX53" s="58" t="e">
        <f t="shared" si="27"/>
        <v>#DIV/0!</v>
      </c>
      <c r="AY53" s="58" t="e">
        <f t="shared" si="27"/>
        <v>#DIV/0!</v>
      </c>
      <c r="AZ53" s="63"/>
      <c r="BA53" s="58" t="e">
        <f t="shared" si="27"/>
        <v>#DIV/0!</v>
      </c>
      <c r="BB53" s="63"/>
      <c r="BC53" s="57" t="e">
        <f>(Links!C53*Links!AQ53+'On-Ramps'!AC53*'On-Ramps'!CE53)/('On-Ramps'!AC53+Links!C53)</f>
        <v>#DIV/0!</v>
      </c>
      <c r="BD53" s="63"/>
      <c r="BE53" s="57" t="e">
        <f>(Links!E53*Links!AS53+'On-Ramps'!AD53*'On-Ramps'!CF52)/('On-Ramps'!AD53+Links!E53)</f>
        <v>#DIV/0!</v>
      </c>
      <c r="BF53" s="57" t="e">
        <f>(Links!F53*Links!AT53+'On-Ramps'!AE53*'On-Ramps'!CG53)/('On-Ramps'!AE53+Links!F53)</f>
        <v>#DIV/0!</v>
      </c>
      <c r="BG53" s="57" t="e">
        <f>(Links!I53*Links!AW53+'On-Ramps'!AF53*'On-Ramps'!CH53)/('On-Ramps'!AF53+Links!I53)</f>
        <v>#DIV/0!</v>
      </c>
      <c r="BH53" s="57" t="e">
        <f>(#REF!*#REF!+'On-Ramps'!AG53*'On-Ramps'!CI53)/('On-Ramps'!AG53+#REF!)</f>
        <v>#REF!</v>
      </c>
      <c r="BI53" s="57" t="e">
        <f>(Links!L53*Links!AZ53+'On-Ramps'!AH53*'On-Ramps'!CJ53)/('On-Ramps'!AH53+Links!L53)</f>
        <v>#DIV/0!</v>
      </c>
      <c r="BJ53" s="57" t="e">
        <f>(Links!BA53*Links!M53+'On-Ramps'!AI53*'On-Ramps'!CK53)/('On-Ramps'!AI53+Links!M53)</f>
        <v>#DIV/0!</v>
      </c>
      <c r="BK53" s="57" t="e">
        <f>(Links!S53*Links!BG53+'On-Ramps'!AJ53*'On-Ramps'!CL53)/('On-Ramps'!AJ53+Links!S53)</f>
        <v>#DIV/0!</v>
      </c>
      <c r="BL53" s="63"/>
      <c r="BM53" s="57" t="e">
        <f>(Links!S53*Links!BG53+'On-Ramps'!AL53*'On-Ramps'!CM53)/(Links!S53+'On-Ramps'!AL53)</f>
        <v>#DIV/0!</v>
      </c>
      <c r="BN53" s="63"/>
      <c r="BO53" s="58" t="e">
        <f>(Links!W53^2+'Off-Ramp'!L53^2)/(Links!W53+'Off-Ramp'!L53)</f>
        <v>#DIV/0!</v>
      </c>
      <c r="BP53" s="63"/>
      <c r="BQ53" s="58" t="e">
        <f>(Links!Y53^2+'Off-Ramp'!C53^2)/(Links!Y53+'Off-Ramp'!C53)</f>
        <v>#DIV/0!</v>
      </c>
      <c r="BR53" s="63"/>
      <c r="BS53" s="58" t="e">
        <f>(Links!AA53^2+'Off-Ramp'!N53^2)/(Links!AA53+'Off-Ramp'!N53)</f>
        <v>#DIV/0!</v>
      </c>
      <c r="BT53" s="58" t="e">
        <f>(Links!AD53^2+'Off-Ramp'!O53^2)/(Links!AD53+'Off-Ramp'!O53)</f>
        <v>#DIV/0!</v>
      </c>
      <c r="BU53" s="58" t="e">
        <f>(Links!AE53^2+'Off-Ramp'!V53^2+'Off-Ramp'!W53^2+'Off-Ramp'!X53^2)/(Links!AE53+'Off-Ramp'!V53+'Off-Ramp'!W53+'Off-Ramp'!X53)</f>
        <v>#DIV/0!</v>
      </c>
      <c r="BV53" s="58" t="e">
        <f>(Links!AG53^2+'Off-Ramp'!Y53^2+'Off-Ramp'!Z53^2+'Off-Ramp'!AA53^2)/(Links!AG53+'Off-Ramp'!Y53+'Off-Ramp'!Z53+'Off-Ramp'!AA53)</f>
        <v>#DIV/0!</v>
      </c>
      <c r="BW53" s="58" t="e">
        <f>(Links!AH53^2+'Off-Ramp'!R53^2)/(Links!AH53+'Off-Ramp'!R53)</f>
        <v>#DIV/0!</v>
      </c>
      <c r="BX53" s="58" t="e">
        <f>(Links!AK53^2+'Off-Ramp'!S53^2)/(Links!AK53+'Off-Ramp'!S53)</f>
        <v>#DIV/0!</v>
      </c>
      <c r="BY53" s="58" t="e">
        <f>(Links!AL53^2+'Off-Ramp'!T53^2)/(Links!AL53+'Off-Ramp'!T53)</f>
        <v>#DIV/0!</v>
      </c>
      <c r="BZ53" s="63"/>
      <c r="CA53" s="58" t="e">
        <f>(Links!AN53^2+'Off-Ramp'!U53^2)/(Links!AN53+'Off-Ramp'!U53)</f>
        <v>#DIV/0!</v>
      </c>
    </row>
    <row r="54" spans="1:79" x14ac:dyDescent="0.15">
      <c r="A54" s="56">
        <v>52</v>
      </c>
      <c r="B54" s="57" t="e">
        <f t="shared" si="1"/>
        <v>#DIV/0!</v>
      </c>
      <c r="C54" s="57" t="e">
        <f t="shared" si="2"/>
        <v>#DIV/0!</v>
      </c>
      <c r="D54" s="57" t="e">
        <f t="shared" si="3"/>
        <v>#DIV/0!</v>
      </c>
      <c r="E54" s="57" t="e">
        <f t="shared" si="4"/>
        <v>#DIV/0!</v>
      </c>
      <c r="F54" s="57" t="e">
        <f t="shared" si="5"/>
        <v>#DIV/0!</v>
      </c>
      <c r="G54" s="57" t="e">
        <f t="shared" si="6"/>
        <v>#DIV/0!</v>
      </c>
      <c r="H54" s="57" t="e">
        <f t="shared" si="7"/>
        <v>#DIV/0!</v>
      </c>
      <c r="I54" s="57" t="e">
        <f t="shared" si="8"/>
        <v>#DIV/0!</v>
      </c>
      <c r="J54" s="57" t="e">
        <f t="shared" si="9"/>
        <v>#DIV/0!</v>
      </c>
      <c r="K54" s="57" t="e">
        <f t="shared" si="10"/>
        <v>#DIV/0!</v>
      </c>
      <c r="L54" s="57" t="e">
        <f t="shared" si="11"/>
        <v>#DIV/0!</v>
      </c>
      <c r="M54" s="57" t="e">
        <f t="shared" si="12"/>
        <v>#DIV/0!</v>
      </c>
      <c r="N54" s="57" t="e">
        <f t="shared" si="13"/>
        <v>#DIV/0!</v>
      </c>
      <c r="O54" s="58" t="e">
        <f>Links!B54</f>
        <v>#DIV/0!</v>
      </c>
      <c r="P54" s="58" t="e">
        <f>Links!C54+'On-Ramps'!AC54</f>
        <v>#DIV/0!</v>
      </c>
      <c r="Q54" s="58" t="e">
        <f>Links!D54</f>
        <v>#DIV/0!</v>
      </c>
      <c r="R54" s="58" t="e">
        <f>Links!E54+'On-Ramps'!AD54</f>
        <v>#DIV/0!</v>
      </c>
      <c r="S54" s="58" t="e">
        <f>Links!F54+'On-Ramps'!AE54</f>
        <v>#DIV/0!</v>
      </c>
      <c r="T54" s="58" t="e">
        <f>Links!I54+'On-Ramps'!AF54</f>
        <v>#DIV/0!</v>
      </c>
      <c r="U54" s="58" t="e">
        <f>Links!J54+'On-Ramps'!AG54</f>
        <v>#DIV/0!</v>
      </c>
      <c r="V54" s="58" t="e">
        <f>Links!L54+'On-Ramps'!AH54</f>
        <v>#DIV/0!</v>
      </c>
      <c r="W54" s="58" t="e">
        <f>Links!M54+'On-Ramps'!AI54</f>
        <v>#DIV/0!</v>
      </c>
      <c r="X54" s="58" t="e">
        <f>Links!P54+'On-Ramps'!AJ54</f>
        <v>#DIV/0!</v>
      </c>
      <c r="Y54" s="58" t="e">
        <f>Links!Q54</f>
        <v>#DIV/0!</v>
      </c>
      <c r="Z54" s="58" t="e">
        <f>Links!R54+'On-Ramps'!AK54</f>
        <v>#DIV/0!</v>
      </c>
      <c r="AA54" s="58" t="e">
        <f>Links!S54</f>
        <v>#DIV/0!</v>
      </c>
      <c r="AB54" s="57" t="e">
        <f t="shared" si="16"/>
        <v>#VALUE!</v>
      </c>
      <c r="AC54" s="63"/>
      <c r="AD54" s="57" t="e">
        <f t="shared" si="17"/>
        <v>#DIV/0!</v>
      </c>
      <c r="AE54" s="63"/>
      <c r="AF54" s="57" t="e">
        <f t="shared" si="18"/>
        <v>#DIV/0!</v>
      </c>
      <c r="AG54" s="57" t="e">
        <f t="shared" si="19"/>
        <v>#DIV/0!</v>
      </c>
      <c r="AH54" s="57" t="e">
        <f t="shared" si="20"/>
        <v>#DIV/0!</v>
      </c>
      <c r="AI54" s="57" t="e">
        <f t="shared" si="21"/>
        <v>#DIV/0!</v>
      </c>
      <c r="AJ54" s="57" t="e">
        <f t="shared" si="22"/>
        <v>#DIV/0!</v>
      </c>
      <c r="AK54" s="57" t="e">
        <f t="shared" si="23"/>
        <v>#DIV/0!</v>
      </c>
      <c r="AL54" s="57" t="e">
        <f t="shared" si="24"/>
        <v>#DIV/0!</v>
      </c>
      <c r="AM54" s="63"/>
      <c r="AN54" s="57" t="e">
        <f t="shared" si="26"/>
        <v>#DIV/0!</v>
      </c>
      <c r="AO54" s="58" t="e">
        <f t="shared" si="27"/>
        <v>#VALUE!</v>
      </c>
      <c r="AP54" s="63"/>
      <c r="AQ54" s="58" t="e">
        <f t="shared" si="27"/>
        <v>#DIV/0!</v>
      </c>
      <c r="AR54" s="63"/>
      <c r="AS54" s="58" t="e">
        <f t="shared" si="27"/>
        <v>#DIV/0!</v>
      </c>
      <c r="AT54" s="58" t="e">
        <f t="shared" si="27"/>
        <v>#DIV/0!</v>
      </c>
      <c r="AU54" s="58" t="e">
        <f t="shared" si="27"/>
        <v>#DIV/0!</v>
      </c>
      <c r="AV54" s="58" t="e">
        <f t="shared" si="27"/>
        <v>#DIV/0!</v>
      </c>
      <c r="AW54" s="58" t="e">
        <f t="shared" si="27"/>
        <v>#DIV/0!</v>
      </c>
      <c r="AX54" s="58" t="e">
        <f t="shared" si="27"/>
        <v>#DIV/0!</v>
      </c>
      <c r="AY54" s="58" t="e">
        <f t="shared" si="27"/>
        <v>#DIV/0!</v>
      </c>
      <c r="AZ54" s="63"/>
      <c r="BA54" s="58" t="e">
        <f t="shared" si="27"/>
        <v>#DIV/0!</v>
      </c>
      <c r="BB54" s="63"/>
      <c r="BC54" s="57" t="e">
        <f>(Links!C54*Links!AQ54+'On-Ramps'!AC54*'On-Ramps'!CE54)/('On-Ramps'!AC54+Links!C54)</f>
        <v>#DIV/0!</v>
      </c>
      <c r="BD54" s="63"/>
      <c r="BE54" s="57" t="e">
        <f>(Links!E54*Links!AS54+'On-Ramps'!AD54*'On-Ramps'!CF53)/('On-Ramps'!AD54+Links!E54)</f>
        <v>#DIV/0!</v>
      </c>
      <c r="BF54" s="57" t="e">
        <f>(Links!F54*Links!AT54+'On-Ramps'!AE54*'On-Ramps'!CG54)/('On-Ramps'!AE54+Links!F54)</f>
        <v>#DIV/0!</v>
      </c>
      <c r="BG54" s="57" t="e">
        <f>(Links!I54*Links!AW54+'On-Ramps'!AF54*'On-Ramps'!CH54)/('On-Ramps'!AF54+Links!I54)</f>
        <v>#DIV/0!</v>
      </c>
      <c r="BH54" s="57" t="e">
        <f>(#REF!*#REF!+'On-Ramps'!AG54*'On-Ramps'!CI54)/('On-Ramps'!AG54+#REF!)</f>
        <v>#REF!</v>
      </c>
      <c r="BI54" s="57" t="e">
        <f>(Links!L54*Links!AZ54+'On-Ramps'!AH54*'On-Ramps'!CJ54)/('On-Ramps'!AH54+Links!L54)</f>
        <v>#DIV/0!</v>
      </c>
      <c r="BJ54" s="57" t="e">
        <f>(Links!BA54*Links!M54+'On-Ramps'!AI54*'On-Ramps'!CK54)/('On-Ramps'!AI54+Links!M54)</f>
        <v>#DIV/0!</v>
      </c>
      <c r="BK54" s="57" t="e">
        <f>(Links!S54*Links!BG54+'On-Ramps'!AJ54*'On-Ramps'!CL54)/('On-Ramps'!AJ54+Links!S54)</f>
        <v>#DIV/0!</v>
      </c>
      <c r="BL54" s="63"/>
      <c r="BM54" s="57" t="e">
        <f>(Links!S54*Links!BG54+'On-Ramps'!AL54*'On-Ramps'!CM54)/(Links!S54+'On-Ramps'!AL54)</f>
        <v>#DIV/0!</v>
      </c>
      <c r="BN54" s="63"/>
      <c r="BO54" s="58" t="e">
        <f>(Links!W54^2+'Off-Ramp'!L54^2)/(Links!W54+'Off-Ramp'!L54)</f>
        <v>#DIV/0!</v>
      </c>
      <c r="BP54" s="63"/>
      <c r="BQ54" s="58" t="e">
        <f>(Links!Y54^2+'Off-Ramp'!C54^2)/(Links!Y54+'Off-Ramp'!C54)</f>
        <v>#DIV/0!</v>
      </c>
      <c r="BR54" s="63"/>
      <c r="BS54" s="58" t="e">
        <f>(Links!AA54^2+'Off-Ramp'!N54^2)/(Links!AA54+'Off-Ramp'!N54)</f>
        <v>#DIV/0!</v>
      </c>
      <c r="BT54" s="58" t="e">
        <f>(Links!AD54^2+'Off-Ramp'!O54^2)/(Links!AD54+'Off-Ramp'!O54)</f>
        <v>#DIV/0!</v>
      </c>
      <c r="BU54" s="58" t="e">
        <f>(Links!AE54^2+'Off-Ramp'!V54^2+'Off-Ramp'!W54^2+'Off-Ramp'!X54^2)/(Links!AE54+'Off-Ramp'!V54+'Off-Ramp'!W54+'Off-Ramp'!X54)</f>
        <v>#DIV/0!</v>
      </c>
      <c r="BV54" s="58" t="e">
        <f>(Links!AG54^2+'Off-Ramp'!Y54^2+'Off-Ramp'!Z54^2+'Off-Ramp'!AA54^2)/(Links!AG54+'Off-Ramp'!Y54+'Off-Ramp'!Z54+'Off-Ramp'!AA54)</f>
        <v>#DIV/0!</v>
      </c>
      <c r="BW54" s="58" t="e">
        <f>(Links!AH54^2+'Off-Ramp'!R54^2)/(Links!AH54+'Off-Ramp'!R54)</f>
        <v>#DIV/0!</v>
      </c>
      <c r="BX54" s="58" t="e">
        <f>(Links!AK54^2+'Off-Ramp'!S54^2)/(Links!AK54+'Off-Ramp'!S54)</f>
        <v>#DIV/0!</v>
      </c>
      <c r="BY54" s="58" t="e">
        <f>(Links!AL54^2+'Off-Ramp'!T54^2)/(Links!AL54+'Off-Ramp'!T54)</f>
        <v>#DIV/0!</v>
      </c>
      <c r="BZ54" s="63"/>
      <c r="CA54" s="58" t="e">
        <f>(Links!AN54^2+'Off-Ramp'!U54^2)/(Links!AN54+'Off-Ramp'!U54)</f>
        <v>#DIV/0!</v>
      </c>
    </row>
    <row r="55" spans="1:79" x14ac:dyDescent="0.15">
      <c r="A55" s="56">
        <v>53</v>
      </c>
      <c r="B55" s="57" t="e">
        <f t="shared" si="1"/>
        <v>#DIV/0!</v>
      </c>
      <c r="C55" s="57" t="e">
        <f t="shared" si="2"/>
        <v>#DIV/0!</v>
      </c>
      <c r="D55" s="57" t="e">
        <f t="shared" si="3"/>
        <v>#DIV/0!</v>
      </c>
      <c r="E55" s="57" t="e">
        <f t="shared" si="4"/>
        <v>#DIV/0!</v>
      </c>
      <c r="F55" s="57" t="e">
        <f t="shared" si="5"/>
        <v>#DIV/0!</v>
      </c>
      <c r="G55" s="57" t="e">
        <f t="shared" si="6"/>
        <v>#DIV/0!</v>
      </c>
      <c r="H55" s="57" t="e">
        <f t="shared" si="7"/>
        <v>#DIV/0!</v>
      </c>
      <c r="I55" s="57" t="e">
        <f t="shared" si="8"/>
        <v>#DIV/0!</v>
      </c>
      <c r="J55" s="57" t="e">
        <f t="shared" si="9"/>
        <v>#DIV/0!</v>
      </c>
      <c r="K55" s="57" t="e">
        <f t="shared" si="10"/>
        <v>#DIV/0!</v>
      </c>
      <c r="L55" s="57" t="e">
        <f t="shared" si="11"/>
        <v>#DIV/0!</v>
      </c>
      <c r="M55" s="57" t="e">
        <f t="shared" si="12"/>
        <v>#DIV/0!</v>
      </c>
      <c r="N55" s="57" t="e">
        <f t="shared" si="13"/>
        <v>#DIV/0!</v>
      </c>
      <c r="O55" s="58" t="e">
        <f>Links!B55</f>
        <v>#DIV/0!</v>
      </c>
      <c r="P55" s="58" t="e">
        <f>Links!C55+'On-Ramps'!AC55</f>
        <v>#DIV/0!</v>
      </c>
      <c r="Q55" s="58" t="e">
        <f>Links!D55</f>
        <v>#DIV/0!</v>
      </c>
      <c r="R55" s="58" t="e">
        <f>Links!E55+'On-Ramps'!AD55</f>
        <v>#DIV/0!</v>
      </c>
      <c r="S55" s="58" t="e">
        <f>Links!F55+'On-Ramps'!AE55</f>
        <v>#DIV/0!</v>
      </c>
      <c r="T55" s="58" t="e">
        <f>Links!I55+'On-Ramps'!AF55</f>
        <v>#DIV/0!</v>
      </c>
      <c r="U55" s="58" t="e">
        <f>Links!J55+'On-Ramps'!AG55</f>
        <v>#DIV/0!</v>
      </c>
      <c r="V55" s="58" t="e">
        <f>Links!L55+'On-Ramps'!AH55</f>
        <v>#DIV/0!</v>
      </c>
      <c r="W55" s="58" t="e">
        <f>Links!M55+'On-Ramps'!AI55</f>
        <v>#DIV/0!</v>
      </c>
      <c r="X55" s="58" t="e">
        <f>Links!P55+'On-Ramps'!AJ55</f>
        <v>#DIV/0!</v>
      </c>
      <c r="Y55" s="58" t="e">
        <f>Links!Q55</f>
        <v>#DIV/0!</v>
      </c>
      <c r="Z55" s="58" t="e">
        <f>Links!R55+'On-Ramps'!AK55</f>
        <v>#DIV/0!</v>
      </c>
      <c r="AA55" s="58" t="e">
        <f>Links!S55</f>
        <v>#DIV/0!</v>
      </c>
      <c r="AB55" s="57" t="e">
        <f t="shared" si="16"/>
        <v>#VALUE!</v>
      </c>
      <c r="AC55" s="63"/>
      <c r="AD55" s="57" t="e">
        <f t="shared" si="17"/>
        <v>#DIV/0!</v>
      </c>
      <c r="AE55" s="63"/>
      <c r="AF55" s="57" t="e">
        <f t="shared" si="18"/>
        <v>#DIV/0!</v>
      </c>
      <c r="AG55" s="57" t="e">
        <f t="shared" si="19"/>
        <v>#DIV/0!</v>
      </c>
      <c r="AH55" s="57" t="e">
        <f t="shared" si="20"/>
        <v>#DIV/0!</v>
      </c>
      <c r="AI55" s="57" t="e">
        <f t="shared" si="21"/>
        <v>#DIV/0!</v>
      </c>
      <c r="AJ55" s="57" t="e">
        <f t="shared" si="22"/>
        <v>#DIV/0!</v>
      </c>
      <c r="AK55" s="57" t="e">
        <f t="shared" si="23"/>
        <v>#DIV/0!</v>
      </c>
      <c r="AL55" s="57" t="e">
        <f t="shared" si="24"/>
        <v>#DIV/0!</v>
      </c>
      <c r="AM55" s="63"/>
      <c r="AN55" s="57" t="e">
        <f t="shared" si="26"/>
        <v>#DIV/0!</v>
      </c>
      <c r="AO55" s="58" t="e">
        <f t="shared" si="27"/>
        <v>#VALUE!</v>
      </c>
      <c r="AP55" s="63"/>
      <c r="AQ55" s="58" t="e">
        <f t="shared" si="27"/>
        <v>#DIV/0!</v>
      </c>
      <c r="AR55" s="63"/>
      <c r="AS55" s="58" t="e">
        <f t="shared" si="27"/>
        <v>#DIV/0!</v>
      </c>
      <c r="AT55" s="58" t="e">
        <f t="shared" si="27"/>
        <v>#DIV/0!</v>
      </c>
      <c r="AU55" s="58" t="e">
        <f t="shared" si="27"/>
        <v>#DIV/0!</v>
      </c>
      <c r="AV55" s="58" t="e">
        <f t="shared" si="27"/>
        <v>#DIV/0!</v>
      </c>
      <c r="AW55" s="58" t="e">
        <f t="shared" si="27"/>
        <v>#DIV/0!</v>
      </c>
      <c r="AX55" s="58" t="e">
        <f t="shared" si="27"/>
        <v>#DIV/0!</v>
      </c>
      <c r="AY55" s="58" t="e">
        <f t="shared" si="27"/>
        <v>#DIV/0!</v>
      </c>
      <c r="AZ55" s="63"/>
      <c r="BA55" s="58" t="e">
        <f t="shared" si="27"/>
        <v>#DIV/0!</v>
      </c>
      <c r="BB55" s="63"/>
      <c r="BC55" s="57" t="e">
        <f>(Links!C55*Links!AQ55+'On-Ramps'!AC55*'On-Ramps'!CE55)/('On-Ramps'!AC55+Links!C55)</f>
        <v>#DIV/0!</v>
      </c>
      <c r="BD55" s="63"/>
      <c r="BE55" s="57" t="e">
        <f>(Links!E55*Links!AS55+'On-Ramps'!AD55*'On-Ramps'!CF54)/('On-Ramps'!AD55+Links!E55)</f>
        <v>#DIV/0!</v>
      </c>
      <c r="BF55" s="57" t="e">
        <f>(Links!F55*Links!AT55+'On-Ramps'!AE55*'On-Ramps'!CG55)/('On-Ramps'!AE55+Links!F55)</f>
        <v>#DIV/0!</v>
      </c>
      <c r="BG55" s="57" t="e">
        <f>(Links!I55*Links!AW55+'On-Ramps'!AF55*'On-Ramps'!CH55)/('On-Ramps'!AF55+Links!I55)</f>
        <v>#DIV/0!</v>
      </c>
      <c r="BH55" s="57" t="e">
        <f>(#REF!*#REF!+'On-Ramps'!AG55*'On-Ramps'!CI55)/('On-Ramps'!AG55+#REF!)</f>
        <v>#REF!</v>
      </c>
      <c r="BI55" s="57" t="e">
        <f>(Links!L55*Links!AZ55+'On-Ramps'!AH55*'On-Ramps'!CJ55)/('On-Ramps'!AH55+Links!L55)</f>
        <v>#DIV/0!</v>
      </c>
      <c r="BJ55" s="57" t="e">
        <f>(Links!BA55*Links!M55+'On-Ramps'!AI55*'On-Ramps'!CK55)/('On-Ramps'!AI55+Links!M55)</f>
        <v>#DIV/0!</v>
      </c>
      <c r="BK55" s="57" t="e">
        <f>(Links!S55*Links!BG55+'On-Ramps'!AJ55*'On-Ramps'!CL55)/('On-Ramps'!AJ55+Links!S55)</f>
        <v>#DIV/0!</v>
      </c>
      <c r="BL55" s="63"/>
      <c r="BM55" s="57" t="e">
        <f>(Links!S55*Links!BG55+'On-Ramps'!AL55*'On-Ramps'!CM55)/(Links!S55+'On-Ramps'!AL55)</f>
        <v>#DIV/0!</v>
      </c>
      <c r="BN55" s="63"/>
      <c r="BO55" s="58" t="e">
        <f>(Links!W55^2+'Off-Ramp'!L55^2)/(Links!W55+'Off-Ramp'!L55)</f>
        <v>#DIV/0!</v>
      </c>
      <c r="BP55" s="63"/>
      <c r="BQ55" s="58" t="e">
        <f>(Links!Y55^2+'Off-Ramp'!C55^2)/(Links!Y55+'Off-Ramp'!C55)</f>
        <v>#DIV/0!</v>
      </c>
      <c r="BR55" s="63"/>
      <c r="BS55" s="58" t="e">
        <f>(Links!AA55^2+'Off-Ramp'!N55^2)/(Links!AA55+'Off-Ramp'!N55)</f>
        <v>#DIV/0!</v>
      </c>
      <c r="BT55" s="58" t="e">
        <f>(Links!AD55^2+'Off-Ramp'!O55^2)/(Links!AD55+'Off-Ramp'!O55)</f>
        <v>#DIV/0!</v>
      </c>
      <c r="BU55" s="58" t="e">
        <f>(Links!AE55^2+'Off-Ramp'!V55^2+'Off-Ramp'!W55^2+'Off-Ramp'!X55^2)/(Links!AE55+'Off-Ramp'!V55+'Off-Ramp'!W55+'Off-Ramp'!X55)</f>
        <v>#DIV/0!</v>
      </c>
      <c r="BV55" s="58" t="e">
        <f>(Links!AG55^2+'Off-Ramp'!Y55^2+'Off-Ramp'!Z55^2+'Off-Ramp'!AA55^2)/(Links!AG55+'Off-Ramp'!Y55+'Off-Ramp'!Z55+'Off-Ramp'!AA55)</f>
        <v>#DIV/0!</v>
      </c>
      <c r="BW55" s="58" t="e">
        <f>(Links!AH55^2+'Off-Ramp'!R55^2)/(Links!AH55+'Off-Ramp'!R55)</f>
        <v>#DIV/0!</v>
      </c>
      <c r="BX55" s="58" t="e">
        <f>(Links!AK55^2+'Off-Ramp'!S55^2)/(Links!AK55+'Off-Ramp'!S55)</f>
        <v>#DIV/0!</v>
      </c>
      <c r="BY55" s="58" t="e">
        <f>(Links!AL55^2+'Off-Ramp'!T55^2)/(Links!AL55+'Off-Ramp'!T55)</f>
        <v>#DIV/0!</v>
      </c>
      <c r="BZ55" s="63"/>
      <c r="CA55" s="58" t="e">
        <f>(Links!AN55^2+'Off-Ramp'!U55^2)/(Links!AN55+'Off-Ramp'!U55)</f>
        <v>#DIV/0!</v>
      </c>
    </row>
    <row r="56" spans="1:79" x14ac:dyDescent="0.15">
      <c r="A56" s="56">
        <v>54</v>
      </c>
      <c r="B56" s="57" t="e">
        <f t="shared" si="1"/>
        <v>#DIV/0!</v>
      </c>
      <c r="C56" s="57" t="e">
        <f t="shared" si="2"/>
        <v>#DIV/0!</v>
      </c>
      <c r="D56" s="57" t="e">
        <f t="shared" si="3"/>
        <v>#DIV/0!</v>
      </c>
      <c r="E56" s="57" t="e">
        <f t="shared" si="4"/>
        <v>#DIV/0!</v>
      </c>
      <c r="F56" s="57" t="e">
        <f t="shared" si="5"/>
        <v>#DIV/0!</v>
      </c>
      <c r="G56" s="57" t="e">
        <f t="shared" si="6"/>
        <v>#DIV/0!</v>
      </c>
      <c r="H56" s="57" t="e">
        <f t="shared" si="7"/>
        <v>#DIV/0!</v>
      </c>
      <c r="I56" s="57" t="e">
        <f t="shared" si="8"/>
        <v>#DIV/0!</v>
      </c>
      <c r="J56" s="57" t="e">
        <f t="shared" si="9"/>
        <v>#DIV/0!</v>
      </c>
      <c r="K56" s="57" t="e">
        <f t="shared" si="10"/>
        <v>#DIV/0!</v>
      </c>
      <c r="L56" s="57" t="e">
        <f t="shared" si="11"/>
        <v>#DIV/0!</v>
      </c>
      <c r="M56" s="57" t="e">
        <f t="shared" si="12"/>
        <v>#DIV/0!</v>
      </c>
      <c r="N56" s="57" t="e">
        <f t="shared" si="13"/>
        <v>#DIV/0!</v>
      </c>
      <c r="O56" s="58" t="e">
        <f>Links!B56</f>
        <v>#DIV/0!</v>
      </c>
      <c r="P56" s="58" t="e">
        <f>Links!C56+'On-Ramps'!AC56</f>
        <v>#DIV/0!</v>
      </c>
      <c r="Q56" s="58" t="e">
        <f>Links!D56</f>
        <v>#DIV/0!</v>
      </c>
      <c r="R56" s="58" t="e">
        <f>Links!E56+'On-Ramps'!AD56</f>
        <v>#DIV/0!</v>
      </c>
      <c r="S56" s="58" t="e">
        <f>Links!F56+'On-Ramps'!AE56</f>
        <v>#DIV/0!</v>
      </c>
      <c r="T56" s="58" t="e">
        <f>Links!I56+'On-Ramps'!AF56</f>
        <v>#DIV/0!</v>
      </c>
      <c r="U56" s="58" t="e">
        <f>Links!J56+'On-Ramps'!AG56</f>
        <v>#DIV/0!</v>
      </c>
      <c r="V56" s="58" t="e">
        <f>Links!L56+'On-Ramps'!AH56</f>
        <v>#DIV/0!</v>
      </c>
      <c r="W56" s="58" t="e">
        <f>Links!M56+'On-Ramps'!AI56</f>
        <v>#DIV/0!</v>
      </c>
      <c r="X56" s="58" t="e">
        <f>Links!P56+'On-Ramps'!AJ56</f>
        <v>#DIV/0!</v>
      </c>
      <c r="Y56" s="58" t="e">
        <f>Links!Q56</f>
        <v>#DIV/0!</v>
      </c>
      <c r="Z56" s="58" t="e">
        <f>Links!R56+'On-Ramps'!AK56</f>
        <v>#DIV/0!</v>
      </c>
      <c r="AA56" s="58" t="e">
        <f>Links!S56</f>
        <v>#DIV/0!</v>
      </c>
      <c r="AB56" s="57" t="e">
        <f t="shared" si="16"/>
        <v>#VALUE!</v>
      </c>
      <c r="AC56" s="63"/>
      <c r="AD56" s="57" t="e">
        <f t="shared" si="17"/>
        <v>#DIV/0!</v>
      </c>
      <c r="AE56" s="63"/>
      <c r="AF56" s="57" t="e">
        <f t="shared" si="18"/>
        <v>#DIV/0!</v>
      </c>
      <c r="AG56" s="57" t="e">
        <f t="shared" si="19"/>
        <v>#DIV/0!</v>
      </c>
      <c r="AH56" s="57" t="e">
        <f t="shared" si="20"/>
        <v>#DIV/0!</v>
      </c>
      <c r="AI56" s="57" t="e">
        <f t="shared" si="21"/>
        <v>#DIV/0!</v>
      </c>
      <c r="AJ56" s="57" t="e">
        <f t="shared" si="22"/>
        <v>#DIV/0!</v>
      </c>
      <c r="AK56" s="57" t="e">
        <f t="shared" si="23"/>
        <v>#DIV/0!</v>
      </c>
      <c r="AL56" s="57" t="e">
        <f t="shared" si="24"/>
        <v>#DIV/0!</v>
      </c>
      <c r="AM56" s="63"/>
      <c r="AN56" s="57" t="e">
        <f t="shared" si="26"/>
        <v>#DIV/0!</v>
      </c>
      <c r="AO56" s="58" t="e">
        <f t="shared" si="27"/>
        <v>#VALUE!</v>
      </c>
      <c r="AP56" s="63"/>
      <c r="AQ56" s="58" t="e">
        <f t="shared" si="27"/>
        <v>#DIV/0!</v>
      </c>
      <c r="AR56" s="63"/>
      <c r="AS56" s="58" t="e">
        <f t="shared" si="27"/>
        <v>#DIV/0!</v>
      </c>
      <c r="AT56" s="58" t="e">
        <f t="shared" si="27"/>
        <v>#DIV/0!</v>
      </c>
      <c r="AU56" s="58" t="e">
        <f t="shared" si="27"/>
        <v>#DIV/0!</v>
      </c>
      <c r="AV56" s="58" t="e">
        <f t="shared" si="27"/>
        <v>#DIV/0!</v>
      </c>
      <c r="AW56" s="58" t="e">
        <f t="shared" ref="AQ56:BA77" si="28">AW$3</f>
        <v>#DIV/0!</v>
      </c>
      <c r="AX56" s="58" t="e">
        <f t="shared" si="28"/>
        <v>#DIV/0!</v>
      </c>
      <c r="AY56" s="58" t="e">
        <f t="shared" si="28"/>
        <v>#DIV/0!</v>
      </c>
      <c r="AZ56" s="63"/>
      <c r="BA56" s="58" t="e">
        <f t="shared" si="28"/>
        <v>#DIV/0!</v>
      </c>
      <c r="BB56" s="63"/>
      <c r="BC56" s="57" t="e">
        <f>(Links!C56*Links!AQ56+'On-Ramps'!AC56*'On-Ramps'!CE56)/('On-Ramps'!AC56+Links!C56)</f>
        <v>#DIV/0!</v>
      </c>
      <c r="BD56" s="63"/>
      <c r="BE56" s="57" t="e">
        <f>(Links!E56*Links!AS56+'On-Ramps'!AD56*'On-Ramps'!CF55)/('On-Ramps'!AD56+Links!E56)</f>
        <v>#DIV/0!</v>
      </c>
      <c r="BF56" s="57" t="e">
        <f>(Links!F56*Links!AT56+'On-Ramps'!AE56*'On-Ramps'!CG56)/('On-Ramps'!AE56+Links!F56)</f>
        <v>#DIV/0!</v>
      </c>
      <c r="BG56" s="57" t="e">
        <f>(Links!I56*Links!AW56+'On-Ramps'!AF56*'On-Ramps'!CH56)/('On-Ramps'!AF56+Links!I56)</f>
        <v>#DIV/0!</v>
      </c>
      <c r="BH56" s="57" t="e">
        <f>(#REF!*#REF!+'On-Ramps'!AG56*'On-Ramps'!CI56)/('On-Ramps'!AG56+#REF!)</f>
        <v>#REF!</v>
      </c>
      <c r="BI56" s="57" t="e">
        <f>(Links!L56*Links!AZ56+'On-Ramps'!AH56*'On-Ramps'!CJ56)/('On-Ramps'!AH56+Links!L56)</f>
        <v>#DIV/0!</v>
      </c>
      <c r="BJ56" s="57" t="e">
        <f>(Links!BA56*Links!M56+'On-Ramps'!AI56*'On-Ramps'!CK56)/('On-Ramps'!AI56+Links!M56)</f>
        <v>#DIV/0!</v>
      </c>
      <c r="BK56" s="57" t="e">
        <f>(Links!S56*Links!BG56+'On-Ramps'!AJ56*'On-Ramps'!CL56)/('On-Ramps'!AJ56+Links!S56)</f>
        <v>#DIV/0!</v>
      </c>
      <c r="BL56" s="63"/>
      <c r="BM56" s="57" t="e">
        <f>(Links!S56*Links!BG56+'On-Ramps'!AL56*'On-Ramps'!CM56)/(Links!S56+'On-Ramps'!AL56)</f>
        <v>#DIV/0!</v>
      </c>
      <c r="BN56" s="63"/>
      <c r="BO56" s="58" t="e">
        <f>(Links!W56^2+'Off-Ramp'!L56^2)/(Links!W56+'Off-Ramp'!L56)</f>
        <v>#DIV/0!</v>
      </c>
      <c r="BP56" s="63"/>
      <c r="BQ56" s="58" t="e">
        <f>(Links!Y56^2+'Off-Ramp'!C56^2)/(Links!Y56+'Off-Ramp'!C56)</f>
        <v>#DIV/0!</v>
      </c>
      <c r="BR56" s="63"/>
      <c r="BS56" s="58" t="e">
        <f>(Links!AA56^2+'Off-Ramp'!N56^2)/(Links!AA56+'Off-Ramp'!N56)</f>
        <v>#DIV/0!</v>
      </c>
      <c r="BT56" s="58" t="e">
        <f>(Links!AD56^2+'Off-Ramp'!O56^2)/(Links!AD56+'Off-Ramp'!O56)</f>
        <v>#DIV/0!</v>
      </c>
      <c r="BU56" s="58" t="e">
        <f>(Links!AE56^2+'Off-Ramp'!V56^2+'Off-Ramp'!W56^2+'Off-Ramp'!X56^2)/(Links!AE56+'Off-Ramp'!V56+'Off-Ramp'!W56+'Off-Ramp'!X56)</f>
        <v>#DIV/0!</v>
      </c>
      <c r="BV56" s="58" t="e">
        <f>(Links!AG56^2+'Off-Ramp'!Y56^2+'Off-Ramp'!Z56^2+'Off-Ramp'!AA56^2)/(Links!AG56+'Off-Ramp'!Y56+'Off-Ramp'!Z56+'Off-Ramp'!AA56)</f>
        <v>#DIV/0!</v>
      </c>
      <c r="BW56" s="58" t="e">
        <f>(Links!AH56^2+'Off-Ramp'!R56^2)/(Links!AH56+'Off-Ramp'!R56)</f>
        <v>#DIV/0!</v>
      </c>
      <c r="BX56" s="58" t="e">
        <f>(Links!AK56^2+'Off-Ramp'!S56^2)/(Links!AK56+'Off-Ramp'!S56)</f>
        <v>#DIV/0!</v>
      </c>
      <c r="BY56" s="58" t="e">
        <f>(Links!AL56^2+'Off-Ramp'!T56^2)/(Links!AL56+'Off-Ramp'!T56)</f>
        <v>#DIV/0!</v>
      </c>
      <c r="BZ56" s="63"/>
      <c r="CA56" s="58" t="e">
        <f>(Links!AN56^2+'Off-Ramp'!U56^2)/(Links!AN56+'Off-Ramp'!U56)</f>
        <v>#DIV/0!</v>
      </c>
    </row>
    <row r="57" spans="1:79" x14ac:dyDescent="0.15">
      <c r="A57" s="56">
        <v>55</v>
      </c>
      <c r="B57" s="57" t="e">
        <f t="shared" si="1"/>
        <v>#DIV/0!</v>
      </c>
      <c r="C57" s="57" t="e">
        <f t="shared" si="2"/>
        <v>#DIV/0!</v>
      </c>
      <c r="D57" s="57" t="e">
        <f t="shared" si="3"/>
        <v>#DIV/0!</v>
      </c>
      <c r="E57" s="57" t="e">
        <f t="shared" si="4"/>
        <v>#DIV/0!</v>
      </c>
      <c r="F57" s="57" t="e">
        <f t="shared" si="5"/>
        <v>#DIV/0!</v>
      </c>
      <c r="G57" s="57" t="e">
        <f t="shared" si="6"/>
        <v>#DIV/0!</v>
      </c>
      <c r="H57" s="57" t="e">
        <f t="shared" si="7"/>
        <v>#DIV/0!</v>
      </c>
      <c r="I57" s="57" t="e">
        <f t="shared" si="8"/>
        <v>#DIV/0!</v>
      </c>
      <c r="J57" s="57" t="e">
        <f t="shared" si="9"/>
        <v>#DIV/0!</v>
      </c>
      <c r="K57" s="57" t="e">
        <f t="shared" si="10"/>
        <v>#DIV/0!</v>
      </c>
      <c r="L57" s="57" t="e">
        <f t="shared" si="11"/>
        <v>#DIV/0!</v>
      </c>
      <c r="M57" s="57" t="e">
        <f t="shared" si="12"/>
        <v>#DIV/0!</v>
      </c>
      <c r="N57" s="57" t="e">
        <f t="shared" si="13"/>
        <v>#DIV/0!</v>
      </c>
      <c r="O57" s="58" t="e">
        <f>Links!B57</f>
        <v>#DIV/0!</v>
      </c>
      <c r="P57" s="58" t="e">
        <f>Links!C57+'On-Ramps'!AC57</f>
        <v>#DIV/0!</v>
      </c>
      <c r="Q57" s="58" t="e">
        <f>Links!D57</f>
        <v>#DIV/0!</v>
      </c>
      <c r="R57" s="58" t="e">
        <f>Links!E57+'On-Ramps'!AD57</f>
        <v>#DIV/0!</v>
      </c>
      <c r="S57" s="58" t="e">
        <f>Links!F57+'On-Ramps'!AE57</f>
        <v>#DIV/0!</v>
      </c>
      <c r="T57" s="58" t="e">
        <f>Links!I57+'On-Ramps'!AF57</f>
        <v>#DIV/0!</v>
      </c>
      <c r="U57" s="58" t="e">
        <f>Links!J57+'On-Ramps'!AG57</f>
        <v>#DIV/0!</v>
      </c>
      <c r="V57" s="58" t="e">
        <f>Links!L57+'On-Ramps'!AH57</f>
        <v>#DIV/0!</v>
      </c>
      <c r="W57" s="58" t="e">
        <f>Links!M57+'On-Ramps'!AI57</f>
        <v>#DIV/0!</v>
      </c>
      <c r="X57" s="58" t="e">
        <f>Links!P57+'On-Ramps'!AJ57</f>
        <v>#DIV/0!</v>
      </c>
      <c r="Y57" s="58" t="e">
        <f>Links!Q57</f>
        <v>#DIV/0!</v>
      </c>
      <c r="Z57" s="58" t="e">
        <f>Links!R57+'On-Ramps'!AK57</f>
        <v>#DIV/0!</v>
      </c>
      <c r="AA57" s="58" t="e">
        <f>Links!S57</f>
        <v>#DIV/0!</v>
      </c>
      <c r="AB57" s="57" t="e">
        <f t="shared" si="16"/>
        <v>#VALUE!</v>
      </c>
      <c r="AC57" s="63"/>
      <c r="AD57" s="57" t="e">
        <f t="shared" si="17"/>
        <v>#DIV/0!</v>
      </c>
      <c r="AE57" s="63"/>
      <c r="AF57" s="57" t="e">
        <f t="shared" si="18"/>
        <v>#DIV/0!</v>
      </c>
      <c r="AG57" s="57" t="e">
        <f t="shared" si="19"/>
        <v>#DIV/0!</v>
      </c>
      <c r="AH57" s="57" t="e">
        <f t="shared" si="20"/>
        <v>#DIV/0!</v>
      </c>
      <c r="AI57" s="57" t="e">
        <f t="shared" si="21"/>
        <v>#DIV/0!</v>
      </c>
      <c r="AJ57" s="57" t="e">
        <f t="shared" si="22"/>
        <v>#DIV/0!</v>
      </c>
      <c r="AK57" s="57" t="e">
        <f t="shared" si="23"/>
        <v>#DIV/0!</v>
      </c>
      <c r="AL57" s="57" t="e">
        <f t="shared" si="24"/>
        <v>#DIV/0!</v>
      </c>
      <c r="AM57" s="63"/>
      <c r="AN57" s="57" t="e">
        <f t="shared" si="26"/>
        <v>#DIV/0!</v>
      </c>
      <c r="AO57" s="58" t="e">
        <f t="shared" ref="AO57:AO120" si="29">AO$3</f>
        <v>#VALUE!</v>
      </c>
      <c r="AP57" s="63"/>
      <c r="AQ57" s="58" t="e">
        <f t="shared" si="28"/>
        <v>#DIV/0!</v>
      </c>
      <c r="AR57" s="63"/>
      <c r="AS57" s="58" t="e">
        <f t="shared" si="28"/>
        <v>#DIV/0!</v>
      </c>
      <c r="AT57" s="58" t="e">
        <f t="shared" si="28"/>
        <v>#DIV/0!</v>
      </c>
      <c r="AU57" s="58" t="e">
        <f t="shared" si="28"/>
        <v>#DIV/0!</v>
      </c>
      <c r="AV57" s="58" t="e">
        <f t="shared" si="28"/>
        <v>#DIV/0!</v>
      </c>
      <c r="AW57" s="58" t="e">
        <f t="shared" si="28"/>
        <v>#DIV/0!</v>
      </c>
      <c r="AX57" s="58" t="e">
        <f t="shared" si="28"/>
        <v>#DIV/0!</v>
      </c>
      <c r="AY57" s="58" t="e">
        <f t="shared" si="28"/>
        <v>#DIV/0!</v>
      </c>
      <c r="AZ57" s="63"/>
      <c r="BA57" s="58" t="e">
        <f t="shared" si="28"/>
        <v>#DIV/0!</v>
      </c>
      <c r="BB57" s="63"/>
      <c r="BC57" s="57" t="e">
        <f>(Links!C57*Links!AQ57+'On-Ramps'!AC57*'On-Ramps'!CE57)/('On-Ramps'!AC57+Links!C57)</f>
        <v>#DIV/0!</v>
      </c>
      <c r="BD57" s="63"/>
      <c r="BE57" s="57" t="e">
        <f>(Links!E57*Links!AS57+'On-Ramps'!AD57*'On-Ramps'!CF56)/('On-Ramps'!AD57+Links!E57)</f>
        <v>#DIV/0!</v>
      </c>
      <c r="BF57" s="57" t="e">
        <f>(Links!F57*Links!AT57+'On-Ramps'!AE57*'On-Ramps'!CG57)/('On-Ramps'!AE57+Links!F57)</f>
        <v>#DIV/0!</v>
      </c>
      <c r="BG57" s="57" t="e">
        <f>(Links!I57*Links!AW57+'On-Ramps'!AF57*'On-Ramps'!CH57)/('On-Ramps'!AF57+Links!I57)</f>
        <v>#DIV/0!</v>
      </c>
      <c r="BH57" s="57" t="e">
        <f>(#REF!*#REF!+'On-Ramps'!AG57*'On-Ramps'!CI57)/('On-Ramps'!AG57+#REF!)</f>
        <v>#REF!</v>
      </c>
      <c r="BI57" s="57" t="e">
        <f>(Links!L57*Links!AZ57+'On-Ramps'!AH57*'On-Ramps'!CJ57)/('On-Ramps'!AH57+Links!L57)</f>
        <v>#DIV/0!</v>
      </c>
      <c r="BJ57" s="57" t="e">
        <f>(Links!BA57*Links!M57+'On-Ramps'!AI57*'On-Ramps'!CK57)/('On-Ramps'!AI57+Links!M57)</f>
        <v>#DIV/0!</v>
      </c>
      <c r="BK57" s="57" t="e">
        <f>(Links!S57*Links!BG57+'On-Ramps'!AJ57*'On-Ramps'!CL57)/('On-Ramps'!AJ57+Links!S57)</f>
        <v>#DIV/0!</v>
      </c>
      <c r="BL57" s="63"/>
      <c r="BM57" s="57" t="e">
        <f>(Links!S57*Links!BG57+'On-Ramps'!AL57*'On-Ramps'!CM57)/(Links!S57+'On-Ramps'!AL57)</f>
        <v>#DIV/0!</v>
      </c>
      <c r="BN57" s="63"/>
      <c r="BO57" s="58" t="e">
        <f>(Links!W57^2+'Off-Ramp'!L57^2)/(Links!W57+'Off-Ramp'!L57)</f>
        <v>#DIV/0!</v>
      </c>
      <c r="BP57" s="63"/>
      <c r="BQ57" s="58" t="e">
        <f>(Links!Y57^2+'Off-Ramp'!C57^2)/(Links!Y57+'Off-Ramp'!C57)</f>
        <v>#DIV/0!</v>
      </c>
      <c r="BR57" s="63"/>
      <c r="BS57" s="58" t="e">
        <f>(Links!AA57^2+'Off-Ramp'!N57^2)/(Links!AA57+'Off-Ramp'!N57)</f>
        <v>#DIV/0!</v>
      </c>
      <c r="BT57" s="58" t="e">
        <f>(Links!AD57^2+'Off-Ramp'!O57^2)/(Links!AD57+'Off-Ramp'!O57)</f>
        <v>#DIV/0!</v>
      </c>
      <c r="BU57" s="58" t="e">
        <f>(Links!AE57^2+'Off-Ramp'!V57^2+'Off-Ramp'!W57^2+'Off-Ramp'!X57^2)/(Links!AE57+'Off-Ramp'!V57+'Off-Ramp'!W57+'Off-Ramp'!X57)</f>
        <v>#DIV/0!</v>
      </c>
      <c r="BV57" s="58" t="e">
        <f>(Links!AG57^2+'Off-Ramp'!Y57^2+'Off-Ramp'!Z57^2+'Off-Ramp'!AA57^2)/(Links!AG57+'Off-Ramp'!Y57+'Off-Ramp'!Z57+'Off-Ramp'!AA57)</f>
        <v>#DIV/0!</v>
      </c>
      <c r="BW57" s="58" t="e">
        <f>(Links!AH57^2+'Off-Ramp'!R57^2)/(Links!AH57+'Off-Ramp'!R57)</f>
        <v>#DIV/0!</v>
      </c>
      <c r="BX57" s="58" t="e">
        <f>(Links!AK57^2+'Off-Ramp'!S57^2)/(Links!AK57+'Off-Ramp'!S57)</f>
        <v>#DIV/0!</v>
      </c>
      <c r="BY57" s="58" t="e">
        <f>(Links!AL57^2+'Off-Ramp'!T57^2)/(Links!AL57+'Off-Ramp'!T57)</f>
        <v>#DIV/0!</v>
      </c>
      <c r="BZ57" s="63"/>
      <c r="CA57" s="58" t="e">
        <f>(Links!AN57^2+'Off-Ramp'!U57^2)/(Links!AN57+'Off-Ramp'!U57)</f>
        <v>#DIV/0!</v>
      </c>
    </row>
    <row r="58" spans="1:79" x14ac:dyDescent="0.15">
      <c r="A58" s="56">
        <v>56</v>
      </c>
      <c r="B58" s="57" t="e">
        <f t="shared" si="1"/>
        <v>#DIV/0!</v>
      </c>
      <c r="C58" s="57" t="e">
        <f t="shared" si="2"/>
        <v>#DIV/0!</v>
      </c>
      <c r="D58" s="57" t="e">
        <f t="shared" si="3"/>
        <v>#DIV/0!</v>
      </c>
      <c r="E58" s="57" t="e">
        <f t="shared" si="4"/>
        <v>#DIV/0!</v>
      </c>
      <c r="F58" s="57" t="e">
        <f t="shared" si="5"/>
        <v>#DIV/0!</v>
      </c>
      <c r="G58" s="57" t="e">
        <f t="shared" si="6"/>
        <v>#DIV/0!</v>
      </c>
      <c r="H58" s="57" t="e">
        <f t="shared" si="7"/>
        <v>#DIV/0!</v>
      </c>
      <c r="I58" s="57" t="e">
        <f t="shared" si="8"/>
        <v>#DIV/0!</v>
      </c>
      <c r="J58" s="57" t="e">
        <f t="shared" si="9"/>
        <v>#DIV/0!</v>
      </c>
      <c r="K58" s="57" t="e">
        <f t="shared" si="10"/>
        <v>#DIV/0!</v>
      </c>
      <c r="L58" s="57" t="e">
        <f t="shared" si="11"/>
        <v>#DIV/0!</v>
      </c>
      <c r="M58" s="57" t="e">
        <f t="shared" si="12"/>
        <v>#DIV/0!</v>
      </c>
      <c r="N58" s="57" t="e">
        <f t="shared" si="13"/>
        <v>#DIV/0!</v>
      </c>
      <c r="O58" s="58" t="e">
        <f>Links!B58</f>
        <v>#DIV/0!</v>
      </c>
      <c r="P58" s="58" t="e">
        <f>Links!C58+'On-Ramps'!AC58</f>
        <v>#DIV/0!</v>
      </c>
      <c r="Q58" s="58" t="e">
        <f>Links!D58</f>
        <v>#DIV/0!</v>
      </c>
      <c r="R58" s="58" t="e">
        <f>Links!E58+'On-Ramps'!AD58</f>
        <v>#DIV/0!</v>
      </c>
      <c r="S58" s="58" t="e">
        <f>Links!F58+'On-Ramps'!AE58</f>
        <v>#DIV/0!</v>
      </c>
      <c r="T58" s="58" t="e">
        <f>Links!I58+'On-Ramps'!AF58</f>
        <v>#DIV/0!</v>
      </c>
      <c r="U58" s="58" t="e">
        <f>Links!J58+'On-Ramps'!AG58</f>
        <v>#DIV/0!</v>
      </c>
      <c r="V58" s="58" t="e">
        <f>Links!L58+'On-Ramps'!AH58</f>
        <v>#DIV/0!</v>
      </c>
      <c r="W58" s="58" t="e">
        <f>Links!M58+'On-Ramps'!AI58</f>
        <v>#DIV/0!</v>
      </c>
      <c r="X58" s="58" t="e">
        <f>Links!P58+'On-Ramps'!AJ58</f>
        <v>#DIV/0!</v>
      </c>
      <c r="Y58" s="58" t="e">
        <f>Links!Q58</f>
        <v>#DIV/0!</v>
      </c>
      <c r="Z58" s="58" t="e">
        <f>Links!R58+'On-Ramps'!AK58</f>
        <v>#DIV/0!</v>
      </c>
      <c r="AA58" s="58" t="e">
        <f>Links!S58</f>
        <v>#DIV/0!</v>
      </c>
      <c r="AB58" s="57" t="e">
        <f t="shared" si="16"/>
        <v>#VALUE!</v>
      </c>
      <c r="AC58" s="63"/>
      <c r="AD58" s="57" t="e">
        <f t="shared" si="17"/>
        <v>#DIV/0!</v>
      </c>
      <c r="AE58" s="63"/>
      <c r="AF58" s="57" t="e">
        <f t="shared" si="18"/>
        <v>#DIV/0!</v>
      </c>
      <c r="AG58" s="57" t="e">
        <f t="shared" si="19"/>
        <v>#DIV/0!</v>
      </c>
      <c r="AH58" s="57" t="e">
        <f t="shared" si="20"/>
        <v>#DIV/0!</v>
      </c>
      <c r="AI58" s="57" t="e">
        <f t="shared" si="21"/>
        <v>#DIV/0!</v>
      </c>
      <c r="AJ58" s="57" t="e">
        <f t="shared" si="22"/>
        <v>#DIV/0!</v>
      </c>
      <c r="AK58" s="57" t="e">
        <f t="shared" si="23"/>
        <v>#DIV/0!</v>
      </c>
      <c r="AL58" s="57" t="e">
        <f t="shared" si="24"/>
        <v>#DIV/0!</v>
      </c>
      <c r="AM58" s="63"/>
      <c r="AN58" s="57" t="e">
        <f t="shared" si="26"/>
        <v>#DIV/0!</v>
      </c>
      <c r="AO58" s="58" t="e">
        <f t="shared" si="29"/>
        <v>#VALUE!</v>
      </c>
      <c r="AP58" s="63"/>
      <c r="AQ58" s="58" t="e">
        <f t="shared" si="28"/>
        <v>#DIV/0!</v>
      </c>
      <c r="AR58" s="63"/>
      <c r="AS58" s="58" t="e">
        <f t="shared" si="28"/>
        <v>#DIV/0!</v>
      </c>
      <c r="AT58" s="58" t="e">
        <f t="shared" si="28"/>
        <v>#DIV/0!</v>
      </c>
      <c r="AU58" s="58" t="e">
        <f t="shared" si="28"/>
        <v>#DIV/0!</v>
      </c>
      <c r="AV58" s="58" t="e">
        <f t="shared" si="28"/>
        <v>#DIV/0!</v>
      </c>
      <c r="AW58" s="58" t="e">
        <f t="shared" si="28"/>
        <v>#DIV/0!</v>
      </c>
      <c r="AX58" s="58" t="e">
        <f t="shared" si="28"/>
        <v>#DIV/0!</v>
      </c>
      <c r="AY58" s="58" t="e">
        <f t="shared" si="28"/>
        <v>#DIV/0!</v>
      </c>
      <c r="AZ58" s="63"/>
      <c r="BA58" s="58" t="e">
        <f t="shared" si="28"/>
        <v>#DIV/0!</v>
      </c>
      <c r="BB58" s="63"/>
      <c r="BC58" s="57" t="e">
        <f>(Links!C58*Links!AQ58+'On-Ramps'!AC58*'On-Ramps'!CE58)/('On-Ramps'!AC58+Links!C58)</f>
        <v>#DIV/0!</v>
      </c>
      <c r="BD58" s="63"/>
      <c r="BE58" s="57" t="e">
        <f>(Links!E58*Links!AS58+'On-Ramps'!AD58*'On-Ramps'!CF57)/('On-Ramps'!AD58+Links!E58)</f>
        <v>#DIV/0!</v>
      </c>
      <c r="BF58" s="57" t="e">
        <f>(Links!F58*Links!AT58+'On-Ramps'!AE58*'On-Ramps'!CG58)/('On-Ramps'!AE58+Links!F58)</f>
        <v>#DIV/0!</v>
      </c>
      <c r="BG58" s="57" t="e">
        <f>(Links!I58*Links!AW58+'On-Ramps'!AF58*'On-Ramps'!CH58)/('On-Ramps'!AF58+Links!I58)</f>
        <v>#DIV/0!</v>
      </c>
      <c r="BH58" s="57" t="e">
        <f>(#REF!*#REF!+'On-Ramps'!AG58*'On-Ramps'!CI58)/('On-Ramps'!AG58+#REF!)</f>
        <v>#REF!</v>
      </c>
      <c r="BI58" s="57" t="e">
        <f>(Links!L58*Links!AZ58+'On-Ramps'!AH58*'On-Ramps'!CJ58)/('On-Ramps'!AH58+Links!L58)</f>
        <v>#DIV/0!</v>
      </c>
      <c r="BJ58" s="57" t="e">
        <f>(Links!BA58*Links!M58+'On-Ramps'!AI58*'On-Ramps'!CK58)/('On-Ramps'!AI58+Links!M58)</f>
        <v>#DIV/0!</v>
      </c>
      <c r="BK58" s="57" t="e">
        <f>(Links!S58*Links!BG58+'On-Ramps'!AJ58*'On-Ramps'!CL58)/('On-Ramps'!AJ58+Links!S58)</f>
        <v>#DIV/0!</v>
      </c>
      <c r="BL58" s="63"/>
      <c r="BM58" s="57" t="e">
        <f>(Links!S58*Links!BG58+'On-Ramps'!AL58*'On-Ramps'!CM58)/(Links!S58+'On-Ramps'!AL58)</f>
        <v>#DIV/0!</v>
      </c>
      <c r="BN58" s="63"/>
      <c r="BO58" s="58" t="e">
        <f>(Links!W58^2+'Off-Ramp'!L58^2)/(Links!W58+'Off-Ramp'!L58)</f>
        <v>#DIV/0!</v>
      </c>
      <c r="BP58" s="63"/>
      <c r="BQ58" s="58" t="e">
        <f>(Links!Y58^2+'Off-Ramp'!C58^2)/(Links!Y58+'Off-Ramp'!C58)</f>
        <v>#DIV/0!</v>
      </c>
      <c r="BR58" s="63"/>
      <c r="BS58" s="58" t="e">
        <f>(Links!AA58^2+'Off-Ramp'!N58^2)/(Links!AA58+'Off-Ramp'!N58)</f>
        <v>#DIV/0!</v>
      </c>
      <c r="BT58" s="58" t="e">
        <f>(Links!AD58^2+'Off-Ramp'!O58^2)/(Links!AD58+'Off-Ramp'!O58)</f>
        <v>#DIV/0!</v>
      </c>
      <c r="BU58" s="58" t="e">
        <f>(Links!AE58^2+'Off-Ramp'!V58^2+'Off-Ramp'!W58^2+'Off-Ramp'!X58^2)/(Links!AE58+'Off-Ramp'!V58+'Off-Ramp'!W58+'Off-Ramp'!X58)</f>
        <v>#DIV/0!</v>
      </c>
      <c r="BV58" s="58" t="e">
        <f>(Links!AG58^2+'Off-Ramp'!Y58^2+'Off-Ramp'!Z58^2+'Off-Ramp'!AA58^2)/(Links!AG58+'Off-Ramp'!Y58+'Off-Ramp'!Z58+'Off-Ramp'!AA58)</f>
        <v>#DIV/0!</v>
      </c>
      <c r="BW58" s="58" t="e">
        <f>(Links!AH58^2+'Off-Ramp'!R58^2)/(Links!AH58+'Off-Ramp'!R58)</f>
        <v>#DIV/0!</v>
      </c>
      <c r="BX58" s="58" t="e">
        <f>(Links!AK58^2+'Off-Ramp'!S58^2)/(Links!AK58+'Off-Ramp'!S58)</f>
        <v>#DIV/0!</v>
      </c>
      <c r="BY58" s="58" t="e">
        <f>(Links!AL58^2+'Off-Ramp'!T58^2)/(Links!AL58+'Off-Ramp'!T58)</f>
        <v>#DIV/0!</v>
      </c>
      <c r="BZ58" s="63"/>
      <c r="CA58" s="58" t="e">
        <f>(Links!AN58^2+'Off-Ramp'!U58^2)/(Links!AN58+'Off-Ramp'!U58)</f>
        <v>#DIV/0!</v>
      </c>
    </row>
    <row r="59" spans="1:79" x14ac:dyDescent="0.15">
      <c r="A59" s="56">
        <v>57</v>
      </c>
      <c r="B59" s="57" t="e">
        <f t="shared" si="1"/>
        <v>#DIV/0!</v>
      </c>
      <c r="C59" s="57" t="e">
        <f t="shared" si="2"/>
        <v>#DIV/0!</v>
      </c>
      <c r="D59" s="57" t="e">
        <f t="shared" si="3"/>
        <v>#DIV/0!</v>
      </c>
      <c r="E59" s="57" t="e">
        <f t="shared" si="4"/>
        <v>#DIV/0!</v>
      </c>
      <c r="F59" s="57" t="e">
        <f t="shared" si="5"/>
        <v>#DIV/0!</v>
      </c>
      <c r="G59" s="57" t="e">
        <f t="shared" si="6"/>
        <v>#DIV/0!</v>
      </c>
      <c r="H59" s="57" t="e">
        <f t="shared" si="7"/>
        <v>#DIV/0!</v>
      </c>
      <c r="I59" s="57" t="e">
        <f t="shared" si="8"/>
        <v>#DIV/0!</v>
      </c>
      <c r="J59" s="57" t="e">
        <f t="shared" si="9"/>
        <v>#DIV/0!</v>
      </c>
      <c r="K59" s="57" t="e">
        <f t="shared" si="10"/>
        <v>#DIV/0!</v>
      </c>
      <c r="L59" s="57" t="e">
        <f t="shared" si="11"/>
        <v>#DIV/0!</v>
      </c>
      <c r="M59" s="57" t="e">
        <f t="shared" si="12"/>
        <v>#DIV/0!</v>
      </c>
      <c r="N59" s="57" t="e">
        <f t="shared" si="13"/>
        <v>#DIV/0!</v>
      </c>
      <c r="O59" s="58" t="e">
        <f>Links!B59</f>
        <v>#DIV/0!</v>
      </c>
      <c r="P59" s="58" t="e">
        <f>Links!C59+'On-Ramps'!AC59</f>
        <v>#DIV/0!</v>
      </c>
      <c r="Q59" s="58" t="e">
        <f>Links!D59</f>
        <v>#DIV/0!</v>
      </c>
      <c r="R59" s="58" t="e">
        <f>Links!E59+'On-Ramps'!AD59</f>
        <v>#DIV/0!</v>
      </c>
      <c r="S59" s="58" t="e">
        <f>Links!F59+'On-Ramps'!AE59</f>
        <v>#DIV/0!</v>
      </c>
      <c r="T59" s="58" t="e">
        <f>Links!I59+'On-Ramps'!AF59</f>
        <v>#DIV/0!</v>
      </c>
      <c r="U59" s="58" t="e">
        <f>Links!J59+'On-Ramps'!AG59</f>
        <v>#DIV/0!</v>
      </c>
      <c r="V59" s="58" t="e">
        <f>Links!L59+'On-Ramps'!AH59</f>
        <v>#DIV/0!</v>
      </c>
      <c r="W59" s="58" t="e">
        <f>Links!M59+'On-Ramps'!AI59</f>
        <v>#DIV/0!</v>
      </c>
      <c r="X59" s="58" t="e">
        <f>Links!P59+'On-Ramps'!AJ59</f>
        <v>#DIV/0!</v>
      </c>
      <c r="Y59" s="58" t="e">
        <f>Links!Q59</f>
        <v>#DIV/0!</v>
      </c>
      <c r="Z59" s="58" t="e">
        <f>Links!R59+'On-Ramps'!AK59</f>
        <v>#DIV/0!</v>
      </c>
      <c r="AA59" s="58" t="e">
        <f>Links!S59</f>
        <v>#DIV/0!</v>
      </c>
      <c r="AB59" s="57" t="e">
        <f t="shared" si="16"/>
        <v>#VALUE!</v>
      </c>
      <c r="AC59" s="63"/>
      <c r="AD59" s="57" t="e">
        <f t="shared" si="17"/>
        <v>#DIV/0!</v>
      </c>
      <c r="AE59" s="63"/>
      <c r="AF59" s="57" t="e">
        <f t="shared" si="18"/>
        <v>#DIV/0!</v>
      </c>
      <c r="AG59" s="57" t="e">
        <f t="shared" si="19"/>
        <v>#DIV/0!</v>
      </c>
      <c r="AH59" s="57" t="e">
        <f t="shared" si="20"/>
        <v>#DIV/0!</v>
      </c>
      <c r="AI59" s="57" t="e">
        <f t="shared" si="21"/>
        <v>#DIV/0!</v>
      </c>
      <c r="AJ59" s="57" t="e">
        <f t="shared" si="22"/>
        <v>#DIV/0!</v>
      </c>
      <c r="AK59" s="57" t="e">
        <f t="shared" si="23"/>
        <v>#DIV/0!</v>
      </c>
      <c r="AL59" s="57" t="e">
        <f t="shared" si="24"/>
        <v>#DIV/0!</v>
      </c>
      <c r="AM59" s="63"/>
      <c r="AN59" s="57" t="e">
        <f t="shared" si="26"/>
        <v>#DIV/0!</v>
      </c>
      <c r="AO59" s="58" t="e">
        <f t="shared" si="29"/>
        <v>#VALUE!</v>
      </c>
      <c r="AP59" s="63"/>
      <c r="AQ59" s="58" t="e">
        <f t="shared" si="28"/>
        <v>#DIV/0!</v>
      </c>
      <c r="AR59" s="63"/>
      <c r="AS59" s="58" t="e">
        <f t="shared" si="28"/>
        <v>#DIV/0!</v>
      </c>
      <c r="AT59" s="58" t="e">
        <f t="shared" si="28"/>
        <v>#DIV/0!</v>
      </c>
      <c r="AU59" s="58" t="e">
        <f t="shared" si="28"/>
        <v>#DIV/0!</v>
      </c>
      <c r="AV59" s="58" t="e">
        <f t="shared" si="28"/>
        <v>#DIV/0!</v>
      </c>
      <c r="AW59" s="58" t="e">
        <f t="shared" si="28"/>
        <v>#DIV/0!</v>
      </c>
      <c r="AX59" s="58" t="e">
        <f t="shared" si="28"/>
        <v>#DIV/0!</v>
      </c>
      <c r="AY59" s="58" t="e">
        <f t="shared" si="28"/>
        <v>#DIV/0!</v>
      </c>
      <c r="AZ59" s="63"/>
      <c r="BA59" s="58" t="e">
        <f t="shared" si="28"/>
        <v>#DIV/0!</v>
      </c>
      <c r="BB59" s="63"/>
      <c r="BC59" s="57" t="e">
        <f>(Links!C59*Links!AQ59+'On-Ramps'!AC59*'On-Ramps'!CE59)/('On-Ramps'!AC59+Links!C59)</f>
        <v>#DIV/0!</v>
      </c>
      <c r="BD59" s="63"/>
      <c r="BE59" s="57" t="e">
        <f>(Links!E59*Links!AS59+'On-Ramps'!AD59*'On-Ramps'!CF58)/('On-Ramps'!AD59+Links!E59)</f>
        <v>#DIV/0!</v>
      </c>
      <c r="BF59" s="57" t="e">
        <f>(Links!F59*Links!AT59+'On-Ramps'!AE59*'On-Ramps'!CG59)/('On-Ramps'!AE59+Links!F59)</f>
        <v>#DIV/0!</v>
      </c>
      <c r="BG59" s="57" t="e">
        <f>(Links!I59*Links!AW59+'On-Ramps'!AF59*'On-Ramps'!CH59)/('On-Ramps'!AF59+Links!I59)</f>
        <v>#DIV/0!</v>
      </c>
      <c r="BH59" s="57" t="e">
        <f>(#REF!*#REF!+'On-Ramps'!AG59*'On-Ramps'!CI59)/('On-Ramps'!AG59+#REF!)</f>
        <v>#REF!</v>
      </c>
      <c r="BI59" s="57" t="e">
        <f>(Links!L59*Links!AZ59+'On-Ramps'!AH59*'On-Ramps'!CJ59)/('On-Ramps'!AH59+Links!L59)</f>
        <v>#DIV/0!</v>
      </c>
      <c r="BJ59" s="57" t="e">
        <f>(Links!BA59*Links!M59+'On-Ramps'!AI59*'On-Ramps'!CK59)/('On-Ramps'!AI59+Links!M59)</f>
        <v>#DIV/0!</v>
      </c>
      <c r="BK59" s="57" t="e">
        <f>(Links!S59*Links!BG59+'On-Ramps'!AJ59*'On-Ramps'!CL59)/('On-Ramps'!AJ59+Links!S59)</f>
        <v>#DIV/0!</v>
      </c>
      <c r="BL59" s="63"/>
      <c r="BM59" s="57" t="e">
        <f>(Links!S59*Links!BG59+'On-Ramps'!AL59*'On-Ramps'!CM59)/(Links!S59+'On-Ramps'!AL59)</f>
        <v>#DIV/0!</v>
      </c>
      <c r="BN59" s="63"/>
      <c r="BO59" s="58" t="e">
        <f>(Links!W59^2+'Off-Ramp'!L59^2)/(Links!W59+'Off-Ramp'!L59)</f>
        <v>#DIV/0!</v>
      </c>
      <c r="BP59" s="63"/>
      <c r="BQ59" s="58" t="e">
        <f>(Links!Y59^2+'Off-Ramp'!C59^2)/(Links!Y59+'Off-Ramp'!C59)</f>
        <v>#DIV/0!</v>
      </c>
      <c r="BR59" s="63"/>
      <c r="BS59" s="58" t="e">
        <f>(Links!AA59^2+'Off-Ramp'!N59^2)/(Links!AA59+'Off-Ramp'!N59)</f>
        <v>#DIV/0!</v>
      </c>
      <c r="BT59" s="58" t="e">
        <f>(Links!AD59^2+'Off-Ramp'!O59^2)/(Links!AD59+'Off-Ramp'!O59)</f>
        <v>#DIV/0!</v>
      </c>
      <c r="BU59" s="58" t="e">
        <f>(Links!AE59^2+'Off-Ramp'!V59^2+'Off-Ramp'!W59^2+'Off-Ramp'!X59^2)/(Links!AE59+'Off-Ramp'!V59+'Off-Ramp'!W59+'Off-Ramp'!X59)</f>
        <v>#DIV/0!</v>
      </c>
      <c r="BV59" s="58" t="e">
        <f>(Links!AG59^2+'Off-Ramp'!Y59^2+'Off-Ramp'!Z59^2+'Off-Ramp'!AA59^2)/(Links!AG59+'Off-Ramp'!Y59+'Off-Ramp'!Z59+'Off-Ramp'!AA59)</f>
        <v>#DIV/0!</v>
      </c>
      <c r="BW59" s="58" t="e">
        <f>(Links!AH59^2+'Off-Ramp'!R59^2)/(Links!AH59+'Off-Ramp'!R59)</f>
        <v>#DIV/0!</v>
      </c>
      <c r="BX59" s="58" t="e">
        <f>(Links!AK59^2+'Off-Ramp'!S59^2)/(Links!AK59+'Off-Ramp'!S59)</f>
        <v>#DIV/0!</v>
      </c>
      <c r="BY59" s="58" t="e">
        <f>(Links!AL59^2+'Off-Ramp'!T59^2)/(Links!AL59+'Off-Ramp'!T59)</f>
        <v>#DIV/0!</v>
      </c>
      <c r="BZ59" s="63"/>
      <c r="CA59" s="58" t="e">
        <f>(Links!AN59^2+'Off-Ramp'!U59^2)/(Links!AN59+'Off-Ramp'!U59)</f>
        <v>#DIV/0!</v>
      </c>
    </row>
    <row r="60" spans="1:79" x14ac:dyDescent="0.15">
      <c r="A60" s="56">
        <v>58</v>
      </c>
      <c r="B60" s="57" t="e">
        <f t="shared" si="1"/>
        <v>#DIV/0!</v>
      </c>
      <c r="C60" s="57" t="e">
        <f t="shared" si="2"/>
        <v>#DIV/0!</v>
      </c>
      <c r="D60" s="57" t="e">
        <f t="shared" si="3"/>
        <v>#DIV/0!</v>
      </c>
      <c r="E60" s="57" t="e">
        <f t="shared" si="4"/>
        <v>#DIV/0!</v>
      </c>
      <c r="F60" s="57" t="e">
        <f t="shared" si="5"/>
        <v>#DIV/0!</v>
      </c>
      <c r="G60" s="57" t="e">
        <f t="shared" si="6"/>
        <v>#DIV/0!</v>
      </c>
      <c r="H60" s="57" t="e">
        <f t="shared" si="7"/>
        <v>#DIV/0!</v>
      </c>
      <c r="I60" s="57" t="e">
        <f t="shared" si="8"/>
        <v>#DIV/0!</v>
      </c>
      <c r="J60" s="57" t="e">
        <f t="shared" si="9"/>
        <v>#DIV/0!</v>
      </c>
      <c r="K60" s="57" t="e">
        <f t="shared" si="10"/>
        <v>#DIV/0!</v>
      </c>
      <c r="L60" s="57" t="e">
        <f t="shared" si="11"/>
        <v>#DIV/0!</v>
      </c>
      <c r="M60" s="57" t="e">
        <f t="shared" si="12"/>
        <v>#DIV/0!</v>
      </c>
      <c r="N60" s="57" t="e">
        <f t="shared" si="13"/>
        <v>#DIV/0!</v>
      </c>
      <c r="O60" s="58" t="e">
        <f>Links!B60</f>
        <v>#DIV/0!</v>
      </c>
      <c r="P60" s="58" t="e">
        <f>Links!C60+'On-Ramps'!AC60</f>
        <v>#DIV/0!</v>
      </c>
      <c r="Q60" s="58" t="e">
        <f>Links!D60</f>
        <v>#DIV/0!</v>
      </c>
      <c r="R60" s="58" t="e">
        <f>Links!E60+'On-Ramps'!AD60</f>
        <v>#DIV/0!</v>
      </c>
      <c r="S60" s="58" t="e">
        <f>Links!F60+'On-Ramps'!AE60</f>
        <v>#DIV/0!</v>
      </c>
      <c r="T60" s="58" t="e">
        <f>Links!I60+'On-Ramps'!AF60</f>
        <v>#DIV/0!</v>
      </c>
      <c r="U60" s="58" t="e">
        <f>Links!J60+'On-Ramps'!AG60</f>
        <v>#DIV/0!</v>
      </c>
      <c r="V60" s="58" t="e">
        <f>Links!L60+'On-Ramps'!AH60</f>
        <v>#DIV/0!</v>
      </c>
      <c r="W60" s="58" t="e">
        <f>Links!M60+'On-Ramps'!AI60</f>
        <v>#DIV/0!</v>
      </c>
      <c r="X60" s="58" t="e">
        <f>Links!P60+'On-Ramps'!AJ60</f>
        <v>#DIV/0!</v>
      </c>
      <c r="Y60" s="58" t="e">
        <f>Links!Q60</f>
        <v>#DIV/0!</v>
      </c>
      <c r="Z60" s="58" t="e">
        <f>Links!R60+'On-Ramps'!AK60</f>
        <v>#DIV/0!</v>
      </c>
      <c r="AA60" s="58" t="e">
        <f>Links!S60</f>
        <v>#DIV/0!</v>
      </c>
      <c r="AB60" s="57" t="e">
        <f t="shared" si="16"/>
        <v>#VALUE!</v>
      </c>
      <c r="AC60" s="63"/>
      <c r="AD60" s="57" t="e">
        <f t="shared" si="17"/>
        <v>#DIV/0!</v>
      </c>
      <c r="AE60" s="63"/>
      <c r="AF60" s="57" t="e">
        <f t="shared" si="18"/>
        <v>#DIV/0!</v>
      </c>
      <c r="AG60" s="57" t="e">
        <f t="shared" si="19"/>
        <v>#DIV/0!</v>
      </c>
      <c r="AH60" s="57" t="e">
        <f t="shared" si="20"/>
        <v>#DIV/0!</v>
      </c>
      <c r="AI60" s="57" t="e">
        <f t="shared" si="21"/>
        <v>#DIV/0!</v>
      </c>
      <c r="AJ60" s="57" t="e">
        <f t="shared" si="22"/>
        <v>#DIV/0!</v>
      </c>
      <c r="AK60" s="57" t="e">
        <f t="shared" si="23"/>
        <v>#DIV/0!</v>
      </c>
      <c r="AL60" s="57" t="e">
        <f t="shared" si="24"/>
        <v>#DIV/0!</v>
      </c>
      <c r="AM60" s="63"/>
      <c r="AN60" s="57" t="e">
        <f t="shared" si="26"/>
        <v>#DIV/0!</v>
      </c>
      <c r="AO60" s="58" t="e">
        <f t="shared" si="29"/>
        <v>#VALUE!</v>
      </c>
      <c r="AP60" s="63"/>
      <c r="AQ60" s="58" t="e">
        <f t="shared" si="28"/>
        <v>#DIV/0!</v>
      </c>
      <c r="AR60" s="63"/>
      <c r="AS60" s="58" t="e">
        <f t="shared" si="28"/>
        <v>#DIV/0!</v>
      </c>
      <c r="AT60" s="58" t="e">
        <f t="shared" si="28"/>
        <v>#DIV/0!</v>
      </c>
      <c r="AU60" s="58" t="e">
        <f t="shared" si="28"/>
        <v>#DIV/0!</v>
      </c>
      <c r="AV60" s="58" t="e">
        <f t="shared" si="28"/>
        <v>#DIV/0!</v>
      </c>
      <c r="AW60" s="58" t="e">
        <f t="shared" si="28"/>
        <v>#DIV/0!</v>
      </c>
      <c r="AX60" s="58" t="e">
        <f t="shared" si="28"/>
        <v>#DIV/0!</v>
      </c>
      <c r="AY60" s="58" t="e">
        <f t="shared" si="28"/>
        <v>#DIV/0!</v>
      </c>
      <c r="AZ60" s="63"/>
      <c r="BA60" s="58" t="e">
        <f t="shared" si="28"/>
        <v>#DIV/0!</v>
      </c>
      <c r="BB60" s="63"/>
      <c r="BC60" s="57" t="e">
        <f>(Links!C60*Links!AQ60+'On-Ramps'!AC60*'On-Ramps'!CE60)/('On-Ramps'!AC60+Links!C60)</f>
        <v>#DIV/0!</v>
      </c>
      <c r="BD60" s="63"/>
      <c r="BE60" s="57" t="e">
        <f>(Links!E60*Links!AS60+'On-Ramps'!AD60*'On-Ramps'!CF59)/('On-Ramps'!AD60+Links!E60)</f>
        <v>#DIV/0!</v>
      </c>
      <c r="BF60" s="57" t="e">
        <f>(Links!F60*Links!AT60+'On-Ramps'!AE60*'On-Ramps'!CG60)/('On-Ramps'!AE60+Links!F60)</f>
        <v>#DIV/0!</v>
      </c>
      <c r="BG60" s="57" t="e">
        <f>(Links!I60*Links!AW60+'On-Ramps'!AF60*'On-Ramps'!CH60)/('On-Ramps'!AF60+Links!I60)</f>
        <v>#DIV/0!</v>
      </c>
      <c r="BH60" s="57" t="e">
        <f>(#REF!*#REF!+'On-Ramps'!AG60*'On-Ramps'!CI60)/('On-Ramps'!AG60+#REF!)</f>
        <v>#REF!</v>
      </c>
      <c r="BI60" s="57" t="e">
        <f>(Links!L60*Links!AZ60+'On-Ramps'!AH60*'On-Ramps'!CJ60)/('On-Ramps'!AH60+Links!L60)</f>
        <v>#DIV/0!</v>
      </c>
      <c r="BJ60" s="57" t="e">
        <f>(Links!BA60*Links!M60+'On-Ramps'!AI60*'On-Ramps'!CK60)/('On-Ramps'!AI60+Links!M60)</f>
        <v>#DIV/0!</v>
      </c>
      <c r="BK60" s="57" t="e">
        <f>(Links!S60*Links!BG60+'On-Ramps'!AJ60*'On-Ramps'!CL60)/('On-Ramps'!AJ60+Links!S60)</f>
        <v>#DIV/0!</v>
      </c>
      <c r="BL60" s="63"/>
      <c r="BM60" s="57" t="e">
        <f>(Links!S60*Links!BG60+'On-Ramps'!AL60*'On-Ramps'!CM60)/(Links!S60+'On-Ramps'!AL60)</f>
        <v>#DIV/0!</v>
      </c>
      <c r="BN60" s="63"/>
      <c r="BO60" s="58" t="e">
        <f>(Links!W60^2+'Off-Ramp'!L60^2)/(Links!W60+'Off-Ramp'!L60)</f>
        <v>#DIV/0!</v>
      </c>
      <c r="BP60" s="63"/>
      <c r="BQ60" s="58" t="e">
        <f>(Links!Y60^2+'Off-Ramp'!C60^2)/(Links!Y60+'Off-Ramp'!C60)</f>
        <v>#DIV/0!</v>
      </c>
      <c r="BR60" s="63"/>
      <c r="BS60" s="58" t="e">
        <f>(Links!AA60^2+'Off-Ramp'!N60^2)/(Links!AA60+'Off-Ramp'!N60)</f>
        <v>#DIV/0!</v>
      </c>
      <c r="BT60" s="58" t="e">
        <f>(Links!AD60^2+'Off-Ramp'!O60^2)/(Links!AD60+'Off-Ramp'!O60)</f>
        <v>#DIV/0!</v>
      </c>
      <c r="BU60" s="58" t="e">
        <f>(Links!AE60^2+'Off-Ramp'!V60^2+'Off-Ramp'!W60^2+'Off-Ramp'!X60^2)/(Links!AE60+'Off-Ramp'!V60+'Off-Ramp'!W60+'Off-Ramp'!X60)</f>
        <v>#DIV/0!</v>
      </c>
      <c r="BV60" s="58" t="e">
        <f>(Links!AG60^2+'Off-Ramp'!Y60^2+'Off-Ramp'!Z60^2+'Off-Ramp'!AA60^2)/(Links!AG60+'Off-Ramp'!Y60+'Off-Ramp'!Z60+'Off-Ramp'!AA60)</f>
        <v>#DIV/0!</v>
      </c>
      <c r="BW60" s="58" t="e">
        <f>(Links!AH60^2+'Off-Ramp'!R60^2)/(Links!AH60+'Off-Ramp'!R60)</f>
        <v>#DIV/0!</v>
      </c>
      <c r="BX60" s="58" t="e">
        <f>(Links!AK60^2+'Off-Ramp'!S60^2)/(Links!AK60+'Off-Ramp'!S60)</f>
        <v>#DIV/0!</v>
      </c>
      <c r="BY60" s="58" t="e">
        <f>(Links!AL60^2+'Off-Ramp'!T60^2)/(Links!AL60+'Off-Ramp'!T60)</f>
        <v>#DIV/0!</v>
      </c>
      <c r="BZ60" s="63"/>
      <c r="CA60" s="58" t="e">
        <f>(Links!AN60^2+'Off-Ramp'!U60^2)/(Links!AN60+'Off-Ramp'!U60)</f>
        <v>#DIV/0!</v>
      </c>
    </row>
    <row r="61" spans="1:79" x14ac:dyDescent="0.15">
      <c r="A61" s="56">
        <v>59</v>
      </c>
      <c r="B61" s="57" t="e">
        <f t="shared" si="1"/>
        <v>#DIV/0!</v>
      </c>
      <c r="C61" s="57" t="e">
        <f t="shared" si="2"/>
        <v>#DIV/0!</v>
      </c>
      <c r="D61" s="57" t="e">
        <f t="shared" si="3"/>
        <v>#DIV/0!</v>
      </c>
      <c r="E61" s="57" t="e">
        <f t="shared" si="4"/>
        <v>#DIV/0!</v>
      </c>
      <c r="F61" s="57" t="e">
        <f t="shared" si="5"/>
        <v>#DIV/0!</v>
      </c>
      <c r="G61" s="57" t="e">
        <f t="shared" si="6"/>
        <v>#DIV/0!</v>
      </c>
      <c r="H61" s="57" t="e">
        <f t="shared" si="7"/>
        <v>#DIV/0!</v>
      </c>
      <c r="I61" s="57" t="e">
        <f t="shared" si="8"/>
        <v>#DIV/0!</v>
      </c>
      <c r="J61" s="57" t="e">
        <f t="shared" si="9"/>
        <v>#DIV/0!</v>
      </c>
      <c r="K61" s="57" t="e">
        <f t="shared" si="10"/>
        <v>#DIV/0!</v>
      </c>
      <c r="L61" s="57" t="e">
        <f t="shared" si="11"/>
        <v>#DIV/0!</v>
      </c>
      <c r="M61" s="57" t="e">
        <f t="shared" si="12"/>
        <v>#DIV/0!</v>
      </c>
      <c r="N61" s="57" t="e">
        <f t="shared" si="13"/>
        <v>#DIV/0!</v>
      </c>
      <c r="O61" s="58" t="e">
        <f>Links!B61</f>
        <v>#DIV/0!</v>
      </c>
      <c r="P61" s="58" t="e">
        <f>Links!C61+'On-Ramps'!AC61</f>
        <v>#DIV/0!</v>
      </c>
      <c r="Q61" s="58" t="e">
        <f>Links!D61</f>
        <v>#DIV/0!</v>
      </c>
      <c r="R61" s="58" t="e">
        <f>Links!E61+'On-Ramps'!AD61</f>
        <v>#DIV/0!</v>
      </c>
      <c r="S61" s="58" t="e">
        <f>Links!F61+'On-Ramps'!AE61</f>
        <v>#DIV/0!</v>
      </c>
      <c r="T61" s="58" t="e">
        <f>Links!I61+'On-Ramps'!AF61</f>
        <v>#DIV/0!</v>
      </c>
      <c r="U61" s="58" t="e">
        <f>Links!J61+'On-Ramps'!AG61</f>
        <v>#DIV/0!</v>
      </c>
      <c r="V61" s="58" t="e">
        <f>Links!L61+'On-Ramps'!AH61</f>
        <v>#DIV/0!</v>
      </c>
      <c r="W61" s="58" t="e">
        <f>Links!M61+'On-Ramps'!AI61</f>
        <v>#DIV/0!</v>
      </c>
      <c r="X61" s="58" t="e">
        <f>Links!P61+'On-Ramps'!AJ61</f>
        <v>#DIV/0!</v>
      </c>
      <c r="Y61" s="58" t="e">
        <f>Links!Q61</f>
        <v>#DIV/0!</v>
      </c>
      <c r="Z61" s="58" t="e">
        <f>Links!R61+'On-Ramps'!AK61</f>
        <v>#DIV/0!</v>
      </c>
      <c r="AA61" s="58" t="e">
        <f>Links!S61</f>
        <v>#DIV/0!</v>
      </c>
      <c r="AB61" s="57" t="e">
        <f t="shared" si="16"/>
        <v>#VALUE!</v>
      </c>
      <c r="AC61" s="63"/>
      <c r="AD61" s="57" t="e">
        <f t="shared" si="17"/>
        <v>#DIV/0!</v>
      </c>
      <c r="AE61" s="63"/>
      <c r="AF61" s="57" t="e">
        <f t="shared" si="18"/>
        <v>#DIV/0!</v>
      </c>
      <c r="AG61" s="57" t="e">
        <f t="shared" si="19"/>
        <v>#DIV/0!</v>
      </c>
      <c r="AH61" s="57" t="e">
        <f t="shared" si="20"/>
        <v>#DIV/0!</v>
      </c>
      <c r="AI61" s="57" t="e">
        <f t="shared" si="21"/>
        <v>#DIV/0!</v>
      </c>
      <c r="AJ61" s="57" t="e">
        <f t="shared" si="22"/>
        <v>#DIV/0!</v>
      </c>
      <c r="AK61" s="57" t="e">
        <f t="shared" si="23"/>
        <v>#DIV/0!</v>
      </c>
      <c r="AL61" s="57" t="e">
        <f t="shared" si="24"/>
        <v>#DIV/0!</v>
      </c>
      <c r="AM61" s="63"/>
      <c r="AN61" s="57" t="e">
        <f t="shared" si="26"/>
        <v>#DIV/0!</v>
      </c>
      <c r="AO61" s="58" t="e">
        <f t="shared" si="29"/>
        <v>#VALUE!</v>
      </c>
      <c r="AP61" s="63"/>
      <c r="AQ61" s="58" t="e">
        <f t="shared" si="28"/>
        <v>#DIV/0!</v>
      </c>
      <c r="AR61" s="63"/>
      <c r="AS61" s="58" t="e">
        <f t="shared" si="28"/>
        <v>#DIV/0!</v>
      </c>
      <c r="AT61" s="58" t="e">
        <f t="shared" si="28"/>
        <v>#DIV/0!</v>
      </c>
      <c r="AU61" s="58" t="e">
        <f t="shared" si="28"/>
        <v>#DIV/0!</v>
      </c>
      <c r="AV61" s="58" t="e">
        <f t="shared" si="28"/>
        <v>#DIV/0!</v>
      </c>
      <c r="AW61" s="58" t="e">
        <f t="shared" si="28"/>
        <v>#DIV/0!</v>
      </c>
      <c r="AX61" s="58" t="e">
        <f t="shared" si="28"/>
        <v>#DIV/0!</v>
      </c>
      <c r="AY61" s="58" t="e">
        <f t="shared" si="28"/>
        <v>#DIV/0!</v>
      </c>
      <c r="AZ61" s="63"/>
      <c r="BA61" s="58" t="e">
        <f t="shared" si="28"/>
        <v>#DIV/0!</v>
      </c>
      <c r="BB61" s="63"/>
      <c r="BC61" s="57" t="e">
        <f>(Links!C61*Links!AQ61+'On-Ramps'!AC61*'On-Ramps'!CE61)/('On-Ramps'!AC61+Links!C61)</f>
        <v>#DIV/0!</v>
      </c>
      <c r="BD61" s="63"/>
      <c r="BE61" s="57" t="e">
        <f>(Links!E61*Links!AS61+'On-Ramps'!AD61*'On-Ramps'!CF60)/('On-Ramps'!AD61+Links!E61)</f>
        <v>#DIV/0!</v>
      </c>
      <c r="BF61" s="57" t="e">
        <f>(Links!F61*Links!AT61+'On-Ramps'!AE61*'On-Ramps'!CG61)/('On-Ramps'!AE61+Links!F61)</f>
        <v>#DIV/0!</v>
      </c>
      <c r="BG61" s="57" t="e">
        <f>(Links!I61*Links!AW61+'On-Ramps'!AF61*'On-Ramps'!CH61)/('On-Ramps'!AF61+Links!I61)</f>
        <v>#DIV/0!</v>
      </c>
      <c r="BH61" s="57" t="e">
        <f>(#REF!*#REF!+'On-Ramps'!AG61*'On-Ramps'!CI61)/('On-Ramps'!AG61+#REF!)</f>
        <v>#REF!</v>
      </c>
      <c r="BI61" s="57" t="e">
        <f>(Links!L61*Links!AZ61+'On-Ramps'!AH61*'On-Ramps'!CJ61)/('On-Ramps'!AH61+Links!L61)</f>
        <v>#DIV/0!</v>
      </c>
      <c r="BJ61" s="57" t="e">
        <f>(Links!BA61*Links!M61+'On-Ramps'!AI61*'On-Ramps'!CK61)/('On-Ramps'!AI61+Links!M61)</f>
        <v>#DIV/0!</v>
      </c>
      <c r="BK61" s="57" t="e">
        <f>(Links!S61*Links!BG61+'On-Ramps'!AJ61*'On-Ramps'!CL61)/('On-Ramps'!AJ61+Links!S61)</f>
        <v>#DIV/0!</v>
      </c>
      <c r="BL61" s="63"/>
      <c r="BM61" s="57" t="e">
        <f>(Links!S61*Links!BG61+'On-Ramps'!AL61*'On-Ramps'!CM61)/(Links!S61+'On-Ramps'!AL61)</f>
        <v>#DIV/0!</v>
      </c>
      <c r="BN61" s="63"/>
      <c r="BO61" s="58" t="e">
        <f>(Links!W61^2+'Off-Ramp'!L61^2)/(Links!W61+'Off-Ramp'!L61)</f>
        <v>#DIV/0!</v>
      </c>
      <c r="BP61" s="63"/>
      <c r="BQ61" s="58" t="e">
        <f>(Links!Y61^2+'Off-Ramp'!C61^2)/(Links!Y61+'Off-Ramp'!C61)</f>
        <v>#DIV/0!</v>
      </c>
      <c r="BR61" s="63"/>
      <c r="BS61" s="58" t="e">
        <f>(Links!AA61^2+'Off-Ramp'!N61^2)/(Links!AA61+'Off-Ramp'!N61)</f>
        <v>#DIV/0!</v>
      </c>
      <c r="BT61" s="58" t="e">
        <f>(Links!AD61^2+'Off-Ramp'!O61^2)/(Links!AD61+'Off-Ramp'!O61)</f>
        <v>#DIV/0!</v>
      </c>
      <c r="BU61" s="58" t="e">
        <f>(Links!AE61^2+'Off-Ramp'!V61^2+'Off-Ramp'!W61^2+'Off-Ramp'!X61^2)/(Links!AE61+'Off-Ramp'!V61+'Off-Ramp'!W61+'Off-Ramp'!X61)</f>
        <v>#DIV/0!</v>
      </c>
      <c r="BV61" s="58" t="e">
        <f>(Links!AG61^2+'Off-Ramp'!Y61^2+'Off-Ramp'!Z61^2+'Off-Ramp'!AA61^2)/(Links!AG61+'Off-Ramp'!Y61+'Off-Ramp'!Z61+'Off-Ramp'!AA61)</f>
        <v>#DIV/0!</v>
      </c>
      <c r="BW61" s="58" t="e">
        <f>(Links!AH61^2+'Off-Ramp'!R61^2)/(Links!AH61+'Off-Ramp'!R61)</f>
        <v>#DIV/0!</v>
      </c>
      <c r="BX61" s="58" t="e">
        <f>(Links!AK61^2+'Off-Ramp'!S61^2)/(Links!AK61+'Off-Ramp'!S61)</f>
        <v>#DIV/0!</v>
      </c>
      <c r="BY61" s="58" t="e">
        <f>(Links!AL61^2+'Off-Ramp'!T61^2)/(Links!AL61+'Off-Ramp'!T61)</f>
        <v>#DIV/0!</v>
      </c>
      <c r="BZ61" s="63"/>
      <c r="CA61" s="58" t="e">
        <f>(Links!AN61^2+'Off-Ramp'!U61^2)/(Links!AN61+'Off-Ramp'!U61)</f>
        <v>#DIV/0!</v>
      </c>
    </row>
    <row r="62" spans="1:79" x14ac:dyDescent="0.15">
      <c r="A62" s="56">
        <v>60</v>
      </c>
      <c r="B62" s="57" t="e">
        <f t="shared" si="1"/>
        <v>#DIV/0!</v>
      </c>
      <c r="C62" s="57" t="e">
        <f t="shared" si="2"/>
        <v>#DIV/0!</v>
      </c>
      <c r="D62" s="57" t="e">
        <f t="shared" si="3"/>
        <v>#DIV/0!</v>
      </c>
      <c r="E62" s="57" t="e">
        <f t="shared" si="4"/>
        <v>#DIV/0!</v>
      </c>
      <c r="F62" s="57" t="e">
        <f t="shared" si="5"/>
        <v>#DIV/0!</v>
      </c>
      <c r="G62" s="57" t="e">
        <f t="shared" si="6"/>
        <v>#DIV/0!</v>
      </c>
      <c r="H62" s="57" t="e">
        <f t="shared" si="7"/>
        <v>#DIV/0!</v>
      </c>
      <c r="I62" s="57" t="e">
        <f t="shared" si="8"/>
        <v>#DIV/0!</v>
      </c>
      <c r="J62" s="57" t="e">
        <f t="shared" si="9"/>
        <v>#DIV/0!</v>
      </c>
      <c r="K62" s="57" t="e">
        <f t="shared" si="10"/>
        <v>#DIV/0!</v>
      </c>
      <c r="L62" s="57" t="e">
        <f t="shared" si="11"/>
        <v>#DIV/0!</v>
      </c>
      <c r="M62" s="57" t="e">
        <f t="shared" si="12"/>
        <v>#DIV/0!</v>
      </c>
      <c r="N62" s="57" t="e">
        <f t="shared" si="13"/>
        <v>#DIV/0!</v>
      </c>
      <c r="O62" s="58" t="e">
        <f>Links!B62</f>
        <v>#DIV/0!</v>
      </c>
      <c r="P62" s="58" t="e">
        <f>Links!C62+'On-Ramps'!AC62</f>
        <v>#DIV/0!</v>
      </c>
      <c r="Q62" s="58" t="e">
        <f>Links!D62</f>
        <v>#DIV/0!</v>
      </c>
      <c r="R62" s="58" t="e">
        <f>Links!E62+'On-Ramps'!AD62</f>
        <v>#DIV/0!</v>
      </c>
      <c r="S62" s="58" t="e">
        <f>Links!F62+'On-Ramps'!AE62</f>
        <v>#DIV/0!</v>
      </c>
      <c r="T62" s="58" t="e">
        <f>Links!I62+'On-Ramps'!AF62</f>
        <v>#DIV/0!</v>
      </c>
      <c r="U62" s="58" t="e">
        <f>Links!J62+'On-Ramps'!AG62</f>
        <v>#DIV/0!</v>
      </c>
      <c r="V62" s="58" t="e">
        <f>Links!L62+'On-Ramps'!AH62</f>
        <v>#DIV/0!</v>
      </c>
      <c r="W62" s="58" t="e">
        <f>Links!M62+'On-Ramps'!AI62</f>
        <v>#DIV/0!</v>
      </c>
      <c r="X62" s="58" t="e">
        <f>Links!P62+'On-Ramps'!AJ62</f>
        <v>#DIV/0!</v>
      </c>
      <c r="Y62" s="58" t="e">
        <f>Links!Q62</f>
        <v>#DIV/0!</v>
      </c>
      <c r="Z62" s="58" t="e">
        <f>Links!R62+'On-Ramps'!AK62</f>
        <v>#DIV/0!</v>
      </c>
      <c r="AA62" s="58" t="e">
        <f>Links!S62</f>
        <v>#DIV/0!</v>
      </c>
      <c r="AB62" s="57" t="e">
        <f t="shared" si="16"/>
        <v>#VALUE!</v>
      </c>
      <c r="AC62" s="63"/>
      <c r="AD62" s="57" t="e">
        <f t="shared" si="17"/>
        <v>#DIV/0!</v>
      </c>
      <c r="AE62" s="63"/>
      <c r="AF62" s="57" t="e">
        <f t="shared" si="18"/>
        <v>#DIV/0!</v>
      </c>
      <c r="AG62" s="57" t="e">
        <f t="shared" si="19"/>
        <v>#DIV/0!</v>
      </c>
      <c r="AH62" s="57" t="e">
        <f t="shared" si="20"/>
        <v>#DIV/0!</v>
      </c>
      <c r="AI62" s="57" t="e">
        <f t="shared" si="21"/>
        <v>#DIV/0!</v>
      </c>
      <c r="AJ62" s="57" t="e">
        <f t="shared" si="22"/>
        <v>#DIV/0!</v>
      </c>
      <c r="AK62" s="57" t="e">
        <f t="shared" si="23"/>
        <v>#DIV/0!</v>
      </c>
      <c r="AL62" s="57" t="e">
        <f t="shared" si="24"/>
        <v>#DIV/0!</v>
      </c>
      <c r="AM62" s="63"/>
      <c r="AN62" s="57" t="e">
        <f t="shared" si="26"/>
        <v>#DIV/0!</v>
      </c>
      <c r="AO62" s="58" t="e">
        <f t="shared" si="29"/>
        <v>#VALUE!</v>
      </c>
      <c r="AP62" s="63"/>
      <c r="AQ62" s="58" t="e">
        <f t="shared" si="28"/>
        <v>#DIV/0!</v>
      </c>
      <c r="AR62" s="63"/>
      <c r="AS62" s="58" t="e">
        <f t="shared" si="28"/>
        <v>#DIV/0!</v>
      </c>
      <c r="AT62" s="58" t="e">
        <f t="shared" si="28"/>
        <v>#DIV/0!</v>
      </c>
      <c r="AU62" s="58" t="e">
        <f t="shared" si="28"/>
        <v>#DIV/0!</v>
      </c>
      <c r="AV62" s="58" t="e">
        <f t="shared" si="28"/>
        <v>#DIV/0!</v>
      </c>
      <c r="AW62" s="58" t="e">
        <f t="shared" si="28"/>
        <v>#DIV/0!</v>
      </c>
      <c r="AX62" s="58" t="e">
        <f t="shared" si="28"/>
        <v>#DIV/0!</v>
      </c>
      <c r="AY62" s="58" t="e">
        <f t="shared" si="28"/>
        <v>#DIV/0!</v>
      </c>
      <c r="AZ62" s="63"/>
      <c r="BA62" s="58" t="e">
        <f t="shared" si="28"/>
        <v>#DIV/0!</v>
      </c>
      <c r="BB62" s="63"/>
      <c r="BC62" s="57" t="e">
        <f>(Links!C62*Links!AQ62+'On-Ramps'!AC62*'On-Ramps'!CE62)/('On-Ramps'!AC62+Links!C62)</f>
        <v>#DIV/0!</v>
      </c>
      <c r="BD62" s="63"/>
      <c r="BE62" s="57" t="e">
        <f>(Links!E62*Links!AS62+'On-Ramps'!AD62*'On-Ramps'!CF61)/('On-Ramps'!AD62+Links!E62)</f>
        <v>#DIV/0!</v>
      </c>
      <c r="BF62" s="57" t="e">
        <f>(Links!F62*Links!AT62+'On-Ramps'!AE62*'On-Ramps'!CG62)/('On-Ramps'!AE62+Links!F62)</f>
        <v>#DIV/0!</v>
      </c>
      <c r="BG62" s="57" t="e">
        <f>(Links!I62*Links!AW62+'On-Ramps'!AF62*'On-Ramps'!CH62)/('On-Ramps'!AF62+Links!I62)</f>
        <v>#DIV/0!</v>
      </c>
      <c r="BH62" s="57" t="e">
        <f>(#REF!*#REF!+'On-Ramps'!AG62*'On-Ramps'!CI62)/('On-Ramps'!AG62+#REF!)</f>
        <v>#REF!</v>
      </c>
      <c r="BI62" s="57" t="e">
        <f>(Links!L62*Links!AZ62+'On-Ramps'!AH62*'On-Ramps'!CJ62)/('On-Ramps'!AH62+Links!L62)</f>
        <v>#DIV/0!</v>
      </c>
      <c r="BJ62" s="57" t="e">
        <f>(Links!BA62*Links!M62+'On-Ramps'!AI62*'On-Ramps'!CK62)/('On-Ramps'!AI62+Links!M62)</f>
        <v>#DIV/0!</v>
      </c>
      <c r="BK62" s="57" t="e">
        <f>(Links!S62*Links!BG62+'On-Ramps'!AJ62*'On-Ramps'!CL62)/('On-Ramps'!AJ62+Links!S62)</f>
        <v>#DIV/0!</v>
      </c>
      <c r="BL62" s="63"/>
      <c r="BM62" s="57" t="e">
        <f>(Links!S62*Links!BG62+'On-Ramps'!AL62*'On-Ramps'!CM62)/(Links!S62+'On-Ramps'!AL62)</f>
        <v>#DIV/0!</v>
      </c>
      <c r="BN62" s="63"/>
      <c r="BO62" s="58" t="e">
        <f>(Links!W62^2+'Off-Ramp'!L62^2)/(Links!W62+'Off-Ramp'!L62)</f>
        <v>#DIV/0!</v>
      </c>
      <c r="BP62" s="63"/>
      <c r="BQ62" s="58" t="e">
        <f>(Links!Y62^2+'Off-Ramp'!C62^2)/(Links!Y62+'Off-Ramp'!C62)</f>
        <v>#DIV/0!</v>
      </c>
      <c r="BR62" s="63"/>
      <c r="BS62" s="58" t="e">
        <f>(Links!AA62^2+'Off-Ramp'!N62^2)/(Links!AA62+'Off-Ramp'!N62)</f>
        <v>#DIV/0!</v>
      </c>
      <c r="BT62" s="58" t="e">
        <f>(Links!AD62^2+'Off-Ramp'!O62^2)/(Links!AD62+'Off-Ramp'!O62)</f>
        <v>#DIV/0!</v>
      </c>
      <c r="BU62" s="58" t="e">
        <f>(Links!AE62^2+'Off-Ramp'!V62^2+'Off-Ramp'!W62^2+'Off-Ramp'!X62^2)/(Links!AE62+'Off-Ramp'!V62+'Off-Ramp'!W62+'Off-Ramp'!X62)</f>
        <v>#DIV/0!</v>
      </c>
      <c r="BV62" s="58" t="e">
        <f>(Links!AG62^2+'Off-Ramp'!Y62^2+'Off-Ramp'!Z62^2+'Off-Ramp'!AA62^2)/(Links!AG62+'Off-Ramp'!Y62+'Off-Ramp'!Z62+'Off-Ramp'!AA62)</f>
        <v>#DIV/0!</v>
      </c>
      <c r="BW62" s="58" t="e">
        <f>(Links!AH62^2+'Off-Ramp'!R62^2)/(Links!AH62+'Off-Ramp'!R62)</f>
        <v>#DIV/0!</v>
      </c>
      <c r="BX62" s="58" t="e">
        <f>(Links!AK62^2+'Off-Ramp'!S62^2)/(Links!AK62+'Off-Ramp'!S62)</f>
        <v>#DIV/0!</v>
      </c>
      <c r="BY62" s="58" t="e">
        <f>(Links!AL62^2+'Off-Ramp'!T62^2)/(Links!AL62+'Off-Ramp'!T62)</f>
        <v>#DIV/0!</v>
      </c>
      <c r="BZ62" s="63"/>
      <c r="CA62" s="58" t="e">
        <f>(Links!AN62^2+'Off-Ramp'!U62^2)/(Links!AN62+'Off-Ramp'!U62)</f>
        <v>#DIV/0!</v>
      </c>
    </row>
    <row r="63" spans="1:79" x14ac:dyDescent="0.15">
      <c r="A63" s="56">
        <v>61</v>
      </c>
      <c r="B63" s="57" t="e">
        <f t="shared" si="1"/>
        <v>#DIV/0!</v>
      </c>
      <c r="C63" s="57" t="e">
        <f t="shared" si="2"/>
        <v>#DIV/0!</v>
      </c>
      <c r="D63" s="57" t="e">
        <f t="shared" si="3"/>
        <v>#DIV/0!</v>
      </c>
      <c r="E63" s="57" t="e">
        <f t="shared" si="4"/>
        <v>#DIV/0!</v>
      </c>
      <c r="F63" s="57" t="e">
        <f t="shared" si="5"/>
        <v>#DIV/0!</v>
      </c>
      <c r="G63" s="57" t="e">
        <f t="shared" si="6"/>
        <v>#DIV/0!</v>
      </c>
      <c r="H63" s="57" t="e">
        <f t="shared" si="7"/>
        <v>#DIV/0!</v>
      </c>
      <c r="I63" s="57" t="e">
        <f t="shared" si="8"/>
        <v>#DIV/0!</v>
      </c>
      <c r="J63" s="57" t="e">
        <f t="shared" si="9"/>
        <v>#DIV/0!</v>
      </c>
      <c r="K63" s="57" t="e">
        <f t="shared" si="10"/>
        <v>#DIV/0!</v>
      </c>
      <c r="L63" s="57" t="e">
        <f t="shared" si="11"/>
        <v>#DIV/0!</v>
      </c>
      <c r="M63" s="57" t="e">
        <f t="shared" si="12"/>
        <v>#DIV/0!</v>
      </c>
      <c r="N63" s="57" t="e">
        <f t="shared" si="13"/>
        <v>#DIV/0!</v>
      </c>
      <c r="O63" s="58" t="e">
        <f>Links!B63</f>
        <v>#DIV/0!</v>
      </c>
      <c r="P63" s="58" t="e">
        <f>Links!C63+'On-Ramps'!AC63</f>
        <v>#DIV/0!</v>
      </c>
      <c r="Q63" s="58" t="e">
        <f>Links!D63</f>
        <v>#DIV/0!</v>
      </c>
      <c r="R63" s="58" t="e">
        <f>Links!E63+'On-Ramps'!AD63</f>
        <v>#DIV/0!</v>
      </c>
      <c r="S63" s="58" t="e">
        <f>Links!F63+'On-Ramps'!AE63</f>
        <v>#DIV/0!</v>
      </c>
      <c r="T63" s="58" t="e">
        <f>Links!I63+'On-Ramps'!AF63</f>
        <v>#DIV/0!</v>
      </c>
      <c r="U63" s="58" t="e">
        <f>Links!J63+'On-Ramps'!AG63</f>
        <v>#DIV/0!</v>
      </c>
      <c r="V63" s="58" t="e">
        <f>Links!L63+'On-Ramps'!AH63</f>
        <v>#DIV/0!</v>
      </c>
      <c r="W63" s="58" t="e">
        <f>Links!M63+'On-Ramps'!AI63</f>
        <v>#DIV/0!</v>
      </c>
      <c r="X63" s="58" t="e">
        <f>Links!P63+'On-Ramps'!AJ63</f>
        <v>#DIV/0!</v>
      </c>
      <c r="Y63" s="58" t="e">
        <f>Links!Q63</f>
        <v>#DIV/0!</v>
      </c>
      <c r="Z63" s="58" t="e">
        <f>Links!R63+'On-Ramps'!AK63</f>
        <v>#DIV/0!</v>
      </c>
      <c r="AA63" s="58" t="e">
        <f>Links!S63</f>
        <v>#DIV/0!</v>
      </c>
      <c r="AB63" s="57" t="e">
        <f t="shared" si="16"/>
        <v>#VALUE!</v>
      </c>
      <c r="AC63" s="63"/>
      <c r="AD63" s="57" t="e">
        <f t="shared" si="17"/>
        <v>#DIV/0!</v>
      </c>
      <c r="AE63" s="63"/>
      <c r="AF63" s="57" t="e">
        <f t="shared" si="18"/>
        <v>#DIV/0!</v>
      </c>
      <c r="AG63" s="57" t="e">
        <f t="shared" si="19"/>
        <v>#DIV/0!</v>
      </c>
      <c r="AH63" s="57" t="e">
        <f t="shared" si="20"/>
        <v>#DIV/0!</v>
      </c>
      <c r="AI63" s="57" t="e">
        <f t="shared" si="21"/>
        <v>#DIV/0!</v>
      </c>
      <c r="AJ63" s="57" t="e">
        <f t="shared" si="22"/>
        <v>#DIV/0!</v>
      </c>
      <c r="AK63" s="57" t="e">
        <f t="shared" si="23"/>
        <v>#DIV/0!</v>
      </c>
      <c r="AL63" s="57" t="e">
        <f t="shared" si="24"/>
        <v>#DIV/0!</v>
      </c>
      <c r="AM63" s="63"/>
      <c r="AN63" s="57" t="e">
        <f t="shared" si="26"/>
        <v>#DIV/0!</v>
      </c>
      <c r="AO63" s="58" t="e">
        <f t="shared" si="29"/>
        <v>#VALUE!</v>
      </c>
      <c r="AP63" s="63"/>
      <c r="AQ63" s="58" t="e">
        <f t="shared" si="28"/>
        <v>#DIV/0!</v>
      </c>
      <c r="AR63" s="63"/>
      <c r="AS63" s="58" t="e">
        <f t="shared" si="28"/>
        <v>#DIV/0!</v>
      </c>
      <c r="AT63" s="58" t="e">
        <f t="shared" si="28"/>
        <v>#DIV/0!</v>
      </c>
      <c r="AU63" s="58" t="e">
        <f t="shared" si="28"/>
        <v>#DIV/0!</v>
      </c>
      <c r="AV63" s="58" t="e">
        <f t="shared" si="28"/>
        <v>#DIV/0!</v>
      </c>
      <c r="AW63" s="58" t="e">
        <f t="shared" si="28"/>
        <v>#DIV/0!</v>
      </c>
      <c r="AX63" s="58" t="e">
        <f t="shared" si="28"/>
        <v>#DIV/0!</v>
      </c>
      <c r="AY63" s="58" t="e">
        <f t="shared" si="28"/>
        <v>#DIV/0!</v>
      </c>
      <c r="AZ63" s="63"/>
      <c r="BA63" s="58" t="e">
        <f t="shared" si="28"/>
        <v>#DIV/0!</v>
      </c>
      <c r="BB63" s="63"/>
      <c r="BC63" s="57" t="e">
        <f>(Links!C63*Links!AQ63+'On-Ramps'!AC63*'On-Ramps'!CE63)/('On-Ramps'!AC63+Links!C63)</f>
        <v>#DIV/0!</v>
      </c>
      <c r="BD63" s="63"/>
      <c r="BE63" s="57" t="e">
        <f>(Links!E63*Links!AS63+'On-Ramps'!AD63*'On-Ramps'!CF62)/('On-Ramps'!AD63+Links!E63)</f>
        <v>#DIV/0!</v>
      </c>
      <c r="BF63" s="57" t="e">
        <f>(Links!F63*Links!AT63+'On-Ramps'!AE63*'On-Ramps'!CG63)/('On-Ramps'!AE63+Links!F63)</f>
        <v>#DIV/0!</v>
      </c>
      <c r="BG63" s="57" t="e">
        <f>(Links!I63*Links!AW63+'On-Ramps'!AF63*'On-Ramps'!CH63)/('On-Ramps'!AF63+Links!I63)</f>
        <v>#DIV/0!</v>
      </c>
      <c r="BH63" s="57" t="e">
        <f>(#REF!*#REF!+'On-Ramps'!AG63*'On-Ramps'!CI63)/('On-Ramps'!AG63+#REF!)</f>
        <v>#REF!</v>
      </c>
      <c r="BI63" s="57" t="e">
        <f>(Links!L63*Links!AZ63+'On-Ramps'!AH63*'On-Ramps'!CJ63)/('On-Ramps'!AH63+Links!L63)</f>
        <v>#DIV/0!</v>
      </c>
      <c r="BJ63" s="57" t="e">
        <f>(Links!BA63*Links!M63+'On-Ramps'!AI63*'On-Ramps'!CK63)/('On-Ramps'!AI63+Links!M63)</f>
        <v>#DIV/0!</v>
      </c>
      <c r="BK63" s="57" t="e">
        <f>(Links!S63*Links!BG63+'On-Ramps'!AJ63*'On-Ramps'!CL63)/('On-Ramps'!AJ63+Links!S63)</f>
        <v>#DIV/0!</v>
      </c>
      <c r="BL63" s="63"/>
      <c r="BM63" s="57" t="e">
        <f>(Links!S63*Links!BG63+'On-Ramps'!AL63*'On-Ramps'!CM63)/(Links!S63+'On-Ramps'!AL63)</f>
        <v>#DIV/0!</v>
      </c>
      <c r="BN63" s="63"/>
      <c r="BO63" s="58" t="e">
        <f>(Links!W63^2+'Off-Ramp'!L63^2)/(Links!W63+'Off-Ramp'!L63)</f>
        <v>#DIV/0!</v>
      </c>
      <c r="BP63" s="63"/>
      <c r="BQ63" s="58" t="e">
        <f>(Links!Y63^2+'Off-Ramp'!C63^2)/(Links!Y63+'Off-Ramp'!C63)</f>
        <v>#DIV/0!</v>
      </c>
      <c r="BR63" s="63"/>
      <c r="BS63" s="58" t="e">
        <f>(Links!AA63^2+'Off-Ramp'!N63^2)/(Links!AA63+'Off-Ramp'!N63)</f>
        <v>#DIV/0!</v>
      </c>
      <c r="BT63" s="58" t="e">
        <f>(Links!AD63^2+'Off-Ramp'!O63^2)/(Links!AD63+'Off-Ramp'!O63)</f>
        <v>#DIV/0!</v>
      </c>
      <c r="BU63" s="58" t="e">
        <f>(Links!AE63^2+'Off-Ramp'!V63^2+'Off-Ramp'!W63^2+'Off-Ramp'!X63^2)/(Links!AE63+'Off-Ramp'!V63+'Off-Ramp'!W63+'Off-Ramp'!X63)</f>
        <v>#DIV/0!</v>
      </c>
      <c r="BV63" s="58" t="e">
        <f>(Links!AG63^2+'Off-Ramp'!Y63^2+'Off-Ramp'!Z63^2+'Off-Ramp'!AA63^2)/(Links!AG63+'Off-Ramp'!Y63+'Off-Ramp'!Z63+'Off-Ramp'!AA63)</f>
        <v>#DIV/0!</v>
      </c>
      <c r="BW63" s="58" t="e">
        <f>(Links!AH63^2+'Off-Ramp'!R63^2)/(Links!AH63+'Off-Ramp'!R63)</f>
        <v>#DIV/0!</v>
      </c>
      <c r="BX63" s="58" t="e">
        <f>(Links!AK63^2+'Off-Ramp'!S63^2)/(Links!AK63+'Off-Ramp'!S63)</f>
        <v>#DIV/0!</v>
      </c>
      <c r="BY63" s="58" t="e">
        <f>(Links!AL63^2+'Off-Ramp'!T63^2)/(Links!AL63+'Off-Ramp'!T63)</f>
        <v>#DIV/0!</v>
      </c>
      <c r="BZ63" s="63"/>
      <c r="CA63" s="58" t="e">
        <f>(Links!AN63^2+'Off-Ramp'!U63^2)/(Links!AN63+'Off-Ramp'!U63)</f>
        <v>#DIV/0!</v>
      </c>
    </row>
    <row r="64" spans="1:79" x14ac:dyDescent="0.15">
      <c r="A64" s="56">
        <v>62</v>
      </c>
      <c r="B64" s="57" t="e">
        <f t="shared" si="1"/>
        <v>#DIV/0!</v>
      </c>
      <c r="C64" s="57" t="e">
        <f t="shared" si="2"/>
        <v>#DIV/0!</v>
      </c>
      <c r="D64" s="57" t="e">
        <f t="shared" si="3"/>
        <v>#DIV/0!</v>
      </c>
      <c r="E64" s="57" t="e">
        <f t="shared" si="4"/>
        <v>#DIV/0!</v>
      </c>
      <c r="F64" s="57" t="e">
        <f t="shared" si="5"/>
        <v>#DIV/0!</v>
      </c>
      <c r="G64" s="57" t="e">
        <f t="shared" si="6"/>
        <v>#DIV/0!</v>
      </c>
      <c r="H64" s="57" t="e">
        <f t="shared" si="7"/>
        <v>#DIV/0!</v>
      </c>
      <c r="I64" s="57" t="e">
        <f t="shared" si="8"/>
        <v>#DIV/0!</v>
      </c>
      <c r="J64" s="57" t="e">
        <f t="shared" si="9"/>
        <v>#DIV/0!</v>
      </c>
      <c r="K64" s="57" t="e">
        <f t="shared" si="10"/>
        <v>#DIV/0!</v>
      </c>
      <c r="L64" s="57" t="e">
        <f t="shared" si="11"/>
        <v>#DIV/0!</v>
      </c>
      <c r="M64" s="57" t="e">
        <f t="shared" si="12"/>
        <v>#DIV/0!</v>
      </c>
      <c r="N64" s="57" t="e">
        <f t="shared" si="13"/>
        <v>#DIV/0!</v>
      </c>
      <c r="O64" s="58" t="e">
        <f>Links!B64</f>
        <v>#DIV/0!</v>
      </c>
      <c r="P64" s="58" t="e">
        <f>Links!C64+'On-Ramps'!AC64</f>
        <v>#DIV/0!</v>
      </c>
      <c r="Q64" s="58" t="e">
        <f>Links!D64</f>
        <v>#DIV/0!</v>
      </c>
      <c r="R64" s="58" t="e">
        <f>Links!E64+'On-Ramps'!AD64</f>
        <v>#DIV/0!</v>
      </c>
      <c r="S64" s="58" t="e">
        <f>Links!F64+'On-Ramps'!AE64</f>
        <v>#DIV/0!</v>
      </c>
      <c r="T64" s="58" t="e">
        <f>Links!I64+'On-Ramps'!AF64</f>
        <v>#DIV/0!</v>
      </c>
      <c r="U64" s="58" t="e">
        <f>Links!J64+'On-Ramps'!AG64</f>
        <v>#DIV/0!</v>
      </c>
      <c r="V64" s="58" t="e">
        <f>Links!L64+'On-Ramps'!AH64</f>
        <v>#DIV/0!</v>
      </c>
      <c r="W64" s="58" t="e">
        <f>Links!M64+'On-Ramps'!AI64</f>
        <v>#DIV/0!</v>
      </c>
      <c r="X64" s="58" t="e">
        <f>Links!P64+'On-Ramps'!AJ64</f>
        <v>#DIV/0!</v>
      </c>
      <c r="Y64" s="58" t="e">
        <f>Links!Q64</f>
        <v>#DIV/0!</v>
      </c>
      <c r="Z64" s="58" t="e">
        <f>Links!R64+'On-Ramps'!AK64</f>
        <v>#DIV/0!</v>
      </c>
      <c r="AA64" s="58" t="e">
        <f>Links!S64</f>
        <v>#DIV/0!</v>
      </c>
      <c r="AB64" s="57" t="e">
        <f t="shared" si="16"/>
        <v>#VALUE!</v>
      </c>
      <c r="AC64" s="63"/>
      <c r="AD64" s="57" t="e">
        <f t="shared" si="17"/>
        <v>#DIV/0!</v>
      </c>
      <c r="AE64" s="63"/>
      <c r="AF64" s="57" t="e">
        <f t="shared" si="18"/>
        <v>#DIV/0!</v>
      </c>
      <c r="AG64" s="57" t="e">
        <f t="shared" si="19"/>
        <v>#DIV/0!</v>
      </c>
      <c r="AH64" s="57" t="e">
        <f t="shared" si="20"/>
        <v>#DIV/0!</v>
      </c>
      <c r="AI64" s="57" t="e">
        <f t="shared" si="21"/>
        <v>#DIV/0!</v>
      </c>
      <c r="AJ64" s="57" t="e">
        <f t="shared" si="22"/>
        <v>#DIV/0!</v>
      </c>
      <c r="AK64" s="57" t="e">
        <f t="shared" si="23"/>
        <v>#DIV/0!</v>
      </c>
      <c r="AL64" s="57" t="e">
        <f t="shared" si="24"/>
        <v>#DIV/0!</v>
      </c>
      <c r="AM64" s="63"/>
      <c r="AN64" s="57" t="e">
        <f t="shared" si="26"/>
        <v>#DIV/0!</v>
      </c>
      <c r="AO64" s="58" t="e">
        <f t="shared" si="29"/>
        <v>#VALUE!</v>
      </c>
      <c r="AP64" s="63"/>
      <c r="AQ64" s="58" t="e">
        <f t="shared" si="28"/>
        <v>#DIV/0!</v>
      </c>
      <c r="AR64" s="63"/>
      <c r="AS64" s="58" t="e">
        <f t="shared" si="28"/>
        <v>#DIV/0!</v>
      </c>
      <c r="AT64" s="58" t="e">
        <f t="shared" si="28"/>
        <v>#DIV/0!</v>
      </c>
      <c r="AU64" s="58" t="e">
        <f t="shared" si="28"/>
        <v>#DIV/0!</v>
      </c>
      <c r="AV64" s="58" t="e">
        <f t="shared" si="28"/>
        <v>#DIV/0!</v>
      </c>
      <c r="AW64" s="58" t="e">
        <f t="shared" si="28"/>
        <v>#DIV/0!</v>
      </c>
      <c r="AX64" s="58" t="e">
        <f t="shared" si="28"/>
        <v>#DIV/0!</v>
      </c>
      <c r="AY64" s="58" t="e">
        <f t="shared" si="28"/>
        <v>#DIV/0!</v>
      </c>
      <c r="AZ64" s="63"/>
      <c r="BA64" s="58" t="e">
        <f t="shared" si="28"/>
        <v>#DIV/0!</v>
      </c>
      <c r="BB64" s="63"/>
      <c r="BC64" s="57" t="e">
        <f>(Links!C64*Links!AQ64+'On-Ramps'!AC64*'On-Ramps'!CE64)/('On-Ramps'!AC64+Links!C64)</f>
        <v>#DIV/0!</v>
      </c>
      <c r="BD64" s="63"/>
      <c r="BE64" s="57" t="e">
        <f>(Links!E64*Links!AS64+'On-Ramps'!AD64*'On-Ramps'!CF63)/('On-Ramps'!AD64+Links!E64)</f>
        <v>#DIV/0!</v>
      </c>
      <c r="BF64" s="57" t="e">
        <f>(Links!F64*Links!AT64+'On-Ramps'!AE64*'On-Ramps'!CG64)/('On-Ramps'!AE64+Links!F64)</f>
        <v>#DIV/0!</v>
      </c>
      <c r="BG64" s="57" t="e">
        <f>(Links!I64*Links!AW64+'On-Ramps'!AF64*'On-Ramps'!CH64)/('On-Ramps'!AF64+Links!I64)</f>
        <v>#DIV/0!</v>
      </c>
      <c r="BH64" s="57" t="e">
        <f>(#REF!*#REF!+'On-Ramps'!AG64*'On-Ramps'!CI64)/('On-Ramps'!AG64+#REF!)</f>
        <v>#REF!</v>
      </c>
      <c r="BI64" s="57" t="e">
        <f>(Links!L64*Links!AZ64+'On-Ramps'!AH64*'On-Ramps'!CJ64)/('On-Ramps'!AH64+Links!L64)</f>
        <v>#DIV/0!</v>
      </c>
      <c r="BJ64" s="57" t="e">
        <f>(Links!BA64*Links!M64+'On-Ramps'!AI64*'On-Ramps'!CK64)/('On-Ramps'!AI64+Links!M64)</f>
        <v>#DIV/0!</v>
      </c>
      <c r="BK64" s="57" t="e">
        <f>(Links!S64*Links!BG64+'On-Ramps'!AJ64*'On-Ramps'!CL64)/('On-Ramps'!AJ64+Links!S64)</f>
        <v>#DIV/0!</v>
      </c>
      <c r="BL64" s="63"/>
      <c r="BM64" s="57" t="e">
        <f>(Links!S64*Links!BG64+'On-Ramps'!AL64*'On-Ramps'!CM64)/(Links!S64+'On-Ramps'!AL64)</f>
        <v>#DIV/0!</v>
      </c>
      <c r="BN64" s="63"/>
      <c r="BO64" s="58" t="e">
        <f>(Links!W64^2+'Off-Ramp'!L64^2)/(Links!W64+'Off-Ramp'!L64)</f>
        <v>#DIV/0!</v>
      </c>
      <c r="BP64" s="63"/>
      <c r="BQ64" s="58" t="e">
        <f>(Links!Y64^2+'Off-Ramp'!C64^2)/(Links!Y64+'Off-Ramp'!C64)</f>
        <v>#DIV/0!</v>
      </c>
      <c r="BR64" s="63"/>
      <c r="BS64" s="58" t="e">
        <f>(Links!AA64^2+'Off-Ramp'!N64^2)/(Links!AA64+'Off-Ramp'!N64)</f>
        <v>#DIV/0!</v>
      </c>
      <c r="BT64" s="58" t="e">
        <f>(Links!AD64^2+'Off-Ramp'!O64^2)/(Links!AD64+'Off-Ramp'!O64)</f>
        <v>#DIV/0!</v>
      </c>
      <c r="BU64" s="58" t="e">
        <f>(Links!AE64^2+'Off-Ramp'!V64^2+'Off-Ramp'!W64^2+'Off-Ramp'!X64^2)/(Links!AE64+'Off-Ramp'!V64+'Off-Ramp'!W64+'Off-Ramp'!X64)</f>
        <v>#DIV/0!</v>
      </c>
      <c r="BV64" s="58" t="e">
        <f>(Links!AG64^2+'Off-Ramp'!Y64^2+'Off-Ramp'!Z64^2+'Off-Ramp'!AA64^2)/(Links!AG64+'Off-Ramp'!Y64+'Off-Ramp'!Z64+'Off-Ramp'!AA64)</f>
        <v>#DIV/0!</v>
      </c>
      <c r="BW64" s="58" t="e">
        <f>(Links!AH64^2+'Off-Ramp'!R64^2)/(Links!AH64+'Off-Ramp'!R64)</f>
        <v>#DIV/0!</v>
      </c>
      <c r="BX64" s="58" t="e">
        <f>(Links!AK64^2+'Off-Ramp'!S64^2)/(Links!AK64+'Off-Ramp'!S64)</f>
        <v>#DIV/0!</v>
      </c>
      <c r="BY64" s="58" t="e">
        <f>(Links!AL64^2+'Off-Ramp'!T64^2)/(Links!AL64+'Off-Ramp'!T64)</f>
        <v>#DIV/0!</v>
      </c>
      <c r="BZ64" s="63"/>
      <c r="CA64" s="58" t="e">
        <f>(Links!AN64^2+'Off-Ramp'!U64^2)/(Links!AN64+'Off-Ramp'!U64)</f>
        <v>#DIV/0!</v>
      </c>
    </row>
    <row r="65" spans="1:79" x14ac:dyDescent="0.15">
      <c r="A65" s="56">
        <v>63</v>
      </c>
      <c r="B65" s="57" t="e">
        <f t="shared" si="1"/>
        <v>#DIV/0!</v>
      </c>
      <c r="C65" s="57" t="e">
        <f t="shared" si="2"/>
        <v>#DIV/0!</v>
      </c>
      <c r="D65" s="57" t="e">
        <f t="shared" si="3"/>
        <v>#DIV/0!</v>
      </c>
      <c r="E65" s="57" t="e">
        <f t="shared" si="4"/>
        <v>#DIV/0!</v>
      </c>
      <c r="F65" s="57" t="e">
        <f t="shared" si="5"/>
        <v>#DIV/0!</v>
      </c>
      <c r="G65" s="57" t="e">
        <f t="shared" si="6"/>
        <v>#DIV/0!</v>
      </c>
      <c r="H65" s="57" t="e">
        <f t="shared" si="7"/>
        <v>#DIV/0!</v>
      </c>
      <c r="I65" s="57" t="e">
        <f t="shared" si="8"/>
        <v>#DIV/0!</v>
      </c>
      <c r="J65" s="57" t="e">
        <f t="shared" si="9"/>
        <v>#DIV/0!</v>
      </c>
      <c r="K65" s="57" t="e">
        <f t="shared" si="10"/>
        <v>#DIV/0!</v>
      </c>
      <c r="L65" s="57" t="e">
        <f t="shared" si="11"/>
        <v>#DIV/0!</v>
      </c>
      <c r="M65" s="57" t="e">
        <f t="shared" si="12"/>
        <v>#DIV/0!</v>
      </c>
      <c r="N65" s="57" t="e">
        <f t="shared" si="13"/>
        <v>#DIV/0!</v>
      </c>
      <c r="O65" s="58" t="e">
        <f>Links!B65</f>
        <v>#DIV/0!</v>
      </c>
      <c r="P65" s="58" t="e">
        <f>Links!C65+'On-Ramps'!AC65</f>
        <v>#DIV/0!</v>
      </c>
      <c r="Q65" s="58" t="e">
        <f>Links!D65</f>
        <v>#DIV/0!</v>
      </c>
      <c r="R65" s="58" t="e">
        <f>Links!E65+'On-Ramps'!AD65</f>
        <v>#DIV/0!</v>
      </c>
      <c r="S65" s="58" t="e">
        <f>Links!F65+'On-Ramps'!AE65</f>
        <v>#DIV/0!</v>
      </c>
      <c r="T65" s="58" t="e">
        <f>Links!I65+'On-Ramps'!AF65</f>
        <v>#DIV/0!</v>
      </c>
      <c r="U65" s="58" t="e">
        <f>Links!J65+'On-Ramps'!AG65</f>
        <v>#DIV/0!</v>
      </c>
      <c r="V65" s="58" t="e">
        <f>Links!L65+'On-Ramps'!AH65</f>
        <v>#DIV/0!</v>
      </c>
      <c r="W65" s="58" t="e">
        <f>Links!M65+'On-Ramps'!AI65</f>
        <v>#DIV/0!</v>
      </c>
      <c r="X65" s="58" t="e">
        <f>Links!P65+'On-Ramps'!AJ65</f>
        <v>#DIV/0!</v>
      </c>
      <c r="Y65" s="58" t="e">
        <f>Links!Q65</f>
        <v>#DIV/0!</v>
      </c>
      <c r="Z65" s="58" t="e">
        <f>Links!R65+'On-Ramps'!AK65</f>
        <v>#DIV/0!</v>
      </c>
      <c r="AA65" s="58" t="e">
        <f>Links!S65</f>
        <v>#DIV/0!</v>
      </c>
      <c r="AB65" s="57" t="e">
        <f t="shared" si="16"/>
        <v>#VALUE!</v>
      </c>
      <c r="AC65" s="63"/>
      <c r="AD65" s="57" t="e">
        <f t="shared" si="17"/>
        <v>#DIV/0!</v>
      </c>
      <c r="AE65" s="63"/>
      <c r="AF65" s="57" t="e">
        <f t="shared" si="18"/>
        <v>#DIV/0!</v>
      </c>
      <c r="AG65" s="57" t="e">
        <f t="shared" si="19"/>
        <v>#DIV/0!</v>
      </c>
      <c r="AH65" s="57" t="e">
        <f t="shared" si="20"/>
        <v>#DIV/0!</v>
      </c>
      <c r="AI65" s="57" t="e">
        <f t="shared" si="21"/>
        <v>#DIV/0!</v>
      </c>
      <c r="AJ65" s="57" t="e">
        <f t="shared" si="22"/>
        <v>#DIV/0!</v>
      </c>
      <c r="AK65" s="57" t="e">
        <f t="shared" si="23"/>
        <v>#DIV/0!</v>
      </c>
      <c r="AL65" s="57" t="e">
        <f t="shared" si="24"/>
        <v>#DIV/0!</v>
      </c>
      <c r="AM65" s="63"/>
      <c r="AN65" s="57" t="e">
        <f t="shared" si="26"/>
        <v>#DIV/0!</v>
      </c>
      <c r="AO65" s="58" t="e">
        <f t="shared" si="29"/>
        <v>#VALUE!</v>
      </c>
      <c r="AP65" s="63"/>
      <c r="AQ65" s="58" t="e">
        <f t="shared" si="28"/>
        <v>#DIV/0!</v>
      </c>
      <c r="AR65" s="63"/>
      <c r="AS65" s="58" t="e">
        <f t="shared" si="28"/>
        <v>#DIV/0!</v>
      </c>
      <c r="AT65" s="58" t="e">
        <f t="shared" si="28"/>
        <v>#DIV/0!</v>
      </c>
      <c r="AU65" s="58" t="e">
        <f t="shared" si="28"/>
        <v>#DIV/0!</v>
      </c>
      <c r="AV65" s="58" t="e">
        <f t="shared" si="28"/>
        <v>#DIV/0!</v>
      </c>
      <c r="AW65" s="58" t="e">
        <f t="shared" si="28"/>
        <v>#DIV/0!</v>
      </c>
      <c r="AX65" s="58" t="e">
        <f t="shared" si="28"/>
        <v>#DIV/0!</v>
      </c>
      <c r="AY65" s="58" t="e">
        <f t="shared" si="28"/>
        <v>#DIV/0!</v>
      </c>
      <c r="AZ65" s="63"/>
      <c r="BA65" s="58" t="e">
        <f t="shared" si="28"/>
        <v>#DIV/0!</v>
      </c>
      <c r="BB65" s="63"/>
      <c r="BC65" s="57" t="e">
        <f>(Links!C65*Links!AQ65+'On-Ramps'!AC65*'On-Ramps'!CE65)/('On-Ramps'!AC65+Links!C65)</f>
        <v>#DIV/0!</v>
      </c>
      <c r="BD65" s="63"/>
      <c r="BE65" s="57" t="e">
        <f>(Links!E65*Links!AS65+'On-Ramps'!AD65*'On-Ramps'!CF64)/('On-Ramps'!AD65+Links!E65)</f>
        <v>#DIV/0!</v>
      </c>
      <c r="BF65" s="57" t="e">
        <f>(Links!F65*Links!AT65+'On-Ramps'!AE65*'On-Ramps'!CG65)/('On-Ramps'!AE65+Links!F65)</f>
        <v>#DIV/0!</v>
      </c>
      <c r="BG65" s="57" t="e">
        <f>(Links!I65*Links!AW65+'On-Ramps'!AF65*'On-Ramps'!CH65)/('On-Ramps'!AF65+Links!I65)</f>
        <v>#DIV/0!</v>
      </c>
      <c r="BH65" s="57" t="e">
        <f>(#REF!*#REF!+'On-Ramps'!AG65*'On-Ramps'!CI65)/('On-Ramps'!AG65+#REF!)</f>
        <v>#REF!</v>
      </c>
      <c r="BI65" s="57" t="e">
        <f>(Links!L65*Links!AZ65+'On-Ramps'!AH65*'On-Ramps'!CJ65)/('On-Ramps'!AH65+Links!L65)</f>
        <v>#DIV/0!</v>
      </c>
      <c r="BJ65" s="57" t="e">
        <f>(Links!BA65*Links!M65+'On-Ramps'!AI65*'On-Ramps'!CK65)/('On-Ramps'!AI65+Links!M65)</f>
        <v>#DIV/0!</v>
      </c>
      <c r="BK65" s="57" t="e">
        <f>(Links!S65*Links!BG65+'On-Ramps'!AJ65*'On-Ramps'!CL65)/('On-Ramps'!AJ65+Links!S65)</f>
        <v>#DIV/0!</v>
      </c>
      <c r="BL65" s="63"/>
      <c r="BM65" s="57" t="e">
        <f>(Links!S65*Links!BG65+'On-Ramps'!AL65*'On-Ramps'!CM65)/(Links!S65+'On-Ramps'!AL65)</f>
        <v>#DIV/0!</v>
      </c>
      <c r="BN65" s="63"/>
      <c r="BO65" s="58" t="e">
        <f>(Links!W65^2+'Off-Ramp'!L65^2)/(Links!W65+'Off-Ramp'!L65)</f>
        <v>#DIV/0!</v>
      </c>
      <c r="BP65" s="63"/>
      <c r="BQ65" s="58" t="e">
        <f>(Links!Y65^2+'Off-Ramp'!C65^2)/(Links!Y65+'Off-Ramp'!C65)</f>
        <v>#DIV/0!</v>
      </c>
      <c r="BR65" s="63"/>
      <c r="BS65" s="58" t="e">
        <f>(Links!AA65^2+'Off-Ramp'!N65^2)/(Links!AA65+'Off-Ramp'!N65)</f>
        <v>#DIV/0!</v>
      </c>
      <c r="BT65" s="58" t="e">
        <f>(Links!AD65^2+'Off-Ramp'!O65^2)/(Links!AD65+'Off-Ramp'!O65)</f>
        <v>#DIV/0!</v>
      </c>
      <c r="BU65" s="58" t="e">
        <f>(Links!AE65^2+'Off-Ramp'!V65^2+'Off-Ramp'!W65^2+'Off-Ramp'!X65^2)/(Links!AE65+'Off-Ramp'!V65+'Off-Ramp'!W65+'Off-Ramp'!X65)</f>
        <v>#DIV/0!</v>
      </c>
      <c r="BV65" s="58" t="e">
        <f>(Links!AG65^2+'Off-Ramp'!Y65^2+'Off-Ramp'!Z65^2+'Off-Ramp'!AA65^2)/(Links!AG65+'Off-Ramp'!Y65+'Off-Ramp'!Z65+'Off-Ramp'!AA65)</f>
        <v>#DIV/0!</v>
      </c>
      <c r="BW65" s="58" t="e">
        <f>(Links!AH65^2+'Off-Ramp'!R65^2)/(Links!AH65+'Off-Ramp'!R65)</f>
        <v>#DIV/0!</v>
      </c>
      <c r="BX65" s="58" t="e">
        <f>(Links!AK65^2+'Off-Ramp'!S65^2)/(Links!AK65+'Off-Ramp'!S65)</f>
        <v>#DIV/0!</v>
      </c>
      <c r="BY65" s="58" t="e">
        <f>(Links!AL65^2+'Off-Ramp'!T65^2)/(Links!AL65+'Off-Ramp'!T65)</f>
        <v>#DIV/0!</v>
      </c>
      <c r="BZ65" s="63"/>
      <c r="CA65" s="58" t="e">
        <f>(Links!AN65^2+'Off-Ramp'!U65^2)/(Links!AN65+'Off-Ramp'!U65)</f>
        <v>#DIV/0!</v>
      </c>
    </row>
    <row r="66" spans="1:79" x14ac:dyDescent="0.15">
      <c r="A66" s="56">
        <v>64</v>
      </c>
      <c r="B66" s="57" t="e">
        <f t="shared" si="1"/>
        <v>#DIV/0!</v>
      </c>
      <c r="C66" s="57" t="e">
        <f t="shared" si="2"/>
        <v>#DIV/0!</v>
      </c>
      <c r="D66" s="57" t="e">
        <f t="shared" si="3"/>
        <v>#DIV/0!</v>
      </c>
      <c r="E66" s="57" t="e">
        <f t="shared" si="4"/>
        <v>#DIV/0!</v>
      </c>
      <c r="F66" s="57" t="e">
        <f t="shared" si="5"/>
        <v>#DIV/0!</v>
      </c>
      <c r="G66" s="57" t="e">
        <f t="shared" si="6"/>
        <v>#DIV/0!</v>
      </c>
      <c r="H66" s="57" t="e">
        <f t="shared" si="7"/>
        <v>#DIV/0!</v>
      </c>
      <c r="I66" s="57" t="e">
        <f t="shared" si="8"/>
        <v>#DIV/0!</v>
      </c>
      <c r="J66" s="57" t="e">
        <f t="shared" si="9"/>
        <v>#DIV/0!</v>
      </c>
      <c r="K66" s="57" t="e">
        <f t="shared" si="10"/>
        <v>#DIV/0!</v>
      </c>
      <c r="L66" s="57" t="e">
        <f t="shared" si="11"/>
        <v>#DIV/0!</v>
      </c>
      <c r="M66" s="57" t="e">
        <f t="shared" si="12"/>
        <v>#DIV/0!</v>
      </c>
      <c r="N66" s="57" t="e">
        <f t="shared" si="13"/>
        <v>#DIV/0!</v>
      </c>
      <c r="O66" s="58" t="e">
        <f>Links!B66</f>
        <v>#DIV/0!</v>
      </c>
      <c r="P66" s="58" t="e">
        <f>Links!C66+'On-Ramps'!AC66</f>
        <v>#DIV/0!</v>
      </c>
      <c r="Q66" s="58" t="e">
        <f>Links!D66</f>
        <v>#DIV/0!</v>
      </c>
      <c r="R66" s="58" t="e">
        <f>Links!E66+'On-Ramps'!AD66</f>
        <v>#DIV/0!</v>
      </c>
      <c r="S66" s="58" t="e">
        <f>Links!F66+'On-Ramps'!AE66</f>
        <v>#DIV/0!</v>
      </c>
      <c r="T66" s="58" t="e">
        <f>Links!I66+'On-Ramps'!AF66</f>
        <v>#DIV/0!</v>
      </c>
      <c r="U66" s="58" t="e">
        <f>Links!J66+'On-Ramps'!AG66</f>
        <v>#DIV/0!</v>
      </c>
      <c r="V66" s="58" t="e">
        <f>Links!L66+'On-Ramps'!AH66</f>
        <v>#DIV/0!</v>
      </c>
      <c r="W66" s="58" t="e">
        <f>Links!M66+'On-Ramps'!AI66</f>
        <v>#DIV/0!</v>
      </c>
      <c r="X66" s="58" t="e">
        <f>Links!P66+'On-Ramps'!AJ66</f>
        <v>#DIV/0!</v>
      </c>
      <c r="Y66" s="58" t="e">
        <f>Links!Q66</f>
        <v>#DIV/0!</v>
      </c>
      <c r="Z66" s="58" t="e">
        <f>Links!R66+'On-Ramps'!AK66</f>
        <v>#DIV/0!</v>
      </c>
      <c r="AA66" s="58" t="e">
        <f>Links!S66</f>
        <v>#DIV/0!</v>
      </c>
      <c r="AB66" s="57" t="e">
        <f t="shared" si="16"/>
        <v>#VALUE!</v>
      </c>
      <c r="AC66" s="63"/>
      <c r="AD66" s="57" t="e">
        <f t="shared" si="17"/>
        <v>#DIV/0!</v>
      </c>
      <c r="AE66" s="63"/>
      <c r="AF66" s="57" t="e">
        <f t="shared" si="18"/>
        <v>#DIV/0!</v>
      </c>
      <c r="AG66" s="57" t="e">
        <f t="shared" si="19"/>
        <v>#DIV/0!</v>
      </c>
      <c r="AH66" s="57" t="e">
        <f t="shared" si="20"/>
        <v>#DIV/0!</v>
      </c>
      <c r="AI66" s="57" t="e">
        <f t="shared" si="21"/>
        <v>#DIV/0!</v>
      </c>
      <c r="AJ66" s="57" t="e">
        <f t="shared" si="22"/>
        <v>#DIV/0!</v>
      </c>
      <c r="AK66" s="57" t="e">
        <f t="shared" si="23"/>
        <v>#DIV/0!</v>
      </c>
      <c r="AL66" s="57" t="e">
        <f t="shared" si="24"/>
        <v>#DIV/0!</v>
      </c>
      <c r="AM66" s="63"/>
      <c r="AN66" s="57" t="e">
        <f t="shared" si="26"/>
        <v>#DIV/0!</v>
      </c>
      <c r="AO66" s="58" t="e">
        <f t="shared" si="29"/>
        <v>#VALUE!</v>
      </c>
      <c r="AP66" s="63"/>
      <c r="AQ66" s="58" t="e">
        <f t="shared" si="28"/>
        <v>#DIV/0!</v>
      </c>
      <c r="AR66" s="63"/>
      <c r="AS66" s="58" t="e">
        <f t="shared" si="28"/>
        <v>#DIV/0!</v>
      </c>
      <c r="AT66" s="58" t="e">
        <f t="shared" si="28"/>
        <v>#DIV/0!</v>
      </c>
      <c r="AU66" s="58" t="e">
        <f t="shared" si="28"/>
        <v>#DIV/0!</v>
      </c>
      <c r="AV66" s="58" t="e">
        <f t="shared" si="28"/>
        <v>#DIV/0!</v>
      </c>
      <c r="AW66" s="58" t="e">
        <f t="shared" si="28"/>
        <v>#DIV/0!</v>
      </c>
      <c r="AX66" s="58" t="e">
        <f t="shared" si="28"/>
        <v>#DIV/0!</v>
      </c>
      <c r="AY66" s="58" t="e">
        <f t="shared" si="28"/>
        <v>#DIV/0!</v>
      </c>
      <c r="AZ66" s="63"/>
      <c r="BA66" s="58" t="e">
        <f t="shared" si="28"/>
        <v>#DIV/0!</v>
      </c>
      <c r="BB66" s="63"/>
      <c r="BC66" s="57" t="e">
        <f>(Links!C66*Links!AQ66+'On-Ramps'!AC66*'On-Ramps'!CE66)/('On-Ramps'!AC66+Links!C66)</f>
        <v>#DIV/0!</v>
      </c>
      <c r="BD66" s="63"/>
      <c r="BE66" s="57" t="e">
        <f>(Links!E66*Links!AS66+'On-Ramps'!AD66*'On-Ramps'!CF65)/('On-Ramps'!AD66+Links!E66)</f>
        <v>#DIV/0!</v>
      </c>
      <c r="BF66" s="57" t="e">
        <f>(Links!F66*Links!AT66+'On-Ramps'!AE66*'On-Ramps'!CG66)/('On-Ramps'!AE66+Links!F66)</f>
        <v>#DIV/0!</v>
      </c>
      <c r="BG66" s="57" t="e">
        <f>(Links!I66*Links!AW66+'On-Ramps'!AF66*'On-Ramps'!CH66)/('On-Ramps'!AF66+Links!I66)</f>
        <v>#DIV/0!</v>
      </c>
      <c r="BH66" s="57" t="e">
        <f>(#REF!*#REF!+'On-Ramps'!AG66*'On-Ramps'!CI66)/('On-Ramps'!AG66+#REF!)</f>
        <v>#REF!</v>
      </c>
      <c r="BI66" s="57" t="e">
        <f>(Links!L66*Links!AZ66+'On-Ramps'!AH66*'On-Ramps'!CJ66)/('On-Ramps'!AH66+Links!L66)</f>
        <v>#DIV/0!</v>
      </c>
      <c r="BJ66" s="57" t="e">
        <f>(Links!BA66*Links!M66+'On-Ramps'!AI66*'On-Ramps'!CK66)/('On-Ramps'!AI66+Links!M66)</f>
        <v>#DIV/0!</v>
      </c>
      <c r="BK66" s="57" t="e">
        <f>(Links!S66*Links!BG66+'On-Ramps'!AJ66*'On-Ramps'!CL66)/('On-Ramps'!AJ66+Links!S66)</f>
        <v>#DIV/0!</v>
      </c>
      <c r="BL66" s="63"/>
      <c r="BM66" s="57" t="e">
        <f>(Links!S66*Links!BG66+'On-Ramps'!AL66*'On-Ramps'!CM66)/(Links!S66+'On-Ramps'!AL66)</f>
        <v>#DIV/0!</v>
      </c>
      <c r="BN66" s="63"/>
      <c r="BO66" s="58" t="e">
        <f>(Links!W66^2+'Off-Ramp'!L66^2)/(Links!W66+'Off-Ramp'!L66)</f>
        <v>#DIV/0!</v>
      </c>
      <c r="BP66" s="63"/>
      <c r="BQ66" s="58" t="e">
        <f>(Links!Y66^2+'Off-Ramp'!C66^2)/(Links!Y66+'Off-Ramp'!C66)</f>
        <v>#DIV/0!</v>
      </c>
      <c r="BR66" s="63"/>
      <c r="BS66" s="58" t="e">
        <f>(Links!AA66^2+'Off-Ramp'!N66^2)/(Links!AA66+'Off-Ramp'!N66)</f>
        <v>#DIV/0!</v>
      </c>
      <c r="BT66" s="58" t="e">
        <f>(Links!AD66^2+'Off-Ramp'!O66^2)/(Links!AD66+'Off-Ramp'!O66)</f>
        <v>#DIV/0!</v>
      </c>
      <c r="BU66" s="58" t="e">
        <f>(Links!AE66^2+'Off-Ramp'!V66^2+'Off-Ramp'!W66^2+'Off-Ramp'!X66^2)/(Links!AE66+'Off-Ramp'!V66+'Off-Ramp'!W66+'Off-Ramp'!X66)</f>
        <v>#DIV/0!</v>
      </c>
      <c r="BV66" s="58" t="e">
        <f>(Links!AG66^2+'Off-Ramp'!Y66^2+'Off-Ramp'!Z66^2+'Off-Ramp'!AA66^2)/(Links!AG66+'Off-Ramp'!Y66+'Off-Ramp'!Z66+'Off-Ramp'!AA66)</f>
        <v>#DIV/0!</v>
      </c>
      <c r="BW66" s="58" t="e">
        <f>(Links!AH66^2+'Off-Ramp'!R66^2)/(Links!AH66+'Off-Ramp'!R66)</f>
        <v>#DIV/0!</v>
      </c>
      <c r="BX66" s="58" t="e">
        <f>(Links!AK66^2+'Off-Ramp'!S66^2)/(Links!AK66+'Off-Ramp'!S66)</f>
        <v>#DIV/0!</v>
      </c>
      <c r="BY66" s="58" t="e">
        <f>(Links!AL66^2+'Off-Ramp'!T66^2)/(Links!AL66+'Off-Ramp'!T66)</f>
        <v>#DIV/0!</v>
      </c>
      <c r="BZ66" s="63"/>
      <c r="CA66" s="58" t="e">
        <f>(Links!AN66^2+'Off-Ramp'!U66^2)/(Links!AN66+'Off-Ramp'!U66)</f>
        <v>#DIV/0!</v>
      </c>
    </row>
    <row r="67" spans="1:79" x14ac:dyDescent="0.15">
      <c r="A67" s="56">
        <v>65</v>
      </c>
      <c r="B67" s="57" t="e">
        <f t="shared" si="1"/>
        <v>#DIV/0!</v>
      </c>
      <c r="C67" s="57" t="e">
        <f t="shared" si="2"/>
        <v>#DIV/0!</v>
      </c>
      <c r="D67" s="57" t="e">
        <f t="shared" si="3"/>
        <v>#DIV/0!</v>
      </c>
      <c r="E67" s="57" t="e">
        <f t="shared" si="4"/>
        <v>#DIV/0!</v>
      </c>
      <c r="F67" s="57" t="e">
        <f t="shared" si="5"/>
        <v>#DIV/0!</v>
      </c>
      <c r="G67" s="57" t="e">
        <f t="shared" si="6"/>
        <v>#DIV/0!</v>
      </c>
      <c r="H67" s="57" t="e">
        <f t="shared" si="7"/>
        <v>#DIV/0!</v>
      </c>
      <c r="I67" s="57" t="e">
        <f t="shared" si="8"/>
        <v>#DIV/0!</v>
      </c>
      <c r="J67" s="57" t="e">
        <f t="shared" si="9"/>
        <v>#DIV/0!</v>
      </c>
      <c r="K67" s="57" t="e">
        <f t="shared" si="10"/>
        <v>#DIV/0!</v>
      </c>
      <c r="L67" s="57" t="e">
        <f t="shared" si="11"/>
        <v>#DIV/0!</v>
      </c>
      <c r="M67" s="57" t="e">
        <f t="shared" si="12"/>
        <v>#DIV/0!</v>
      </c>
      <c r="N67" s="57" t="e">
        <f t="shared" si="13"/>
        <v>#DIV/0!</v>
      </c>
      <c r="O67" s="58" t="e">
        <f>Links!B67</f>
        <v>#DIV/0!</v>
      </c>
      <c r="P67" s="58" t="e">
        <f>Links!C67+'On-Ramps'!AC67</f>
        <v>#DIV/0!</v>
      </c>
      <c r="Q67" s="58" t="e">
        <f>Links!D67</f>
        <v>#DIV/0!</v>
      </c>
      <c r="R67" s="58" t="e">
        <f>Links!E67+'On-Ramps'!AD67</f>
        <v>#DIV/0!</v>
      </c>
      <c r="S67" s="58" t="e">
        <f>Links!F67+'On-Ramps'!AE67</f>
        <v>#DIV/0!</v>
      </c>
      <c r="T67" s="58" t="e">
        <f>Links!I67+'On-Ramps'!AF67</f>
        <v>#DIV/0!</v>
      </c>
      <c r="U67" s="58" t="e">
        <f>Links!J67+'On-Ramps'!AG67</f>
        <v>#DIV/0!</v>
      </c>
      <c r="V67" s="58" t="e">
        <f>Links!L67+'On-Ramps'!AH67</f>
        <v>#DIV/0!</v>
      </c>
      <c r="W67" s="58" t="e">
        <f>Links!M67+'On-Ramps'!AI67</f>
        <v>#DIV/0!</v>
      </c>
      <c r="X67" s="58" t="e">
        <f>Links!P67+'On-Ramps'!AJ67</f>
        <v>#DIV/0!</v>
      </c>
      <c r="Y67" s="58" t="e">
        <f>Links!Q67</f>
        <v>#DIV/0!</v>
      </c>
      <c r="Z67" s="58" t="e">
        <f>Links!R67+'On-Ramps'!AK67</f>
        <v>#DIV/0!</v>
      </c>
      <c r="AA67" s="58" t="e">
        <f>Links!S67</f>
        <v>#DIV/0!</v>
      </c>
      <c r="AB67" s="57" t="e">
        <f t="shared" si="16"/>
        <v>#VALUE!</v>
      </c>
      <c r="AC67" s="63"/>
      <c r="AD67" s="57" t="e">
        <f t="shared" si="17"/>
        <v>#DIV/0!</v>
      </c>
      <c r="AE67" s="63"/>
      <c r="AF67" s="57" t="e">
        <f t="shared" si="18"/>
        <v>#DIV/0!</v>
      </c>
      <c r="AG67" s="57" t="e">
        <f t="shared" si="19"/>
        <v>#DIV/0!</v>
      </c>
      <c r="AH67" s="57" t="e">
        <f t="shared" si="20"/>
        <v>#DIV/0!</v>
      </c>
      <c r="AI67" s="57" t="e">
        <f t="shared" si="21"/>
        <v>#DIV/0!</v>
      </c>
      <c r="AJ67" s="57" t="e">
        <f t="shared" si="22"/>
        <v>#DIV/0!</v>
      </c>
      <c r="AK67" s="57" t="e">
        <f t="shared" si="23"/>
        <v>#DIV/0!</v>
      </c>
      <c r="AL67" s="57" t="e">
        <f t="shared" si="24"/>
        <v>#DIV/0!</v>
      </c>
      <c r="AM67" s="63"/>
      <c r="AN67" s="57" t="e">
        <f t="shared" si="26"/>
        <v>#DIV/0!</v>
      </c>
      <c r="AO67" s="58" t="e">
        <f t="shared" si="29"/>
        <v>#VALUE!</v>
      </c>
      <c r="AP67" s="63"/>
      <c r="AQ67" s="58" t="e">
        <f t="shared" si="28"/>
        <v>#DIV/0!</v>
      </c>
      <c r="AR67" s="63"/>
      <c r="AS67" s="58" t="e">
        <f t="shared" si="28"/>
        <v>#DIV/0!</v>
      </c>
      <c r="AT67" s="58" t="e">
        <f t="shared" si="28"/>
        <v>#DIV/0!</v>
      </c>
      <c r="AU67" s="58" t="e">
        <f t="shared" si="28"/>
        <v>#DIV/0!</v>
      </c>
      <c r="AV67" s="58" t="e">
        <f t="shared" si="28"/>
        <v>#DIV/0!</v>
      </c>
      <c r="AW67" s="58" t="e">
        <f t="shared" si="28"/>
        <v>#DIV/0!</v>
      </c>
      <c r="AX67" s="58" t="e">
        <f t="shared" si="28"/>
        <v>#DIV/0!</v>
      </c>
      <c r="AY67" s="58" t="e">
        <f t="shared" si="28"/>
        <v>#DIV/0!</v>
      </c>
      <c r="AZ67" s="63"/>
      <c r="BA67" s="58" t="e">
        <f t="shared" si="28"/>
        <v>#DIV/0!</v>
      </c>
      <c r="BB67" s="63"/>
      <c r="BC67" s="57" t="e">
        <f>(Links!C67*Links!AQ67+'On-Ramps'!AC67*'On-Ramps'!CE67)/('On-Ramps'!AC67+Links!C67)</f>
        <v>#DIV/0!</v>
      </c>
      <c r="BD67" s="63"/>
      <c r="BE67" s="57" t="e">
        <f>(Links!E67*Links!AS67+'On-Ramps'!AD67*'On-Ramps'!CF66)/('On-Ramps'!AD67+Links!E67)</f>
        <v>#DIV/0!</v>
      </c>
      <c r="BF67" s="57" t="e">
        <f>(Links!F67*Links!AT67+'On-Ramps'!AE67*'On-Ramps'!CG67)/('On-Ramps'!AE67+Links!F67)</f>
        <v>#DIV/0!</v>
      </c>
      <c r="BG67" s="57" t="e">
        <f>(Links!I67*Links!AW67+'On-Ramps'!AF67*'On-Ramps'!CH67)/('On-Ramps'!AF67+Links!I67)</f>
        <v>#DIV/0!</v>
      </c>
      <c r="BH67" s="57" t="e">
        <f>(#REF!*#REF!+'On-Ramps'!AG67*'On-Ramps'!CI67)/('On-Ramps'!AG67+#REF!)</f>
        <v>#REF!</v>
      </c>
      <c r="BI67" s="57" t="e">
        <f>(Links!L67*Links!AZ67+'On-Ramps'!AH67*'On-Ramps'!CJ67)/('On-Ramps'!AH67+Links!L67)</f>
        <v>#DIV/0!</v>
      </c>
      <c r="BJ67" s="57" t="e">
        <f>(Links!BA67*Links!M67+'On-Ramps'!AI67*'On-Ramps'!CK67)/('On-Ramps'!AI67+Links!M67)</f>
        <v>#DIV/0!</v>
      </c>
      <c r="BK67" s="57" t="e">
        <f>(Links!S67*Links!BG67+'On-Ramps'!AJ67*'On-Ramps'!CL67)/('On-Ramps'!AJ67+Links!S67)</f>
        <v>#DIV/0!</v>
      </c>
      <c r="BL67" s="63"/>
      <c r="BM67" s="57" t="e">
        <f>(Links!S67*Links!BG67+'On-Ramps'!AL67*'On-Ramps'!CM67)/(Links!S67+'On-Ramps'!AL67)</f>
        <v>#DIV/0!</v>
      </c>
      <c r="BN67" s="63"/>
      <c r="BO67" s="58" t="e">
        <f>(Links!W67^2+'Off-Ramp'!L67^2)/(Links!W67+'Off-Ramp'!L67)</f>
        <v>#DIV/0!</v>
      </c>
      <c r="BP67" s="63"/>
      <c r="BQ67" s="58" t="e">
        <f>(Links!Y67^2+'Off-Ramp'!C67^2)/(Links!Y67+'Off-Ramp'!C67)</f>
        <v>#DIV/0!</v>
      </c>
      <c r="BR67" s="63"/>
      <c r="BS67" s="58" t="e">
        <f>(Links!AA67^2+'Off-Ramp'!N67^2)/(Links!AA67+'Off-Ramp'!N67)</f>
        <v>#DIV/0!</v>
      </c>
      <c r="BT67" s="58" t="e">
        <f>(Links!AD67^2+'Off-Ramp'!O67^2)/(Links!AD67+'Off-Ramp'!O67)</f>
        <v>#DIV/0!</v>
      </c>
      <c r="BU67" s="58" t="e">
        <f>(Links!AE67^2+'Off-Ramp'!V67^2+'Off-Ramp'!W67^2+'Off-Ramp'!X67^2)/(Links!AE67+'Off-Ramp'!V67+'Off-Ramp'!W67+'Off-Ramp'!X67)</f>
        <v>#DIV/0!</v>
      </c>
      <c r="BV67" s="58" t="e">
        <f>(Links!AG67^2+'Off-Ramp'!Y67^2+'Off-Ramp'!Z67^2+'Off-Ramp'!AA67^2)/(Links!AG67+'Off-Ramp'!Y67+'Off-Ramp'!Z67+'Off-Ramp'!AA67)</f>
        <v>#DIV/0!</v>
      </c>
      <c r="BW67" s="58" t="e">
        <f>(Links!AH67^2+'Off-Ramp'!R67^2)/(Links!AH67+'Off-Ramp'!R67)</f>
        <v>#DIV/0!</v>
      </c>
      <c r="BX67" s="58" t="e">
        <f>(Links!AK67^2+'Off-Ramp'!S67^2)/(Links!AK67+'Off-Ramp'!S67)</f>
        <v>#DIV/0!</v>
      </c>
      <c r="BY67" s="58" t="e">
        <f>(Links!AL67^2+'Off-Ramp'!T67^2)/(Links!AL67+'Off-Ramp'!T67)</f>
        <v>#DIV/0!</v>
      </c>
      <c r="BZ67" s="63"/>
      <c r="CA67" s="58" t="e">
        <f>(Links!AN67^2+'Off-Ramp'!U67^2)/(Links!AN67+'Off-Ramp'!U67)</f>
        <v>#DIV/0!</v>
      </c>
    </row>
    <row r="68" spans="1:79" x14ac:dyDescent="0.15">
      <c r="A68" s="56">
        <v>66</v>
      </c>
      <c r="B68" s="57" t="e">
        <f t="shared" ref="B68:B131" si="30">O68+AB68</f>
        <v>#DIV/0!</v>
      </c>
      <c r="C68" s="57" t="e">
        <f t="shared" ref="C68:C131" si="31">P68+AC68</f>
        <v>#DIV/0!</v>
      </c>
      <c r="D68" s="57" t="e">
        <f t="shared" ref="D68:D131" si="32">Q68+AD68</f>
        <v>#DIV/0!</v>
      </c>
      <c r="E68" s="57" t="e">
        <f t="shared" ref="E68:E131" si="33">R68+AE68</f>
        <v>#DIV/0!</v>
      </c>
      <c r="F68" s="57" t="e">
        <f t="shared" ref="F68:F131" si="34">S68+AF68</f>
        <v>#DIV/0!</v>
      </c>
      <c r="G68" s="57" t="e">
        <f t="shared" ref="G68:G131" si="35">T68+AG68</f>
        <v>#DIV/0!</v>
      </c>
      <c r="H68" s="57" t="e">
        <f t="shared" ref="H68:H131" si="36">U68+AH68</f>
        <v>#DIV/0!</v>
      </c>
      <c r="I68" s="57" t="e">
        <f t="shared" ref="I68:I131" si="37">V68+AI68</f>
        <v>#DIV/0!</v>
      </c>
      <c r="J68" s="57" t="e">
        <f t="shared" ref="J68:J131" si="38">W68+AJ68</f>
        <v>#DIV/0!</v>
      </c>
      <c r="K68" s="57" t="e">
        <f t="shared" ref="K68:K131" si="39">X68+AK68</f>
        <v>#DIV/0!</v>
      </c>
      <c r="L68" s="57" t="e">
        <f t="shared" ref="L68:L131" si="40">Y68+AL68</f>
        <v>#DIV/0!</v>
      </c>
      <c r="M68" s="57" t="e">
        <f t="shared" ref="M68:M131" si="41">Z68+AM68</f>
        <v>#DIV/0!</v>
      </c>
      <c r="N68" s="57" t="e">
        <f t="shared" ref="N68:N131" si="42">AA68+AN68</f>
        <v>#DIV/0!</v>
      </c>
      <c r="O68" s="58" t="e">
        <f>Links!B68</f>
        <v>#DIV/0!</v>
      </c>
      <c r="P68" s="58" t="e">
        <f>Links!C68+'On-Ramps'!AC68</f>
        <v>#DIV/0!</v>
      </c>
      <c r="Q68" s="58" t="e">
        <f>Links!D68</f>
        <v>#DIV/0!</v>
      </c>
      <c r="R68" s="58" t="e">
        <f>Links!E68+'On-Ramps'!AD68</f>
        <v>#DIV/0!</v>
      </c>
      <c r="S68" s="58" t="e">
        <f>Links!F68+'On-Ramps'!AE68</f>
        <v>#DIV/0!</v>
      </c>
      <c r="T68" s="58" t="e">
        <f>Links!I68+'On-Ramps'!AF68</f>
        <v>#DIV/0!</v>
      </c>
      <c r="U68" s="58" t="e">
        <f>Links!J68+'On-Ramps'!AG68</f>
        <v>#DIV/0!</v>
      </c>
      <c r="V68" s="58" t="e">
        <f>Links!L68+'On-Ramps'!AH68</f>
        <v>#DIV/0!</v>
      </c>
      <c r="W68" s="58" t="e">
        <f>Links!M68+'On-Ramps'!AI68</f>
        <v>#DIV/0!</v>
      </c>
      <c r="X68" s="58" t="e">
        <f>Links!P68+'On-Ramps'!AJ68</f>
        <v>#DIV/0!</v>
      </c>
      <c r="Y68" s="58" t="e">
        <f>Links!Q68</f>
        <v>#DIV/0!</v>
      </c>
      <c r="Z68" s="58" t="e">
        <f>Links!R68+'On-Ramps'!AK68</f>
        <v>#DIV/0!</v>
      </c>
      <c r="AA68" s="58" t="e">
        <f>Links!S68</f>
        <v>#DIV/0!</v>
      </c>
      <c r="AB68" s="57" t="e">
        <f t="shared" si="16"/>
        <v>#VALUE!</v>
      </c>
      <c r="AC68" s="63"/>
      <c r="AD68" s="57" t="e">
        <f t="shared" si="17"/>
        <v>#DIV/0!</v>
      </c>
      <c r="AE68" s="63"/>
      <c r="AF68" s="57" t="e">
        <f t="shared" si="18"/>
        <v>#DIV/0!</v>
      </c>
      <c r="AG68" s="57" t="e">
        <f t="shared" si="19"/>
        <v>#DIV/0!</v>
      </c>
      <c r="AH68" s="57" t="e">
        <f t="shared" si="20"/>
        <v>#DIV/0!</v>
      </c>
      <c r="AI68" s="57" t="e">
        <f t="shared" si="21"/>
        <v>#DIV/0!</v>
      </c>
      <c r="AJ68" s="57" t="e">
        <f t="shared" si="22"/>
        <v>#DIV/0!</v>
      </c>
      <c r="AK68" s="57" t="e">
        <f t="shared" si="23"/>
        <v>#DIV/0!</v>
      </c>
      <c r="AL68" s="57" t="e">
        <f t="shared" si="24"/>
        <v>#DIV/0!</v>
      </c>
      <c r="AM68" s="63"/>
      <c r="AN68" s="57" t="e">
        <f t="shared" si="26"/>
        <v>#DIV/0!</v>
      </c>
      <c r="AO68" s="58" t="e">
        <f t="shared" si="29"/>
        <v>#VALUE!</v>
      </c>
      <c r="AP68" s="63"/>
      <c r="AQ68" s="58" t="e">
        <f t="shared" si="28"/>
        <v>#DIV/0!</v>
      </c>
      <c r="AR68" s="63"/>
      <c r="AS68" s="58" t="e">
        <f t="shared" si="28"/>
        <v>#DIV/0!</v>
      </c>
      <c r="AT68" s="58" t="e">
        <f t="shared" si="28"/>
        <v>#DIV/0!</v>
      </c>
      <c r="AU68" s="58" t="e">
        <f t="shared" si="28"/>
        <v>#DIV/0!</v>
      </c>
      <c r="AV68" s="58" t="e">
        <f t="shared" si="28"/>
        <v>#DIV/0!</v>
      </c>
      <c r="AW68" s="58" t="e">
        <f t="shared" si="28"/>
        <v>#DIV/0!</v>
      </c>
      <c r="AX68" s="58" t="e">
        <f t="shared" si="28"/>
        <v>#DIV/0!</v>
      </c>
      <c r="AY68" s="58" t="e">
        <f t="shared" si="28"/>
        <v>#DIV/0!</v>
      </c>
      <c r="AZ68" s="63"/>
      <c r="BA68" s="58" t="e">
        <f t="shared" si="28"/>
        <v>#DIV/0!</v>
      </c>
      <c r="BB68" s="63"/>
      <c r="BC68" s="57" t="e">
        <f>(Links!C68*Links!AQ68+'On-Ramps'!AC68*'On-Ramps'!CE68)/('On-Ramps'!AC68+Links!C68)</f>
        <v>#DIV/0!</v>
      </c>
      <c r="BD68" s="63"/>
      <c r="BE68" s="57" t="e">
        <f>(Links!E68*Links!AS68+'On-Ramps'!AD68*'On-Ramps'!CF67)/('On-Ramps'!AD68+Links!E68)</f>
        <v>#DIV/0!</v>
      </c>
      <c r="BF68" s="57" t="e">
        <f>(Links!F68*Links!AT68+'On-Ramps'!AE68*'On-Ramps'!CG68)/('On-Ramps'!AE68+Links!F68)</f>
        <v>#DIV/0!</v>
      </c>
      <c r="BG68" s="57" t="e">
        <f>(Links!I68*Links!AW68+'On-Ramps'!AF68*'On-Ramps'!CH68)/('On-Ramps'!AF68+Links!I68)</f>
        <v>#DIV/0!</v>
      </c>
      <c r="BH68" s="57" t="e">
        <f>(#REF!*#REF!+'On-Ramps'!AG68*'On-Ramps'!CI68)/('On-Ramps'!AG68+#REF!)</f>
        <v>#REF!</v>
      </c>
      <c r="BI68" s="57" t="e">
        <f>(Links!L68*Links!AZ68+'On-Ramps'!AH68*'On-Ramps'!CJ68)/('On-Ramps'!AH68+Links!L68)</f>
        <v>#DIV/0!</v>
      </c>
      <c r="BJ68" s="57" t="e">
        <f>(Links!BA68*Links!M68+'On-Ramps'!AI68*'On-Ramps'!CK68)/('On-Ramps'!AI68+Links!M68)</f>
        <v>#DIV/0!</v>
      </c>
      <c r="BK68" s="57" t="e">
        <f>(Links!S68*Links!BG68+'On-Ramps'!AJ68*'On-Ramps'!CL68)/('On-Ramps'!AJ68+Links!S68)</f>
        <v>#DIV/0!</v>
      </c>
      <c r="BL68" s="63"/>
      <c r="BM68" s="57" t="e">
        <f>(Links!S68*Links!BG68+'On-Ramps'!AL68*'On-Ramps'!CM68)/(Links!S68+'On-Ramps'!AL68)</f>
        <v>#DIV/0!</v>
      </c>
      <c r="BN68" s="63"/>
      <c r="BO68" s="58" t="e">
        <f>(Links!W68^2+'Off-Ramp'!L68^2)/(Links!W68+'Off-Ramp'!L68)</f>
        <v>#DIV/0!</v>
      </c>
      <c r="BP68" s="63"/>
      <c r="BQ68" s="58" t="e">
        <f>(Links!Y68^2+'Off-Ramp'!C68^2)/(Links!Y68+'Off-Ramp'!C68)</f>
        <v>#DIV/0!</v>
      </c>
      <c r="BR68" s="63"/>
      <c r="BS68" s="58" t="e">
        <f>(Links!AA68^2+'Off-Ramp'!N68^2)/(Links!AA68+'Off-Ramp'!N68)</f>
        <v>#DIV/0!</v>
      </c>
      <c r="BT68" s="58" t="e">
        <f>(Links!AD68^2+'Off-Ramp'!O68^2)/(Links!AD68+'Off-Ramp'!O68)</f>
        <v>#DIV/0!</v>
      </c>
      <c r="BU68" s="58" t="e">
        <f>(Links!AE68^2+'Off-Ramp'!V68^2+'Off-Ramp'!W68^2+'Off-Ramp'!X68^2)/(Links!AE68+'Off-Ramp'!V68+'Off-Ramp'!W68+'Off-Ramp'!X68)</f>
        <v>#DIV/0!</v>
      </c>
      <c r="BV68" s="58" t="e">
        <f>(Links!AG68^2+'Off-Ramp'!Y68^2+'Off-Ramp'!Z68^2+'Off-Ramp'!AA68^2)/(Links!AG68+'Off-Ramp'!Y68+'Off-Ramp'!Z68+'Off-Ramp'!AA68)</f>
        <v>#DIV/0!</v>
      </c>
      <c r="BW68" s="58" t="e">
        <f>(Links!AH68^2+'Off-Ramp'!R68^2)/(Links!AH68+'Off-Ramp'!R68)</f>
        <v>#DIV/0!</v>
      </c>
      <c r="BX68" s="58" t="e">
        <f>(Links!AK68^2+'Off-Ramp'!S68^2)/(Links!AK68+'Off-Ramp'!S68)</f>
        <v>#DIV/0!</v>
      </c>
      <c r="BY68" s="58" t="e">
        <f>(Links!AL68^2+'Off-Ramp'!T68^2)/(Links!AL68+'Off-Ramp'!T68)</f>
        <v>#DIV/0!</v>
      </c>
      <c r="BZ68" s="63"/>
      <c r="CA68" s="58" t="e">
        <f>(Links!AN68^2+'Off-Ramp'!U68^2)/(Links!AN68+'Off-Ramp'!U68)</f>
        <v>#DIV/0!</v>
      </c>
    </row>
    <row r="69" spans="1:79" x14ac:dyDescent="0.15">
      <c r="A69" s="56">
        <v>67</v>
      </c>
      <c r="B69" s="57" t="e">
        <f t="shared" si="30"/>
        <v>#DIV/0!</v>
      </c>
      <c r="C69" s="57" t="e">
        <f t="shared" si="31"/>
        <v>#DIV/0!</v>
      </c>
      <c r="D69" s="57" t="e">
        <f t="shared" si="32"/>
        <v>#DIV/0!</v>
      </c>
      <c r="E69" s="57" t="e">
        <f t="shared" si="33"/>
        <v>#DIV/0!</v>
      </c>
      <c r="F69" s="57" t="e">
        <f t="shared" si="34"/>
        <v>#DIV/0!</v>
      </c>
      <c r="G69" s="57" t="e">
        <f t="shared" si="35"/>
        <v>#DIV/0!</v>
      </c>
      <c r="H69" s="57" t="e">
        <f t="shared" si="36"/>
        <v>#DIV/0!</v>
      </c>
      <c r="I69" s="57" t="e">
        <f t="shared" si="37"/>
        <v>#DIV/0!</v>
      </c>
      <c r="J69" s="57" t="e">
        <f t="shared" si="38"/>
        <v>#DIV/0!</v>
      </c>
      <c r="K69" s="57" t="e">
        <f t="shared" si="39"/>
        <v>#DIV/0!</v>
      </c>
      <c r="L69" s="57" t="e">
        <f t="shared" si="40"/>
        <v>#DIV/0!</v>
      </c>
      <c r="M69" s="57" t="e">
        <f t="shared" si="41"/>
        <v>#DIV/0!</v>
      </c>
      <c r="N69" s="57" t="e">
        <f t="shared" si="42"/>
        <v>#DIV/0!</v>
      </c>
      <c r="O69" s="58" t="e">
        <f>Links!B69</f>
        <v>#DIV/0!</v>
      </c>
      <c r="P69" s="58" t="e">
        <f>Links!C69+'On-Ramps'!AC69</f>
        <v>#DIV/0!</v>
      </c>
      <c r="Q69" s="58" t="e">
        <f>Links!D69</f>
        <v>#DIV/0!</v>
      </c>
      <c r="R69" s="58" t="e">
        <f>Links!E69+'On-Ramps'!AD69</f>
        <v>#DIV/0!</v>
      </c>
      <c r="S69" s="58" t="e">
        <f>Links!F69+'On-Ramps'!AE69</f>
        <v>#DIV/0!</v>
      </c>
      <c r="T69" s="58" t="e">
        <f>Links!I69+'On-Ramps'!AF69</f>
        <v>#DIV/0!</v>
      </c>
      <c r="U69" s="58" t="e">
        <f>Links!J69+'On-Ramps'!AG69</f>
        <v>#DIV/0!</v>
      </c>
      <c r="V69" s="58" t="e">
        <f>Links!L69+'On-Ramps'!AH69</f>
        <v>#DIV/0!</v>
      </c>
      <c r="W69" s="58" t="e">
        <f>Links!M69+'On-Ramps'!AI69</f>
        <v>#DIV/0!</v>
      </c>
      <c r="X69" s="58" t="e">
        <f>Links!P69+'On-Ramps'!AJ69</f>
        <v>#DIV/0!</v>
      </c>
      <c r="Y69" s="58" t="e">
        <f>Links!Q69</f>
        <v>#DIV/0!</v>
      </c>
      <c r="Z69" s="58" t="e">
        <f>Links!R69+'On-Ramps'!AK69</f>
        <v>#DIV/0!</v>
      </c>
      <c r="AA69" s="58" t="e">
        <f>Links!S69</f>
        <v>#DIV/0!</v>
      </c>
      <c r="AB69" s="57" t="e">
        <f t="shared" ref="AB69:AB132" si="43">AO69*(1-AO69)*O69</f>
        <v>#VALUE!</v>
      </c>
      <c r="AC69" s="63"/>
      <c r="AD69" s="57" t="e">
        <f t="shared" ref="AD69:AD132" si="44">AQ69*(1-AQ69)*Q69</f>
        <v>#DIV/0!</v>
      </c>
      <c r="AE69" s="63"/>
      <c r="AF69" s="57" t="e">
        <f t="shared" ref="AF69:AF132" si="45">AS69*(1-AS69)*S69</f>
        <v>#DIV/0!</v>
      </c>
      <c r="AG69" s="57" t="e">
        <f t="shared" ref="AG69:AG132" si="46">AT69*(1-AT69)*T69</f>
        <v>#DIV/0!</v>
      </c>
      <c r="AH69" s="57" t="e">
        <f t="shared" ref="AH69:AH132" si="47">AU69*(1-AU69)*U69</f>
        <v>#DIV/0!</v>
      </c>
      <c r="AI69" s="57" t="e">
        <f t="shared" ref="AI69:AI132" si="48">AV69*(1-AV69)*V69</f>
        <v>#DIV/0!</v>
      </c>
      <c r="AJ69" s="57" t="e">
        <f t="shared" ref="AJ69:AJ132" si="49">AW69*(1-AW69)*W69</f>
        <v>#DIV/0!</v>
      </c>
      <c r="AK69" s="57" t="e">
        <f t="shared" ref="AK69:AK132" si="50">AX69*(1-AX69)*X69</f>
        <v>#DIV/0!</v>
      </c>
      <c r="AL69" s="57" t="e">
        <f t="shared" ref="AL69:AL132" si="51">AY69*(1-AY69)*Y69</f>
        <v>#DIV/0!</v>
      </c>
      <c r="AM69" s="63"/>
      <c r="AN69" s="57" t="e">
        <f t="shared" si="26"/>
        <v>#DIV/0!</v>
      </c>
      <c r="AO69" s="58" t="e">
        <f t="shared" si="29"/>
        <v>#VALUE!</v>
      </c>
      <c r="AP69" s="63"/>
      <c r="AQ69" s="58" t="e">
        <f t="shared" si="28"/>
        <v>#DIV/0!</v>
      </c>
      <c r="AR69" s="63"/>
      <c r="AS69" s="58" t="e">
        <f t="shared" si="28"/>
        <v>#DIV/0!</v>
      </c>
      <c r="AT69" s="58" t="e">
        <f t="shared" si="28"/>
        <v>#DIV/0!</v>
      </c>
      <c r="AU69" s="58" t="e">
        <f t="shared" si="28"/>
        <v>#DIV/0!</v>
      </c>
      <c r="AV69" s="58" t="e">
        <f t="shared" si="28"/>
        <v>#DIV/0!</v>
      </c>
      <c r="AW69" s="58" t="e">
        <f t="shared" si="28"/>
        <v>#DIV/0!</v>
      </c>
      <c r="AX69" s="58" t="e">
        <f t="shared" si="28"/>
        <v>#DIV/0!</v>
      </c>
      <c r="AY69" s="58" t="e">
        <f t="shared" si="28"/>
        <v>#DIV/0!</v>
      </c>
      <c r="AZ69" s="63"/>
      <c r="BA69" s="58" t="e">
        <f t="shared" si="28"/>
        <v>#DIV/0!</v>
      </c>
      <c r="BB69" s="63"/>
      <c r="BC69" s="57" t="e">
        <f>(Links!C69*Links!AQ69+'On-Ramps'!AC69*'On-Ramps'!CE69)/('On-Ramps'!AC69+Links!C69)</f>
        <v>#DIV/0!</v>
      </c>
      <c r="BD69" s="63"/>
      <c r="BE69" s="57" t="e">
        <f>(Links!E69*Links!AS69+'On-Ramps'!AD69*'On-Ramps'!CF68)/('On-Ramps'!AD69+Links!E69)</f>
        <v>#DIV/0!</v>
      </c>
      <c r="BF69" s="57" t="e">
        <f>(Links!F69*Links!AT69+'On-Ramps'!AE69*'On-Ramps'!CG69)/('On-Ramps'!AE69+Links!F69)</f>
        <v>#DIV/0!</v>
      </c>
      <c r="BG69" s="57" t="e">
        <f>(Links!I69*Links!AW69+'On-Ramps'!AF69*'On-Ramps'!CH69)/('On-Ramps'!AF69+Links!I69)</f>
        <v>#DIV/0!</v>
      </c>
      <c r="BH69" s="57" t="e">
        <f>(#REF!*#REF!+'On-Ramps'!AG69*'On-Ramps'!CI69)/('On-Ramps'!AG69+#REF!)</f>
        <v>#REF!</v>
      </c>
      <c r="BI69" s="57" t="e">
        <f>(Links!L69*Links!AZ69+'On-Ramps'!AH69*'On-Ramps'!CJ69)/('On-Ramps'!AH69+Links!L69)</f>
        <v>#DIV/0!</v>
      </c>
      <c r="BJ69" s="57" t="e">
        <f>(Links!BA69*Links!M69+'On-Ramps'!AI69*'On-Ramps'!CK69)/('On-Ramps'!AI69+Links!M69)</f>
        <v>#DIV/0!</v>
      </c>
      <c r="BK69" s="57" t="e">
        <f>(Links!S69*Links!BG69+'On-Ramps'!AJ69*'On-Ramps'!CL69)/('On-Ramps'!AJ69+Links!S69)</f>
        <v>#DIV/0!</v>
      </c>
      <c r="BL69" s="63"/>
      <c r="BM69" s="57" t="e">
        <f>(Links!S69*Links!BG69+'On-Ramps'!AL69*'On-Ramps'!CM69)/(Links!S69+'On-Ramps'!AL69)</f>
        <v>#DIV/0!</v>
      </c>
      <c r="BN69" s="63"/>
      <c r="BO69" s="58" t="e">
        <f>(Links!W69^2+'Off-Ramp'!L69^2)/(Links!W69+'Off-Ramp'!L69)</f>
        <v>#DIV/0!</v>
      </c>
      <c r="BP69" s="63"/>
      <c r="BQ69" s="58" t="e">
        <f>(Links!Y69^2+'Off-Ramp'!C69^2)/(Links!Y69+'Off-Ramp'!C69)</f>
        <v>#DIV/0!</v>
      </c>
      <c r="BR69" s="63"/>
      <c r="BS69" s="58" t="e">
        <f>(Links!AA69^2+'Off-Ramp'!N69^2)/(Links!AA69+'Off-Ramp'!N69)</f>
        <v>#DIV/0!</v>
      </c>
      <c r="BT69" s="58" t="e">
        <f>(Links!AD69^2+'Off-Ramp'!O69^2)/(Links!AD69+'Off-Ramp'!O69)</f>
        <v>#DIV/0!</v>
      </c>
      <c r="BU69" s="58" t="e">
        <f>(Links!AE69^2+'Off-Ramp'!V69^2+'Off-Ramp'!W69^2+'Off-Ramp'!X69^2)/(Links!AE69+'Off-Ramp'!V69+'Off-Ramp'!W69+'Off-Ramp'!X69)</f>
        <v>#DIV/0!</v>
      </c>
      <c r="BV69" s="58" t="e">
        <f>(Links!AG69^2+'Off-Ramp'!Y69^2+'Off-Ramp'!Z69^2+'Off-Ramp'!AA69^2)/(Links!AG69+'Off-Ramp'!Y69+'Off-Ramp'!Z69+'Off-Ramp'!AA69)</f>
        <v>#DIV/0!</v>
      </c>
      <c r="BW69" s="58" t="e">
        <f>(Links!AH69^2+'Off-Ramp'!R69^2)/(Links!AH69+'Off-Ramp'!R69)</f>
        <v>#DIV/0!</v>
      </c>
      <c r="BX69" s="58" t="e">
        <f>(Links!AK69^2+'Off-Ramp'!S69^2)/(Links!AK69+'Off-Ramp'!S69)</f>
        <v>#DIV/0!</v>
      </c>
      <c r="BY69" s="58" t="e">
        <f>(Links!AL69^2+'Off-Ramp'!T69^2)/(Links!AL69+'Off-Ramp'!T69)</f>
        <v>#DIV/0!</v>
      </c>
      <c r="BZ69" s="63"/>
      <c r="CA69" s="58" t="e">
        <f>(Links!AN69^2+'Off-Ramp'!U69^2)/(Links!AN69+'Off-Ramp'!U69)</f>
        <v>#DIV/0!</v>
      </c>
    </row>
    <row r="70" spans="1:79" x14ac:dyDescent="0.15">
      <c r="A70" s="56">
        <v>68</v>
      </c>
      <c r="B70" s="57" t="e">
        <f t="shared" si="30"/>
        <v>#DIV/0!</v>
      </c>
      <c r="C70" s="57" t="e">
        <f t="shared" si="31"/>
        <v>#DIV/0!</v>
      </c>
      <c r="D70" s="57" t="e">
        <f t="shared" si="32"/>
        <v>#DIV/0!</v>
      </c>
      <c r="E70" s="57" t="e">
        <f t="shared" si="33"/>
        <v>#DIV/0!</v>
      </c>
      <c r="F70" s="57" t="e">
        <f t="shared" si="34"/>
        <v>#DIV/0!</v>
      </c>
      <c r="G70" s="57" t="e">
        <f t="shared" si="35"/>
        <v>#DIV/0!</v>
      </c>
      <c r="H70" s="57" t="e">
        <f t="shared" si="36"/>
        <v>#DIV/0!</v>
      </c>
      <c r="I70" s="57" t="e">
        <f t="shared" si="37"/>
        <v>#DIV/0!</v>
      </c>
      <c r="J70" s="57" t="e">
        <f t="shared" si="38"/>
        <v>#DIV/0!</v>
      </c>
      <c r="K70" s="57" t="e">
        <f t="shared" si="39"/>
        <v>#DIV/0!</v>
      </c>
      <c r="L70" s="57" t="e">
        <f t="shared" si="40"/>
        <v>#DIV/0!</v>
      </c>
      <c r="M70" s="57" t="e">
        <f t="shared" si="41"/>
        <v>#DIV/0!</v>
      </c>
      <c r="N70" s="57" t="e">
        <f t="shared" si="42"/>
        <v>#DIV/0!</v>
      </c>
      <c r="O70" s="58" t="e">
        <f>Links!B70</f>
        <v>#DIV/0!</v>
      </c>
      <c r="P70" s="58" t="e">
        <f>Links!C70+'On-Ramps'!AC70</f>
        <v>#DIV/0!</v>
      </c>
      <c r="Q70" s="58" t="e">
        <f>Links!D70</f>
        <v>#DIV/0!</v>
      </c>
      <c r="R70" s="58" t="e">
        <f>Links!E70+'On-Ramps'!AD70</f>
        <v>#DIV/0!</v>
      </c>
      <c r="S70" s="58" t="e">
        <f>Links!F70+'On-Ramps'!AE70</f>
        <v>#DIV/0!</v>
      </c>
      <c r="T70" s="58" t="e">
        <f>Links!I70+'On-Ramps'!AF70</f>
        <v>#DIV/0!</v>
      </c>
      <c r="U70" s="58" t="e">
        <f>Links!J70+'On-Ramps'!AG70</f>
        <v>#DIV/0!</v>
      </c>
      <c r="V70" s="58" t="e">
        <f>Links!L70+'On-Ramps'!AH70</f>
        <v>#DIV/0!</v>
      </c>
      <c r="W70" s="58" t="e">
        <f>Links!M70+'On-Ramps'!AI70</f>
        <v>#DIV/0!</v>
      </c>
      <c r="X70" s="58" t="e">
        <f>Links!P70+'On-Ramps'!AJ70</f>
        <v>#DIV/0!</v>
      </c>
      <c r="Y70" s="58" t="e">
        <f>Links!Q70</f>
        <v>#DIV/0!</v>
      </c>
      <c r="Z70" s="58" t="e">
        <f>Links!R70+'On-Ramps'!AK70</f>
        <v>#DIV/0!</v>
      </c>
      <c r="AA70" s="58" t="e">
        <f>Links!S70</f>
        <v>#DIV/0!</v>
      </c>
      <c r="AB70" s="57" t="e">
        <f t="shared" si="43"/>
        <v>#VALUE!</v>
      </c>
      <c r="AC70" s="63"/>
      <c r="AD70" s="57" t="e">
        <f t="shared" si="44"/>
        <v>#DIV/0!</v>
      </c>
      <c r="AE70" s="63"/>
      <c r="AF70" s="57" t="e">
        <f t="shared" si="45"/>
        <v>#DIV/0!</v>
      </c>
      <c r="AG70" s="57" t="e">
        <f t="shared" si="46"/>
        <v>#DIV/0!</v>
      </c>
      <c r="AH70" s="57" t="e">
        <f t="shared" si="47"/>
        <v>#DIV/0!</v>
      </c>
      <c r="AI70" s="57" t="e">
        <f t="shared" si="48"/>
        <v>#DIV/0!</v>
      </c>
      <c r="AJ70" s="57" t="e">
        <f t="shared" si="49"/>
        <v>#DIV/0!</v>
      </c>
      <c r="AK70" s="57" t="e">
        <f t="shared" si="50"/>
        <v>#DIV/0!</v>
      </c>
      <c r="AL70" s="57" t="e">
        <f t="shared" si="51"/>
        <v>#DIV/0!</v>
      </c>
      <c r="AM70" s="63"/>
      <c r="AN70" s="57" t="e">
        <f t="shared" si="26"/>
        <v>#DIV/0!</v>
      </c>
      <c r="AO70" s="58" t="e">
        <f t="shared" si="29"/>
        <v>#VALUE!</v>
      </c>
      <c r="AP70" s="63"/>
      <c r="AQ70" s="58" t="e">
        <f t="shared" si="28"/>
        <v>#DIV/0!</v>
      </c>
      <c r="AR70" s="63"/>
      <c r="AS70" s="58" t="e">
        <f t="shared" si="28"/>
        <v>#DIV/0!</v>
      </c>
      <c r="AT70" s="58" t="e">
        <f t="shared" si="28"/>
        <v>#DIV/0!</v>
      </c>
      <c r="AU70" s="58" t="e">
        <f t="shared" si="28"/>
        <v>#DIV/0!</v>
      </c>
      <c r="AV70" s="58" t="e">
        <f t="shared" si="28"/>
        <v>#DIV/0!</v>
      </c>
      <c r="AW70" s="58" t="e">
        <f t="shared" si="28"/>
        <v>#DIV/0!</v>
      </c>
      <c r="AX70" s="58" t="e">
        <f t="shared" si="28"/>
        <v>#DIV/0!</v>
      </c>
      <c r="AY70" s="58" t="e">
        <f t="shared" si="28"/>
        <v>#DIV/0!</v>
      </c>
      <c r="AZ70" s="63"/>
      <c r="BA70" s="58" t="e">
        <f t="shared" si="28"/>
        <v>#DIV/0!</v>
      </c>
      <c r="BB70" s="63"/>
      <c r="BC70" s="57" t="e">
        <f>(Links!C70*Links!AQ70+'On-Ramps'!AC70*'On-Ramps'!CE70)/('On-Ramps'!AC70+Links!C70)</f>
        <v>#DIV/0!</v>
      </c>
      <c r="BD70" s="63"/>
      <c r="BE70" s="57" t="e">
        <f>(Links!E70*Links!AS70+'On-Ramps'!AD70*'On-Ramps'!CF69)/('On-Ramps'!AD70+Links!E70)</f>
        <v>#DIV/0!</v>
      </c>
      <c r="BF70" s="57" t="e">
        <f>(Links!F70*Links!AT70+'On-Ramps'!AE70*'On-Ramps'!CG70)/('On-Ramps'!AE70+Links!F70)</f>
        <v>#DIV/0!</v>
      </c>
      <c r="BG70" s="57" t="e">
        <f>(Links!I70*Links!AW70+'On-Ramps'!AF70*'On-Ramps'!CH70)/('On-Ramps'!AF70+Links!I70)</f>
        <v>#DIV/0!</v>
      </c>
      <c r="BH70" s="57" t="e">
        <f>(#REF!*#REF!+'On-Ramps'!AG70*'On-Ramps'!CI70)/('On-Ramps'!AG70+#REF!)</f>
        <v>#REF!</v>
      </c>
      <c r="BI70" s="57" t="e">
        <f>(Links!L70*Links!AZ70+'On-Ramps'!AH70*'On-Ramps'!CJ70)/('On-Ramps'!AH70+Links!L70)</f>
        <v>#DIV/0!</v>
      </c>
      <c r="BJ70" s="57" t="e">
        <f>(Links!BA70*Links!M70+'On-Ramps'!AI70*'On-Ramps'!CK70)/('On-Ramps'!AI70+Links!M70)</f>
        <v>#DIV/0!</v>
      </c>
      <c r="BK70" s="57" t="e">
        <f>(Links!S70*Links!BG70+'On-Ramps'!AJ70*'On-Ramps'!CL70)/('On-Ramps'!AJ70+Links!S70)</f>
        <v>#DIV/0!</v>
      </c>
      <c r="BL70" s="63"/>
      <c r="BM70" s="57" t="e">
        <f>(Links!S70*Links!BG70+'On-Ramps'!AL70*'On-Ramps'!CM70)/(Links!S70+'On-Ramps'!AL70)</f>
        <v>#DIV/0!</v>
      </c>
      <c r="BN70" s="63"/>
      <c r="BO70" s="58" t="e">
        <f>(Links!W70^2+'Off-Ramp'!L70^2)/(Links!W70+'Off-Ramp'!L70)</f>
        <v>#DIV/0!</v>
      </c>
      <c r="BP70" s="63"/>
      <c r="BQ70" s="58" t="e">
        <f>(Links!Y70^2+'Off-Ramp'!C70^2)/(Links!Y70+'Off-Ramp'!C70)</f>
        <v>#DIV/0!</v>
      </c>
      <c r="BR70" s="63"/>
      <c r="BS70" s="58" t="e">
        <f>(Links!AA70^2+'Off-Ramp'!N70^2)/(Links!AA70+'Off-Ramp'!N70)</f>
        <v>#DIV/0!</v>
      </c>
      <c r="BT70" s="58" t="e">
        <f>(Links!AD70^2+'Off-Ramp'!O70^2)/(Links!AD70+'Off-Ramp'!O70)</f>
        <v>#DIV/0!</v>
      </c>
      <c r="BU70" s="58" t="e">
        <f>(Links!AE70^2+'Off-Ramp'!V70^2+'Off-Ramp'!W70^2+'Off-Ramp'!X70^2)/(Links!AE70+'Off-Ramp'!V70+'Off-Ramp'!W70+'Off-Ramp'!X70)</f>
        <v>#DIV/0!</v>
      </c>
      <c r="BV70" s="58" t="e">
        <f>(Links!AG70^2+'Off-Ramp'!Y70^2+'Off-Ramp'!Z70^2+'Off-Ramp'!AA70^2)/(Links!AG70+'Off-Ramp'!Y70+'Off-Ramp'!Z70+'Off-Ramp'!AA70)</f>
        <v>#DIV/0!</v>
      </c>
      <c r="BW70" s="58" t="e">
        <f>(Links!AH70^2+'Off-Ramp'!R70^2)/(Links!AH70+'Off-Ramp'!R70)</f>
        <v>#DIV/0!</v>
      </c>
      <c r="BX70" s="58" t="e">
        <f>(Links!AK70^2+'Off-Ramp'!S70^2)/(Links!AK70+'Off-Ramp'!S70)</f>
        <v>#DIV/0!</v>
      </c>
      <c r="BY70" s="58" t="e">
        <f>(Links!AL70^2+'Off-Ramp'!T70^2)/(Links!AL70+'Off-Ramp'!T70)</f>
        <v>#DIV/0!</v>
      </c>
      <c r="BZ70" s="63"/>
      <c r="CA70" s="58" t="e">
        <f>(Links!AN70^2+'Off-Ramp'!U70^2)/(Links!AN70+'Off-Ramp'!U70)</f>
        <v>#DIV/0!</v>
      </c>
    </row>
    <row r="71" spans="1:79" x14ac:dyDescent="0.15">
      <c r="A71" s="56">
        <v>69</v>
      </c>
      <c r="B71" s="57" t="e">
        <f t="shared" si="30"/>
        <v>#DIV/0!</v>
      </c>
      <c r="C71" s="57" t="e">
        <f t="shared" si="31"/>
        <v>#DIV/0!</v>
      </c>
      <c r="D71" s="57" t="e">
        <f t="shared" si="32"/>
        <v>#DIV/0!</v>
      </c>
      <c r="E71" s="57" t="e">
        <f t="shared" si="33"/>
        <v>#DIV/0!</v>
      </c>
      <c r="F71" s="57" t="e">
        <f t="shared" si="34"/>
        <v>#DIV/0!</v>
      </c>
      <c r="G71" s="57" t="e">
        <f t="shared" si="35"/>
        <v>#DIV/0!</v>
      </c>
      <c r="H71" s="57" t="e">
        <f t="shared" si="36"/>
        <v>#DIV/0!</v>
      </c>
      <c r="I71" s="57" t="e">
        <f t="shared" si="37"/>
        <v>#DIV/0!</v>
      </c>
      <c r="J71" s="57" t="e">
        <f t="shared" si="38"/>
        <v>#DIV/0!</v>
      </c>
      <c r="K71" s="57" t="e">
        <f t="shared" si="39"/>
        <v>#DIV/0!</v>
      </c>
      <c r="L71" s="57" t="e">
        <f t="shared" si="40"/>
        <v>#DIV/0!</v>
      </c>
      <c r="M71" s="57" t="e">
        <f t="shared" si="41"/>
        <v>#DIV/0!</v>
      </c>
      <c r="N71" s="57" t="e">
        <f t="shared" si="42"/>
        <v>#DIV/0!</v>
      </c>
      <c r="O71" s="58" t="e">
        <f>Links!B71</f>
        <v>#DIV/0!</v>
      </c>
      <c r="P71" s="58" t="e">
        <f>Links!C71+'On-Ramps'!AC71</f>
        <v>#DIV/0!</v>
      </c>
      <c r="Q71" s="58" t="e">
        <f>Links!D71</f>
        <v>#DIV/0!</v>
      </c>
      <c r="R71" s="58" t="e">
        <f>Links!E71+'On-Ramps'!AD71</f>
        <v>#DIV/0!</v>
      </c>
      <c r="S71" s="58" t="e">
        <f>Links!F71+'On-Ramps'!AE71</f>
        <v>#DIV/0!</v>
      </c>
      <c r="T71" s="58" t="e">
        <f>Links!I71+'On-Ramps'!AF71</f>
        <v>#DIV/0!</v>
      </c>
      <c r="U71" s="58" t="e">
        <f>Links!J71+'On-Ramps'!AG71</f>
        <v>#DIV/0!</v>
      </c>
      <c r="V71" s="58" t="e">
        <f>Links!L71+'On-Ramps'!AH71</f>
        <v>#DIV/0!</v>
      </c>
      <c r="W71" s="58" t="e">
        <f>Links!M71+'On-Ramps'!AI71</f>
        <v>#DIV/0!</v>
      </c>
      <c r="X71" s="58" t="e">
        <f>Links!P71+'On-Ramps'!AJ71</f>
        <v>#DIV/0!</v>
      </c>
      <c r="Y71" s="58" t="e">
        <f>Links!Q71</f>
        <v>#DIV/0!</v>
      </c>
      <c r="Z71" s="58" t="e">
        <f>Links!R71+'On-Ramps'!AK71</f>
        <v>#DIV/0!</v>
      </c>
      <c r="AA71" s="58" t="e">
        <f>Links!S71</f>
        <v>#DIV/0!</v>
      </c>
      <c r="AB71" s="57" t="e">
        <f t="shared" si="43"/>
        <v>#VALUE!</v>
      </c>
      <c r="AC71" s="63"/>
      <c r="AD71" s="57" t="e">
        <f t="shared" si="44"/>
        <v>#DIV/0!</v>
      </c>
      <c r="AE71" s="63"/>
      <c r="AF71" s="57" t="e">
        <f t="shared" si="45"/>
        <v>#DIV/0!</v>
      </c>
      <c r="AG71" s="57" t="e">
        <f t="shared" si="46"/>
        <v>#DIV/0!</v>
      </c>
      <c r="AH71" s="57" t="e">
        <f t="shared" si="47"/>
        <v>#DIV/0!</v>
      </c>
      <c r="AI71" s="57" t="e">
        <f t="shared" si="48"/>
        <v>#DIV/0!</v>
      </c>
      <c r="AJ71" s="57" t="e">
        <f t="shared" si="49"/>
        <v>#DIV/0!</v>
      </c>
      <c r="AK71" s="57" t="e">
        <f t="shared" si="50"/>
        <v>#DIV/0!</v>
      </c>
      <c r="AL71" s="57" t="e">
        <f t="shared" si="51"/>
        <v>#DIV/0!</v>
      </c>
      <c r="AM71" s="63"/>
      <c r="AN71" s="57" t="e">
        <f t="shared" si="26"/>
        <v>#DIV/0!</v>
      </c>
      <c r="AO71" s="58" t="e">
        <f t="shared" si="29"/>
        <v>#VALUE!</v>
      </c>
      <c r="AP71" s="63"/>
      <c r="AQ71" s="58" t="e">
        <f t="shared" si="28"/>
        <v>#DIV/0!</v>
      </c>
      <c r="AR71" s="63"/>
      <c r="AS71" s="58" t="e">
        <f t="shared" si="28"/>
        <v>#DIV/0!</v>
      </c>
      <c r="AT71" s="58" t="e">
        <f t="shared" si="28"/>
        <v>#DIV/0!</v>
      </c>
      <c r="AU71" s="58" t="e">
        <f t="shared" si="28"/>
        <v>#DIV/0!</v>
      </c>
      <c r="AV71" s="58" t="e">
        <f t="shared" si="28"/>
        <v>#DIV/0!</v>
      </c>
      <c r="AW71" s="58" t="e">
        <f t="shared" si="28"/>
        <v>#DIV/0!</v>
      </c>
      <c r="AX71" s="58" t="e">
        <f t="shared" si="28"/>
        <v>#DIV/0!</v>
      </c>
      <c r="AY71" s="58" t="e">
        <f t="shared" si="28"/>
        <v>#DIV/0!</v>
      </c>
      <c r="AZ71" s="63"/>
      <c r="BA71" s="58" t="e">
        <f t="shared" si="28"/>
        <v>#DIV/0!</v>
      </c>
      <c r="BB71" s="63"/>
      <c r="BC71" s="57" t="e">
        <f>(Links!C71*Links!AQ71+'On-Ramps'!AC71*'On-Ramps'!CE71)/('On-Ramps'!AC71+Links!C71)</f>
        <v>#DIV/0!</v>
      </c>
      <c r="BD71" s="63"/>
      <c r="BE71" s="57" t="e">
        <f>(Links!E71*Links!AS71+'On-Ramps'!AD71*'On-Ramps'!CF70)/('On-Ramps'!AD71+Links!E71)</f>
        <v>#DIV/0!</v>
      </c>
      <c r="BF71" s="57" t="e">
        <f>(Links!F71*Links!AT71+'On-Ramps'!AE71*'On-Ramps'!CG71)/('On-Ramps'!AE71+Links!F71)</f>
        <v>#DIV/0!</v>
      </c>
      <c r="BG71" s="57" t="e">
        <f>(Links!I71*Links!AW71+'On-Ramps'!AF71*'On-Ramps'!CH71)/('On-Ramps'!AF71+Links!I71)</f>
        <v>#DIV/0!</v>
      </c>
      <c r="BH71" s="57" t="e">
        <f>(#REF!*#REF!+'On-Ramps'!AG71*'On-Ramps'!CI71)/('On-Ramps'!AG71+#REF!)</f>
        <v>#REF!</v>
      </c>
      <c r="BI71" s="57" t="e">
        <f>(Links!L71*Links!AZ71+'On-Ramps'!AH71*'On-Ramps'!CJ71)/('On-Ramps'!AH71+Links!L71)</f>
        <v>#DIV/0!</v>
      </c>
      <c r="BJ71" s="57" t="e">
        <f>(Links!BA71*Links!M71+'On-Ramps'!AI71*'On-Ramps'!CK71)/('On-Ramps'!AI71+Links!M71)</f>
        <v>#DIV/0!</v>
      </c>
      <c r="BK71" s="57" t="e">
        <f>(Links!S71*Links!BG71+'On-Ramps'!AJ71*'On-Ramps'!CL71)/('On-Ramps'!AJ71+Links!S71)</f>
        <v>#DIV/0!</v>
      </c>
      <c r="BL71" s="63"/>
      <c r="BM71" s="57" t="e">
        <f>(Links!S71*Links!BG71+'On-Ramps'!AL71*'On-Ramps'!CM71)/(Links!S71+'On-Ramps'!AL71)</f>
        <v>#DIV/0!</v>
      </c>
      <c r="BN71" s="63"/>
      <c r="BO71" s="58" t="e">
        <f>(Links!W71^2+'Off-Ramp'!L71^2)/(Links!W71+'Off-Ramp'!L71)</f>
        <v>#DIV/0!</v>
      </c>
      <c r="BP71" s="63"/>
      <c r="BQ71" s="58" t="e">
        <f>(Links!Y71^2+'Off-Ramp'!C71^2)/(Links!Y71+'Off-Ramp'!C71)</f>
        <v>#DIV/0!</v>
      </c>
      <c r="BR71" s="63"/>
      <c r="BS71" s="58" t="e">
        <f>(Links!AA71^2+'Off-Ramp'!N71^2)/(Links!AA71+'Off-Ramp'!N71)</f>
        <v>#DIV/0!</v>
      </c>
      <c r="BT71" s="58" t="e">
        <f>(Links!AD71^2+'Off-Ramp'!O71^2)/(Links!AD71+'Off-Ramp'!O71)</f>
        <v>#DIV/0!</v>
      </c>
      <c r="BU71" s="58" t="e">
        <f>(Links!AE71^2+'Off-Ramp'!V71^2+'Off-Ramp'!W71^2+'Off-Ramp'!X71^2)/(Links!AE71+'Off-Ramp'!V71+'Off-Ramp'!W71+'Off-Ramp'!X71)</f>
        <v>#DIV/0!</v>
      </c>
      <c r="BV71" s="58" t="e">
        <f>(Links!AG71^2+'Off-Ramp'!Y71^2+'Off-Ramp'!Z71^2+'Off-Ramp'!AA71^2)/(Links!AG71+'Off-Ramp'!Y71+'Off-Ramp'!Z71+'Off-Ramp'!AA71)</f>
        <v>#DIV/0!</v>
      </c>
      <c r="BW71" s="58" t="e">
        <f>(Links!AH71^2+'Off-Ramp'!R71^2)/(Links!AH71+'Off-Ramp'!R71)</f>
        <v>#DIV/0!</v>
      </c>
      <c r="BX71" s="58" t="e">
        <f>(Links!AK71^2+'Off-Ramp'!S71^2)/(Links!AK71+'Off-Ramp'!S71)</f>
        <v>#DIV/0!</v>
      </c>
      <c r="BY71" s="58" t="e">
        <f>(Links!AL71^2+'Off-Ramp'!T71^2)/(Links!AL71+'Off-Ramp'!T71)</f>
        <v>#DIV/0!</v>
      </c>
      <c r="BZ71" s="63"/>
      <c r="CA71" s="58" t="e">
        <f>(Links!AN71^2+'Off-Ramp'!U71^2)/(Links!AN71+'Off-Ramp'!U71)</f>
        <v>#DIV/0!</v>
      </c>
    </row>
    <row r="72" spans="1:79" x14ac:dyDescent="0.15">
      <c r="A72" s="56">
        <v>70</v>
      </c>
      <c r="B72" s="57" t="e">
        <f t="shared" si="30"/>
        <v>#DIV/0!</v>
      </c>
      <c r="C72" s="57" t="e">
        <f t="shared" si="31"/>
        <v>#DIV/0!</v>
      </c>
      <c r="D72" s="57" t="e">
        <f t="shared" si="32"/>
        <v>#DIV/0!</v>
      </c>
      <c r="E72" s="57" t="e">
        <f t="shared" si="33"/>
        <v>#DIV/0!</v>
      </c>
      <c r="F72" s="57" t="e">
        <f t="shared" si="34"/>
        <v>#DIV/0!</v>
      </c>
      <c r="G72" s="57" t="e">
        <f t="shared" si="35"/>
        <v>#DIV/0!</v>
      </c>
      <c r="H72" s="57" t="e">
        <f t="shared" si="36"/>
        <v>#DIV/0!</v>
      </c>
      <c r="I72" s="57" t="e">
        <f t="shared" si="37"/>
        <v>#DIV/0!</v>
      </c>
      <c r="J72" s="57" t="e">
        <f t="shared" si="38"/>
        <v>#DIV/0!</v>
      </c>
      <c r="K72" s="57" t="e">
        <f t="shared" si="39"/>
        <v>#DIV/0!</v>
      </c>
      <c r="L72" s="57" t="e">
        <f t="shared" si="40"/>
        <v>#DIV/0!</v>
      </c>
      <c r="M72" s="57" t="e">
        <f t="shared" si="41"/>
        <v>#DIV/0!</v>
      </c>
      <c r="N72" s="57" t="e">
        <f t="shared" si="42"/>
        <v>#DIV/0!</v>
      </c>
      <c r="O72" s="58" t="e">
        <f>Links!B72</f>
        <v>#DIV/0!</v>
      </c>
      <c r="P72" s="58" t="e">
        <f>Links!C72+'On-Ramps'!AC72</f>
        <v>#DIV/0!</v>
      </c>
      <c r="Q72" s="58" t="e">
        <f>Links!D72</f>
        <v>#DIV/0!</v>
      </c>
      <c r="R72" s="58" t="e">
        <f>Links!E72+'On-Ramps'!AD72</f>
        <v>#DIV/0!</v>
      </c>
      <c r="S72" s="58" t="e">
        <f>Links!F72+'On-Ramps'!AE72</f>
        <v>#DIV/0!</v>
      </c>
      <c r="T72" s="58" t="e">
        <f>Links!I72+'On-Ramps'!AF72</f>
        <v>#DIV/0!</v>
      </c>
      <c r="U72" s="58" t="e">
        <f>Links!J72+'On-Ramps'!AG72</f>
        <v>#DIV/0!</v>
      </c>
      <c r="V72" s="58" t="e">
        <f>Links!L72+'On-Ramps'!AH72</f>
        <v>#DIV/0!</v>
      </c>
      <c r="W72" s="58" t="e">
        <f>Links!M72+'On-Ramps'!AI72</f>
        <v>#DIV/0!</v>
      </c>
      <c r="X72" s="58" t="e">
        <f>Links!P72+'On-Ramps'!AJ72</f>
        <v>#DIV/0!</v>
      </c>
      <c r="Y72" s="58" t="e">
        <f>Links!Q72</f>
        <v>#DIV/0!</v>
      </c>
      <c r="Z72" s="58" t="e">
        <f>Links!R72+'On-Ramps'!AK72</f>
        <v>#DIV/0!</v>
      </c>
      <c r="AA72" s="58" t="e">
        <f>Links!S72</f>
        <v>#DIV/0!</v>
      </c>
      <c r="AB72" s="57" t="e">
        <f t="shared" si="43"/>
        <v>#VALUE!</v>
      </c>
      <c r="AC72" s="63"/>
      <c r="AD72" s="57" t="e">
        <f t="shared" si="44"/>
        <v>#DIV/0!</v>
      </c>
      <c r="AE72" s="63"/>
      <c r="AF72" s="57" t="e">
        <f t="shared" si="45"/>
        <v>#DIV/0!</v>
      </c>
      <c r="AG72" s="57" t="e">
        <f t="shared" si="46"/>
        <v>#DIV/0!</v>
      </c>
      <c r="AH72" s="57" t="e">
        <f t="shared" si="47"/>
        <v>#DIV/0!</v>
      </c>
      <c r="AI72" s="57" t="e">
        <f t="shared" si="48"/>
        <v>#DIV/0!</v>
      </c>
      <c r="AJ72" s="57" t="e">
        <f t="shared" si="49"/>
        <v>#DIV/0!</v>
      </c>
      <c r="AK72" s="57" t="e">
        <f t="shared" si="50"/>
        <v>#DIV/0!</v>
      </c>
      <c r="AL72" s="57" t="e">
        <f t="shared" si="51"/>
        <v>#DIV/0!</v>
      </c>
      <c r="AM72" s="63"/>
      <c r="AN72" s="57" t="e">
        <f t="shared" si="26"/>
        <v>#DIV/0!</v>
      </c>
      <c r="AO72" s="58" t="e">
        <f t="shared" si="29"/>
        <v>#VALUE!</v>
      </c>
      <c r="AP72" s="63"/>
      <c r="AQ72" s="58" t="e">
        <f t="shared" si="28"/>
        <v>#DIV/0!</v>
      </c>
      <c r="AR72" s="63"/>
      <c r="AS72" s="58" t="e">
        <f t="shared" si="28"/>
        <v>#DIV/0!</v>
      </c>
      <c r="AT72" s="58" t="e">
        <f t="shared" si="28"/>
        <v>#DIV/0!</v>
      </c>
      <c r="AU72" s="58" t="e">
        <f t="shared" si="28"/>
        <v>#DIV/0!</v>
      </c>
      <c r="AV72" s="58" t="e">
        <f t="shared" si="28"/>
        <v>#DIV/0!</v>
      </c>
      <c r="AW72" s="58" t="e">
        <f t="shared" si="28"/>
        <v>#DIV/0!</v>
      </c>
      <c r="AX72" s="58" t="e">
        <f t="shared" si="28"/>
        <v>#DIV/0!</v>
      </c>
      <c r="AY72" s="58" t="e">
        <f t="shared" si="28"/>
        <v>#DIV/0!</v>
      </c>
      <c r="AZ72" s="63"/>
      <c r="BA72" s="58" t="e">
        <f t="shared" si="28"/>
        <v>#DIV/0!</v>
      </c>
      <c r="BB72" s="63"/>
      <c r="BC72" s="57" t="e">
        <f>(Links!C72*Links!AQ72+'On-Ramps'!AC72*'On-Ramps'!CE72)/('On-Ramps'!AC72+Links!C72)</f>
        <v>#DIV/0!</v>
      </c>
      <c r="BD72" s="63"/>
      <c r="BE72" s="57" t="e">
        <f>(Links!E72*Links!AS72+'On-Ramps'!AD72*'On-Ramps'!CF71)/('On-Ramps'!AD72+Links!E72)</f>
        <v>#DIV/0!</v>
      </c>
      <c r="BF72" s="57" t="e">
        <f>(Links!F72*Links!AT72+'On-Ramps'!AE72*'On-Ramps'!CG72)/('On-Ramps'!AE72+Links!F72)</f>
        <v>#DIV/0!</v>
      </c>
      <c r="BG72" s="57" t="e">
        <f>(Links!I72*Links!AW72+'On-Ramps'!AF72*'On-Ramps'!CH72)/('On-Ramps'!AF72+Links!I72)</f>
        <v>#DIV/0!</v>
      </c>
      <c r="BH72" s="57" t="e">
        <f>(#REF!*#REF!+'On-Ramps'!AG72*'On-Ramps'!CI72)/('On-Ramps'!AG72+#REF!)</f>
        <v>#REF!</v>
      </c>
      <c r="BI72" s="57" t="e">
        <f>(Links!L72*Links!AZ72+'On-Ramps'!AH72*'On-Ramps'!CJ72)/('On-Ramps'!AH72+Links!L72)</f>
        <v>#DIV/0!</v>
      </c>
      <c r="BJ72" s="57" t="e">
        <f>(Links!BA72*Links!M72+'On-Ramps'!AI72*'On-Ramps'!CK72)/('On-Ramps'!AI72+Links!M72)</f>
        <v>#DIV/0!</v>
      </c>
      <c r="BK72" s="57" t="e">
        <f>(Links!S72*Links!BG72+'On-Ramps'!AJ72*'On-Ramps'!CL72)/('On-Ramps'!AJ72+Links!S72)</f>
        <v>#DIV/0!</v>
      </c>
      <c r="BL72" s="63"/>
      <c r="BM72" s="57" t="e">
        <f>(Links!S72*Links!BG72+'On-Ramps'!AL72*'On-Ramps'!CM72)/(Links!S72+'On-Ramps'!AL72)</f>
        <v>#DIV/0!</v>
      </c>
      <c r="BN72" s="63"/>
      <c r="BO72" s="58" t="e">
        <f>(Links!W72^2+'Off-Ramp'!L72^2)/(Links!W72+'Off-Ramp'!L72)</f>
        <v>#DIV/0!</v>
      </c>
      <c r="BP72" s="63"/>
      <c r="BQ72" s="58" t="e">
        <f>(Links!Y72^2+'Off-Ramp'!C72^2)/(Links!Y72+'Off-Ramp'!C72)</f>
        <v>#DIV/0!</v>
      </c>
      <c r="BR72" s="63"/>
      <c r="BS72" s="58" t="e">
        <f>(Links!AA72^2+'Off-Ramp'!N72^2)/(Links!AA72+'Off-Ramp'!N72)</f>
        <v>#DIV/0!</v>
      </c>
      <c r="BT72" s="58" t="e">
        <f>(Links!AD72^2+'Off-Ramp'!O72^2)/(Links!AD72+'Off-Ramp'!O72)</f>
        <v>#DIV/0!</v>
      </c>
      <c r="BU72" s="58" t="e">
        <f>(Links!AE72^2+'Off-Ramp'!V72^2+'Off-Ramp'!W72^2+'Off-Ramp'!X72^2)/(Links!AE72+'Off-Ramp'!V72+'Off-Ramp'!W72+'Off-Ramp'!X72)</f>
        <v>#DIV/0!</v>
      </c>
      <c r="BV72" s="58" t="e">
        <f>(Links!AG72^2+'Off-Ramp'!Y72^2+'Off-Ramp'!Z72^2+'Off-Ramp'!AA72^2)/(Links!AG72+'Off-Ramp'!Y72+'Off-Ramp'!Z72+'Off-Ramp'!AA72)</f>
        <v>#DIV/0!</v>
      </c>
      <c r="BW72" s="58" t="e">
        <f>(Links!AH72^2+'Off-Ramp'!R72^2)/(Links!AH72+'Off-Ramp'!R72)</f>
        <v>#DIV/0!</v>
      </c>
      <c r="BX72" s="58" t="e">
        <f>(Links!AK72^2+'Off-Ramp'!S72^2)/(Links!AK72+'Off-Ramp'!S72)</f>
        <v>#DIV/0!</v>
      </c>
      <c r="BY72" s="58" t="e">
        <f>(Links!AL72^2+'Off-Ramp'!T72^2)/(Links!AL72+'Off-Ramp'!T72)</f>
        <v>#DIV/0!</v>
      </c>
      <c r="BZ72" s="63"/>
      <c r="CA72" s="58" t="e">
        <f>(Links!AN72^2+'Off-Ramp'!U72^2)/(Links!AN72+'Off-Ramp'!U72)</f>
        <v>#DIV/0!</v>
      </c>
    </row>
    <row r="73" spans="1:79" x14ac:dyDescent="0.15">
      <c r="A73" s="56">
        <v>71</v>
      </c>
      <c r="B73" s="57" t="e">
        <f t="shared" si="30"/>
        <v>#DIV/0!</v>
      </c>
      <c r="C73" s="57" t="e">
        <f t="shared" si="31"/>
        <v>#DIV/0!</v>
      </c>
      <c r="D73" s="57" t="e">
        <f t="shared" si="32"/>
        <v>#DIV/0!</v>
      </c>
      <c r="E73" s="57" t="e">
        <f t="shared" si="33"/>
        <v>#DIV/0!</v>
      </c>
      <c r="F73" s="57" t="e">
        <f t="shared" si="34"/>
        <v>#DIV/0!</v>
      </c>
      <c r="G73" s="57" t="e">
        <f t="shared" si="35"/>
        <v>#DIV/0!</v>
      </c>
      <c r="H73" s="57" t="e">
        <f t="shared" si="36"/>
        <v>#DIV/0!</v>
      </c>
      <c r="I73" s="57" t="e">
        <f t="shared" si="37"/>
        <v>#DIV/0!</v>
      </c>
      <c r="J73" s="57" t="e">
        <f t="shared" si="38"/>
        <v>#DIV/0!</v>
      </c>
      <c r="K73" s="57" t="e">
        <f t="shared" si="39"/>
        <v>#DIV/0!</v>
      </c>
      <c r="L73" s="57" t="e">
        <f t="shared" si="40"/>
        <v>#DIV/0!</v>
      </c>
      <c r="M73" s="57" t="e">
        <f t="shared" si="41"/>
        <v>#DIV/0!</v>
      </c>
      <c r="N73" s="57" t="e">
        <f t="shared" si="42"/>
        <v>#DIV/0!</v>
      </c>
      <c r="O73" s="58" t="e">
        <f>Links!B73</f>
        <v>#DIV/0!</v>
      </c>
      <c r="P73" s="58" t="e">
        <f>Links!C73+'On-Ramps'!AC73</f>
        <v>#DIV/0!</v>
      </c>
      <c r="Q73" s="58" t="e">
        <f>Links!D73</f>
        <v>#DIV/0!</v>
      </c>
      <c r="R73" s="58" t="e">
        <f>Links!E73+'On-Ramps'!AD73</f>
        <v>#DIV/0!</v>
      </c>
      <c r="S73" s="58" t="e">
        <f>Links!F73+'On-Ramps'!AE73</f>
        <v>#DIV/0!</v>
      </c>
      <c r="T73" s="58" t="e">
        <f>Links!I73+'On-Ramps'!AF73</f>
        <v>#DIV/0!</v>
      </c>
      <c r="U73" s="58" t="e">
        <f>Links!J73+'On-Ramps'!AG73</f>
        <v>#DIV/0!</v>
      </c>
      <c r="V73" s="58" t="e">
        <f>Links!L73+'On-Ramps'!AH73</f>
        <v>#DIV/0!</v>
      </c>
      <c r="W73" s="58" t="e">
        <f>Links!M73+'On-Ramps'!AI73</f>
        <v>#DIV/0!</v>
      </c>
      <c r="X73" s="58" t="e">
        <f>Links!P73+'On-Ramps'!AJ73</f>
        <v>#DIV/0!</v>
      </c>
      <c r="Y73" s="58" t="e">
        <f>Links!Q73</f>
        <v>#DIV/0!</v>
      </c>
      <c r="Z73" s="58" t="e">
        <f>Links!R73+'On-Ramps'!AK73</f>
        <v>#DIV/0!</v>
      </c>
      <c r="AA73" s="58" t="e">
        <f>Links!S73</f>
        <v>#DIV/0!</v>
      </c>
      <c r="AB73" s="57" t="e">
        <f t="shared" si="43"/>
        <v>#VALUE!</v>
      </c>
      <c r="AC73" s="63"/>
      <c r="AD73" s="57" t="e">
        <f t="shared" si="44"/>
        <v>#DIV/0!</v>
      </c>
      <c r="AE73" s="63"/>
      <c r="AF73" s="57" t="e">
        <f t="shared" si="45"/>
        <v>#DIV/0!</v>
      </c>
      <c r="AG73" s="57" t="e">
        <f t="shared" si="46"/>
        <v>#DIV/0!</v>
      </c>
      <c r="AH73" s="57" t="e">
        <f t="shared" si="47"/>
        <v>#DIV/0!</v>
      </c>
      <c r="AI73" s="57" t="e">
        <f t="shared" si="48"/>
        <v>#DIV/0!</v>
      </c>
      <c r="AJ73" s="57" t="e">
        <f t="shared" si="49"/>
        <v>#DIV/0!</v>
      </c>
      <c r="AK73" s="57" t="e">
        <f t="shared" si="50"/>
        <v>#DIV/0!</v>
      </c>
      <c r="AL73" s="57" t="e">
        <f t="shared" si="51"/>
        <v>#DIV/0!</v>
      </c>
      <c r="AM73" s="63"/>
      <c r="AN73" s="57" t="e">
        <f t="shared" si="26"/>
        <v>#DIV/0!</v>
      </c>
      <c r="AO73" s="58" t="e">
        <f t="shared" si="29"/>
        <v>#VALUE!</v>
      </c>
      <c r="AP73" s="63"/>
      <c r="AQ73" s="58" t="e">
        <f t="shared" si="28"/>
        <v>#DIV/0!</v>
      </c>
      <c r="AR73" s="63"/>
      <c r="AS73" s="58" t="e">
        <f t="shared" si="28"/>
        <v>#DIV/0!</v>
      </c>
      <c r="AT73" s="58" t="e">
        <f t="shared" si="28"/>
        <v>#DIV/0!</v>
      </c>
      <c r="AU73" s="58" t="e">
        <f t="shared" si="28"/>
        <v>#DIV/0!</v>
      </c>
      <c r="AV73" s="58" t="e">
        <f t="shared" si="28"/>
        <v>#DIV/0!</v>
      </c>
      <c r="AW73" s="58" t="e">
        <f t="shared" si="28"/>
        <v>#DIV/0!</v>
      </c>
      <c r="AX73" s="58" t="e">
        <f t="shared" si="28"/>
        <v>#DIV/0!</v>
      </c>
      <c r="AY73" s="58" t="e">
        <f t="shared" si="28"/>
        <v>#DIV/0!</v>
      </c>
      <c r="AZ73" s="63"/>
      <c r="BA73" s="58" t="e">
        <f t="shared" si="28"/>
        <v>#DIV/0!</v>
      </c>
      <c r="BB73" s="63"/>
      <c r="BC73" s="57" t="e">
        <f>(Links!C73*Links!AQ73+'On-Ramps'!AC73*'On-Ramps'!CE73)/('On-Ramps'!AC73+Links!C73)</f>
        <v>#DIV/0!</v>
      </c>
      <c r="BD73" s="63"/>
      <c r="BE73" s="57" t="e">
        <f>(Links!E73*Links!AS73+'On-Ramps'!AD73*'On-Ramps'!CF72)/('On-Ramps'!AD73+Links!E73)</f>
        <v>#DIV/0!</v>
      </c>
      <c r="BF73" s="57" t="e">
        <f>(Links!F73*Links!AT73+'On-Ramps'!AE73*'On-Ramps'!CG73)/('On-Ramps'!AE73+Links!F73)</f>
        <v>#DIV/0!</v>
      </c>
      <c r="BG73" s="57" t="e">
        <f>(Links!I73*Links!AW73+'On-Ramps'!AF73*'On-Ramps'!CH73)/('On-Ramps'!AF73+Links!I73)</f>
        <v>#DIV/0!</v>
      </c>
      <c r="BH73" s="57" t="e">
        <f>(#REF!*#REF!+'On-Ramps'!AG73*'On-Ramps'!CI73)/('On-Ramps'!AG73+#REF!)</f>
        <v>#REF!</v>
      </c>
      <c r="BI73" s="57" t="e">
        <f>(Links!L73*Links!AZ73+'On-Ramps'!AH73*'On-Ramps'!CJ73)/('On-Ramps'!AH73+Links!L73)</f>
        <v>#DIV/0!</v>
      </c>
      <c r="BJ73" s="57" t="e">
        <f>(Links!BA73*Links!M73+'On-Ramps'!AI73*'On-Ramps'!CK73)/('On-Ramps'!AI73+Links!M73)</f>
        <v>#DIV/0!</v>
      </c>
      <c r="BK73" s="57" t="e">
        <f>(Links!S73*Links!BG73+'On-Ramps'!AJ73*'On-Ramps'!CL73)/('On-Ramps'!AJ73+Links!S73)</f>
        <v>#DIV/0!</v>
      </c>
      <c r="BL73" s="63"/>
      <c r="BM73" s="57" t="e">
        <f>(Links!S73*Links!BG73+'On-Ramps'!AL73*'On-Ramps'!CM73)/(Links!S73+'On-Ramps'!AL73)</f>
        <v>#DIV/0!</v>
      </c>
      <c r="BN73" s="63"/>
      <c r="BO73" s="58" t="e">
        <f>(Links!W73^2+'Off-Ramp'!L73^2)/(Links!W73+'Off-Ramp'!L73)</f>
        <v>#DIV/0!</v>
      </c>
      <c r="BP73" s="63"/>
      <c r="BQ73" s="58" t="e">
        <f>(Links!Y73^2+'Off-Ramp'!C73^2)/(Links!Y73+'Off-Ramp'!C73)</f>
        <v>#DIV/0!</v>
      </c>
      <c r="BR73" s="63"/>
      <c r="BS73" s="58" t="e">
        <f>(Links!AA73^2+'Off-Ramp'!N73^2)/(Links!AA73+'Off-Ramp'!N73)</f>
        <v>#DIV/0!</v>
      </c>
      <c r="BT73" s="58" t="e">
        <f>(Links!AD73^2+'Off-Ramp'!O73^2)/(Links!AD73+'Off-Ramp'!O73)</f>
        <v>#DIV/0!</v>
      </c>
      <c r="BU73" s="58" t="e">
        <f>(Links!AE73^2+'Off-Ramp'!V73^2+'Off-Ramp'!W73^2+'Off-Ramp'!X73^2)/(Links!AE73+'Off-Ramp'!V73+'Off-Ramp'!W73+'Off-Ramp'!X73)</f>
        <v>#DIV/0!</v>
      </c>
      <c r="BV73" s="58" t="e">
        <f>(Links!AG73^2+'Off-Ramp'!Y73^2+'Off-Ramp'!Z73^2+'Off-Ramp'!AA73^2)/(Links!AG73+'Off-Ramp'!Y73+'Off-Ramp'!Z73+'Off-Ramp'!AA73)</f>
        <v>#DIV/0!</v>
      </c>
      <c r="BW73" s="58" t="e">
        <f>(Links!AH73^2+'Off-Ramp'!R73^2)/(Links!AH73+'Off-Ramp'!R73)</f>
        <v>#DIV/0!</v>
      </c>
      <c r="BX73" s="58" t="e">
        <f>(Links!AK73^2+'Off-Ramp'!S73^2)/(Links!AK73+'Off-Ramp'!S73)</f>
        <v>#DIV/0!</v>
      </c>
      <c r="BY73" s="58" t="e">
        <f>(Links!AL73^2+'Off-Ramp'!T73^2)/(Links!AL73+'Off-Ramp'!T73)</f>
        <v>#DIV/0!</v>
      </c>
      <c r="BZ73" s="63"/>
      <c r="CA73" s="58" t="e">
        <f>(Links!AN73^2+'Off-Ramp'!U73^2)/(Links!AN73+'Off-Ramp'!U73)</f>
        <v>#DIV/0!</v>
      </c>
    </row>
    <row r="74" spans="1:79" x14ac:dyDescent="0.15">
      <c r="A74" s="56">
        <v>72</v>
      </c>
      <c r="B74" s="57" t="e">
        <f t="shared" si="30"/>
        <v>#DIV/0!</v>
      </c>
      <c r="C74" s="57" t="e">
        <f t="shared" si="31"/>
        <v>#DIV/0!</v>
      </c>
      <c r="D74" s="57" t="e">
        <f t="shared" si="32"/>
        <v>#DIV/0!</v>
      </c>
      <c r="E74" s="57" t="e">
        <f t="shared" si="33"/>
        <v>#DIV/0!</v>
      </c>
      <c r="F74" s="57" t="e">
        <f t="shared" si="34"/>
        <v>#DIV/0!</v>
      </c>
      <c r="G74" s="57" t="e">
        <f t="shared" si="35"/>
        <v>#DIV/0!</v>
      </c>
      <c r="H74" s="57" t="e">
        <f t="shared" si="36"/>
        <v>#DIV/0!</v>
      </c>
      <c r="I74" s="57" t="e">
        <f t="shared" si="37"/>
        <v>#DIV/0!</v>
      </c>
      <c r="J74" s="57" t="e">
        <f t="shared" si="38"/>
        <v>#DIV/0!</v>
      </c>
      <c r="K74" s="57" t="e">
        <f t="shared" si="39"/>
        <v>#DIV/0!</v>
      </c>
      <c r="L74" s="57" t="e">
        <f t="shared" si="40"/>
        <v>#DIV/0!</v>
      </c>
      <c r="M74" s="57" t="e">
        <f t="shared" si="41"/>
        <v>#DIV/0!</v>
      </c>
      <c r="N74" s="57" t="e">
        <f t="shared" si="42"/>
        <v>#DIV/0!</v>
      </c>
      <c r="O74" s="58" t="e">
        <f>Links!B74</f>
        <v>#DIV/0!</v>
      </c>
      <c r="P74" s="58" t="e">
        <f>Links!C74+'On-Ramps'!AC74</f>
        <v>#DIV/0!</v>
      </c>
      <c r="Q74" s="58" t="e">
        <f>Links!D74</f>
        <v>#DIV/0!</v>
      </c>
      <c r="R74" s="58" t="e">
        <f>Links!E74+'On-Ramps'!AD74</f>
        <v>#DIV/0!</v>
      </c>
      <c r="S74" s="58" t="e">
        <f>Links!F74+'On-Ramps'!AE74</f>
        <v>#DIV/0!</v>
      </c>
      <c r="T74" s="58" t="e">
        <f>Links!I74+'On-Ramps'!AF74</f>
        <v>#DIV/0!</v>
      </c>
      <c r="U74" s="58" t="e">
        <f>Links!J74+'On-Ramps'!AG74</f>
        <v>#DIV/0!</v>
      </c>
      <c r="V74" s="58" t="e">
        <f>Links!L74+'On-Ramps'!AH74</f>
        <v>#DIV/0!</v>
      </c>
      <c r="W74" s="58" t="e">
        <f>Links!M74+'On-Ramps'!AI74</f>
        <v>#DIV/0!</v>
      </c>
      <c r="X74" s="58" t="e">
        <f>Links!P74+'On-Ramps'!AJ74</f>
        <v>#DIV/0!</v>
      </c>
      <c r="Y74" s="58" t="e">
        <f>Links!Q74</f>
        <v>#DIV/0!</v>
      </c>
      <c r="Z74" s="58" t="e">
        <f>Links!R74+'On-Ramps'!AK74</f>
        <v>#DIV/0!</v>
      </c>
      <c r="AA74" s="58" t="e">
        <f>Links!S74</f>
        <v>#DIV/0!</v>
      </c>
      <c r="AB74" s="57" t="e">
        <f t="shared" si="43"/>
        <v>#VALUE!</v>
      </c>
      <c r="AC74" s="63"/>
      <c r="AD74" s="57" t="e">
        <f t="shared" si="44"/>
        <v>#DIV/0!</v>
      </c>
      <c r="AE74" s="63"/>
      <c r="AF74" s="57" t="e">
        <f t="shared" si="45"/>
        <v>#DIV/0!</v>
      </c>
      <c r="AG74" s="57" t="e">
        <f t="shared" si="46"/>
        <v>#DIV/0!</v>
      </c>
      <c r="AH74" s="57" t="e">
        <f t="shared" si="47"/>
        <v>#DIV/0!</v>
      </c>
      <c r="AI74" s="57" t="e">
        <f t="shared" si="48"/>
        <v>#DIV/0!</v>
      </c>
      <c r="AJ74" s="57" t="e">
        <f t="shared" si="49"/>
        <v>#DIV/0!</v>
      </c>
      <c r="AK74" s="57" t="e">
        <f t="shared" si="50"/>
        <v>#DIV/0!</v>
      </c>
      <c r="AL74" s="57" t="e">
        <f t="shared" si="51"/>
        <v>#DIV/0!</v>
      </c>
      <c r="AM74" s="63"/>
      <c r="AN74" s="57" t="e">
        <f t="shared" si="26"/>
        <v>#DIV/0!</v>
      </c>
      <c r="AO74" s="58" t="e">
        <f t="shared" si="29"/>
        <v>#VALUE!</v>
      </c>
      <c r="AP74" s="63"/>
      <c r="AQ74" s="58" t="e">
        <f t="shared" si="28"/>
        <v>#DIV/0!</v>
      </c>
      <c r="AR74" s="63"/>
      <c r="AS74" s="58" t="e">
        <f t="shared" si="28"/>
        <v>#DIV/0!</v>
      </c>
      <c r="AT74" s="58" t="e">
        <f t="shared" si="28"/>
        <v>#DIV/0!</v>
      </c>
      <c r="AU74" s="58" t="e">
        <f t="shared" si="28"/>
        <v>#DIV/0!</v>
      </c>
      <c r="AV74" s="58" t="e">
        <f t="shared" si="28"/>
        <v>#DIV/0!</v>
      </c>
      <c r="AW74" s="58" t="e">
        <f t="shared" si="28"/>
        <v>#DIV/0!</v>
      </c>
      <c r="AX74" s="58" t="e">
        <f t="shared" si="28"/>
        <v>#DIV/0!</v>
      </c>
      <c r="AY74" s="58" t="e">
        <f t="shared" si="28"/>
        <v>#DIV/0!</v>
      </c>
      <c r="AZ74" s="63"/>
      <c r="BA74" s="58" t="e">
        <f t="shared" si="28"/>
        <v>#DIV/0!</v>
      </c>
      <c r="BB74" s="63"/>
      <c r="BC74" s="57" t="e">
        <f>(Links!C74*Links!AQ74+'On-Ramps'!AC74*'On-Ramps'!CE74)/('On-Ramps'!AC74+Links!C74)</f>
        <v>#DIV/0!</v>
      </c>
      <c r="BD74" s="63"/>
      <c r="BE74" s="57" t="e">
        <f>(Links!E74*Links!AS74+'On-Ramps'!AD74*'On-Ramps'!CF73)/('On-Ramps'!AD74+Links!E74)</f>
        <v>#DIV/0!</v>
      </c>
      <c r="BF74" s="57" t="e">
        <f>(Links!F74*Links!AT74+'On-Ramps'!AE74*'On-Ramps'!CG74)/('On-Ramps'!AE74+Links!F74)</f>
        <v>#DIV/0!</v>
      </c>
      <c r="BG74" s="57" t="e">
        <f>(Links!I74*Links!AW74+'On-Ramps'!AF74*'On-Ramps'!CH74)/('On-Ramps'!AF74+Links!I74)</f>
        <v>#DIV/0!</v>
      </c>
      <c r="BH74" s="57" t="e">
        <f>(#REF!*#REF!+'On-Ramps'!AG74*'On-Ramps'!CI74)/('On-Ramps'!AG74+#REF!)</f>
        <v>#REF!</v>
      </c>
      <c r="BI74" s="57" t="e">
        <f>(Links!L74*Links!AZ74+'On-Ramps'!AH74*'On-Ramps'!CJ74)/('On-Ramps'!AH74+Links!L74)</f>
        <v>#DIV/0!</v>
      </c>
      <c r="BJ74" s="57" t="e">
        <f>(Links!BA74*Links!M74+'On-Ramps'!AI74*'On-Ramps'!CK74)/('On-Ramps'!AI74+Links!M74)</f>
        <v>#DIV/0!</v>
      </c>
      <c r="BK74" s="57" t="e">
        <f>(Links!S74*Links!BG74+'On-Ramps'!AJ74*'On-Ramps'!CL74)/('On-Ramps'!AJ74+Links!S74)</f>
        <v>#DIV/0!</v>
      </c>
      <c r="BL74" s="63"/>
      <c r="BM74" s="57" t="e">
        <f>(Links!S74*Links!BG74+'On-Ramps'!AL74*'On-Ramps'!CM74)/(Links!S74+'On-Ramps'!AL74)</f>
        <v>#DIV/0!</v>
      </c>
      <c r="BN74" s="63"/>
      <c r="BO74" s="58" t="e">
        <f>(Links!W74^2+'Off-Ramp'!L74^2)/(Links!W74+'Off-Ramp'!L74)</f>
        <v>#DIV/0!</v>
      </c>
      <c r="BP74" s="63"/>
      <c r="BQ74" s="58" t="e">
        <f>(Links!Y74^2+'Off-Ramp'!C74^2)/(Links!Y74+'Off-Ramp'!C74)</f>
        <v>#DIV/0!</v>
      </c>
      <c r="BR74" s="63"/>
      <c r="BS74" s="58" t="e">
        <f>(Links!AA74^2+'Off-Ramp'!N74^2)/(Links!AA74+'Off-Ramp'!N74)</f>
        <v>#DIV/0!</v>
      </c>
      <c r="BT74" s="58" t="e">
        <f>(Links!AD74^2+'Off-Ramp'!O74^2)/(Links!AD74+'Off-Ramp'!O74)</f>
        <v>#DIV/0!</v>
      </c>
      <c r="BU74" s="58" t="e">
        <f>(Links!AE74^2+'Off-Ramp'!V74^2+'Off-Ramp'!W74^2+'Off-Ramp'!X74^2)/(Links!AE74+'Off-Ramp'!V74+'Off-Ramp'!W74+'Off-Ramp'!X74)</f>
        <v>#DIV/0!</v>
      </c>
      <c r="BV74" s="58" t="e">
        <f>(Links!AG74^2+'Off-Ramp'!Y74^2+'Off-Ramp'!Z74^2+'Off-Ramp'!AA74^2)/(Links!AG74+'Off-Ramp'!Y74+'Off-Ramp'!Z74+'Off-Ramp'!AA74)</f>
        <v>#DIV/0!</v>
      </c>
      <c r="BW74" s="58" t="e">
        <f>(Links!AH74^2+'Off-Ramp'!R74^2)/(Links!AH74+'Off-Ramp'!R74)</f>
        <v>#DIV/0!</v>
      </c>
      <c r="BX74" s="58" t="e">
        <f>(Links!AK74^2+'Off-Ramp'!S74^2)/(Links!AK74+'Off-Ramp'!S74)</f>
        <v>#DIV/0!</v>
      </c>
      <c r="BY74" s="58" t="e">
        <f>(Links!AL74^2+'Off-Ramp'!T74^2)/(Links!AL74+'Off-Ramp'!T74)</f>
        <v>#DIV/0!</v>
      </c>
      <c r="BZ74" s="63"/>
      <c r="CA74" s="58" t="e">
        <f>(Links!AN74^2+'Off-Ramp'!U74^2)/(Links!AN74+'Off-Ramp'!U74)</f>
        <v>#DIV/0!</v>
      </c>
    </row>
    <row r="75" spans="1:79" x14ac:dyDescent="0.15">
      <c r="A75" s="56">
        <v>73</v>
      </c>
      <c r="B75" s="57" t="e">
        <f t="shared" si="30"/>
        <v>#DIV/0!</v>
      </c>
      <c r="C75" s="57" t="e">
        <f t="shared" si="31"/>
        <v>#DIV/0!</v>
      </c>
      <c r="D75" s="57" t="e">
        <f t="shared" si="32"/>
        <v>#DIV/0!</v>
      </c>
      <c r="E75" s="57" t="e">
        <f t="shared" si="33"/>
        <v>#DIV/0!</v>
      </c>
      <c r="F75" s="57" t="e">
        <f t="shared" si="34"/>
        <v>#DIV/0!</v>
      </c>
      <c r="G75" s="57" t="e">
        <f t="shared" si="35"/>
        <v>#DIV/0!</v>
      </c>
      <c r="H75" s="57" t="e">
        <f t="shared" si="36"/>
        <v>#DIV/0!</v>
      </c>
      <c r="I75" s="57" t="e">
        <f t="shared" si="37"/>
        <v>#DIV/0!</v>
      </c>
      <c r="J75" s="57" t="e">
        <f t="shared" si="38"/>
        <v>#DIV/0!</v>
      </c>
      <c r="K75" s="57" t="e">
        <f t="shared" si="39"/>
        <v>#DIV/0!</v>
      </c>
      <c r="L75" s="57" t="e">
        <f t="shared" si="40"/>
        <v>#DIV/0!</v>
      </c>
      <c r="M75" s="57" t="e">
        <f t="shared" si="41"/>
        <v>#DIV/0!</v>
      </c>
      <c r="N75" s="57" t="e">
        <f t="shared" si="42"/>
        <v>#DIV/0!</v>
      </c>
      <c r="O75" s="58" t="e">
        <f>Links!B75</f>
        <v>#DIV/0!</v>
      </c>
      <c r="P75" s="58" t="e">
        <f>Links!C75+'On-Ramps'!AC75</f>
        <v>#DIV/0!</v>
      </c>
      <c r="Q75" s="58" t="e">
        <f>Links!D75</f>
        <v>#DIV/0!</v>
      </c>
      <c r="R75" s="58" t="e">
        <f>Links!E75+'On-Ramps'!AD75</f>
        <v>#DIV/0!</v>
      </c>
      <c r="S75" s="58" t="e">
        <f>Links!F75+'On-Ramps'!AE75</f>
        <v>#DIV/0!</v>
      </c>
      <c r="T75" s="58" t="e">
        <f>Links!I75+'On-Ramps'!AF75</f>
        <v>#DIV/0!</v>
      </c>
      <c r="U75" s="58" t="e">
        <f>Links!J75+'On-Ramps'!AG75</f>
        <v>#DIV/0!</v>
      </c>
      <c r="V75" s="58" t="e">
        <f>Links!L75+'On-Ramps'!AH75</f>
        <v>#DIV/0!</v>
      </c>
      <c r="W75" s="58" t="e">
        <f>Links!M75+'On-Ramps'!AI75</f>
        <v>#DIV/0!</v>
      </c>
      <c r="X75" s="58" t="e">
        <f>Links!P75+'On-Ramps'!AJ75</f>
        <v>#DIV/0!</v>
      </c>
      <c r="Y75" s="58" t="e">
        <f>Links!Q75</f>
        <v>#DIV/0!</v>
      </c>
      <c r="Z75" s="58" t="e">
        <f>Links!R75+'On-Ramps'!AK75</f>
        <v>#DIV/0!</v>
      </c>
      <c r="AA75" s="58" t="e">
        <f>Links!S75</f>
        <v>#DIV/0!</v>
      </c>
      <c r="AB75" s="57" t="e">
        <f t="shared" si="43"/>
        <v>#VALUE!</v>
      </c>
      <c r="AC75" s="63"/>
      <c r="AD75" s="57" t="e">
        <f t="shared" si="44"/>
        <v>#DIV/0!</v>
      </c>
      <c r="AE75" s="63"/>
      <c r="AF75" s="57" t="e">
        <f t="shared" si="45"/>
        <v>#DIV/0!</v>
      </c>
      <c r="AG75" s="57" t="e">
        <f t="shared" si="46"/>
        <v>#DIV/0!</v>
      </c>
      <c r="AH75" s="57" t="e">
        <f t="shared" si="47"/>
        <v>#DIV/0!</v>
      </c>
      <c r="AI75" s="57" t="e">
        <f t="shared" si="48"/>
        <v>#DIV/0!</v>
      </c>
      <c r="AJ75" s="57" t="e">
        <f t="shared" si="49"/>
        <v>#DIV/0!</v>
      </c>
      <c r="AK75" s="57" t="e">
        <f t="shared" si="50"/>
        <v>#DIV/0!</v>
      </c>
      <c r="AL75" s="57" t="e">
        <f t="shared" si="51"/>
        <v>#DIV/0!</v>
      </c>
      <c r="AM75" s="63"/>
      <c r="AN75" s="57" t="e">
        <f t="shared" si="26"/>
        <v>#DIV/0!</v>
      </c>
      <c r="AO75" s="58" t="e">
        <f t="shared" si="29"/>
        <v>#VALUE!</v>
      </c>
      <c r="AP75" s="63"/>
      <c r="AQ75" s="58" t="e">
        <f t="shared" si="28"/>
        <v>#DIV/0!</v>
      </c>
      <c r="AR75" s="63"/>
      <c r="AS75" s="58" t="e">
        <f t="shared" si="28"/>
        <v>#DIV/0!</v>
      </c>
      <c r="AT75" s="58" t="e">
        <f t="shared" si="28"/>
        <v>#DIV/0!</v>
      </c>
      <c r="AU75" s="58" t="e">
        <f t="shared" si="28"/>
        <v>#DIV/0!</v>
      </c>
      <c r="AV75" s="58" t="e">
        <f t="shared" si="28"/>
        <v>#DIV/0!</v>
      </c>
      <c r="AW75" s="58" t="e">
        <f t="shared" si="28"/>
        <v>#DIV/0!</v>
      </c>
      <c r="AX75" s="58" t="e">
        <f t="shared" si="28"/>
        <v>#DIV/0!</v>
      </c>
      <c r="AY75" s="58" t="e">
        <f t="shared" si="28"/>
        <v>#DIV/0!</v>
      </c>
      <c r="AZ75" s="63"/>
      <c r="BA75" s="58" t="e">
        <f t="shared" si="28"/>
        <v>#DIV/0!</v>
      </c>
      <c r="BB75" s="63"/>
      <c r="BC75" s="57" t="e">
        <f>(Links!C75*Links!AQ75+'On-Ramps'!AC75*'On-Ramps'!CE75)/('On-Ramps'!AC75+Links!C75)</f>
        <v>#DIV/0!</v>
      </c>
      <c r="BD75" s="63"/>
      <c r="BE75" s="57" t="e">
        <f>(Links!E75*Links!AS75+'On-Ramps'!AD75*'On-Ramps'!CF74)/('On-Ramps'!AD75+Links!E75)</f>
        <v>#DIV/0!</v>
      </c>
      <c r="BF75" s="57" t="e">
        <f>(Links!F75*Links!AT75+'On-Ramps'!AE75*'On-Ramps'!CG75)/('On-Ramps'!AE75+Links!F75)</f>
        <v>#DIV/0!</v>
      </c>
      <c r="BG75" s="57" t="e">
        <f>(Links!I75*Links!AW75+'On-Ramps'!AF75*'On-Ramps'!CH75)/('On-Ramps'!AF75+Links!I75)</f>
        <v>#DIV/0!</v>
      </c>
      <c r="BH75" s="57" t="e">
        <f>(#REF!*#REF!+'On-Ramps'!AG75*'On-Ramps'!CI75)/('On-Ramps'!AG75+#REF!)</f>
        <v>#REF!</v>
      </c>
      <c r="BI75" s="57" t="e">
        <f>(Links!L75*Links!AZ75+'On-Ramps'!AH75*'On-Ramps'!CJ75)/('On-Ramps'!AH75+Links!L75)</f>
        <v>#DIV/0!</v>
      </c>
      <c r="BJ75" s="57" t="e">
        <f>(Links!BA75*Links!M75+'On-Ramps'!AI75*'On-Ramps'!CK75)/('On-Ramps'!AI75+Links!M75)</f>
        <v>#DIV/0!</v>
      </c>
      <c r="BK75" s="57" t="e">
        <f>(Links!S75*Links!BG75+'On-Ramps'!AJ75*'On-Ramps'!CL75)/('On-Ramps'!AJ75+Links!S75)</f>
        <v>#DIV/0!</v>
      </c>
      <c r="BL75" s="63"/>
      <c r="BM75" s="57" t="e">
        <f>(Links!S75*Links!BG75+'On-Ramps'!AL75*'On-Ramps'!CM75)/(Links!S75+'On-Ramps'!AL75)</f>
        <v>#DIV/0!</v>
      </c>
      <c r="BN75" s="63"/>
      <c r="BO75" s="58" t="e">
        <f>(Links!W75^2+'Off-Ramp'!L75^2)/(Links!W75+'Off-Ramp'!L75)</f>
        <v>#DIV/0!</v>
      </c>
      <c r="BP75" s="63"/>
      <c r="BQ75" s="58" t="e">
        <f>(Links!Y75^2+'Off-Ramp'!C75^2)/(Links!Y75+'Off-Ramp'!C75)</f>
        <v>#DIV/0!</v>
      </c>
      <c r="BR75" s="63"/>
      <c r="BS75" s="58" t="e">
        <f>(Links!AA75^2+'Off-Ramp'!N75^2)/(Links!AA75+'Off-Ramp'!N75)</f>
        <v>#DIV/0!</v>
      </c>
      <c r="BT75" s="58" t="e">
        <f>(Links!AD75^2+'Off-Ramp'!O75^2)/(Links!AD75+'Off-Ramp'!O75)</f>
        <v>#DIV/0!</v>
      </c>
      <c r="BU75" s="58" t="e">
        <f>(Links!AE75^2+'Off-Ramp'!V75^2+'Off-Ramp'!W75^2+'Off-Ramp'!X75^2)/(Links!AE75+'Off-Ramp'!V75+'Off-Ramp'!W75+'Off-Ramp'!X75)</f>
        <v>#DIV/0!</v>
      </c>
      <c r="BV75" s="58" t="e">
        <f>(Links!AG75^2+'Off-Ramp'!Y75^2+'Off-Ramp'!Z75^2+'Off-Ramp'!AA75^2)/(Links!AG75+'Off-Ramp'!Y75+'Off-Ramp'!Z75+'Off-Ramp'!AA75)</f>
        <v>#DIV/0!</v>
      </c>
      <c r="BW75" s="58" t="e">
        <f>(Links!AH75^2+'Off-Ramp'!R75^2)/(Links!AH75+'Off-Ramp'!R75)</f>
        <v>#DIV/0!</v>
      </c>
      <c r="BX75" s="58" t="e">
        <f>(Links!AK75^2+'Off-Ramp'!S75^2)/(Links!AK75+'Off-Ramp'!S75)</f>
        <v>#DIV/0!</v>
      </c>
      <c r="BY75" s="58" t="e">
        <f>(Links!AL75^2+'Off-Ramp'!T75^2)/(Links!AL75+'Off-Ramp'!T75)</f>
        <v>#DIV/0!</v>
      </c>
      <c r="BZ75" s="63"/>
      <c r="CA75" s="58" t="e">
        <f>(Links!AN75^2+'Off-Ramp'!U75^2)/(Links!AN75+'Off-Ramp'!U75)</f>
        <v>#DIV/0!</v>
      </c>
    </row>
    <row r="76" spans="1:79" x14ac:dyDescent="0.15">
      <c r="A76" s="56">
        <v>74</v>
      </c>
      <c r="B76" s="57" t="e">
        <f t="shared" si="30"/>
        <v>#DIV/0!</v>
      </c>
      <c r="C76" s="57" t="e">
        <f t="shared" si="31"/>
        <v>#DIV/0!</v>
      </c>
      <c r="D76" s="57" t="e">
        <f t="shared" si="32"/>
        <v>#DIV/0!</v>
      </c>
      <c r="E76" s="57" t="e">
        <f t="shared" si="33"/>
        <v>#DIV/0!</v>
      </c>
      <c r="F76" s="57" t="e">
        <f t="shared" si="34"/>
        <v>#DIV/0!</v>
      </c>
      <c r="G76" s="57" t="e">
        <f t="shared" si="35"/>
        <v>#DIV/0!</v>
      </c>
      <c r="H76" s="57" t="e">
        <f t="shared" si="36"/>
        <v>#DIV/0!</v>
      </c>
      <c r="I76" s="57" t="e">
        <f t="shared" si="37"/>
        <v>#DIV/0!</v>
      </c>
      <c r="J76" s="57" t="e">
        <f t="shared" si="38"/>
        <v>#DIV/0!</v>
      </c>
      <c r="K76" s="57" t="e">
        <f t="shared" si="39"/>
        <v>#DIV/0!</v>
      </c>
      <c r="L76" s="57" t="e">
        <f t="shared" si="40"/>
        <v>#DIV/0!</v>
      </c>
      <c r="M76" s="57" t="e">
        <f t="shared" si="41"/>
        <v>#DIV/0!</v>
      </c>
      <c r="N76" s="57" t="e">
        <f t="shared" si="42"/>
        <v>#DIV/0!</v>
      </c>
      <c r="O76" s="58" t="e">
        <f>Links!B76</f>
        <v>#DIV/0!</v>
      </c>
      <c r="P76" s="58" t="e">
        <f>Links!C76+'On-Ramps'!AC76</f>
        <v>#DIV/0!</v>
      </c>
      <c r="Q76" s="58" t="e">
        <f>Links!D76</f>
        <v>#DIV/0!</v>
      </c>
      <c r="R76" s="58" t="e">
        <f>Links!E76+'On-Ramps'!AD76</f>
        <v>#DIV/0!</v>
      </c>
      <c r="S76" s="58" t="e">
        <f>Links!F76+'On-Ramps'!AE76</f>
        <v>#DIV/0!</v>
      </c>
      <c r="T76" s="58" t="e">
        <f>Links!I76+'On-Ramps'!AF76</f>
        <v>#DIV/0!</v>
      </c>
      <c r="U76" s="58" t="e">
        <f>Links!J76+'On-Ramps'!AG76</f>
        <v>#DIV/0!</v>
      </c>
      <c r="V76" s="58" t="e">
        <f>Links!L76+'On-Ramps'!AH76</f>
        <v>#DIV/0!</v>
      </c>
      <c r="W76" s="58" t="e">
        <f>Links!M76+'On-Ramps'!AI76</f>
        <v>#DIV/0!</v>
      </c>
      <c r="X76" s="58" t="e">
        <f>Links!P76+'On-Ramps'!AJ76</f>
        <v>#DIV/0!</v>
      </c>
      <c r="Y76" s="58" t="e">
        <f>Links!Q76</f>
        <v>#DIV/0!</v>
      </c>
      <c r="Z76" s="58" t="e">
        <f>Links!R76+'On-Ramps'!AK76</f>
        <v>#DIV/0!</v>
      </c>
      <c r="AA76" s="58" t="e">
        <f>Links!S76</f>
        <v>#DIV/0!</v>
      </c>
      <c r="AB76" s="57" t="e">
        <f t="shared" si="43"/>
        <v>#VALUE!</v>
      </c>
      <c r="AC76" s="63"/>
      <c r="AD76" s="57" t="e">
        <f t="shared" si="44"/>
        <v>#DIV/0!</v>
      </c>
      <c r="AE76" s="63"/>
      <c r="AF76" s="57" t="e">
        <f t="shared" si="45"/>
        <v>#DIV/0!</v>
      </c>
      <c r="AG76" s="57" t="e">
        <f t="shared" si="46"/>
        <v>#DIV/0!</v>
      </c>
      <c r="AH76" s="57" t="e">
        <f t="shared" si="47"/>
        <v>#DIV/0!</v>
      </c>
      <c r="AI76" s="57" t="e">
        <f t="shared" si="48"/>
        <v>#DIV/0!</v>
      </c>
      <c r="AJ76" s="57" t="e">
        <f t="shared" si="49"/>
        <v>#DIV/0!</v>
      </c>
      <c r="AK76" s="57" t="e">
        <f t="shared" si="50"/>
        <v>#DIV/0!</v>
      </c>
      <c r="AL76" s="57" t="e">
        <f t="shared" si="51"/>
        <v>#DIV/0!</v>
      </c>
      <c r="AM76" s="63"/>
      <c r="AN76" s="57" t="e">
        <f t="shared" si="26"/>
        <v>#DIV/0!</v>
      </c>
      <c r="AO76" s="58" t="e">
        <f t="shared" si="29"/>
        <v>#VALUE!</v>
      </c>
      <c r="AP76" s="63"/>
      <c r="AQ76" s="58" t="e">
        <f t="shared" si="28"/>
        <v>#DIV/0!</v>
      </c>
      <c r="AR76" s="63"/>
      <c r="AS76" s="58" t="e">
        <f t="shared" si="28"/>
        <v>#DIV/0!</v>
      </c>
      <c r="AT76" s="58" t="e">
        <f t="shared" si="28"/>
        <v>#DIV/0!</v>
      </c>
      <c r="AU76" s="58" t="e">
        <f t="shared" si="28"/>
        <v>#DIV/0!</v>
      </c>
      <c r="AV76" s="58" t="e">
        <f t="shared" si="28"/>
        <v>#DIV/0!</v>
      </c>
      <c r="AW76" s="58" t="e">
        <f t="shared" si="28"/>
        <v>#DIV/0!</v>
      </c>
      <c r="AX76" s="58" t="e">
        <f t="shared" si="28"/>
        <v>#DIV/0!</v>
      </c>
      <c r="AY76" s="58" t="e">
        <f t="shared" si="28"/>
        <v>#DIV/0!</v>
      </c>
      <c r="AZ76" s="63"/>
      <c r="BA76" s="58" t="e">
        <f t="shared" si="28"/>
        <v>#DIV/0!</v>
      </c>
      <c r="BB76" s="63"/>
      <c r="BC76" s="57" t="e">
        <f>(Links!C76*Links!AQ76+'On-Ramps'!AC76*'On-Ramps'!CE76)/('On-Ramps'!AC76+Links!C76)</f>
        <v>#DIV/0!</v>
      </c>
      <c r="BD76" s="63"/>
      <c r="BE76" s="57" t="e">
        <f>(Links!E76*Links!AS76+'On-Ramps'!AD76*'On-Ramps'!CF75)/('On-Ramps'!AD76+Links!E76)</f>
        <v>#DIV/0!</v>
      </c>
      <c r="BF76" s="57" t="e">
        <f>(Links!F76*Links!AT76+'On-Ramps'!AE76*'On-Ramps'!CG76)/('On-Ramps'!AE76+Links!F76)</f>
        <v>#DIV/0!</v>
      </c>
      <c r="BG76" s="57" t="e">
        <f>(Links!I76*Links!AW76+'On-Ramps'!AF76*'On-Ramps'!CH76)/('On-Ramps'!AF76+Links!I76)</f>
        <v>#DIV/0!</v>
      </c>
      <c r="BH76" s="57" t="e">
        <f>(#REF!*#REF!+'On-Ramps'!AG76*'On-Ramps'!CI76)/('On-Ramps'!AG76+#REF!)</f>
        <v>#REF!</v>
      </c>
      <c r="BI76" s="57" t="e">
        <f>(Links!L76*Links!AZ76+'On-Ramps'!AH76*'On-Ramps'!CJ76)/('On-Ramps'!AH76+Links!L76)</f>
        <v>#DIV/0!</v>
      </c>
      <c r="BJ76" s="57" t="e">
        <f>(Links!BA76*Links!M76+'On-Ramps'!AI76*'On-Ramps'!CK76)/('On-Ramps'!AI76+Links!M76)</f>
        <v>#DIV/0!</v>
      </c>
      <c r="BK76" s="57" t="e">
        <f>(Links!S76*Links!BG76+'On-Ramps'!AJ76*'On-Ramps'!CL76)/('On-Ramps'!AJ76+Links!S76)</f>
        <v>#DIV/0!</v>
      </c>
      <c r="BL76" s="63"/>
      <c r="BM76" s="57" t="e">
        <f>(Links!S76*Links!BG76+'On-Ramps'!AL76*'On-Ramps'!CM76)/(Links!S76+'On-Ramps'!AL76)</f>
        <v>#DIV/0!</v>
      </c>
      <c r="BN76" s="63"/>
      <c r="BO76" s="58" t="e">
        <f>(Links!W76^2+'Off-Ramp'!L76^2)/(Links!W76+'Off-Ramp'!L76)</f>
        <v>#DIV/0!</v>
      </c>
      <c r="BP76" s="63"/>
      <c r="BQ76" s="58" t="e">
        <f>(Links!Y76^2+'Off-Ramp'!C76^2)/(Links!Y76+'Off-Ramp'!C76)</f>
        <v>#DIV/0!</v>
      </c>
      <c r="BR76" s="63"/>
      <c r="BS76" s="58" t="e">
        <f>(Links!AA76^2+'Off-Ramp'!N76^2)/(Links!AA76+'Off-Ramp'!N76)</f>
        <v>#DIV/0!</v>
      </c>
      <c r="BT76" s="58" t="e">
        <f>(Links!AD76^2+'Off-Ramp'!O76^2)/(Links!AD76+'Off-Ramp'!O76)</f>
        <v>#DIV/0!</v>
      </c>
      <c r="BU76" s="58" t="e">
        <f>(Links!AE76^2+'Off-Ramp'!V76^2+'Off-Ramp'!W76^2+'Off-Ramp'!X76^2)/(Links!AE76+'Off-Ramp'!V76+'Off-Ramp'!W76+'Off-Ramp'!X76)</f>
        <v>#DIV/0!</v>
      </c>
      <c r="BV76" s="58" t="e">
        <f>(Links!AG76^2+'Off-Ramp'!Y76^2+'Off-Ramp'!Z76^2+'Off-Ramp'!AA76^2)/(Links!AG76+'Off-Ramp'!Y76+'Off-Ramp'!Z76+'Off-Ramp'!AA76)</f>
        <v>#DIV/0!</v>
      </c>
      <c r="BW76" s="58" t="e">
        <f>(Links!AH76^2+'Off-Ramp'!R76^2)/(Links!AH76+'Off-Ramp'!R76)</f>
        <v>#DIV/0!</v>
      </c>
      <c r="BX76" s="58" t="e">
        <f>(Links!AK76^2+'Off-Ramp'!S76^2)/(Links!AK76+'Off-Ramp'!S76)</f>
        <v>#DIV/0!</v>
      </c>
      <c r="BY76" s="58" t="e">
        <f>(Links!AL76^2+'Off-Ramp'!T76^2)/(Links!AL76+'Off-Ramp'!T76)</f>
        <v>#DIV/0!</v>
      </c>
      <c r="BZ76" s="63"/>
      <c r="CA76" s="58" t="e">
        <f>(Links!AN76^2+'Off-Ramp'!U76^2)/(Links!AN76+'Off-Ramp'!U76)</f>
        <v>#DIV/0!</v>
      </c>
    </row>
    <row r="77" spans="1:79" x14ac:dyDescent="0.15">
      <c r="A77" s="56">
        <v>75</v>
      </c>
      <c r="B77" s="57" t="e">
        <f t="shared" si="30"/>
        <v>#DIV/0!</v>
      </c>
      <c r="C77" s="57" t="e">
        <f t="shared" si="31"/>
        <v>#DIV/0!</v>
      </c>
      <c r="D77" s="57" t="e">
        <f t="shared" si="32"/>
        <v>#DIV/0!</v>
      </c>
      <c r="E77" s="57" t="e">
        <f t="shared" si="33"/>
        <v>#DIV/0!</v>
      </c>
      <c r="F77" s="57" t="e">
        <f t="shared" si="34"/>
        <v>#DIV/0!</v>
      </c>
      <c r="G77" s="57" t="e">
        <f t="shared" si="35"/>
        <v>#DIV/0!</v>
      </c>
      <c r="H77" s="57" t="e">
        <f t="shared" si="36"/>
        <v>#DIV/0!</v>
      </c>
      <c r="I77" s="57" t="e">
        <f t="shared" si="37"/>
        <v>#DIV/0!</v>
      </c>
      <c r="J77" s="57" t="e">
        <f t="shared" si="38"/>
        <v>#DIV/0!</v>
      </c>
      <c r="K77" s="57" t="e">
        <f t="shared" si="39"/>
        <v>#DIV/0!</v>
      </c>
      <c r="L77" s="57" t="e">
        <f t="shared" si="40"/>
        <v>#DIV/0!</v>
      </c>
      <c r="M77" s="57" t="e">
        <f t="shared" si="41"/>
        <v>#DIV/0!</v>
      </c>
      <c r="N77" s="57" t="e">
        <f t="shared" si="42"/>
        <v>#DIV/0!</v>
      </c>
      <c r="O77" s="58" t="e">
        <f>Links!B77</f>
        <v>#DIV/0!</v>
      </c>
      <c r="P77" s="58" t="e">
        <f>Links!C77+'On-Ramps'!AC77</f>
        <v>#DIV/0!</v>
      </c>
      <c r="Q77" s="58" t="e">
        <f>Links!D77</f>
        <v>#DIV/0!</v>
      </c>
      <c r="R77" s="58" t="e">
        <f>Links!E77+'On-Ramps'!AD77</f>
        <v>#DIV/0!</v>
      </c>
      <c r="S77" s="58" t="e">
        <f>Links!F77+'On-Ramps'!AE77</f>
        <v>#DIV/0!</v>
      </c>
      <c r="T77" s="58" t="e">
        <f>Links!I77+'On-Ramps'!AF77</f>
        <v>#DIV/0!</v>
      </c>
      <c r="U77" s="58" t="e">
        <f>Links!J77+'On-Ramps'!AG77</f>
        <v>#DIV/0!</v>
      </c>
      <c r="V77" s="58" t="e">
        <f>Links!L77+'On-Ramps'!AH77</f>
        <v>#DIV/0!</v>
      </c>
      <c r="W77" s="58" t="e">
        <f>Links!M77+'On-Ramps'!AI77</f>
        <v>#DIV/0!</v>
      </c>
      <c r="X77" s="58" t="e">
        <f>Links!P77+'On-Ramps'!AJ77</f>
        <v>#DIV/0!</v>
      </c>
      <c r="Y77" s="58" t="e">
        <f>Links!Q77</f>
        <v>#DIV/0!</v>
      </c>
      <c r="Z77" s="58" t="e">
        <f>Links!R77+'On-Ramps'!AK77</f>
        <v>#DIV/0!</v>
      </c>
      <c r="AA77" s="58" t="e">
        <f>Links!S77</f>
        <v>#DIV/0!</v>
      </c>
      <c r="AB77" s="57" t="e">
        <f t="shared" si="43"/>
        <v>#VALUE!</v>
      </c>
      <c r="AC77" s="63"/>
      <c r="AD77" s="57" t="e">
        <f t="shared" si="44"/>
        <v>#DIV/0!</v>
      </c>
      <c r="AE77" s="63"/>
      <c r="AF77" s="57" t="e">
        <f t="shared" si="45"/>
        <v>#DIV/0!</v>
      </c>
      <c r="AG77" s="57" t="e">
        <f t="shared" si="46"/>
        <v>#DIV/0!</v>
      </c>
      <c r="AH77" s="57" t="e">
        <f t="shared" si="47"/>
        <v>#DIV/0!</v>
      </c>
      <c r="AI77" s="57" t="e">
        <f t="shared" si="48"/>
        <v>#DIV/0!</v>
      </c>
      <c r="AJ77" s="57" t="e">
        <f t="shared" si="49"/>
        <v>#DIV/0!</v>
      </c>
      <c r="AK77" s="57" t="e">
        <f t="shared" si="50"/>
        <v>#DIV/0!</v>
      </c>
      <c r="AL77" s="57" t="e">
        <f t="shared" si="51"/>
        <v>#DIV/0!</v>
      </c>
      <c r="AM77" s="63"/>
      <c r="AN77" s="57" t="e">
        <f t="shared" si="26"/>
        <v>#DIV/0!</v>
      </c>
      <c r="AO77" s="58" t="e">
        <f t="shared" si="29"/>
        <v>#VALUE!</v>
      </c>
      <c r="AP77" s="63"/>
      <c r="AQ77" s="58" t="e">
        <f t="shared" si="28"/>
        <v>#DIV/0!</v>
      </c>
      <c r="AR77" s="63"/>
      <c r="AS77" s="58" t="e">
        <f t="shared" si="28"/>
        <v>#DIV/0!</v>
      </c>
      <c r="AT77" s="58" t="e">
        <f t="shared" si="28"/>
        <v>#DIV/0!</v>
      </c>
      <c r="AU77" s="58" t="e">
        <f t="shared" si="28"/>
        <v>#DIV/0!</v>
      </c>
      <c r="AV77" s="58" t="e">
        <f t="shared" si="28"/>
        <v>#DIV/0!</v>
      </c>
      <c r="AW77" s="58" t="e">
        <f t="shared" si="28"/>
        <v>#DIV/0!</v>
      </c>
      <c r="AX77" s="58" t="e">
        <f t="shared" si="28"/>
        <v>#DIV/0!</v>
      </c>
      <c r="AY77" s="58" t="e">
        <f t="shared" si="28"/>
        <v>#DIV/0!</v>
      </c>
      <c r="AZ77" s="63"/>
      <c r="BA77" s="58" t="e">
        <f t="shared" ref="AQ77:BA98" si="52">BA$3</f>
        <v>#DIV/0!</v>
      </c>
      <c r="BB77" s="63"/>
      <c r="BC77" s="57" t="e">
        <f>(Links!C77*Links!AQ77+'On-Ramps'!AC77*'On-Ramps'!CE77)/('On-Ramps'!AC77+Links!C77)</f>
        <v>#DIV/0!</v>
      </c>
      <c r="BD77" s="63"/>
      <c r="BE77" s="57" t="e">
        <f>(Links!E77*Links!AS77+'On-Ramps'!AD77*'On-Ramps'!CF76)/('On-Ramps'!AD77+Links!E77)</f>
        <v>#DIV/0!</v>
      </c>
      <c r="BF77" s="57" t="e">
        <f>(Links!F77*Links!AT77+'On-Ramps'!AE77*'On-Ramps'!CG77)/('On-Ramps'!AE77+Links!F77)</f>
        <v>#DIV/0!</v>
      </c>
      <c r="BG77" s="57" t="e">
        <f>(Links!I77*Links!AW77+'On-Ramps'!AF77*'On-Ramps'!CH77)/('On-Ramps'!AF77+Links!I77)</f>
        <v>#DIV/0!</v>
      </c>
      <c r="BH77" s="57" t="e">
        <f>(#REF!*#REF!+'On-Ramps'!AG77*'On-Ramps'!CI77)/('On-Ramps'!AG77+#REF!)</f>
        <v>#REF!</v>
      </c>
      <c r="BI77" s="57" t="e">
        <f>(Links!L77*Links!AZ77+'On-Ramps'!AH77*'On-Ramps'!CJ77)/('On-Ramps'!AH77+Links!L77)</f>
        <v>#DIV/0!</v>
      </c>
      <c r="BJ77" s="57" t="e">
        <f>(Links!BA77*Links!M77+'On-Ramps'!AI77*'On-Ramps'!CK77)/('On-Ramps'!AI77+Links!M77)</f>
        <v>#DIV/0!</v>
      </c>
      <c r="BK77" s="57" t="e">
        <f>(Links!S77*Links!BG77+'On-Ramps'!AJ77*'On-Ramps'!CL77)/('On-Ramps'!AJ77+Links!S77)</f>
        <v>#DIV/0!</v>
      </c>
      <c r="BL77" s="63"/>
      <c r="BM77" s="57" t="e">
        <f>(Links!S77*Links!BG77+'On-Ramps'!AL77*'On-Ramps'!CM77)/(Links!S77+'On-Ramps'!AL77)</f>
        <v>#DIV/0!</v>
      </c>
      <c r="BN77" s="63"/>
      <c r="BO77" s="58" t="e">
        <f>(Links!W77^2+'Off-Ramp'!L77^2)/(Links!W77+'Off-Ramp'!L77)</f>
        <v>#DIV/0!</v>
      </c>
      <c r="BP77" s="63"/>
      <c r="BQ77" s="58" t="e">
        <f>(Links!Y77^2+'Off-Ramp'!C77^2)/(Links!Y77+'Off-Ramp'!C77)</f>
        <v>#DIV/0!</v>
      </c>
      <c r="BR77" s="63"/>
      <c r="BS77" s="58" t="e">
        <f>(Links!AA77^2+'Off-Ramp'!N77^2)/(Links!AA77+'Off-Ramp'!N77)</f>
        <v>#DIV/0!</v>
      </c>
      <c r="BT77" s="58" t="e">
        <f>(Links!AD77^2+'Off-Ramp'!O77^2)/(Links!AD77+'Off-Ramp'!O77)</f>
        <v>#DIV/0!</v>
      </c>
      <c r="BU77" s="58" t="e">
        <f>(Links!AE77^2+'Off-Ramp'!V77^2+'Off-Ramp'!W77^2+'Off-Ramp'!X77^2)/(Links!AE77+'Off-Ramp'!V77+'Off-Ramp'!W77+'Off-Ramp'!X77)</f>
        <v>#DIV/0!</v>
      </c>
      <c r="BV77" s="58" t="e">
        <f>(Links!AG77^2+'Off-Ramp'!Y77^2+'Off-Ramp'!Z77^2+'Off-Ramp'!AA77^2)/(Links!AG77+'Off-Ramp'!Y77+'Off-Ramp'!Z77+'Off-Ramp'!AA77)</f>
        <v>#DIV/0!</v>
      </c>
      <c r="BW77" s="58" t="e">
        <f>(Links!AH77^2+'Off-Ramp'!R77^2)/(Links!AH77+'Off-Ramp'!R77)</f>
        <v>#DIV/0!</v>
      </c>
      <c r="BX77" s="58" t="e">
        <f>(Links!AK77^2+'Off-Ramp'!S77^2)/(Links!AK77+'Off-Ramp'!S77)</f>
        <v>#DIV/0!</v>
      </c>
      <c r="BY77" s="58" t="e">
        <f>(Links!AL77^2+'Off-Ramp'!T77^2)/(Links!AL77+'Off-Ramp'!T77)</f>
        <v>#DIV/0!</v>
      </c>
      <c r="BZ77" s="63"/>
      <c r="CA77" s="58" t="e">
        <f>(Links!AN77^2+'Off-Ramp'!U77^2)/(Links!AN77+'Off-Ramp'!U77)</f>
        <v>#DIV/0!</v>
      </c>
    </row>
    <row r="78" spans="1:79" x14ac:dyDescent="0.15">
      <c r="A78" s="56">
        <v>76</v>
      </c>
      <c r="B78" s="57" t="e">
        <f t="shared" si="30"/>
        <v>#DIV/0!</v>
      </c>
      <c r="C78" s="57" t="e">
        <f t="shared" si="31"/>
        <v>#DIV/0!</v>
      </c>
      <c r="D78" s="57" t="e">
        <f t="shared" si="32"/>
        <v>#DIV/0!</v>
      </c>
      <c r="E78" s="57" t="e">
        <f t="shared" si="33"/>
        <v>#DIV/0!</v>
      </c>
      <c r="F78" s="57" t="e">
        <f t="shared" si="34"/>
        <v>#DIV/0!</v>
      </c>
      <c r="G78" s="57" t="e">
        <f t="shared" si="35"/>
        <v>#DIV/0!</v>
      </c>
      <c r="H78" s="57" t="e">
        <f t="shared" si="36"/>
        <v>#DIV/0!</v>
      </c>
      <c r="I78" s="57" t="e">
        <f t="shared" si="37"/>
        <v>#DIV/0!</v>
      </c>
      <c r="J78" s="57" t="e">
        <f t="shared" si="38"/>
        <v>#DIV/0!</v>
      </c>
      <c r="K78" s="57" t="e">
        <f t="shared" si="39"/>
        <v>#DIV/0!</v>
      </c>
      <c r="L78" s="57" t="e">
        <f t="shared" si="40"/>
        <v>#DIV/0!</v>
      </c>
      <c r="M78" s="57" t="e">
        <f t="shared" si="41"/>
        <v>#DIV/0!</v>
      </c>
      <c r="N78" s="57" t="e">
        <f t="shared" si="42"/>
        <v>#DIV/0!</v>
      </c>
      <c r="O78" s="58" t="e">
        <f>Links!B78</f>
        <v>#DIV/0!</v>
      </c>
      <c r="P78" s="58" t="e">
        <f>Links!C78+'On-Ramps'!AC78</f>
        <v>#DIV/0!</v>
      </c>
      <c r="Q78" s="58" t="e">
        <f>Links!D78</f>
        <v>#DIV/0!</v>
      </c>
      <c r="R78" s="58" t="e">
        <f>Links!E78+'On-Ramps'!AD78</f>
        <v>#DIV/0!</v>
      </c>
      <c r="S78" s="58" t="e">
        <f>Links!F78+'On-Ramps'!AE78</f>
        <v>#DIV/0!</v>
      </c>
      <c r="T78" s="58" t="e">
        <f>Links!I78+'On-Ramps'!AF78</f>
        <v>#DIV/0!</v>
      </c>
      <c r="U78" s="58" t="e">
        <f>Links!J78+'On-Ramps'!AG78</f>
        <v>#DIV/0!</v>
      </c>
      <c r="V78" s="58" t="e">
        <f>Links!L78+'On-Ramps'!AH78</f>
        <v>#DIV/0!</v>
      </c>
      <c r="W78" s="58" t="e">
        <f>Links!M78+'On-Ramps'!AI78</f>
        <v>#DIV/0!</v>
      </c>
      <c r="X78" s="58" t="e">
        <f>Links!P78+'On-Ramps'!AJ78</f>
        <v>#DIV/0!</v>
      </c>
      <c r="Y78" s="58" t="e">
        <f>Links!Q78</f>
        <v>#DIV/0!</v>
      </c>
      <c r="Z78" s="58" t="e">
        <f>Links!R78+'On-Ramps'!AK78</f>
        <v>#DIV/0!</v>
      </c>
      <c r="AA78" s="58" t="e">
        <f>Links!S78</f>
        <v>#DIV/0!</v>
      </c>
      <c r="AB78" s="57" t="e">
        <f t="shared" si="43"/>
        <v>#VALUE!</v>
      </c>
      <c r="AC78" s="63"/>
      <c r="AD78" s="57" t="e">
        <f t="shared" si="44"/>
        <v>#DIV/0!</v>
      </c>
      <c r="AE78" s="63"/>
      <c r="AF78" s="57" t="e">
        <f t="shared" si="45"/>
        <v>#DIV/0!</v>
      </c>
      <c r="AG78" s="57" t="e">
        <f t="shared" si="46"/>
        <v>#DIV/0!</v>
      </c>
      <c r="AH78" s="57" t="e">
        <f t="shared" si="47"/>
        <v>#DIV/0!</v>
      </c>
      <c r="AI78" s="57" t="e">
        <f t="shared" si="48"/>
        <v>#DIV/0!</v>
      </c>
      <c r="AJ78" s="57" t="e">
        <f t="shared" si="49"/>
        <v>#DIV/0!</v>
      </c>
      <c r="AK78" s="57" t="e">
        <f t="shared" si="50"/>
        <v>#DIV/0!</v>
      </c>
      <c r="AL78" s="57" t="e">
        <f t="shared" si="51"/>
        <v>#DIV/0!</v>
      </c>
      <c r="AM78" s="63"/>
      <c r="AN78" s="57" t="e">
        <f t="shared" si="26"/>
        <v>#DIV/0!</v>
      </c>
      <c r="AO78" s="58" t="e">
        <f t="shared" si="29"/>
        <v>#VALUE!</v>
      </c>
      <c r="AP78" s="63"/>
      <c r="AQ78" s="58" t="e">
        <f t="shared" si="52"/>
        <v>#DIV/0!</v>
      </c>
      <c r="AR78" s="63"/>
      <c r="AS78" s="58" t="e">
        <f t="shared" si="52"/>
        <v>#DIV/0!</v>
      </c>
      <c r="AT78" s="58" t="e">
        <f t="shared" si="52"/>
        <v>#DIV/0!</v>
      </c>
      <c r="AU78" s="58" t="e">
        <f t="shared" si="52"/>
        <v>#DIV/0!</v>
      </c>
      <c r="AV78" s="58" t="e">
        <f t="shared" si="52"/>
        <v>#DIV/0!</v>
      </c>
      <c r="AW78" s="58" t="e">
        <f t="shared" si="52"/>
        <v>#DIV/0!</v>
      </c>
      <c r="AX78" s="58" t="e">
        <f t="shared" si="52"/>
        <v>#DIV/0!</v>
      </c>
      <c r="AY78" s="58" t="e">
        <f t="shared" si="52"/>
        <v>#DIV/0!</v>
      </c>
      <c r="AZ78" s="63"/>
      <c r="BA78" s="58" t="e">
        <f t="shared" si="52"/>
        <v>#DIV/0!</v>
      </c>
      <c r="BB78" s="63"/>
      <c r="BC78" s="57" t="e">
        <f>(Links!C78*Links!AQ78+'On-Ramps'!AC78*'On-Ramps'!CE78)/('On-Ramps'!AC78+Links!C78)</f>
        <v>#DIV/0!</v>
      </c>
      <c r="BD78" s="63"/>
      <c r="BE78" s="57" t="e">
        <f>(Links!E78*Links!AS78+'On-Ramps'!AD78*'On-Ramps'!CF77)/('On-Ramps'!AD78+Links!E78)</f>
        <v>#DIV/0!</v>
      </c>
      <c r="BF78" s="57" t="e">
        <f>(Links!F78*Links!AT78+'On-Ramps'!AE78*'On-Ramps'!CG78)/('On-Ramps'!AE78+Links!F78)</f>
        <v>#DIV/0!</v>
      </c>
      <c r="BG78" s="57" t="e">
        <f>(Links!I78*Links!AW78+'On-Ramps'!AF78*'On-Ramps'!CH78)/('On-Ramps'!AF78+Links!I78)</f>
        <v>#DIV/0!</v>
      </c>
      <c r="BH78" s="57" t="e">
        <f>(#REF!*#REF!+'On-Ramps'!AG78*'On-Ramps'!CI78)/('On-Ramps'!AG78+#REF!)</f>
        <v>#REF!</v>
      </c>
      <c r="BI78" s="57" t="e">
        <f>(Links!L78*Links!AZ78+'On-Ramps'!AH78*'On-Ramps'!CJ78)/('On-Ramps'!AH78+Links!L78)</f>
        <v>#DIV/0!</v>
      </c>
      <c r="BJ78" s="57" t="e">
        <f>(Links!BA78*Links!M78+'On-Ramps'!AI78*'On-Ramps'!CK78)/('On-Ramps'!AI78+Links!M78)</f>
        <v>#DIV/0!</v>
      </c>
      <c r="BK78" s="57" t="e">
        <f>(Links!S78*Links!BG78+'On-Ramps'!AJ78*'On-Ramps'!CL78)/('On-Ramps'!AJ78+Links!S78)</f>
        <v>#DIV/0!</v>
      </c>
      <c r="BL78" s="63"/>
      <c r="BM78" s="57" t="e">
        <f>(Links!S78*Links!BG78+'On-Ramps'!AL78*'On-Ramps'!CM78)/(Links!S78+'On-Ramps'!AL78)</f>
        <v>#DIV/0!</v>
      </c>
      <c r="BN78" s="63"/>
      <c r="BO78" s="58" t="e">
        <f>(Links!W78^2+'Off-Ramp'!L78^2)/(Links!W78+'Off-Ramp'!L78)</f>
        <v>#DIV/0!</v>
      </c>
      <c r="BP78" s="63"/>
      <c r="BQ78" s="58" t="e">
        <f>(Links!Y78^2+'Off-Ramp'!C78^2)/(Links!Y78+'Off-Ramp'!C78)</f>
        <v>#DIV/0!</v>
      </c>
      <c r="BR78" s="63"/>
      <c r="BS78" s="58" t="e">
        <f>(Links!AA78^2+'Off-Ramp'!N78^2)/(Links!AA78+'Off-Ramp'!N78)</f>
        <v>#DIV/0!</v>
      </c>
      <c r="BT78" s="58" t="e">
        <f>(Links!AD78^2+'Off-Ramp'!O78^2)/(Links!AD78+'Off-Ramp'!O78)</f>
        <v>#DIV/0!</v>
      </c>
      <c r="BU78" s="58" t="e">
        <f>(Links!AE78^2+'Off-Ramp'!V78^2+'Off-Ramp'!W78^2+'Off-Ramp'!X78^2)/(Links!AE78+'Off-Ramp'!V78+'Off-Ramp'!W78+'Off-Ramp'!X78)</f>
        <v>#DIV/0!</v>
      </c>
      <c r="BV78" s="58" t="e">
        <f>(Links!AG78^2+'Off-Ramp'!Y78^2+'Off-Ramp'!Z78^2+'Off-Ramp'!AA78^2)/(Links!AG78+'Off-Ramp'!Y78+'Off-Ramp'!Z78+'Off-Ramp'!AA78)</f>
        <v>#DIV/0!</v>
      </c>
      <c r="BW78" s="58" t="e">
        <f>(Links!AH78^2+'Off-Ramp'!R78^2)/(Links!AH78+'Off-Ramp'!R78)</f>
        <v>#DIV/0!</v>
      </c>
      <c r="BX78" s="58" t="e">
        <f>(Links!AK78^2+'Off-Ramp'!S78^2)/(Links!AK78+'Off-Ramp'!S78)</f>
        <v>#DIV/0!</v>
      </c>
      <c r="BY78" s="58" t="e">
        <f>(Links!AL78^2+'Off-Ramp'!T78^2)/(Links!AL78+'Off-Ramp'!T78)</f>
        <v>#DIV/0!</v>
      </c>
      <c r="BZ78" s="63"/>
      <c r="CA78" s="58" t="e">
        <f>(Links!AN78^2+'Off-Ramp'!U78^2)/(Links!AN78+'Off-Ramp'!U78)</f>
        <v>#DIV/0!</v>
      </c>
    </row>
    <row r="79" spans="1:79" x14ac:dyDescent="0.15">
      <c r="A79" s="56">
        <v>77</v>
      </c>
      <c r="B79" s="57" t="e">
        <f t="shared" si="30"/>
        <v>#DIV/0!</v>
      </c>
      <c r="C79" s="57" t="e">
        <f t="shared" si="31"/>
        <v>#DIV/0!</v>
      </c>
      <c r="D79" s="57" t="e">
        <f t="shared" si="32"/>
        <v>#DIV/0!</v>
      </c>
      <c r="E79" s="57" t="e">
        <f t="shared" si="33"/>
        <v>#DIV/0!</v>
      </c>
      <c r="F79" s="57" t="e">
        <f t="shared" si="34"/>
        <v>#DIV/0!</v>
      </c>
      <c r="G79" s="57" t="e">
        <f t="shared" si="35"/>
        <v>#DIV/0!</v>
      </c>
      <c r="H79" s="57" t="e">
        <f t="shared" si="36"/>
        <v>#DIV/0!</v>
      </c>
      <c r="I79" s="57" t="e">
        <f t="shared" si="37"/>
        <v>#DIV/0!</v>
      </c>
      <c r="J79" s="57" t="e">
        <f t="shared" si="38"/>
        <v>#DIV/0!</v>
      </c>
      <c r="K79" s="57" t="e">
        <f t="shared" si="39"/>
        <v>#DIV/0!</v>
      </c>
      <c r="L79" s="57" t="e">
        <f t="shared" si="40"/>
        <v>#DIV/0!</v>
      </c>
      <c r="M79" s="57" t="e">
        <f t="shared" si="41"/>
        <v>#DIV/0!</v>
      </c>
      <c r="N79" s="57" t="e">
        <f t="shared" si="42"/>
        <v>#DIV/0!</v>
      </c>
      <c r="O79" s="58" t="e">
        <f>Links!B79</f>
        <v>#DIV/0!</v>
      </c>
      <c r="P79" s="58" t="e">
        <f>Links!C79+'On-Ramps'!AC79</f>
        <v>#DIV/0!</v>
      </c>
      <c r="Q79" s="58" t="e">
        <f>Links!D79</f>
        <v>#DIV/0!</v>
      </c>
      <c r="R79" s="58" t="e">
        <f>Links!E79+'On-Ramps'!AD79</f>
        <v>#DIV/0!</v>
      </c>
      <c r="S79" s="58" t="e">
        <f>Links!F79+'On-Ramps'!AE79</f>
        <v>#DIV/0!</v>
      </c>
      <c r="T79" s="58" t="e">
        <f>Links!I79+'On-Ramps'!AF79</f>
        <v>#DIV/0!</v>
      </c>
      <c r="U79" s="58" t="e">
        <f>Links!J79+'On-Ramps'!AG79</f>
        <v>#DIV/0!</v>
      </c>
      <c r="V79" s="58" t="e">
        <f>Links!L79+'On-Ramps'!AH79</f>
        <v>#DIV/0!</v>
      </c>
      <c r="W79" s="58" t="e">
        <f>Links!M79+'On-Ramps'!AI79</f>
        <v>#DIV/0!</v>
      </c>
      <c r="X79" s="58" t="e">
        <f>Links!P79+'On-Ramps'!AJ79</f>
        <v>#DIV/0!</v>
      </c>
      <c r="Y79" s="58" t="e">
        <f>Links!Q79</f>
        <v>#DIV/0!</v>
      </c>
      <c r="Z79" s="58" t="e">
        <f>Links!R79+'On-Ramps'!AK79</f>
        <v>#DIV/0!</v>
      </c>
      <c r="AA79" s="58" t="e">
        <f>Links!S79</f>
        <v>#DIV/0!</v>
      </c>
      <c r="AB79" s="57" t="e">
        <f t="shared" si="43"/>
        <v>#VALUE!</v>
      </c>
      <c r="AC79" s="63"/>
      <c r="AD79" s="57" t="e">
        <f t="shared" si="44"/>
        <v>#DIV/0!</v>
      </c>
      <c r="AE79" s="63"/>
      <c r="AF79" s="57" t="e">
        <f t="shared" si="45"/>
        <v>#DIV/0!</v>
      </c>
      <c r="AG79" s="57" t="e">
        <f t="shared" si="46"/>
        <v>#DIV/0!</v>
      </c>
      <c r="AH79" s="57" t="e">
        <f t="shared" si="47"/>
        <v>#DIV/0!</v>
      </c>
      <c r="AI79" s="57" t="e">
        <f t="shared" si="48"/>
        <v>#DIV/0!</v>
      </c>
      <c r="AJ79" s="57" t="e">
        <f t="shared" si="49"/>
        <v>#DIV/0!</v>
      </c>
      <c r="AK79" s="57" t="e">
        <f t="shared" si="50"/>
        <v>#DIV/0!</v>
      </c>
      <c r="AL79" s="57" t="e">
        <f t="shared" si="51"/>
        <v>#DIV/0!</v>
      </c>
      <c r="AM79" s="63"/>
      <c r="AN79" s="57" t="e">
        <f t="shared" si="26"/>
        <v>#DIV/0!</v>
      </c>
      <c r="AO79" s="58" t="e">
        <f t="shared" si="29"/>
        <v>#VALUE!</v>
      </c>
      <c r="AP79" s="63"/>
      <c r="AQ79" s="58" t="e">
        <f t="shared" si="52"/>
        <v>#DIV/0!</v>
      </c>
      <c r="AR79" s="63"/>
      <c r="AS79" s="58" t="e">
        <f t="shared" si="52"/>
        <v>#DIV/0!</v>
      </c>
      <c r="AT79" s="58" t="e">
        <f t="shared" si="52"/>
        <v>#DIV/0!</v>
      </c>
      <c r="AU79" s="58" t="e">
        <f t="shared" si="52"/>
        <v>#DIV/0!</v>
      </c>
      <c r="AV79" s="58" t="e">
        <f t="shared" si="52"/>
        <v>#DIV/0!</v>
      </c>
      <c r="AW79" s="58" t="e">
        <f t="shared" si="52"/>
        <v>#DIV/0!</v>
      </c>
      <c r="AX79" s="58" t="e">
        <f t="shared" si="52"/>
        <v>#DIV/0!</v>
      </c>
      <c r="AY79" s="58" t="e">
        <f t="shared" si="52"/>
        <v>#DIV/0!</v>
      </c>
      <c r="AZ79" s="63"/>
      <c r="BA79" s="58" t="e">
        <f t="shared" si="52"/>
        <v>#DIV/0!</v>
      </c>
      <c r="BB79" s="63"/>
      <c r="BC79" s="57" t="e">
        <f>(Links!C79*Links!AQ79+'On-Ramps'!AC79*'On-Ramps'!CE79)/('On-Ramps'!AC79+Links!C79)</f>
        <v>#DIV/0!</v>
      </c>
      <c r="BD79" s="63"/>
      <c r="BE79" s="57" t="e">
        <f>(Links!E79*Links!AS79+'On-Ramps'!AD79*'On-Ramps'!CF78)/('On-Ramps'!AD79+Links!E79)</f>
        <v>#DIV/0!</v>
      </c>
      <c r="BF79" s="57" t="e">
        <f>(Links!F79*Links!AT79+'On-Ramps'!AE79*'On-Ramps'!CG79)/('On-Ramps'!AE79+Links!F79)</f>
        <v>#DIV/0!</v>
      </c>
      <c r="BG79" s="57" t="e">
        <f>(Links!I79*Links!AW79+'On-Ramps'!AF79*'On-Ramps'!CH79)/('On-Ramps'!AF79+Links!I79)</f>
        <v>#DIV/0!</v>
      </c>
      <c r="BH79" s="57" t="e">
        <f>(#REF!*#REF!+'On-Ramps'!AG79*'On-Ramps'!CI79)/('On-Ramps'!AG79+#REF!)</f>
        <v>#REF!</v>
      </c>
      <c r="BI79" s="57" t="e">
        <f>(Links!L79*Links!AZ79+'On-Ramps'!AH79*'On-Ramps'!CJ79)/('On-Ramps'!AH79+Links!L79)</f>
        <v>#DIV/0!</v>
      </c>
      <c r="BJ79" s="57" t="e">
        <f>(Links!BA79*Links!M79+'On-Ramps'!AI79*'On-Ramps'!CK79)/('On-Ramps'!AI79+Links!M79)</f>
        <v>#DIV/0!</v>
      </c>
      <c r="BK79" s="57" t="e">
        <f>(Links!S79*Links!BG79+'On-Ramps'!AJ79*'On-Ramps'!CL79)/('On-Ramps'!AJ79+Links!S79)</f>
        <v>#DIV/0!</v>
      </c>
      <c r="BL79" s="63"/>
      <c r="BM79" s="57" t="e">
        <f>(Links!S79*Links!BG79+'On-Ramps'!AL79*'On-Ramps'!CM79)/(Links!S79+'On-Ramps'!AL79)</f>
        <v>#DIV/0!</v>
      </c>
      <c r="BN79" s="63"/>
      <c r="BO79" s="58" t="e">
        <f>(Links!W79^2+'Off-Ramp'!L79^2)/(Links!W79+'Off-Ramp'!L79)</f>
        <v>#DIV/0!</v>
      </c>
      <c r="BP79" s="63"/>
      <c r="BQ79" s="58" t="e">
        <f>(Links!Y79^2+'Off-Ramp'!C79^2)/(Links!Y79+'Off-Ramp'!C79)</f>
        <v>#DIV/0!</v>
      </c>
      <c r="BR79" s="63"/>
      <c r="BS79" s="58" t="e">
        <f>(Links!AA79^2+'Off-Ramp'!N79^2)/(Links!AA79+'Off-Ramp'!N79)</f>
        <v>#DIV/0!</v>
      </c>
      <c r="BT79" s="58" t="e">
        <f>(Links!AD79^2+'Off-Ramp'!O79^2)/(Links!AD79+'Off-Ramp'!O79)</f>
        <v>#DIV/0!</v>
      </c>
      <c r="BU79" s="58" t="e">
        <f>(Links!AE79^2+'Off-Ramp'!V79^2+'Off-Ramp'!W79^2+'Off-Ramp'!X79^2)/(Links!AE79+'Off-Ramp'!V79+'Off-Ramp'!W79+'Off-Ramp'!X79)</f>
        <v>#DIV/0!</v>
      </c>
      <c r="BV79" s="58" t="e">
        <f>(Links!AG79^2+'Off-Ramp'!Y79^2+'Off-Ramp'!Z79^2+'Off-Ramp'!AA79^2)/(Links!AG79+'Off-Ramp'!Y79+'Off-Ramp'!Z79+'Off-Ramp'!AA79)</f>
        <v>#DIV/0!</v>
      </c>
      <c r="BW79" s="58" t="e">
        <f>(Links!AH79^2+'Off-Ramp'!R79^2)/(Links!AH79+'Off-Ramp'!R79)</f>
        <v>#DIV/0!</v>
      </c>
      <c r="BX79" s="58" t="e">
        <f>(Links!AK79^2+'Off-Ramp'!S79^2)/(Links!AK79+'Off-Ramp'!S79)</f>
        <v>#DIV/0!</v>
      </c>
      <c r="BY79" s="58" t="e">
        <f>(Links!AL79^2+'Off-Ramp'!T79^2)/(Links!AL79+'Off-Ramp'!T79)</f>
        <v>#DIV/0!</v>
      </c>
      <c r="BZ79" s="63"/>
      <c r="CA79" s="58" t="e">
        <f>(Links!AN79^2+'Off-Ramp'!U79^2)/(Links!AN79+'Off-Ramp'!U79)</f>
        <v>#DIV/0!</v>
      </c>
    </row>
    <row r="80" spans="1:79" x14ac:dyDescent="0.15">
      <c r="A80" s="56">
        <v>78</v>
      </c>
      <c r="B80" s="57" t="e">
        <f t="shared" si="30"/>
        <v>#DIV/0!</v>
      </c>
      <c r="C80" s="57" t="e">
        <f t="shared" si="31"/>
        <v>#DIV/0!</v>
      </c>
      <c r="D80" s="57" t="e">
        <f t="shared" si="32"/>
        <v>#DIV/0!</v>
      </c>
      <c r="E80" s="57" t="e">
        <f t="shared" si="33"/>
        <v>#DIV/0!</v>
      </c>
      <c r="F80" s="57" t="e">
        <f t="shared" si="34"/>
        <v>#DIV/0!</v>
      </c>
      <c r="G80" s="57" t="e">
        <f t="shared" si="35"/>
        <v>#DIV/0!</v>
      </c>
      <c r="H80" s="57" t="e">
        <f t="shared" si="36"/>
        <v>#DIV/0!</v>
      </c>
      <c r="I80" s="57" t="e">
        <f t="shared" si="37"/>
        <v>#DIV/0!</v>
      </c>
      <c r="J80" s="57" t="e">
        <f t="shared" si="38"/>
        <v>#DIV/0!</v>
      </c>
      <c r="K80" s="57" t="e">
        <f t="shared" si="39"/>
        <v>#DIV/0!</v>
      </c>
      <c r="L80" s="57" t="e">
        <f t="shared" si="40"/>
        <v>#DIV/0!</v>
      </c>
      <c r="M80" s="57" t="e">
        <f t="shared" si="41"/>
        <v>#DIV/0!</v>
      </c>
      <c r="N80" s="57" t="e">
        <f t="shared" si="42"/>
        <v>#DIV/0!</v>
      </c>
      <c r="O80" s="58" t="e">
        <f>Links!B80</f>
        <v>#DIV/0!</v>
      </c>
      <c r="P80" s="58" t="e">
        <f>Links!C80+'On-Ramps'!AC80</f>
        <v>#DIV/0!</v>
      </c>
      <c r="Q80" s="58" t="e">
        <f>Links!D80</f>
        <v>#DIV/0!</v>
      </c>
      <c r="R80" s="58" t="e">
        <f>Links!E80+'On-Ramps'!AD80</f>
        <v>#DIV/0!</v>
      </c>
      <c r="S80" s="58" t="e">
        <f>Links!F80+'On-Ramps'!AE80</f>
        <v>#DIV/0!</v>
      </c>
      <c r="T80" s="58" t="e">
        <f>Links!I80+'On-Ramps'!AF80</f>
        <v>#DIV/0!</v>
      </c>
      <c r="U80" s="58" t="e">
        <f>Links!J80+'On-Ramps'!AG80</f>
        <v>#DIV/0!</v>
      </c>
      <c r="V80" s="58" t="e">
        <f>Links!L80+'On-Ramps'!AH80</f>
        <v>#DIV/0!</v>
      </c>
      <c r="W80" s="58" t="e">
        <f>Links!M80+'On-Ramps'!AI80</f>
        <v>#DIV/0!</v>
      </c>
      <c r="X80" s="58" t="e">
        <f>Links!P80+'On-Ramps'!AJ80</f>
        <v>#DIV/0!</v>
      </c>
      <c r="Y80" s="58" t="e">
        <f>Links!Q80</f>
        <v>#DIV/0!</v>
      </c>
      <c r="Z80" s="58" t="e">
        <f>Links!R80+'On-Ramps'!AK80</f>
        <v>#DIV/0!</v>
      </c>
      <c r="AA80" s="58" t="e">
        <f>Links!S80</f>
        <v>#DIV/0!</v>
      </c>
      <c r="AB80" s="57" t="e">
        <f t="shared" si="43"/>
        <v>#VALUE!</v>
      </c>
      <c r="AC80" s="63"/>
      <c r="AD80" s="57" t="e">
        <f t="shared" si="44"/>
        <v>#DIV/0!</v>
      </c>
      <c r="AE80" s="63"/>
      <c r="AF80" s="57" t="e">
        <f t="shared" si="45"/>
        <v>#DIV/0!</v>
      </c>
      <c r="AG80" s="57" t="e">
        <f t="shared" si="46"/>
        <v>#DIV/0!</v>
      </c>
      <c r="AH80" s="57" t="e">
        <f t="shared" si="47"/>
        <v>#DIV/0!</v>
      </c>
      <c r="AI80" s="57" t="e">
        <f t="shared" si="48"/>
        <v>#DIV/0!</v>
      </c>
      <c r="AJ80" s="57" t="e">
        <f t="shared" si="49"/>
        <v>#DIV/0!</v>
      </c>
      <c r="AK80" s="57" t="e">
        <f t="shared" si="50"/>
        <v>#DIV/0!</v>
      </c>
      <c r="AL80" s="57" t="e">
        <f t="shared" si="51"/>
        <v>#DIV/0!</v>
      </c>
      <c r="AM80" s="63"/>
      <c r="AN80" s="57" t="e">
        <f t="shared" si="26"/>
        <v>#DIV/0!</v>
      </c>
      <c r="AO80" s="58" t="e">
        <f t="shared" si="29"/>
        <v>#VALUE!</v>
      </c>
      <c r="AP80" s="63"/>
      <c r="AQ80" s="58" t="e">
        <f t="shared" si="52"/>
        <v>#DIV/0!</v>
      </c>
      <c r="AR80" s="63"/>
      <c r="AS80" s="58" t="e">
        <f t="shared" si="52"/>
        <v>#DIV/0!</v>
      </c>
      <c r="AT80" s="58" t="e">
        <f t="shared" si="52"/>
        <v>#DIV/0!</v>
      </c>
      <c r="AU80" s="58" t="e">
        <f t="shared" si="52"/>
        <v>#DIV/0!</v>
      </c>
      <c r="AV80" s="58" t="e">
        <f t="shared" si="52"/>
        <v>#DIV/0!</v>
      </c>
      <c r="AW80" s="58" t="e">
        <f t="shared" si="52"/>
        <v>#DIV/0!</v>
      </c>
      <c r="AX80" s="58" t="e">
        <f t="shared" si="52"/>
        <v>#DIV/0!</v>
      </c>
      <c r="AY80" s="58" t="e">
        <f t="shared" si="52"/>
        <v>#DIV/0!</v>
      </c>
      <c r="AZ80" s="63"/>
      <c r="BA80" s="58" t="e">
        <f t="shared" si="52"/>
        <v>#DIV/0!</v>
      </c>
      <c r="BB80" s="63"/>
      <c r="BC80" s="57" t="e">
        <f>(Links!C80*Links!AQ80+'On-Ramps'!AC80*'On-Ramps'!CE80)/('On-Ramps'!AC80+Links!C80)</f>
        <v>#DIV/0!</v>
      </c>
      <c r="BD80" s="63"/>
      <c r="BE80" s="57" t="e">
        <f>(Links!E80*Links!AS80+'On-Ramps'!AD80*'On-Ramps'!CF79)/('On-Ramps'!AD80+Links!E80)</f>
        <v>#DIV/0!</v>
      </c>
      <c r="BF80" s="57" t="e">
        <f>(Links!F80*Links!AT80+'On-Ramps'!AE80*'On-Ramps'!CG80)/('On-Ramps'!AE80+Links!F80)</f>
        <v>#DIV/0!</v>
      </c>
      <c r="BG80" s="57" t="e">
        <f>(Links!I80*Links!AW80+'On-Ramps'!AF80*'On-Ramps'!CH80)/('On-Ramps'!AF80+Links!I80)</f>
        <v>#DIV/0!</v>
      </c>
      <c r="BH80" s="57" t="e">
        <f>(#REF!*#REF!+'On-Ramps'!AG80*'On-Ramps'!CI80)/('On-Ramps'!AG80+#REF!)</f>
        <v>#REF!</v>
      </c>
      <c r="BI80" s="57" t="e">
        <f>(Links!L80*Links!AZ80+'On-Ramps'!AH80*'On-Ramps'!CJ80)/('On-Ramps'!AH80+Links!L80)</f>
        <v>#DIV/0!</v>
      </c>
      <c r="BJ80" s="57" t="e">
        <f>(Links!BA80*Links!M80+'On-Ramps'!AI80*'On-Ramps'!CK80)/('On-Ramps'!AI80+Links!M80)</f>
        <v>#DIV/0!</v>
      </c>
      <c r="BK80" s="57" t="e">
        <f>(Links!S80*Links!BG80+'On-Ramps'!AJ80*'On-Ramps'!CL80)/('On-Ramps'!AJ80+Links!S80)</f>
        <v>#DIV/0!</v>
      </c>
      <c r="BL80" s="63"/>
      <c r="BM80" s="57" t="e">
        <f>(Links!S80*Links!BG80+'On-Ramps'!AL80*'On-Ramps'!CM80)/(Links!S80+'On-Ramps'!AL80)</f>
        <v>#DIV/0!</v>
      </c>
      <c r="BN80" s="63"/>
      <c r="BO80" s="58" t="e">
        <f>(Links!W80^2+'Off-Ramp'!L80^2)/(Links!W80+'Off-Ramp'!L80)</f>
        <v>#DIV/0!</v>
      </c>
      <c r="BP80" s="63"/>
      <c r="BQ80" s="58" t="e">
        <f>(Links!Y80^2+'Off-Ramp'!C80^2)/(Links!Y80+'Off-Ramp'!C80)</f>
        <v>#DIV/0!</v>
      </c>
      <c r="BR80" s="63"/>
      <c r="BS80" s="58" t="e">
        <f>(Links!AA80^2+'Off-Ramp'!N80^2)/(Links!AA80+'Off-Ramp'!N80)</f>
        <v>#DIV/0!</v>
      </c>
      <c r="BT80" s="58" t="e">
        <f>(Links!AD80^2+'Off-Ramp'!O80^2)/(Links!AD80+'Off-Ramp'!O80)</f>
        <v>#DIV/0!</v>
      </c>
      <c r="BU80" s="58" t="e">
        <f>(Links!AE80^2+'Off-Ramp'!V80^2+'Off-Ramp'!W80^2+'Off-Ramp'!X80^2)/(Links!AE80+'Off-Ramp'!V80+'Off-Ramp'!W80+'Off-Ramp'!X80)</f>
        <v>#DIV/0!</v>
      </c>
      <c r="BV80" s="58" t="e">
        <f>(Links!AG80^2+'Off-Ramp'!Y80^2+'Off-Ramp'!Z80^2+'Off-Ramp'!AA80^2)/(Links!AG80+'Off-Ramp'!Y80+'Off-Ramp'!Z80+'Off-Ramp'!AA80)</f>
        <v>#DIV/0!</v>
      </c>
      <c r="BW80" s="58" t="e">
        <f>(Links!AH80^2+'Off-Ramp'!R80^2)/(Links!AH80+'Off-Ramp'!R80)</f>
        <v>#DIV/0!</v>
      </c>
      <c r="BX80" s="58" t="e">
        <f>(Links!AK80^2+'Off-Ramp'!S80^2)/(Links!AK80+'Off-Ramp'!S80)</f>
        <v>#DIV/0!</v>
      </c>
      <c r="BY80" s="58" t="e">
        <f>(Links!AL80^2+'Off-Ramp'!T80^2)/(Links!AL80+'Off-Ramp'!T80)</f>
        <v>#DIV/0!</v>
      </c>
      <c r="BZ80" s="63"/>
      <c r="CA80" s="58" t="e">
        <f>(Links!AN80^2+'Off-Ramp'!U80^2)/(Links!AN80+'Off-Ramp'!U80)</f>
        <v>#DIV/0!</v>
      </c>
    </row>
    <row r="81" spans="1:79" x14ac:dyDescent="0.15">
      <c r="A81" s="56">
        <v>79</v>
      </c>
      <c r="B81" s="57" t="e">
        <f t="shared" si="30"/>
        <v>#DIV/0!</v>
      </c>
      <c r="C81" s="57" t="e">
        <f t="shared" si="31"/>
        <v>#DIV/0!</v>
      </c>
      <c r="D81" s="57" t="e">
        <f t="shared" si="32"/>
        <v>#DIV/0!</v>
      </c>
      <c r="E81" s="57" t="e">
        <f t="shared" si="33"/>
        <v>#DIV/0!</v>
      </c>
      <c r="F81" s="57" t="e">
        <f t="shared" si="34"/>
        <v>#DIV/0!</v>
      </c>
      <c r="G81" s="57" t="e">
        <f t="shared" si="35"/>
        <v>#DIV/0!</v>
      </c>
      <c r="H81" s="57" t="e">
        <f t="shared" si="36"/>
        <v>#DIV/0!</v>
      </c>
      <c r="I81" s="57" t="e">
        <f t="shared" si="37"/>
        <v>#DIV/0!</v>
      </c>
      <c r="J81" s="57" t="e">
        <f t="shared" si="38"/>
        <v>#DIV/0!</v>
      </c>
      <c r="K81" s="57" t="e">
        <f t="shared" si="39"/>
        <v>#DIV/0!</v>
      </c>
      <c r="L81" s="57" t="e">
        <f t="shared" si="40"/>
        <v>#DIV/0!</v>
      </c>
      <c r="M81" s="57" t="e">
        <f t="shared" si="41"/>
        <v>#DIV/0!</v>
      </c>
      <c r="N81" s="57" t="e">
        <f t="shared" si="42"/>
        <v>#DIV/0!</v>
      </c>
      <c r="O81" s="58" t="e">
        <f>Links!B81</f>
        <v>#DIV/0!</v>
      </c>
      <c r="P81" s="58" t="e">
        <f>Links!C81+'On-Ramps'!AC81</f>
        <v>#DIV/0!</v>
      </c>
      <c r="Q81" s="58" t="e">
        <f>Links!D81</f>
        <v>#DIV/0!</v>
      </c>
      <c r="R81" s="58" t="e">
        <f>Links!E81+'On-Ramps'!AD81</f>
        <v>#DIV/0!</v>
      </c>
      <c r="S81" s="58" t="e">
        <f>Links!F81+'On-Ramps'!AE81</f>
        <v>#DIV/0!</v>
      </c>
      <c r="T81" s="58" t="e">
        <f>Links!I81+'On-Ramps'!AF81</f>
        <v>#DIV/0!</v>
      </c>
      <c r="U81" s="58" t="e">
        <f>Links!J81+'On-Ramps'!AG81</f>
        <v>#DIV/0!</v>
      </c>
      <c r="V81" s="58" t="e">
        <f>Links!L81+'On-Ramps'!AH81</f>
        <v>#DIV/0!</v>
      </c>
      <c r="W81" s="58" t="e">
        <f>Links!M81+'On-Ramps'!AI81</f>
        <v>#DIV/0!</v>
      </c>
      <c r="X81" s="58" t="e">
        <f>Links!P81+'On-Ramps'!AJ81</f>
        <v>#DIV/0!</v>
      </c>
      <c r="Y81" s="58" t="e">
        <f>Links!Q81</f>
        <v>#DIV/0!</v>
      </c>
      <c r="Z81" s="58" t="e">
        <f>Links!R81+'On-Ramps'!AK81</f>
        <v>#DIV/0!</v>
      </c>
      <c r="AA81" s="58" t="e">
        <f>Links!S81</f>
        <v>#DIV/0!</v>
      </c>
      <c r="AB81" s="57" t="e">
        <f t="shared" si="43"/>
        <v>#VALUE!</v>
      </c>
      <c r="AC81" s="63"/>
      <c r="AD81" s="57" t="e">
        <f t="shared" si="44"/>
        <v>#DIV/0!</v>
      </c>
      <c r="AE81" s="63"/>
      <c r="AF81" s="57" t="e">
        <f t="shared" si="45"/>
        <v>#DIV/0!</v>
      </c>
      <c r="AG81" s="57" t="e">
        <f t="shared" si="46"/>
        <v>#DIV/0!</v>
      </c>
      <c r="AH81" s="57" t="e">
        <f t="shared" si="47"/>
        <v>#DIV/0!</v>
      </c>
      <c r="AI81" s="57" t="e">
        <f t="shared" si="48"/>
        <v>#DIV/0!</v>
      </c>
      <c r="AJ81" s="57" t="e">
        <f t="shared" si="49"/>
        <v>#DIV/0!</v>
      </c>
      <c r="AK81" s="57" t="e">
        <f t="shared" si="50"/>
        <v>#DIV/0!</v>
      </c>
      <c r="AL81" s="57" t="e">
        <f t="shared" si="51"/>
        <v>#DIV/0!</v>
      </c>
      <c r="AM81" s="63"/>
      <c r="AN81" s="57" t="e">
        <f t="shared" si="26"/>
        <v>#DIV/0!</v>
      </c>
      <c r="AO81" s="58" t="e">
        <f t="shared" si="29"/>
        <v>#VALUE!</v>
      </c>
      <c r="AP81" s="63"/>
      <c r="AQ81" s="58" t="e">
        <f t="shared" si="52"/>
        <v>#DIV/0!</v>
      </c>
      <c r="AR81" s="63"/>
      <c r="AS81" s="58" t="e">
        <f t="shared" si="52"/>
        <v>#DIV/0!</v>
      </c>
      <c r="AT81" s="58" t="e">
        <f t="shared" si="52"/>
        <v>#DIV/0!</v>
      </c>
      <c r="AU81" s="58" t="e">
        <f t="shared" si="52"/>
        <v>#DIV/0!</v>
      </c>
      <c r="AV81" s="58" t="e">
        <f t="shared" si="52"/>
        <v>#DIV/0!</v>
      </c>
      <c r="AW81" s="58" t="e">
        <f t="shared" si="52"/>
        <v>#DIV/0!</v>
      </c>
      <c r="AX81" s="58" t="e">
        <f t="shared" si="52"/>
        <v>#DIV/0!</v>
      </c>
      <c r="AY81" s="58" t="e">
        <f t="shared" si="52"/>
        <v>#DIV/0!</v>
      </c>
      <c r="AZ81" s="63"/>
      <c r="BA81" s="58" t="e">
        <f t="shared" si="52"/>
        <v>#DIV/0!</v>
      </c>
      <c r="BB81" s="63"/>
      <c r="BC81" s="57" t="e">
        <f>(Links!C81*Links!AQ81+'On-Ramps'!AC81*'On-Ramps'!CE81)/('On-Ramps'!AC81+Links!C81)</f>
        <v>#DIV/0!</v>
      </c>
      <c r="BD81" s="63"/>
      <c r="BE81" s="57" t="e">
        <f>(Links!E81*Links!AS81+'On-Ramps'!AD81*'On-Ramps'!CF80)/('On-Ramps'!AD81+Links!E81)</f>
        <v>#DIV/0!</v>
      </c>
      <c r="BF81" s="57" t="e">
        <f>(Links!F81*Links!AT81+'On-Ramps'!AE81*'On-Ramps'!CG81)/('On-Ramps'!AE81+Links!F81)</f>
        <v>#DIV/0!</v>
      </c>
      <c r="BG81" s="57" t="e">
        <f>(Links!I81*Links!AW81+'On-Ramps'!AF81*'On-Ramps'!CH81)/('On-Ramps'!AF81+Links!I81)</f>
        <v>#DIV/0!</v>
      </c>
      <c r="BH81" s="57" t="e">
        <f>(#REF!*#REF!+'On-Ramps'!AG81*'On-Ramps'!CI81)/('On-Ramps'!AG81+#REF!)</f>
        <v>#REF!</v>
      </c>
      <c r="BI81" s="57" t="e">
        <f>(Links!L81*Links!AZ81+'On-Ramps'!AH81*'On-Ramps'!CJ81)/('On-Ramps'!AH81+Links!L81)</f>
        <v>#DIV/0!</v>
      </c>
      <c r="BJ81" s="57" t="e">
        <f>(Links!BA81*Links!M81+'On-Ramps'!AI81*'On-Ramps'!CK81)/('On-Ramps'!AI81+Links!M81)</f>
        <v>#DIV/0!</v>
      </c>
      <c r="BK81" s="57" t="e">
        <f>(Links!S81*Links!BG81+'On-Ramps'!AJ81*'On-Ramps'!CL81)/('On-Ramps'!AJ81+Links!S81)</f>
        <v>#DIV/0!</v>
      </c>
      <c r="BL81" s="63"/>
      <c r="BM81" s="57" t="e">
        <f>(Links!S81*Links!BG81+'On-Ramps'!AL81*'On-Ramps'!CM81)/(Links!S81+'On-Ramps'!AL81)</f>
        <v>#DIV/0!</v>
      </c>
      <c r="BN81" s="63"/>
      <c r="BO81" s="58" t="e">
        <f>(Links!W81^2+'Off-Ramp'!L81^2)/(Links!W81+'Off-Ramp'!L81)</f>
        <v>#DIV/0!</v>
      </c>
      <c r="BP81" s="63"/>
      <c r="BQ81" s="58" t="e">
        <f>(Links!Y81^2+'Off-Ramp'!C81^2)/(Links!Y81+'Off-Ramp'!C81)</f>
        <v>#DIV/0!</v>
      </c>
      <c r="BR81" s="63"/>
      <c r="BS81" s="58" t="e">
        <f>(Links!AA81^2+'Off-Ramp'!N81^2)/(Links!AA81+'Off-Ramp'!N81)</f>
        <v>#DIV/0!</v>
      </c>
      <c r="BT81" s="58" t="e">
        <f>(Links!AD81^2+'Off-Ramp'!O81^2)/(Links!AD81+'Off-Ramp'!O81)</f>
        <v>#DIV/0!</v>
      </c>
      <c r="BU81" s="58" t="e">
        <f>(Links!AE81^2+'Off-Ramp'!V81^2+'Off-Ramp'!W81^2+'Off-Ramp'!X81^2)/(Links!AE81+'Off-Ramp'!V81+'Off-Ramp'!W81+'Off-Ramp'!X81)</f>
        <v>#DIV/0!</v>
      </c>
      <c r="BV81" s="58" t="e">
        <f>(Links!AG81^2+'Off-Ramp'!Y81^2+'Off-Ramp'!Z81^2+'Off-Ramp'!AA81^2)/(Links!AG81+'Off-Ramp'!Y81+'Off-Ramp'!Z81+'Off-Ramp'!AA81)</f>
        <v>#DIV/0!</v>
      </c>
      <c r="BW81" s="58" t="e">
        <f>(Links!AH81^2+'Off-Ramp'!R81^2)/(Links!AH81+'Off-Ramp'!R81)</f>
        <v>#DIV/0!</v>
      </c>
      <c r="BX81" s="58" t="e">
        <f>(Links!AK81^2+'Off-Ramp'!S81^2)/(Links!AK81+'Off-Ramp'!S81)</f>
        <v>#DIV/0!</v>
      </c>
      <c r="BY81" s="58" t="e">
        <f>(Links!AL81^2+'Off-Ramp'!T81^2)/(Links!AL81+'Off-Ramp'!T81)</f>
        <v>#DIV/0!</v>
      </c>
      <c r="BZ81" s="63"/>
      <c r="CA81" s="58" t="e">
        <f>(Links!AN81^2+'Off-Ramp'!U81^2)/(Links!AN81+'Off-Ramp'!U81)</f>
        <v>#DIV/0!</v>
      </c>
    </row>
    <row r="82" spans="1:79" x14ac:dyDescent="0.15">
      <c r="A82" s="56">
        <v>80</v>
      </c>
      <c r="B82" s="57" t="e">
        <f t="shared" si="30"/>
        <v>#DIV/0!</v>
      </c>
      <c r="C82" s="57" t="e">
        <f t="shared" si="31"/>
        <v>#DIV/0!</v>
      </c>
      <c r="D82" s="57" t="e">
        <f t="shared" si="32"/>
        <v>#DIV/0!</v>
      </c>
      <c r="E82" s="57" t="e">
        <f t="shared" si="33"/>
        <v>#DIV/0!</v>
      </c>
      <c r="F82" s="57" t="e">
        <f t="shared" si="34"/>
        <v>#DIV/0!</v>
      </c>
      <c r="G82" s="57" t="e">
        <f t="shared" si="35"/>
        <v>#DIV/0!</v>
      </c>
      <c r="H82" s="57" t="e">
        <f t="shared" si="36"/>
        <v>#DIV/0!</v>
      </c>
      <c r="I82" s="57" t="e">
        <f t="shared" si="37"/>
        <v>#DIV/0!</v>
      </c>
      <c r="J82" s="57" t="e">
        <f t="shared" si="38"/>
        <v>#DIV/0!</v>
      </c>
      <c r="K82" s="57" t="e">
        <f t="shared" si="39"/>
        <v>#DIV/0!</v>
      </c>
      <c r="L82" s="57" t="e">
        <f t="shared" si="40"/>
        <v>#DIV/0!</v>
      </c>
      <c r="M82" s="57" t="e">
        <f t="shared" si="41"/>
        <v>#DIV/0!</v>
      </c>
      <c r="N82" s="57" t="e">
        <f t="shared" si="42"/>
        <v>#DIV/0!</v>
      </c>
      <c r="O82" s="58" t="e">
        <f>Links!B82</f>
        <v>#DIV/0!</v>
      </c>
      <c r="P82" s="58" t="e">
        <f>Links!C82+'On-Ramps'!AC82</f>
        <v>#DIV/0!</v>
      </c>
      <c r="Q82" s="58" t="e">
        <f>Links!D82</f>
        <v>#DIV/0!</v>
      </c>
      <c r="R82" s="58" t="e">
        <f>Links!E82+'On-Ramps'!AD82</f>
        <v>#DIV/0!</v>
      </c>
      <c r="S82" s="58" t="e">
        <f>Links!F82+'On-Ramps'!AE82</f>
        <v>#DIV/0!</v>
      </c>
      <c r="T82" s="58" t="e">
        <f>Links!I82+'On-Ramps'!AF82</f>
        <v>#DIV/0!</v>
      </c>
      <c r="U82" s="58" t="e">
        <f>Links!J82+'On-Ramps'!AG82</f>
        <v>#DIV/0!</v>
      </c>
      <c r="V82" s="58" t="e">
        <f>Links!L82+'On-Ramps'!AH82</f>
        <v>#DIV/0!</v>
      </c>
      <c r="W82" s="58" t="e">
        <f>Links!M82+'On-Ramps'!AI82</f>
        <v>#DIV/0!</v>
      </c>
      <c r="X82" s="58" t="e">
        <f>Links!P82+'On-Ramps'!AJ82</f>
        <v>#DIV/0!</v>
      </c>
      <c r="Y82" s="58" t="e">
        <f>Links!Q82</f>
        <v>#DIV/0!</v>
      </c>
      <c r="Z82" s="58" t="e">
        <f>Links!R82+'On-Ramps'!AK82</f>
        <v>#DIV/0!</v>
      </c>
      <c r="AA82" s="58" t="e">
        <f>Links!S82</f>
        <v>#DIV/0!</v>
      </c>
      <c r="AB82" s="57" t="e">
        <f t="shared" si="43"/>
        <v>#VALUE!</v>
      </c>
      <c r="AC82" s="63"/>
      <c r="AD82" s="57" t="e">
        <f t="shared" si="44"/>
        <v>#DIV/0!</v>
      </c>
      <c r="AE82" s="63"/>
      <c r="AF82" s="57" t="e">
        <f t="shared" si="45"/>
        <v>#DIV/0!</v>
      </c>
      <c r="AG82" s="57" t="e">
        <f t="shared" si="46"/>
        <v>#DIV/0!</v>
      </c>
      <c r="AH82" s="57" t="e">
        <f t="shared" si="47"/>
        <v>#DIV/0!</v>
      </c>
      <c r="AI82" s="57" t="e">
        <f t="shared" si="48"/>
        <v>#DIV/0!</v>
      </c>
      <c r="AJ82" s="57" t="e">
        <f t="shared" si="49"/>
        <v>#DIV/0!</v>
      </c>
      <c r="AK82" s="57" t="e">
        <f t="shared" si="50"/>
        <v>#DIV/0!</v>
      </c>
      <c r="AL82" s="57" t="e">
        <f t="shared" si="51"/>
        <v>#DIV/0!</v>
      </c>
      <c r="AM82" s="63"/>
      <c r="AN82" s="57" t="e">
        <f t="shared" si="26"/>
        <v>#DIV/0!</v>
      </c>
      <c r="AO82" s="58" t="e">
        <f t="shared" si="29"/>
        <v>#VALUE!</v>
      </c>
      <c r="AP82" s="63"/>
      <c r="AQ82" s="58" t="e">
        <f t="shared" si="52"/>
        <v>#DIV/0!</v>
      </c>
      <c r="AR82" s="63"/>
      <c r="AS82" s="58" t="e">
        <f t="shared" si="52"/>
        <v>#DIV/0!</v>
      </c>
      <c r="AT82" s="58" t="e">
        <f t="shared" si="52"/>
        <v>#DIV/0!</v>
      </c>
      <c r="AU82" s="58" t="e">
        <f t="shared" si="52"/>
        <v>#DIV/0!</v>
      </c>
      <c r="AV82" s="58" t="e">
        <f t="shared" si="52"/>
        <v>#DIV/0!</v>
      </c>
      <c r="AW82" s="58" t="e">
        <f t="shared" si="52"/>
        <v>#DIV/0!</v>
      </c>
      <c r="AX82" s="58" t="e">
        <f t="shared" si="52"/>
        <v>#DIV/0!</v>
      </c>
      <c r="AY82" s="58" t="e">
        <f t="shared" si="52"/>
        <v>#DIV/0!</v>
      </c>
      <c r="AZ82" s="63"/>
      <c r="BA82" s="58" t="e">
        <f t="shared" si="52"/>
        <v>#DIV/0!</v>
      </c>
      <c r="BB82" s="63"/>
      <c r="BC82" s="57" t="e">
        <f>(Links!C82*Links!AQ82+'On-Ramps'!AC82*'On-Ramps'!CE82)/('On-Ramps'!AC82+Links!C82)</f>
        <v>#DIV/0!</v>
      </c>
      <c r="BD82" s="63"/>
      <c r="BE82" s="57" t="e">
        <f>(Links!E82*Links!AS82+'On-Ramps'!AD82*'On-Ramps'!CF81)/('On-Ramps'!AD82+Links!E82)</f>
        <v>#DIV/0!</v>
      </c>
      <c r="BF82" s="57" t="e">
        <f>(Links!F82*Links!AT82+'On-Ramps'!AE82*'On-Ramps'!CG82)/('On-Ramps'!AE82+Links!F82)</f>
        <v>#DIV/0!</v>
      </c>
      <c r="BG82" s="57" t="e">
        <f>(Links!I82*Links!AW82+'On-Ramps'!AF82*'On-Ramps'!CH82)/('On-Ramps'!AF82+Links!I82)</f>
        <v>#DIV/0!</v>
      </c>
      <c r="BH82" s="57" t="e">
        <f>(#REF!*#REF!+'On-Ramps'!AG82*'On-Ramps'!CI82)/('On-Ramps'!AG82+#REF!)</f>
        <v>#REF!</v>
      </c>
      <c r="BI82" s="57" t="e">
        <f>(Links!L82*Links!AZ82+'On-Ramps'!AH82*'On-Ramps'!CJ82)/('On-Ramps'!AH82+Links!L82)</f>
        <v>#DIV/0!</v>
      </c>
      <c r="BJ82" s="57" t="e">
        <f>(Links!BA82*Links!M82+'On-Ramps'!AI82*'On-Ramps'!CK82)/('On-Ramps'!AI82+Links!M82)</f>
        <v>#DIV/0!</v>
      </c>
      <c r="BK82" s="57" t="e">
        <f>(Links!S82*Links!BG82+'On-Ramps'!AJ82*'On-Ramps'!CL82)/('On-Ramps'!AJ82+Links!S82)</f>
        <v>#DIV/0!</v>
      </c>
      <c r="BL82" s="63"/>
      <c r="BM82" s="57" t="e">
        <f>(Links!S82*Links!BG82+'On-Ramps'!AL82*'On-Ramps'!CM82)/(Links!S82+'On-Ramps'!AL82)</f>
        <v>#DIV/0!</v>
      </c>
      <c r="BN82" s="63"/>
      <c r="BO82" s="58" t="e">
        <f>(Links!W82^2+'Off-Ramp'!L82^2)/(Links!W82+'Off-Ramp'!L82)</f>
        <v>#DIV/0!</v>
      </c>
      <c r="BP82" s="63"/>
      <c r="BQ82" s="58" t="e">
        <f>(Links!Y82^2+'Off-Ramp'!C82^2)/(Links!Y82+'Off-Ramp'!C82)</f>
        <v>#DIV/0!</v>
      </c>
      <c r="BR82" s="63"/>
      <c r="BS82" s="58" t="e">
        <f>(Links!AA82^2+'Off-Ramp'!N82^2)/(Links!AA82+'Off-Ramp'!N82)</f>
        <v>#DIV/0!</v>
      </c>
      <c r="BT82" s="58" t="e">
        <f>(Links!AD82^2+'Off-Ramp'!O82^2)/(Links!AD82+'Off-Ramp'!O82)</f>
        <v>#DIV/0!</v>
      </c>
      <c r="BU82" s="58" t="e">
        <f>(Links!AE82^2+'Off-Ramp'!V82^2+'Off-Ramp'!W82^2+'Off-Ramp'!X82^2)/(Links!AE82+'Off-Ramp'!V82+'Off-Ramp'!W82+'Off-Ramp'!X82)</f>
        <v>#DIV/0!</v>
      </c>
      <c r="BV82" s="58" t="e">
        <f>(Links!AG82^2+'Off-Ramp'!Y82^2+'Off-Ramp'!Z82^2+'Off-Ramp'!AA82^2)/(Links!AG82+'Off-Ramp'!Y82+'Off-Ramp'!Z82+'Off-Ramp'!AA82)</f>
        <v>#DIV/0!</v>
      </c>
      <c r="BW82" s="58" t="e">
        <f>(Links!AH82^2+'Off-Ramp'!R82^2)/(Links!AH82+'Off-Ramp'!R82)</f>
        <v>#DIV/0!</v>
      </c>
      <c r="BX82" s="58" t="e">
        <f>(Links!AK82^2+'Off-Ramp'!S82^2)/(Links!AK82+'Off-Ramp'!S82)</f>
        <v>#DIV/0!</v>
      </c>
      <c r="BY82" s="58" t="e">
        <f>(Links!AL82^2+'Off-Ramp'!T82^2)/(Links!AL82+'Off-Ramp'!T82)</f>
        <v>#DIV/0!</v>
      </c>
      <c r="BZ82" s="63"/>
      <c r="CA82" s="58" t="e">
        <f>(Links!AN82^2+'Off-Ramp'!U82^2)/(Links!AN82+'Off-Ramp'!U82)</f>
        <v>#DIV/0!</v>
      </c>
    </row>
    <row r="83" spans="1:79" x14ac:dyDescent="0.15">
      <c r="A83" s="56">
        <v>81</v>
      </c>
      <c r="B83" s="57" t="e">
        <f t="shared" si="30"/>
        <v>#DIV/0!</v>
      </c>
      <c r="C83" s="57" t="e">
        <f t="shared" si="31"/>
        <v>#DIV/0!</v>
      </c>
      <c r="D83" s="57" t="e">
        <f t="shared" si="32"/>
        <v>#DIV/0!</v>
      </c>
      <c r="E83" s="57" t="e">
        <f t="shared" si="33"/>
        <v>#DIV/0!</v>
      </c>
      <c r="F83" s="57" t="e">
        <f t="shared" si="34"/>
        <v>#DIV/0!</v>
      </c>
      <c r="G83" s="57" t="e">
        <f t="shared" si="35"/>
        <v>#DIV/0!</v>
      </c>
      <c r="H83" s="57" t="e">
        <f t="shared" si="36"/>
        <v>#DIV/0!</v>
      </c>
      <c r="I83" s="57" t="e">
        <f t="shared" si="37"/>
        <v>#DIV/0!</v>
      </c>
      <c r="J83" s="57" t="e">
        <f t="shared" si="38"/>
        <v>#DIV/0!</v>
      </c>
      <c r="K83" s="57" t="e">
        <f t="shared" si="39"/>
        <v>#DIV/0!</v>
      </c>
      <c r="L83" s="57" t="e">
        <f t="shared" si="40"/>
        <v>#DIV/0!</v>
      </c>
      <c r="M83" s="57" t="e">
        <f t="shared" si="41"/>
        <v>#DIV/0!</v>
      </c>
      <c r="N83" s="57" t="e">
        <f t="shared" si="42"/>
        <v>#DIV/0!</v>
      </c>
      <c r="O83" s="58" t="e">
        <f>Links!B83</f>
        <v>#DIV/0!</v>
      </c>
      <c r="P83" s="58" t="e">
        <f>Links!C83+'On-Ramps'!AC83</f>
        <v>#DIV/0!</v>
      </c>
      <c r="Q83" s="58" t="e">
        <f>Links!D83</f>
        <v>#DIV/0!</v>
      </c>
      <c r="R83" s="58" t="e">
        <f>Links!E83+'On-Ramps'!AD83</f>
        <v>#DIV/0!</v>
      </c>
      <c r="S83" s="58" t="e">
        <f>Links!F83+'On-Ramps'!AE83</f>
        <v>#DIV/0!</v>
      </c>
      <c r="T83" s="58" t="e">
        <f>Links!I83+'On-Ramps'!AF83</f>
        <v>#DIV/0!</v>
      </c>
      <c r="U83" s="58" t="e">
        <f>Links!J83+'On-Ramps'!AG83</f>
        <v>#DIV/0!</v>
      </c>
      <c r="V83" s="58" t="e">
        <f>Links!L83+'On-Ramps'!AH83</f>
        <v>#DIV/0!</v>
      </c>
      <c r="W83" s="58" t="e">
        <f>Links!M83+'On-Ramps'!AI83</f>
        <v>#DIV/0!</v>
      </c>
      <c r="X83" s="58" t="e">
        <f>Links!P83+'On-Ramps'!AJ83</f>
        <v>#DIV/0!</v>
      </c>
      <c r="Y83" s="58" t="e">
        <f>Links!Q83</f>
        <v>#DIV/0!</v>
      </c>
      <c r="Z83" s="58" t="e">
        <f>Links!R83+'On-Ramps'!AK83</f>
        <v>#DIV/0!</v>
      </c>
      <c r="AA83" s="58" t="e">
        <f>Links!S83</f>
        <v>#DIV/0!</v>
      </c>
      <c r="AB83" s="57" t="e">
        <f t="shared" si="43"/>
        <v>#VALUE!</v>
      </c>
      <c r="AC83" s="63"/>
      <c r="AD83" s="57" t="e">
        <f t="shared" si="44"/>
        <v>#DIV/0!</v>
      </c>
      <c r="AE83" s="63"/>
      <c r="AF83" s="57" t="e">
        <f t="shared" si="45"/>
        <v>#DIV/0!</v>
      </c>
      <c r="AG83" s="57" t="e">
        <f t="shared" si="46"/>
        <v>#DIV/0!</v>
      </c>
      <c r="AH83" s="57" t="e">
        <f t="shared" si="47"/>
        <v>#DIV/0!</v>
      </c>
      <c r="AI83" s="57" t="e">
        <f t="shared" si="48"/>
        <v>#DIV/0!</v>
      </c>
      <c r="AJ83" s="57" t="e">
        <f t="shared" si="49"/>
        <v>#DIV/0!</v>
      </c>
      <c r="AK83" s="57" t="e">
        <f t="shared" si="50"/>
        <v>#DIV/0!</v>
      </c>
      <c r="AL83" s="57" t="e">
        <f t="shared" si="51"/>
        <v>#DIV/0!</v>
      </c>
      <c r="AM83" s="63"/>
      <c r="AN83" s="57" t="e">
        <f t="shared" si="26"/>
        <v>#DIV/0!</v>
      </c>
      <c r="AO83" s="58" t="e">
        <f t="shared" si="29"/>
        <v>#VALUE!</v>
      </c>
      <c r="AP83" s="63"/>
      <c r="AQ83" s="58" t="e">
        <f t="shared" si="52"/>
        <v>#DIV/0!</v>
      </c>
      <c r="AR83" s="63"/>
      <c r="AS83" s="58" t="e">
        <f t="shared" si="52"/>
        <v>#DIV/0!</v>
      </c>
      <c r="AT83" s="58" t="e">
        <f t="shared" si="52"/>
        <v>#DIV/0!</v>
      </c>
      <c r="AU83" s="58" t="e">
        <f t="shared" si="52"/>
        <v>#DIV/0!</v>
      </c>
      <c r="AV83" s="58" t="e">
        <f t="shared" si="52"/>
        <v>#DIV/0!</v>
      </c>
      <c r="AW83" s="58" t="e">
        <f t="shared" si="52"/>
        <v>#DIV/0!</v>
      </c>
      <c r="AX83" s="58" t="e">
        <f t="shared" si="52"/>
        <v>#DIV/0!</v>
      </c>
      <c r="AY83" s="58" t="e">
        <f t="shared" si="52"/>
        <v>#DIV/0!</v>
      </c>
      <c r="AZ83" s="63"/>
      <c r="BA83" s="58" t="e">
        <f t="shared" si="52"/>
        <v>#DIV/0!</v>
      </c>
      <c r="BB83" s="63"/>
      <c r="BC83" s="57" t="e">
        <f>(Links!C83*Links!AQ83+'On-Ramps'!AC83*'On-Ramps'!CE83)/('On-Ramps'!AC83+Links!C83)</f>
        <v>#DIV/0!</v>
      </c>
      <c r="BD83" s="63"/>
      <c r="BE83" s="57" t="e">
        <f>(Links!E83*Links!AS83+'On-Ramps'!AD83*'On-Ramps'!CF82)/('On-Ramps'!AD83+Links!E83)</f>
        <v>#DIV/0!</v>
      </c>
      <c r="BF83" s="57" t="e">
        <f>(Links!F83*Links!AT83+'On-Ramps'!AE83*'On-Ramps'!CG83)/('On-Ramps'!AE83+Links!F83)</f>
        <v>#DIV/0!</v>
      </c>
      <c r="BG83" s="57" t="e">
        <f>(Links!I83*Links!AW83+'On-Ramps'!AF83*'On-Ramps'!CH83)/('On-Ramps'!AF83+Links!I83)</f>
        <v>#DIV/0!</v>
      </c>
      <c r="BH83" s="57" t="e">
        <f>(#REF!*#REF!+'On-Ramps'!AG83*'On-Ramps'!CI83)/('On-Ramps'!AG83+#REF!)</f>
        <v>#REF!</v>
      </c>
      <c r="BI83" s="57" t="e">
        <f>(Links!L83*Links!AZ83+'On-Ramps'!AH83*'On-Ramps'!CJ83)/('On-Ramps'!AH83+Links!L83)</f>
        <v>#DIV/0!</v>
      </c>
      <c r="BJ83" s="57" t="e">
        <f>(Links!BA83*Links!M83+'On-Ramps'!AI83*'On-Ramps'!CK83)/('On-Ramps'!AI83+Links!M83)</f>
        <v>#DIV/0!</v>
      </c>
      <c r="BK83" s="57" t="e">
        <f>(Links!S83*Links!BG83+'On-Ramps'!AJ83*'On-Ramps'!CL83)/('On-Ramps'!AJ83+Links!S83)</f>
        <v>#DIV/0!</v>
      </c>
      <c r="BL83" s="63"/>
      <c r="BM83" s="57" t="e">
        <f>(Links!S83*Links!BG83+'On-Ramps'!AL83*'On-Ramps'!CM83)/(Links!S83+'On-Ramps'!AL83)</f>
        <v>#DIV/0!</v>
      </c>
      <c r="BN83" s="63"/>
      <c r="BO83" s="58" t="e">
        <f>(Links!W83^2+'Off-Ramp'!L83^2)/(Links!W83+'Off-Ramp'!L83)</f>
        <v>#DIV/0!</v>
      </c>
      <c r="BP83" s="63"/>
      <c r="BQ83" s="58" t="e">
        <f>(Links!Y83^2+'Off-Ramp'!C83^2)/(Links!Y83+'Off-Ramp'!C83)</f>
        <v>#DIV/0!</v>
      </c>
      <c r="BR83" s="63"/>
      <c r="BS83" s="58" t="e">
        <f>(Links!AA83^2+'Off-Ramp'!N83^2)/(Links!AA83+'Off-Ramp'!N83)</f>
        <v>#DIV/0!</v>
      </c>
      <c r="BT83" s="58" t="e">
        <f>(Links!AD83^2+'Off-Ramp'!O83^2)/(Links!AD83+'Off-Ramp'!O83)</f>
        <v>#DIV/0!</v>
      </c>
      <c r="BU83" s="58" t="e">
        <f>(Links!AE83^2+'Off-Ramp'!V83^2+'Off-Ramp'!W83^2+'Off-Ramp'!X83^2)/(Links!AE83+'Off-Ramp'!V83+'Off-Ramp'!W83+'Off-Ramp'!X83)</f>
        <v>#DIV/0!</v>
      </c>
      <c r="BV83" s="58" t="e">
        <f>(Links!AG83^2+'Off-Ramp'!Y83^2+'Off-Ramp'!Z83^2+'Off-Ramp'!AA83^2)/(Links!AG83+'Off-Ramp'!Y83+'Off-Ramp'!Z83+'Off-Ramp'!AA83)</f>
        <v>#DIV/0!</v>
      </c>
      <c r="BW83" s="58" t="e">
        <f>(Links!AH83^2+'Off-Ramp'!R83^2)/(Links!AH83+'Off-Ramp'!R83)</f>
        <v>#DIV/0!</v>
      </c>
      <c r="BX83" s="58" t="e">
        <f>(Links!AK83^2+'Off-Ramp'!S83^2)/(Links!AK83+'Off-Ramp'!S83)</f>
        <v>#DIV/0!</v>
      </c>
      <c r="BY83" s="58" t="e">
        <f>(Links!AL83^2+'Off-Ramp'!T83^2)/(Links!AL83+'Off-Ramp'!T83)</f>
        <v>#DIV/0!</v>
      </c>
      <c r="BZ83" s="63"/>
      <c r="CA83" s="58" t="e">
        <f>(Links!AN83^2+'Off-Ramp'!U83^2)/(Links!AN83+'Off-Ramp'!U83)</f>
        <v>#DIV/0!</v>
      </c>
    </row>
    <row r="84" spans="1:79" x14ac:dyDescent="0.15">
      <c r="A84" s="56">
        <v>82</v>
      </c>
      <c r="B84" s="57" t="e">
        <f t="shared" si="30"/>
        <v>#DIV/0!</v>
      </c>
      <c r="C84" s="57" t="e">
        <f t="shared" si="31"/>
        <v>#DIV/0!</v>
      </c>
      <c r="D84" s="57" t="e">
        <f t="shared" si="32"/>
        <v>#DIV/0!</v>
      </c>
      <c r="E84" s="57" t="e">
        <f t="shared" si="33"/>
        <v>#DIV/0!</v>
      </c>
      <c r="F84" s="57" t="e">
        <f t="shared" si="34"/>
        <v>#DIV/0!</v>
      </c>
      <c r="G84" s="57" t="e">
        <f t="shared" si="35"/>
        <v>#DIV/0!</v>
      </c>
      <c r="H84" s="57" t="e">
        <f t="shared" si="36"/>
        <v>#DIV/0!</v>
      </c>
      <c r="I84" s="57" t="e">
        <f t="shared" si="37"/>
        <v>#DIV/0!</v>
      </c>
      <c r="J84" s="57" t="e">
        <f t="shared" si="38"/>
        <v>#DIV/0!</v>
      </c>
      <c r="K84" s="57" t="e">
        <f t="shared" si="39"/>
        <v>#DIV/0!</v>
      </c>
      <c r="L84" s="57" t="e">
        <f t="shared" si="40"/>
        <v>#DIV/0!</v>
      </c>
      <c r="M84" s="57" t="e">
        <f t="shared" si="41"/>
        <v>#DIV/0!</v>
      </c>
      <c r="N84" s="57" t="e">
        <f t="shared" si="42"/>
        <v>#DIV/0!</v>
      </c>
      <c r="O84" s="58" t="e">
        <f>Links!B84</f>
        <v>#DIV/0!</v>
      </c>
      <c r="P84" s="58" t="e">
        <f>Links!C84+'On-Ramps'!AC84</f>
        <v>#DIV/0!</v>
      </c>
      <c r="Q84" s="58" t="e">
        <f>Links!D84</f>
        <v>#DIV/0!</v>
      </c>
      <c r="R84" s="58" t="e">
        <f>Links!E84+'On-Ramps'!AD84</f>
        <v>#DIV/0!</v>
      </c>
      <c r="S84" s="58" t="e">
        <f>Links!F84+'On-Ramps'!AE84</f>
        <v>#DIV/0!</v>
      </c>
      <c r="T84" s="58" t="e">
        <f>Links!I84+'On-Ramps'!AF84</f>
        <v>#DIV/0!</v>
      </c>
      <c r="U84" s="58" t="e">
        <f>Links!J84+'On-Ramps'!AG84</f>
        <v>#DIV/0!</v>
      </c>
      <c r="V84" s="58" t="e">
        <f>Links!L84+'On-Ramps'!AH84</f>
        <v>#DIV/0!</v>
      </c>
      <c r="W84" s="58" t="e">
        <f>Links!M84+'On-Ramps'!AI84</f>
        <v>#DIV/0!</v>
      </c>
      <c r="X84" s="58" t="e">
        <f>Links!P84+'On-Ramps'!AJ84</f>
        <v>#DIV/0!</v>
      </c>
      <c r="Y84" s="58" t="e">
        <f>Links!Q84</f>
        <v>#DIV/0!</v>
      </c>
      <c r="Z84" s="58" t="e">
        <f>Links!R84+'On-Ramps'!AK84</f>
        <v>#DIV/0!</v>
      </c>
      <c r="AA84" s="58" t="e">
        <f>Links!S84</f>
        <v>#DIV/0!</v>
      </c>
      <c r="AB84" s="57" t="e">
        <f t="shared" si="43"/>
        <v>#VALUE!</v>
      </c>
      <c r="AC84" s="63"/>
      <c r="AD84" s="57" t="e">
        <f t="shared" si="44"/>
        <v>#DIV/0!</v>
      </c>
      <c r="AE84" s="63"/>
      <c r="AF84" s="57" t="e">
        <f t="shared" si="45"/>
        <v>#DIV/0!</v>
      </c>
      <c r="AG84" s="57" t="e">
        <f t="shared" si="46"/>
        <v>#DIV/0!</v>
      </c>
      <c r="AH84" s="57" t="e">
        <f t="shared" si="47"/>
        <v>#DIV/0!</v>
      </c>
      <c r="AI84" s="57" t="e">
        <f t="shared" si="48"/>
        <v>#DIV/0!</v>
      </c>
      <c r="AJ84" s="57" t="e">
        <f t="shared" si="49"/>
        <v>#DIV/0!</v>
      </c>
      <c r="AK84" s="57" t="e">
        <f t="shared" si="50"/>
        <v>#DIV/0!</v>
      </c>
      <c r="AL84" s="57" t="e">
        <f t="shared" si="51"/>
        <v>#DIV/0!</v>
      </c>
      <c r="AM84" s="63"/>
      <c r="AN84" s="57" t="e">
        <f t="shared" ref="AN84:AN147" si="53">BA84*(1-BA84)*AA84</f>
        <v>#DIV/0!</v>
      </c>
      <c r="AO84" s="58" t="e">
        <f t="shared" si="29"/>
        <v>#VALUE!</v>
      </c>
      <c r="AP84" s="63"/>
      <c r="AQ84" s="58" t="e">
        <f t="shared" si="52"/>
        <v>#DIV/0!</v>
      </c>
      <c r="AR84" s="63"/>
      <c r="AS84" s="58" t="e">
        <f t="shared" si="52"/>
        <v>#DIV/0!</v>
      </c>
      <c r="AT84" s="58" t="e">
        <f t="shared" si="52"/>
        <v>#DIV/0!</v>
      </c>
      <c r="AU84" s="58" t="e">
        <f t="shared" si="52"/>
        <v>#DIV/0!</v>
      </c>
      <c r="AV84" s="58" t="e">
        <f t="shared" si="52"/>
        <v>#DIV/0!</v>
      </c>
      <c r="AW84" s="58" t="e">
        <f t="shared" si="52"/>
        <v>#DIV/0!</v>
      </c>
      <c r="AX84" s="58" t="e">
        <f t="shared" si="52"/>
        <v>#DIV/0!</v>
      </c>
      <c r="AY84" s="58" t="e">
        <f t="shared" si="52"/>
        <v>#DIV/0!</v>
      </c>
      <c r="AZ84" s="63"/>
      <c r="BA84" s="58" t="e">
        <f t="shared" si="52"/>
        <v>#DIV/0!</v>
      </c>
      <c r="BB84" s="63"/>
      <c r="BC84" s="57" t="e">
        <f>(Links!C84*Links!AQ84+'On-Ramps'!AC84*'On-Ramps'!CE84)/('On-Ramps'!AC84+Links!C84)</f>
        <v>#DIV/0!</v>
      </c>
      <c r="BD84" s="63"/>
      <c r="BE84" s="57" t="e">
        <f>(Links!E84*Links!AS84+'On-Ramps'!AD84*'On-Ramps'!CF83)/('On-Ramps'!AD84+Links!E84)</f>
        <v>#DIV/0!</v>
      </c>
      <c r="BF84" s="57" t="e">
        <f>(Links!F84*Links!AT84+'On-Ramps'!AE84*'On-Ramps'!CG84)/('On-Ramps'!AE84+Links!F84)</f>
        <v>#DIV/0!</v>
      </c>
      <c r="BG84" s="57" t="e">
        <f>(Links!I84*Links!AW84+'On-Ramps'!AF84*'On-Ramps'!CH84)/('On-Ramps'!AF84+Links!I84)</f>
        <v>#DIV/0!</v>
      </c>
      <c r="BH84" s="57" t="e">
        <f>(#REF!*#REF!+'On-Ramps'!AG84*'On-Ramps'!CI84)/('On-Ramps'!AG84+#REF!)</f>
        <v>#REF!</v>
      </c>
      <c r="BI84" s="57" t="e">
        <f>(Links!L84*Links!AZ84+'On-Ramps'!AH84*'On-Ramps'!CJ84)/('On-Ramps'!AH84+Links!L84)</f>
        <v>#DIV/0!</v>
      </c>
      <c r="BJ84" s="57" t="e">
        <f>(Links!BA84*Links!M84+'On-Ramps'!AI84*'On-Ramps'!CK84)/('On-Ramps'!AI84+Links!M84)</f>
        <v>#DIV/0!</v>
      </c>
      <c r="BK84" s="57" t="e">
        <f>(Links!S84*Links!BG84+'On-Ramps'!AJ84*'On-Ramps'!CL84)/('On-Ramps'!AJ84+Links!S84)</f>
        <v>#DIV/0!</v>
      </c>
      <c r="BL84" s="63"/>
      <c r="BM84" s="57" t="e">
        <f>(Links!S84*Links!BG84+'On-Ramps'!AL84*'On-Ramps'!CM84)/(Links!S84+'On-Ramps'!AL84)</f>
        <v>#DIV/0!</v>
      </c>
      <c r="BN84" s="63"/>
      <c r="BO84" s="58" t="e">
        <f>(Links!W84^2+'Off-Ramp'!L84^2)/(Links!W84+'Off-Ramp'!L84)</f>
        <v>#DIV/0!</v>
      </c>
      <c r="BP84" s="63"/>
      <c r="BQ84" s="58" t="e">
        <f>(Links!Y84^2+'Off-Ramp'!C84^2)/(Links!Y84+'Off-Ramp'!C84)</f>
        <v>#DIV/0!</v>
      </c>
      <c r="BR84" s="63"/>
      <c r="BS84" s="58" t="e">
        <f>(Links!AA84^2+'Off-Ramp'!N84^2)/(Links!AA84+'Off-Ramp'!N84)</f>
        <v>#DIV/0!</v>
      </c>
      <c r="BT84" s="58" t="e">
        <f>(Links!AD84^2+'Off-Ramp'!O84^2)/(Links!AD84+'Off-Ramp'!O84)</f>
        <v>#DIV/0!</v>
      </c>
      <c r="BU84" s="58" t="e">
        <f>(Links!AE84^2+'Off-Ramp'!V84^2+'Off-Ramp'!W84^2+'Off-Ramp'!X84^2)/(Links!AE84+'Off-Ramp'!V84+'Off-Ramp'!W84+'Off-Ramp'!X84)</f>
        <v>#DIV/0!</v>
      </c>
      <c r="BV84" s="58" t="e">
        <f>(Links!AG84^2+'Off-Ramp'!Y84^2+'Off-Ramp'!Z84^2+'Off-Ramp'!AA84^2)/(Links!AG84+'Off-Ramp'!Y84+'Off-Ramp'!Z84+'Off-Ramp'!AA84)</f>
        <v>#DIV/0!</v>
      </c>
      <c r="BW84" s="58" t="e">
        <f>(Links!AH84^2+'Off-Ramp'!R84^2)/(Links!AH84+'Off-Ramp'!R84)</f>
        <v>#DIV/0!</v>
      </c>
      <c r="BX84" s="58" t="e">
        <f>(Links!AK84^2+'Off-Ramp'!S84^2)/(Links!AK84+'Off-Ramp'!S84)</f>
        <v>#DIV/0!</v>
      </c>
      <c r="BY84" s="58" t="e">
        <f>(Links!AL84^2+'Off-Ramp'!T84^2)/(Links!AL84+'Off-Ramp'!T84)</f>
        <v>#DIV/0!</v>
      </c>
      <c r="BZ84" s="63"/>
      <c r="CA84" s="58" t="e">
        <f>(Links!AN84^2+'Off-Ramp'!U84^2)/(Links!AN84+'Off-Ramp'!U84)</f>
        <v>#DIV/0!</v>
      </c>
    </row>
    <row r="85" spans="1:79" x14ac:dyDescent="0.15">
      <c r="A85" s="56">
        <v>83</v>
      </c>
      <c r="B85" s="57" t="e">
        <f t="shared" si="30"/>
        <v>#DIV/0!</v>
      </c>
      <c r="C85" s="57" t="e">
        <f t="shared" si="31"/>
        <v>#DIV/0!</v>
      </c>
      <c r="D85" s="57" t="e">
        <f t="shared" si="32"/>
        <v>#DIV/0!</v>
      </c>
      <c r="E85" s="57" t="e">
        <f t="shared" si="33"/>
        <v>#DIV/0!</v>
      </c>
      <c r="F85" s="57" t="e">
        <f t="shared" si="34"/>
        <v>#DIV/0!</v>
      </c>
      <c r="G85" s="57" t="e">
        <f t="shared" si="35"/>
        <v>#DIV/0!</v>
      </c>
      <c r="H85" s="57" t="e">
        <f t="shared" si="36"/>
        <v>#DIV/0!</v>
      </c>
      <c r="I85" s="57" t="e">
        <f t="shared" si="37"/>
        <v>#DIV/0!</v>
      </c>
      <c r="J85" s="57" t="e">
        <f t="shared" si="38"/>
        <v>#DIV/0!</v>
      </c>
      <c r="K85" s="57" t="e">
        <f t="shared" si="39"/>
        <v>#DIV/0!</v>
      </c>
      <c r="L85" s="57" t="e">
        <f t="shared" si="40"/>
        <v>#DIV/0!</v>
      </c>
      <c r="M85" s="57" t="e">
        <f t="shared" si="41"/>
        <v>#DIV/0!</v>
      </c>
      <c r="N85" s="57" t="e">
        <f t="shared" si="42"/>
        <v>#DIV/0!</v>
      </c>
      <c r="O85" s="58" t="e">
        <f>Links!B85</f>
        <v>#DIV/0!</v>
      </c>
      <c r="P85" s="58" t="e">
        <f>Links!C85+'On-Ramps'!AC85</f>
        <v>#DIV/0!</v>
      </c>
      <c r="Q85" s="58" t="e">
        <f>Links!D85</f>
        <v>#DIV/0!</v>
      </c>
      <c r="R85" s="58" t="e">
        <f>Links!E85+'On-Ramps'!AD85</f>
        <v>#DIV/0!</v>
      </c>
      <c r="S85" s="58" t="e">
        <f>Links!F85+'On-Ramps'!AE85</f>
        <v>#DIV/0!</v>
      </c>
      <c r="T85" s="58" t="e">
        <f>Links!I85+'On-Ramps'!AF85</f>
        <v>#DIV/0!</v>
      </c>
      <c r="U85" s="58" t="e">
        <f>Links!J85+'On-Ramps'!AG85</f>
        <v>#DIV/0!</v>
      </c>
      <c r="V85" s="58" t="e">
        <f>Links!L85+'On-Ramps'!AH85</f>
        <v>#DIV/0!</v>
      </c>
      <c r="W85" s="58" t="e">
        <f>Links!M85+'On-Ramps'!AI85</f>
        <v>#DIV/0!</v>
      </c>
      <c r="X85" s="58" t="e">
        <f>Links!P85+'On-Ramps'!AJ85</f>
        <v>#DIV/0!</v>
      </c>
      <c r="Y85" s="58" t="e">
        <f>Links!Q85</f>
        <v>#DIV/0!</v>
      </c>
      <c r="Z85" s="58" t="e">
        <f>Links!R85+'On-Ramps'!AK85</f>
        <v>#DIV/0!</v>
      </c>
      <c r="AA85" s="58" t="e">
        <f>Links!S85</f>
        <v>#DIV/0!</v>
      </c>
      <c r="AB85" s="57" t="e">
        <f t="shared" si="43"/>
        <v>#VALUE!</v>
      </c>
      <c r="AC85" s="63"/>
      <c r="AD85" s="57" t="e">
        <f t="shared" si="44"/>
        <v>#DIV/0!</v>
      </c>
      <c r="AE85" s="63"/>
      <c r="AF85" s="57" t="e">
        <f t="shared" si="45"/>
        <v>#DIV/0!</v>
      </c>
      <c r="AG85" s="57" t="e">
        <f t="shared" si="46"/>
        <v>#DIV/0!</v>
      </c>
      <c r="AH85" s="57" t="e">
        <f t="shared" si="47"/>
        <v>#DIV/0!</v>
      </c>
      <c r="AI85" s="57" t="e">
        <f t="shared" si="48"/>
        <v>#DIV/0!</v>
      </c>
      <c r="AJ85" s="57" t="e">
        <f t="shared" si="49"/>
        <v>#DIV/0!</v>
      </c>
      <c r="AK85" s="57" t="e">
        <f t="shared" si="50"/>
        <v>#DIV/0!</v>
      </c>
      <c r="AL85" s="57" t="e">
        <f t="shared" si="51"/>
        <v>#DIV/0!</v>
      </c>
      <c r="AM85" s="63"/>
      <c r="AN85" s="57" t="e">
        <f t="shared" si="53"/>
        <v>#DIV/0!</v>
      </c>
      <c r="AO85" s="58" t="e">
        <f t="shared" si="29"/>
        <v>#VALUE!</v>
      </c>
      <c r="AP85" s="63"/>
      <c r="AQ85" s="58" t="e">
        <f t="shared" si="52"/>
        <v>#DIV/0!</v>
      </c>
      <c r="AR85" s="63"/>
      <c r="AS85" s="58" t="e">
        <f t="shared" si="52"/>
        <v>#DIV/0!</v>
      </c>
      <c r="AT85" s="58" t="e">
        <f t="shared" si="52"/>
        <v>#DIV/0!</v>
      </c>
      <c r="AU85" s="58" t="e">
        <f t="shared" si="52"/>
        <v>#DIV/0!</v>
      </c>
      <c r="AV85" s="58" t="e">
        <f t="shared" si="52"/>
        <v>#DIV/0!</v>
      </c>
      <c r="AW85" s="58" t="e">
        <f t="shared" si="52"/>
        <v>#DIV/0!</v>
      </c>
      <c r="AX85" s="58" t="e">
        <f t="shared" si="52"/>
        <v>#DIV/0!</v>
      </c>
      <c r="AY85" s="58" t="e">
        <f t="shared" si="52"/>
        <v>#DIV/0!</v>
      </c>
      <c r="AZ85" s="63"/>
      <c r="BA85" s="58" t="e">
        <f t="shared" si="52"/>
        <v>#DIV/0!</v>
      </c>
      <c r="BB85" s="63"/>
      <c r="BC85" s="57" t="e">
        <f>(Links!C85*Links!AQ85+'On-Ramps'!AC85*'On-Ramps'!CE85)/('On-Ramps'!AC85+Links!C85)</f>
        <v>#DIV/0!</v>
      </c>
      <c r="BD85" s="63"/>
      <c r="BE85" s="57" t="e">
        <f>(Links!E85*Links!AS85+'On-Ramps'!AD85*'On-Ramps'!CF84)/('On-Ramps'!AD85+Links!E85)</f>
        <v>#DIV/0!</v>
      </c>
      <c r="BF85" s="57" t="e">
        <f>(Links!F85*Links!AT85+'On-Ramps'!AE85*'On-Ramps'!CG85)/('On-Ramps'!AE85+Links!F85)</f>
        <v>#DIV/0!</v>
      </c>
      <c r="BG85" s="57" t="e">
        <f>(Links!I85*Links!AW85+'On-Ramps'!AF85*'On-Ramps'!CH85)/('On-Ramps'!AF85+Links!I85)</f>
        <v>#DIV/0!</v>
      </c>
      <c r="BH85" s="57" t="e">
        <f>(#REF!*#REF!+'On-Ramps'!AG85*'On-Ramps'!CI85)/('On-Ramps'!AG85+#REF!)</f>
        <v>#REF!</v>
      </c>
      <c r="BI85" s="57" t="e">
        <f>(Links!L85*Links!AZ85+'On-Ramps'!AH85*'On-Ramps'!CJ85)/('On-Ramps'!AH85+Links!L85)</f>
        <v>#DIV/0!</v>
      </c>
      <c r="BJ85" s="57" t="e">
        <f>(Links!BA85*Links!M85+'On-Ramps'!AI85*'On-Ramps'!CK85)/('On-Ramps'!AI85+Links!M85)</f>
        <v>#DIV/0!</v>
      </c>
      <c r="BK85" s="57" t="e">
        <f>(Links!S85*Links!BG85+'On-Ramps'!AJ85*'On-Ramps'!CL85)/('On-Ramps'!AJ85+Links!S85)</f>
        <v>#DIV/0!</v>
      </c>
      <c r="BL85" s="63"/>
      <c r="BM85" s="57" t="e">
        <f>(Links!S85*Links!BG85+'On-Ramps'!AL85*'On-Ramps'!CM85)/(Links!S85+'On-Ramps'!AL85)</f>
        <v>#DIV/0!</v>
      </c>
      <c r="BN85" s="63"/>
      <c r="BO85" s="58" t="e">
        <f>(Links!W85^2+'Off-Ramp'!L85^2)/(Links!W85+'Off-Ramp'!L85)</f>
        <v>#DIV/0!</v>
      </c>
      <c r="BP85" s="63"/>
      <c r="BQ85" s="58" t="e">
        <f>(Links!Y85^2+'Off-Ramp'!C85^2)/(Links!Y85+'Off-Ramp'!C85)</f>
        <v>#DIV/0!</v>
      </c>
      <c r="BR85" s="63"/>
      <c r="BS85" s="58" t="e">
        <f>(Links!AA85^2+'Off-Ramp'!N85^2)/(Links!AA85+'Off-Ramp'!N85)</f>
        <v>#DIV/0!</v>
      </c>
      <c r="BT85" s="58" t="e">
        <f>(Links!AD85^2+'Off-Ramp'!O85^2)/(Links!AD85+'Off-Ramp'!O85)</f>
        <v>#DIV/0!</v>
      </c>
      <c r="BU85" s="58" t="e">
        <f>(Links!AE85^2+'Off-Ramp'!V85^2+'Off-Ramp'!W85^2+'Off-Ramp'!X85^2)/(Links!AE85+'Off-Ramp'!V85+'Off-Ramp'!W85+'Off-Ramp'!X85)</f>
        <v>#DIV/0!</v>
      </c>
      <c r="BV85" s="58" t="e">
        <f>(Links!AG85^2+'Off-Ramp'!Y85^2+'Off-Ramp'!Z85^2+'Off-Ramp'!AA85^2)/(Links!AG85+'Off-Ramp'!Y85+'Off-Ramp'!Z85+'Off-Ramp'!AA85)</f>
        <v>#DIV/0!</v>
      </c>
      <c r="BW85" s="58" t="e">
        <f>(Links!AH85^2+'Off-Ramp'!R85^2)/(Links!AH85+'Off-Ramp'!R85)</f>
        <v>#DIV/0!</v>
      </c>
      <c r="BX85" s="58" t="e">
        <f>(Links!AK85^2+'Off-Ramp'!S85^2)/(Links!AK85+'Off-Ramp'!S85)</f>
        <v>#DIV/0!</v>
      </c>
      <c r="BY85" s="58" t="e">
        <f>(Links!AL85^2+'Off-Ramp'!T85^2)/(Links!AL85+'Off-Ramp'!T85)</f>
        <v>#DIV/0!</v>
      </c>
      <c r="BZ85" s="63"/>
      <c r="CA85" s="58" t="e">
        <f>(Links!AN85^2+'Off-Ramp'!U85^2)/(Links!AN85+'Off-Ramp'!U85)</f>
        <v>#DIV/0!</v>
      </c>
    </row>
    <row r="86" spans="1:79" x14ac:dyDescent="0.15">
      <c r="A86" s="56">
        <v>84</v>
      </c>
      <c r="B86" s="57" t="e">
        <f t="shared" si="30"/>
        <v>#DIV/0!</v>
      </c>
      <c r="C86" s="57" t="e">
        <f t="shared" si="31"/>
        <v>#DIV/0!</v>
      </c>
      <c r="D86" s="57" t="e">
        <f t="shared" si="32"/>
        <v>#DIV/0!</v>
      </c>
      <c r="E86" s="57" t="e">
        <f t="shared" si="33"/>
        <v>#DIV/0!</v>
      </c>
      <c r="F86" s="57" t="e">
        <f t="shared" si="34"/>
        <v>#DIV/0!</v>
      </c>
      <c r="G86" s="57" t="e">
        <f t="shared" si="35"/>
        <v>#DIV/0!</v>
      </c>
      <c r="H86" s="57" t="e">
        <f t="shared" si="36"/>
        <v>#DIV/0!</v>
      </c>
      <c r="I86" s="57" t="e">
        <f t="shared" si="37"/>
        <v>#DIV/0!</v>
      </c>
      <c r="J86" s="57" t="e">
        <f t="shared" si="38"/>
        <v>#DIV/0!</v>
      </c>
      <c r="K86" s="57" t="e">
        <f t="shared" si="39"/>
        <v>#DIV/0!</v>
      </c>
      <c r="L86" s="57" t="e">
        <f t="shared" si="40"/>
        <v>#DIV/0!</v>
      </c>
      <c r="M86" s="57" t="e">
        <f t="shared" si="41"/>
        <v>#DIV/0!</v>
      </c>
      <c r="N86" s="57" t="e">
        <f t="shared" si="42"/>
        <v>#DIV/0!</v>
      </c>
      <c r="O86" s="58" t="e">
        <f>Links!B86</f>
        <v>#DIV/0!</v>
      </c>
      <c r="P86" s="58" t="e">
        <f>Links!C86+'On-Ramps'!AC86</f>
        <v>#DIV/0!</v>
      </c>
      <c r="Q86" s="58" t="e">
        <f>Links!D86</f>
        <v>#DIV/0!</v>
      </c>
      <c r="R86" s="58" t="e">
        <f>Links!E86+'On-Ramps'!AD86</f>
        <v>#DIV/0!</v>
      </c>
      <c r="S86" s="58" t="e">
        <f>Links!F86+'On-Ramps'!AE86</f>
        <v>#DIV/0!</v>
      </c>
      <c r="T86" s="58" t="e">
        <f>Links!I86+'On-Ramps'!AF86</f>
        <v>#DIV/0!</v>
      </c>
      <c r="U86" s="58" t="e">
        <f>Links!J86+'On-Ramps'!AG86</f>
        <v>#DIV/0!</v>
      </c>
      <c r="V86" s="58" t="e">
        <f>Links!L86+'On-Ramps'!AH86</f>
        <v>#DIV/0!</v>
      </c>
      <c r="W86" s="58" t="e">
        <f>Links!M86+'On-Ramps'!AI86</f>
        <v>#DIV/0!</v>
      </c>
      <c r="X86" s="58" t="e">
        <f>Links!P86+'On-Ramps'!AJ86</f>
        <v>#DIV/0!</v>
      </c>
      <c r="Y86" s="58" t="e">
        <f>Links!Q86</f>
        <v>#DIV/0!</v>
      </c>
      <c r="Z86" s="58" t="e">
        <f>Links!R86+'On-Ramps'!AK86</f>
        <v>#DIV/0!</v>
      </c>
      <c r="AA86" s="58" t="e">
        <f>Links!S86</f>
        <v>#DIV/0!</v>
      </c>
      <c r="AB86" s="57" t="e">
        <f t="shared" si="43"/>
        <v>#VALUE!</v>
      </c>
      <c r="AC86" s="63"/>
      <c r="AD86" s="57" t="e">
        <f t="shared" si="44"/>
        <v>#DIV/0!</v>
      </c>
      <c r="AE86" s="63"/>
      <c r="AF86" s="57" t="e">
        <f t="shared" si="45"/>
        <v>#DIV/0!</v>
      </c>
      <c r="AG86" s="57" t="e">
        <f t="shared" si="46"/>
        <v>#DIV/0!</v>
      </c>
      <c r="AH86" s="57" t="e">
        <f t="shared" si="47"/>
        <v>#DIV/0!</v>
      </c>
      <c r="AI86" s="57" t="e">
        <f t="shared" si="48"/>
        <v>#DIV/0!</v>
      </c>
      <c r="AJ86" s="57" t="e">
        <f t="shared" si="49"/>
        <v>#DIV/0!</v>
      </c>
      <c r="AK86" s="57" t="e">
        <f t="shared" si="50"/>
        <v>#DIV/0!</v>
      </c>
      <c r="AL86" s="57" t="e">
        <f t="shared" si="51"/>
        <v>#DIV/0!</v>
      </c>
      <c r="AM86" s="63"/>
      <c r="AN86" s="57" t="e">
        <f t="shared" si="53"/>
        <v>#DIV/0!</v>
      </c>
      <c r="AO86" s="58" t="e">
        <f t="shared" si="29"/>
        <v>#VALUE!</v>
      </c>
      <c r="AP86" s="63"/>
      <c r="AQ86" s="58" t="e">
        <f t="shared" si="52"/>
        <v>#DIV/0!</v>
      </c>
      <c r="AR86" s="63"/>
      <c r="AS86" s="58" t="e">
        <f t="shared" si="52"/>
        <v>#DIV/0!</v>
      </c>
      <c r="AT86" s="58" t="e">
        <f t="shared" si="52"/>
        <v>#DIV/0!</v>
      </c>
      <c r="AU86" s="58" t="e">
        <f t="shared" si="52"/>
        <v>#DIV/0!</v>
      </c>
      <c r="AV86" s="58" t="e">
        <f t="shared" si="52"/>
        <v>#DIV/0!</v>
      </c>
      <c r="AW86" s="58" t="e">
        <f t="shared" si="52"/>
        <v>#DIV/0!</v>
      </c>
      <c r="AX86" s="58" t="e">
        <f t="shared" si="52"/>
        <v>#DIV/0!</v>
      </c>
      <c r="AY86" s="58" t="e">
        <f t="shared" si="52"/>
        <v>#DIV/0!</v>
      </c>
      <c r="AZ86" s="63"/>
      <c r="BA86" s="58" t="e">
        <f t="shared" si="52"/>
        <v>#DIV/0!</v>
      </c>
      <c r="BB86" s="63"/>
      <c r="BC86" s="57" t="e">
        <f>(Links!C86*Links!AQ86+'On-Ramps'!AC86*'On-Ramps'!CE86)/('On-Ramps'!AC86+Links!C86)</f>
        <v>#DIV/0!</v>
      </c>
      <c r="BD86" s="63"/>
      <c r="BE86" s="57" t="e">
        <f>(Links!E86*Links!AS86+'On-Ramps'!AD86*'On-Ramps'!CF85)/('On-Ramps'!AD86+Links!E86)</f>
        <v>#DIV/0!</v>
      </c>
      <c r="BF86" s="57" t="e">
        <f>(Links!F86*Links!AT86+'On-Ramps'!AE86*'On-Ramps'!CG86)/('On-Ramps'!AE86+Links!F86)</f>
        <v>#DIV/0!</v>
      </c>
      <c r="BG86" s="57" t="e">
        <f>(Links!I86*Links!AW86+'On-Ramps'!AF86*'On-Ramps'!CH86)/('On-Ramps'!AF86+Links!I86)</f>
        <v>#DIV/0!</v>
      </c>
      <c r="BH86" s="57" t="e">
        <f>(#REF!*#REF!+'On-Ramps'!AG86*'On-Ramps'!CI86)/('On-Ramps'!AG86+#REF!)</f>
        <v>#REF!</v>
      </c>
      <c r="BI86" s="57" t="e">
        <f>(Links!L86*Links!AZ86+'On-Ramps'!AH86*'On-Ramps'!CJ86)/('On-Ramps'!AH86+Links!L86)</f>
        <v>#DIV/0!</v>
      </c>
      <c r="BJ86" s="57" t="e">
        <f>(Links!BA86*Links!M86+'On-Ramps'!AI86*'On-Ramps'!CK86)/('On-Ramps'!AI86+Links!M86)</f>
        <v>#DIV/0!</v>
      </c>
      <c r="BK86" s="57" t="e">
        <f>(Links!S86*Links!BG86+'On-Ramps'!AJ86*'On-Ramps'!CL86)/('On-Ramps'!AJ86+Links!S86)</f>
        <v>#DIV/0!</v>
      </c>
      <c r="BL86" s="63"/>
      <c r="BM86" s="57" t="e">
        <f>(Links!S86*Links!BG86+'On-Ramps'!AL86*'On-Ramps'!CM86)/(Links!S86+'On-Ramps'!AL86)</f>
        <v>#DIV/0!</v>
      </c>
      <c r="BN86" s="63"/>
      <c r="BO86" s="58" t="e">
        <f>(Links!W86^2+'Off-Ramp'!L86^2)/(Links!W86+'Off-Ramp'!L86)</f>
        <v>#DIV/0!</v>
      </c>
      <c r="BP86" s="63"/>
      <c r="BQ86" s="58" t="e">
        <f>(Links!Y86^2+'Off-Ramp'!C86^2)/(Links!Y86+'Off-Ramp'!C86)</f>
        <v>#DIV/0!</v>
      </c>
      <c r="BR86" s="63"/>
      <c r="BS86" s="58" t="e">
        <f>(Links!AA86^2+'Off-Ramp'!N86^2)/(Links!AA86+'Off-Ramp'!N86)</f>
        <v>#DIV/0!</v>
      </c>
      <c r="BT86" s="58" t="e">
        <f>(Links!AD86^2+'Off-Ramp'!O86^2)/(Links!AD86+'Off-Ramp'!O86)</f>
        <v>#DIV/0!</v>
      </c>
      <c r="BU86" s="58" t="e">
        <f>(Links!AE86^2+'Off-Ramp'!V86^2+'Off-Ramp'!W86^2+'Off-Ramp'!X86^2)/(Links!AE86+'Off-Ramp'!V86+'Off-Ramp'!W86+'Off-Ramp'!X86)</f>
        <v>#DIV/0!</v>
      </c>
      <c r="BV86" s="58" t="e">
        <f>(Links!AG86^2+'Off-Ramp'!Y86^2+'Off-Ramp'!Z86^2+'Off-Ramp'!AA86^2)/(Links!AG86+'Off-Ramp'!Y86+'Off-Ramp'!Z86+'Off-Ramp'!AA86)</f>
        <v>#DIV/0!</v>
      </c>
      <c r="BW86" s="58" t="e">
        <f>(Links!AH86^2+'Off-Ramp'!R86^2)/(Links!AH86+'Off-Ramp'!R86)</f>
        <v>#DIV/0!</v>
      </c>
      <c r="BX86" s="58" t="e">
        <f>(Links!AK86^2+'Off-Ramp'!S86^2)/(Links!AK86+'Off-Ramp'!S86)</f>
        <v>#DIV/0!</v>
      </c>
      <c r="BY86" s="58" t="e">
        <f>(Links!AL86^2+'Off-Ramp'!T86^2)/(Links!AL86+'Off-Ramp'!T86)</f>
        <v>#DIV/0!</v>
      </c>
      <c r="BZ86" s="63"/>
      <c r="CA86" s="58" t="e">
        <f>(Links!AN86^2+'Off-Ramp'!U86^2)/(Links!AN86+'Off-Ramp'!U86)</f>
        <v>#DIV/0!</v>
      </c>
    </row>
    <row r="87" spans="1:79" x14ac:dyDescent="0.15">
      <c r="A87" s="56">
        <v>85</v>
      </c>
      <c r="B87" s="57" t="e">
        <f t="shared" si="30"/>
        <v>#DIV/0!</v>
      </c>
      <c r="C87" s="57" t="e">
        <f t="shared" si="31"/>
        <v>#DIV/0!</v>
      </c>
      <c r="D87" s="57" t="e">
        <f t="shared" si="32"/>
        <v>#DIV/0!</v>
      </c>
      <c r="E87" s="57" t="e">
        <f t="shared" si="33"/>
        <v>#DIV/0!</v>
      </c>
      <c r="F87" s="57" t="e">
        <f t="shared" si="34"/>
        <v>#DIV/0!</v>
      </c>
      <c r="G87" s="57" t="e">
        <f t="shared" si="35"/>
        <v>#DIV/0!</v>
      </c>
      <c r="H87" s="57" t="e">
        <f t="shared" si="36"/>
        <v>#DIV/0!</v>
      </c>
      <c r="I87" s="57" t="e">
        <f t="shared" si="37"/>
        <v>#DIV/0!</v>
      </c>
      <c r="J87" s="57" t="e">
        <f t="shared" si="38"/>
        <v>#DIV/0!</v>
      </c>
      <c r="K87" s="57" t="e">
        <f t="shared" si="39"/>
        <v>#DIV/0!</v>
      </c>
      <c r="L87" s="57" t="e">
        <f t="shared" si="40"/>
        <v>#DIV/0!</v>
      </c>
      <c r="M87" s="57" t="e">
        <f t="shared" si="41"/>
        <v>#DIV/0!</v>
      </c>
      <c r="N87" s="57" t="e">
        <f t="shared" si="42"/>
        <v>#DIV/0!</v>
      </c>
      <c r="O87" s="58" t="e">
        <f>Links!B87</f>
        <v>#DIV/0!</v>
      </c>
      <c r="P87" s="58" t="e">
        <f>Links!C87+'On-Ramps'!AC87</f>
        <v>#DIV/0!</v>
      </c>
      <c r="Q87" s="58" t="e">
        <f>Links!D87</f>
        <v>#DIV/0!</v>
      </c>
      <c r="R87" s="58" t="e">
        <f>Links!E87+'On-Ramps'!AD87</f>
        <v>#DIV/0!</v>
      </c>
      <c r="S87" s="58" t="e">
        <f>Links!F87+'On-Ramps'!AE87</f>
        <v>#DIV/0!</v>
      </c>
      <c r="T87" s="58" t="e">
        <f>Links!I87+'On-Ramps'!AF87</f>
        <v>#DIV/0!</v>
      </c>
      <c r="U87" s="58" t="e">
        <f>Links!J87+'On-Ramps'!AG87</f>
        <v>#DIV/0!</v>
      </c>
      <c r="V87" s="58" t="e">
        <f>Links!L87+'On-Ramps'!AH87</f>
        <v>#DIV/0!</v>
      </c>
      <c r="W87" s="58" t="e">
        <f>Links!M87+'On-Ramps'!AI87</f>
        <v>#DIV/0!</v>
      </c>
      <c r="X87" s="58" t="e">
        <f>Links!P87+'On-Ramps'!AJ87</f>
        <v>#DIV/0!</v>
      </c>
      <c r="Y87" s="58" t="e">
        <f>Links!Q87</f>
        <v>#DIV/0!</v>
      </c>
      <c r="Z87" s="58" t="e">
        <f>Links!R87+'On-Ramps'!AK87</f>
        <v>#DIV/0!</v>
      </c>
      <c r="AA87" s="58" t="e">
        <f>Links!S87</f>
        <v>#DIV/0!</v>
      </c>
      <c r="AB87" s="57" t="e">
        <f t="shared" si="43"/>
        <v>#VALUE!</v>
      </c>
      <c r="AC87" s="63"/>
      <c r="AD87" s="57" t="e">
        <f t="shared" si="44"/>
        <v>#DIV/0!</v>
      </c>
      <c r="AE87" s="63"/>
      <c r="AF87" s="57" t="e">
        <f t="shared" si="45"/>
        <v>#DIV/0!</v>
      </c>
      <c r="AG87" s="57" t="e">
        <f t="shared" si="46"/>
        <v>#DIV/0!</v>
      </c>
      <c r="AH87" s="57" t="e">
        <f t="shared" si="47"/>
        <v>#DIV/0!</v>
      </c>
      <c r="AI87" s="57" t="e">
        <f t="shared" si="48"/>
        <v>#DIV/0!</v>
      </c>
      <c r="AJ87" s="57" t="e">
        <f t="shared" si="49"/>
        <v>#DIV/0!</v>
      </c>
      <c r="AK87" s="57" t="e">
        <f t="shared" si="50"/>
        <v>#DIV/0!</v>
      </c>
      <c r="AL87" s="57" t="e">
        <f t="shared" si="51"/>
        <v>#DIV/0!</v>
      </c>
      <c r="AM87" s="63"/>
      <c r="AN87" s="57" t="e">
        <f t="shared" si="53"/>
        <v>#DIV/0!</v>
      </c>
      <c r="AO87" s="58" t="e">
        <f t="shared" si="29"/>
        <v>#VALUE!</v>
      </c>
      <c r="AP87" s="63"/>
      <c r="AQ87" s="58" t="e">
        <f t="shared" si="52"/>
        <v>#DIV/0!</v>
      </c>
      <c r="AR87" s="63"/>
      <c r="AS87" s="58" t="e">
        <f t="shared" si="52"/>
        <v>#DIV/0!</v>
      </c>
      <c r="AT87" s="58" t="e">
        <f t="shared" si="52"/>
        <v>#DIV/0!</v>
      </c>
      <c r="AU87" s="58" t="e">
        <f t="shared" si="52"/>
        <v>#DIV/0!</v>
      </c>
      <c r="AV87" s="58" t="e">
        <f t="shared" si="52"/>
        <v>#DIV/0!</v>
      </c>
      <c r="AW87" s="58" t="e">
        <f t="shared" si="52"/>
        <v>#DIV/0!</v>
      </c>
      <c r="AX87" s="58" t="e">
        <f t="shared" si="52"/>
        <v>#DIV/0!</v>
      </c>
      <c r="AY87" s="58" t="e">
        <f t="shared" si="52"/>
        <v>#DIV/0!</v>
      </c>
      <c r="AZ87" s="63"/>
      <c r="BA87" s="58" t="e">
        <f t="shared" si="52"/>
        <v>#DIV/0!</v>
      </c>
      <c r="BB87" s="63"/>
      <c r="BC87" s="57" t="e">
        <f>(Links!C87*Links!AQ87+'On-Ramps'!AC87*'On-Ramps'!CE87)/('On-Ramps'!AC87+Links!C87)</f>
        <v>#DIV/0!</v>
      </c>
      <c r="BD87" s="63"/>
      <c r="BE87" s="57" t="e">
        <f>(Links!E87*Links!AS87+'On-Ramps'!AD87*'On-Ramps'!CF86)/('On-Ramps'!AD87+Links!E87)</f>
        <v>#DIV/0!</v>
      </c>
      <c r="BF87" s="57" t="e">
        <f>(Links!F87*Links!AT87+'On-Ramps'!AE87*'On-Ramps'!CG87)/('On-Ramps'!AE87+Links!F87)</f>
        <v>#DIV/0!</v>
      </c>
      <c r="BG87" s="57" t="e">
        <f>(Links!I87*Links!AW87+'On-Ramps'!AF87*'On-Ramps'!CH87)/('On-Ramps'!AF87+Links!I87)</f>
        <v>#DIV/0!</v>
      </c>
      <c r="BH87" s="57" t="e">
        <f>(#REF!*#REF!+'On-Ramps'!AG87*'On-Ramps'!CI87)/('On-Ramps'!AG87+#REF!)</f>
        <v>#REF!</v>
      </c>
      <c r="BI87" s="57" t="e">
        <f>(Links!L87*Links!AZ87+'On-Ramps'!AH87*'On-Ramps'!CJ87)/('On-Ramps'!AH87+Links!L87)</f>
        <v>#DIV/0!</v>
      </c>
      <c r="BJ87" s="57" t="e">
        <f>(Links!BA87*Links!M87+'On-Ramps'!AI87*'On-Ramps'!CK87)/('On-Ramps'!AI87+Links!M87)</f>
        <v>#DIV/0!</v>
      </c>
      <c r="BK87" s="57" t="e">
        <f>(Links!S87*Links!BG87+'On-Ramps'!AJ87*'On-Ramps'!CL87)/('On-Ramps'!AJ87+Links!S87)</f>
        <v>#DIV/0!</v>
      </c>
      <c r="BL87" s="63"/>
      <c r="BM87" s="57" t="e">
        <f>(Links!S87*Links!BG87+'On-Ramps'!AL87*'On-Ramps'!CM87)/(Links!S87+'On-Ramps'!AL87)</f>
        <v>#DIV/0!</v>
      </c>
      <c r="BN87" s="63"/>
      <c r="BO87" s="58" t="e">
        <f>(Links!W87^2+'Off-Ramp'!L87^2)/(Links!W87+'Off-Ramp'!L87)</f>
        <v>#DIV/0!</v>
      </c>
      <c r="BP87" s="63"/>
      <c r="BQ87" s="58" t="e">
        <f>(Links!Y87^2+'Off-Ramp'!C87^2)/(Links!Y87+'Off-Ramp'!C87)</f>
        <v>#DIV/0!</v>
      </c>
      <c r="BR87" s="63"/>
      <c r="BS87" s="58" t="e">
        <f>(Links!AA87^2+'Off-Ramp'!N87^2)/(Links!AA87+'Off-Ramp'!N87)</f>
        <v>#DIV/0!</v>
      </c>
      <c r="BT87" s="58" t="e">
        <f>(Links!AD87^2+'Off-Ramp'!O87^2)/(Links!AD87+'Off-Ramp'!O87)</f>
        <v>#DIV/0!</v>
      </c>
      <c r="BU87" s="58" t="e">
        <f>(Links!AE87^2+'Off-Ramp'!V87^2+'Off-Ramp'!W87^2+'Off-Ramp'!X87^2)/(Links!AE87+'Off-Ramp'!V87+'Off-Ramp'!W87+'Off-Ramp'!X87)</f>
        <v>#DIV/0!</v>
      </c>
      <c r="BV87" s="58" t="e">
        <f>(Links!AG87^2+'Off-Ramp'!Y87^2+'Off-Ramp'!Z87^2+'Off-Ramp'!AA87^2)/(Links!AG87+'Off-Ramp'!Y87+'Off-Ramp'!Z87+'Off-Ramp'!AA87)</f>
        <v>#DIV/0!</v>
      </c>
      <c r="BW87" s="58" t="e">
        <f>(Links!AH87^2+'Off-Ramp'!R87^2)/(Links!AH87+'Off-Ramp'!R87)</f>
        <v>#DIV/0!</v>
      </c>
      <c r="BX87" s="58" t="e">
        <f>(Links!AK87^2+'Off-Ramp'!S87^2)/(Links!AK87+'Off-Ramp'!S87)</f>
        <v>#DIV/0!</v>
      </c>
      <c r="BY87" s="58" t="e">
        <f>(Links!AL87^2+'Off-Ramp'!T87^2)/(Links!AL87+'Off-Ramp'!T87)</f>
        <v>#DIV/0!</v>
      </c>
      <c r="BZ87" s="63"/>
      <c r="CA87" s="58" t="e">
        <f>(Links!AN87^2+'Off-Ramp'!U87^2)/(Links!AN87+'Off-Ramp'!U87)</f>
        <v>#DIV/0!</v>
      </c>
    </row>
    <row r="88" spans="1:79" x14ac:dyDescent="0.15">
      <c r="A88" s="56">
        <v>86</v>
      </c>
      <c r="B88" s="57" t="e">
        <f t="shared" si="30"/>
        <v>#DIV/0!</v>
      </c>
      <c r="C88" s="57" t="e">
        <f t="shared" si="31"/>
        <v>#DIV/0!</v>
      </c>
      <c r="D88" s="57" t="e">
        <f t="shared" si="32"/>
        <v>#DIV/0!</v>
      </c>
      <c r="E88" s="57" t="e">
        <f t="shared" si="33"/>
        <v>#DIV/0!</v>
      </c>
      <c r="F88" s="57" t="e">
        <f t="shared" si="34"/>
        <v>#DIV/0!</v>
      </c>
      <c r="G88" s="57" t="e">
        <f t="shared" si="35"/>
        <v>#DIV/0!</v>
      </c>
      <c r="H88" s="57" t="e">
        <f t="shared" si="36"/>
        <v>#DIV/0!</v>
      </c>
      <c r="I88" s="57" t="e">
        <f t="shared" si="37"/>
        <v>#DIV/0!</v>
      </c>
      <c r="J88" s="57" t="e">
        <f t="shared" si="38"/>
        <v>#DIV/0!</v>
      </c>
      <c r="K88" s="57" t="e">
        <f t="shared" si="39"/>
        <v>#DIV/0!</v>
      </c>
      <c r="L88" s="57" t="e">
        <f t="shared" si="40"/>
        <v>#DIV/0!</v>
      </c>
      <c r="M88" s="57" t="e">
        <f t="shared" si="41"/>
        <v>#DIV/0!</v>
      </c>
      <c r="N88" s="57" t="e">
        <f t="shared" si="42"/>
        <v>#DIV/0!</v>
      </c>
      <c r="O88" s="58" t="e">
        <f>Links!B88</f>
        <v>#DIV/0!</v>
      </c>
      <c r="P88" s="58" t="e">
        <f>Links!C88+'On-Ramps'!AC88</f>
        <v>#DIV/0!</v>
      </c>
      <c r="Q88" s="58" t="e">
        <f>Links!D88</f>
        <v>#DIV/0!</v>
      </c>
      <c r="R88" s="58" t="e">
        <f>Links!E88+'On-Ramps'!AD88</f>
        <v>#DIV/0!</v>
      </c>
      <c r="S88" s="58" t="e">
        <f>Links!F88+'On-Ramps'!AE88</f>
        <v>#DIV/0!</v>
      </c>
      <c r="T88" s="58" t="e">
        <f>Links!I88+'On-Ramps'!AF88</f>
        <v>#DIV/0!</v>
      </c>
      <c r="U88" s="58" t="e">
        <f>Links!J88+'On-Ramps'!AG88</f>
        <v>#DIV/0!</v>
      </c>
      <c r="V88" s="58" t="e">
        <f>Links!L88+'On-Ramps'!AH88</f>
        <v>#DIV/0!</v>
      </c>
      <c r="W88" s="58" t="e">
        <f>Links!M88+'On-Ramps'!AI88</f>
        <v>#DIV/0!</v>
      </c>
      <c r="X88" s="58" t="e">
        <f>Links!P88+'On-Ramps'!AJ88</f>
        <v>#DIV/0!</v>
      </c>
      <c r="Y88" s="58" t="e">
        <f>Links!Q88</f>
        <v>#DIV/0!</v>
      </c>
      <c r="Z88" s="58" t="e">
        <f>Links!R88+'On-Ramps'!AK88</f>
        <v>#DIV/0!</v>
      </c>
      <c r="AA88" s="58" t="e">
        <f>Links!S88</f>
        <v>#DIV/0!</v>
      </c>
      <c r="AB88" s="57" t="e">
        <f t="shared" si="43"/>
        <v>#VALUE!</v>
      </c>
      <c r="AC88" s="63"/>
      <c r="AD88" s="57" t="e">
        <f t="shared" si="44"/>
        <v>#DIV/0!</v>
      </c>
      <c r="AE88" s="63"/>
      <c r="AF88" s="57" t="e">
        <f t="shared" si="45"/>
        <v>#DIV/0!</v>
      </c>
      <c r="AG88" s="57" t="e">
        <f t="shared" si="46"/>
        <v>#DIV/0!</v>
      </c>
      <c r="AH88" s="57" t="e">
        <f t="shared" si="47"/>
        <v>#DIV/0!</v>
      </c>
      <c r="AI88" s="57" t="e">
        <f t="shared" si="48"/>
        <v>#DIV/0!</v>
      </c>
      <c r="AJ88" s="57" t="e">
        <f t="shared" si="49"/>
        <v>#DIV/0!</v>
      </c>
      <c r="AK88" s="57" t="e">
        <f t="shared" si="50"/>
        <v>#DIV/0!</v>
      </c>
      <c r="AL88" s="57" t="e">
        <f t="shared" si="51"/>
        <v>#DIV/0!</v>
      </c>
      <c r="AM88" s="63"/>
      <c r="AN88" s="57" t="e">
        <f t="shared" si="53"/>
        <v>#DIV/0!</v>
      </c>
      <c r="AO88" s="58" t="e">
        <f t="shared" si="29"/>
        <v>#VALUE!</v>
      </c>
      <c r="AP88" s="63"/>
      <c r="AQ88" s="58" t="e">
        <f t="shared" si="52"/>
        <v>#DIV/0!</v>
      </c>
      <c r="AR88" s="63"/>
      <c r="AS88" s="58" t="e">
        <f t="shared" si="52"/>
        <v>#DIV/0!</v>
      </c>
      <c r="AT88" s="58" t="e">
        <f t="shared" si="52"/>
        <v>#DIV/0!</v>
      </c>
      <c r="AU88" s="58" t="e">
        <f t="shared" si="52"/>
        <v>#DIV/0!</v>
      </c>
      <c r="AV88" s="58" t="e">
        <f t="shared" si="52"/>
        <v>#DIV/0!</v>
      </c>
      <c r="AW88" s="58" t="e">
        <f t="shared" si="52"/>
        <v>#DIV/0!</v>
      </c>
      <c r="AX88" s="58" t="e">
        <f t="shared" si="52"/>
        <v>#DIV/0!</v>
      </c>
      <c r="AY88" s="58" t="e">
        <f t="shared" si="52"/>
        <v>#DIV/0!</v>
      </c>
      <c r="AZ88" s="63"/>
      <c r="BA88" s="58" t="e">
        <f t="shared" si="52"/>
        <v>#DIV/0!</v>
      </c>
      <c r="BB88" s="63"/>
      <c r="BC88" s="57" t="e">
        <f>(Links!C88*Links!AQ88+'On-Ramps'!AC88*'On-Ramps'!CE88)/('On-Ramps'!AC88+Links!C88)</f>
        <v>#DIV/0!</v>
      </c>
      <c r="BD88" s="63"/>
      <c r="BE88" s="57" t="e">
        <f>(Links!E88*Links!AS88+'On-Ramps'!AD88*'On-Ramps'!CF87)/('On-Ramps'!AD88+Links!E88)</f>
        <v>#DIV/0!</v>
      </c>
      <c r="BF88" s="57" t="e">
        <f>(Links!F88*Links!AT88+'On-Ramps'!AE88*'On-Ramps'!CG88)/('On-Ramps'!AE88+Links!F88)</f>
        <v>#DIV/0!</v>
      </c>
      <c r="BG88" s="57" t="e">
        <f>(Links!I88*Links!AW88+'On-Ramps'!AF88*'On-Ramps'!CH88)/('On-Ramps'!AF88+Links!I88)</f>
        <v>#DIV/0!</v>
      </c>
      <c r="BH88" s="57" t="e">
        <f>(#REF!*#REF!+'On-Ramps'!AG88*'On-Ramps'!CI88)/('On-Ramps'!AG88+#REF!)</f>
        <v>#REF!</v>
      </c>
      <c r="BI88" s="57" t="e">
        <f>(Links!L88*Links!AZ88+'On-Ramps'!AH88*'On-Ramps'!CJ88)/('On-Ramps'!AH88+Links!L88)</f>
        <v>#DIV/0!</v>
      </c>
      <c r="BJ88" s="57" t="e">
        <f>(Links!BA88*Links!M88+'On-Ramps'!AI88*'On-Ramps'!CK88)/('On-Ramps'!AI88+Links!M88)</f>
        <v>#DIV/0!</v>
      </c>
      <c r="BK88" s="57" t="e">
        <f>(Links!S88*Links!BG88+'On-Ramps'!AJ88*'On-Ramps'!CL88)/('On-Ramps'!AJ88+Links!S88)</f>
        <v>#DIV/0!</v>
      </c>
      <c r="BL88" s="63"/>
      <c r="BM88" s="57" t="e">
        <f>(Links!S88*Links!BG88+'On-Ramps'!AL88*'On-Ramps'!CM88)/(Links!S88+'On-Ramps'!AL88)</f>
        <v>#DIV/0!</v>
      </c>
      <c r="BN88" s="63"/>
      <c r="BO88" s="58" t="e">
        <f>(Links!W88^2+'Off-Ramp'!L88^2)/(Links!W88+'Off-Ramp'!L88)</f>
        <v>#DIV/0!</v>
      </c>
      <c r="BP88" s="63"/>
      <c r="BQ88" s="58" t="e">
        <f>(Links!Y88^2+'Off-Ramp'!C88^2)/(Links!Y88+'Off-Ramp'!C88)</f>
        <v>#DIV/0!</v>
      </c>
      <c r="BR88" s="63"/>
      <c r="BS88" s="58" t="e">
        <f>(Links!AA88^2+'Off-Ramp'!N88^2)/(Links!AA88+'Off-Ramp'!N88)</f>
        <v>#DIV/0!</v>
      </c>
      <c r="BT88" s="58" t="e">
        <f>(Links!AD88^2+'Off-Ramp'!O88^2)/(Links!AD88+'Off-Ramp'!O88)</f>
        <v>#DIV/0!</v>
      </c>
      <c r="BU88" s="58" t="e">
        <f>(Links!AE88^2+'Off-Ramp'!V88^2+'Off-Ramp'!W88^2+'Off-Ramp'!X88^2)/(Links!AE88+'Off-Ramp'!V88+'Off-Ramp'!W88+'Off-Ramp'!X88)</f>
        <v>#DIV/0!</v>
      </c>
      <c r="BV88" s="58" t="e">
        <f>(Links!AG88^2+'Off-Ramp'!Y88^2+'Off-Ramp'!Z88^2+'Off-Ramp'!AA88^2)/(Links!AG88+'Off-Ramp'!Y88+'Off-Ramp'!Z88+'Off-Ramp'!AA88)</f>
        <v>#DIV/0!</v>
      </c>
      <c r="BW88" s="58" t="e">
        <f>(Links!AH88^2+'Off-Ramp'!R88^2)/(Links!AH88+'Off-Ramp'!R88)</f>
        <v>#DIV/0!</v>
      </c>
      <c r="BX88" s="58" t="e">
        <f>(Links!AK88^2+'Off-Ramp'!S88^2)/(Links!AK88+'Off-Ramp'!S88)</f>
        <v>#DIV/0!</v>
      </c>
      <c r="BY88" s="58" t="e">
        <f>(Links!AL88^2+'Off-Ramp'!T88^2)/(Links!AL88+'Off-Ramp'!T88)</f>
        <v>#DIV/0!</v>
      </c>
      <c r="BZ88" s="63"/>
      <c r="CA88" s="58" t="e">
        <f>(Links!AN88^2+'Off-Ramp'!U88^2)/(Links!AN88+'Off-Ramp'!U88)</f>
        <v>#DIV/0!</v>
      </c>
    </row>
    <row r="89" spans="1:79" x14ac:dyDescent="0.15">
      <c r="A89" s="56">
        <v>87</v>
      </c>
      <c r="B89" s="57" t="e">
        <f t="shared" si="30"/>
        <v>#DIV/0!</v>
      </c>
      <c r="C89" s="57" t="e">
        <f t="shared" si="31"/>
        <v>#DIV/0!</v>
      </c>
      <c r="D89" s="57" t="e">
        <f t="shared" si="32"/>
        <v>#DIV/0!</v>
      </c>
      <c r="E89" s="57" t="e">
        <f t="shared" si="33"/>
        <v>#DIV/0!</v>
      </c>
      <c r="F89" s="57" t="e">
        <f t="shared" si="34"/>
        <v>#DIV/0!</v>
      </c>
      <c r="G89" s="57" t="e">
        <f t="shared" si="35"/>
        <v>#DIV/0!</v>
      </c>
      <c r="H89" s="57" t="e">
        <f t="shared" si="36"/>
        <v>#DIV/0!</v>
      </c>
      <c r="I89" s="57" t="e">
        <f t="shared" si="37"/>
        <v>#DIV/0!</v>
      </c>
      <c r="J89" s="57" t="e">
        <f t="shared" si="38"/>
        <v>#DIV/0!</v>
      </c>
      <c r="K89" s="57" t="e">
        <f t="shared" si="39"/>
        <v>#DIV/0!</v>
      </c>
      <c r="L89" s="57" t="e">
        <f t="shared" si="40"/>
        <v>#DIV/0!</v>
      </c>
      <c r="M89" s="57" t="e">
        <f t="shared" si="41"/>
        <v>#DIV/0!</v>
      </c>
      <c r="N89" s="57" t="e">
        <f t="shared" si="42"/>
        <v>#DIV/0!</v>
      </c>
      <c r="O89" s="58" t="e">
        <f>Links!B89</f>
        <v>#DIV/0!</v>
      </c>
      <c r="P89" s="58" t="e">
        <f>Links!C89+'On-Ramps'!AC89</f>
        <v>#DIV/0!</v>
      </c>
      <c r="Q89" s="58" t="e">
        <f>Links!D89</f>
        <v>#DIV/0!</v>
      </c>
      <c r="R89" s="58" t="e">
        <f>Links!E89+'On-Ramps'!AD89</f>
        <v>#DIV/0!</v>
      </c>
      <c r="S89" s="58" t="e">
        <f>Links!F89+'On-Ramps'!AE89</f>
        <v>#DIV/0!</v>
      </c>
      <c r="T89" s="58" t="e">
        <f>Links!I89+'On-Ramps'!AF89</f>
        <v>#DIV/0!</v>
      </c>
      <c r="U89" s="58" t="e">
        <f>Links!J89+'On-Ramps'!AG89</f>
        <v>#DIV/0!</v>
      </c>
      <c r="V89" s="58" t="e">
        <f>Links!L89+'On-Ramps'!AH89</f>
        <v>#DIV/0!</v>
      </c>
      <c r="W89" s="58" t="e">
        <f>Links!M89+'On-Ramps'!AI89</f>
        <v>#DIV/0!</v>
      </c>
      <c r="X89" s="58" t="e">
        <f>Links!P89+'On-Ramps'!AJ89</f>
        <v>#DIV/0!</v>
      </c>
      <c r="Y89" s="58" t="e">
        <f>Links!Q89</f>
        <v>#DIV/0!</v>
      </c>
      <c r="Z89" s="58" t="e">
        <f>Links!R89+'On-Ramps'!AK89</f>
        <v>#DIV/0!</v>
      </c>
      <c r="AA89" s="58" t="e">
        <f>Links!S89</f>
        <v>#DIV/0!</v>
      </c>
      <c r="AB89" s="57" t="e">
        <f t="shared" si="43"/>
        <v>#VALUE!</v>
      </c>
      <c r="AC89" s="63"/>
      <c r="AD89" s="57" t="e">
        <f t="shared" si="44"/>
        <v>#DIV/0!</v>
      </c>
      <c r="AE89" s="63"/>
      <c r="AF89" s="57" t="e">
        <f t="shared" si="45"/>
        <v>#DIV/0!</v>
      </c>
      <c r="AG89" s="57" t="e">
        <f t="shared" si="46"/>
        <v>#DIV/0!</v>
      </c>
      <c r="AH89" s="57" t="e">
        <f t="shared" si="47"/>
        <v>#DIV/0!</v>
      </c>
      <c r="AI89" s="57" t="e">
        <f t="shared" si="48"/>
        <v>#DIV/0!</v>
      </c>
      <c r="AJ89" s="57" t="e">
        <f t="shared" si="49"/>
        <v>#DIV/0!</v>
      </c>
      <c r="AK89" s="57" t="e">
        <f t="shared" si="50"/>
        <v>#DIV/0!</v>
      </c>
      <c r="AL89" s="57" t="e">
        <f t="shared" si="51"/>
        <v>#DIV/0!</v>
      </c>
      <c r="AM89" s="63"/>
      <c r="AN89" s="57" t="e">
        <f t="shared" si="53"/>
        <v>#DIV/0!</v>
      </c>
      <c r="AO89" s="58" t="e">
        <f t="shared" si="29"/>
        <v>#VALUE!</v>
      </c>
      <c r="AP89" s="63"/>
      <c r="AQ89" s="58" t="e">
        <f t="shared" si="52"/>
        <v>#DIV/0!</v>
      </c>
      <c r="AR89" s="63"/>
      <c r="AS89" s="58" t="e">
        <f t="shared" si="52"/>
        <v>#DIV/0!</v>
      </c>
      <c r="AT89" s="58" t="e">
        <f t="shared" si="52"/>
        <v>#DIV/0!</v>
      </c>
      <c r="AU89" s="58" t="e">
        <f t="shared" si="52"/>
        <v>#DIV/0!</v>
      </c>
      <c r="AV89" s="58" t="e">
        <f t="shared" si="52"/>
        <v>#DIV/0!</v>
      </c>
      <c r="AW89" s="58" t="e">
        <f t="shared" si="52"/>
        <v>#DIV/0!</v>
      </c>
      <c r="AX89" s="58" t="e">
        <f t="shared" si="52"/>
        <v>#DIV/0!</v>
      </c>
      <c r="AY89" s="58" t="e">
        <f t="shared" si="52"/>
        <v>#DIV/0!</v>
      </c>
      <c r="AZ89" s="63"/>
      <c r="BA89" s="58" t="e">
        <f t="shared" si="52"/>
        <v>#DIV/0!</v>
      </c>
      <c r="BB89" s="63"/>
      <c r="BC89" s="57" t="e">
        <f>(Links!C89*Links!AQ89+'On-Ramps'!AC89*'On-Ramps'!CE89)/('On-Ramps'!AC89+Links!C89)</f>
        <v>#DIV/0!</v>
      </c>
      <c r="BD89" s="63"/>
      <c r="BE89" s="57" t="e">
        <f>(Links!E89*Links!AS89+'On-Ramps'!AD89*'On-Ramps'!CF88)/('On-Ramps'!AD89+Links!E89)</f>
        <v>#DIV/0!</v>
      </c>
      <c r="BF89" s="57" t="e">
        <f>(Links!F89*Links!AT89+'On-Ramps'!AE89*'On-Ramps'!CG89)/('On-Ramps'!AE89+Links!F89)</f>
        <v>#DIV/0!</v>
      </c>
      <c r="BG89" s="57" t="e">
        <f>(Links!I89*Links!AW89+'On-Ramps'!AF89*'On-Ramps'!CH89)/('On-Ramps'!AF89+Links!I89)</f>
        <v>#DIV/0!</v>
      </c>
      <c r="BH89" s="57" t="e">
        <f>(#REF!*#REF!+'On-Ramps'!AG89*'On-Ramps'!CI89)/('On-Ramps'!AG89+#REF!)</f>
        <v>#REF!</v>
      </c>
      <c r="BI89" s="57" t="e">
        <f>(Links!L89*Links!AZ89+'On-Ramps'!AH89*'On-Ramps'!CJ89)/('On-Ramps'!AH89+Links!L89)</f>
        <v>#DIV/0!</v>
      </c>
      <c r="BJ89" s="57" t="e">
        <f>(Links!BA89*Links!M89+'On-Ramps'!AI89*'On-Ramps'!CK89)/('On-Ramps'!AI89+Links!M89)</f>
        <v>#DIV/0!</v>
      </c>
      <c r="BK89" s="57" t="e">
        <f>(Links!S89*Links!BG89+'On-Ramps'!AJ89*'On-Ramps'!CL89)/('On-Ramps'!AJ89+Links!S89)</f>
        <v>#DIV/0!</v>
      </c>
      <c r="BL89" s="63"/>
      <c r="BM89" s="57" t="e">
        <f>(Links!S89*Links!BG89+'On-Ramps'!AL89*'On-Ramps'!CM89)/(Links!S89+'On-Ramps'!AL89)</f>
        <v>#DIV/0!</v>
      </c>
      <c r="BN89" s="63"/>
      <c r="BO89" s="58" t="e">
        <f>(Links!W89^2+'Off-Ramp'!L89^2)/(Links!W89+'Off-Ramp'!L89)</f>
        <v>#DIV/0!</v>
      </c>
      <c r="BP89" s="63"/>
      <c r="BQ89" s="58" t="e">
        <f>(Links!Y89^2+'Off-Ramp'!C89^2)/(Links!Y89+'Off-Ramp'!C89)</f>
        <v>#DIV/0!</v>
      </c>
      <c r="BR89" s="63"/>
      <c r="BS89" s="58" t="e">
        <f>(Links!AA89^2+'Off-Ramp'!N89^2)/(Links!AA89+'Off-Ramp'!N89)</f>
        <v>#DIV/0!</v>
      </c>
      <c r="BT89" s="58" t="e">
        <f>(Links!AD89^2+'Off-Ramp'!O89^2)/(Links!AD89+'Off-Ramp'!O89)</f>
        <v>#DIV/0!</v>
      </c>
      <c r="BU89" s="58" t="e">
        <f>(Links!AE89^2+'Off-Ramp'!V89^2+'Off-Ramp'!W89^2+'Off-Ramp'!X89^2)/(Links!AE89+'Off-Ramp'!V89+'Off-Ramp'!W89+'Off-Ramp'!X89)</f>
        <v>#DIV/0!</v>
      </c>
      <c r="BV89" s="58" t="e">
        <f>(Links!AG89^2+'Off-Ramp'!Y89^2+'Off-Ramp'!Z89^2+'Off-Ramp'!AA89^2)/(Links!AG89+'Off-Ramp'!Y89+'Off-Ramp'!Z89+'Off-Ramp'!AA89)</f>
        <v>#DIV/0!</v>
      </c>
      <c r="BW89" s="58" t="e">
        <f>(Links!AH89^2+'Off-Ramp'!R89^2)/(Links!AH89+'Off-Ramp'!R89)</f>
        <v>#DIV/0!</v>
      </c>
      <c r="BX89" s="58" t="e">
        <f>(Links!AK89^2+'Off-Ramp'!S89^2)/(Links!AK89+'Off-Ramp'!S89)</f>
        <v>#DIV/0!</v>
      </c>
      <c r="BY89" s="58" t="e">
        <f>(Links!AL89^2+'Off-Ramp'!T89^2)/(Links!AL89+'Off-Ramp'!T89)</f>
        <v>#DIV/0!</v>
      </c>
      <c r="BZ89" s="63"/>
      <c r="CA89" s="58" t="e">
        <f>(Links!AN89^2+'Off-Ramp'!U89^2)/(Links!AN89+'Off-Ramp'!U89)</f>
        <v>#DIV/0!</v>
      </c>
    </row>
    <row r="90" spans="1:79" x14ac:dyDescent="0.15">
      <c r="A90" s="56">
        <v>88</v>
      </c>
      <c r="B90" s="57" t="e">
        <f t="shared" si="30"/>
        <v>#DIV/0!</v>
      </c>
      <c r="C90" s="57" t="e">
        <f t="shared" si="31"/>
        <v>#DIV/0!</v>
      </c>
      <c r="D90" s="57" t="e">
        <f t="shared" si="32"/>
        <v>#DIV/0!</v>
      </c>
      <c r="E90" s="57" t="e">
        <f t="shared" si="33"/>
        <v>#DIV/0!</v>
      </c>
      <c r="F90" s="57" t="e">
        <f t="shared" si="34"/>
        <v>#DIV/0!</v>
      </c>
      <c r="G90" s="57" t="e">
        <f t="shared" si="35"/>
        <v>#DIV/0!</v>
      </c>
      <c r="H90" s="57" t="e">
        <f t="shared" si="36"/>
        <v>#DIV/0!</v>
      </c>
      <c r="I90" s="57" t="e">
        <f t="shared" si="37"/>
        <v>#DIV/0!</v>
      </c>
      <c r="J90" s="57" t="e">
        <f t="shared" si="38"/>
        <v>#DIV/0!</v>
      </c>
      <c r="K90" s="57" t="e">
        <f t="shared" si="39"/>
        <v>#DIV/0!</v>
      </c>
      <c r="L90" s="57" t="e">
        <f t="shared" si="40"/>
        <v>#DIV/0!</v>
      </c>
      <c r="M90" s="57" t="e">
        <f t="shared" si="41"/>
        <v>#DIV/0!</v>
      </c>
      <c r="N90" s="57" t="e">
        <f t="shared" si="42"/>
        <v>#DIV/0!</v>
      </c>
      <c r="O90" s="58" t="e">
        <f>Links!B90</f>
        <v>#DIV/0!</v>
      </c>
      <c r="P90" s="58" t="e">
        <f>Links!C90+'On-Ramps'!AC90</f>
        <v>#DIV/0!</v>
      </c>
      <c r="Q90" s="58" t="e">
        <f>Links!D90</f>
        <v>#DIV/0!</v>
      </c>
      <c r="R90" s="58" t="e">
        <f>Links!E90+'On-Ramps'!AD90</f>
        <v>#DIV/0!</v>
      </c>
      <c r="S90" s="58" t="e">
        <f>Links!F90+'On-Ramps'!AE90</f>
        <v>#DIV/0!</v>
      </c>
      <c r="T90" s="58" t="e">
        <f>Links!I90+'On-Ramps'!AF90</f>
        <v>#DIV/0!</v>
      </c>
      <c r="U90" s="58" t="e">
        <f>Links!J90+'On-Ramps'!AG90</f>
        <v>#DIV/0!</v>
      </c>
      <c r="V90" s="58" t="e">
        <f>Links!L90+'On-Ramps'!AH90</f>
        <v>#DIV/0!</v>
      </c>
      <c r="W90" s="58" t="e">
        <f>Links!M90+'On-Ramps'!AI90</f>
        <v>#DIV/0!</v>
      </c>
      <c r="X90" s="58" t="e">
        <f>Links!P90+'On-Ramps'!AJ90</f>
        <v>#DIV/0!</v>
      </c>
      <c r="Y90" s="58" t="e">
        <f>Links!Q90</f>
        <v>#DIV/0!</v>
      </c>
      <c r="Z90" s="58" t="e">
        <f>Links!R90+'On-Ramps'!AK90</f>
        <v>#DIV/0!</v>
      </c>
      <c r="AA90" s="58" t="e">
        <f>Links!S90</f>
        <v>#DIV/0!</v>
      </c>
      <c r="AB90" s="57" t="e">
        <f t="shared" si="43"/>
        <v>#VALUE!</v>
      </c>
      <c r="AC90" s="63"/>
      <c r="AD90" s="57" t="e">
        <f t="shared" si="44"/>
        <v>#DIV/0!</v>
      </c>
      <c r="AE90" s="63"/>
      <c r="AF90" s="57" t="e">
        <f t="shared" si="45"/>
        <v>#DIV/0!</v>
      </c>
      <c r="AG90" s="57" t="e">
        <f t="shared" si="46"/>
        <v>#DIV/0!</v>
      </c>
      <c r="AH90" s="57" t="e">
        <f t="shared" si="47"/>
        <v>#DIV/0!</v>
      </c>
      <c r="AI90" s="57" t="e">
        <f t="shared" si="48"/>
        <v>#DIV/0!</v>
      </c>
      <c r="AJ90" s="57" t="e">
        <f t="shared" si="49"/>
        <v>#DIV/0!</v>
      </c>
      <c r="AK90" s="57" t="e">
        <f t="shared" si="50"/>
        <v>#DIV/0!</v>
      </c>
      <c r="AL90" s="57" t="e">
        <f t="shared" si="51"/>
        <v>#DIV/0!</v>
      </c>
      <c r="AM90" s="63"/>
      <c r="AN90" s="57" t="e">
        <f t="shared" si="53"/>
        <v>#DIV/0!</v>
      </c>
      <c r="AO90" s="58" t="e">
        <f t="shared" si="29"/>
        <v>#VALUE!</v>
      </c>
      <c r="AP90" s="63"/>
      <c r="AQ90" s="58" t="e">
        <f t="shared" si="52"/>
        <v>#DIV/0!</v>
      </c>
      <c r="AR90" s="63"/>
      <c r="AS90" s="58" t="e">
        <f t="shared" si="52"/>
        <v>#DIV/0!</v>
      </c>
      <c r="AT90" s="58" t="e">
        <f t="shared" si="52"/>
        <v>#DIV/0!</v>
      </c>
      <c r="AU90" s="58" t="e">
        <f t="shared" si="52"/>
        <v>#DIV/0!</v>
      </c>
      <c r="AV90" s="58" t="e">
        <f t="shared" si="52"/>
        <v>#DIV/0!</v>
      </c>
      <c r="AW90" s="58" t="e">
        <f t="shared" si="52"/>
        <v>#DIV/0!</v>
      </c>
      <c r="AX90" s="58" t="e">
        <f t="shared" si="52"/>
        <v>#DIV/0!</v>
      </c>
      <c r="AY90" s="58" t="e">
        <f t="shared" si="52"/>
        <v>#DIV/0!</v>
      </c>
      <c r="AZ90" s="63"/>
      <c r="BA90" s="58" t="e">
        <f t="shared" si="52"/>
        <v>#DIV/0!</v>
      </c>
      <c r="BB90" s="63"/>
      <c r="BC90" s="57" t="e">
        <f>(Links!C90*Links!AQ90+'On-Ramps'!AC90*'On-Ramps'!CE90)/('On-Ramps'!AC90+Links!C90)</f>
        <v>#DIV/0!</v>
      </c>
      <c r="BD90" s="63"/>
      <c r="BE90" s="57" t="e">
        <f>(Links!E90*Links!AS90+'On-Ramps'!AD90*'On-Ramps'!CF89)/('On-Ramps'!AD90+Links!E90)</f>
        <v>#DIV/0!</v>
      </c>
      <c r="BF90" s="57" t="e">
        <f>(Links!F90*Links!AT90+'On-Ramps'!AE90*'On-Ramps'!CG90)/('On-Ramps'!AE90+Links!F90)</f>
        <v>#DIV/0!</v>
      </c>
      <c r="BG90" s="57" t="e">
        <f>(Links!I90*Links!AW90+'On-Ramps'!AF90*'On-Ramps'!CH90)/('On-Ramps'!AF90+Links!I90)</f>
        <v>#DIV/0!</v>
      </c>
      <c r="BH90" s="57" t="e">
        <f>(#REF!*#REF!+'On-Ramps'!AG90*'On-Ramps'!CI90)/('On-Ramps'!AG90+#REF!)</f>
        <v>#REF!</v>
      </c>
      <c r="BI90" s="57" t="e">
        <f>(Links!L90*Links!AZ90+'On-Ramps'!AH90*'On-Ramps'!CJ90)/('On-Ramps'!AH90+Links!L90)</f>
        <v>#DIV/0!</v>
      </c>
      <c r="BJ90" s="57" t="e">
        <f>(Links!BA90*Links!M90+'On-Ramps'!AI90*'On-Ramps'!CK90)/('On-Ramps'!AI90+Links!M90)</f>
        <v>#DIV/0!</v>
      </c>
      <c r="BK90" s="57" t="e">
        <f>(Links!S90*Links!BG90+'On-Ramps'!AJ90*'On-Ramps'!CL90)/('On-Ramps'!AJ90+Links!S90)</f>
        <v>#DIV/0!</v>
      </c>
      <c r="BL90" s="63"/>
      <c r="BM90" s="57" t="e">
        <f>(Links!S90*Links!BG90+'On-Ramps'!AL90*'On-Ramps'!CM90)/(Links!S90+'On-Ramps'!AL90)</f>
        <v>#DIV/0!</v>
      </c>
      <c r="BN90" s="63"/>
      <c r="BO90" s="58" t="e">
        <f>(Links!W90^2+'Off-Ramp'!L90^2)/(Links!W90+'Off-Ramp'!L90)</f>
        <v>#DIV/0!</v>
      </c>
      <c r="BP90" s="63"/>
      <c r="BQ90" s="58" t="e">
        <f>(Links!Y90^2+'Off-Ramp'!C90^2)/(Links!Y90+'Off-Ramp'!C90)</f>
        <v>#DIV/0!</v>
      </c>
      <c r="BR90" s="63"/>
      <c r="BS90" s="58" t="e">
        <f>(Links!AA90^2+'Off-Ramp'!N90^2)/(Links!AA90+'Off-Ramp'!N90)</f>
        <v>#DIV/0!</v>
      </c>
      <c r="BT90" s="58" t="e">
        <f>(Links!AD90^2+'Off-Ramp'!O90^2)/(Links!AD90+'Off-Ramp'!O90)</f>
        <v>#DIV/0!</v>
      </c>
      <c r="BU90" s="58" t="e">
        <f>(Links!AE90^2+'Off-Ramp'!V90^2+'Off-Ramp'!W90^2+'Off-Ramp'!X90^2)/(Links!AE90+'Off-Ramp'!V90+'Off-Ramp'!W90+'Off-Ramp'!X90)</f>
        <v>#DIV/0!</v>
      </c>
      <c r="BV90" s="58" t="e">
        <f>(Links!AG90^2+'Off-Ramp'!Y90^2+'Off-Ramp'!Z90^2+'Off-Ramp'!AA90^2)/(Links!AG90+'Off-Ramp'!Y90+'Off-Ramp'!Z90+'Off-Ramp'!AA90)</f>
        <v>#DIV/0!</v>
      </c>
      <c r="BW90" s="58" t="e">
        <f>(Links!AH90^2+'Off-Ramp'!R90^2)/(Links!AH90+'Off-Ramp'!R90)</f>
        <v>#DIV/0!</v>
      </c>
      <c r="BX90" s="58" t="e">
        <f>(Links!AK90^2+'Off-Ramp'!S90^2)/(Links!AK90+'Off-Ramp'!S90)</f>
        <v>#DIV/0!</v>
      </c>
      <c r="BY90" s="58" t="e">
        <f>(Links!AL90^2+'Off-Ramp'!T90^2)/(Links!AL90+'Off-Ramp'!T90)</f>
        <v>#DIV/0!</v>
      </c>
      <c r="BZ90" s="63"/>
      <c r="CA90" s="58" t="e">
        <f>(Links!AN90^2+'Off-Ramp'!U90^2)/(Links!AN90+'Off-Ramp'!U90)</f>
        <v>#DIV/0!</v>
      </c>
    </row>
    <row r="91" spans="1:79" x14ac:dyDescent="0.15">
      <c r="A91" s="56">
        <v>89</v>
      </c>
      <c r="B91" s="57" t="e">
        <f t="shared" si="30"/>
        <v>#DIV/0!</v>
      </c>
      <c r="C91" s="57" t="e">
        <f t="shared" si="31"/>
        <v>#DIV/0!</v>
      </c>
      <c r="D91" s="57" t="e">
        <f t="shared" si="32"/>
        <v>#DIV/0!</v>
      </c>
      <c r="E91" s="57" t="e">
        <f t="shared" si="33"/>
        <v>#DIV/0!</v>
      </c>
      <c r="F91" s="57" t="e">
        <f t="shared" si="34"/>
        <v>#DIV/0!</v>
      </c>
      <c r="G91" s="57" t="e">
        <f t="shared" si="35"/>
        <v>#DIV/0!</v>
      </c>
      <c r="H91" s="57" t="e">
        <f t="shared" si="36"/>
        <v>#DIV/0!</v>
      </c>
      <c r="I91" s="57" t="e">
        <f t="shared" si="37"/>
        <v>#DIV/0!</v>
      </c>
      <c r="J91" s="57" t="e">
        <f t="shared" si="38"/>
        <v>#DIV/0!</v>
      </c>
      <c r="K91" s="57" t="e">
        <f t="shared" si="39"/>
        <v>#DIV/0!</v>
      </c>
      <c r="L91" s="57" t="e">
        <f t="shared" si="40"/>
        <v>#DIV/0!</v>
      </c>
      <c r="M91" s="57" t="e">
        <f t="shared" si="41"/>
        <v>#DIV/0!</v>
      </c>
      <c r="N91" s="57" t="e">
        <f t="shared" si="42"/>
        <v>#DIV/0!</v>
      </c>
      <c r="O91" s="58" t="e">
        <f>Links!B91</f>
        <v>#DIV/0!</v>
      </c>
      <c r="P91" s="58" t="e">
        <f>Links!C91+'On-Ramps'!AC91</f>
        <v>#DIV/0!</v>
      </c>
      <c r="Q91" s="58" t="e">
        <f>Links!D91</f>
        <v>#DIV/0!</v>
      </c>
      <c r="R91" s="58" t="e">
        <f>Links!E91+'On-Ramps'!AD91</f>
        <v>#DIV/0!</v>
      </c>
      <c r="S91" s="58" t="e">
        <f>Links!F91+'On-Ramps'!AE91</f>
        <v>#DIV/0!</v>
      </c>
      <c r="T91" s="58" t="e">
        <f>Links!I91+'On-Ramps'!AF91</f>
        <v>#DIV/0!</v>
      </c>
      <c r="U91" s="58" t="e">
        <f>Links!J91+'On-Ramps'!AG91</f>
        <v>#DIV/0!</v>
      </c>
      <c r="V91" s="58" t="e">
        <f>Links!L91+'On-Ramps'!AH91</f>
        <v>#DIV/0!</v>
      </c>
      <c r="W91" s="58" t="e">
        <f>Links!M91+'On-Ramps'!AI91</f>
        <v>#DIV/0!</v>
      </c>
      <c r="X91" s="58" t="e">
        <f>Links!P91+'On-Ramps'!AJ91</f>
        <v>#DIV/0!</v>
      </c>
      <c r="Y91" s="58" t="e">
        <f>Links!Q91</f>
        <v>#DIV/0!</v>
      </c>
      <c r="Z91" s="58" t="e">
        <f>Links!R91+'On-Ramps'!AK91</f>
        <v>#DIV/0!</v>
      </c>
      <c r="AA91" s="58" t="e">
        <f>Links!S91</f>
        <v>#DIV/0!</v>
      </c>
      <c r="AB91" s="57" t="e">
        <f t="shared" si="43"/>
        <v>#VALUE!</v>
      </c>
      <c r="AC91" s="63"/>
      <c r="AD91" s="57" t="e">
        <f t="shared" si="44"/>
        <v>#DIV/0!</v>
      </c>
      <c r="AE91" s="63"/>
      <c r="AF91" s="57" t="e">
        <f t="shared" si="45"/>
        <v>#DIV/0!</v>
      </c>
      <c r="AG91" s="57" t="e">
        <f t="shared" si="46"/>
        <v>#DIV/0!</v>
      </c>
      <c r="AH91" s="57" t="e">
        <f t="shared" si="47"/>
        <v>#DIV/0!</v>
      </c>
      <c r="AI91" s="57" t="e">
        <f t="shared" si="48"/>
        <v>#DIV/0!</v>
      </c>
      <c r="AJ91" s="57" t="e">
        <f t="shared" si="49"/>
        <v>#DIV/0!</v>
      </c>
      <c r="AK91" s="57" t="e">
        <f t="shared" si="50"/>
        <v>#DIV/0!</v>
      </c>
      <c r="AL91" s="57" t="e">
        <f t="shared" si="51"/>
        <v>#DIV/0!</v>
      </c>
      <c r="AM91" s="63"/>
      <c r="AN91" s="57" t="e">
        <f t="shared" si="53"/>
        <v>#DIV/0!</v>
      </c>
      <c r="AO91" s="58" t="e">
        <f t="shared" si="29"/>
        <v>#VALUE!</v>
      </c>
      <c r="AP91" s="63"/>
      <c r="AQ91" s="58" t="e">
        <f t="shared" si="52"/>
        <v>#DIV/0!</v>
      </c>
      <c r="AR91" s="63"/>
      <c r="AS91" s="58" t="e">
        <f t="shared" si="52"/>
        <v>#DIV/0!</v>
      </c>
      <c r="AT91" s="58" t="e">
        <f t="shared" si="52"/>
        <v>#DIV/0!</v>
      </c>
      <c r="AU91" s="58" t="e">
        <f t="shared" si="52"/>
        <v>#DIV/0!</v>
      </c>
      <c r="AV91" s="58" t="e">
        <f t="shared" si="52"/>
        <v>#DIV/0!</v>
      </c>
      <c r="AW91" s="58" t="e">
        <f t="shared" si="52"/>
        <v>#DIV/0!</v>
      </c>
      <c r="AX91" s="58" t="e">
        <f t="shared" si="52"/>
        <v>#DIV/0!</v>
      </c>
      <c r="AY91" s="58" t="e">
        <f t="shared" si="52"/>
        <v>#DIV/0!</v>
      </c>
      <c r="AZ91" s="63"/>
      <c r="BA91" s="58" t="e">
        <f t="shared" si="52"/>
        <v>#DIV/0!</v>
      </c>
      <c r="BB91" s="63"/>
      <c r="BC91" s="57" t="e">
        <f>(Links!C91*Links!AQ91+'On-Ramps'!AC91*'On-Ramps'!CE91)/('On-Ramps'!AC91+Links!C91)</f>
        <v>#DIV/0!</v>
      </c>
      <c r="BD91" s="63"/>
      <c r="BE91" s="57" t="e">
        <f>(Links!E91*Links!AS91+'On-Ramps'!AD91*'On-Ramps'!CF90)/('On-Ramps'!AD91+Links!E91)</f>
        <v>#DIV/0!</v>
      </c>
      <c r="BF91" s="57" t="e">
        <f>(Links!F91*Links!AT91+'On-Ramps'!AE91*'On-Ramps'!CG91)/('On-Ramps'!AE91+Links!F91)</f>
        <v>#DIV/0!</v>
      </c>
      <c r="BG91" s="57" t="e">
        <f>(Links!I91*Links!AW91+'On-Ramps'!AF91*'On-Ramps'!CH91)/('On-Ramps'!AF91+Links!I91)</f>
        <v>#DIV/0!</v>
      </c>
      <c r="BH91" s="57" t="e">
        <f>(#REF!*#REF!+'On-Ramps'!AG91*'On-Ramps'!CI91)/('On-Ramps'!AG91+#REF!)</f>
        <v>#REF!</v>
      </c>
      <c r="BI91" s="57" t="e">
        <f>(Links!L91*Links!AZ91+'On-Ramps'!AH91*'On-Ramps'!CJ91)/('On-Ramps'!AH91+Links!L91)</f>
        <v>#DIV/0!</v>
      </c>
      <c r="BJ91" s="57" t="e">
        <f>(Links!BA91*Links!M91+'On-Ramps'!AI91*'On-Ramps'!CK91)/('On-Ramps'!AI91+Links!M91)</f>
        <v>#DIV/0!</v>
      </c>
      <c r="BK91" s="57" t="e">
        <f>(Links!S91*Links!BG91+'On-Ramps'!AJ91*'On-Ramps'!CL91)/('On-Ramps'!AJ91+Links!S91)</f>
        <v>#DIV/0!</v>
      </c>
      <c r="BL91" s="63"/>
      <c r="BM91" s="57" t="e">
        <f>(Links!S91*Links!BG91+'On-Ramps'!AL91*'On-Ramps'!CM91)/(Links!S91+'On-Ramps'!AL91)</f>
        <v>#DIV/0!</v>
      </c>
      <c r="BN91" s="63"/>
      <c r="BO91" s="58" t="e">
        <f>(Links!W91^2+'Off-Ramp'!L91^2)/(Links!W91+'Off-Ramp'!L91)</f>
        <v>#DIV/0!</v>
      </c>
      <c r="BP91" s="63"/>
      <c r="BQ91" s="58" t="e">
        <f>(Links!Y91^2+'Off-Ramp'!C91^2)/(Links!Y91+'Off-Ramp'!C91)</f>
        <v>#DIV/0!</v>
      </c>
      <c r="BR91" s="63"/>
      <c r="BS91" s="58" t="e">
        <f>(Links!AA91^2+'Off-Ramp'!N91^2)/(Links!AA91+'Off-Ramp'!N91)</f>
        <v>#DIV/0!</v>
      </c>
      <c r="BT91" s="58" t="e">
        <f>(Links!AD91^2+'Off-Ramp'!O91^2)/(Links!AD91+'Off-Ramp'!O91)</f>
        <v>#DIV/0!</v>
      </c>
      <c r="BU91" s="58" t="e">
        <f>(Links!AE91^2+'Off-Ramp'!V91^2+'Off-Ramp'!W91^2+'Off-Ramp'!X91^2)/(Links!AE91+'Off-Ramp'!V91+'Off-Ramp'!W91+'Off-Ramp'!X91)</f>
        <v>#DIV/0!</v>
      </c>
      <c r="BV91" s="58" t="e">
        <f>(Links!AG91^2+'Off-Ramp'!Y91^2+'Off-Ramp'!Z91^2+'Off-Ramp'!AA91^2)/(Links!AG91+'Off-Ramp'!Y91+'Off-Ramp'!Z91+'Off-Ramp'!AA91)</f>
        <v>#DIV/0!</v>
      </c>
      <c r="BW91" s="58" t="e">
        <f>(Links!AH91^2+'Off-Ramp'!R91^2)/(Links!AH91+'Off-Ramp'!R91)</f>
        <v>#DIV/0!</v>
      </c>
      <c r="BX91" s="58" t="e">
        <f>(Links!AK91^2+'Off-Ramp'!S91^2)/(Links!AK91+'Off-Ramp'!S91)</f>
        <v>#DIV/0!</v>
      </c>
      <c r="BY91" s="58" t="e">
        <f>(Links!AL91^2+'Off-Ramp'!T91^2)/(Links!AL91+'Off-Ramp'!T91)</f>
        <v>#DIV/0!</v>
      </c>
      <c r="BZ91" s="63"/>
      <c r="CA91" s="58" t="e">
        <f>(Links!AN91^2+'Off-Ramp'!U91^2)/(Links!AN91+'Off-Ramp'!U91)</f>
        <v>#DIV/0!</v>
      </c>
    </row>
    <row r="92" spans="1:79" x14ac:dyDescent="0.15">
      <c r="A92" s="56">
        <v>90</v>
      </c>
      <c r="B92" s="57" t="e">
        <f t="shared" si="30"/>
        <v>#DIV/0!</v>
      </c>
      <c r="C92" s="57" t="e">
        <f t="shared" si="31"/>
        <v>#DIV/0!</v>
      </c>
      <c r="D92" s="57" t="e">
        <f t="shared" si="32"/>
        <v>#DIV/0!</v>
      </c>
      <c r="E92" s="57" t="e">
        <f t="shared" si="33"/>
        <v>#DIV/0!</v>
      </c>
      <c r="F92" s="57" t="e">
        <f t="shared" si="34"/>
        <v>#DIV/0!</v>
      </c>
      <c r="G92" s="57" t="e">
        <f t="shared" si="35"/>
        <v>#DIV/0!</v>
      </c>
      <c r="H92" s="57" t="e">
        <f t="shared" si="36"/>
        <v>#DIV/0!</v>
      </c>
      <c r="I92" s="57" t="e">
        <f t="shared" si="37"/>
        <v>#DIV/0!</v>
      </c>
      <c r="J92" s="57" t="e">
        <f t="shared" si="38"/>
        <v>#DIV/0!</v>
      </c>
      <c r="K92" s="57" t="e">
        <f t="shared" si="39"/>
        <v>#DIV/0!</v>
      </c>
      <c r="L92" s="57" t="e">
        <f t="shared" si="40"/>
        <v>#DIV/0!</v>
      </c>
      <c r="M92" s="57" t="e">
        <f t="shared" si="41"/>
        <v>#DIV/0!</v>
      </c>
      <c r="N92" s="57" t="e">
        <f t="shared" si="42"/>
        <v>#DIV/0!</v>
      </c>
      <c r="O92" s="58" t="e">
        <f>Links!B92</f>
        <v>#DIV/0!</v>
      </c>
      <c r="P92" s="58" t="e">
        <f>Links!C92+'On-Ramps'!AC92</f>
        <v>#DIV/0!</v>
      </c>
      <c r="Q92" s="58" t="e">
        <f>Links!D92</f>
        <v>#DIV/0!</v>
      </c>
      <c r="R92" s="58" t="e">
        <f>Links!E92+'On-Ramps'!AD92</f>
        <v>#DIV/0!</v>
      </c>
      <c r="S92" s="58" t="e">
        <f>Links!F92+'On-Ramps'!AE92</f>
        <v>#DIV/0!</v>
      </c>
      <c r="T92" s="58" t="e">
        <f>Links!I92+'On-Ramps'!AF92</f>
        <v>#DIV/0!</v>
      </c>
      <c r="U92" s="58" t="e">
        <f>Links!J92+'On-Ramps'!AG92</f>
        <v>#DIV/0!</v>
      </c>
      <c r="V92" s="58" t="e">
        <f>Links!L92+'On-Ramps'!AH92</f>
        <v>#DIV/0!</v>
      </c>
      <c r="W92" s="58" t="e">
        <f>Links!M92+'On-Ramps'!AI92</f>
        <v>#DIV/0!</v>
      </c>
      <c r="X92" s="58" t="e">
        <f>Links!P92+'On-Ramps'!AJ92</f>
        <v>#DIV/0!</v>
      </c>
      <c r="Y92" s="58" t="e">
        <f>Links!Q92</f>
        <v>#DIV/0!</v>
      </c>
      <c r="Z92" s="58" t="e">
        <f>Links!R92+'On-Ramps'!AK92</f>
        <v>#DIV/0!</v>
      </c>
      <c r="AA92" s="58" t="e">
        <f>Links!S92</f>
        <v>#DIV/0!</v>
      </c>
      <c r="AB92" s="57" t="e">
        <f t="shared" si="43"/>
        <v>#VALUE!</v>
      </c>
      <c r="AC92" s="63"/>
      <c r="AD92" s="57" t="e">
        <f t="shared" si="44"/>
        <v>#DIV/0!</v>
      </c>
      <c r="AE92" s="63"/>
      <c r="AF92" s="57" t="e">
        <f t="shared" si="45"/>
        <v>#DIV/0!</v>
      </c>
      <c r="AG92" s="57" t="e">
        <f t="shared" si="46"/>
        <v>#DIV/0!</v>
      </c>
      <c r="AH92" s="57" t="e">
        <f t="shared" si="47"/>
        <v>#DIV/0!</v>
      </c>
      <c r="AI92" s="57" t="e">
        <f t="shared" si="48"/>
        <v>#DIV/0!</v>
      </c>
      <c r="AJ92" s="57" t="e">
        <f t="shared" si="49"/>
        <v>#DIV/0!</v>
      </c>
      <c r="AK92" s="57" t="e">
        <f t="shared" si="50"/>
        <v>#DIV/0!</v>
      </c>
      <c r="AL92" s="57" t="e">
        <f t="shared" si="51"/>
        <v>#DIV/0!</v>
      </c>
      <c r="AM92" s="63"/>
      <c r="AN92" s="57" t="e">
        <f t="shared" si="53"/>
        <v>#DIV/0!</v>
      </c>
      <c r="AO92" s="58" t="e">
        <f t="shared" si="29"/>
        <v>#VALUE!</v>
      </c>
      <c r="AP92" s="63"/>
      <c r="AQ92" s="58" t="e">
        <f t="shared" si="52"/>
        <v>#DIV/0!</v>
      </c>
      <c r="AR92" s="63"/>
      <c r="AS92" s="58" t="e">
        <f t="shared" si="52"/>
        <v>#DIV/0!</v>
      </c>
      <c r="AT92" s="58" t="e">
        <f t="shared" si="52"/>
        <v>#DIV/0!</v>
      </c>
      <c r="AU92" s="58" t="e">
        <f t="shared" si="52"/>
        <v>#DIV/0!</v>
      </c>
      <c r="AV92" s="58" t="e">
        <f t="shared" si="52"/>
        <v>#DIV/0!</v>
      </c>
      <c r="AW92" s="58" t="e">
        <f t="shared" si="52"/>
        <v>#DIV/0!</v>
      </c>
      <c r="AX92" s="58" t="e">
        <f t="shared" si="52"/>
        <v>#DIV/0!</v>
      </c>
      <c r="AY92" s="58" t="e">
        <f t="shared" si="52"/>
        <v>#DIV/0!</v>
      </c>
      <c r="AZ92" s="63"/>
      <c r="BA92" s="58" t="e">
        <f t="shared" si="52"/>
        <v>#DIV/0!</v>
      </c>
      <c r="BB92" s="63"/>
      <c r="BC92" s="57" t="e">
        <f>(Links!C92*Links!AQ92+'On-Ramps'!AC92*'On-Ramps'!CE92)/('On-Ramps'!AC92+Links!C92)</f>
        <v>#DIV/0!</v>
      </c>
      <c r="BD92" s="63"/>
      <c r="BE92" s="57" t="e">
        <f>(Links!E92*Links!AS92+'On-Ramps'!AD92*'On-Ramps'!CF91)/('On-Ramps'!AD92+Links!E92)</f>
        <v>#DIV/0!</v>
      </c>
      <c r="BF92" s="57" t="e">
        <f>(Links!F92*Links!AT92+'On-Ramps'!AE92*'On-Ramps'!CG92)/('On-Ramps'!AE92+Links!F92)</f>
        <v>#DIV/0!</v>
      </c>
      <c r="BG92" s="57" t="e">
        <f>(Links!I92*Links!AW92+'On-Ramps'!AF92*'On-Ramps'!CH92)/('On-Ramps'!AF92+Links!I92)</f>
        <v>#DIV/0!</v>
      </c>
      <c r="BH92" s="57" t="e">
        <f>(#REF!*#REF!+'On-Ramps'!AG92*'On-Ramps'!CI92)/('On-Ramps'!AG92+#REF!)</f>
        <v>#REF!</v>
      </c>
      <c r="BI92" s="57" t="e">
        <f>(Links!L92*Links!AZ92+'On-Ramps'!AH92*'On-Ramps'!CJ92)/('On-Ramps'!AH92+Links!L92)</f>
        <v>#DIV/0!</v>
      </c>
      <c r="BJ92" s="57" t="e">
        <f>(Links!BA92*Links!M92+'On-Ramps'!AI92*'On-Ramps'!CK92)/('On-Ramps'!AI92+Links!M92)</f>
        <v>#DIV/0!</v>
      </c>
      <c r="BK92" s="57" t="e">
        <f>(Links!S92*Links!BG92+'On-Ramps'!AJ92*'On-Ramps'!CL92)/('On-Ramps'!AJ92+Links!S92)</f>
        <v>#DIV/0!</v>
      </c>
      <c r="BL92" s="63"/>
      <c r="BM92" s="57" t="e">
        <f>(Links!S92*Links!BG92+'On-Ramps'!AL92*'On-Ramps'!CM92)/(Links!S92+'On-Ramps'!AL92)</f>
        <v>#DIV/0!</v>
      </c>
      <c r="BN92" s="63"/>
      <c r="BO92" s="58" t="e">
        <f>(Links!W92^2+'Off-Ramp'!L92^2)/(Links!W92+'Off-Ramp'!L92)</f>
        <v>#DIV/0!</v>
      </c>
      <c r="BP92" s="63"/>
      <c r="BQ92" s="58" t="e">
        <f>(Links!Y92^2+'Off-Ramp'!C92^2)/(Links!Y92+'Off-Ramp'!C92)</f>
        <v>#DIV/0!</v>
      </c>
      <c r="BR92" s="63"/>
      <c r="BS92" s="58" t="e">
        <f>(Links!AA92^2+'Off-Ramp'!N92^2)/(Links!AA92+'Off-Ramp'!N92)</f>
        <v>#DIV/0!</v>
      </c>
      <c r="BT92" s="58" t="e">
        <f>(Links!AD92^2+'Off-Ramp'!O92^2)/(Links!AD92+'Off-Ramp'!O92)</f>
        <v>#DIV/0!</v>
      </c>
      <c r="BU92" s="58" t="e">
        <f>(Links!AE92^2+'Off-Ramp'!V92^2+'Off-Ramp'!W92^2+'Off-Ramp'!X92^2)/(Links!AE92+'Off-Ramp'!V92+'Off-Ramp'!W92+'Off-Ramp'!X92)</f>
        <v>#DIV/0!</v>
      </c>
      <c r="BV92" s="58" t="e">
        <f>(Links!AG92^2+'Off-Ramp'!Y92^2+'Off-Ramp'!Z92^2+'Off-Ramp'!AA92^2)/(Links!AG92+'Off-Ramp'!Y92+'Off-Ramp'!Z92+'Off-Ramp'!AA92)</f>
        <v>#DIV/0!</v>
      </c>
      <c r="BW92" s="58" t="e">
        <f>(Links!AH92^2+'Off-Ramp'!R92^2)/(Links!AH92+'Off-Ramp'!R92)</f>
        <v>#DIV/0!</v>
      </c>
      <c r="BX92" s="58" t="e">
        <f>(Links!AK92^2+'Off-Ramp'!S92^2)/(Links!AK92+'Off-Ramp'!S92)</f>
        <v>#DIV/0!</v>
      </c>
      <c r="BY92" s="58" t="e">
        <f>(Links!AL92^2+'Off-Ramp'!T92^2)/(Links!AL92+'Off-Ramp'!T92)</f>
        <v>#DIV/0!</v>
      </c>
      <c r="BZ92" s="63"/>
      <c r="CA92" s="58" t="e">
        <f>(Links!AN92^2+'Off-Ramp'!U92^2)/(Links!AN92+'Off-Ramp'!U92)</f>
        <v>#DIV/0!</v>
      </c>
    </row>
    <row r="93" spans="1:79" x14ac:dyDescent="0.15">
      <c r="A93" s="56">
        <v>91</v>
      </c>
      <c r="B93" s="57" t="e">
        <f t="shared" si="30"/>
        <v>#DIV/0!</v>
      </c>
      <c r="C93" s="57" t="e">
        <f t="shared" si="31"/>
        <v>#DIV/0!</v>
      </c>
      <c r="D93" s="57" t="e">
        <f t="shared" si="32"/>
        <v>#DIV/0!</v>
      </c>
      <c r="E93" s="57" t="e">
        <f t="shared" si="33"/>
        <v>#DIV/0!</v>
      </c>
      <c r="F93" s="57" t="e">
        <f t="shared" si="34"/>
        <v>#DIV/0!</v>
      </c>
      <c r="G93" s="57" t="e">
        <f t="shared" si="35"/>
        <v>#DIV/0!</v>
      </c>
      <c r="H93" s="57" t="e">
        <f t="shared" si="36"/>
        <v>#DIV/0!</v>
      </c>
      <c r="I93" s="57" t="e">
        <f t="shared" si="37"/>
        <v>#DIV/0!</v>
      </c>
      <c r="J93" s="57" t="e">
        <f t="shared" si="38"/>
        <v>#DIV/0!</v>
      </c>
      <c r="K93" s="57" t="e">
        <f t="shared" si="39"/>
        <v>#DIV/0!</v>
      </c>
      <c r="L93" s="57" t="e">
        <f t="shared" si="40"/>
        <v>#DIV/0!</v>
      </c>
      <c r="M93" s="57" t="e">
        <f t="shared" si="41"/>
        <v>#DIV/0!</v>
      </c>
      <c r="N93" s="57" t="e">
        <f t="shared" si="42"/>
        <v>#DIV/0!</v>
      </c>
      <c r="O93" s="58" t="e">
        <f>Links!B93</f>
        <v>#DIV/0!</v>
      </c>
      <c r="P93" s="58" t="e">
        <f>Links!C93+'On-Ramps'!AC93</f>
        <v>#DIV/0!</v>
      </c>
      <c r="Q93" s="58" t="e">
        <f>Links!D93</f>
        <v>#DIV/0!</v>
      </c>
      <c r="R93" s="58" t="e">
        <f>Links!E93+'On-Ramps'!AD93</f>
        <v>#DIV/0!</v>
      </c>
      <c r="S93" s="58" t="e">
        <f>Links!F93+'On-Ramps'!AE93</f>
        <v>#DIV/0!</v>
      </c>
      <c r="T93" s="58" t="e">
        <f>Links!I93+'On-Ramps'!AF93</f>
        <v>#DIV/0!</v>
      </c>
      <c r="U93" s="58" t="e">
        <f>Links!J93+'On-Ramps'!AG93</f>
        <v>#DIV/0!</v>
      </c>
      <c r="V93" s="58" t="e">
        <f>Links!L93+'On-Ramps'!AH93</f>
        <v>#DIV/0!</v>
      </c>
      <c r="W93" s="58" t="e">
        <f>Links!M93+'On-Ramps'!AI93</f>
        <v>#DIV/0!</v>
      </c>
      <c r="X93" s="58" t="e">
        <f>Links!P93+'On-Ramps'!AJ93</f>
        <v>#DIV/0!</v>
      </c>
      <c r="Y93" s="58" t="e">
        <f>Links!Q93</f>
        <v>#DIV/0!</v>
      </c>
      <c r="Z93" s="58" t="e">
        <f>Links!R93+'On-Ramps'!AK93</f>
        <v>#DIV/0!</v>
      </c>
      <c r="AA93" s="58" t="e">
        <f>Links!S93</f>
        <v>#DIV/0!</v>
      </c>
      <c r="AB93" s="57" t="e">
        <f t="shared" si="43"/>
        <v>#VALUE!</v>
      </c>
      <c r="AC93" s="63"/>
      <c r="AD93" s="57" t="e">
        <f t="shared" si="44"/>
        <v>#DIV/0!</v>
      </c>
      <c r="AE93" s="63"/>
      <c r="AF93" s="57" t="e">
        <f t="shared" si="45"/>
        <v>#DIV/0!</v>
      </c>
      <c r="AG93" s="57" t="e">
        <f t="shared" si="46"/>
        <v>#DIV/0!</v>
      </c>
      <c r="AH93" s="57" t="e">
        <f t="shared" si="47"/>
        <v>#DIV/0!</v>
      </c>
      <c r="AI93" s="57" t="e">
        <f t="shared" si="48"/>
        <v>#DIV/0!</v>
      </c>
      <c r="AJ93" s="57" t="e">
        <f t="shared" si="49"/>
        <v>#DIV/0!</v>
      </c>
      <c r="AK93" s="57" t="e">
        <f t="shared" si="50"/>
        <v>#DIV/0!</v>
      </c>
      <c r="AL93" s="57" t="e">
        <f t="shared" si="51"/>
        <v>#DIV/0!</v>
      </c>
      <c r="AM93" s="63"/>
      <c r="AN93" s="57" t="e">
        <f t="shared" si="53"/>
        <v>#DIV/0!</v>
      </c>
      <c r="AO93" s="58" t="e">
        <f t="shared" si="29"/>
        <v>#VALUE!</v>
      </c>
      <c r="AP93" s="63"/>
      <c r="AQ93" s="58" t="e">
        <f t="shared" si="52"/>
        <v>#DIV/0!</v>
      </c>
      <c r="AR93" s="63"/>
      <c r="AS93" s="58" t="e">
        <f t="shared" si="52"/>
        <v>#DIV/0!</v>
      </c>
      <c r="AT93" s="58" t="e">
        <f t="shared" si="52"/>
        <v>#DIV/0!</v>
      </c>
      <c r="AU93" s="58" t="e">
        <f t="shared" si="52"/>
        <v>#DIV/0!</v>
      </c>
      <c r="AV93" s="58" t="e">
        <f t="shared" si="52"/>
        <v>#DIV/0!</v>
      </c>
      <c r="AW93" s="58" t="e">
        <f t="shared" si="52"/>
        <v>#DIV/0!</v>
      </c>
      <c r="AX93" s="58" t="e">
        <f t="shared" si="52"/>
        <v>#DIV/0!</v>
      </c>
      <c r="AY93" s="58" t="e">
        <f t="shared" si="52"/>
        <v>#DIV/0!</v>
      </c>
      <c r="AZ93" s="63"/>
      <c r="BA93" s="58" t="e">
        <f t="shared" si="52"/>
        <v>#DIV/0!</v>
      </c>
      <c r="BB93" s="63"/>
      <c r="BC93" s="57" t="e">
        <f>(Links!C93*Links!AQ93+'On-Ramps'!AC93*'On-Ramps'!CE93)/('On-Ramps'!AC93+Links!C93)</f>
        <v>#DIV/0!</v>
      </c>
      <c r="BD93" s="63"/>
      <c r="BE93" s="57" t="e">
        <f>(Links!E93*Links!AS93+'On-Ramps'!AD93*'On-Ramps'!CF92)/('On-Ramps'!AD93+Links!E93)</f>
        <v>#DIV/0!</v>
      </c>
      <c r="BF93" s="57" t="e">
        <f>(Links!F93*Links!AT93+'On-Ramps'!AE93*'On-Ramps'!CG93)/('On-Ramps'!AE93+Links!F93)</f>
        <v>#DIV/0!</v>
      </c>
      <c r="BG93" s="57" t="e">
        <f>(Links!I93*Links!AW93+'On-Ramps'!AF93*'On-Ramps'!CH93)/('On-Ramps'!AF93+Links!I93)</f>
        <v>#DIV/0!</v>
      </c>
      <c r="BH93" s="57" t="e">
        <f>(#REF!*#REF!+'On-Ramps'!AG93*'On-Ramps'!CI93)/('On-Ramps'!AG93+#REF!)</f>
        <v>#REF!</v>
      </c>
      <c r="BI93" s="57" t="e">
        <f>(Links!L93*Links!AZ93+'On-Ramps'!AH93*'On-Ramps'!CJ93)/('On-Ramps'!AH93+Links!L93)</f>
        <v>#DIV/0!</v>
      </c>
      <c r="BJ93" s="57" t="e">
        <f>(Links!BA93*Links!M93+'On-Ramps'!AI93*'On-Ramps'!CK93)/('On-Ramps'!AI93+Links!M93)</f>
        <v>#DIV/0!</v>
      </c>
      <c r="BK93" s="57" t="e">
        <f>(Links!S93*Links!BG93+'On-Ramps'!AJ93*'On-Ramps'!CL93)/('On-Ramps'!AJ93+Links!S93)</f>
        <v>#DIV/0!</v>
      </c>
      <c r="BL93" s="63"/>
      <c r="BM93" s="57" t="e">
        <f>(Links!S93*Links!BG93+'On-Ramps'!AL93*'On-Ramps'!CM93)/(Links!S93+'On-Ramps'!AL93)</f>
        <v>#DIV/0!</v>
      </c>
      <c r="BN93" s="63"/>
      <c r="BO93" s="58" t="e">
        <f>(Links!W93^2+'Off-Ramp'!L93^2)/(Links!W93+'Off-Ramp'!L93)</f>
        <v>#DIV/0!</v>
      </c>
      <c r="BP93" s="63"/>
      <c r="BQ93" s="58" t="e">
        <f>(Links!Y93^2+'Off-Ramp'!C93^2)/(Links!Y93+'Off-Ramp'!C93)</f>
        <v>#DIV/0!</v>
      </c>
      <c r="BR93" s="63"/>
      <c r="BS93" s="58" t="e">
        <f>(Links!AA93^2+'Off-Ramp'!N93^2)/(Links!AA93+'Off-Ramp'!N93)</f>
        <v>#DIV/0!</v>
      </c>
      <c r="BT93" s="58" t="e">
        <f>(Links!AD93^2+'Off-Ramp'!O93^2)/(Links!AD93+'Off-Ramp'!O93)</f>
        <v>#DIV/0!</v>
      </c>
      <c r="BU93" s="58" t="e">
        <f>(Links!AE93^2+'Off-Ramp'!V93^2+'Off-Ramp'!W93^2+'Off-Ramp'!X93^2)/(Links!AE93+'Off-Ramp'!V93+'Off-Ramp'!W93+'Off-Ramp'!X93)</f>
        <v>#DIV/0!</v>
      </c>
      <c r="BV93" s="58" t="e">
        <f>(Links!AG93^2+'Off-Ramp'!Y93^2+'Off-Ramp'!Z93^2+'Off-Ramp'!AA93^2)/(Links!AG93+'Off-Ramp'!Y93+'Off-Ramp'!Z93+'Off-Ramp'!AA93)</f>
        <v>#DIV/0!</v>
      </c>
      <c r="BW93" s="58" t="e">
        <f>(Links!AH93^2+'Off-Ramp'!R93^2)/(Links!AH93+'Off-Ramp'!R93)</f>
        <v>#DIV/0!</v>
      </c>
      <c r="BX93" s="58" t="e">
        <f>(Links!AK93^2+'Off-Ramp'!S93^2)/(Links!AK93+'Off-Ramp'!S93)</f>
        <v>#DIV/0!</v>
      </c>
      <c r="BY93" s="58" t="e">
        <f>(Links!AL93^2+'Off-Ramp'!T93^2)/(Links!AL93+'Off-Ramp'!T93)</f>
        <v>#DIV/0!</v>
      </c>
      <c r="BZ93" s="63"/>
      <c r="CA93" s="58" t="e">
        <f>(Links!AN93^2+'Off-Ramp'!U93^2)/(Links!AN93+'Off-Ramp'!U93)</f>
        <v>#DIV/0!</v>
      </c>
    </row>
    <row r="94" spans="1:79" x14ac:dyDescent="0.15">
      <c r="A94" s="56">
        <v>92</v>
      </c>
      <c r="B94" s="57" t="e">
        <f t="shared" si="30"/>
        <v>#DIV/0!</v>
      </c>
      <c r="C94" s="57" t="e">
        <f t="shared" si="31"/>
        <v>#DIV/0!</v>
      </c>
      <c r="D94" s="57" t="e">
        <f t="shared" si="32"/>
        <v>#DIV/0!</v>
      </c>
      <c r="E94" s="57" t="e">
        <f t="shared" si="33"/>
        <v>#DIV/0!</v>
      </c>
      <c r="F94" s="57" t="e">
        <f t="shared" si="34"/>
        <v>#DIV/0!</v>
      </c>
      <c r="G94" s="57" t="e">
        <f t="shared" si="35"/>
        <v>#DIV/0!</v>
      </c>
      <c r="H94" s="57" t="e">
        <f t="shared" si="36"/>
        <v>#DIV/0!</v>
      </c>
      <c r="I94" s="57" t="e">
        <f t="shared" si="37"/>
        <v>#DIV/0!</v>
      </c>
      <c r="J94" s="57" t="e">
        <f t="shared" si="38"/>
        <v>#DIV/0!</v>
      </c>
      <c r="K94" s="57" t="e">
        <f t="shared" si="39"/>
        <v>#DIV/0!</v>
      </c>
      <c r="L94" s="57" t="e">
        <f t="shared" si="40"/>
        <v>#DIV/0!</v>
      </c>
      <c r="M94" s="57" t="e">
        <f t="shared" si="41"/>
        <v>#DIV/0!</v>
      </c>
      <c r="N94" s="57" t="e">
        <f t="shared" si="42"/>
        <v>#DIV/0!</v>
      </c>
      <c r="O94" s="58" t="e">
        <f>Links!B94</f>
        <v>#DIV/0!</v>
      </c>
      <c r="P94" s="58" t="e">
        <f>Links!C94+'On-Ramps'!AC94</f>
        <v>#DIV/0!</v>
      </c>
      <c r="Q94" s="58" t="e">
        <f>Links!D94</f>
        <v>#DIV/0!</v>
      </c>
      <c r="R94" s="58" t="e">
        <f>Links!E94+'On-Ramps'!AD94</f>
        <v>#DIV/0!</v>
      </c>
      <c r="S94" s="58" t="e">
        <f>Links!F94+'On-Ramps'!AE94</f>
        <v>#DIV/0!</v>
      </c>
      <c r="T94" s="58" t="e">
        <f>Links!I94+'On-Ramps'!AF94</f>
        <v>#DIV/0!</v>
      </c>
      <c r="U94" s="58" t="e">
        <f>Links!J94+'On-Ramps'!AG94</f>
        <v>#DIV/0!</v>
      </c>
      <c r="V94" s="58" t="e">
        <f>Links!L94+'On-Ramps'!AH94</f>
        <v>#DIV/0!</v>
      </c>
      <c r="W94" s="58" t="e">
        <f>Links!M94+'On-Ramps'!AI94</f>
        <v>#DIV/0!</v>
      </c>
      <c r="X94" s="58" t="e">
        <f>Links!P94+'On-Ramps'!AJ94</f>
        <v>#DIV/0!</v>
      </c>
      <c r="Y94" s="58" t="e">
        <f>Links!Q94</f>
        <v>#DIV/0!</v>
      </c>
      <c r="Z94" s="58" t="e">
        <f>Links!R94+'On-Ramps'!AK94</f>
        <v>#DIV/0!</v>
      </c>
      <c r="AA94" s="58" t="e">
        <f>Links!S94</f>
        <v>#DIV/0!</v>
      </c>
      <c r="AB94" s="57" t="e">
        <f t="shared" si="43"/>
        <v>#VALUE!</v>
      </c>
      <c r="AC94" s="63"/>
      <c r="AD94" s="57" t="e">
        <f t="shared" si="44"/>
        <v>#DIV/0!</v>
      </c>
      <c r="AE94" s="63"/>
      <c r="AF94" s="57" t="e">
        <f t="shared" si="45"/>
        <v>#DIV/0!</v>
      </c>
      <c r="AG94" s="57" t="e">
        <f t="shared" si="46"/>
        <v>#DIV/0!</v>
      </c>
      <c r="AH94" s="57" t="e">
        <f t="shared" si="47"/>
        <v>#DIV/0!</v>
      </c>
      <c r="AI94" s="57" t="e">
        <f t="shared" si="48"/>
        <v>#DIV/0!</v>
      </c>
      <c r="AJ94" s="57" t="e">
        <f t="shared" si="49"/>
        <v>#DIV/0!</v>
      </c>
      <c r="AK94" s="57" t="e">
        <f t="shared" si="50"/>
        <v>#DIV/0!</v>
      </c>
      <c r="AL94" s="57" t="e">
        <f t="shared" si="51"/>
        <v>#DIV/0!</v>
      </c>
      <c r="AM94" s="63"/>
      <c r="AN94" s="57" t="e">
        <f t="shared" si="53"/>
        <v>#DIV/0!</v>
      </c>
      <c r="AO94" s="58" t="e">
        <f t="shared" si="29"/>
        <v>#VALUE!</v>
      </c>
      <c r="AP94" s="63"/>
      <c r="AQ94" s="58" t="e">
        <f t="shared" si="52"/>
        <v>#DIV/0!</v>
      </c>
      <c r="AR94" s="63"/>
      <c r="AS94" s="58" t="e">
        <f t="shared" si="52"/>
        <v>#DIV/0!</v>
      </c>
      <c r="AT94" s="58" t="e">
        <f t="shared" si="52"/>
        <v>#DIV/0!</v>
      </c>
      <c r="AU94" s="58" t="e">
        <f t="shared" si="52"/>
        <v>#DIV/0!</v>
      </c>
      <c r="AV94" s="58" t="e">
        <f t="shared" si="52"/>
        <v>#DIV/0!</v>
      </c>
      <c r="AW94" s="58" t="e">
        <f t="shared" si="52"/>
        <v>#DIV/0!</v>
      </c>
      <c r="AX94" s="58" t="e">
        <f t="shared" si="52"/>
        <v>#DIV/0!</v>
      </c>
      <c r="AY94" s="58" t="e">
        <f t="shared" si="52"/>
        <v>#DIV/0!</v>
      </c>
      <c r="AZ94" s="63"/>
      <c r="BA94" s="58" t="e">
        <f t="shared" si="52"/>
        <v>#DIV/0!</v>
      </c>
      <c r="BB94" s="63"/>
      <c r="BC94" s="57" t="e">
        <f>(Links!C94*Links!AQ94+'On-Ramps'!AC94*'On-Ramps'!CE94)/('On-Ramps'!AC94+Links!C94)</f>
        <v>#DIV/0!</v>
      </c>
      <c r="BD94" s="63"/>
      <c r="BE94" s="57" t="e">
        <f>(Links!E94*Links!AS94+'On-Ramps'!AD94*'On-Ramps'!CF93)/('On-Ramps'!AD94+Links!E94)</f>
        <v>#DIV/0!</v>
      </c>
      <c r="BF94" s="57" t="e">
        <f>(Links!F94*Links!AT94+'On-Ramps'!AE94*'On-Ramps'!CG94)/('On-Ramps'!AE94+Links!F94)</f>
        <v>#DIV/0!</v>
      </c>
      <c r="BG94" s="57" t="e">
        <f>(Links!I94*Links!AW94+'On-Ramps'!AF94*'On-Ramps'!CH94)/('On-Ramps'!AF94+Links!I94)</f>
        <v>#DIV/0!</v>
      </c>
      <c r="BH94" s="57" t="e">
        <f>(#REF!*#REF!+'On-Ramps'!AG94*'On-Ramps'!CI94)/('On-Ramps'!AG94+#REF!)</f>
        <v>#REF!</v>
      </c>
      <c r="BI94" s="57" t="e">
        <f>(Links!L94*Links!AZ94+'On-Ramps'!AH94*'On-Ramps'!CJ94)/('On-Ramps'!AH94+Links!L94)</f>
        <v>#DIV/0!</v>
      </c>
      <c r="BJ94" s="57" t="e">
        <f>(Links!BA94*Links!M94+'On-Ramps'!AI94*'On-Ramps'!CK94)/('On-Ramps'!AI94+Links!M94)</f>
        <v>#DIV/0!</v>
      </c>
      <c r="BK94" s="57" t="e">
        <f>(Links!S94*Links!BG94+'On-Ramps'!AJ94*'On-Ramps'!CL94)/('On-Ramps'!AJ94+Links!S94)</f>
        <v>#DIV/0!</v>
      </c>
      <c r="BL94" s="63"/>
      <c r="BM94" s="57" t="e">
        <f>(Links!S94*Links!BG94+'On-Ramps'!AL94*'On-Ramps'!CM94)/(Links!S94+'On-Ramps'!AL94)</f>
        <v>#DIV/0!</v>
      </c>
      <c r="BN94" s="63"/>
      <c r="BO94" s="58" t="e">
        <f>(Links!W94^2+'Off-Ramp'!L94^2)/(Links!W94+'Off-Ramp'!L94)</f>
        <v>#DIV/0!</v>
      </c>
      <c r="BP94" s="63"/>
      <c r="BQ94" s="58" t="e">
        <f>(Links!Y94^2+'Off-Ramp'!C94^2)/(Links!Y94+'Off-Ramp'!C94)</f>
        <v>#DIV/0!</v>
      </c>
      <c r="BR94" s="63"/>
      <c r="BS94" s="58" t="e">
        <f>(Links!AA94^2+'Off-Ramp'!N94^2)/(Links!AA94+'Off-Ramp'!N94)</f>
        <v>#DIV/0!</v>
      </c>
      <c r="BT94" s="58" t="e">
        <f>(Links!AD94^2+'Off-Ramp'!O94^2)/(Links!AD94+'Off-Ramp'!O94)</f>
        <v>#DIV/0!</v>
      </c>
      <c r="BU94" s="58" t="e">
        <f>(Links!AE94^2+'Off-Ramp'!V94^2+'Off-Ramp'!W94^2+'Off-Ramp'!X94^2)/(Links!AE94+'Off-Ramp'!V94+'Off-Ramp'!W94+'Off-Ramp'!X94)</f>
        <v>#DIV/0!</v>
      </c>
      <c r="BV94" s="58" t="e">
        <f>(Links!AG94^2+'Off-Ramp'!Y94^2+'Off-Ramp'!Z94^2+'Off-Ramp'!AA94^2)/(Links!AG94+'Off-Ramp'!Y94+'Off-Ramp'!Z94+'Off-Ramp'!AA94)</f>
        <v>#DIV/0!</v>
      </c>
      <c r="BW94" s="58" t="e">
        <f>(Links!AH94^2+'Off-Ramp'!R94^2)/(Links!AH94+'Off-Ramp'!R94)</f>
        <v>#DIV/0!</v>
      </c>
      <c r="BX94" s="58" t="e">
        <f>(Links!AK94^2+'Off-Ramp'!S94^2)/(Links!AK94+'Off-Ramp'!S94)</f>
        <v>#DIV/0!</v>
      </c>
      <c r="BY94" s="58" t="e">
        <f>(Links!AL94^2+'Off-Ramp'!T94^2)/(Links!AL94+'Off-Ramp'!T94)</f>
        <v>#DIV/0!</v>
      </c>
      <c r="BZ94" s="63"/>
      <c r="CA94" s="58" t="e">
        <f>(Links!AN94^2+'Off-Ramp'!U94^2)/(Links!AN94+'Off-Ramp'!U94)</f>
        <v>#DIV/0!</v>
      </c>
    </row>
    <row r="95" spans="1:79" x14ac:dyDescent="0.15">
      <c r="A95" s="56">
        <v>93</v>
      </c>
      <c r="B95" s="57" t="e">
        <f t="shared" si="30"/>
        <v>#DIV/0!</v>
      </c>
      <c r="C95" s="57" t="e">
        <f t="shared" si="31"/>
        <v>#DIV/0!</v>
      </c>
      <c r="D95" s="57" t="e">
        <f t="shared" si="32"/>
        <v>#DIV/0!</v>
      </c>
      <c r="E95" s="57" t="e">
        <f t="shared" si="33"/>
        <v>#DIV/0!</v>
      </c>
      <c r="F95" s="57" t="e">
        <f t="shared" si="34"/>
        <v>#DIV/0!</v>
      </c>
      <c r="G95" s="57" t="e">
        <f t="shared" si="35"/>
        <v>#DIV/0!</v>
      </c>
      <c r="H95" s="57" t="e">
        <f t="shared" si="36"/>
        <v>#DIV/0!</v>
      </c>
      <c r="I95" s="57" t="e">
        <f t="shared" si="37"/>
        <v>#DIV/0!</v>
      </c>
      <c r="J95" s="57" t="e">
        <f t="shared" si="38"/>
        <v>#DIV/0!</v>
      </c>
      <c r="K95" s="57" t="e">
        <f t="shared" si="39"/>
        <v>#DIV/0!</v>
      </c>
      <c r="L95" s="57" t="e">
        <f t="shared" si="40"/>
        <v>#DIV/0!</v>
      </c>
      <c r="M95" s="57" t="e">
        <f t="shared" si="41"/>
        <v>#DIV/0!</v>
      </c>
      <c r="N95" s="57" t="e">
        <f t="shared" si="42"/>
        <v>#DIV/0!</v>
      </c>
      <c r="O95" s="58" t="e">
        <f>Links!B95</f>
        <v>#DIV/0!</v>
      </c>
      <c r="P95" s="58" t="e">
        <f>Links!C95+'On-Ramps'!AC95</f>
        <v>#DIV/0!</v>
      </c>
      <c r="Q95" s="58" t="e">
        <f>Links!D95</f>
        <v>#DIV/0!</v>
      </c>
      <c r="R95" s="58" t="e">
        <f>Links!E95+'On-Ramps'!AD95</f>
        <v>#DIV/0!</v>
      </c>
      <c r="S95" s="58" t="e">
        <f>Links!F95+'On-Ramps'!AE95</f>
        <v>#DIV/0!</v>
      </c>
      <c r="T95" s="58" t="e">
        <f>Links!I95+'On-Ramps'!AF95</f>
        <v>#DIV/0!</v>
      </c>
      <c r="U95" s="58" t="e">
        <f>Links!J95+'On-Ramps'!AG95</f>
        <v>#DIV/0!</v>
      </c>
      <c r="V95" s="58" t="e">
        <f>Links!L95+'On-Ramps'!AH95</f>
        <v>#DIV/0!</v>
      </c>
      <c r="W95" s="58" t="e">
        <f>Links!M95+'On-Ramps'!AI95</f>
        <v>#DIV/0!</v>
      </c>
      <c r="X95" s="58" t="e">
        <f>Links!P95+'On-Ramps'!AJ95</f>
        <v>#DIV/0!</v>
      </c>
      <c r="Y95" s="58" t="e">
        <f>Links!Q95</f>
        <v>#DIV/0!</v>
      </c>
      <c r="Z95" s="58" t="e">
        <f>Links!R95+'On-Ramps'!AK95</f>
        <v>#DIV/0!</v>
      </c>
      <c r="AA95" s="58" t="e">
        <f>Links!S95</f>
        <v>#DIV/0!</v>
      </c>
      <c r="AB95" s="57" t="e">
        <f t="shared" si="43"/>
        <v>#VALUE!</v>
      </c>
      <c r="AC95" s="63"/>
      <c r="AD95" s="57" t="e">
        <f t="shared" si="44"/>
        <v>#DIV/0!</v>
      </c>
      <c r="AE95" s="63"/>
      <c r="AF95" s="57" t="e">
        <f t="shared" si="45"/>
        <v>#DIV/0!</v>
      </c>
      <c r="AG95" s="57" t="e">
        <f t="shared" si="46"/>
        <v>#DIV/0!</v>
      </c>
      <c r="AH95" s="57" t="e">
        <f t="shared" si="47"/>
        <v>#DIV/0!</v>
      </c>
      <c r="AI95" s="57" t="e">
        <f t="shared" si="48"/>
        <v>#DIV/0!</v>
      </c>
      <c r="AJ95" s="57" t="e">
        <f t="shared" si="49"/>
        <v>#DIV/0!</v>
      </c>
      <c r="AK95" s="57" t="e">
        <f t="shared" si="50"/>
        <v>#DIV/0!</v>
      </c>
      <c r="AL95" s="57" t="e">
        <f t="shared" si="51"/>
        <v>#DIV/0!</v>
      </c>
      <c r="AM95" s="63"/>
      <c r="AN95" s="57" t="e">
        <f t="shared" si="53"/>
        <v>#DIV/0!</v>
      </c>
      <c r="AO95" s="58" t="e">
        <f t="shared" si="29"/>
        <v>#VALUE!</v>
      </c>
      <c r="AP95" s="63"/>
      <c r="AQ95" s="58" t="e">
        <f t="shared" si="52"/>
        <v>#DIV/0!</v>
      </c>
      <c r="AR95" s="63"/>
      <c r="AS95" s="58" t="e">
        <f t="shared" si="52"/>
        <v>#DIV/0!</v>
      </c>
      <c r="AT95" s="58" t="e">
        <f t="shared" si="52"/>
        <v>#DIV/0!</v>
      </c>
      <c r="AU95" s="58" t="e">
        <f t="shared" si="52"/>
        <v>#DIV/0!</v>
      </c>
      <c r="AV95" s="58" t="e">
        <f t="shared" si="52"/>
        <v>#DIV/0!</v>
      </c>
      <c r="AW95" s="58" t="e">
        <f t="shared" si="52"/>
        <v>#DIV/0!</v>
      </c>
      <c r="AX95" s="58" t="e">
        <f t="shared" si="52"/>
        <v>#DIV/0!</v>
      </c>
      <c r="AY95" s="58" t="e">
        <f t="shared" si="52"/>
        <v>#DIV/0!</v>
      </c>
      <c r="AZ95" s="63"/>
      <c r="BA95" s="58" t="e">
        <f t="shared" si="52"/>
        <v>#DIV/0!</v>
      </c>
      <c r="BB95" s="63"/>
      <c r="BC95" s="57" t="e">
        <f>(Links!C95*Links!AQ95+'On-Ramps'!AC95*'On-Ramps'!CE95)/('On-Ramps'!AC95+Links!C95)</f>
        <v>#DIV/0!</v>
      </c>
      <c r="BD95" s="63"/>
      <c r="BE95" s="57" t="e">
        <f>(Links!E95*Links!AS95+'On-Ramps'!AD95*'On-Ramps'!CF94)/('On-Ramps'!AD95+Links!E95)</f>
        <v>#DIV/0!</v>
      </c>
      <c r="BF95" s="57" t="e">
        <f>(Links!F95*Links!AT95+'On-Ramps'!AE95*'On-Ramps'!CG95)/('On-Ramps'!AE95+Links!F95)</f>
        <v>#DIV/0!</v>
      </c>
      <c r="BG95" s="57" t="e">
        <f>(Links!I95*Links!AW95+'On-Ramps'!AF95*'On-Ramps'!CH95)/('On-Ramps'!AF95+Links!I95)</f>
        <v>#DIV/0!</v>
      </c>
      <c r="BH95" s="57" t="e">
        <f>(#REF!*#REF!+'On-Ramps'!AG95*'On-Ramps'!CI95)/('On-Ramps'!AG95+#REF!)</f>
        <v>#REF!</v>
      </c>
      <c r="BI95" s="57" t="e">
        <f>(Links!L95*Links!AZ95+'On-Ramps'!AH95*'On-Ramps'!CJ95)/('On-Ramps'!AH95+Links!L95)</f>
        <v>#DIV/0!</v>
      </c>
      <c r="BJ95" s="57" t="e">
        <f>(Links!BA95*Links!M95+'On-Ramps'!AI95*'On-Ramps'!CK95)/('On-Ramps'!AI95+Links!M95)</f>
        <v>#DIV/0!</v>
      </c>
      <c r="BK95" s="57" t="e">
        <f>(Links!S95*Links!BG95+'On-Ramps'!AJ95*'On-Ramps'!CL95)/('On-Ramps'!AJ95+Links!S95)</f>
        <v>#DIV/0!</v>
      </c>
      <c r="BL95" s="63"/>
      <c r="BM95" s="57" t="e">
        <f>(Links!S95*Links!BG95+'On-Ramps'!AL95*'On-Ramps'!CM95)/(Links!S95+'On-Ramps'!AL95)</f>
        <v>#DIV/0!</v>
      </c>
      <c r="BN95" s="63"/>
      <c r="BO95" s="58" t="e">
        <f>(Links!W95^2+'Off-Ramp'!L95^2)/(Links!W95+'Off-Ramp'!L95)</f>
        <v>#DIV/0!</v>
      </c>
      <c r="BP95" s="63"/>
      <c r="BQ95" s="58" t="e">
        <f>(Links!Y95^2+'Off-Ramp'!C95^2)/(Links!Y95+'Off-Ramp'!C95)</f>
        <v>#DIV/0!</v>
      </c>
      <c r="BR95" s="63"/>
      <c r="BS95" s="58" t="e">
        <f>(Links!AA95^2+'Off-Ramp'!N95^2)/(Links!AA95+'Off-Ramp'!N95)</f>
        <v>#DIV/0!</v>
      </c>
      <c r="BT95" s="58" t="e">
        <f>(Links!AD95^2+'Off-Ramp'!O95^2)/(Links!AD95+'Off-Ramp'!O95)</f>
        <v>#DIV/0!</v>
      </c>
      <c r="BU95" s="58" t="e">
        <f>(Links!AE95^2+'Off-Ramp'!V95^2+'Off-Ramp'!W95^2+'Off-Ramp'!X95^2)/(Links!AE95+'Off-Ramp'!V95+'Off-Ramp'!W95+'Off-Ramp'!X95)</f>
        <v>#DIV/0!</v>
      </c>
      <c r="BV95" s="58" t="e">
        <f>(Links!AG95^2+'Off-Ramp'!Y95^2+'Off-Ramp'!Z95^2+'Off-Ramp'!AA95^2)/(Links!AG95+'Off-Ramp'!Y95+'Off-Ramp'!Z95+'Off-Ramp'!AA95)</f>
        <v>#DIV/0!</v>
      </c>
      <c r="BW95" s="58" t="e">
        <f>(Links!AH95^2+'Off-Ramp'!R95^2)/(Links!AH95+'Off-Ramp'!R95)</f>
        <v>#DIV/0!</v>
      </c>
      <c r="BX95" s="58" t="e">
        <f>(Links!AK95^2+'Off-Ramp'!S95^2)/(Links!AK95+'Off-Ramp'!S95)</f>
        <v>#DIV/0!</v>
      </c>
      <c r="BY95" s="58" t="e">
        <f>(Links!AL95^2+'Off-Ramp'!T95^2)/(Links!AL95+'Off-Ramp'!T95)</f>
        <v>#DIV/0!</v>
      </c>
      <c r="BZ95" s="63"/>
      <c r="CA95" s="58" t="e">
        <f>(Links!AN95^2+'Off-Ramp'!U95^2)/(Links!AN95+'Off-Ramp'!U95)</f>
        <v>#DIV/0!</v>
      </c>
    </row>
    <row r="96" spans="1:79" x14ac:dyDescent="0.15">
      <c r="A96" s="56">
        <v>94</v>
      </c>
      <c r="B96" s="57" t="e">
        <f t="shared" si="30"/>
        <v>#DIV/0!</v>
      </c>
      <c r="C96" s="57" t="e">
        <f t="shared" si="31"/>
        <v>#DIV/0!</v>
      </c>
      <c r="D96" s="57" t="e">
        <f t="shared" si="32"/>
        <v>#DIV/0!</v>
      </c>
      <c r="E96" s="57" t="e">
        <f t="shared" si="33"/>
        <v>#DIV/0!</v>
      </c>
      <c r="F96" s="57" t="e">
        <f t="shared" si="34"/>
        <v>#DIV/0!</v>
      </c>
      <c r="G96" s="57" t="e">
        <f t="shared" si="35"/>
        <v>#DIV/0!</v>
      </c>
      <c r="H96" s="57" t="e">
        <f t="shared" si="36"/>
        <v>#DIV/0!</v>
      </c>
      <c r="I96" s="57" t="e">
        <f t="shared" si="37"/>
        <v>#DIV/0!</v>
      </c>
      <c r="J96" s="57" t="e">
        <f t="shared" si="38"/>
        <v>#DIV/0!</v>
      </c>
      <c r="K96" s="57" t="e">
        <f t="shared" si="39"/>
        <v>#DIV/0!</v>
      </c>
      <c r="L96" s="57" t="e">
        <f t="shared" si="40"/>
        <v>#DIV/0!</v>
      </c>
      <c r="M96" s="57" t="e">
        <f t="shared" si="41"/>
        <v>#DIV/0!</v>
      </c>
      <c r="N96" s="57" t="e">
        <f t="shared" si="42"/>
        <v>#DIV/0!</v>
      </c>
      <c r="O96" s="58" t="e">
        <f>Links!B96</f>
        <v>#DIV/0!</v>
      </c>
      <c r="P96" s="58" t="e">
        <f>Links!C96+'On-Ramps'!AC96</f>
        <v>#DIV/0!</v>
      </c>
      <c r="Q96" s="58" t="e">
        <f>Links!D96</f>
        <v>#DIV/0!</v>
      </c>
      <c r="R96" s="58" t="e">
        <f>Links!E96+'On-Ramps'!AD96</f>
        <v>#DIV/0!</v>
      </c>
      <c r="S96" s="58" t="e">
        <f>Links!F96+'On-Ramps'!AE96</f>
        <v>#DIV/0!</v>
      </c>
      <c r="T96" s="58" t="e">
        <f>Links!I96+'On-Ramps'!AF96</f>
        <v>#DIV/0!</v>
      </c>
      <c r="U96" s="58" t="e">
        <f>Links!J96+'On-Ramps'!AG96</f>
        <v>#DIV/0!</v>
      </c>
      <c r="V96" s="58" t="e">
        <f>Links!L96+'On-Ramps'!AH96</f>
        <v>#DIV/0!</v>
      </c>
      <c r="W96" s="58" t="e">
        <f>Links!M96+'On-Ramps'!AI96</f>
        <v>#DIV/0!</v>
      </c>
      <c r="X96" s="58" t="e">
        <f>Links!P96+'On-Ramps'!AJ96</f>
        <v>#DIV/0!</v>
      </c>
      <c r="Y96" s="58" t="e">
        <f>Links!Q96</f>
        <v>#DIV/0!</v>
      </c>
      <c r="Z96" s="58" t="e">
        <f>Links!R96+'On-Ramps'!AK96</f>
        <v>#DIV/0!</v>
      </c>
      <c r="AA96" s="58" t="e">
        <f>Links!S96</f>
        <v>#DIV/0!</v>
      </c>
      <c r="AB96" s="57" t="e">
        <f t="shared" si="43"/>
        <v>#VALUE!</v>
      </c>
      <c r="AC96" s="63"/>
      <c r="AD96" s="57" t="e">
        <f t="shared" si="44"/>
        <v>#DIV/0!</v>
      </c>
      <c r="AE96" s="63"/>
      <c r="AF96" s="57" t="e">
        <f t="shared" si="45"/>
        <v>#DIV/0!</v>
      </c>
      <c r="AG96" s="57" t="e">
        <f t="shared" si="46"/>
        <v>#DIV/0!</v>
      </c>
      <c r="AH96" s="57" t="e">
        <f t="shared" si="47"/>
        <v>#DIV/0!</v>
      </c>
      <c r="AI96" s="57" t="e">
        <f t="shared" si="48"/>
        <v>#DIV/0!</v>
      </c>
      <c r="AJ96" s="57" t="e">
        <f t="shared" si="49"/>
        <v>#DIV/0!</v>
      </c>
      <c r="AK96" s="57" t="e">
        <f t="shared" si="50"/>
        <v>#DIV/0!</v>
      </c>
      <c r="AL96" s="57" t="e">
        <f t="shared" si="51"/>
        <v>#DIV/0!</v>
      </c>
      <c r="AM96" s="63"/>
      <c r="AN96" s="57" t="e">
        <f t="shared" si="53"/>
        <v>#DIV/0!</v>
      </c>
      <c r="AO96" s="58" t="e">
        <f t="shared" si="29"/>
        <v>#VALUE!</v>
      </c>
      <c r="AP96" s="63"/>
      <c r="AQ96" s="58" t="e">
        <f t="shared" si="52"/>
        <v>#DIV/0!</v>
      </c>
      <c r="AR96" s="63"/>
      <c r="AS96" s="58" t="e">
        <f t="shared" si="52"/>
        <v>#DIV/0!</v>
      </c>
      <c r="AT96" s="58" t="e">
        <f t="shared" si="52"/>
        <v>#DIV/0!</v>
      </c>
      <c r="AU96" s="58" t="e">
        <f t="shared" si="52"/>
        <v>#DIV/0!</v>
      </c>
      <c r="AV96" s="58" t="e">
        <f t="shared" si="52"/>
        <v>#DIV/0!</v>
      </c>
      <c r="AW96" s="58" t="e">
        <f t="shared" si="52"/>
        <v>#DIV/0!</v>
      </c>
      <c r="AX96" s="58" t="e">
        <f t="shared" si="52"/>
        <v>#DIV/0!</v>
      </c>
      <c r="AY96" s="58" t="e">
        <f t="shared" si="52"/>
        <v>#DIV/0!</v>
      </c>
      <c r="AZ96" s="63"/>
      <c r="BA96" s="58" t="e">
        <f t="shared" si="52"/>
        <v>#DIV/0!</v>
      </c>
      <c r="BB96" s="63"/>
      <c r="BC96" s="57" t="e">
        <f>(Links!C96*Links!AQ96+'On-Ramps'!AC96*'On-Ramps'!CE96)/('On-Ramps'!AC96+Links!C96)</f>
        <v>#DIV/0!</v>
      </c>
      <c r="BD96" s="63"/>
      <c r="BE96" s="57" t="e">
        <f>(Links!E96*Links!AS96+'On-Ramps'!AD96*'On-Ramps'!CF95)/('On-Ramps'!AD96+Links!E96)</f>
        <v>#DIV/0!</v>
      </c>
      <c r="BF96" s="57" t="e">
        <f>(Links!F96*Links!AT96+'On-Ramps'!AE96*'On-Ramps'!CG96)/('On-Ramps'!AE96+Links!F96)</f>
        <v>#DIV/0!</v>
      </c>
      <c r="BG96" s="57" t="e">
        <f>(Links!I96*Links!AW96+'On-Ramps'!AF96*'On-Ramps'!CH96)/('On-Ramps'!AF96+Links!I96)</f>
        <v>#DIV/0!</v>
      </c>
      <c r="BH96" s="57" t="e">
        <f>(#REF!*#REF!+'On-Ramps'!AG96*'On-Ramps'!CI96)/('On-Ramps'!AG96+#REF!)</f>
        <v>#REF!</v>
      </c>
      <c r="BI96" s="57" t="e">
        <f>(Links!L96*Links!AZ96+'On-Ramps'!AH96*'On-Ramps'!CJ96)/('On-Ramps'!AH96+Links!L96)</f>
        <v>#DIV/0!</v>
      </c>
      <c r="BJ96" s="57" t="e">
        <f>(Links!BA96*Links!M96+'On-Ramps'!AI96*'On-Ramps'!CK96)/('On-Ramps'!AI96+Links!M96)</f>
        <v>#DIV/0!</v>
      </c>
      <c r="BK96" s="57" t="e">
        <f>(Links!S96*Links!BG96+'On-Ramps'!AJ96*'On-Ramps'!CL96)/('On-Ramps'!AJ96+Links!S96)</f>
        <v>#DIV/0!</v>
      </c>
      <c r="BL96" s="63"/>
      <c r="BM96" s="57" t="e">
        <f>(Links!S96*Links!BG96+'On-Ramps'!AL96*'On-Ramps'!CM96)/(Links!S96+'On-Ramps'!AL96)</f>
        <v>#DIV/0!</v>
      </c>
      <c r="BN96" s="63"/>
      <c r="BO96" s="58" t="e">
        <f>(Links!W96^2+'Off-Ramp'!L96^2)/(Links!W96+'Off-Ramp'!L96)</f>
        <v>#DIV/0!</v>
      </c>
      <c r="BP96" s="63"/>
      <c r="BQ96" s="58" t="e">
        <f>(Links!Y96^2+'Off-Ramp'!C96^2)/(Links!Y96+'Off-Ramp'!C96)</f>
        <v>#DIV/0!</v>
      </c>
      <c r="BR96" s="63"/>
      <c r="BS96" s="58" t="e">
        <f>(Links!AA96^2+'Off-Ramp'!N96^2)/(Links!AA96+'Off-Ramp'!N96)</f>
        <v>#DIV/0!</v>
      </c>
      <c r="BT96" s="58" t="e">
        <f>(Links!AD96^2+'Off-Ramp'!O96^2)/(Links!AD96+'Off-Ramp'!O96)</f>
        <v>#DIV/0!</v>
      </c>
      <c r="BU96" s="58" t="e">
        <f>(Links!AE96^2+'Off-Ramp'!V96^2+'Off-Ramp'!W96^2+'Off-Ramp'!X96^2)/(Links!AE96+'Off-Ramp'!V96+'Off-Ramp'!W96+'Off-Ramp'!X96)</f>
        <v>#DIV/0!</v>
      </c>
      <c r="BV96" s="58" t="e">
        <f>(Links!AG96^2+'Off-Ramp'!Y96^2+'Off-Ramp'!Z96^2+'Off-Ramp'!AA96^2)/(Links!AG96+'Off-Ramp'!Y96+'Off-Ramp'!Z96+'Off-Ramp'!AA96)</f>
        <v>#DIV/0!</v>
      </c>
      <c r="BW96" s="58" t="e">
        <f>(Links!AH96^2+'Off-Ramp'!R96^2)/(Links!AH96+'Off-Ramp'!R96)</f>
        <v>#DIV/0!</v>
      </c>
      <c r="BX96" s="58" t="e">
        <f>(Links!AK96^2+'Off-Ramp'!S96^2)/(Links!AK96+'Off-Ramp'!S96)</f>
        <v>#DIV/0!</v>
      </c>
      <c r="BY96" s="58" t="e">
        <f>(Links!AL96^2+'Off-Ramp'!T96^2)/(Links!AL96+'Off-Ramp'!T96)</f>
        <v>#DIV/0!</v>
      </c>
      <c r="BZ96" s="63"/>
      <c r="CA96" s="58" t="e">
        <f>(Links!AN96^2+'Off-Ramp'!U96^2)/(Links!AN96+'Off-Ramp'!U96)</f>
        <v>#DIV/0!</v>
      </c>
    </row>
    <row r="97" spans="1:79" x14ac:dyDescent="0.15">
      <c r="A97" s="56">
        <v>95</v>
      </c>
      <c r="B97" s="57" t="e">
        <f t="shared" si="30"/>
        <v>#DIV/0!</v>
      </c>
      <c r="C97" s="57" t="e">
        <f t="shared" si="31"/>
        <v>#DIV/0!</v>
      </c>
      <c r="D97" s="57" t="e">
        <f t="shared" si="32"/>
        <v>#DIV/0!</v>
      </c>
      <c r="E97" s="57" t="e">
        <f t="shared" si="33"/>
        <v>#DIV/0!</v>
      </c>
      <c r="F97" s="57" t="e">
        <f t="shared" si="34"/>
        <v>#DIV/0!</v>
      </c>
      <c r="G97" s="57" t="e">
        <f t="shared" si="35"/>
        <v>#DIV/0!</v>
      </c>
      <c r="H97" s="57" t="e">
        <f t="shared" si="36"/>
        <v>#DIV/0!</v>
      </c>
      <c r="I97" s="57" t="e">
        <f t="shared" si="37"/>
        <v>#DIV/0!</v>
      </c>
      <c r="J97" s="57" t="e">
        <f t="shared" si="38"/>
        <v>#DIV/0!</v>
      </c>
      <c r="K97" s="57" t="e">
        <f t="shared" si="39"/>
        <v>#DIV/0!</v>
      </c>
      <c r="L97" s="57" t="e">
        <f t="shared" si="40"/>
        <v>#DIV/0!</v>
      </c>
      <c r="M97" s="57" t="e">
        <f t="shared" si="41"/>
        <v>#DIV/0!</v>
      </c>
      <c r="N97" s="57" t="e">
        <f t="shared" si="42"/>
        <v>#DIV/0!</v>
      </c>
      <c r="O97" s="58" t="e">
        <f>Links!B97</f>
        <v>#DIV/0!</v>
      </c>
      <c r="P97" s="58" t="e">
        <f>Links!C97+'On-Ramps'!AC97</f>
        <v>#DIV/0!</v>
      </c>
      <c r="Q97" s="58" t="e">
        <f>Links!D97</f>
        <v>#DIV/0!</v>
      </c>
      <c r="R97" s="58" t="e">
        <f>Links!E97+'On-Ramps'!AD97</f>
        <v>#DIV/0!</v>
      </c>
      <c r="S97" s="58" t="e">
        <f>Links!F97+'On-Ramps'!AE97</f>
        <v>#DIV/0!</v>
      </c>
      <c r="T97" s="58" t="e">
        <f>Links!I97+'On-Ramps'!AF97</f>
        <v>#DIV/0!</v>
      </c>
      <c r="U97" s="58" t="e">
        <f>Links!J97+'On-Ramps'!AG97</f>
        <v>#DIV/0!</v>
      </c>
      <c r="V97" s="58" t="e">
        <f>Links!L97+'On-Ramps'!AH97</f>
        <v>#DIV/0!</v>
      </c>
      <c r="W97" s="58" t="e">
        <f>Links!M97+'On-Ramps'!AI97</f>
        <v>#DIV/0!</v>
      </c>
      <c r="X97" s="58" t="e">
        <f>Links!P97+'On-Ramps'!AJ97</f>
        <v>#DIV/0!</v>
      </c>
      <c r="Y97" s="58" t="e">
        <f>Links!Q97</f>
        <v>#DIV/0!</v>
      </c>
      <c r="Z97" s="58" t="e">
        <f>Links!R97+'On-Ramps'!AK97</f>
        <v>#DIV/0!</v>
      </c>
      <c r="AA97" s="58" t="e">
        <f>Links!S97</f>
        <v>#DIV/0!</v>
      </c>
      <c r="AB97" s="57" t="e">
        <f t="shared" si="43"/>
        <v>#VALUE!</v>
      </c>
      <c r="AC97" s="63"/>
      <c r="AD97" s="57" t="e">
        <f t="shared" si="44"/>
        <v>#DIV/0!</v>
      </c>
      <c r="AE97" s="63"/>
      <c r="AF97" s="57" t="e">
        <f t="shared" si="45"/>
        <v>#DIV/0!</v>
      </c>
      <c r="AG97" s="57" t="e">
        <f t="shared" si="46"/>
        <v>#DIV/0!</v>
      </c>
      <c r="AH97" s="57" t="e">
        <f t="shared" si="47"/>
        <v>#DIV/0!</v>
      </c>
      <c r="AI97" s="57" t="e">
        <f t="shared" si="48"/>
        <v>#DIV/0!</v>
      </c>
      <c r="AJ97" s="57" t="e">
        <f t="shared" si="49"/>
        <v>#DIV/0!</v>
      </c>
      <c r="AK97" s="57" t="e">
        <f t="shared" si="50"/>
        <v>#DIV/0!</v>
      </c>
      <c r="AL97" s="57" t="e">
        <f t="shared" si="51"/>
        <v>#DIV/0!</v>
      </c>
      <c r="AM97" s="63"/>
      <c r="AN97" s="57" t="e">
        <f t="shared" si="53"/>
        <v>#DIV/0!</v>
      </c>
      <c r="AO97" s="58" t="e">
        <f t="shared" si="29"/>
        <v>#VALUE!</v>
      </c>
      <c r="AP97" s="63"/>
      <c r="AQ97" s="58" t="e">
        <f t="shared" si="52"/>
        <v>#DIV/0!</v>
      </c>
      <c r="AR97" s="63"/>
      <c r="AS97" s="58" t="e">
        <f t="shared" si="52"/>
        <v>#DIV/0!</v>
      </c>
      <c r="AT97" s="58" t="e">
        <f t="shared" si="52"/>
        <v>#DIV/0!</v>
      </c>
      <c r="AU97" s="58" t="e">
        <f t="shared" si="52"/>
        <v>#DIV/0!</v>
      </c>
      <c r="AV97" s="58" t="e">
        <f t="shared" si="52"/>
        <v>#DIV/0!</v>
      </c>
      <c r="AW97" s="58" t="e">
        <f t="shared" si="52"/>
        <v>#DIV/0!</v>
      </c>
      <c r="AX97" s="58" t="e">
        <f t="shared" si="52"/>
        <v>#DIV/0!</v>
      </c>
      <c r="AY97" s="58" t="e">
        <f t="shared" si="52"/>
        <v>#DIV/0!</v>
      </c>
      <c r="AZ97" s="63"/>
      <c r="BA97" s="58" t="e">
        <f t="shared" si="52"/>
        <v>#DIV/0!</v>
      </c>
      <c r="BB97" s="63"/>
      <c r="BC97" s="57" t="e">
        <f>(Links!C97*Links!AQ97+'On-Ramps'!AC97*'On-Ramps'!CE97)/('On-Ramps'!AC97+Links!C97)</f>
        <v>#DIV/0!</v>
      </c>
      <c r="BD97" s="63"/>
      <c r="BE97" s="57" t="e">
        <f>(Links!E97*Links!AS97+'On-Ramps'!AD97*'On-Ramps'!CF96)/('On-Ramps'!AD97+Links!E97)</f>
        <v>#DIV/0!</v>
      </c>
      <c r="BF97" s="57" t="e">
        <f>(Links!F97*Links!AT97+'On-Ramps'!AE97*'On-Ramps'!CG97)/('On-Ramps'!AE97+Links!F97)</f>
        <v>#DIV/0!</v>
      </c>
      <c r="BG97" s="57" t="e">
        <f>(Links!I97*Links!AW97+'On-Ramps'!AF97*'On-Ramps'!CH97)/('On-Ramps'!AF97+Links!I97)</f>
        <v>#DIV/0!</v>
      </c>
      <c r="BH97" s="57" t="e">
        <f>(#REF!*#REF!+'On-Ramps'!AG97*'On-Ramps'!CI97)/('On-Ramps'!AG97+#REF!)</f>
        <v>#REF!</v>
      </c>
      <c r="BI97" s="57" t="e">
        <f>(Links!L97*Links!AZ97+'On-Ramps'!AH97*'On-Ramps'!CJ97)/('On-Ramps'!AH97+Links!L97)</f>
        <v>#DIV/0!</v>
      </c>
      <c r="BJ97" s="57" t="e">
        <f>(Links!BA97*Links!M97+'On-Ramps'!AI97*'On-Ramps'!CK97)/('On-Ramps'!AI97+Links!M97)</f>
        <v>#DIV/0!</v>
      </c>
      <c r="BK97" s="57" t="e">
        <f>(Links!S97*Links!BG97+'On-Ramps'!AJ97*'On-Ramps'!CL97)/('On-Ramps'!AJ97+Links!S97)</f>
        <v>#DIV/0!</v>
      </c>
      <c r="BL97" s="63"/>
      <c r="BM97" s="57" t="e">
        <f>(Links!S97*Links!BG97+'On-Ramps'!AL97*'On-Ramps'!CM97)/(Links!S97+'On-Ramps'!AL97)</f>
        <v>#DIV/0!</v>
      </c>
      <c r="BN97" s="63"/>
      <c r="BO97" s="58" t="e">
        <f>(Links!W97^2+'Off-Ramp'!L97^2)/(Links!W97+'Off-Ramp'!L97)</f>
        <v>#DIV/0!</v>
      </c>
      <c r="BP97" s="63"/>
      <c r="BQ97" s="58" t="e">
        <f>(Links!Y97^2+'Off-Ramp'!C97^2)/(Links!Y97+'Off-Ramp'!C97)</f>
        <v>#DIV/0!</v>
      </c>
      <c r="BR97" s="63"/>
      <c r="BS97" s="58" t="e">
        <f>(Links!AA97^2+'Off-Ramp'!N97^2)/(Links!AA97+'Off-Ramp'!N97)</f>
        <v>#DIV/0!</v>
      </c>
      <c r="BT97" s="58" t="e">
        <f>(Links!AD97^2+'Off-Ramp'!O97^2)/(Links!AD97+'Off-Ramp'!O97)</f>
        <v>#DIV/0!</v>
      </c>
      <c r="BU97" s="58" t="e">
        <f>(Links!AE97^2+'Off-Ramp'!V97^2+'Off-Ramp'!W97^2+'Off-Ramp'!X97^2)/(Links!AE97+'Off-Ramp'!V97+'Off-Ramp'!W97+'Off-Ramp'!X97)</f>
        <v>#DIV/0!</v>
      </c>
      <c r="BV97" s="58" t="e">
        <f>(Links!AG97^2+'Off-Ramp'!Y97^2+'Off-Ramp'!Z97^2+'Off-Ramp'!AA97^2)/(Links!AG97+'Off-Ramp'!Y97+'Off-Ramp'!Z97+'Off-Ramp'!AA97)</f>
        <v>#DIV/0!</v>
      </c>
      <c r="BW97" s="58" t="e">
        <f>(Links!AH97^2+'Off-Ramp'!R97^2)/(Links!AH97+'Off-Ramp'!R97)</f>
        <v>#DIV/0!</v>
      </c>
      <c r="BX97" s="58" t="e">
        <f>(Links!AK97^2+'Off-Ramp'!S97^2)/(Links!AK97+'Off-Ramp'!S97)</f>
        <v>#DIV/0!</v>
      </c>
      <c r="BY97" s="58" t="e">
        <f>(Links!AL97^2+'Off-Ramp'!T97^2)/(Links!AL97+'Off-Ramp'!T97)</f>
        <v>#DIV/0!</v>
      </c>
      <c r="BZ97" s="63"/>
      <c r="CA97" s="58" t="e">
        <f>(Links!AN97^2+'Off-Ramp'!U97^2)/(Links!AN97+'Off-Ramp'!U97)</f>
        <v>#DIV/0!</v>
      </c>
    </row>
    <row r="98" spans="1:79" x14ac:dyDescent="0.15">
      <c r="A98" s="56">
        <v>96</v>
      </c>
      <c r="B98" s="57" t="e">
        <f t="shared" si="30"/>
        <v>#DIV/0!</v>
      </c>
      <c r="C98" s="57" t="e">
        <f t="shared" si="31"/>
        <v>#DIV/0!</v>
      </c>
      <c r="D98" s="57" t="e">
        <f t="shared" si="32"/>
        <v>#DIV/0!</v>
      </c>
      <c r="E98" s="57" t="e">
        <f t="shared" si="33"/>
        <v>#DIV/0!</v>
      </c>
      <c r="F98" s="57" t="e">
        <f t="shared" si="34"/>
        <v>#DIV/0!</v>
      </c>
      <c r="G98" s="57" t="e">
        <f t="shared" si="35"/>
        <v>#DIV/0!</v>
      </c>
      <c r="H98" s="57" t="e">
        <f t="shared" si="36"/>
        <v>#DIV/0!</v>
      </c>
      <c r="I98" s="57" t="e">
        <f t="shared" si="37"/>
        <v>#DIV/0!</v>
      </c>
      <c r="J98" s="57" t="e">
        <f t="shared" si="38"/>
        <v>#DIV/0!</v>
      </c>
      <c r="K98" s="57" t="e">
        <f t="shared" si="39"/>
        <v>#DIV/0!</v>
      </c>
      <c r="L98" s="57" t="e">
        <f t="shared" si="40"/>
        <v>#DIV/0!</v>
      </c>
      <c r="M98" s="57" t="e">
        <f t="shared" si="41"/>
        <v>#DIV/0!</v>
      </c>
      <c r="N98" s="57" t="e">
        <f t="shared" si="42"/>
        <v>#DIV/0!</v>
      </c>
      <c r="O98" s="58" t="e">
        <f>Links!B98</f>
        <v>#DIV/0!</v>
      </c>
      <c r="P98" s="58" t="e">
        <f>Links!C98+'On-Ramps'!AC98</f>
        <v>#DIV/0!</v>
      </c>
      <c r="Q98" s="58" t="e">
        <f>Links!D98</f>
        <v>#DIV/0!</v>
      </c>
      <c r="R98" s="58" t="e">
        <f>Links!E98+'On-Ramps'!AD98</f>
        <v>#DIV/0!</v>
      </c>
      <c r="S98" s="58" t="e">
        <f>Links!F98+'On-Ramps'!AE98</f>
        <v>#DIV/0!</v>
      </c>
      <c r="T98" s="58" t="e">
        <f>Links!I98+'On-Ramps'!AF98</f>
        <v>#DIV/0!</v>
      </c>
      <c r="U98" s="58" t="e">
        <f>Links!J98+'On-Ramps'!AG98</f>
        <v>#DIV/0!</v>
      </c>
      <c r="V98" s="58" t="e">
        <f>Links!L98+'On-Ramps'!AH98</f>
        <v>#DIV/0!</v>
      </c>
      <c r="W98" s="58" t="e">
        <f>Links!M98+'On-Ramps'!AI98</f>
        <v>#DIV/0!</v>
      </c>
      <c r="X98" s="58" t="e">
        <f>Links!P98+'On-Ramps'!AJ98</f>
        <v>#DIV/0!</v>
      </c>
      <c r="Y98" s="58" t="e">
        <f>Links!Q98</f>
        <v>#DIV/0!</v>
      </c>
      <c r="Z98" s="58" t="e">
        <f>Links!R98+'On-Ramps'!AK98</f>
        <v>#DIV/0!</v>
      </c>
      <c r="AA98" s="58" t="e">
        <f>Links!S98</f>
        <v>#DIV/0!</v>
      </c>
      <c r="AB98" s="57" t="e">
        <f t="shared" si="43"/>
        <v>#VALUE!</v>
      </c>
      <c r="AC98" s="63"/>
      <c r="AD98" s="57" t="e">
        <f t="shared" si="44"/>
        <v>#DIV/0!</v>
      </c>
      <c r="AE98" s="63"/>
      <c r="AF98" s="57" t="e">
        <f t="shared" si="45"/>
        <v>#DIV/0!</v>
      </c>
      <c r="AG98" s="57" t="e">
        <f t="shared" si="46"/>
        <v>#DIV/0!</v>
      </c>
      <c r="AH98" s="57" t="e">
        <f t="shared" si="47"/>
        <v>#DIV/0!</v>
      </c>
      <c r="AI98" s="57" t="e">
        <f t="shared" si="48"/>
        <v>#DIV/0!</v>
      </c>
      <c r="AJ98" s="57" t="e">
        <f t="shared" si="49"/>
        <v>#DIV/0!</v>
      </c>
      <c r="AK98" s="57" t="e">
        <f t="shared" si="50"/>
        <v>#DIV/0!</v>
      </c>
      <c r="AL98" s="57" t="e">
        <f t="shared" si="51"/>
        <v>#DIV/0!</v>
      </c>
      <c r="AM98" s="63"/>
      <c r="AN98" s="57" t="e">
        <f t="shared" si="53"/>
        <v>#DIV/0!</v>
      </c>
      <c r="AO98" s="58" t="e">
        <f t="shared" si="29"/>
        <v>#VALUE!</v>
      </c>
      <c r="AP98" s="63"/>
      <c r="AQ98" s="58" t="e">
        <f t="shared" si="52"/>
        <v>#DIV/0!</v>
      </c>
      <c r="AR98" s="63"/>
      <c r="AS98" s="58" t="e">
        <f t="shared" si="52"/>
        <v>#DIV/0!</v>
      </c>
      <c r="AT98" s="58" t="e">
        <f t="shared" si="52"/>
        <v>#DIV/0!</v>
      </c>
      <c r="AU98" s="58" t="e">
        <f t="shared" si="52"/>
        <v>#DIV/0!</v>
      </c>
      <c r="AV98" s="58" t="e">
        <f t="shared" si="52"/>
        <v>#DIV/0!</v>
      </c>
      <c r="AW98" s="58" t="e">
        <f t="shared" si="52"/>
        <v>#DIV/0!</v>
      </c>
      <c r="AX98" s="58" t="e">
        <f t="shared" si="52"/>
        <v>#DIV/0!</v>
      </c>
      <c r="AY98" s="58" t="e">
        <f t="shared" si="52"/>
        <v>#DIV/0!</v>
      </c>
      <c r="AZ98" s="63"/>
      <c r="BA98" s="58" t="e">
        <f t="shared" si="52"/>
        <v>#DIV/0!</v>
      </c>
      <c r="BB98" s="63"/>
      <c r="BC98" s="57" t="e">
        <f>(Links!C98*Links!AQ98+'On-Ramps'!AC98*'On-Ramps'!CE98)/('On-Ramps'!AC98+Links!C98)</f>
        <v>#DIV/0!</v>
      </c>
      <c r="BD98" s="63"/>
      <c r="BE98" s="57" t="e">
        <f>(Links!E98*Links!AS98+'On-Ramps'!AD98*'On-Ramps'!CF97)/('On-Ramps'!AD98+Links!E98)</f>
        <v>#DIV/0!</v>
      </c>
      <c r="BF98" s="57" t="e">
        <f>(Links!F98*Links!AT98+'On-Ramps'!AE98*'On-Ramps'!CG98)/('On-Ramps'!AE98+Links!F98)</f>
        <v>#DIV/0!</v>
      </c>
      <c r="BG98" s="57" t="e">
        <f>(Links!I98*Links!AW98+'On-Ramps'!AF98*'On-Ramps'!CH98)/('On-Ramps'!AF98+Links!I98)</f>
        <v>#DIV/0!</v>
      </c>
      <c r="BH98" s="57" t="e">
        <f>(#REF!*#REF!+'On-Ramps'!AG98*'On-Ramps'!CI98)/('On-Ramps'!AG98+#REF!)</f>
        <v>#REF!</v>
      </c>
      <c r="BI98" s="57" t="e">
        <f>(Links!L98*Links!AZ98+'On-Ramps'!AH98*'On-Ramps'!CJ98)/('On-Ramps'!AH98+Links!L98)</f>
        <v>#DIV/0!</v>
      </c>
      <c r="BJ98" s="57" t="e">
        <f>(Links!BA98*Links!M98+'On-Ramps'!AI98*'On-Ramps'!CK98)/('On-Ramps'!AI98+Links!M98)</f>
        <v>#DIV/0!</v>
      </c>
      <c r="BK98" s="57" t="e">
        <f>(Links!S98*Links!BG98+'On-Ramps'!AJ98*'On-Ramps'!CL98)/('On-Ramps'!AJ98+Links!S98)</f>
        <v>#DIV/0!</v>
      </c>
      <c r="BL98" s="63"/>
      <c r="BM98" s="57" t="e">
        <f>(Links!S98*Links!BG98+'On-Ramps'!AL98*'On-Ramps'!CM98)/(Links!S98+'On-Ramps'!AL98)</f>
        <v>#DIV/0!</v>
      </c>
      <c r="BN98" s="63"/>
      <c r="BO98" s="58" t="e">
        <f>(Links!W98^2+'Off-Ramp'!L98^2)/(Links!W98+'Off-Ramp'!L98)</f>
        <v>#DIV/0!</v>
      </c>
      <c r="BP98" s="63"/>
      <c r="BQ98" s="58" t="e">
        <f>(Links!Y98^2+'Off-Ramp'!C98^2)/(Links!Y98+'Off-Ramp'!C98)</f>
        <v>#DIV/0!</v>
      </c>
      <c r="BR98" s="63"/>
      <c r="BS98" s="58" t="e">
        <f>(Links!AA98^2+'Off-Ramp'!N98^2)/(Links!AA98+'Off-Ramp'!N98)</f>
        <v>#DIV/0!</v>
      </c>
      <c r="BT98" s="58" t="e">
        <f>(Links!AD98^2+'Off-Ramp'!O98^2)/(Links!AD98+'Off-Ramp'!O98)</f>
        <v>#DIV/0!</v>
      </c>
      <c r="BU98" s="58" t="e">
        <f>(Links!AE98^2+'Off-Ramp'!V98^2+'Off-Ramp'!W98^2+'Off-Ramp'!X98^2)/(Links!AE98+'Off-Ramp'!V98+'Off-Ramp'!W98+'Off-Ramp'!X98)</f>
        <v>#DIV/0!</v>
      </c>
      <c r="BV98" s="58" t="e">
        <f>(Links!AG98^2+'Off-Ramp'!Y98^2+'Off-Ramp'!Z98^2+'Off-Ramp'!AA98^2)/(Links!AG98+'Off-Ramp'!Y98+'Off-Ramp'!Z98+'Off-Ramp'!AA98)</f>
        <v>#DIV/0!</v>
      </c>
      <c r="BW98" s="58" t="e">
        <f>(Links!AH98^2+'Off-Ramp'!R98^2)/(Links!AH98+'Off-Ramp'!R98)</f>
        <v>#DIV/0!</v>
      </c>
      <c r="BX98" s="58" t="e">
        <f>(Links!AK98^2+'Off-Ramp'!S98^2)/(Links!AK98+'Off-Ramp'!S98)</f>
        <v>#DIV/0!</v>
      </c>
      <c r="BY98" s="58" t="e">
        <f>(Links!AL98^2+'Off-Ramp'!T98^2)/(Links!AL98+'Off-Ramp'!T98)</f>
        <v>#DIV/0!</v>
      </c>
      <c r="BZ98" s="63"/>
      <c r="CA98" s="58" t="e">
        <f>(Links!AN98^2+'Off-Ramp'!U98^2)/(Links!AN98+'Off-Ramp'!U98)</f>
        <v>#DIV/0!</v>
      </c>
    </row>
    <row r="99" spans="1:79" x14ac:dyDescent="0.15">
      <c r="A99" s="56">
        <v>97</v>
      </c>
      <c r="B99" s="57" t="e">
        <f t="shared" si="30"/>
        <v>#DIV/0!</v>
      </c>
      <c r="C99" s="57" t="e">
        <f t="shared" si="31"/>
        <v>#DIV/0!</v>
      </c>
      <c r="D99" s="57" t="e">
        <f t="shared" si="32"/>
        <v>#DIV/0!</v>
      </c>
      <c r="E99" s="57" t="e">
        <f t="shared" si="33"/>
        <v>#DIV/0!</v>
      </c>
      <c r="F99" s="57" t="e">
        <f t="shared" si="34"/>
        <v>#DIV/0!</v>
      </c>
      <c r="G99" s="57" t="e">
        <f t="shared" si="35"/>
        <v>#DIV/0!</v>
      </c>
      <c r="H99" s="57" t="e">
        <f t="shared" si="36"/>
        <v>#DIV/0!</v>
      </c>
      <c r="I99" s="57" t="e">
        <f t="shared" si="37"/>
        <v>#DIV/0!</v>
      </c>
      <c r="J99" s="57" t="e">
        <f t="shared" si="38"/>
        <v>#DIV/0!</v>
      </c>
      <c r="K99" s="57" t="e">
        <f t="shared" si="39"/>
        <v>#DIV/0!</v>
      </c>
      <c r="L99" s="57" t="e">
        <f t="shared" si="40"/>
        <v>#DIV/0!</v>
      </c>
      <c r="M99" s="57" t="e">
        <f t="shared" si="41"/>
        <v>#DIV/0!</v>
      </c>
      <c r="N99" s="57" t="e">
        <f t="shared" si="42"/>
        <v>#DIV/0!</v>
      </c>
      <c r="O99" s="58" t="e">
        <f>Links!B99</f>
        <v>#DIV/0!</v>
      </c>
      <c r="P99" s="58" t="e">
        <f>Links!C99+'On-Ramps'!AC99</f>
        <v>#DIV/0!</v>
      </c>
      <c r="Q99" s="58" t="e">
        <f>Links!D99</f>
        <v>#DIV/0!</v>
      </c>
      <c r="R99" s="58" t="e">
        <f>Links!E99+'On-Ramps'!AD99</f>
        <v>#DIV/0!</v>
      </c>
      <c r="S99" s="58" t="e">
        <f>Links!F99+'On-Ramps'!AE99</f>
        <v>#DIV/0!</v>
      </c>
      <c r="T99" s="58" t="e">
        <f>Links!I99+'On-Ramps'!AF99</f>
        <v>#DIV/0!</v>
      </c>
      <c r="U99" s="58" t="e">
        <f>Links!J99+'On-Ramps'!AG99</f>
        <v>#DIV/0!</v>
      </c>
      <c r="V99" s="58" t="e">
        <f>Links!L99+'On-Ramps'!AH99</f>
        <v>#DIV/0!</v>
      </c>
      <c r="W99" s="58" t="e">
        <f>Links!M99+'On-Ramps'!AI99</f>
        <v>#DIV/0!</v>
      </c>
      <c r="X99" s="58" t="e">
        <f>Links!P99+'On-Ramps'!AJ99</f>
        <v>#DIV/0!</v>
      </c>
      <c r="Y99" s="58" t="e">
        <f>Links!Q99</f>
        <v>#DIV/0!</v>
      </c>
      <c r="Z99" s="58" t="e">
        <f>Links!R99+'On-Ramps'!AK99</f>
        <v>#DIV/0!</v>
      </c>
      <c r="AA99" s="58" t="e">
        <f>Links!S99</f>
        <v>#DIV/0!</v>
      </c>
      <c r="AB99" s="57" t="e">
        <f t="shared" si="43"/>
        <v>#VALUE!</v>
      </c>
      <c r="AC99" s="63"/>
      <c r="AD99" s="57" t="e">
        <f t="shared" si="44"/>
        <v>#DIV/0!</v>
      </c>
      <c r="AE99" s="63"/>
      <c r="AF99" s="57" t="e">
        <f t="shared" si="45"/>
        <v>#DIV/0!</v>
      </c>
      <c r="AG99" s="57" t="e">
        <f t="shared" si="46"/>
        <v>#DIV/0!</v>
      </c>
      <c r="AH99" s="57" t="e">
        <f t="shared" si="47"/>
        <v>#DIV/0!</v>
      </c>
      <c r="AI99" s="57" t="e">
        <f t="shared" si="48"/>
        <v>#DIV/0!</v>
      </c>
      <c r="AJ99" s="57" t="e">
        <f t="shared" si="49"/>
        <v>#DIV/0!</v>
      </c>
      <c r="AK99" s="57" t="e">
        <f t="shared" si="50"/>
        <v>#DIV/0!</v>
      </c>
      <c r="AL99" s="57" t="e">
        <f t="shared" si="51"/>
        <v>#DIV/0!</v>
      </c>
      <c r="AM99" s="63"/>
      <c r="AN99" s="57" t="e">
        <f t="shared" si="53"/>
        <v>#DIV/0!</v>
      </c>
      <c r="AO99" s="58" t="e">
        <f t="shared" si="29"/>
        <v>#VALUE!</v>
      </c>
      <c r="AP99" s="63"/>
      <c r="AQ99" s="58" t="e">
        <f t="shared" ref="AQ99:BA120" si="54">AQ$3</f>
        <v>#DIV/0!</v>
      </c>
      <c r="AR99" s="63"/>
      <c r="AS99" s="58" t="e">
        <f t="shared" si="54"/>
        <v>#DIV/0!</v>
      </c>
      <c r="AT99" s="58" t="e">
        <f t="shared" si="54"/>
        <v>#DIV/0!</v>
      </c>
      <c r="AU99" s="58" t="e">
        <f t="shared" si="54"/>
        <v>#DIV/0!</v>
      </c>
      <c r="AV99" s="58" t="e">
        <f t="shared" si="54"/>
        <v>#DIV/0!</v>
      </c>
      <c r="AW99" s="58" t="e">
        <f t="shared" si="54"/>
        <v>#DIV/0!</v>
      </c>
      <c r="AX99" s="58" t="e">
        <f t="shared" si="54"/>
        <v>#DIV/0!</v>
      </c>
      <c r="AY99" s="58" t="e">
        <f t="shared" si="54"/>
        <v>#DIV/0!</v>
      </c>
      <c r="AZ99" s="63"/>
      <c r="BA99" s="58" t="e">
        <f t="shared" si="54"/>
        <v>#DIV/0!</v>
      </c>
      <c r="BB99" s="63"/>
      <c r="BC99" s="57" t="e">
        <f>(Links!C99*Links!AQ99+'On-Ramps'!AC99*'On-Ramps'!CE99)/('On-Ramps'!AC99+Links!C99)</f>
        <v>#DIV/0!</v>
      </c>
      <c r="BD99" s="63"/>
      <c r="BE99" s="57" t="e">
        <f>(Links!E99*Links!AS99+'On-Ramps'!AD99*'On-Ramps'!CF98)/('On-Ramps'!AD99+Links!E99)</f>
        <v>#DIV/0!</v>
      </c>
      <c r="BF99" s="57" t="e">
        <f>(Links!F99*Links!AT99+'On-Ramps'!AE99*'On-Ramps'!CG99)/('On-Ramps'!AE99+Links!F99)</f>
        <v>#DIV/0!</v>
      </c>
      <c r="BG99" s="57" t="e">
        <f>(Links!I99*Links!AW99+'On-Ramps'!AF99*'On-Ramps'!CH99)/('On-Ramps'!AF99+Links!I99)</f>
        <v>#DIV/0!</v>
      </c>
      <c r="BH99" s="57" t="e">
        <f>(#REF!*#REF!+'On-Ramps'!AG99*'On-Ramps'!CI99)/('On-Ramps'!AG99+#REF!)</f>
        <v>#REF!</v>
      </c>
      <c r="BI99" s="57" t="e">
        <f>(Links!L99*Links!AZ99+'On-Ramps'!AH99*'On-Ramps'!CJ99)/('On-Ramps'!AH99+Links!L99)</f>
        <v>#DIV/0!</v>
      </c>
      <c r="BJ99" s="57" t="e">
        <f>(Links!BA99*Links!M99+'On-Ramps'!AI99*'On-Ramps'!CK99)/('On-Ramps'!AI99+Links!M99)</f>
        <v>#DIV/0!</v>
      </c>
      <c r="BK99" s="57" t="e">
        <f>(Links!S99*Links!BG99+'On-Ramps'!AJ99*'On-Ramps'!CL99)/('On-Ramps'!AJ99+Links!S99)</f>
        <v>#DIV/0!</v>
      </c>
      <c r="BL99" s="63"/>
      <c r="BM99" s="57" t="e">
        <f>(Links!S99*Links!BG99+'On-Ramps'!AL99*'On-Ramps'!CM99)/(Links!S99+'On-Ramps'!AL99)</f>
        <v>#DIV/0!</v>
      </c>
      <c r="BN99" s="63"/>
      <c r="BO99" s="58" t="e">
        <f>(Links!W99^2+'Off-Ramp'!L99^2)/(Links!W99+'Off-Ramp'!L99)</f>
        <v>#DIV/0!</v>
      </c>
      <c r="BP99" s="63"/>
      <c r="BQ99" s="58" t="e">
        <f>(Links!Y99^2+'Off-Ramp'!C99^2)/(Links!Y99+'Off-Ramp'!C99)</f>
        <v>#DIV/0!</v>
      </c>
      <c r="BR99" s="63"/>
      <c r="BS99" s="58" t="e">
        <f>(Links!AA99^2+'Off-Ramp'!N99^2)/(Links!AA99+'Off-Ramp'!N99)</f>
        <v>#DIV/0!</v>
      </c>
      <c r="BT99" s="58" t="e">
        <f>(Links!AD99^2+'Off-Ramp'!O99^2)/(Links!AD99+'Off-Ramp'!O99)</f>
        <v>#DIV/0!</v>
      </c>
      <c r="BU99" s="58" t="e">
        <f>(Links!AE99^2+'Off-Ramp'!V99^2+'Off-Ramp'!W99^2+'Off-Ramp'!X99^2)/(Links!AE99+'Off-Ramp'!V99+'Off-Ramp'!W99+'Off-Ramp'!X99)</f>
        <v>#DIV/0!</v>
      </c>
      <c r="BV99" s="58" t="e">
        <f>(Links!AG99^2+'Off-Ramp'!Y99^2+'Off-Ramp'!Z99^2+'Off-Ramp'!AA99^2)/(Links!AG99+'Off-Ramp'!Y99+'Off-Ramp'!Z99+'Off-Ramp'!AA99)</f>
        <v>#DIV/0!</v>
      </c>
      <c r="BW99" s="58" t="e">
        <f>(Links!AH99^2+'Off-Ramp'!R99^2)/(Links!AH99+'Off-Ramp'!R99)</f>
        <v>#DIV/0!</v>
      </c>
      <c r="BX99" s="58" t="e">
        <f>(Links!AK99^2+'Off-Ramp'!S99^2)/(Links!AK99+'Off-Ramp'!S99)</f>
        <v>#DIV/0!</v>
      </c>
      <c r="BY99" s="58" t="e">
        <f>(Links!AL99^2+'Off-Ramp'!T99^2)/(Links!AL99+'Off-Ramp'!T99)</f>
        <v>#DIV/0!</v>
      </c>
      <c r="BZ99" s="63"/>
      <c r="CA99" s="58" t="e">
        <f>(Links!AN99^2+'Off-Ramp'!U99^2)/(Links!AN99+'Off-Ramp'!U99)</f>
        <v>#DIV/0!</v>
      </c>
    </row>
    <row r="100" spans="1:79" x14ac:dyDescent="0.15">
      <c r="A100" s="56">
        <v>98</v>
      </c>
      <c r="B100" s="57" t="e">
        <f t="shared" si="30"/>
        <v>#DIV/0!</v>
      </c>
      <c r="C100" s="57" t="e">
        <f t="shared" si="31"/>
        <v>#DIV/0!</v>
      </c>
      <c r="D100" s="57" t="e">
        <f t="shared" si="32"/>
        <v>#DIV/0!</v>
      </c>
      <c r="E100" s="57" t="e">
        <f t="shared" si="33"/>
        <v>#DIV/0!</v>
      </c>
      <c r="F100" s="57" t="e">
        <f t="shared" si="34"/>
        <v>#DIV/0!</v>
      </c>
      <c r="G100" s="57" t="e">
        <f t="shared" si="35"/>
        <v>#DIV/0!</v>
      </c>
      <c r="H100" s="57" t="e">
        <f t="shared" si="36"/>
        <v>#DIV/0!</v>
      </c>
      <c r="I100" s="57" t="e">
        <f t="shared" si="37"/>
        <v>#DIV/0!</v>
      </c>
      <c r="J100" s="57" t="e">
        <f t="shared" si="38"/>
        <v>#DIV/0!</v>
      </c>
      <c r="K100" s="57" t="e">
        <f t="shared" si="39"/>
        <v>#DIV/0!</v>
      </c>
      <c r="L100" s="57" t="e">
        <f t="shared" si="40"/>
        <v>#DIV/0!</v>
      </c>
      <c r="M100" s="57" t="e">
        <f t="shared" si="41"/>
        <v>#DIV/0!</v>
      </c>
      <c r="N100" s="57" t="e">
        <f t="shared" si="42"/>
        <v>#DIV/0!</v>
      </c>
      <c r="O100" s="58" t="e">
        <f>Links!B100</f>
        <v>#DIV/0!</v>
      </c>
      <c r="P100" s="58" t="e">
        <f>Links!C100+'On-Ramps'!AC100</f>
        <v>#DIV/0!</v>
      </c>
      <c r="Q100" s="58" t="e">
        <f>Links!D100</f>
        <v>#DIV/0!</v>
      </c>
      <c r="R100" s="58" t="e">
        <f>Links!E100+'On-Ramps'!AD100</f>
        <v>#DIV/0!</v>
      </c>
      <c r="S100" s="58" t="e">
        <f>Links!F100+'On-Ramps'!AE100</f>
        <v>#DIV/0!</v>
      </c>
      <c r="T100" s="58" t="e">
        <f>Links!I100+'On-Ramps'!AF100</f>
        <v>#DIV/0!</v>
      </c>
      <c r="U100" s="58" t="e">
        <f>Links!J100+'On-Ramps'!AG100</f>
        <v>#DIV/0!</v>
      </c>
      <c r="V100" s="58" t="e">
        <f>Links!L100+'On-Ramps'!AH100</f>
        <v>#DIV/0!</v>
      </c>
      <c r="W100" s="58" t="e">
        <f>Links!M100+'On-Ramps'!AI100</f>
        <v>#DIV/0!</v>
      </c>
      <c r="X100" s="58" t="e">
        <f>Links!P100+'On-Ramps'!AJ100</f>
        <v>#DIV/0!</v>
      </c>
      <c r="Y100" s="58" t="e">
        <f>Links!Q100</f>
        <v>#DIV/0!</v>
      </c>
      <c r="Z100" s="58" t="e">
        <f>Links!R100+'On-Ramps'!AK100</f>
        <v>#DIV/0!</v>
      </c>
      <c r="AA100" s="58" t="e">
        <f>Links!S100</f>
        <v>#DIV/0!</v>
      </c>
      <c r="AB100" s="57" t="e">
        <f t="shared" si="43"/>
        <v>#VALUE!</v>
      </c>
      <c r="AC100" s="63"/>
      <c r="AD100" s="57" t="e">
        <f t="shared" si="44"/>
        <v>#DIV/0!</v>
      </c>
      <c r="AE100" s="63"/>
      <c r="AF100" s="57" t="e">
        <f t="shared" si="45"/>
        <v>#DIV/0!</v>
      </c>
      <c r="AG100" s="57" t="e">
        <f t="shared" si="46"/>
        <v>#DIV/0!</v>
      </c>
      <c r="AH100" s="57" t="e">
        <f t="shared" si="47"/>
        <v>#DIV/0!</v>
      </c>
      <c r="AI100" s="57" t="e">
        <f t="shared" si="48"/>
        <v>#DIV/0!</v>
      </c>
      <c r="AJ100" s="57" t="e">
        <f t="shared" si="49"/>
        <v>#DIV/0!</v>
      </c>
      <c r="AK100" s="57" t="e">
        <f t="shared" si="50"/>
        <v>#DIV/0!</v>
      </c>
      <c r="AL100" s="57" t="e">
        <f t="shared" si="51"/>
        <v>#DIV/0!</v>
      </c>
      <c r="AM100" s="63"/>
      <c r="AN100" s="57" t="e">
        <f t="shared" si="53"/>
        <v>#DIV/0!</v>
      </c>
      <c r="AO100" s="58" t="e">
        <f t="shared" si="29"/>
        <v>#VALUE!</v>
      </c>
      <c r="AP100" s="63"/>
      <c r="AQ100" s="58" t="e">
        <f t="shared" si="54"/>
        <v>#DIV/0!</v>
      </c>
      <c r="AR100" s="63"/>
      <c r="AS100" s="58" t="e">
        <f t="shared" si="54"/>
        <v>#DIV/0!</v>
      </c>
      <c r="AT100" s="58" t="e">
        <f t="shared" si="54"/>
        <v>#DIV/0!</v>
      </c>
      <c r="AU100" s="58" t="e">
        <f t="shared" si="54"/>
        <v>#DIV/0!</v>
      </c>
      <c r="AV100" s="58" t="e">
        <f t="shared" si="54"/>
        <v>#DIV/0!</v>
      </c>
      <c r="AW100" s="58" t="e">
        <f t="shared" si="54"/>
        <v>#DIV/0!</v>
      </c>
      <c r="AX100" s="58" t="e">
        <f t="shared" si="54"/>
        <v>#DIV/0!</v>
      </c>
      <c r="AY100" s="58" t="e">
        <f t="shared" si="54"/>
        <v>#DIV/0!</v>
      </c>
      <c r="AZ100" s="63"/>
      <c r="BA100" s="58" t="e">
        <f t="shared" si="54"/>
        <v>#DIV/0!</v>
      </c>
      <c r="BB100" s="63"/>
      <c r="BC100" s="57" t="e">
        <f>(Links!C100*Links!AQ100+'On-Ramps'!AC100*'On-Ramps'!CE100)/('On-Ramps'!AC100+Links!C100)</f>
        <v>#DIV/0!</v>
      </c>
      <c r="BD100" s="63"/>
      <c r="BE100" s="57" t="e">
        <f>(Links!E100*Links!AS100+'On-Ramps'!AD100*'On-Ramps'!CF99)/('On-Ramps'!AD100+Links!E100)</f>
        <v>#DIV/0!</v>
      </c>
      <c r="BF100" s="57" t="e">
        <f>(Links!F100*Links!AT100+'On-Ramps'!AE100*'On-Ramps'!CG100)/('On-Ramps'!AE100+Links!F100)</f>
        <v>#DIV/0!</v>
      </c>
      <c r="BG100" s="57" t="e">
        <f>(Links!I100*Links!AW100+'On-Ramps'!AF100*'On-Ramps'!CH100)/('On-Ramps'!AF100+Links!I100)</f>
        <v>#DIV/0!</v>
      </c>
      <c r="BH100" s="57" t="e">
        <f>(#REF!*#REF!+'On-Ramps'!AG100*'On-Ramps'!CI100)/('On-Ramps'!AG100+#REF!)</f>
        <v>#REF!</v>
      </c>
      <c r="BI100" s="57" t="e">
        <f>(Links!L100*Links!AZ100+'On-Ramps'!AH100*'On-Ramps'!CJ100)/('On-Ramps'!AH100+Links!L100)</f>
        <v>#DIV/0!</v>
      </c>
      <c r="BJ100" s="57" t="e">
        <f>(Links!BA100*Links!M100+'On-Ramps'!AI100*'On-Ramps'!CK100)/('On-Ramps'!AI100+Links!M100)</f>
        <v>#DIV/0!</v>
      </c>
      <c r="BK100" s="57" t="e">
        <f>(Links!S100*Links!BG100+'On-Ramps'!AJ100*'On-Ramps'!CL100)/('On-Ramps'!AJ100+Links!S100)</f>
        <v>#DIV/0!</v>
      </c>
      <c r="BL100" s="63"/>
      <c r="BM100" s="57" t="e">
        <f>(Links!S100*Links!BG100+'On-Ramps'!AL100*'On-Ramps'!CM100)/(Links!S100+'On-Ramps'!AL100)</f>
        <v>#DIV/0!</v>
      </c>
      <c r="BN100" s="63"/>
      <c r="BO100" s="58" t="e">
        <f>(Links!W100^2+'Off-Ramp'!L100^2)/(Links!W100+'Off-Ramp'!L100)</f>
        <v>#DIV/0!</v>
      </c>
      <c r="BP100" s="63"/>
      <c r="BQ100" s="58" t="e">
        <f>(Links!Y100^2+'Off-Ramp'!C100^2)/(Links!Y100+'Off-Ramp'!C100)</f>
        <v>#DIV/0!</v>
      </c>
      <c r="BR100" s="63"/>
      <c r="BS100" s="58" t="e">
        <f>(Links!AA100^2+'Off-Ramp'!N100^2)/(Links!AA100+'Off-Ramp'!N100)</f>
        <v>#DIV/0!</v>
      </c>
      <c r="BT100" s="58" t="e">
        <f>(Links!AD100^2+'Off-Ramp'!O100^2)/(Links!AD100+'Off-Ramp'!O100)</f>
        <v>#DIV/0!</v>
      </c>
      <c r="BU100" s="58" t="e">
        <f>(Links!AE100^2+'Off-Ramp'!V100^2+'Off-Ramp'!W100^2+'Off-Ramp'!X100^2)/(Links!AE100+'Off-Ramp'!V100+'Off-Ramp'!W100+'Off-Ramp'!X100)</f>
        <v>#DIV/0!</v>
      </c>
      <c r="BV100" s="58" t="e">
        <f>(Links!AG100^2+'Off-Ramp'!Y100^2+'Off-Ramp'!Z100^2+'Off-Ramp'!AA100^2)/(Links!AG100+'Off-Ramp'!Y100+'Off-Ramp'!Z100+'Off-Ramp'!AA100)</f>
        <v>#DIV/0!</v>
      </c>
      <c r="BW100" s="58" t="e">
        <f>(Links!AH100^2+'Off-Ramp'!R100^2)/(Links!AH100+'Off-Ramp'!R100)</f>
        <v>#DIV/0!</v>
      </c>
      <c r="BX100" s="58" t="e">
        <f>(Links!AK100^2+'Off-Ramp'!S100^2)/(Links!AK100+'Off-Ramp'!S100)</f>
        <v>#DIV/0!</v>
      </c>
      <c r="BY100" s="58" t="e">
        <f>(Links!AL100^2+'Off-Ramp'!T100^2)/(Links!AL100+'Off-Ramp'!T100)</f>
        <v>#DIV/0!</v>
      </c>
      <c r="BZ100" s="63"/>
      <c r="CA100" s="58" t="e">
        <f>(Links!AN100^2+'Off-Ramp'!U100^2)/(Links!AN100+'Off-Ramp'!U100)</f>
        <v>#DIV/0!</v>
      </c>
    </row>
    <row r="101" spans="1:79" x14ac:dyDescent="0.15">
      <c r="A101" s="56">
        <v>99</v>
      </c>
      <c r="B101" s="57" t="e">
        <f t="shared" si="30"/>
        <v>#DIV/0!</v>
      </c>
      <c r="C101" s="57" t="e">
        <f t="shared" si="31"/>
        <v>#DIV/0!</v>
      </c>
      <c r="D101" s="57" t="e">
        <f t="shared" si="32"/>
        <v>#DIV/0!</v>
      </c>
      <c r="E101" s="57" t="e">
        <f t="shared" si="33"/>
        <v>#DIV/0!</v>
      </c>
      <c r="F101" s="57" t="e">
        <f t="shared" si="34"/>
        <v>#DIV/0!</v>
      </c>
      <c r="G101" s="57" t="e">
        <f t="shared" si="35"/>
        <v>#DIV/0!</v>
      </c>
      <c r="H101" s="57" t="e">
        <f t="shared" si="36"/>
        <v>#DIV/0!</v>
      </c>
      <c r="I101" s="57" t="e">
        <f t="shared" si="37"/>
        <v>#DIV/0!</v>
      </c>
      <c r="J101" s="57" t="e">
        <f t="shared" si="38"/>
        <v>#DIV/0!</v>
      </c>
      <c r="K101" s="57" t="e">
        <f t="shared" si="39"/>
        <v>#DIV/0!</v>
      </c>
      <c r="L101" s="57" t="e">
        <f t="shared" si="40"/>
        <v>#DIV/0!</v>
      </c>
      <c r="M101" s="57" t="e">
        <f t="shared" si="41"/>
        <v>#DIV/0!</v>
      </c>
      <c r="N101" s="57" t="e">
        <f t="shared" si="42"/>
        <v>#DIV/0!</v>
      </c>
      <c r="O101" s="58" t="e">
        <f>Links!B101</f>
        <v>#DIV/0!</v>
      </c>
      <c r="P101" s="58" t="e">
        <f>Links!C101+'On-Ramps'!AC101</f>
        <v>#DIV/0!</v>
      </c>
      <c r="Q101" s="58" t="e">
        <f>Links!D101</f>
        <v>#DIV/0!</v>
      </c>
      <c r="R101" s="58" t="e">
        <f>Links!E101+'On-Ramps'!AD101</f>
        <v>#DIV/0!</v>
      </c>
      <c r="S101" s="58" t="e">
        <f>Links!F101+'On-Ramps'!AE101</f>
        <v>#DIV/0!</v>
      </c>
      <c r="T101" s="58" t="e">
        <f>Links!I101+'On-Ramps'!AF101</f>
        <v>#DIV/0!</v>
      </c>
      <c r="U101" s="58" t="e">
        <f>Links!J101+'On-Ramps'!AG101</f>
        <v>#DIV/0!</v>
      </c>
      <c r="V101" s="58" t="e">
        <f>Links!L101+'On-Ramps'!AH101</f>
        <v>#DIV/0!</v>
      </c>
      <c r="W101" s="58" t="e">
        <f>Links!M101+'On-Ramps'!AI101</f>
        <v>#DIV/0!</v>
      </c>
      <c r="X101" s="58" t="e">
        <f>Links!P101+'On-Ramps'!AJ101</f>
        <v>#DIV/0!</v>
      </c>
      <c r="Y101" s="58" t="e">
        <f>Links!Q101</f>
        <v>#DIV/0!</v>
      </c>
      <c r="Z101" s="58" t="e">
        <f>Links!R101+'On-Ramps'!AK101</f>
        <v>#DIV/0!</v>
      </c>
      <c r="AA101" s="58" t="e">
        <f>Links!S101</f>
        <v>#DIV/0!</v>
      </c>
      <c r="AB101" s="57" t="e">
        <f t="shared" si="43"/>
        <v>#VALUE!</v>
      </c>
      <c r="AC101" s="63"/>
      <c r="AD101" s="57" t="e">
        <f t="shared" si="44"/>
        <v>#DIV/0!</v>
      </c>
      <c r="AE101" s="63"/>
      <c r="AF101" s="57" t="e">
        <f t="shared" si="45"/>
        <v>#DIV/0!</v>
      </c>
      <c r="AG101" s="57" t="e">
        <f t="shared" si="46"/>
        <v>#DIV/0!</v>
      </c>
      <c r="AH101" s="57" t="e">
        <f t="shared" si="47"/>
        <v>#DIV/0!</v>
      </c>
      <c r="AI101" s="57" t="e">
        <f t="shared" si="48"/>
        <v>#DIV/0!</v>
      </c>
      <c r="AJ101" s="57" t="e">
        <f t="shared" si="49"/>
        <v>#DIV/0!</v>
      </c>
      <c r="AK101" s="57" t="e">
        <f t="shared" si="50"/>
        <v>#DIV/0!</v>
      </c>
      <c r="AL101" s="57" t="e">
        <f t="shared" si="51"/>
        <v>#DIV/0!</v>
      </c>
      <c r="AM101" s="63"/>
      <c r="AN101" s="57" t="e">
        <f t="shared" si="53"/>
        <v>#DIV/0!</v>
      </c>
      <c r="AO101" s="58" t="e">
        <f t="shared" si="29"/>
        <v>#VALUE!</v>
      </c>
      <c r="AP101" s="63"/>
      <c r="AQ101" s="58" t="e">
        <f t="shared" si="54"/>
        <v>#DIV/0!</v>
      </c>
      <c r="AR101" s="63"/>
      <c r="AS101" s="58" t="e">
        <f t="shared" si="54"/>
        <v>#DIV/0!</v>
      </c>
      <c r="AT101" s="58" t="e">
        <f t="shared" si="54"/>
        <v>#DIV/0!</v>
      </c>
      <c r="AU101" s="58" t="e">
        <f t="shared" si="54"/>
        <v>#DIV/0!</v>
      </c>
      <c r="AV101" s="58" t="e">
        <f t="shared" si="54"/>
        <v>#DIV/0!</v>
      </c>
      <c r="AW101" s="58" t="e">
        <f t="shared" si="54"/>
        <v>#DIV/0!</v>
      </c>
      <c r="AX101" s="58" t="e">
        <f t="shared" si="54"/>
        <v>#DIV/0!</v>
      </c>
      <c r="AY101" s="58" t="e">
        <f t="shared" si="54"/>
        <v>#DIV/0!</v>
      </c>
      <c r="AZ101" s="63"/>
      <c r="BA101" s="58" t="e">
        <f t="shared" si="54"/>
        <v>#DIV/0!</v>
      </c>
      <c r="BB101" s="63"/>
      <c r="BC101" s="57" t="e">
        <f>(Links!C101*Links!AQ101+'On-Ramps'!AC101*'On-Ramps'!CE101)/('On-Ramps'!AC101+Links!C101)</f>
        <v>#DIV/0!</v>
      </c>
      <c r="BD101" s="63"/>
      <c r="BE101" s="57" t="e">
        <f>(Links!E101*Links!AS101+'On-Ramps'!AD101*'On-Ramps'!CF100)/('On-Ramps'!AD101+Links!E101)</f>
        <v>#DIV/0!</v>
      </c>
      <c r="BF101" s="57" t="e">
        <f>(Links!F101*Links!AT101+'On-Ramps'!AE101*'On-Ramps'!CG101)/('On-Ramps'!AE101+Links!F101)</f>
        <v>#DIV/0!</v>
      </c>
      <c r="BG101" s="57" t="e">
        <f>(Links!I101*Links!AW101+'On-Ramps'!AF101*'On-Ramps'!CH101)/('On-Ramps'!AF101+Links!I101)</f>
        <v>#DIV/0!</v>
      </c>
      <c r="BH101" s="57" t="e">
        <f>(#REF!*#REF!+'On-Ramps'!AG101*'On-Ramps'!CI101)/('On-Ramps'!AG101+#REF!)</f>
        <v>#REF!</v>
      </c>
      <c r="BI101" s="57" t="e">
        <f>(Links!L101*Links!AZ101+'On-Ramps'!AH101*'On-Ramps'!CJ101)/('On-Ramps'!AH101+Links!L101)</f>
        <v>#DIV/0!</v>
      </c>
      <c r="BJ101" s="57" t="e">
        <f>(Links!BA101*Links!M101+'On-Ramps'!AI101*'On-Ramps'!CK101)/('On-Ramps'!AI101+Links!M101)</f>
        <v>#DIV/0!</v>
      </c>
      <c r="BK101" s="57" t="e">
        <f>(Links!S101*Links!BG101+'On-Ramps'!AJ101*'On-Ramps'!CL101)/('On-Ramps'!AJ101+Links!S101)</f>
        <v>#DIV/0!</v>
      </c>
      <c r="BL101" s="63"/>
      <c r="BM101" s="57" t="e">
        <f>(Links!S101*Links!BG101+'On-Ramps'!AL101*'On-Ramps'!CM101)/(Links!S101+'On-Ramps'!AL101)</f>
        <v>#DIV/0!</v>
      </c>
      <c r="BN101" s="63"/>
      <c r="BO101" s="58" t="e">
        <f>(Links!W101^2+'Off-Ramp'!L101^2)/(Links!W101+'Off-Ramp'!L101)</f>
        <v>#DIV/0!</v>
      </c>
      <c r="BP101" s="63"/>
      <c r="BQ101" s="58" t="e">
        <f>(Links!Y101^2+'Off-Ramp'!C101^2)/(Links!Y101+'Off-Ramp'!C101)</f>
        <v>#DIV/0!</v>
      </c>
      <c r="BR101" s="63"/>
      <c r="BS101" s="58" t="e">
        <f>(Links!AA101^2+'Off-Ramp'!N101^2)/(Links!AA101+'Off-Ramp'!N101)</f>
        <v>#DIV/0!</v>
      </c>
      <c r="BT101" s="58" t="e">
        <f>(Links!AD101^2+'Off-Ramp'!O101^2)/(Links!AD101+'Off-Ramp'!O101)</f>
        <v>#DIV/0!</v>
      </c>
      <c r="BU101" s="58" t="e">
        <f>(Links!AE101^2+'Off-Ramp'!V101^2+'Off-Ramp'!W101^2+'Off-Ramp'!X101^2)/(Links!AE101+'Off-Ramp'!V101+'Off-Ramp'!W101+'Off-Ramp'!X101)</f>
        <v>#DIV/0!</v>
      </c>
      <c r="BV101" s="58" t="e">
        <f>(Links!AG101^2+'Off-Ramp'!Y101^2+'Off-Ramp'!Z101^2+'Off-Ramp'!AA101^2)/(Links!AG101+'Off-Ramp'!Y101+'Off-Ramp'!Z101+'Off-Ramp'!AA101)</f>
        <v>#DIV/0!</v>
      </c>
      <c r="BW101" s="58" t="e">
        <f>(Links!AH101^2+'Off-Ramp'!R101^2)/(Links!AH101+'Off-Ramp'!R101)</f>
        <v>#DIV/0!</v>
      </c>
      <c r="BX101" s="58" t="e">
        <f>(Links!AK101^2+'Off-Ramp'!S101^2)/(Links!AK101+'Off-Ramp'!S101)</f>
        <v>#DIV/0!</v>
      </c>
      <c r="BY101" s="58" t="e">
        <f>(Links!AL101^2+'Off-Ramp'!T101^2)/(Links!AL101+'Off-Ramp'!T101)</f>
        <v>#DIV/0!</v>
      </c>
      <c r="BZ101" s="63"/>
      <c r="CA101" s="58" t="e">
        <f>(Links!AN101^2+'Off-Ramp'!U101^2)/(Links!AN101+'Off-Ramp'!U101)</f>
        <v>#DIV/0!</v>
      </c>
    </row>
    <row r="102" spans="1:79" x14ac:dyDescent="0.15">
      <c r="A102" s="56">
        <v>100</v>
      </c>
      <c r="B102" s="57" t="e">
        <f t="shared" si="30"/>
        <v>#DIV/0!</v>
      </c>
      <c r="C102" s="57" t="e">
        <f t="shared" si="31"/>
        <v>#DIV/0!</v>
      </c>
      <c r="D102" s="57" t="e">
        <f t="shared" si="32"/>
        <v>#DIV/0!</v>
      </c>
      <c r="E102" s="57" t="e">
        <f t="shared" si="33"/>
        <v>#DIV/0!</v>
      </c>
      <c r="F102" s="57" t="e">
        <f t="shared" si="34"/>
        <v>#DIV/0!</v>
      </c>
      <c r="G102" s="57" t="e">
        <f t="shared" si="35"/>
        <v>#DIV/0!</v>
      </c>
      <c r="H102" s="57" t="e">
        <f t="shared" si="36"/>
        <v>#DIV/0!</v>
      </c>
      <c r="I102" s="57" t="e">
        <f t="shared" si="37"/>
        <v>#DIV/0!</v>
      </c>
      <c r="J102" s="57" t="e">
        <f t="shared" si="38"/>
        <v>#DIV/0!</v>
      </c>
      <c r="K102" s="57" t="e">
        <f t="shared" si="39"/>
        <v>#DIV/0!</v>
      </c>
      <c r="L102" s="57" t="e">
        <f t="shared" si="40"/>
        <v>#DIV/0!</v>
      </c>
      <c r="M102" s="57" t="e">
        <f t="shared" si="41"/>
        <v>#DIV/0!</v>
      </c>
      <c r="N102" s="57" t="e">
        <f t="shared" si="42"/>
        <v>#DIV/0!</v>
      </c>
      <c r="O102" s="58" t="e">
        <f>Links!B102</f>
        <v>#DIV/0!</v>
      </c>
      <c r="P102" s="58" t="e">
        <f>Links!C102+'On-Ramps'!AC102</f>
        <v>#DIV/0!</v>
      </c>
      <c r="Q102" s="58" t="e">
        <f>Links!D102</f>
        <v>#DIV/0!</v>
      </c>
      <c r="R102" s="58" t="e">
        <f>Links!E102+'On-Ramps'!AD102</f>
        <v>#DIV/0!</v>
      </c>
      <c r="S102" s="58" t="e">
        <f>Links!F102+'On-Ramps'!AE102</f>
        <v>#DIV/0!</v>
      </c>
      <c r="T102" s="58" t="e">
        <f>Links!I102+'On-Ramps'!AF102</f>
        <v>#DIV/0!</v>
      </c>
      <c r="U102" s="58" t="e">
        <f>Links!J102+'On-Ramps'!AG102</f>
        <v>#DIV/0!</v>
      </c>
      <c r="V102" s="58" t="e">
        <f>Links!L102+'On-Ramps'!AH102</f>
        <v>#DIV/0!</v>
      </c>
      <c r="W102" s="58" t="e">
        <f>Links!M102+'On-Ramps'!AI102</f>
        <v>#DIV/0!</v>
      </c>
      <c r="X102" s="58" t="e">
        <f>Links!P102+'On-Ramps'!AJ102</f>
        <v>#DIV/0!</v>
      </c>
      <c r="Y102" s="58" t="e">
        <f>Links!Q102</f>
        <v>#DIV/0!</v>
      </c>
      <c r="Z102" s="58" t="e">
        <f>Links!R102+'On-Ramps'!AK102</f>
        <v>#DIV/0!</v>
      </c>
      <c r="AA102" s="58" t="e">
        <f>Links!S102</f>
        <v>#DIV/0!</v>
      </c>
      <c r="AB102" s="57" t="e">
        <f t="shared" si="43"/>
        <v>#VALUE!</v>
      </c>
      <c r="AC102" s="63"/>
      <c r="AD102" s="57" t="e">
        <f t="shared" si="44"/>
        <v>#DIV/0!</v>
      </c>
      <c r="AE102" s="63"/>
      <c r="AF102" s="57" t="e">
        <f t="shared" si="45"/>
        <v>#DIV/0!</v>
      </c>
      <c r="AG102" s="57" t="e">
        <f t="shared" si="46"/>
        <v>#DIV/0!</v>
      </c>
      <c r="AH102" s="57" t="e">
        <f t="shared" si="47"/>
        <v>#DIV/0!</v>
      </c>
      <c r="AI102" s="57" t="e">
        <f t="shared" si="48"/>
        <v>#DIV/0!</v>
      </c>
      <c r="AJ102" s="57" t="e">
        <f t="shared" si="49"/>
        <v>#DIV/0!</v>
      </c>
      <c r="AK102" s="57" t="e">
        <f t="shared" si="50"/>
        <v>#DIV/0!</v>
      </c>
      <c r="AL102" s="57" t="e">
        <f t="shared" si="51"/>
        <v>#DIV/0!</v>
      </c>
      <c r="AM102" s="63"/>
      <c r="AN102" s="57" t="e">
        <f t="shared" si="53"/>
        <v>#DIV/0!</v>
      </c>
      <c r="AO102" s="58" t="e">
        <f t="shared" si="29"/>
        <v>#VALUE!</v>
      </c>
      <c r="AP102" s="63"/>
      <c r="AQ102" s="58" t="e">
        <f t="shared" si="54"/>
        <v>#DIV/0!</v>
      </c>
      <c r="AR102" s="63"/>
      <c r="AS102" s="58" t="e">
        <f t="shared" si="54"/>
        <v>#DIV/0!</v>
      </c>
      <c r="AT102" s="58" t="e">
        <f t="shared" si="54"/>
        <v>#DIV/0!</v>
      </c>
      <c r="AU102" s="58" t="e">
        <f t="shared" si="54"/>
        <v>#DIV/0!</v>
      </c>
      <c r="AV102" s="58" t="e">
        <f t="shared" si="54"/>
        <v>#DIV/0!</v>
      </c>
      <c r="AW102" s="58" t="e">
        <f t="shared" si="54"/>
        <v>#DIV/0!</v>
      </c>
      <c r="AX102" s="58" t="e">
        <f t="shared" si="54"/>
        <v>#DIV/0!</v>
      </c>
      <c r="AY102" s="58" t="e">
        <f t="shared" si="54"/>
        <v>#DIV/0!</v>
      </c>
      <c r="AZ102" s="63"/>
      <c r="BA102" s="58" t="e">
        <f t="shared" si="54"/>
        <v>#DIV/0!</v>
      </c>
      <c r="BB102" s="63"/>
      <c r="BC102" s="57" t="e">
        <f>(Links!C102*Links!AQ102+'On-Ramps'!AC102*'On-Ramps'!CE102)/('On-Ramps'!AC102+Links!C102)</f>
        <v>#DIV/0!</v>
      </c>
      <c r="BD102" s="63"/>
      <c r="BE102" s="57" t="e">
        <f>(Links!E102*Links!AS102+'On-Ramps'!AD102*'On-Ramps'!CF101)/('On-Ramps'!AD102+Links!E102)</f>
        <v>#DIV/0!</v>
      </c>
      <c r="BF102" s="57" t="e">
        <f>(Links!F102*Links!AT102+'On-Ramps'!AE102*'On-Ramps'!CG102)/('On-Ramps'!AE102+Links!F102)</f>
        <v>#DIV/0!</v>
      </c>
      <c r="BG102" s="57" t="e">
        <f>(Links!I102*Links!AW102+'On-Ramps'!AF102*'On-Ramps'!CH102)/('On-Ramps'!AF102+Links!I102)</f>
        <v>#DIV/0!</v>
      </c>
      <c r="BH102" s="57" t="e">
        <f>(#REF!*#REF!+'On-Ramps'!AG102*'On-Ramps'!CI102)/('On-Ramps'!AG102+#REF!)</f>
        <v>#REF!</v>
      </c>
      <c r="BI102" s="57" t="e">
        <f>(Links!L102*Links!AZ102+'On-Ramps'!AH102*'On-Ramps'!CJ102)/('On-Ramps'!AH102+Links!L102)</f>
        <v>#DIV/0!</v>
      </c>
      <c r="BJ102" s="57" t="e">
        <f>(Links!BA102*Links!M102+'On-Ramps'!AI102*'On-Ramps'!CK102)/('On-Ramps'!AI102+Links!M102)</f>
        <v>#DIV/0!</v>
      </c>
      <c r="BK102" s="57" t="e">
        <f>(Links!S102*Links!BG102+'On-Ramps'!AJ102*'On-Ramps'!CL102)/('On-Ramps'!AJ102+Links!S102)</f>
        <v>#DIV/0!</v>
      </c>
      <c r="BL102" s="63"/>
      <c r="BM102" s="57" t="e">
        <f>(Links!S102*Links!BG102+'On-Ramps'!AL102*'On-Ramps'!CM102)/(Links!S102+'On-Ramps'!AL102)</f>
        <v>#DIV/0!</v>
      </c>
      <c r="BN102" s="63"/>
      <c r="BO102" s="58" t="e">
        <f>(Links!W102^2+'Off-Ramp'!L102^2)/(Links!W102+'Off-Ramp'!L102)</f>
        <v>#DIV/0!</v>
      </c>
      <c r="BP102" s="63"/>
      <c r="BQ102" s="58" t="e">
        <f>(Links!Y102^2+'Off-Ramp'!C102^2)/(Links!Y102+'Off-Ramp'!C102)</f>
        <v>#DIV/0!</v>
      </c>
      <c r="BR102" s="63"/>
      <c r="BS102" s="58" t="e">
        <f>(Links!AA102^2+'Off-Ramp'!N102^2)/(Links!AA102+'Off-Ramp'!N102)</f>
        <v>#DIV/0!</v>
      </c>
      <c r="BT102" s="58" t="e">
        <f>(Links!AD102^2+'Off-Ramp'!O102^2)/(Links!AD102+'Off-Ramp'!O102)</f>
        <v>#DIV/0!</v>
      </c>
      <c r="BU102" s="58" t="e">
        <f>(Links!AE102^2+'Off-Ramp'!V102^2+'Off-Ramp'!W102^2+'Off-Ramp'!X102^2)/(Links!AE102+'Off-Ramp'!V102+'Off-Ramp'!W102+'Off-Ramp'!X102)</f>
        <v>#DIV/0!</v>
      </c>
      <c r="BV102" s="58" t="e">
        <f>(Links!AG102^2+'Off-Ramp'!Y102^2+'Off-Ramp'!Z102^2+'Off-Ramp'!AA102^2)/(Links!AG102+'Off-Ramp'!Y102+'Off-Ramp'!Z102+'Off-Ramp'!AA102)</f>
        <v>#DIV/0!</v>
      </c>
      <c r="BW102" s="58" t="e">
        <f>(Links!AH102^2+'Off-Ramp'!R102^2)/(Links!AH102+'Off-Ramp'!R102)</f>
        <v>#DIV/0!</v>
      </c>
      <c r="BX102" s="58" t="e">
        <f>(Links!AK102^2+'Off-Ramp'!S102^2)/(Links!AK102+'Off-Ramp'!S102)</f>
        <v>#DIV/0!</v>
      </c>
      <c r="BY102" s="58" t="e">
        <f>(Links!AL102^2+'Off-Ramp'!T102^2)/(Links!AL102+'Off-Ramp'!T102)</f>
        <v>#DIV/0!</v>
      </c>
      <c r="BZ102" s="63"/>
      <c r="CA102" s="58" t="e">
        <f>(Links!AN102^2+'Off-Ramp'!U102^2)/(Links!AN102+'Off-Ramp'!U102)</f>
        <v>#DIV/0!</v>
      </c>
    </row>
    <row r="103" spans="1:79" x14ac:dyDescent="0.15">
      <c r="A103" s="56">
        <v>101</v>
      </c>
      <c r="B103" s="57" t="e">
        <f t="shared" si="30"/>
        <v>#DIV/0!</v>
      </c>
      <c r="C103" s="57" t="e">
        <f t="shared" si="31"/>
        <v>#DIV/0!</v>
      </c>
      <c r="D103" s="57" t="e">
        <f t="shared" si="32"/>
        <v>#DIV/0!</v>
      </c>
      <c r="E103" s="57" t="e">
        <f t="shared" si="33"/>
        <v>#DIV/0!</v>
      </c>
      <c r="F103" s="57" t="e">
        <f t="shared" si="34"/>
        <v>#DIV/0!</v>
      </c>
      <c r="G103" s="57" t="e">
        <f t="shared" si="35"/>
        <v>#DIV/0!</v>
      </c>
      <c r="H103" s="57" t="e">
        <f t="shared" si="36"/>
        <v>#DIV/0!</v>
      </c>
      <c r="I103" s="57" t="e">
        <f t="shared" si="37"/>
        <v>#DIV/0!</v>
      </c>
      <c r="J103" s="57" t="e">
        <f t="shared" si="38"/>
        <v>#DIV/0!</v>
      </c>
      <c r="K103" s="57" t="e">
        <f t="shared" si="39"/>
        <v>#DIV/0!</v>
      </c>
      <c r="L103" s="57" t="e">
        <f t="shared" si="40"/>
        <v>#DIV/0!</v>
      </c>
      <c r="M103" s="57" t="e">
        <f t="shared" si="41"/>
        <v>#DIV/0!</v>
      </c>
      <c r="N103" s="57" t="e">
        <f t="shared" si="42"/>
        <v>#DIV/0!</v>
      </c>
      <c r="O103" s="58" t="e">
        <f>Links!B103</f>
        <v>#DIV/0!</v>
      </c>
      <c r="P103" s="58" t="e">
        <f>Links!C103+'On-Ramps'!AC103</f>
        <v>#DIV/0!</v>
      </c>
      <c r="Q103" s="58" t="e">
        <f>Links!D103</f>
        <v>#DIV/0!</v>
      </c>
      <c r="R103" s="58" t="e">
        <f>Links!E103+'On-Ramps'!AD103</f>
        <v>#DIV/0!</v>
      </c>
      <c r="S103" s="58" t="e">
        <f>Links!F103+'On-Ramps'!AE103</f>
        <v>#DIV/0!</v>
      </c>
      <c r="T103" s="58" t="e">
        <f>Links!I103+'On-Ramps'!AF103</f>
        <v>#DIV/0!</v>
      </c>
      <c r="U103" s="58" t="e">
        <f>Links!J103+'On-Ramps'!AG103</f>
        <v>#DIV/0!</v>
      </c>
      <c r="V103" s="58" t="e">
        <f>Links!L103+'On-Ramps'!AH103</f>
        <v>#DIV/0!</v>
      </c>
      <c r="W103" s="58" t="e">
        <f>Links!M103+'On-Ramps'!AI103</f>
        <v>#DIV/0!</v>
      </c>
      <c r="X103" s="58" t="e">
        <f>Links!P103+'On-Ramps'!AJ103</f>
        <v>#DIV/0!</v>
      </c>
      <c r="Y103" s="58" t="e">
        <f>Links!Q103</f>
        <v>#DIV/0!</v>
      </c>
      <c r="Z103" s="58" t="e">
        <f>Links!R103+'On-Ramps'!AK103</f>
        <v>#DIV/0!</v>
      </c>
      <c r="AA103" s="58" t="e">
        <f>Links!S103</f>
        <v>#DIV/0!</v>
      </c>
      <c r="AB103" s="57" t="e">
        <f t="shared" si="43"/>
        <v>#VALUE!</v>
      </c>
      <c r="AC103" s="63"/>
      <c r="AD103" s="57" t="e">
        <f t="shared" si="44"/>
        <v>#DIV/0!</v>
      </c>
      <c r="AE103" s="63"/>
      <c r="AF103" s="57" t="e">
        <f t="shared" si="45"/>
        <v>#DIV/0!</v>
      </c>
      <c r="AG103" s="57" t="e">
        <f t="shared" si="46"/>
        <v>#DIV/0!</v>
      </c>
      <c r="AH103" s="57" t="e">
        <f t="shared" si="47"/>
        <v>#DIV/0!</v>
      </c>
      <c r="AI103" s="57" t="e">
        <f t="shared" si="48"/>
        <v>#DIV/0!</v>
      </c>
      <c r="AJ103" s="57" t="e">
        <f t="shared" si="49"/>
        <v>#DIV/0!</v>
      </c>
      <c r="AK103" s="57" t="e">
        <f t="shared" si="50"/>
        <v>#DIV/0!</v>
      </c>
      <c r="AL103" s="57" t="e">
        <f t="shared" si="51"/>
        <v>#DIV/0!</v>
      </c>
      <c r="AM103" s="63"/>
      <c r="AN103" s="57" t="e">
        <f t="shared" si="53"/>
        <v>#DIV/0!</v>
      </c>
      <c r="AO103" s="58" t="e">
        <f t="shared" si="29"/>
        <v>#VALUE!</v>
      </c>
      <c r="AP103" s="63"/>
      <c r="AQ103" s="58" t="e">
        <f t="shared" si="54"/>
        <v>#DIV/0!</v>
      </c>
      <c r="AR103" s="63"/>
      <c r="AS103" s="58" t="e">
        <f t="shared" si="54"/>
        <v>#DIV/0!</v>
      </c>
      <c r="AT103" s="58" t="e">
        <f t="shared" si="54"/>
        <v>#DIV/0!</v>
      </c>
      <c r="AU103" s="58" t="e">
        <f t="shared" si="54"/>
        <v>#DIV/0!</v>
      </c>
      <c r="AV103" s="58" t="e">
        <f t="shared" si="54"/>
        <v>#DIV/0!</v>
      </c>
      <c r="AW103" s="58" t="e">
        <f t="shared" si="54"/>
        <v>#DIV/0!</v>
      </c>
      <c r="AX103" s="58" t="e">
        <f t="shared" si="54"/>
        <v>#DIV/0!</v>
      </c>
      <c r="AY103" s="58" t="e">
        <f t="shared" si="54"/>
        <v>#DIV/0!</v>
      </c>
      <c r="AZ103" s="63"/>
      <c r="BA103" s="58" t="e">
        <f t="shared" si="54"/>
        <v>#DIV/0!</v>
      </c>
      <c r="BB103" s="63"/>
      <c r="BC103" s="57" t="e">
        <f>(Links!C103*Links!AQ103+'On-Ramps'!AC103*'On-Ramps'!CE103)/('On-Ramps'!AC103+Links!C103)</f>
        <v>#DIV/0!</v>
      </c>
      <c r="BD103" s="63"/>
      <c r="BE103" s="57" t="e">
        <f>(Links!E103*Links!AS103+'On-Ramps'!AD103*'On-Ramps'!CF102)/('On-Ramps'!AD103+Links!E103)</f>
        <v>#DIV/0!</v>
      </c>
      <c r="BF103" s="57" t="e">
        <f>(Links!F103*Links!AT103+'On-Ramps'!AE103*'On-Ramps'!CG103)/('On-Ramps'!AE103+Links!F103)</f>
        <v>#DIV/0!</v>
      </c>
      <c r="BG103" s="57" t="e">
        <f>(Links!I103*Links!AW103+'On-Ramps'!AF103*'On-Ramps'!CH103)/('On-Ramps'!AF103+Links!I103)</f>
        <v>#DIV/0!</v>
      </c>
      <c r="BH103" s="57" t="e">
        <f>(#REF!*#REF!+'On-Ramps'!AG103*'On-Ramps'!CI103)/('On-Ramps'!AG103+#REF!)</f>
        <v>#REF!</v>
      </c>
      <c r="BI103" s="57" t="e">
        <f>(Links!L103*Links!AZ103+'On-Ramps'!AH103*'On-Ramps'!CJ103)/('On-Ramps'!AH103+Links!L103)</f>
        <v>#DIV/0!</v>
      </c>
      <c r="BJ103" s="57" t="e">
        <f>(Links!BA103*Links!M103+'On-Ramps'!AI103*'On-Ramps'!CK103)/('On-Ramps'!AI103+Links!M103)</f>
        <v>#DIV/0!</v>
      </c>
      <c r="BK103" s="57" t="e">
        <f>(Links!S103*Links!BG103+'On-Ramps'!AJ103*'On-Ramps'!CL103)/('On-Ramps'!AJ103+Links!S103)</f>
        <v>#DIV/0!</v>
      </c>
      <c r="BL103" s="63"/>
      <c r="BM103" s="57" t="e">
        <f>(Links!S103*Links!BG103+'On-Ramps'!AL103*'On-Ramps'!CM103)/(Links!S103+'On-Ramps'!AL103)</f>
        <v>#DIV/0!</v>
      </c>
      <c r="BN103" s="63"/>
      <c r="BO103" s="58" t="e">
        <f>(Links!W103^2+'Off-Ramp'!L103^2)/(Links!W103+'Off-Ramp'!L103)</f>
        <v>#DIV/0!</v>
      </c>
      <c r="BP103" s="63"/>
      <c r="BQ103" s="58" t="e">
        <f>(Links!Y103^2+'Off-Ramp'!C103^2)/(Links!Y103+'Off-Ramp'!C103)</f>
        <v>#DIV/0!</v>
      </c>
      <c r="BR103" s="63"/>
      <c r="BS103" s="58" t="e">
        <f>(Links!AA103^2+'Off-Ramp'!N103^2)/(Links!AA103+'Off-Ramp'!N103)</f>
        <v>#DIV/0!</v>
      </c>
      <c r="BT103" s="58" t="e">
        <f>(Links!AD103^2+'Off-Ramp'!O103^2)/(Links!AD103+'Off-Ramp'!O103)</f>
        <v>#DIV/0!</v>
      </c>
      <c r="BU103" s="58" t="e">
        <f>(Links!AE103^2+'Off-Ramp'!V103^2+'Off-Ramp'!W103^2+'Off-Ramp'!X103^2)/(Links!AE103+'Off-Ramp'!V103+'Off-Ramp'!W103+'Off-Ramp'!X103)</f>
        <v>#DIV/0!</v>
      </c>
      <c r="BV103" s="58" t="e">
        <f>(Links!AG103^2+'Off-Ramp'!Y103^2+'Off-Ramp'!Z103^2+'Off-Ramp'!AA103^2)/(Links!AG103+'Off-Ramp'!Y103+'Off-Ramp'!Z103+'Off-Ramp'!AA103)</f>
        <v>#DIV/0!</v>
      </c>
      <c r="BW103" s="58" t="e">
        <f>(Links!AH103^2+'Off-Ramp'!R103^2)/(Links!AH103+'Off-Ramp'!R103)</f>
        <v>#DIV/0!</v>
      </c>
      <c r="BX103" s="58" t="e">
        <f>(Links!AK103^2+'Off-Ramp'!S103^2)/(Links!AK103+'Off-Ramp'!S103)</f>
        <v>#DIV/0!</v>
      </c>
      <c r="BY103" s="58" t="e">
        <f>(Links!AL103^2+'Off-Ramp'!T103^2)/(Links!AL103+'Off-Ramp'!T103)</f>
        <v>#DIV/0!</v>
      </c>
      <c r="BZ103" s="63"/>
      <c r="CA103" s="58" t="e">
        <f>(Links!AN103^2+'Off-Ramp'!U103^2)/(Links!AN103+'Off-Ramp'!U103)</f>
        <v>#DIV/0!</v>
      </c>
    </row>
    <row r="104" spans="1:79" x14ac:dyDescent="0.15">
      <c r="A104" s="56">
        <v>102</v>
      </c>
      <c r="B104" s="57" t="e">
        <f t="shared" si="30"/>
        <v>#DIV/0!</v>
      </c>
      <c r="C104" s="57" t="e">
        <f t="shared" si="31"/>
        <v>#DIV/0!</v>
      </c>
      <c r="D104" s="57" t="e">
        <f t="shared" si="32"/>
        <v>#DIV/0!</v>
      </c>
      <c r="E104" s="57" t="e">
        <f t="shared" si="33"/>
        <v>#DIV/0!</v>
      </c>
      <c r="F104" s="57" t="e">
        <f t="shared" si="34"/>
        <v>#DIV/0!</v>
      </c>
      <c r="G104" s="57" t="e">
        <f t="shared" si="35"/>
        <v>#DIV/0!</v>
      </c>
      <c r="H104" s="57" t="e">
        <f t="shared" si="36"/>
        <v>#DIV/0!</v>
      </c>
      <c r="I104" s="57" t="e">
        <f t="shared" si="37"/>
        <v>#DIV/0!</v>
      </c>
      <c r="J104" s="57" t="e">
        <f t="shared" si="38"/>
        <v>#DIV/0!</v>
      </c>
      <c r="K104" s="57" t="e">
        <f t="shared" si="39"/>
        <v>#DIV/0!</v>
      </c>
      <c r="L104" s="57" t="e">
        <f t="shared" si="40"/>
        <v>#DIV/0!</v>
      </c>
      <c r="M104" s="57" t="e">
        <f t="shared" si="41"/>
        <v>#DIV/0!</v>
      </c>
      <c r="N104" s="57" t="e">
        <f t="shared" si="42"/>
        <v>#DIV/0!</v>
      </c>
      <c r="O104" s="58" t="e">
        <f>Links!B104</f>
        <v>#DIV/0!</v>
      </c>
      <c r="P104" s="58" t="e">
        <f>Links!C104+'On-Ramps'!AC104</f>
        <v>#DIV/0!</v>
      </c>
      <c r="Q104" s="58" t="e">
        <f>Links!D104</f>
        <v>#DIV/0!</v>
      </c>
      <c r="R104" s="58" t="e">
        <f>Links!E104+'On-Ramps'!AD104</f>
        <v>#DIV/0!</v>
      </c>
      <c r="S104" s="58" t="e">
        <f>Links!F104+'On-Ramps'!AE104</f>
        <v>#DIV/0!</v>
      </c>
      <c r="T104" s="58" t="e">
        <f>Links!I104+'On-Ramps'!AF104</f>
        <v>#DIV/0!</v>
      </c>
      <c r="U104" s="58" t="e">
        <f>Links!J104+'On-Ramps'!AG104</f>
        <v>#DIV/0!</v>
      </c>
      <c r="V104" s="58" t="e">
        <f>Links!L104+'On-Ramps'!AH104</f>
        <v>#DIV/0!</v>
      </c>
      <c r="W104" s="58" t="e">
        <f>Links!M104+'On-Ramps'!AI104</f>
        <v>#DIV/0!</v>
      </c>
      <c r="X104" s="58" t="e">
        <f>Links!P104+'On-Ramps'!AJ104</f>
        <v>#DIV/0!</v>
      </c>
      <c r="Y104" s="58" t="e">
        <f>Links!Q104</f>
        <v>#DIV/0!</v>
      </c>
      <c r="Z104" s="58" t="e">
        <f>Links!R104+'On-Ramps'!AK104</f>
        <v>#DIV/0!</v>
      </c>
      <c r="AA104" s="58" t="e">
        <f>Links!S104</f>
        <v>#DIV/0!</v>
      </c>
      <c r="AB104" s="57" t="e">
        <f t="shared" si="43"/>
        <v>#VALUE!</v>
      </c>
      <c r="AC104" s="63"/>
      <c r="AD104" s="57" t="e">
        <f t="shared" si="44"/>
        <v>#DIV/0!</v>
      </c>
      <c r="AE104" s="63"/>
      <c r="AF104" s="57" t="e">
        <f t="shared" si="45"/>
        <v>#DIV/0!</v>
      </c>
      <c r="AG104" s="57" t="e">
        <f t="shared" si="46"/>
        <v>#DIV/0!</v>
      </c>
      <c r="AH104" s="57" t="e">
        <f t="shared" si="47"/>
        <v>#DIV/0!</v>
      </c>
      <c r="AI104" s="57" t="e">
        <f t="shared" si="48"/>
        <v>#DIV/0!</v>
      </c>
      <c r="AJ104" s="57" t="e">
        <f t="shared" si="49"/>
        <v>#DIV/0!</v>
      </c>
      <c r="AK104" s="57" t="e">
        <f t="shared" si="50"/>
        <v>#DIV/0!</v>
      </c>
      <c r="AL104" s="57" t="e">
        <f t="shared" si="51"/>
        <v>#DIV/0!</v>
      </c>
      <c r="AM104" s="63"/>
      <c r="AN104" s="57" t="e">
        <f t="shared" si="53"/>
        <v>#DIV/0!</v>
      </c>
      <c r="AO104" s="58" t="e">
        <f t="shared" si="29"/>
        <v>#VALUE!</v>
      </c>
      <c r="AP104" s="63"/>
      <c r="AQ104" s="58" t="e">
        <f t="shared" si="54"/>
        <v>#DIV/0!</v>
      </c>
      <c r="AR104" s="63"/>
      <c r="AS104" s="58" t="e">
        <f t="shared" si="54"/>
        <v>#DIV/0!</v>
      </c>
      <c r="AT104" s="58" t="e">
        <f t="shared" si="54"/>
        <v>#DIV/0!</v>
      </c>
      <c r="AU104" s="58" t="e">
        <f t="shared" si="54"/>
        <v>#DIV/0!</v>
      </c>
      <c r="AV104" s="58" t="e">
        <f t="shared" si="54"/>
        <v>#DIV/0!</v>
      </c>
      <c r="AW104" s="58" t="e">
        <f t="shared" si="54"/>
        <v>#DIV/0!</v>
      </c>
      <c r="AX104" s="58" t="e">
        <f t="shared" si="54"/>
        <v>#DIV/0!</v>
      </c>
      <c r="AY104" s="58" t="e">
        <f t="shared" si="54"/>
        <v>#DIV/0!</v>
      </c>
      <c r="AZ104" s="63"/>
      <c r="BA104" s="58" t="e">
        <f t="shared" si="54"/>
        <v>#DIV/0!</v>
      </c>
      <c r="BB104" s="63"/>
      <c r="BC104" s="57" t="e">
        <f>(Links!C104*Links!AQ104+'On-Ramps'!AC104*'On-Ramps'!CE104)/('On-Ramps'!AC104+Links!C104)</f>
        <v>#DIV/0!</v>
      </c>
      <c r="BD104" s="63"/>
      <c r="BE104" s="57" t="e">
        <f>(Links!E104*Links!AS104+'On-Ramps'!AD104*'On-Ramps'!CF103)/('On-Ramps'!AD104+Links!E104)</f>
        <v>#DIV/0!</v>
      </c>
      <c r="BF104" s="57" t="e">
        <f>(Links!F104*Links!AT104+'On-Ramps'!AE104*'On-Ramps'!CG104)/('On-Ramps'!AE104+Links!F104)</f>
        <v>#DIV/0!</v>
      </c>
      <c r="BG104" s="57" t="e">
        <f>(Links!I104*Links!AW104+'On-Ramps'!AF104*'On-Ramps'!CH104)/('On-Ramps'!AF104+Links!I104)</f>
        <v>#DIV/0!</v>
      </c>
      <c r="BH104" s="57" t="e">
        <f>(#REF!*#REF!+'On-Ramps'!AG104*'On-Ramps'!CI104)/('On-Ramps'!AG104+#REF!)</f>
        <v>#REF!</v>
      </c>
      <c r="BI104" s="57" t="e">
        <f>(Links!L104*Links!AZ104+'On-Ramps'!AH104*'On-Ramps'!CJ104)/('On-Ramps'!AH104+Links!L104)</f>
        <v>#DIV/0!</v>
      </c>
      <c r="BJ104" s="57" t="e">
        <f>(Links!BA104*Links!M104+'On-Ramps'!AI104*'On-Ramps'!CK104)/('On-Ramps'!AI104+Links!M104)</f>
        <v>#DIV/0!</v>
      </c>
      <c r="BK104" s="57" t="e">
        <f>(Links!S104*Links!BG104+'On-Ramps'!AJ104*'On-Ramps'!CL104)/('On-Ramps'!AJ104+Links!S104)</f>
        <v>#DIV/0!</v>
      </c>
      <c r="BL104" s="63"/>
      <c r="BM104" s="57" t="e">
        <f>(Links!S104*Links!BG104+'On-Ramps'!AL104*'On-Ramps'!CM104)/(Links!S104+'On-Ramps'!AL104)</f>
        <v>#DIV/0!</v>
      </c>
      <c r="BN104" s="63"/>
      <c r="BO104" s="58" t="e">
        <f>(Links!W104^2+'Off-Ramp'!L104^2)/(Links!W104+'Off-Ramp'!L104)</f>
        <v>#DIV/0!</v>
      </c>
      <c r="BP104" s="63"/>
      <c r="BQ104" s="58" t="e">
        <f>(Links!Y104^2+'Off-Ramp'!C104^2)/(Links!Y104+'Off-Ramp'!C104)</f>
        <v>#DIV/0!</v>
      </c>
      <c r="BR104" s="63"/>
      <c r="BS104" s="58" t="e">
        <f>(Links!AA104^2+'Off-Ramp'!N104^2)/(Links!AA104+'Off-Ramp'!N104)</f>
        <v>#DIV/0!</v>
      </c>
      <c r="BT104" s="58" t="e">
        <f>(Links!AD104^2+'Off-Ramp'!O104^2)/(Links!AD104+'Off-Ramp'!O104)</f>
        <v>#DIV/0!</v>
      </c>
      <c r="BU104" s="58" t="e">
        <f>(Links!AE104^2+'Off-Ramp'!V104^2+'Off-Ramp'!W104^2+'Off-Ramp'!X104^2)/(Links!AE104+'Off-Ramp'!V104+'Off-Ramp'!W104+'Off-Ramp'!X104)</f>
        <v>#DIV/0!</v>
      </c>
      <c r="BV104" s="58" t="e">
        <f>(Links!AG104^2+'Off-Ramp'!Y104^2+'Off-Ramp'!Z104^2+'Off-Ramp'!AA104^2)/(Links!AG104+'Off-Ramp'!Y104+'Off-Ramp'!Z104+'Off-Ramp'!AA104)</f>
        <v>#DIV/0!</v>
      </c>
      <c r="BW104" s="58" t="e">
        <f>(Links!AH104^2+'Off-Ramp'!R104^2)/(Links!AH104+'Off-Ramp'!R104)</f>
        <v>#DIV/0!</v>
      </c>
      <c r="BX104" s="58" t="e">
        <f>(Links!AK104^2+'Off-Ramp'!S104^2)/(Links!AK104+'Off-Ramp'!S104)</f>
        <v>#DIV/0!</v>
      </c>
      <c r="BY104" s="58" t="e">
        <f>(Links!AL104^2+'Off-Ramp'!T104^2)/(Links!AL104+'Off-Ramp'!T104)</f>
        <v>#DIV/0!</v>
      </c>
      <c r="BZ104" s="63"/>
      <c r="CA104" s="58" t="e">
        <f>(Links!AN104^2+'Off-Ramp'!U104^2)/(Links!AN104+'Off-Ramp'!U104)</f>
        <v>#DIV/0!</v>
      </c>
    </row>
    <row r="105" spans="1:79" x14ac:dyDescent="0.15">
      <c r="A105" s="56">
        <v>103</v>
      </c>
      <c r="B105" s="57" t="e">
        <f t="shared" si="30"/>
        <v>#DIV/0!</v>
      </c>
      <c r="C105" s="57" t="e">
        <f t="shared" si="31"/>
        <v>#DIV/0!</v>
      </c>
      <c r="D105" s="57" t="e">
        <f t="shared" si="32"/>
        <v>#DIV/0!</v>
      </c>
      <c r="E105" s="57" t="e">
        <f t="shared" si="33"/>
        <v>#DIV/0!</v>
      </c>
      <c r="F105" s="57" t="e">
        <f t="shared" si="34"/>
        <v>#DIV/0!</v>
      </c>
      <c r="G105" s="57" t="e">
        <f t="shared" si="35"/>
        <v>#DIV/0!</v>
      </c>
      <c r="H105" s="57" t="e">
        <f t="shared" si="36"/>
        <v>#DIV/0!</v>
      </c>
      <c r="I105" s="57" t="e">
        <f t="shared" si="37"/>
        <v>#DIV/0!</v>
      </c>
      <c r="J105" s="57" t="e">
        <f t="shared" si="38"/>
        <v>#DIV/0!</v>
      </c>
      <c r="K105" s="57" t="e">
        <f t="shared" si="39"/>
        <v>#DIV/0!</v>
      </c>
      <c r="L105" s="57" t="e">
        <f t="shared" si="40"/>
        <v>#DIV/0!</v>
      </c>
      <c r="M105" s="57" t="e">
        <f t="shared" si="41"/>
        <v>#DIV/0!</v>
      </c>
      <c r="N105" s="57" t="e">
        <f t="shared" si="42"/>
        <v>#DIV/0!</v>
      </c>
      <c r="O105" s="58" t="e">
        <f>Links!B105</f>
        <v>#DIV/0!</v>
      </c>
      <c r="P105" s="58" t="e">
        <f>Links!C105+'On-Ramps'!AC105</f>
        <v>#DIV/0!</v>
      </c>
      <c r="Q105" s="58" t="e">
        <f>Links!D105</f>
        <v>#DIV/0!</v>
      </c>
      <c r="R105" s="58" t="e">
        <f>Links!E105+'On-Ramps'!AD105</f>
        <v>#DIV/0!</v>
      </c>
      <c r="S105" s="58" t="e">
        <f>Links!F105+'On-Ramps'!AE105</f>
        <v>#DIV/0!</v>
      </c>
      <c r="T105" s="58" t="e">
        <f>Links!I105+'On-Ramps'!AF105</f>
        <v>#DIV/0!</v>
      </c>
      <c r="U105" s="58" t="e">
        <f>Links!J105+'On-Ramps'!AG105</f>
        <v>#DIV/0!</v>
      </c>
      <c r="V105" s="58" t="e">
        <f>Links!L105+'On-Ramps'!AH105</f>
        <v>#DIV/0!</v>
      </c>
      <c r="W105" s="58" t="e">
        <f>Links!M105+'On-Ramps'!AI105</f>
        <v>#DIV/0!</v>
      </c>
      <c r="X105" s="58" t="e">
        <f>Links!P105+'On-Ramps'!AJ105</f>
        <v>#DIV/0!</v>
      </c>
      <c r="Y105" s="58" t="e">
        <f>Links!Q105</f>
        <v>#DIV/0!</v>
      </c>
      <c r="Z105" s="58" t="e">
        <f>Links!R105+'On-Ramps'!AK105</f>
        <v>#DIV/0!</v>
      </c>
      <c r="AA105" s="58" t="e">
        <f>Links!S105</f>
        <v>#DIV/0!</v>
      </c>
      <c r="AB105" s="57" t="e">
        <f t="shared" si="43"/>
        <v>#VALUE!</v>
      </c>
      <c r="AC105" s="63"/>
      <c r="AD105" s="57" t="e">
        <f t="shared" si="44"/>
        <v>#DIV/0!</v>
      </c>
      <c r="AE105" s="63"/>
      <c r="AF105" s="57" t="e">
        <f t="shared" si="45"/>
        <v>#DIV/0!</v>
      </c>
      <c r="AG105" s="57" t="e">
        <f t="shared" si="46"/>
        <v>#DIV/0!</v>
      </c>
      <c r="AH105" s="57" t="e">
        <f t="shared" si="47"/>
        <v>#DIV/0!</v>
      </c>
      <c r="AI105" s="57" t="e">
        <f t="shared" si="48"/>
        <v>#DIV/0!</v>
      </c>
      <c r="AJ105" s="57" t="e">
        <f t="shared" si="49"/>
        <v>#DIV/0!</v>
      </c>
      <c r="AK105" s="57" t="e">
        <f t="shared" si="50"/>
        <v>#DIV/0!</v>
      </c>
      <c r="AL105" s="57" t="e">
        <f t="shared" si="51"/>
        <v>#DIV/0!</v>
      </c>
      <c r="AM105" s="63"/>
      <c r="AN105" s="57" t="e">
        <f t="shared" si="53"/>
        <v>#DIV/0!</v>
      </c>
      <c r="AO105" s="58" t="e">
        <f t="shared" si="29"/>
        <v>#VALUE!</v>
      </c>
      <c r="AP105" s="63"/>
      <c r="AQ105" s="58" t="e">
        <f t="shared" si="54"/>
        <v>#DIV/0!</v>
      </c>
      <c r="AR105" s="63"/>
      <c r="AS105" s="58" t="e">
        <f t="shared" si="54"/>
        <v>#DIV/0!</v>
      </c>
      <c r="AT105" s="58" t="e">
        <f t="shared" si="54"/>
        <v>#DIV/0!</v>
      </c>
      <c r="AU105" s="58" t="e">
        <f t="shared" si="54"/>
        <v>#DIV/0!</v>
      </c>
      <c r="AV105" s="58" t="e">
        <f t="shared" si="54"/>
        <v>#DIV/0!</v>
      </c>
      <c r="AW105" s="58" t="e">
        <f t="shared" si="54"/>
        <v>#DIV/0!</v>
      </c>
      <c r="AX105" s="58" t="e">
        <f t="shared" si="54"/>
        <v>#DIV/0!</v>
      </c>
      <c r="AY105" s="58" t="e">
        <f t="shared" si="54"/>
        <v>#DIV/0!</v>
      </c>
      <c r="AZ105" s="63"/>
      <c r="BA105" s="58" t="e">
        <f t="shared" si="54"/>
        <v>#DIV/0!</v>
      </c>
      <c r="BB105" s="63"/>
      <c r="BC105" s="57" t="e">
        <f>(Links!C105*Links!AQ105+'On-Ramps'!AC105*'On-Ramps'!CE105)/('On-Ramps'!AC105+Links!C105)</f>
        <v>#DIV/0!</v>
      </c>
      <c r="BD105" s="63"/>
      <c r="BE105" s="57" t="e">
        <f>(Links!E105*Links!AS105+'On-Ramps'!AD105*'On-Ramps'!CF104)/('On-Ramps'!AD105+Links!E105)</f>
        <v>#DIV/0!</v>
      </c>
      <c r="BF105" s="57" t="e">
        <f>(Links!F105*Links!AT105+'On-Ramps'!AE105*'On-Ramps'!CG105)/('On-Ramps'!AE105+Links!F105)</f>
        <v>#DIV/0!</v>
      </c>
      <c r="BG105" s="57" t="e">
        <f>(Links!I105*Links!AW105+'On-Ramps'!AF105*'On-Ramps'!CH105)/('On-Ramps'!AF105+Links!I105)</f>
        <v>#DIV/0!</v>
      </c>
      <c r="BH105" s="57" t="e">
        <f>(#REF!*#REF!+'On-Ramps'!AG105*'On-Ramps'!CI105)/('On-Ramps'!AG105+#REF!)</f>
        <v>#REF!</v>
      </c>
      <c r="BI105" s="57" t="e">
        <f>(Links!L105*Links!AZ105+'On-Ramps'!AH105*'On-Ramps'!CJ105)/('On-Ramps'!AH105+Links!L105)</f>
        <v>#DIV/0!</v>
      </c>
      <c r="BJ105" s="57" t="e">
        <f>(Links!BA105*Links!M105+'On-Ramps'!AI105*'On-Ramps'!CK105)/('On-Ramps'!AI105+Links!M105)</f>
        <v>#DIV/0!</v>
      </c>
      <c r="BK105" s="57" t="e">
        <f>(Links!S105*Links!BG105+'On-Ramps'!AJ105*'On-Ramps'!CL105)/('On-Ramps'!AJ105+Links!S105)</f>
        <v>#DIV/0!</v>
      </c>
      <c r="BL105" s="63"/>
      <c r="BM105" s="57" t="e">
        <f>(Links!S105*Links!BG105+'On-Ramps'!AL105*'On-Ramps'!CM105)/(Links!S105+'On-Ramps'!AL105)</f>
        <v>#DIV/0!</v>
      </c>
      <c r="BN105" s="63"/>
      <c r="BO105" s="58" t="e">
        <f>(Links!W105^2+'Off-Ramp'!L105^2)/(Links!W105+'Off-Ramp'!L105)</f>
        <v>#DIV/0!</v>
      </c>
      <c r="BP105" s="63"/>
      <c r="BQ105" s="58" t="e">
        <f>(Links!Y105^2+'Off-Ramp'!C105^2)/(Links!Y105+'Off-Ramp'!C105)</f>
        <v>#DIV/0!</v>
      </c>
      <c r="BR105" s="63"/>
      <c r="BS105" s="58" t="e">
        <f>(Links!AA105^2+'Off-Ramp'!N105^2)/(Links!AA105+'Off-Ramp'!N105)</f>
        <v>#DIV/0!</v>
      </c>
      <c r="BT105" s="58" t="e">
        <f>(Links!AD105^2+'Off-Ramp'!O105^2)/(Links!AD105+'Off-Ramp'!O105)</f>
        <v>#DIV/0!</v>
      </c>
      <c r="BU105" s="58" t="e">
        <f>(Links!AE105^2+'Off-Ramp'!V105^2+'Off-Ramp'!W105^2+'Off-Ramp'!X105^2)/(Links!AE105+'Off-Ramp'!V105+'Off-Ramp'!W105+'Off-Ramp'!X105)</f>
        <v>#DIV/0!</v>
      </c>
      <c r="BV105" s="58" t="e">
        <f>(Links!AG105^2+'Off-Ramp'!Y105^2+'Off-Ramp'!Z105^2+'Off-Ramp'!AA105^2)/(Links!AG105+'Off-Ramp'!Y105+'Off-Ramp'!Z105+'Off-Ramp'!AA105)</f>
        <v>#DIV/0!</v>
      </c>
      <c r="BW105" s="58" t="e">
        <f>(Links!AH105^2+'Off-Ramp'!R105^2)/(Links!AH105+'Off-Ramp'!R105)</f>
        <v>#DIV/0!</v>
      </c>
      <c r="BX105" s="58" t="e">
        <f>(Links!AK105^2+'Off-Ramp'!S105^2)/(Links!AK105+'Off-Ramp'!S105)</f>
        <v>#DIV/0!</v>
      </c>
      <c r="BY105" s="58" t="e">
        <f>(Links!AL105^2+'Off-Ramp'!T105^2)/(Links!AL105+'Off-Ramp'!T105)</f>
        <v>#DIV/0!</v>
      </c>
      <c r="BZ105" s="63"/>
      <c r="CA105" s="58" t="e">
        <f>(Links!AN105^2+'Off-Ramp'!U105^2)/(Links!AN105+'Off-Ramp'!U105)</f>
        <v>#DIV/0!</v>
      </c>
    </row>
    <row r="106" spans="1:79" x14ac:dyDescent="0.15">
      <c r="A106" s="56">
        <v>104</v>
      </c>
      <c r="B106" s="57" t="e">
        <f t="shared" si="30"/>
        <v>#DIV/0!</v>
      </c>
      <c r="C106" s="57" t="e">
        <f t="shared" si="31"/>
        <v>#DIV/0!</v>
      </c>
      <c r="D106" s="57" t="e">
        <f t="shared" si="32"/>
        <v>#DIV/0!</v>
      </c>
      <c r="E106" s="57" t="e">
        <f t="shared" si="33"/>
        <v>#DIV/0!</v>
      </c>
      <c r="F106" s="57" t="e">
        <f t="shared" si="34"/>
        <v>#DIV/0!</v>
      </c>
      <c r="G106" s="57" t="e">
        <f t="shared" si="35"/>
        <v>#DIV/0!</v>
      </c>
      <c r="H106" s="57" t="e">
        <f t="shared" si="36"/>
        <v>#DIV/0!</v>
      </c>
      <c r="I106" s="57" t="e">
        <f t="shared" si="37"/>
        <v>#DIV/0!</v>
      </c>
      <c r="J106" s="57" t="e">
        <f t="shared" si="38"/>
        <v>#DIV/0!</v>
      </c>
      <c r="K106" s="57" t="e">
        <f t="shared" si="39"/>
        <v>#DIV/0!</v>
      </c>
      <c r="L106" s="57" t="e">
        <f t="shared" si="40"/>
        <v>#DIV/0!</v>
      </c>
      <c r="M106" s="57" t="e">
        <f t="shared" si="41"/>
        <v>#DIV/0!</v>
      </c>
      <c r="N106" s="57" t="e">
        <f t="shared" si="42"/>
        <v>#DIV/0!</v>
      </c>
      <c r="O106" s="58" t="e">
        <f>Links!B106</f>
        <v>#DIV/0!</v>
      </c>
      <c r="P106" s="58" t="e">
        <f>Links!C106+'On-Ramps'!AC106</f>
        <v>#DIV/0!</v>
      </c>
      <c r="Q106" s="58" t="e">
        <f>Links!D106</f>
        <v>#DIV/0!</v>
      </c>
      <c r="R106" s="58" t="e">
        <f>Links!E106+'On-Ramps'!AD106</f>
        <v>#DIV/0!</v>
      </c>
      <c r="S106" s="58" t="e">
        <f>Links!F106+'On-Ramps'!AE106</f>
        <v>#DIV/0!</v>
      </c>
      <c r="T106" s="58" t="e">
        <f>Links!I106+'On-Ramps'!AF106</f>
        <v>#DIV/0!</v>
      </c>
      <c r="U106" s="58" t="e">
        <f>Links!J106+'On-Ramps'!AG106</f>
        <v>#DIV/0!</v>
      </c>
      <c r="V106" s="58" t="e">
        <f>Links!L106+'On-Ramps'!AH106</f>
        <v>#DIV/0!</v>
      </c>
      <c r="W106" s="58" t="e">
        <f>Links!M106+'On-Ramps'!AI106</f>
        <v>#DIV/0!</v>
      </c>
      <c r="X106" s="58" t="e">
        <f>Links!P106+'On-Ramps'!AJ106</f>
        <v>#DIV/0!</v>
      </c>
      <c r="Y106" s="58" t="e">
        <f>Links!Q106</f>
        <v>#DIV/0!</v>
      </c>
      <c r="Z106" s="58" t="e">
        <f>Links!R106+'On-Ramps'!AK106</f>
        <v>#DIV/0!</v>
      </c>
      <c r="AA106" s="58" t="e">
        <f>Links!S106</f>
        <v>#DIV/0!</v>
      </c>
      <c r="AB106" s="57" t="e">
        <f t="shared" si="43"/>
        <v>#VALUE!</v>
      </c>
      <c r="AC106" s="63"/>
      <c r="AD106" s="57" t="e">
        <f t="shared" si="44"/>
        <v>#DIV/0!</v>
      </c>
      <c r="AE106" s="63"/>
      <c r="AF106" s="57" t="e">
        <f t="shared" si="45"/>
        <v>#DIV/0!</v>
      </c>
      <c r="AG106" s="57" t="e">
        <f t="shared" si="46"/>
        <v>#DIV/0!</v>
      </c>
      <c r="AH106" s="57" t="e">
        <f t="shared" si="47"/>
        <v>#DIV/0!</v>
      </c>
      <c r="AI106" s="57" t="e">
        <f t="shared" si="48"/>
        <v>#DIV/0!</v>
      </c>
      <c r="AJ106" s="57" t="e">
        <f t="shared" si="49"/>
        <v>#DIV/0!</v>
      </c>
      <c r="AK106" s="57" t="e">
        <f t="shared" si="50"/>
        <v>#DIV/0!</v>
      </c>
      <c r="AL106" s="57" t="e">
        <f t="shared" si="51"/>
        <v>#DIV/0!</v>
      </c>
      <c r="AM106" s="63"/>
      <c r="AN106" s="57" t="e">
        <f t="shared" si="53"/>
        <v>#DIV/0!</v>
      </c>
      <c r="AO106" s="58" t="e">
        <f t="shared" si="29"/>
        <v>#VALUE!</v>
      </c>
      <c r="AP106" s="63"/>
      <c r="AQ106" s="58" t="e">
        <f t="shared" si="54"/>
        <v>#DIV/0!</v>
      </c>
      <c r="AR106" s="63"/>
      <c r="AS106" s="58" t="e">
        <f t="shared" si="54"/>
        <v>#DIV/0!</v>
      </c>
      <c r="AT106" s="58" t="e">
        <f t="shared" si="54"/>
        <v>#DIV/0!</v>
      </c>
      <c r="AU106" s="58" t="e">
        <f t="shared" si="54"/>
        <v>#DIV/0!</v>
      </c>
      <c r="AV106" s="58" t="e">
        <f t="shared" si="54"/>
        <v>#DIV/0!</v>
      </c>
      <c r="AW106" s="58" t="e">
        <f t="shared" si="54"/>
        <v>#DIV/0!</v>
      </c>
      <c r="AX106" s="58" t="e">
        <f t="shared" si="54"/>
        <v>#DIV/0!</v>
      </c>
      <c r="AY106" s="58" t="e">
        <f t="shared" si="54"/>
        <v>#DIV/0!</v>
      </c>
      <c r="AZ106" s="63"/>
      <c r="BA106" s="58" t="e">
        <f t="shared" si="54"/>
        <v>#DIV/0!</v>
      </c>
      <c r="BB106" s="63"/>
      <c r="BC106" s="57" t="e">
        <f>(Links!C106*Links!AQ106+'On-Ramps'!AC106*'On-Ramps'!CE106)/('On-Ramps'!AC106+Links!C106)</f>
        <v>#DIV/0!</v>
      </c>
      <c r="BD106" s="63"/>
      <c r="BE106" s="57" t="e">
        <f>(Links!E106*Links!AS106+'On-Ramps'!AD106*'On-Ramps'!CF105)/('On-Ramps'!AD106+Links!E106)</f>
        <v>#DIV/0!</v>
      </c>
      <c r="BF106" s="57" t="e">
        <f>(Links!F106*Links!AT106+'On-Ramps'!AE106*'On-Ramps'!CG106)/('On-Ramps'!AE106+Links!F106)</f>
        <v>#DIV/0!</v>
      </c>
      <c r="BG106" s="57" t="e">
        <f>(Links!I106*Links!AW106+'On-Ramps'!AF106*'On-Ramps'!CH106)/('On-Ramps'!AF106+Links!I106)</f>
        <v>#DIV/0!</v>
      </c>
      <c r="BH106" s="57" t="e">
        <f>(#REF!*#REF!+'On-Ramps'!AG106*'On-Ramps'!CI106)/('On-Ramps'!AG106+#REF!)</f>
        <v>#REF!</v>
      </c>
      <c r="BI106" s="57" t="e">
        <f>(Links!L106*Links!AZ106+'On-Ramps'!AH106*'On-Ramps'!CJ106)/('On-Ramps'!AH106+Links!L106)</f>
        <v>#DIV/0!</v>
      </c>
      <c r="BJ106" s="57" t="e">
        <f>(Links!BA106*Links!M106+'On-Ramps'!AI106*'On-Ramps'!CK106)/('On-Ramps'!AI106+Links!M106)</f>
        <v>#DIV/0!</v>
      </c>
      <c r="BK106" s="57" t="e">
        <f>(Links!S106*Links!BG106+'On-Ramps'!AJ106*'On-Ramps'!CL106)/('On-Ramps'!AJ106+Links!S106)</f>
        <v>#DIV/0!</v>
      </c>
      <c r="BL106" s="63"/>
      <c r="BM106" s="57" t="e">
        <f>(Links!S106*Links!BG106+'On-Ramps'!AL106*'On-Ramps'!CM106)/(Links!S106+'On-Ramps'!AL106)</f>
        <v>#DIV/0!</v>
      </c>
      <c r="BN106" s="63"/>
      <c r="BO106" s="58" t="e">
        <f>(Links!W106^2+'Off-Ramp'!L106^2)/(Links!W106+'Off-Ramp'!L106)</f>
        <v>#DIV/0!</v>
      </c>
      <c r="BP106" s="63"/>
      <c r="BQ106" s="58" t="e">
        <f>(Links!Y106^2+'Off-Ramp'!C106^2)/(Links!Y106+'Off-Ramp'!C106)</f>
        <v>#DIV/0!</v>
      </c>
      <c r="BR106" s="63"/>
      <c r="BS106" s="58" t="e">
        <f>(Links!AA106^2+'Off-Ramp'!N106^2)/(Links!AA106+'Off-Ramp'!N106)</f>
        <v>#DIV/0!</v>
      </c>
      <c r="BT106" s="58" t="e">
        <f>(Links!AD106^2+'Off-Ramp'!O106^2)/(Links!AD106+'Off-Ramp'!O106)</f>
        <v>#DIV/0!</v>
      </c>
      <c r="BU106" s="58" t="e">
        <f>(Links!AE106^2+'Off-Ramp'!V106^2+'Off-Ramp'!W106^2+'Off-Ramp'!X106^2)/(Links!AE106+'Off-Ramp'!V106+'Off-Ramp'!W106+'Off-Ramp'!X106)</f>
        <v>#DIV/0!</v>
      </c>
      <c r="BV106" s="58" t="e">
        <f>(Links!AG106^2+'Off-Ramp'!Y106^2+'Off-Ramp'!Z106^2+'Off-Ramp'!AA106^2)/(Links!AG106+'Off-Ramp'!Y106+'Off-Ramp'!Z106+'Off-Ramp'!AA106)</f>
        <v>#DIV/0!</v>
      </c>
      <c r="BW106" s="58" t="e">
        <f>(Links!AH106^2+'Off-Ramp'!R106^2)/(Links!AH106+'Off-Ramp'!R106)</f>
        <v>#DIV/0!</v>
      </c>
      <c r="BX106" s="58" t="e">
        <f>(Links!AK106^2+'Off-Ramp'!S106^2)/(Links!AK106+'Off-Ramp'!S106)</f>
        <v>#DIV/0!</v>
      </c>
      <c r="BY106" s="58" t="e">
        <f>(Links!AL106^2+'Off-Ramp'!T106^2)/(Links!AL106+'Off-Ramp'!T106)</f>
        <v>#DIV/0!</v>
      </c>
      <c r="BZ106" s="63"/>
      <c r="CA106" s="58" t="e">
        <f>(Links!AN106^2+'Off-Ramp'!U106^2)/(Links!AN106+'Off-Ramp'!U106)</f>
        <v>#DIV/0!</v>
      </c>
    </row>
    <row r="107" spans="1:79" x14ac:dyDescent="0.15">
      <c r="A107" s="56">
        <v>105</v>
      </c>
      <c r="B107" s="57" t="e">
        <f t="shared" si="30"/>
        <v>#DIV/0!</v>
      </c>
      <c r="C107" s="57" t="e">
        <f t="shared" si="31"/>
        <v>#DIV/0!</v>
      </c>
      <c r="D107" s="57" t="e">
        <f t="shared" si="32"/>
        <v>#DIV/0!</v>
      </c>
      <c r="E107" s="57" t="e">
        <f t="shared" si="33"/>
        <v>#DIV/0!</v>
      </c>
      <c r="F107" s="57" t="e">
        <f t="shared" si="34"/>
        <v>#DIV/0!</v>
      </c>
      <c r="G107" s="57" t="e">
        <f t="shared" si="35"/>
        <v>#DIV/0!</v>
      </c>
      <c r="H107" s="57" t="e">
        <f t="shared" si="36"/>
        <v>#DIV/0!</v>
      </c>
      <c r="I107" s="57" t="e">
        <f t="shared" si="37"/>
        <v>#DIV/0!</v>
      </c>
      <c r="J107" s="57" t="e">
        <f t="shared" si="38"/>
        <v>#DIV/0!</v>
      </c>
      <c r="K107" s="57" t="e">
        <f t="shared" si="39"/>
        <v>#DIV/0!</v>
      </c>
      <c r="L107" s="57" t="e">
        <f t="shared" si="40"/>
        <v>#DIV/0!</v>
      </c>
      <c r="M107" s="57" t="e">
        <f t="shared" si="41"/>
        <v>#DIV/0!</v>
      </c>
      <c r="N107" s="57" t="e">
        <f t="shared" si="42"/>
        <v>#DIV/0!</v>
      </c>
      <c r="O107" s="58" t="e">
        <f>Links!B107</f>
        <v>#DIV/0!</v>
      </c>
      <c r="P107" s="58" t="e">
        <f>Links!C107+'On-Ramps'!AC107</f>
        <v>#DIV/0!</v>
      </c>
      <c r="Q107" s="58" t="e">
        <f>Links!D107</f>
        <v>#DIV/0!</v>
      </c>
      <c r="R107" s="58" t="e">
        <f>Links!E107+'On-Ramps'!AD107</f>
        <v>#DIV/0!</v>
      </c>
      <c r="S107" s="58" t="e">
        <f>Links!F107+'On-Ramps'!AE107</f>
        <v>#DIV/0!</v>
      </c>
      <c r="T107" s="58" t="e">
        <f>Links!I107+'On-Ramps'!AF107</f>
        <v>#DIV/0!</v>
      </c>
      <c r="U107" s="58" t="e">
        <f>Links!J107+'On-Ramps'!AG107</f>
        <v>#DIV/0!</v>
      </c>
      <c r="V107" s="58" t="e">
        <f>Links!L107+'On-Ramps'!AH107</f>
        <v>#DIV/0!</v>
      </c>
      <c r="W107" s="58" t="e">
        <f>Links!M107+'On-Ramps'!AI107</f>
        <v>#DIV/0!</v>
      </c>
      <c r="X107" s="58" t="e">
        <f>Links!P107+'On-Ramps'!AJ107</f>
        <v>#DIV/0!</v>
      </c>
      <c r="Y107" s="58" t="e">
        <f>Links!Q107</f>
        <v>#DIV/0!</v>
      </c>
      <c r="Z107" s="58" t="e">
        <f>Links!R107+'On-Ramps'!AK107</f>
        <v>#DIV/0!</v>
      </c>
      <c r="AA107" s="58" t="e">
        <f>Links!S107</f>
        <v>#DIV/0!</v>
      </c>
      <c r="AB107" s="57" t="e">
        <f t="shared" si="43"/>
        <v>#VALUE!</v>
      </c>
      <c r="AC107" s="63"/>
      <c r="AD107" s="57" t="e">
        <f t="shared" si="44"/>
        <v>#DIV/0!</v>
      </c>
      <c r="AE107" s="63"/>
      <c r="AF107" s="57" t="e">
        <f t="shared" si="45"/>
        <v>#DIV/0!</v>
      </c>
      <c r="AG107" s="57" t="e">
        <f t="shared" si="46"/>
        <v>#DIV/0!</v>
      </c>
      <c r="AH107" s="57" t="e">
        <f t="shared" si="47"/>
        <v>#DIV/0!</v>
      </c>
      <c r="AI107" s="57" t="e">
        <f t="shared" si="48"/>
        <v>#DIV/0!</v>
      </c>
      <c r="AJ107" s="57" t="e">
        <f t="shared" si="49"/>
        <v>#DIV/0!</v>
      </c>
      <c r="AK107" s="57" t="e">
        <f t="shared" si="50"/>
        <v>#DIV/0!</v>
      </c>
      <c r="AL107" s="57" t="e">
        <f t="shared" si="51"/>
        <v>#DIV/0!</v>
      </c>
      <c r="AM107" s="63"/>
      <c r="AN107" s="57" t="e">
        <f t="shared" si="53"/>
        <v>#DIV/0!</v>
      </c>
      <c r="AO107" s="58" t="e">
        <f t="shared" si="29"/>
        <v>#VALUE!</v>
      </c>
      <c r="AP107" s="63"/>
      <c r="AQ107" s="58" t="e">
        <f t="shared" si="54"/>
        <v>#DIV/0!</v>
      </c>
      <c r="AR107" s="63"/>
      <c r="AS107" s="58" t="e">
        <f t="shared" si="54"/>
        <v>#DIV/0!</v>
      </c>
      <c r="AT107" s="58" t="e">
        <f t="shared" si="54"/>
        <v>#DIV/0!</v>
      </c>
      <c r="AU107" s="58" t="e">
        <f t="shared" si="54"/>
        <v>#DIV/0!</v>
      </c>
      <c r="AV107" s="58" t="e">
        <f t="shared" si="54"/>
        <v>#DIV/0!</v>
      </c>
      <c r="AW107" s="58" t="e">
        <f t="shared" si="54"/>
        <v>#DIV/0!</v>
      </c>
      <c r="AX107" s="58" t="e">
        <f t="shared" si="54"/>
        <v>#DIV/0!</v>
      </c>
      <c r="AY107" s="58" t="e">
        <f t="shared" si="54"/>
        <v>#DIV/0!</v>
      </c>
      <c r="AZ107" s="63"/>
      <c r="BA107" s="58" t="e">
        <f t="shared" si="54"/>
        <v>#DIV/0!</v>
      </c>
      <c r="BB107" s="63"/>
      <c r="BC107" s="57" t="e">
        <f>(Links!C107*Links!AQ107+'On-Ramps'!AC107*'On-Ramps'!CE107)/('On-Ramps'!AC107+Links!C107)</f>
        <v>#DIV/0!</v>
      </c>
      <c r="BD107" s="63"/>
      <c r="BE107" s="57" t="e">
        <f>(Links!E107*Links!AS107+'On-Ramps'!AD107*'On-Ramps'!CF106)/('On-Ramps'!AD107+Links!E107)</f>
        <v>#DIV/0!</v>
      </c>
      <c r="BF107" s="57" t="e">
        <f>(Links!F107*Links!AT107+'On-Ramps'!AE107*'On-Ramps'!CG107)/('On-Ramps'!AE107+Links!F107)</f>
        <v>#DIV/0!</v>
      </c>
      <c r="BG107" s="57" t="e">
        <f>(Links!I107*Links!AW107+'On-Ramps'!AF107*'On-Ramps'!CH107)/('On-Ramps'!AF107+Links!I107)</f>
        <v>#DIV/0!</v>
      </c>
      <c r="BH107" s="57" t="e">
        <f>(#REF!*#REF!+'On-Ramps'!AG107*'On-Ramps'!CI107)/('On-Ramps'!AG107+#REF!)</f>
        <v>#REF!</v>
      </c>
      <c r="BI107" s="57" t="e">
        <f>(Links!L107*Links!AZ107+'On-Ramps'!AH107*'On-Ramps'!CJ107)/('On-Ramps'!AH107+Links!L107)</f>
        <v>#DIV/0!</v>
      </c>
      <c r="BJ107" s="57" t="e">
        <f>(Links!BA107*Links!M107+'On-Ramps'!AI107*'On-Ramps'!CK107)/('On-Ramps'!AI107+Links!M107)</f>
        <v>#DIV/0!</v>
      </c>
      <c r="BK107" s="57" t="e">
        <f>(Links!S107*Links!BG107+'On-Ramps'!AJ107*'On-Ramps'!CL107)/('On-Ramps'!AJ107+Links!S107)</f>
        <v>#DIV/0!</v>
      </c>
      <c r="BL107" s="63"/>
      <c r="BM107" s="57" t="e">
        <f>(Links!S107*Links!BG107+'On-Ramps'!AL107*'On-Ramps'!CM107)/(Links!S107+'On-Ramps'!AL107)</f>
        <v>#DIV/0!</v>
      </c>
      <c r="BN107" s="63"/>
      <c r="BO107" s="58" t="e">
        <f>(Links!W107^2+'Off-Ramp'!L107^2)/(Links!W107+'Off-Ramp'!L107)</f>
        <v>#DIV/0!</v>
      </c>
      <c r="BP107" s="63"/>
      <c r="BQ107" s="58" t="e">
        <f>(Links!Y107^2+'Off-Ramp'!C107^2)/(Links!Y107+'Off-Ramp'!C107)</f>
        <v>#DIV/0!</v>
      </c>
      <c r="BR107" s="63"/>
      <c r="BS107" s="58" t="e">
        <f>(Links!AA107^2+'Off-Ramp'!N107^2)/(Links!AA107+'Off-Ramp'!N107)</f>
        <v>#DIV/0!</v>
      </c>
      <c r="BT107" s="58" t="e">
        <f>(Links!AD107^2+'Off-Ramp'!O107^2)/(Links!AD107+'Off-Ramp'!O107)</f>
        <v>#DIV/0!</v>
      </c>
      <c r="BU107" s="58" t="e">
        <f>(Links!AE107^2+'Off-Ramp'!V107^2+'Off-Ramp'!W107^2+'Off-Ramp'!X107^2)/(Links!AE107+'Off-Ramp'!V107+'Off-Ramp'!W107+'Off-Ramp'!X107)</f>
        <v>#DIV/0!</v>
      </c>
      <c r="BV107" s="58" t="e">
        <f>(Links!AG107^2+'Off-Ramp'!Y107^2+'Off-Ramp'!Z107^2+'Off-Ramp'!AA107^2)/(Links!AG107+'Off-Ramp'!Y107+'Off-Ramp'!Z107+'Off-Ramp'!AA107)</f>
        <v>#DIV/0!</v>
      </c>
      <c r="BW107" s="58" t="e">
        <f>(Links!AH107^2+'Off-Ramp'!R107^2)/(Links!AH107+'Off-Ramp'!R107)</f>
        <v>#DIV/0!</v>
      </c>
      <c r="BX107" s="58" t="e">
        <f>(Links!AK107^2+'Off-Ramp'!S107^2)/(Links!AK107+'Off-Ramp'!S107)</f>
        <v>#DIV/0!</v>
      </c>
      <c r="BY107" s="58" t="e">
        <f>(Links!AL107^2+'Off-Ramp'!T107^2)/(Links!AL107+'Off-Ramp'!T107)</f>
        <v>#DIV/0!</v>
      </c>
      <c r="BZ107" s="63"/>
      <c r="CA107" s="58" t="e">
        <f>(Links!AN107^2+'Off-Ramp'!U107^2)/(Links!AN107+'Off-Ramp'!U107)</f>
        <v>#DIV/0!</v>
      </c>
    </row>
    <row r="108" spans="1:79" x14ac:dyDescent="0.15">
      <c r="A108" s="56">
        <v>106</v>
      </c>
      <c r="B108" s="57" t="e">
        <f t="shared" si="30"/>
        <v>#DIV/0!</v>
      </c>
      <c r="C108" s="57" t="e">
        <f t="shared" si="31"/>
        <v>#DIV/0!</v>
      </c>
      <c r="D108" s="57" t="e">
        <f t="shared" si="32"/>
        <v>#DIV/0!</v>
      </c>
      <c r="E108" s="57" t="e">
        <f t="shared" si="33"/>
        <v>#DIV/0!</v>
      </c>
      <c r="F108" s="57" t="e">
        <f t="shared" si="34"/>
        <v>#DIV/0!</v>
      </c>
      <c r="G108" s="57" t="e">
        <f t="shared" si="35"/>
        <v>#DIV/0!</v>
      </c>
      <c r="H108" s="57" t="e">
        <f t="shared" si="36"/>
        <v>#DIV/0!</v>
      </c>
      <c r="I108" s="57" t="e">
        <f t="shared" si="37"/>
        <v>#DIV/0!</v>
      </c>
      <c r="J108" s="57" t="e">
        <f t="shared" si="38"/>
        <v>#DIV/0!</v>
      </c>
      <c r="K108" s="57" t="e">
        <f t="shared" si="39"/>
        <v>#DIV/0!</v>
      </c>
      <c r="L108" s="57" t="e">
        <f t="shared" si="40"/>
        <v>#DIV/0!</v>
      </c>
      <c r="M108" s="57" t="e">
        <f t="shared" si="41"/>
        <v>#DIV/0!</v>
      </c>
      <c r="N108" s="57" t="e">
        <f t="shared" si="42"/>
        <v>#DIV/0!</v>
      </c>
      <c r="O108" s="58" t="e">
        <f>Links!B108</f>
        <v>#DIV/0!</v>
      </c>
      <c r="P108" s="58" t="e">
        <f>Links!C108+'On-Ramps'!AC108</f>
        <v>#DIV/0!</v>
      </c>
      <c r="Q108" s="58" t="e">
        <f>Links!D108</f>
        <v>#DIV/0!</v>
      </c>
      <c r="R108" s="58" t="e">
        <f>Links!E108+'On-Ramps'!AD108</f>
        <v>#DIV/0!</v>
      </c>
      <c r="S108" s="58" t="e">
        <f>Links!F108+'On-Ramps'!AE108</f>
        <v>#DIV/0!</v>
      </c>
      <c r="T108" s="58" t="e">
        <f>Links!I108+'On-Ramps'!AF108</f>
        <v>#DIV/0!</v>
      </c>
      <c r="U108" s="58" t="e">
        <f>Links!J108+'On-Ramps'!AG108</f>
        <v>#DIV/0!</v>
      </c>
      <c r="V108" s="58" t="e">
        <f>Links!L108+'On-Ramps'!AH108</f>
        <v>#DIV/0!</v>
      </c>
      <c r="W108" s="58" t="e">
        <f>Links!M108+'On-Ramps'!AI108</f>
        <v>#DIV/0!</v>
      </c>
      <c r="X108" s="58" t="e">
        <f>Links!P108+'On-Ramps'!AJ108</f>
        <v>#DIV/0!</v>
      </c>
      <c r="Y108" s="58" t="e">
        <f>Links!Q108</f>
        <v>#DIV/0!</v>
      </c>
      <c r="Z108" s="58" t="e">
        <f>Links!R108+'On-Ramps'!AK108</f>
        <v>#DIV/0!</v>
      </c>
      <c r="AA108" s="58" t="e">
        <f>Links!S108</f>
        <v>#DIV/0!</v>
      </c>
      <c r="AB108" s="57" t="e">
        <f t="shared" si="43"/>
        <v>#VALUE!</v>
      </c>
      <c r="AC108" s="63"/>
      <c r="AD108" s="57" t="e">
        <f t="shared" si="44"/>
        <v>#DIV/0!</v>
      </c>
      <c r="AE108" s="63"/>
      <c r="AF108" s="57" t="e">
        <f t="shared" si="45"/>
        <v>#DIV/0!</v>
      </c>
      <c r="AG108" s="57" t="e">
        <f t="shared" si="46"/>
        <v>#DIV/0!</v>
      </c>
      <c r="AH108" s="57" t="e">
        <f t="shared" si="47"/>
        <v>#DIV/0!</v>
      </c>
      <c r="AI108" s="57" t="e">
        <f t="shared" si="48"/>
        <v>#DIV/0!</v>
      </c>
      <c r="AJ108" s="57" t="e">
        <f t="shared" si="49"/>
        <v>#DIV/0!</v>
      </c>
      <c r="AK108" s="57" t="e">
        <f t="shared" si="50"/>
        <v>#DIV/0!</v>
      </c>
      <c r="AL108" s="57" t="e">
        <f t="shared" si="51"/>
        <v>#DIV/0!</v>
      </c>
      <c r="AM108" s="63"/>
      <c r="AN108" s="57" t="e">
        <f t="shared" si="53"/>
        <v>#DIV/0!</v>
      </c>
      <c r="AO108" s="58" t="e">
        <f t="shared" si="29"/>
        <v>#VALUE!</v>
      </c>
      <c r="AP108" s="63"/>
      <c r="AQ108" s="58" t="e">
        <f t="shared" si="54"/>
        <v>#DIV/0!</v>
      </c>
      <c r="AR108" s="63"/>
      <c r="AS108" s="58" t="e">
        <f t="shared" si="54"/>
        <v>#DIV/0!</v>
      </c>
      <c r="AT108" s="58" t="e">
        <f t="shared" si="54"/>
        <v>#DIV/0!</v>
      </c>
      <c r="AU108" s="58" t="e">
        <f t="shared" si="54"/>
        <v>#DIV/0!</v>
      </c>
      <c r="AV108" s="58" t="e">
        <f t="shared" si="54"/>
        <v>#DIV/0!</v>
      </c>
      <c r="AW108" s="58" t="e">
        <f t="shared" si="54"/>
        <v>#DIV/0!</v>
      </c>
      <c r="AX108" s="58" t="e">
        <f t="shared" si="54"/>
        <v>#DIV/0!</v>
      </c>
      <c r="AY108" s="58" t="e">
        <f t="shared" si="54"/>
        <v>#DIV/0!</v>
      </c>
      <c r="AZ108" s="63"/>
      <c r="BA108" s="58" t="e">
        <f t="shared" si="54"/>
        <v>#DIV/0!</v>
      </c>
      <c r="BB108" s="63"/>
      <c r="BC108" s="57" t="e">
        <f>(Links!C108*Links!AQ108+'On-Ramps'!AC108*'On-Ramps'!CE108)/('On-Ramps'!AC108+Links!C108)</f>
        <v>#DIV/0!</v>
      </c>
      <c r="BD108" s="63"/>
      <c r="BE108" s="57" t="e">
        <f>(Links!E108*Links!AS108+'On-Ramps'!AD108*'On-Ramps'!CF107)/('On-Ramps'!AD108+Links!E108)</f>
        <v>#DIV/0!</v>
      </c>
      <c r="BF108" s="57" t="e">
        <f>(Links!F108*Links!AT108+'On-Ramps'!AE108*'On-Ramps'!CG108)/('On-Ramps'!AE108+Links!F108)</f>
        <v>#DIV/0!</v>
      </c>
      <c r="BG108" s="57" t="e">
        <f>(Links!I108*Links!AW108+'On-Ramps'!AF108*'On-Ramps'!CH108)/('On-Ramps'!AF108+Links!I108)</f>
        <v>#DIV/0!</v>
      </c>
      <c r="BH108" s="57" t="e">
        <f>(#REF!*#REF!+'On-Ramps'!AG108*'On-Ramps'!CI108)/('On-Ramps'!AG108+#REF!)</f>
        <v>#REF!</v>
      </c>
      <c r="BI108" s="57" t="e">
        <f>(Links!L108*Links!AZ108+'On-Ramps'!AH108*'On-Ramps'!CJ108)/('On-Ramps'!AH108+Links!L108)</f>
        <v>#DIV/0!</v>
      </c>
      <c r="BJ108" s="57" t="e">
        <f>(Links!BA108*Links!M108+'On-Ramps'!AI108*'On-Ramps'!CK108)/('On-Ramps'!AI108+Links!M108)</f>
        <v>#DIV/0!</v>
      </c>
      <c r="BK108" s="57" t="e">
        <f>(Links!S108*Links!BG108+'On-Ramps'!AJ108*'On-Ramps'!CL108)/('On-Ramps'!AJ108+Links!S108)</f>
        <v>#DIV/0!</v>
      </c>
      <c r="BL108" s="63"/>
      <c r="BM108" s="57" t="e">
        <f>(Links!S108*Links!BG108+'On-Ramps'!AL108*'On-Ramps'!CM108)/(Links!S108+'On-Ramps'!AL108)</f>
        <v>#DIV/0!</v>
      </c>
      <c r="BN108" s="63"/>
      <c r="BO108" s="58" t="e">
        <f>(Links!W108^2+'Off-Ramp'!L108^2)/(Links!W108+'Off-Ramp'!L108)</f>
        <v>#DIV/0!</v>
      </c>
      <c r="BP108" s="63"/>
      <c r="BQ108" s="58" t="e">
        <f>(Links!Y108^2+'Off-Ramp'!C108^2)/(Links!Y108+'Off-Ramp'!C108)</f>
        <v>#DIV/0!</v>
      </c>
      <c r="BR108" s="63"/>
      <c r="BS108" s="58" t="e">
        <f>(Links!AA108^2+'Off-Ramp'!N108^2)/(Links!AA108+'Off-Ramp'!N108)</f>
        <v>#DIV/0!</v>
      </c>
      <c r="BT108" s="58" t="e">
        <f>(Links!AD108^2+'Off-Ramp'!O108^2)/(Links!AD108+'Off-Ramp'!O108)</f>
        <v>#DIV/0!</v>
      </c>
      <c r="BU108" s="58" t="e">
        <f>(Links!AE108^2+'Off-Ramp'!V108^2+'Off-Ramp'!W108^2+'Off-Ramp'!X108^2)/(Links!AE108+'Off-Ramp'!V108+'Off-Ramp'!W108+'Off-Ramp'!X108)</f>
        <v>#DIV/0!</v>
      </c>
      <c r="BV108" s="58" t="e">
        <f>(Links!AG108^2+'Off-Ramp'!Y108^2+'Off-Ramp'!Z108^2+'Off-Ramp'!AA108^2)/(Links!AG108+'Off-Ramp'!Y108+'Off-Ramp'!Z108+'Off-Ramp'!AA108)</f>
        <v>#DIV/0!</v>
      </c>
      <c r="BW108" s="58" t="e">
        <f>(Links!AH108^2+'Off-Ramp'!R108^2)/(Links!AH108+'Off-Ramp'!R108)</f>
        <v>#DIV/0!</v>
      </c>
      <c r="BX108" s="58" t="e">
        <f>(Links!AK108^2+'Off-Ramp'!S108^2)/(Links!AK108+'Off-Ramp'!S108)</f>
        <v>#DIV/0!</v>
      </c>
      <c r="BY108" s="58" t="e">
        <f>(Links!AL108^2+'Off-Ramp'!T108^2)/(Links!AL108+'Off-Ramp'!T108)</f>
        <v>#DIV/0!</v>
      </c>
      <c r="BZ108" s="63"/>
      <c r="CA108" s="58" t="e">
        <f>(Links!AN108^2+'Off-Ramp'!U108^2)/(Links!AN108+'Off-Ramp'!U108)</f>
        <v>#DIV/0!</v>
      </c>
    </row>
    <row r="109" spans="1:79" x14ac:dyDescent="0.15">
      <c r="A109" s="56">
        <v>107</v>
      </c>
      <c r="B109" s="57" t="e">
        <f t="shared" si="30"/>
        <v>#DIV/0!</v>
      </c>
      <c r="C109" s="57" t="e">
        <f t="shared" si="31"/>
        <v>#DIV/0!</v>
      </c>
      <c r="D109" s="57" t="e">
        <f t="shared" si="32"/>
        <v>#DIV/0!</v>
      </c>
      <c r="E109" s="57" t="e">
        <f t="shared" si="33"/>
        <v>#DIV/0!</v>
      </c>
      <c r="F109" s="57" t="e">
        <f t="shared" si="34"/>
        <v>#DIV/0!</v>
      </c>
      <c r="G109" s="57" t="e">
        <f t="shared" si="35"/>
        <v>#DIV/0!</v>
      </c>
      <c r="H109" s="57" t="e">
        <f t="shared" si="36"/>
        <v>#DIV/0!</v>
      </c>
      <c r="I109" s="57" t="e">
        <f t="shared" si="37"/>
        <v>#DIV/0!</v>
      </c>
      <c r="J109" s="57" t="e">
        <f t="shared" si="38"/>
        <v>#DIV/0!</v>
      </c>
      <c r="K109" s="57" t="e">
        <f t="shared" si="39"/>
        <v>#DIV/0!</v>
      </c>
      <c r="L109" s="57" t="e">
        <f t="shared" si="40"/>
        <v>#DIV/0!</v>
      </c>
      <c r="M109" s="57" t="e">
        <f t="shared" si="41"/>
        <v>#DIV/0!</v>
      </c>
      <c r="N109" s="57" t="e">
        <f t="shared" si="42"/>
        <v>#DIV/0!</v>
      </c>
      <c r="O109" s="58" t="e">
        <f>Links!B109</f>
        <v>#DIV/0!</v>
      </c>
      <c r="P109" s="58" t="e">
        <f>Links!C109+'On-Ramps'!AC109</f>
        <v>#DIV/0!</v>
      </c>
      <c r="Q109" s="58" t="e">
        <f>Links!D109</f>
        <v>#DIV/0!</v>
      </c>
      <c r="R109" s="58" t="e">
        <f>Links!E109+'On-Ramps'!AD109</f>
        <v>#DIV/0!</v>
      </c>
      <c r="S109" s="58" t="e">
        <f>Links!F109+'On-Ramps'!AE109</f>
        <v>#DIV/0!</v>
      </c>
      <c r="T109" s="58" t="e">
        <f>Links!I109+'On-Ramps'!AF109</f>
        <v>#DIV/0!</v>
      </c>
      <c r="U109" s="58" t="e">
        <f>Links!J109+'On-Ramps'!AG109</f>
        <v>#DIV/0!</v>
      </c>
      <c r="V109" s="58" t="e">
        <f>Links!L109+'On-Ramps'!AH109</f>
        <v>#DIV/0!</v>
      </c>
      <c r="W109" s="58" t="e">
        <f>Links!M109+'On-Ramps'!AI109</f>
        <v>#DIV/0!</v>
      </c>
      <c r="X109" s="58" t="e">
        <f>Links!P109+'On-Ramps'!AJ109</f>
        <v>#DIV/0!</v>
      </c>
      <c r="Y109" s="58" t="e">
        <f>Links!Q109</f>
        <v>#DIV/0!</v>
      </c>
      <c r="Z109" s="58" t="e">
        <f>Links!R109+'On-Ramps'!AK109</f>
        <v>#DIV/0!</v>
      </c>
      <c r="AA109" s="58" t="e">
        <f>Links!S109</f>
        <v>#DIV/0!</v>
      </c>
      <c r="AB109" s="57" t="e">
        <f t="shared" si="43"/>
        <v>#VALUE!</v>
      </c>
      <c r="AC109" s="63"/>
      <c r="AD109" s="57" t="e">
        <f t="shared" si="44"/>
        <v>#DIV/0!</v>
      </c>
      <c r="AE109" s="63"/>
      <c r="AF109" s="57" t="e">
        <f t="shared" si="45"/>
        <v>#DIV/0!</v>
      </c>
      <c r="AG109" s="57" t="e">
        <f t="shared" si="46"/>
        <v>#DIV/0!</v>
      </c>
      <c r="AH109" s="57" t="e">
        <f t="shared" si="47"/>
        <v>#DIV/0!</v>
      </c>
      <c r="AI109" s="57" t="e">
        <f t="shared" si="48"/>
        <v>#DIV/0!</v>
      </c>
      <c r="AJ109" s="57" t="e">
        <f t="shared" si="49"/>
        <v>#DIV/0!</v>
      </c>
      <c r="AK109" s="57" t="e">
        <f t="shared" si="50"/>
        <v>#DIV/0!</v>
      </c>
      <c r="AL109" s="57" t="e">
        <f t="shared" si="51"/>
        <v>#DIV/0!</v>
      </c>
      <c r="AM109" s="63"/>
      <c r="AN109" s="57" t="e">
        <f t="shared" si="53"/>
        <v>#DIV/0!</v>
      </c>
      <c r="AO109" s="58" t="e">
        <f t="shared" si="29"/>
        <v>#VALUE!</v>
      </c>
      <c r="AP109" s="63"/>
      <c r="AQ109" s="58" t="e">
        <f t="shared" si="54"/>
        <v>#DIV/0!</v>
      </c>
      <c r="AR109" s="63"/>
      <c r="AS109" s="58" t="e">
        <f t="shared" si="54"/>
        <v>#DIV/0!</v>
      </c>
      <c r="AT109" s="58" t="e">
        <f t="shared" si="54"/>
        <v>#DIV/0!</v>
      </c>
      <c r="AU109" s="58" t="e">
        <f t="shared" si="54"/>
        <v>#DIV/0!</v>
      </c>
      <c r="AV109" s="58" t="e">
        <f t="shared" si="54"/>
        <v>#DIV/0!</v>
      </c>
      <c r="AW109" s="58" t="e">
        <f t="shared" si="54"/>
        <v>#DIV/0!</v>
      </c>
      <c r="AX109" s="58" t="e">
        <f t="shared" si="54"/>
        <v>#DIV/0!</v>
      </c>
      <c r="AY109" s="58" t="e">
        <f t="shared" si="54"/>
        <v>#DIV/0!</v>
      </c>
      <c r="AZ109" s="63"/>
      <c r="BA109" s="58" t="e">
        <f t="shared" si="54"/>
        <v>#DIV/0!</v>
      </c>
      <c r="BB109" s="63"/>
      <c r="BC109" s="57" t="e">
        <f>(Links!C109*Links!AQ109+'On-Ramps'!AC109*'On-Ramps'!CE109)/('On-Ramps'!AC109+Links!C109)</f>
        <v>#DIV/0!</v>
      </c>
      <c r="BD109" s="63"/>
      <c r="BE109" s="57" t="e">
        <f>(Links!E109*Links!AS109+'On-Ramps'!AD109*'On-Ramps'!CF108)/('On-Ramps'!AD109+Links!E109)</f>
        <v>#DIV/0!</v>
      </c>
      <c r="BF109" s="57" t="e">
        <f>(Links!F109*Links!AT109+'On-Ramps'!AE109*'On-Ramps'!CG109)/('On-Ramps'!AE109+Links!F109)</f>
        <v>#DIV/0!</v>
      </c>
      <c r="BG109" s="57" t="e">
        <f>(Links!I109*Links!AW109+'On-Ramps'!AF109*'On-Ramps'!CH109)/('On-Ramps'!AF109+Links!I109)</f>
        <v>#DIV/0!</v>
      </c>
      <c r="BH109" s="57" t="e">
        <f>(#REF!*#REF!+'On-Ramps'!AG109*'On-Ramps'!CI109)/('On-Ramps'!AG109+#REF!)</f>
        <v>#REF!</v>
      </c>
      <c r="BI109" s="57" t="e">
        <f>(Links!L109*Links!AZ109+'On-Ramps'!AH109*'On-Ramps'!CJ109)/('On-Ramps'!AH109+Links!L109)</f>
        <v>#DIV/0!</v>
      </c>
      <c r="BJ109" s="57" t="e">
        <f>(Links!BA109*Links!M109+'On-Ramps'!AI109*'On-Ramps'!CK109)/('On-Ramps'!AI109+Links!M109)</f>
        <v>#DIV/0!</v>
      </c>
      <c r="BK109" s="57" t="e">
        <f>(Links!S109*Links!BG109+'On-Ramps'!AJ109*'On-Ramps'!CL109)/('On-Ramps'!AJ109+Links!S109)</f>
        <v>#DIV/0!</v>
      </c>
      <c r="BL109" s="63"/>
      <c r="BM109" s="57" t="e">
        <f>(Links!S109*Links!BG109+'On-Ramps'!AL109*'On-Ramps'!CM109)/(Links!S109+'On-Ramps'!AL109)</f>
        <v>#DIV/0!</v>
      </c>
      <c r="BN109" s="63"/>
      <c r="BO109" s="58" t="e">
        <f>(Links!W109^2+'Off-Ramp'!L109^2)/(Links!W109+'Off-Ramp'!L109)</f>
        <v>#DIV/0!</v>
      </c>
      <c r="BP109" s="63"/>
      <c r="BQ109" s="58" t="e">
        <f>(Links!Y109^2+'Off-Ramp'!C109^2)/(Links!Y109+'Off-Ramp'!C109)</f>
        <v>#DIV/0!</v>
      </c>
      <c r="BR109" s="63"/>
      <c r="BS109" s="58" t="e">
        <f>(Links!AA109^2+'Off-Ramp'!N109^2)/(Links!AA109+'Off-Ramp'!N109)</f>
        <v>#DIV/0!</v>
      </c>
      <c r="BT109" s="58" t="e">
        <f>(Links!AD109^2+'Off-Ramp'!O109^2)/(Links!AD109+'Off-Ramp'!O109)</f>
        <v>#DIV/0!</v>
      </c>
      <c r="BU109" s="58" t="e">
        <f>(Links!AE109^2+'Off-Ramp'!V109^2+'Off-Ramp'!W109^2+'Off-Ramp'!X109^2)/(Links!AE109+'Off-Ramp'!V109+'Off-Ramp'!W109+'Off-Ramp'!X109)</f>
        <v>#DIV/0!</v>
      </c>
      <c r="BV109" s="58" t="e">
        <f>(Links!AG109^2+'Off-Ramp'!Y109^2+'Off-Ramp'!Z109^2+'Off-Ramp'!AA109^2)/(Links!AG109+'Off-Ramp'!Y109+'Off-Ramp'!Z109+'Off-Ramp'!AA109)</f>
        <v>#DIV/0!</v>
      </c>
      <c r="BW109" s="58" t="e">
        <f>(Links!AH109^2+'Off-Ramp'!R109^2)/(Links!AH109+'Off-Ramp'!R109)</f>
        <v>#DIV/0!</v>
      </c>
      <c r="BX109" s="58" t="e">
        <f>(Links!AK109^2+'Off-Ramp'!S109^2)/(Links!AK109+'Off-Ramp'!S109)</f>
        <v>#DIV/0!</v>
      </c>
      <c r="BY109" s="58" t="e">
        <f>(Links!AL109^2+'Off-Ramp'!T109^2)/(Links!AL109+'Off-Ramp'!T109)</f>
        <v>#DIV/0!</v>
      </c>
      <c r="BZ109" s="63"/>
      <c r="CA109" s="58" t="e">
        <f>(Links!AN109^2+'Off-Ramp'!U109^2)/(Links!AN109+'Off-Ramp'!U109)</f>
        <v>#DIV/0!</v>
      </c>
    </row>
    <row r="110" spans="1:79" x14ac:dyDescent="0.15">
      <c r="A110" s="56">
        <v>108</v>
      </c>
      <c r="B110" s="57" t="e">
        <f t="shared" si="30"/>
        <v>#DIV/0!</v>
      </c>
      <c r="C110" s="57" t="e">
        <f t="shared" si="31"/>
        <v>#DIV/0!</v>
      </c>
      <c r="D110" s="57" t="e">
        <f t="shared" si="32"/>
        <v>#DIV/0!</v>
      </c>
      <c r="E110" s="57" t="e">
        <f t="shared" si="33"/>
        <v>#DIV/0!</v>
      </c>
      <c r="F110" s="57" t="e">
        <f t="shared" si="34"/>
        <v>#DIV/0!</v>
      </c>
      <c r="G110" s="57" t="e">
        <f t="shared" si="35"/>
        <v>#DIV/0!</v>
      </c>
      <c r="H110" s="57" t="e">
        <f t="shared" si="36"/>
        <v>#DIV/0!</v>
      </c>
      <c r="I110" s="57" t="e">
        <f t="shared" si="37"/>
        <v>#DIV/0!</v>
      </c>
      <c r="J110" s="57" t="e">
        <f t="shared" si="38"/>
        <v>#DIV/0!</v>
      </c>
      <c r="K110" s="57" t="e">
        <f t="shared" si="39"/>
        <v>#DIV/0!</v>
      </c>
      <c r="L110" s="57" t="e">
        <f t="shared" si="40"/>
        <v>#DIV/0!</v>
      </c>
      <c r="M110" s="57" t="e">
        <f t="shared" si="41"/>
        <v>#DIV/0!</v>
      </c>
      <c r="N110" s="57" t="e">
        <f t="shared" si="42"/>
        <v>#DIV/0!</v>
      </c>
      <c r="O110" s="58" t="e">
        <f>Links!B110</f>
        <v>#DIV/0!</v>
      </c>
      <c r="P110" s="58" t="e">
        <f>Links!C110+'On-Ramps'!AC110</f>
        <v>#DIV/0!</v>
      </c>
      <c r="Q110" s="58" t="e">
        <f>Links!D110</f>
        <v>#DIV/0!</v>
      </c>
      <c r="R110" s="58" t="e">
        <f>Links!E110+'On-Ramps'!AD110</f>
        <v>#DIV/0!</v>
      </c>
      <c r="S110" s="58" t="e">
        <f>Links!F110+'On-Ramps'!AE110</f>
        <v>#DIV/0!</v>
      </c>
      <c r="T110" s="58" t="e">
        <f>Links!I110+'On-Ramps'!AF110</f>
        <v>#DIV/0!</v>
      </c>
      <c r="U110" s="58" t="e">
        <f>Links!J110+'On-Ramps'!AG110</f>
        <v>#DIV/0!</v>
      </c>
      <c r="V110" s="58" t="e">
        <f>Links!L110+'On-Ramps'!AH110</f>
        <v>#DIV/0!</v>
      </c>
      <c r="W110" s="58" t="e">
        <f>Links!M110+'On-Ramps'!AI110</f>
        <v>#DIV/0!</v>
      </c>
      <c r="X110" s="58" t="e">
        <f>Links!P110+'On-Ramps'!AJ110</f>
        <v>#DIV/0!</v>
      </c>
      <c r="Y110" s="58" t="e">
        <f>Links!Q110</f>
        <v>#DIV/0!</v>
      </c>
      <c r="Z110" s="58" t="e">
        <f>Links!R110+'On-Ramps'!AK110</f>
        <v>#DIV/0!</v>
      </c>
      <c r="AA110" s="58" t="e">
        <f>Links!S110</f>
        <v>#DIV/0!</v>
      </c>
      <c r="AB110" s="57" t="e">
        <f t="shared" si="43"/>
        <v>#VALUE!</v>
      </c>
      <c r="AC110" s="63"/>
      <c r="AD110" s="57" t="e">
        <f t="shared" si="44"/>
        <v>#DIV/0!</v>
      </c>
      <c r="AE110" s="63"/>
      <c r="AF110" s="57" t="e">
        <f t="shared" si="45"/>
        <v>#DIV/0!</v>
      </c>
      <c r="AG110" s="57" t="e">
        <f t="shared" si="46"/>
        <v>#DIV/0!</v>
      </c>
      <c r="AH110" s="57" t="e">
        <f t="shared" si="47"/>
        <v>#DIV/0!</v>
      </c>
      <c r="AI110" s="57" t="e">
        <f t="shared" si="48"/>
        <v>#DIV/0!</v>
      </c>
      <c r="AJ110" s="57" t="e">
        <f t="shared" si="49"/>
        <v>#DIV/0!</v>
      </c>
      <c r="AK110" s="57" t="e">
        <f t="shared" si="50"/>
        <v>#DIV/0!</v>
      </c>
      <c r="AL110" s="57" t="e">
        <f t="shared" si="51"/>
        <v>#DIV/0!</v>
      </c>
      <c r="AM110" s="63"/>
      <c r="AN110" s="57" t="e">
        <f t="shared" si="53"/>
        <v>#DIV/0!</v>
      </c>
      <c r="AO110" s="58" t="e">
        <f t="shared" si="29"/>
        <v>#VALUE!</v>
      </c>
      <c r="AP110" s="63"/>
      <c r="AQ110" s="58" t="e">
        <f t="shared" si="54"/>
        <v>#DIV/0!</v>
      </c>
      <c r="AR110" s="63"/>
      <c r="AS110" s="58" t="e">
        <f t="shared" si="54"/>
        <v>#DIV/0!</v>
      </c>
      <c r="AT110" s="58" t="e">
        <f t="shared" si="54"/>
        <v>#DIV/0!</v>
      </c>
      <c r="AU110" s="58" t="e">
        <f t="shared" si="54"/>
        <v>#DIV/0!</v>
      </c>
      <c r="AV110" s="58" t="e">
        <f t="shared" si="54"/>
        <v>#DIV/0!</v>
      </c>
      <c r="AW110" s="58" t="e">
        <f t="shared" si="54"/>
        <v>#DIV/0!</v>
      </c>
      <c r="AX110" s="58" t="e">
        <f t="shared" si="54"/>
        <v>#DIV/0!</v>
      </c>
      <c r="AY110" s="58" t="e">
        <f t="shared" si="54"/>
        <v>#DIV/0!</v>
      </c>
      <c r="AZ110" s="63"/>
      <c r="BA110" s="58" t="e">
        <f t="shared" si="54"/>
        <v>#DIV/0!</v>
      </c>
      <c r="BB110" s="63"/>
      <c r="BC110" s="57" t="e">
        <f>(Links!C110*Links!AQ110+'On-Ramps'!AC110*'On-Ramps'!CE110)/('On-Ramps'!AC110+Links!C110)</f>
        <v>#DIV/0!</v>
      </c>
      <c r="BD110" s="63"/>
      <c r="BE110" s="57" t="e">
        <f>(Links!E110*Links!AS110+'On-Ramps'!AD110*'On-Ramps'!CF109)/('On-Ramps'!AD110+Links!E110)</f>
        <v>#DIV/0!</v>
      </c>
      <c r="BF110" s="57" t="e">
        <f>(Links!F110*Links!AT110+'On-Ramps'!AE110*'On-Ramps'!CG110)/('On-Ramps'!AE110+Links!F110)</f>
        <v>#DIV/0!</v>
      </c>
      <c r="BG110" s="57" t="e">
        <f>(Links!I110*Links!AW110+'On-Ramps'!AF110*'On-Ramps'!CH110)/('On-Ramps'!AF110+Links!I110)</f>
        <v>#DIV/0!</v>
      </c>
      <c r="BH110" s="57" t="e">
        <f>(#REF!*#REF!+'On-Ramps'!AG110*'On-Ramps'!CI110)/('On-Ramps'!AG110+#REF!)</f>
        <v>#REF!</v>
      </c>
      <c r="BI110" s="57" t="e">
        <f>(Links!L110*Links!AZ110+'On-Ramps'!AH110*'On-Ramps'!CJ110)/('On-Ramps'!AH110+Links!L110)</f>
        <v>#DIV/0!</v>
      </c>
      <c r="BJ110" s="57" t="e">
        <f>(Links!BA110*Links!M110+'On-Ramps'!AI110*'On-Ramps'!CK110)/('On-Ramps'!AI110+Links!M110)</f>
        <v>#DIV/0!</v>
      </c>
      <c r="BK110" s="57" t="e">
        <f>(Links!S110*Links!BG110+'On-Ramps'!AJ110*'On-Ramps'!CL110)/('On-Ramps'!AJ110+Links!S110)</f>
        <v>#DIV/0!</v>
      </c>
      <c r="BL110" s="63"/>
      <c r="BM110" s="57" t="e">
        <f>(Links!S110*Links!BG110+'On-Ramps'!AL110*'On-Ramps'!CM110)/(Links!S110+'On-Ramps'!AL110)</f>
        <v>#DIV/0!</v>
      </c>
      <c r="BN110" s="63"/>
      <c r="BO110" s="58" t="e">
        <f>(Links!W110^2+'Off-Ramp'!L110^2)/(Links!W110+'Off-Ramp'!L110)</f>
        <v>#DIV/0!</v>
      </c>
      <c r="BP110" s="63"/>
      <c r="BQ110" s="58" t="e">
        <f>(Links!Y110^2+'Off-Ramp'!C110^2)/(Links!Y110+'Off-Ramp'!C110)</f>
        <v>#DIV/0!</v>
      </c>
      <c r="BR110" s="63"/>
      <c r="BS110" s="58" t="e">
        <f>(Links!AA110^2+'Off-Ramp'!N110^2)/(Links!AA110+'Off-Ramp'!N110)</f>
        <v>#DIV/0!</v>
      </c>
      <c r="BT110" s="58" t="e">
        <f>(Links!AD110^2+'Off-Ramp'!O110^2)/(Links!AD110+'Off-Ramp'!O110)</f>
        <v>#DIV/0!</v>
      </c>
      <c r="BU110" s="58" t="e">
        <f>(Links!AE110^2+'Off-Ramp'!V110^2+'Off-Ramp'!W110^2+'Off-Ramp'!X110^2)/(Links!AE110+'Off-Ramp'!V110+'Off-Ramp'!W110+'Off-Ramp'!X110)</f>
        <v>#DIV/0!</v>
      </c>
      <c r="BV110" s="58" t="e">
        <f>(Links!AG110^2+'Off-Ramp'!Y110^2+'Off-Ramp'!Z110^2+'Off-Ramp'!AA110^2)/(Links!AG110+'Off-Ramp'!Y110+'Off-Ramp'!Z110+'Off-Ramp'!AA110)</f>
        <v>#DIV/0!</v>
      </c>
      <c r="BW110" s="58" t="e">
        <f>(Links!AH110^2+'Off-Ramp'!R110^2)/(Links!AH110+'Off-Ramp'!R110)</f>
        <v>#DIV/0!</v>
      </c>
      <c r="BX110" s="58" t="e">
        <f>(Links!AK110^2+'Off-Ramp'!S110^2)/(Links!AK110+'Off-Ramp'!S110)</f>
        <v>#DIV/0!</v>
      </c>
      <c r="BY110" s="58" t="e">
        <f>(Links!AL110^2+'Off-Ramp'!T110^2)/(Links!AL110+'Off-Ramp'!T110)</f>
        <v>#DIV/0!</v>
      </c>
      <c r="BZ110" s="63"/>
      <c r="CA110" s="58" t="e">
        <f>(Links!AN110^2+'Off-Ramp'!U110^2)/(Links!AN110+'Off-Ramp'!U110)</f>
        <v>#DIV/0!</v>
      </c>
    </row>
    <row r="111" spans="1:79" x14ac:dyDescent="0.15">
      <c r="A111" s="56">
        <v>109</v>
      </c>
      <c r="B111" s="57" t="e">
        <f t="shared" si="30"/>
        <v>#DIV/0!</v>
      </c>
      <c r="C111" s="57" t="e">
        <f t="shared" si="31"/>
        <v>#DIV/0!</v>
      </c>
      <c r="D111" s="57" t="e">
        <f t="shared" si="32"/>
        <v>#DIV/0!</v>
      </c>
      <c r="E111" s="57" t="e">
        <f t="shared" si="33"/>
        <v>#DIV/0!</v>
      </c>
      <c r="F111" s="57" t="e">
        <f t="shared" si="34"/>
        <v>#DIV/0!</v>
      </c>
      <c r="G111" s="57" t="e">
        <f t="shared" si="35"/>
        <v>#DIV/0!</v>
      </c>
      <c r="H111" s="57" t="e">
        <f t="shared" si="36"/>
        <v>#DIV/0!</v>
      </c>
      <c r="I111" s="57" t="e">
        <f t="shared" si="37"/>
        <v>#DIV/0!</v>
      </c>
      <c r="J111" s="57" t="e">
        <f t="shared" si="38"/>
        <v>#DIV/0!</v>
      </c>
      <c r="K111" s="57" t="e">
        <f t="shared" si="39"/>
        <v>#DIV/0!</v>
      </c>
      <c r="L111" s="57" t="e">
        <f t="shared" si="40"/>
        <v>#DIV/0!</v>
      </c>
      <c r="M111" s="57" t="e">
        <f t="shared" si="41"/>
        <v>#DIV/0!</v>
      </c>
      <c r="N111" s="57" t="e">
        <f t="shared" si="42"/>
        <v>#DIV/0!</v>
      </c>
      <c r="O111" s="58" t="e">
        <f>Links!B111</f>
        <v>#DIV/0!</v>
      </c>
      <c r="P111" s="58" t="e">
        <f>Links!C111+'On-Ramps'!AC111</f>
        <v>#DIV/0!</v>
      </c>
      <c r="Q111" s="58" t="e">
        <f>Links!D111</f>
        <v>#DIV/0!</v>
      </c>
      <c r="R111" s="58" t="e">
        <f>Links!E111+'On-Ramps'!AD111</f>
        <v>#DIV/0!</v>
      </c>
      <c r="S111" s="58" t="e">
        <f>Links!F111+'On-Ramps'!AE111</f>
        <v>#DIV/0!</v>
      </c>
      <c r="T111" s="58" t="e">
        <f>Links!I111+'On-Ramps'!AF111</f>
        <v>#DIV/0!</v>
      </c>
      <c r="U111" s="58" t="e">
        <f>Links!J111+'On-Ramps'!AG111</f>
        <v>#DIV/0!</v>
      </c>
      <c r="V111" s="58" t="e">
        <f>Links!L111+'On-Ramps'!AH111</f>
        <v>#DIV/0!</v>
      </c>
      <c r="W111" s="58" t="e">
        <f>Links!M111+'On-Ramps'!AI111</f>
        <v>#DIV/0!</v>
      </c>
      <c r="X111" s="58" t="e">
        <f>Links!P111+'On-Ramps'!AJ111</f>
        <v>#DIV/0!</v>
      </c>
      <c r="Y111" s="58" t="e">
        <f>Links!Q111</f>
        <v>#DIV/0!</v>
      </c>
      <c r="Z111" s="58" t="e">
        <f>Links!R111+'On-Ramps'!AK111</f>
        <v>#DIV/0!</v>
      </c>
      <c r="AA111" s="58" t="e">
        <f>Links!S111</f>
        <v>#DIV/0!</v>
      </c>
      <c r="AB111" s="57" t="e">
        <f t="shared" si="43"/>
        <v>#VALUE!</v>
      </c>
      <c r="AC111" s="63"/>
      <c r="AD111" s="57" t="e">
        <f t="shared" si="44"/>
        <v>#DIV/0!</v>
      </c>
      <c r="AE111" s="63"/>
      <c r="AF111" s="57" t="e">
        <f t="shared" si="45"/>
        <v>#DIV/0!</v>
      </c>
      <c r="AG111" s="57" t="e">
        <f t="shared" si="46"/>
        <v>#DIV/0!</v>
      </c>
      <c r="AH111" s="57" t="e">
        <f t="shared" si="47"/>
        <v>#DIV/0!</v>
      </c>
      <c r="AI111" s="57" t="e">
        <f t="shared" si="48"/>
        <v>#DIV/0!</v>
      </c>
      <c r="AJ111" s="57" t="e">
        <f t="shared" si="49"/>
        <v>#DIV/0!</v>
      </c>
      <c r="AK111" s="57" t="e">
        <f t="shared" si="50"/>
        <v>#DIV/0!</v>
      </c>
      <c r="AL111" s="57" t="e">
        <f t="shared" si="51"/>
        <v>#DIV/0!</v>
      </c>
      <c r="AM111" s="63"/>
      <c r="AN111" s="57" t="e">
        <f t="shared" si="53"/>
        <v>#DIV/0!</v>
      </c>
      <c r="AO111" s="58" t="e">
        <f t="shared" si="29"/>
        <v>#VALUE!</v>
      </c>
      <c r="AP111" s="63"/>
      <c r="AQ111" s="58" t="e">
        <f t="shared" si="54"/>
        <v>#DIV/0!</v>
      </c>
      <c r="AR111" s="63"/>
      <c r="AS111" s="58" t="e">
        <f t="shared" si="54"/>
        <v>#DIV/0!</v>
      </c>
      <c r="AT111" s="58" t="e">
        <f t="shared" si="54"/>
        <v>#DIV/0!</v>
      </c>
      <c r="AU111" s="58" t="e">
        <f t="shared" si="54"/>
        <v>#DIV/0!</v>
      </c>
      <c r="AV111" s="58" t="e">
        <f t="shared" si="54"/>
        <v>#DIV/0!</v>
      </c>
      <c r="AW111" s="58" t="e">
        <f t="shared" si="54"/>
        <v>#DIV/0!</v>
      </c>
      <c r="AX111" s="58" t="e">
        <f t="shared" si="54"/>
        <v>#DIV/0!</v>
      </c>
      <c r="AY111" s="58" t="e">
        <f t="shared" si="54"/>
        <v>#DIV/0!</v>
      </c>
      <c r="AZ111" s="63"/>
      <c r="BA111" s="58" t="e">
        <f t="shared" si="54"/>
        <v>#DIV/0!</v>
      </c>
      <c r="BB111" s="63"/>
      <c r="BC111" s="57" t="e">
        <f>(Links!C111*Links!AQ111+'On-Ramps'!AC111*'On-Ramps'!CE111)/('On-Ramps'!AC111+Links!C111)</f>
        <v>#DIV/0!</v>
      </c>
      <c r="BD111" s="63"/>
      <c r="BE111" s="57" t="e">
        <f>(Links!E111*Links!AS111+'On-Ramps'!AD111*'On-Ramps'!CF110)/('On-Ramps'!AD111+Links!E111)</f>
        <v>#DIV/0!</v>
      </c>
      <c r="BF111" s="57" t="e">
        <f>(Links!F111*Links!AT111+'On-Ramps'!AE111*'On-Ramps'!CG111)/('On-Ramps'!AE111+Links!F111)</f>
        <v>#DIV/0!</v>
      </c>
      <c r="BG111" s="57" t="e">
        <f>(Links!I111*Links!AW111+'On-Ramps'!AF111*'On-Ramps'!CH111)/('On-Ramps'!AF111+Links!I111)</f>
        <v>#DIV/0!</v>
      </c>
      <c r="BH111" s="57" t="e">
        <f>(#REF!*#REF!+'On-Ramps'!AG111*'On-Ramps'!CI111)/('On-Ramps'!AG111+#REF!)</f>
        <v>#REF!</v>
      </c>
      <c r="BI111" s="57" t="e">
        <f>(Links!L111*Links!AZ111+'On-Ramps'!AH111*'On-Ramps'!CJ111)/('On-Ramps'!AH111+Links!L111)</f>
        <v>#DIV/0!</v>
      </c>
      <c r="BJ111" s="57" t="e">
        <f>(Links!BA111*Links!M111+'On-Ramps'!AI111*'On-Ramps'!CK111)/('On-Ramps'!AI111+Links!M111)</f>
        <v>#DIV/0!</v>
      </c>
      <c r="BK111" s="57" t="e">
        <f>(Links!S111*Links!BG111+'On-Ramps'!AJ111*'On-Ramps'!CL111)/('On-Ramps'!AJ111+Links!S111)</f>
        <v>#DIV/0!</v>
      </c>
      <c r="BL111" s="63"/>
      <c r="BM111" s="57" t="e">
        <f>(Links!S111*Links!BG111+'On-Ramps'!AL111*'On-Ramps'!CM111)/(Links!S111+'On-Ramps'!AL111)</f>
        <v>#DIV/0!</v>
      </c>
      <c r="BN111" s="63"/>
      <c r="BO111" s="58" t="e">
        <f>(Links!W111^2+'Off-Ramp'!L111^2)/(Links!W111+'Off-Ramp'!L111)</f>
        <v>#DIV/0!</v>
      </c>
      <c r="BP111" s="63"/>
      <c r="BQ111" s="58" t="e">
        <f>(Links!Y111^2+'Off-Ramp'!C111^2)/(Links!Y111+'Off-Ramp'!C111)</f>
        <v>#DIV/0!</v>
      </c>
      <c r="BR111" s="63"/>
      <c r="BS111" s="58" t="e">
        <f>(Links!AA111^2+'Off-Ramp'!N111^2)/(Links!AA111+'Off-Ramp'!N111)</f>
        <v>#DIV/0!</v>
      </c>
      <c r="BT111" s="58" t="e">
        <f>(Links!AD111^2+'Off-Ramp'!O111^2)/(Links!AD111+'Off-Ramp'!O111)</f>
        <v>#DIV/0!</v>
      </c>
      <c r="BU111" s="58" t="e">
        <f>(Links!AE111^2+'Off-Ramp'!V111^2+'Off-Ramp'!W111^2+'Off-Ramp'!X111^2)/(Links!AE111+'Off-Ramp'!V111+'Off-Ramp'!W111+'Off-Ramp'!X111)</f>
        <v>#DIV/0!</v>
      </c>
      <c r="BV111" s="58" t="e">
        <f>(Links!AG111^2+'Off-Ramp'!Y111^2+'Off-Ramp'!Z111^2+'Off-Ramp'!AA111^2)/(Links!AG111+'Off-Ramp'!Y111+'Off-Ramp'!Z111+'Off-Ramp'!AA111)</f>
        <v>#DIV/0!</v>
      </c>
      <c r="BW111" s="58" t="e">
        <f>(Links!AH111^2+'Off-Ramp'!R111^2)/(Links!AH111+'Off-Ramp'!R111)</f>
        <v>#DIV/0!</v>
      </c>
      <c r="BX111" s="58" t="e">
        <f>(Links!AK111^2+'Off-Ramp'!S111^2)/(Links!AK111+'Off-Ramp'!S111)</f>
        <v>#DIV/0!</v>
      </c>
      <c r="BY111" s="58" t="e">
        <f>(Links!AL111^2+'Off-Ramp'!T111^2)/(Links!AL111+'Off-Ramp'!T111)</f>
        <v>#DIV/0!</v>
      </c>
      <c r="BZ111" s="63"/>
      <c r="CA111" s="58" t="e">
        <f>(Links!AN111^2+'Off-Ramp'!U111^2)/(Links!AN111+'Off-Ramp'!U111)</f>
        <v>#DIV/0!</v>
      </c>
    </row>
    <row r="112" spans="1:79" x14ac:dyDescent="0.15">
      <c r="A112" s="56">
        <v>110</v>
      </c>
      <c r="B112" s="57" t="e">
        <f t="shared" si="30"/>
        <v>#DIV/0!</v>
      </c>
      <c r="C112" s="57" t="e">
        <f t="shared" si="31"/>
        <v>#DIV/0!</v>
      </c>
      <c r="D112" s="57" t="e">
        <f t="shared" si="32"/>
        <v>#DIV/0!</v>
      </c>
      <c r="E112" s="57" t="e">
        <f t="shared" si="33"/>
        <v>#DIV/0!</v>
      </c>
      <c r="F112" s="57" t="e">
        <f t="shared" si="34"/>
        <v>#DIV/0!</v>
      </c>
      <c r="G112" s="57" t="e">
        <f t="shared" si="35"/>
        <v>#DIV/0!</v>
      </c>
      <c r="H112" s="57" t="e">
        <f t="shared" si="36"/>
        <v>#DIV/0!</v>
      </c>
      <c r="I112" s="57" t="e">
        <f t="shared" si="37"/>
        <v>#DIV/0!</v>
      </c>
      <c r="J112" s="57" t="e">
        <f t="shared" si="38"/>
        <v>#DIV/0!</v>
      </c>
      <c r="K112" s="57" t="e">
        <f t="shared" si="39"/>
        <v>#DIV/0!</v>
      </c>
      <c r="L112" s="57" t="e">
        <f t="shared" si="40"/>
        <v>#DIV/0!</v>
      </c>
      <c r="M112" s="57" t="e">
        <f t="shared" si="41"/>
        <v>#DIV/0!</v>
      </c>
      <c r="N112" s="57" t="e">
        <f t="shared" si="42"/>
        <v>#DIV/0!</v>
      </c>
      <c r="O112" s="58" t="e">
        <f>Links!B112</f>
        <v>#DIV/0!</v>
      </c>
      <c r="P112" s="58" t="e">
        <f>Links!C112+'On-Ramps'!AC112</f>
        <v>#DIV/0!</v>
      </c>
      <c r="Q112" s="58" t="e">
        <f>Links!D112</f>
        <v>#DIV/0!</v>
      </c>
      <c r="R112" s="58" t="e">
        <f>Links!E112+'On-Ramps'!AD112</f>
        <v>#DIV/0!</v>
      </c>
      <c r="S112" s="58" t="e">
        <f>Links!F112+'On-Ramps'!AE112</f>
        <v>#DIV/0!</v>
      </c>
      <c r="T112" s="58" t="e">
        <f>Links!I112+'On-Ramps'!AF112</f>
        <v>#DIV/0!</v>
      </c>
      <c r="U112" s="58" t="e">
        <f>Links!J112+'On-Ramps'!AG112</f>
        <v>#DIV/0!</v>
      </c>
      <c r="V112" s="58" t="e">
        <f>Links!L112+'On-Ramps'!AH112</f>
        <v>#DIV/0!</v>
      </c>
      <c r="W112" s="58" t="e">
        <f>Links!M112+'On-Ramps'!AI112</f>
        <v>#DIV/0!</v>
      </c>
      <c r="X112" s="58" t="e">
        <f>Links!P112+'On-Ramps'!AJ112</f>
        <v>#DIV/0!</v>
      </c>
      <c r="Y112" s="58" t="e">
        <f>Links!Q112</f>
        <v>#DIV/0!</v>
      </c>
      <c r="Z112" s="58" t="e">
        <f>Links!R112+'On-Ramps'!AK112</f>
        <v>#DIV/0!</v>
      </c>
      <c r="AA112" s="58" t="e">
        <f>Links!S112</f>
        <v>#DIV/0!</v>
      </c>
      <c r="AB112" s="57" t="e">
        <f t="shared" si="43"/>
        <v>#VALUE!</v>
      </c>
      <c r="AC112" s="63"/>
      <c r="AD112" s="57" t="e">
        <f t="shared" si="44"/>
        <v>#DIV/0!</v>
      </c>
      <c r="AE112" s="63"/>
      <c r="AF112" s="57" t="e">
        <f t="shared" si="45"/>
        <v>#DIV/0!</v>
      </c>
      <c r="AG112" s="57" t="e">
        <f t="shared" si="46"/>
        <v>#DIV/0!</v>
      </c>
      <c r="AH112" s="57" t="e">
        <f t="shared" si="47"/>
        <v>#DIV/0!</v>
      </c>
      <c r="AI112" s="57" t="e">
        <f t="shared" si="48"/>
        <v>#DIV/0!</v>
      </c>
      <c r="AJ112" s="57" t="e">
        <f t="shared" si="49"/>
        <v>#DIV/0!</v>
      </c>
      <c r="AK112" s="57" t="e">
        <f t="shared" si="50"/>
        <v>#DIV/0!</v>
      </c>
      <c r="AL112" s="57" t="e">
        <f t="shared" si="51"/>
        <v>#DIV/0!</v>
      </c>
      <c r="AM112" s="63"/>
      <c r="AN112" s="57" t="e">
        <f t="shared" si="53"/>
        <v>#DIV/0!</v>
      </c>
      <c r="AO112" s="58" t="e">
        <f t="shared" si="29"/>
        <v>#VALUE!</v>
      </c>
      <c r="AP112" s="63"/>
      <c r="AQ112" s="58" t="e">
        <f t="shared" si="54"/>
        <v>#DIV/0!</v>
      </c>
      <c r="AR112" s="63"/>
      <c r="AS112" s="58" t="e">
        <f t="shared" si="54"/>
        <v>#DIV/0!</v>
      </c>
      <c r="AT112" s="58" t="e">
        <f t="shared" si="54"/>
        <v>#DIV/0!</v>
      </c>
      <c r="AU112" s="58" t="e">
        <f t="shared" si="54"/>
        <v>#DIV/0!</v>
      </c>
      <c r="AV112" s="58" t="e">
        <f t="shared" si="54"/>
        <v>#DIV/0!</v>
      </c>
      <c r="AW112" s="58" t="e">
        <f t="shared" si="54"/>
        <v>#DIV/0!</v>
      </c>
      <c r="AX112" s="58" t="e">
        <f t="shared" si="54"/>
        <v>#DIV/0!</v>
      </c>
      <c r="AY112" s="58" t="e">
        <f t="shared" si="54"/>
        <v>#DIV/0!</v>
      </c>
      <c r="AZ112" s="63"/>
      <c r="BA112" s="58" t="e">
        <f t="shared" si="54"/>
        <v>#DIV/0!</v>
      </c>
      <c r="BB112" s="63"/>
      <c r="BC112" s="57" t="e">
        <f>(Links!C112*Links!AQ112+'On-Ramps'!AC112*'On-Ramps'!CE112)/('On-Ramps'!AC112+Links!C112)</f>
        <v>#DIV/0!</v>
      </c>
      <c r="BD112" s="63"/>
      <c r="BE112" s="57" t="e">
        <f>(Links!E112*Links!AS112+'On-Ramps'!AD112*'On-Ramps'!CF111)/('On-Ramps'!AD112+Links!E112)</f>
        <v>#DIV/0!</v>
      </c>
      <c r="BF112" s="57" t="e">
        <f>(Links!F112*Links!AT112+'On-Ramps'!AE112*'On-Ramps'!CG112)/('On-Ramps'!AE112+Links!F112)</f>
        <v>#DIV/0!</v>
      </c>
      <c r="BG112" s="57" t="e">
        <f>(Links!I112*Links!AW112+'On-Ramps'!AF112*'On-Ramps'!CH112)/('On-Ramps'!AF112+Links!I112)</f>
        <v>#DIV/0!</v>
      </c>
      <c r="BH112" s="57" t="e">
        <f>(#REF!*#REF!+'On-Ramps'!AG112*'On-Ramps'!CI112)/('On-Ramps'!AG112+#REF!)</f>
        <v>#REF!</v>
      </c>
      <c r="BI112" s="57" t="e">
        <f>(Links!L112*Links!AZ112+'On-Ramps'!AH112*'On-Ramps'!CJ112)/('On-Ramps'!AH112+Links!L112)</f>
        <v>#DIV/0!</v>
      </c>
      <c r="BJ112" s="57" t="e">
        <f>(Links!BA112*Links!M112+'On-Ramps'!AI112*'On-Ramps'!CK112)/('On-Ramps'!AI112+Links!M112)</f>
        <v>#DIV/0!</v>
      </c>
      <c r="BK112" s="57" t="e">
        <f>(Links!S112*Links!BG112+'On-Ramps'!AJ112*'On-Ramps'!CL112)/('On-Ramps'!AJ112+Links!S112)</f>
        <v>#DIV/0!</v>
      </c>
      <c r="BL112" s="63"/>
      <c r="BM112" s="57" t="e">
        <f>(Links!S112*Links!BG112+'On-Ramps'!AL112*'On-Ramps'!CM112)/(Links!S112+'On-Ramps'!AL112)</f>
        <v>#DIV/0!</v>
      </c>
      <c r="BN112" s="63"/>
      <c r="BO112" s="58" t="e">
        <f>(Links!W112^2+'Off-Ramp'!L112^2)/(Links!W112+'Off-Ramp'!L112)</f>
        <v>#DIV/0!</v>
      </c>
      <c r="BP112" s="63"/>
      <c r="BQ112" s="58" t="e">
        <f>(Links!Y112^2+'Off-Ramp'!C112^2)/(Links!Y112+'Off-Ramp'!C112)</f>
        <v>#DIV/0!</v>
      </c>
      <c r="BR112" s="63"/>
      <c r="BS112" s="58" t="e">
        <f>(Links!AA112^2+'Off-Ramp'!N112^2)/(Links!AA112+'Off-Ramp'!N112)</f>
        <v>#DIV/0!</v>
      </c>
      <c r="BT112" s="58" t="e">
        <f>(Links!AD112^2+'Off-Ramp'!O112^2)/(Links!AD112+'Off-Ramp'!O112)</f>
        <v>#DIV/0!</v>
      </c>
      <c r="BU112" s="58" t="e">
        <f>(Links!AE112^2+'Off-Ramp'!V112^2+'Off-Ramp'!W112^2+'Off-Ramp'!X112^2)/(Links!AE112+'Off-Ramp'!V112+'Off-Ramp'!W112+'Off-Ramp'!X112)</f>
        <v>#DIV/0!</v>
      </c>
      <c r="BV112" s="58" t="e">
        <f>(Links!AG112^2+'Off-Ramp'!Y112^2+'Off-Ramp'!Z112^2+'Off-Ramp'!AA112^2)/(Links!AG112+'Off-Ramp'!Y112+'Off-Ramp'!Z112+'Off-Ramp'!AA112)</f>
        <v>#DIV/0!</v>
      </c>
      <c r="BW112" s="58" t="e">
        <f>(Links!AH112^2+'Off-Ramp'!R112^2)/(Links!AH112+'Off-Ramp'!R112)</f>
        <v>#DIV/0!</v>
      </c>
      <c r="BX112" s="58" t="e">
        <f>(Links!AK112^2+'Off-Ramp'!S112^2)/(Links!AK112+'Off-Ramp'!S112)</f>
        <v>#DIV/0!</v>
      </c>
      <c r="BY112" s="58" t="e">
        <f>(Links!AL112^2+'Off-Ramp'!T112^2)/(Links!AL112+'Off-Ramp'!T112)</f>
        <v>#DIV/0!</v>
      </c>
      <c r="BZ112" s="63"/>
      <c r="CA112" s="58" t="e">
        <f>(Links!AN112^2+'Off-Ramp'!U112^2)/(Links!AN112+'Off-Ramp'!U112)</f>
        <v>#DIV/0!</v>
      </c>
    </row>
    <row r="113" spans="1:79" x14ac:dyDescent="0.15">
      <c r="A113" s="56">
        <v>111</v>
      </c>
      <c r="B113" s="57" t="e">
        <f t="shared" si="30"/>
        <v>#DIV/0!</v>
      </c>
      <c r="C113" s="57" t="e">
        <f t="shared" si="31"/>
        <v>#DIV/0!</v>
      </c>
      <c r="D113" s="57" t="e">
        <f t="shared" si="32"/>
        <v>#DIV/0!</v>
      </c>
      <c r="E113" s="57" t="e">
        <f t="shared" si="33"/>
        <v>#DIV/0!</v>
      </c>
      <c r="F113" s="57" t="e">
        <f t="shared" si="34"/>
        <v>#DIV/0!</v>
      </c>
      <c r="G113" s="57" t="e">
        <f t="shared" si="35"/>
        <v>#DIV/0!</v>
      </c>
      <c r="H113" s="57" t="e">
        <f t="shared" si="36"/>
        <v>#DIV/0!</v>
      </c>
      <c r="I113" s="57" t="e">
        <f t="shared" si="37"/>
        <v>#DIV/0!</v>
      </c>
      <c r="J113" s="57" t="e">
        <f t="shared" si="38"/>
        <v>#DIV/0!</v>
      </c>
      <c r="K113" s="57" t="e">
        <f t="shared" si="39"/>
        <v>#DIV/0!</v>
      </c>
      <c r="L113" s="57" t="e">
        <f t="shared" si="40"/>
        <v>#DIV/0!</v>
      </c>
      <c r="M113" s="57" t="e">
        <f t="shared" si="41"/>
        <v>#DIV/0!</v>
      </c>
      <c r="N113" s="57" t="e">
        <f t="shared" si="42"/>
        <v>#DIV/0!</v>
      </c>
      <c r="O113" s="58" t="e">
        <f>Links!B113</f>
        <v>#DIV/0!</v>
      </c>
      <c r="P113" s="58" t="e">
        <f>Links!C113+'On-Ramps'!AC113</f>
        <v>#DIV/0!</v>
      </c>
      <c r="Q113" s="58" t="e">
        <f>Links!D113</f>
        <v>#DIV/0!</v>
      </c>
      <c r="R113" s="58" t="e">
        <f>Links!E113+'On-Ramps'!AD113</f>
        <v>#DIV/0!</v>
      </c>
      <c r="S113" s="58" t="e">
        <f>Links!F113+'On-Ramps'!AE113</f>
        <v>#DIV/0!</v>
      </c>
      <c r="T113" s="58" t="e">
        <f>Links!I113+'On-Ramps'!AF113</f>
        <v>#DIV/0!</v>
      </c>
      <c r="U113" s="58" t="e">
        <f>Links!J113+'On-Ramps'!AG113</f>
        <v>#DIV/0!</v>
      </c>
      <c r="V113" s="58" t="e">
        <f>Links!L113+'On-Ramps'!AH113</f>
        <v>#DIV/0!</v>
      </c>
      <c r="W113" s="58" t="e">
        <f>Links!M113+'On-Ramps'!AI113</f>
        <v>#DIV/0!</v>
      </c>
      <c r="X113" s="58" t="e">
        <f>Links!P113+'On-Ramps'!AJ113</f>
        <v>#DIV/0!</v>
      </c>
      <c r="Y113" s="58" t="e">
        <f>Links!Q113</f>
        <v>#DIV/0!</v>
      </c>
      <c r="Z113" s="58" t="e">
        <f>Links!R113+'On-Ramps'!AK113</f>
        <v>#DIV/0!</v>
      </c>
      <c r="AA113" s="58" t="e">
        <f>Links!S113</f>
        <v>#DIV/0!</v>
      </c>
      <c r="AB113" s="57" t="e">
        <f t="shared" si="43"/>
        <v>#VALUE!</v>
      </c>
      <c r="AC113" s="63"/>
      <c r="AD113" s="57" t="e">
        <f t="shared" si="44"/>
        <v>#DIV/0!</v>
      </c>
      <c r="AE113" s="63"/>
      <c r="AF113" s="57" t="e">
        <f t="shared" si="45"/>
        <v>#DIV/0!</v>
      </c>
      <c r="AG113" s="57" t="e">
        <f t="shared" si="46"/>
        <v>#DIV/0!</v>
      </c>
      <c r="AH113" s="57" t="e">
        <f t="shared" si="47"/>
        <v>#DIV/0!</v>
      </c>
      <c r="AI113" s="57" t="e">
        <f t="shared" si="48"/>
        <v>#DIV/0!</v>
      </c>
      <c r="AJ113" s="57" t="e">
        <f t="shared" si="49"/>
        <v>#DIV/0!</v>
      </c>
      <c r="AK113" s="57" t="e">
        <f t="shared" si="50"/>
        <v>#DIV/0!</v>
      </c>
      <c r="AL113" s="57" t="e">
        <f t="shared" si="51"/>
        <v>#DIV/0!</v>
      </c>
      <c r="AM113" s="63"/>
      <c r="AN113" s="57" t="e">
        <f t="shared" si="53"/>
        <v>#DIV/0!</v>
      </c>
      <c r="AO113" s="58" t="e">
        <f t="shared" si="29"/>
        <v>#VALUE!</v>
      </c>
      <c r="AP113" s="63"/>
      <c r="AQ113" s="58" t="e">
        <f t="shared" si="54"/>
        <v>#DIV/0!</v>
      </c>
      <c r="AR113" s="63"/>
      <c r="AS113" s="58" t="e">
        <f t="shared" si="54"/>
        <v>#DIV/0!</v>
      </c>
      <c r="AT113" s="58" t="e">
        <f t="shared" si="54"/>
        <v>#DIV/0!</v>
      </c>
      <c r="AU113" s="58" t="e">
        <f t="shared" si="54"/>
        <v>#DIV/0!</v>
      </c>
      <c r="AV113" s="58" t="e">
        <f t="shared" si="54"/>
        <v>#DIV/0!</v>
      </c>
      <c r="AW113" s="58" t="e">
        <f t="shared" si="54"/>
        <v>#DIV/0!</v>
      </c>
      <c r="AX113" s="58" t="e">
        <f t="shared" si="54"/>
        <v>#DIV/0!</v>
      </c>
      <c r="AY113" s="58" t="e">
        <f t="shared" si="54"/>
        <v>#DIV/0!</v>
      </c>
      <c r="AZ113" s="63"/>
      <c r="BA113" s="58" t="e">
        <f t="shared" si="54"/>
        <v>#DIV/0!</v>
      </c>
      <c r="BB113" s="63"/>
      <c r="BC113" s="57" t="e">
        <f>(Links!C113*Links!AQ113+'On-Ramps'!AC113*'On-Ramps'!CE113)/('On-Ramps'!AC113+Links!C113)</f>
        <v>#DIV/0!</v>
      </c>
      <c r="BD113" s="63"/>
      <c r="BE113" s="57" t="e">
        <f>(Links!E113*Links!AS113+'On-Ramps'!AD113*'On-Ramps'!CF112)/('On-Ramps'!AD113+Links!E113)</f>
        <v>#DIV/0!</v>
      </c>
      <c r="BF113" s="57" t="e">
        <f>(Links!F113*Links!AT113+'On-Ramps'!AE113*'On-Ramps'!CG113)/('On-Ramps'!AE113+Links!F113)</f>
        <v>#DIV/0!</v>
      </c>
      <c r="BG113" s="57" t="e">
        <f>(Links!I113*Links!AW113+'On-Ramps'!AF113*'On-Ramps'!CH113)/('On-Ramps'!AF113+Links!I113)</f>
        <v>#DIV/0!</v>
      </c>
      <c r="BH113" s="57" t="e">
        <f>(#REF!*#REF!+'On-Ramps'!AG113*'On-Ramps'!CI113)/('On-Ramps'!AG113+#REF!)</f>
        <v>#REF!</v>
      </c>
      <c r="BI113" s="57" t="e">
        <f>(Links!L113*Links!AZ113+'On-Ramps'!AH113*'On-Ramps'!CJ113)/('On-Ramps'!AH113+Links!L113)</f>
        <v>#DIV/0!</v>
      </c>
      <c r="BJ113" s="57" t="e">
        <f>(Links!BA113*Links!M113+'On-Ramps'!AI113*'On-Ramps'!CK113)/('On-Ramps'!AI113+Links!M113)</f>
        <v>#DIV/0!</v>
      </c>
      <c r="BK113" s="57" t="e">
        <f>(Links!S113*Links!BG113+'On-Ramps'!AJ113*'On-Ramps'!CL113)/('On-Ramps'!AJ113+Links!S113)</f>
        <v>#DIV/0!</v>
      </c>
      <c r="BL113" s="63"/>
      <c r="BM113" s="57" t="e">
        <f>(Links!S113*Links!BG113+'On-Ramps'!AL113*'On-Ramps'!CM113)/(Links!S113+'On-Ramps'!AL113)</f>
        <v>#DIV/0!</v>
      </c>
      <c r="BN113" s="63"/>
      <c r="BO113" s="58" t="e">
        <f>(Links!W113^2+'Off-Ramp'!L113^2)/(Links!W113+'Off-Ramp'!L113)</f>
        <v>#DIV/0!</v>
      </c>
      <c r="BP113" s="63"/>
      <c r="BQ113" s="58" t="e">
        <f>(Links!Y113^2+'Off-Ramp'!C113^2)/(Links!Y113+'Off-Ramp'!C113)</f>
        <v>#DIV/0!</v>
      </c>
      <c r="BR113" s="63"/>
      <c r="BS113" s="58" t="e">
        <f>(Links!AA113^2+'Off-Ramp'!N113^2)/(Links!AA113+'Off-Ramp'!N113)</f>
        <v>#DIV/0!</v>
      </c>
      <c r="BT113" s="58" t="e">
        <f>(Links!AD113^2+'Off-Ramp'!O113^2)/(Links!AD113+'Off-Ramp'!O113)</f>
        <v>#DIV/0!</v>
      </c>
      <c r="BU113" s="58" t="e">
        <f>(Links!AE113^2+'Off-Ramp'!V113^2+'Off-Ramp'!W113^2+'Off-Ramp'!X113^2)/(Links!AE113+'Off-Ramp'!V113+'Off-Ramp'!W113+'Off-Ramp'!X113)</f>
        <v>#DIV/0!</v>
      </c>
      <c r="BV113" s="58" t="e">
        <f>(Links!AG113^2+'Off-Ramp'!Y113^2+'Off-Ramp'!Z113^2+'Off-Ramp'!AA113^2)/(Links!AG113+'Off-Ramp'!Y113+'Off-Ramp'!Z113+'Off-Ramp'!AA113)</f>
        <v>#DIV/0!</v>
      </c>
      <c r="BW113" s="58" t="e">
        <f>(Links!AH113^2+'Off-Ramp'!R113^2)/(Links!AH113+'Off-Ramp'!R113)</f>
        <v>#DIV/0!</v>
      </c>
      <c r="BX113" s="58" t="e">
        <f>(Links!AK113^2+'Off-Ramp'!S113^2)/(Links!AK113+'Off-Ramp'!S113)</f>
        <v>#DIV/0!</v>
      </c>
      <c r="BY113" s="58" t="e">
        <f>(Links!AL113^2+'Off-Ramp'!T113^2)/(Links!AL113+'Off-Ramp'!T113)</f>
        <v>#DIV/0!</v>
      </c>
      <c r="BZ113" s="63"/>
      <c r="CA113" s="58" t="e">
        <f>(Links!AN113^2+'Off-Ramp'!U113^2)/(Links!AN113+'Off-Ramp'!U113)</f>
        <v>#DIV/0!</v>
      </c>
    </row>
    <row r="114" spans="1:79" x14ac:dyDescent="0.15">
      <c r="A114" s="56">
        <v>112</v>
      </c>
      <c r="B114" s="57" t="e">
        <f t="shared" si="30"/>
        <v>#DIV/0!</v>
      </c>
      <c r="C114" s="57" t="e">
        <f t="shared" si="31"/>
        <v>#DIV/0!</v>
      </c>
      <c r="D114" s="57" t="e">
        <f t="shared" si="32"/>
        <v>#DIV/0!</v>
      </c>
      <c r="E114" s="57" t="e">
        <f t="shared" si="33"/>
        <v>#DIV/0!</v>
      </c>
      <c r="F114" s="57" t="e">
        <f t="shared" si="34"/>
        <v>#DIV/0!</v>
      </c>
      <c r="G114" s="57" t="e">
        <f t="shared" si="35"/>
        <v>#DIV/0!</v>
      </c>
      <c r="H114" s="57" t="e">
        <f t="shared" si="36"/>
        <v>#DIV/0!</v>
      </c>
      <c r="I114" s="57" t="e">
        <f t="shared" si="37"/>
        <v>#DIV/0!</v>
      </c>
      <c r="J114" s="57" t="e">
        <f t="shared" si="38"/>
        <v>#DIV/0!</v>
      </c>
      <c r="K114" s="57" t="e">
        <f t="shared" si="39"/>
        <v>#DIV/0!</v>
      </c>
      <c r="L114" s="57" t="e">
        <f t="shared" si="40"/>
        <v>#DIV/0!</v>
      </c>
      <c r="M114" s="57" t="e">
        <f t="shared" si="41"/>
        <v>#DIV/0!</v>
      </c>
      <c r="N114" s="57" t="e">
        <f t="shared" si="42"/>
        <v>#DIV/0!</v>
      </c>
      <c r="O114" s="58" t="e">
        <f>Links!B114</f>
        <v>#DIV/0!</v>
      </c>
      <c r="P114" s="58" t="e">
        <f>Links!C114+'On-Ramps'!AC114</f>
        <v>#DIV/0!</v>
      </c>
      <c r="Q114" s="58" t="e">
        <f>Links!D114</f>
        <v>#DIV/0!</v>
      </c>
      <c r="R114" s="58" t="e">
        <f>Links!E114+'On-Ramps'!AD114</f>
        <v>#DIV/0!</v>
      </c>
      <c r="S114" s="58" t="e">
        <f>Links!F114+'On-Ramps'!AE114</f>
        <v>#DIV/0!</v>
      </c>
      <c r="T114" s="58" t="e">
        <f>Links!I114+'On-Ramps'!AF114</f>
        <v>#DIV/0!</v>
      </c>
      <c r="U114" s="58" t="e">
        <f>Links!J114+'On-Ramps'!AG114</f>
        <v>#DIV/0!</v>
      </c>
      <c r="V114" s="58" t="e">
        <f>Links!L114+'On-Ramps'!AH114</f>
        <v>#DIV/0!</v>
      </c>
      <c r="W114" s="58" t="e">
        <f>Links!M114+'On-Ramps'!AI114</f>
        <v>#DIV/0!</v>
      </c>
      <c r="X114" s="58" t="e">
        <f>Links!P114+'On-Ramps'!AJ114</f>
        <v>#DIV/0!</v>
      </c>
      <c r="Y114" s="58" t="e">
        <f>Links!Q114</f>
        <v>#DIV/0!</v>
      </c>
      <c r="Z114" s="58" t="e">
        <f>Links!R114+'On-Ramps'!AK114</f>
        <v>#DIV/0!</v>
      </c>
      <c r="AA114" s="58" t="e">
        <f>Links!S114</f>
        <v>#DIV/0!</v>
      </c>
      <c r="AB114" s="57" t="e">
        <f t="shared" si="43"/>
        <v>#VALUE!</v>
      </c>
      <c r="AC114" s="63"/>
      <c r="AD114" s="57" t="e">
        <f t="shared" si="44"/>
        <v>#DIV/0!</v>
      </c>
      <c r="AE114" s="63"/>
      <c r="AF114" s="57" t="e">
        <f t="shared" si="45"/>
        <v>#DIV/0!</v>
      </c>
      <c r="AG114" s="57" t="e">
        <f t="shared" si="46"/>
        <v>#DIV/0!</v>
      </c>
      <c r="AH114" s="57" t="e">
        <f t="shared" si="47"/>
        <v>#DIV/0!</v>
      </c>
      <c r="AI114" s="57" t="e">
        <f t="shared" si="48"/>
        <v>#DIV/0!</v>
      </c>
      <c r="AJ114" s="57" t="e">
        <f t="shared" si="49"/>
        <v>#DIV/0!</v>
      </c>
      <c r="AK114" s="57" t="e">
        <f t="shared" si="50"/>
        <v>#DIV/0!</v>
      </c>
      <c r="AL114" s="57" t="e">
        <f t="shared" si="51"/>
        <v>#DIV/0!</v>
      </c>
      <c r="AM114" s="63"/>
      <c r="AN114" s="57" t="e">
        <f t="shared" si="53"/>
        <v>#DIV/0!</v>
      </c>
      <c r="AO114" s="58" t="e">
        <f t="shared" si="29"/>
        <v>#VALUE!</v>
      </c>
      <c r="AP114" s="63"/>
      <c r="AQ114" s="58" t="e">
        <f t="shared" si="54"/>
        <v>#DIV/0!</v>
      </c>
      <c r="AR114" s="63"/>
      <c r="AS114" s="58" t="e">
        <f t="shared" si="54"/>
        <v>#DIV/0!</v>
      </c>
      <c r="AT114" s="58" t="e">
        <f t="shared" si="54"/>
        <v>#DIV/0!</v>
      </c>
      <c r="AU114" s="58" t="e">
        <f t="shared" si="54"/>
        <v>#DIV/0!</v>
      </c>
      <c r="AV114" s="58" t="e">
        <f t="shared" si="54"/>
        <v>#DIV/0!</v>
      </c>
      <c r="AW114" s="58" t="e">
        <f t="shared" si="54"/>
        <v>#DIV/0!</v>
      </c>
      <c r="AX114" s="58" t="e">
        <f t="shared" si="54"/>
        <v>#DIV/0!</v>
      </c>
      <c r="AY114" s="58" t="e">
        <f t="shared" si="54"/>
        <v>#DIV/0!</v>
      </c>
      <c r="AZ114" s="63"/>
      <c r="BA114" s="58" t="e">
        <f t="shared" si="54"/>
        <v>#DIV/0!</v>
      </c>
      <c r="BB114" s="63"/>
      <c r="BC114" s="57" t="e">
        <f>(Links!C114*Links!AQ114+'On-Ramps'!AC114*'On-Ramps'!CE114)/('On-Ramps'!AC114+Links!C114)</f>
        <v>#DIV/0!</v>
      </c>
      <c r="BD114" s="63"/>
      <c r="BE114" s="57" t="e">
        <f>(Links!E114*Links!AS114+'On-Ramps'!AD114*'On-Ramps'!CF113)/('On-Ramps'!AD114+Links!E114)</f>
        <v>#DIV/0!</v>
      </c>
      <c r="BF114" s="57" t="e">
        <f>(Links!F114*Links!AT114+'On-Ramps'!AE114*'On-Ramps'!CG114)/('On-Ramps'!AE114+Links!F114)</f>
        <v>#DIV/0!</v>
      </c>
      <c r="BG114" s="57" t="e">
        <f>(Links!I114*Links!AW114+'On-Ramps'!AF114*'On-Ramps'!CH114)/('On-Ramps'!AF114+Links!I114)</f>
        <v>#DIV/0!</v>
      </c>
      <c r="BH114" s="57" t="e">
        <f>(#REF!*#REF!+'On-Ramps'!AG114*'On-Ramps'!CI114)/('On-Ramps'!AG114+#REF!)</f>
        <v>#REF!</v>
      </c>
      <c r="BI114" s="57" t="e">
        <f>(Links!L114*Links!AZ114+'On-Ramps'!AH114*'On-Ramps'!CJ114)/('On-Ramps'!AH114+Links!L114)</f>
        <v>#DIV/0!</v>
      </c>
      <c r="BJ114" s="57" t="e">
        <f>(Links!BA114*Links!M114+'On-Ramps'!AI114*'On-Ramps'!CK114)/('On-Ramps'!AI114+Links!M114)</f>
        <v>#DIV/0!</v>
      </c>
      <c r="BK114" s="57" t="e">
        <f>(Links!S114*Links!BG114+'On-Ramps'!AJ114*'On-Ramps'!CL114)/('On-Ramps'!AJ114+Links!S114)</f>
        <v>#DIV/0!</v>
      </c>
      <c r="BL114" s="63"/>
      <c r="BM114" s="57" t="e">
        <f>(Links!S114*Links!BG114+'On-Ramps'!AL114*'On-Ramps'!CM114)/(Links!S114+'On-Ramps'!AL114)</f>
        <v>#DIV/0!</v>
      </c>
      <c r="BN114" s="63"/>
      <c r="BO114" s="58" t="e">
        <f>(Links!W114^2+'Off-Ramp'!L114^2)/(Links!W114+'Off-Ramp'!L114)</f>
        <v>#DIV/0!</v>
      </c>
      <c r="BP114" s="63"/>
      <c r="BQ114" s="58" t="e">
        <f>(Links!Y114^2+'Off-Ramp'!C114^2)/(Links!Y114+'Off-Ramp'!C114)</f>
        <v>#DIV/0!</v>
      </c>
      <c r="BR114" s="63"/>
      <c r="BS114" s="58" t="e">
        <f>(Links!AA114^2+'Off-Ramp'!N114^2)/(Links!AA114+'Off-Ramp'!N114)</f>
        <v>#DIV/0!</v>
      </c>
      <c r="BT114" s="58" t="e">
        <f>(Links!AD114^2+'Off-Ramp'!O114^2)/(Links!AD114+'Off-Ramp'!O114)</f>
        <v>#DIV/0!</v>
      </c>
      <c r="BU114" s="58" t="e">
        <f>(Links!AE114^2+'Off-Ramp'!V114^2+'Off-Ramp'!W114^2+'Off-Ramp'!X114^2)/(Links!AE114+'Off-Ramp'!V114+'Off-Ramp'!W114+'Off-Ramp'!X114)</f>
        <v>#DIV/0!</v>
      </c>
      <c r="BV114" s="58" t="e">
        <f>(Links!AG114^2+'Off-Ramp'!Y114^2+'Off-Ramp'!Z114^2+'Off-Ramp'!AA114^2)/(Links!AG114+'Off-Ramp'!Y114+'Off-Ramp'!Z114+'Off-Ramp'!AA114)</f>
        <v>#DIV/0!</v>
      </c>
      <c r="BW114" s="58" t="e">
        <f>(Links!AH114^2+'Off-Ramp'!R114^2)/(Links!AH114+'Off-Ramp'!R114)</f>
        <v>#DIV/0!</v>
      </c>
      <c r="BX114" s="58" t="e">
        <f>(Links!AK114^2+'Off-Ramp'!S114^2)/(Links!AK114+'Off-Ramp'!S114)</f>
        <v>#DIV/0!</v>
      </c>
      <c r="BY114" s="58" t="e">
        <f>(Links!AL114^2+'Off-Ramp'!T114^2)/(Links!AL114+'Off-Ramp'!T114)</f>
        <v>#DIV/0!</v>
      </c>
      <c r="BZ114" s="63"/>
      <c r="CA114" s="58" t="e">
        <f>(Links!AN114^2+'Off-Ramp'!U114^2)/(Links!AN114+'Off-Ramp'!U114)</f>
        <v>#DIV/0!</v>
      </c>
    </row>
    <row r="115" spans="1:79" x14ac:dyDescent="0.15">
      <c r="A115" s="56">
        <v>113</v>
      </c>
      <c r="B115" s="57" t="e">
        <f t="shared" si="30"/>
        <v>#DIV/0!</v>
      </c>
      <c r="C115" s="57" t="e">
        <f t="shared" si="31"/>
        <v>#DIV/0!</v>
      </c>
      <c r="D115" s="57" t="e">
        <f t="shared" si="32"/>
        <v>#DIV/0!</v>
      </c>
      <c r="E115" s="57" t="e">
        <f t="shared" si="33"/>
        <v>#DIV/0!</v>
      </c>
      <c r="F115" s="57" t="e">
        <f t="shared" si="34"/>
        <v>#DIV/0!</v>
      </c>
      <c r="G115" s="57" t="e">
        <f t="shared" si="35"/>
        <v>#DIV/0!</v>
      </c>
      <c r="H115" s="57" t="e">
        <f t="shared" si="36"/>
        <v>#DIV/0!</v>
      </c>
      <c r="I115" s="57" t="e">
        <f t="shared" si="37"/>
        <v>#DIV/0!</v>
      </c>
      <c r="J115" s="57" t="e">
        <f t="shared" si="38"/>
        <v>#DIV/0!</v>
      </c>
      <c r="K115" s="57" t="e">
        <f t="shared" si="39"/>
        <v>#DIV/0!</v>
      </c>
      <c r="L115" s="57" t="e">
        <f t="shared" si="40"/>
        <v>#DIV/0!</v>
      </c>
      <c r="M115" s="57" t="e">
        <f t="shared" si="41"/>
        <v>#DIV/0!</v>
      </c>
      <c r="N115" s="57" t="e">
        <f t="shared" si="42"/>
        <v>#DIV/0!</v>
      </c>
      <c r="O115" s="58" t="e">
        <f>Links!B115</f>
        <v>#DIV/0!</v>
      </c>
      <c r="P115" s="58" t="e">
        <f>Links!C115+'On-Ramps'!AC115</f>
        <v>#DIV/0!</v>
      </c>
      <c r="Q115" s="58" t="e">
        <f>Links!D115</f>
        <v>#DIV/0!</v>
      </c>
      <c r="R115" s="58" t="e">
        <f>Links!E115+'On-Ramps'!AD115</f>
        <v>#DIV/0!</v>
      </c>
      <c r="S115" s="58" t="e">
        <f>Links!F115+'On-Ramps'!AE115</f>
        <v>#DIV/0!</v>
      </c>
      <c r="T115" s="58" t="e">
        <f>Links!I115+'On-Ramps'!AF115</f>
        <v>#DIV/0!</v>
      </c>
      <c r="U115" s="58" t="e">
        <f>Links!J115+'On-Ramps'!AG115</f>
        <v>#DIV/0!</v>
      </c>
      <c r="V115" s="58" t="e">
        <f>Links!L115+'On-Ramps'!AH115</f>
        <v>#DIV/0!</v>
      </c>
      <c r="W115" s="58" t="e">
        <f>Links!M115+'On-Ramps'!AI115</f>
        <v>#DIV/0!</v>
      </c>
      <c r="X115" s="58" t="e">
        <f>Links!P115+'On-Ramps'!AJ115</f>
        <v>#DIV/0!</v>
      </c>
      <c r="Y115" s="58" t="e">
        <f>Links!Q115</f>
        <v>#DIV/0!</v>
      </c>
      <c r="Z115" s="58" t="e">
        <f>Links!R115+'On-Ramps'!AK115</f>
        <v>#DIV/0!</v>
      </c>
      <c r="AA115" s="58" t="e">
        <f>Links!S115</f>
        <v>#DIV/0!</v>
      </c>
      <c r="AB115" s="57" t="e">
        <f t="shared" si="43"/>
        <v>#VALUE!</v>
      </c>
      <c r="AC115" s="63"/>
      <c r="AD115" s="57" t="e">
        <f t="shared" si="44"/>
        <v>#DIV/0!</v>
      </c>
      <c r="AE115" s="63"/>
      <c r="AF115" s="57" t="e">
        <f t="shared" si="45"/>
        <v>#DIV/0!</v>
      </c>
      <c r="AG115" s="57" t="e">
        <f t="shared" si="46"/>
        <v>#DIV/0!</v>
      </c>
      <c r="AH115" s="57" t="e">
        <f t="shared" si="47"/>
        <v>#DIV/0!</v>
      </c>
      <c r="AI115" s="57" t="e">
        <f t="shared" si="48"/>
        <v>#DIV/0!</v>
      </c>
      <c r="AJ115" s="57" t="e">
        <f t="shared" si="49"/>
        <v>#DIV/0!</v>
      </c>
      <c r="AK115" s="57" t="e">
        <f t="shared" si="50"/>
        <v>#DIV/0!</v>
      </c>
      <c r="AL115" s="57" t="e">
        <f t="shared" si="51"/>
        <v>#DIV/0!</v>
      </c>
      <c r="AM115" s="63"/>
      <c r="AN115" s="57" t="e">
        <f t="shared" si="53"/>
        <v>#DIV/0!</v>
      </c>
      <c r="AO115" s="58" t="e">
        <f t="shared" si="29"/>
        <v>#VALUE!</v>
      </c>
      <c r="AP115" s="63"/>
      <c r="AQ115" s="58" t="e">
        <f t="shared" si="54"/>
        <v>#DIV/0!</v>
      </c>
      <c r="AR115" s="63"/>
      <c r="AS115" s="58" t="e">
        <f t="shared" si="54"/>
        <v>#DIV/0!</v>
      </c>
      <c r="AT115" s="58" t="e">
        <f t="shared" si="54"/>
        <v>#DIV/0!</v>
      </c>
      <c r="AU115" s="58" t="e">
        <f t="shared" si="54"/>
        <v>#DIV/0!</v>
      </c>
      <c r="AV115" s="58" t="e">
        <f t="shared" si="54"/>
        <v>#DIV/0!</v>
      </c>
      <c r="AW115" s="58" t="e">
        <f t="shared" si="54"/>
        <v>#DIV/0!</v>
      </c>
      <c r="AX115" s="58" t="e">
        <f t="shared" si="54"/>
        <v>#DIV/0!</v>
      </c>
      <c r="AY115" s="58" t="e">
        <f t="shared" si="54"/>
        <v>#DIV/0!</v>
      </c>
      <c r="AZ115" s="63"/>
      <c r="BA115" s="58" t="e">
        <f t="shared" si="54"/>
        <v>#DIV/0!</v>
      </c>
      <c r="BB115" s="63"/>
      <c r="BC115" s="57" t="e">
        <f>(Links!C115*Links!AQ115+'On-Ramps'!AC115*'On-Ramps'!CE115)/('On-Ramps'!AC115+Links!C115)</f>
        <v>#DIV/0!</v>
      </c>
      <c r="BD115" s="63"/>
      <c r="BE115" s="57" t="e">
        <f>(Links!E115*Links!AS115+'On-Ramps'!AD115*'On-Ramps'!CF114)/('On-Ramps'!AD115+Links!E115)</f>
        <v>#DIV/0!</v>
      </c>
      <c r="BF115" s="57" t="e">
        <f>(Links!F115*Links!AT115+'On-Ramps'!AE115*'On-Ramps'!CG115)/('On-Ramps'!AE115+Links!F115)</f>
        <v>#DIV/0!</v>
      </c>
      <c r="BG115" s="57" t="e">
        <f>(Links!I115*Links!AW115+'On-Ramps'!AF115*'On-Ramps'!CH115)/('On-Ramps'!AF115+Links!I115)</f>
        <v>#DIV/0!</v>
      </c>
      <c r="BH115" s="57" t="e">
        <f>(#REF!*#REF!+'On-Ramps'!AG115*'On-Ramps'!CI115)/('On-Ramps'!AG115+#REF!)</f>
        <v>#REF!</v>
      </c>
      <c r="BI115" s="57" t="e">
        <f>(Links!L115*Links!AZ115+'On-Ramps'!AH115*'On-Ramps'!CJ115)/('On-Ramps'!AH115+Links!L115)</f>
        <v>#DIV/0!</v>
      </c>
      <c r="BJ115" s="57" t="e">
        <f>(Links!BA115*Links!M115+'On-Ramps'!AI115*'On-Ramps'!CK115)/('On-Ramps'!AI115+Links!M115)</f>
        <v>#DIV/0!</v>
      </c>
      <c r="BK115" s="57" t="e">
        <f>(Links!S115*Links!BG115+'On-Ramps'!AJ115*'On-Ramps'!CL115)/('On-Ramps'!AJ115+Links!S115)</f>
        <v>#DIV/0!</v>
      </c>
      <c r="BL115" s="63"/>
      <c r="BM115" s="57" t="e">
        <f>(Links!S115*Links!BG115+'On-Ramps'!AL115*'On-Ramps'!CM115)/(Links!S115+'On-Ramps'!AL115)</f>
        <v>#DIV/0!</v>
      </c>
      <c r="BN115" s="63"/>
      <c r="BO115" s="58" t="e">
        <f>(Links!W115^2+'Off-Ramp'!L115^2)/(Links!W115+'Off-Ramp'!L115)</f>
        <v>#DIV/0!</v>
      </c>
      <c r="BP115" s="63"/>
      <c r="BQ115" s="58" t="e">
        <f>(Links!Y115^2+'Off-Ramp'!C115^2)/(Links!Y115+'Off-Ramp'!C115)</f>
        <v>#DIV/0!</v>
      </c>
      <c r="BR115" s="63"/>
      <c r="BS115" s="58" t="e">
        <f>(Links!AA115^2+'Off-Ramp'!N115^2)/(Links!AA115+'Off-Ramp'!N115)</f>
        <v>#DIV/0!</v>
      </c>
      <c r="BT115" s="58" t="e">
        <f>(Links!AD115^2+'Off-Ramp'!O115^2)/(Links!AD115+'Off-Ramp'!O115)</f>
        <v>#DIV/0!</v>
      </c>
      <c r="BU115" s="58" t="e">
        <f>(Links!AE115^2+'Off-Ramp'!V115^2+'Off-Ramp'!W115^2+'Off-Ramp'!X115^2)/(Links!AE115+'Off-Ramp'!V115+'Off-Ramp'!W115+'Off-Ramp'!X115)</f>
        <v>#DIV/0!</v>
      </c>
      <c r="BV115" s="58" t="e">
        <f>(Links!AG115^2+'Off-Ramp'!Y115^2+'Off-Ramp'!Z115^2+'Off-Ramp'!AA115^2)/(Links!AG115+'Off-Ramp'!Y115+'Off-Ramp'!Z115+'Off-Ramp'!AA115)</f>
        <v>#DIV/0!</v>
      </c>
      <c r="BW115" s="58" t="e">
        <f>(Links!AH115^2+'Off-Ramp'!R115^2)/(Links!AH115+'Off-Ramp'!R115)</f>
        <v>#DIV/0!</v>
      </c>
      <c r="BX115" s="58" t="e">
        <f>(Links!AK115^2+'Off-Ramp'!S115^2)/(Links!AK115+'Off-Ramp'!S115)</f>
        <v>#DIV/0!</v>
      </c>
      <c r="BY115" s="58" t="e">
        <f>(Links!AL115^2+'Off-Ramp'!T115^2)/(Links!AL115+'Off-Ramp'!T115)</f>
        <v>#DIV/0!</v>
      </c>
      <c r="BZ115" s="63"/>
      <c r="CA115" s="58" t="e">
        <f>(Links!AN115^2+'Off-Ramp'!U115^2)/(Links!AN115+'Off-Ramp'!U115)</f>
        <v>#DIV/0!</v>
      </c>
    </row>
    <row r="116" spans="1:79" x14ac:dyDescent="0.15">
      <c r="A116" s="56">
        <v>114</v>
      </c>
      <c r="B116" s="57" t="e">
        <f t="shared" si="30"/>
        <v>#DIV/0!</v>
      </c>
      <c r="C116" s="57" t="e">
        <f t="shared" si="31"/>
        <v>#DIV/0!</v>
      </c>
      <c r="D116" s="57" t="e">
        <f t="shared" si="32"/>
        <v>#DIV/0!</v>
      </c>
      <c r="E116" s="57" t="e">
        <f t="shared" si="33"/>
        <v>#DIV/0!</v>
      </c>
      <c r="F116" s="57" t="e">
        <f t="shared" si="34"/>
        <v>#DIV/0!</v>
      </c>
      <c r="G116" s="57" t="e">
        <f t="shared" si="35"/>
        <v>#DIV/0!</v>
      </c>
      <c r="H116" s="57" t="e">
        <f t="shared" si="36"/>
        <v>#DIV/0!</v>
      </c>
      <c r="I116" s="57" t="e">
        <f t="shared" si="37"/>
        <v>#DIV/0!</v>
      </c>
      <c r="J116" s="57" t="e">
        <f t="shared" si="38"/>
        <v>#DIV/0!</v>
      </c>
      <c r="K116" s="57" t="e">
        <f t="shared" si="39"/>
        <v>#DIV/0!</v>
      </c>
      <c r="L116" s="57" t="e">
        <f t="shared" si="40"/>
        <v>#DIV/0!</v>
      </c>
      <c r="M116" s="57" t="e">
        <f t="shared" si="41"/>
        <v>#DIV/0!</v>
      </c>
      <c r="N116" s="57" t="e">
        <f t="shared" si="42"/>
        <v>#DIV/0!</v>
      </c>
      <c r="O116" s="58" t="e">
        <f>Links!B116</f>
        <v>#DIV/0!</v>
      </c>
      <c r="P116" s="58" t="e">
        <f>Links!C116+'On-Ramps'!AC116</f>
        <v>#DIV/0!</v>
      </c>
      <c r="Q116" s="58" t="e">
        <f>Links!D116</f>
        <v>#DIV/0!</v>
      </c>
      <c r="R116" s="58" t="e">
        <f>Links!E116+'On-Ramps'!AD116</f>
        <v>#DIV/0!</v>
      </c>
      <c r="S116" s="58" t="e">
        <f>Links!F116+'On-Ramps'!AE116</f>
        <v>#DIV/0!</v>
      </c>
      <c r="T116" s="58" t="e">
        <f>Links!I116+'On-Ramps'!AF116</f>
        <v>#DIV/0!</v>
      </c>
      <c r="U116" s="58" t="e">
        <f>Links!J116+'On-Ramps'!AG116</f>
        <v>#DIV/0!</v>
      </c>
      <c r="V116" s="58" t="e">
        <f>Links!L116+'On-Ramps'!AH116</f>
        <v>#DIV/0!</v>
      </c>
      <c r="W116" s="58" t="e">
        <f>Links!M116+'On-Ramps'!AI116</f>
        <v>#DIV/0!</v>
      </c>
      <c r="X116" s="58" t="e">
        <f>Links!P116+'On-Ramps'!AJ116</f>
        <v>#DIV/0!</v>
      </c>
      <c r="Y116" s="58" t="e">
        <f>Links!Q116</f>
        <v>#DIV/0!</v>
      </c>
      <c r="Z116" s="58" t="e">
        <f>Links!R116+'On-Ramps'!AK116</f>
        <v>#DIV/0!</v>
      </c>
      <c r="AA116" s="58" t="e">
        <f>Links!S116</f>
        <v>#DIV/0!</v>
      </c>
      <c r="AB116" s="57" t="e">
        <f t="shared" si="43"/>
        <v>#VALUE!</v>
      </c>
      <c r="AC116" s="63"/>
      <c r="AD116" s="57" t="e">
        <f t="shared" si="44"/>
        <v>#DIV/0!</v>
      </c>
      <c r="AE116" s="63"/>
      <c r="AF116" s="57" t="e">
        <f t="shared" si="45"/>
        <v>#DIV/0!</v>
      </c>
      <c r="AG116" s="57" t="e">
        <f t="shared" si="46"/>
        <v>#DIV/0!</v>
      </c>
      <c r="AH116" s="57" t="e">
        <f t="shared" si="47"/>
        <v>#DIV/0!</v>
      </c>
      <c r="AI116" s="57" t="e">
        <f t="shared" si="48"/>
        <v>#DIV/0!</v>
      </c>
      <c r="AJ116" s="57" t="e">
        <f t="shared" si="49"/>
        <v>#DIV/0!</v>
      </c>
      <c r="AK116" s="57" t="e">
        <f t="shared" si="50"/>
        <v>#DIV/0!</v>
      </c>
      <c r="AL116" s="57" t="e">
        <f t="shared" si="51"/>
        <v>#DIV/0!</v>
      </c>
      <c r="AM116" s="63"/>
      <c r="AN116" s="57" t="e">
        <f t="shared" si="53"/>
        <v>#DIV/0!</v>
      </c>
      <c r="AO116" s="58" t="e">
        <f t="shared" si="29"/>
        <v>#VALUE!</v>
      </c>
      <c r="AP116" s="63"/>
      <c r="AQ116" s="58" t="e">
        <f t="shared" si="54"/>
        <v>#DIV/0!</v>
      </c>
      <c r="AR116" s="63"/>
      <c r="AS116" s="58" t="e">
        <f t="shared" si="54"/>
        <v>#DIV/0!</v>
      </c>
      <c r="AT116" s="58" t="e">
        <f t="shared" si="54"/>
        <v>#DIV/0!</v>
      </c>
      <c r="AU116" s="58" t="e">
        <f t="shared" si="54"/>
        <v>#DIV/0!</v>
      </c>
      <c r="AV116" s="58" t="e">
        <f t="shared" si="54"/>
        <v>#DIV/0!</v>
      </c>
      <c r="AW116" s="58" t="e">
        <f t="shared" si="54"/>
        <v>#DIV/0!</v>
      </c>
      <c r="AX116" s="58" t="e">
        <f t="shared" si="54"/>
        <v>#DIV/0!</v>
      </c>
      <c r="AY116" s="58" t="e">
        <f t="shared" si="54"/>
        <v>#DIV/0!</v>
      </c>
      <c r="AZ116" s="63"/>
      <c r="BA116" s="58" t="e">
        <f t="shared" si="54"/>
        <v>#DIV/0!</v>
      </c>
      <c r="BB116" s="63"/>
      <c r="BC116" s="57" t="e">
        <f>(Links!C116*Links!AQ116+'On-Ramps'!AC116*'On-Ramps'!CE116)/('On-Ramps'!AC116+Links!C116)</f>
        <v>#DIV/0!</v>
      </c>
      <c r="BD116" s="63"/>
      <c r="BE116" s="57" t="e">
        <f>(Links!E116*Links!AS116+'On-Ramps'!AD116*'On-Ramps'!CF115)/('On-Ramps'!AD116+Links!E116)</f>
        <v>#DIV/0!</v>
      </c>
      <c r="BF116" s="57" t="e">
        <f>(Links!F116*Links!AT116+'On-Ramps'!AE116*'On-Ramps'!CG116)/('On-Ramps'!AE116+Links!F116)</f>
        <v>#DIV/0!</v>
      </c>
      <c r="BG116" s="57" t="e">
        <f>(Links!I116*Links!AW116+'On-Ramps'!AF116*'On-Ramps'!CH116)/('On-Ramps'!AF116+Links!I116)</f>
        <v>#DIV/0!</v>
      </c>
      <c r="BH116" s="57" t="e">
        <f>(#REF!*#REF!+'On-Ramps'!AG116*'On-Ramps'!CI116)/('On-Ramps'!AG116+#REF!)</f>
        <v>#REF!</v>
      </c>
      <c r="BI116" s="57" t="e">
        <f>(Links!L116*Links!AZ116+'On-Ramps'!AH116*'On-Ramps'!CJ116)/('On-Ramps'!AH116+Links!L116)</f>
        <v>#DIV/0!</v>
      </c>
      <c r="BJ116" s="57" t="e">
        <f>(Links!BA116*Links!M116+'On-Ramps'!AI116*'On-Ramps'!CK116)/('On-Ramps'!AI116+Links!M116)</f>
        <v>#DIV/0!</v>
      </c>
      <c r="BK116" s="57" t="e">
        <f>(Links!S116*Links!BG116+'On-Ramps'!AJ116*'On-Ramps'!CL116)/('On-Ramps'!AJ116+Links!S116)</f>
        <v>#DIV/0!</v>
      </c>
      <c r="BL116" s="63"/>
      <c r="BM116" s="57" t="e">
        <f>(Links!S116*Links!BG116+'On-Ramps'!AL116*'On-Ramps'!CM116)/(Links!S116+'On-Ramps'!AL116)</f>
        <v>#DIV/0!</v>
      </c>
      <c r="BN116" s="63"/>
      <c r="BO116" s="58" t="e">
        <f>(Links!W116^2+'Off-Ramp'!L116^2)/(Links!W116+'Off-Ramp'!L116)</f>
        <v>#DIV/0!</v>
      </c>
      <c r="BP116" s="63"/>
      <c r="BQ116" s="58" t="e">
        <f>(Links!Y116^2+'Off-Ramp'!C116^2)/(Links!Y116+'Off-Ramp'!C116)</f>
        <v>#DIV/0!</v>
      </c>
      <c r="BR116" s="63"/>
      <c r="BS116" s="58" t="e">
        <f>(Links!AA116^2+'Off-Ramp'!N116^2)/(Links!AA116+'Off-Ramp'!N116)</f>
        <v>#DIV/0!</v>
      </c>
      <c r="BT116" s="58" t="e">
        <f>(Links!AD116^2+'Off-Ramp'!O116^2)/(Links!AD116+'Off-Ramp'!O116)</f>
        <v>#DIV/0!</v>
      </c>
      <c r="BU116" s="58" t="e">
        <f>(Links!AE116^2+'Off-Ramp'!V116^2+'Off-Ramp'!W116^2+'Off-Ramp'!X116^2)/(Links!AE116+'Off-Ramp'!V116+'Off-Ramp'!W116+'Off-Ramp'!X116)</f>
        <v>#DIV/0!</v>
      </c>
      <c r="BV116" s="58" t="e">
        <f>(Links!AG116^2+'Off-Ramp'!Y116^2+'Off-Ramp'!Z116^2+'Off-Ramp'!AA116^2)/(Links!AG116+'Off-Ramp'!Y116+'Off-Ramp'!Z116+'Off-Ramp'!AA116)</f>
        <v>#DIV/0!</v>
      </c>
      <c r="BW116" s="58" t="e">
        <f>(Links!AH116^2+'Off-Ramp'!R116^2)/(Links!AH116+'Off-Ramp'!R116)</f>
        <v>#DIV/0!</v>
      </c>
      <c r="BX116" s="58" t="e">
        <f>(Links!AK116^2+'Off-Ramp'!S116^2)/(Links!AK116+'Off-Ramp'!S116)</f>
        <v>#DIV/0!</v>
      </c>
      <c r="BY116" s="58" t="e">
        <f>(Links!AL116^2+'Off-Ramp'!T116^2)/(Links!AL116+'Off-Ramp'!T116)</f>
        <v>#DIV/0!</v>
      </c>
      <c r="BZ116" s="63"/>
      <c r="CA116" s="58" t="e">
        <f>(Links!AN116^2+'Off-Ramp'!U116^2)/(Links!AN116+'Off-Ramp'!U116)</f>
        <v>#DIV/0!</v>
      </c>
    </row>
    <row r="117" spans="1:79" x14ac:dyDescent="0.15">
      <c r="A117" s="56">
        <v>115</v>
      </c>
      <c r="B117" s="57" t="e">
        <f t="shared" si="30"/>
        <v>#DIV/0!</v>
      </c>
      <c r="C117" s="57" t="e">
        <f t="shared" si="31"/>
        <v>#DIV/0!</v>
      </c>
      <c r="D117" s="57" t="e">
        <f t="shared" si="32"/>
        <v>#DIV/0!</v>
      </c>
      <c r="E117" s="57" t="e">
        <f t="shared" si="33"/>
        <v>#DIV/0!</v>
      </c>
      <c r="F117" s="57" t="e">
        <f t="shared" si="34"/>
        <v>#DIV/0!</v>
      </c>
      <c r="G117" s="57" t="e">
        <f t="shared" si="35"/>
        <v>#DIV/0!</v>
      </c>
      <c r="H117" s="57" t="e">
        <f t="shared" si="36"/>
        <v>#DIV/0!</v>
      </c>
      <c r="I117" s="57" t="e">
        <f t="shared" si="37"/>
        <v>#DIV/0!</v>
      </c>
      <c r="J117" s="57" t="e">
        <f t="shared" si="38"/>
        <v>#DIV/0!</v>
      </c>
      <c r="K117" s="57" t="e">
        <f t="shared" si="39"/>
        <v>#DIV/0!</v>
      </c>
      <c r="L117" s="57" t="e">
        <f t="shared" si="40"/>
        <v>#DIV/0!</v>
      </c>
      <c r="M117" s="57" t="e">
        <f t="shared" si="41"/>
        <v>#DIV/0!</v>
      </c>
      <c r="N117" s="57" t="e">
        <f t="shared" si="42"/>
        <v>#DIV/0!</v>
      </c>
      <c r="O117" s="58" t="e">
        <f>Links!B117</f>
        <v>#DIV/0!</v>
      </c>
      <c r="P117" s="58" t="e">
        <f>Links!C117+'On-Ramps'!AC117</f>
        <v>#DIV/0!</v>
      </c>
      <c r="Q117" s="58" t="e">
        <f>Links!D117</f>
        <v>#DIV/0!</v>
      </c>
      <c r="R117" s="58" t="e">
        <f>Links!E117+'On-Ramps'!AD117</f>
        <v>#DIV/0!</v>
      </c>
      <c r="S117" s="58" t="e">
        <f>Links!F117+'On-Ramps'!AE117</f>
        <v>#DIV/0!</v>
      </c>
      <c r="T117" s="58" t="e">
        <f>Links!I117+'On-Ramps'!AF117</f>
        <v>#DIV/0!</v>
      </c>
      <c r="U117" s="58" t="e">
        <f>Links!J117+'On-Ramps'!AG117</f>
        <v>#DIV/0!</v>
      </c>
      <c r="V117" s="58" t="e">
        <f>Links!L117+'On-Ramps'!AH117</f>
        <v>#DIV/0!</v>
      </c>
      <c r="W117" s="58" t="e">
        <f>Links!M117+'On-Ramps'!AI117</f>
        <v>#DIV/0!</v>
      </c>
      <c r="X117" s="58" t="e">
        <f>Links!P117+'On-Ramps'!AJ117</f>
        <v>#DIV/0!</v>
      </c>
      <c r="Y117" s="58" t="e">
        <f>Links!Q117</f>
        <v>#DIV/0!</v>
      </c>
      <c r="Z117" s="58" t="e">
        <f>Links!R117+'On-Ramps'!AK117</f>
        <v>#DIV/0!</v>
      </c>
      <c r="AA117" s="58" t="e">
        <f>Links!S117</f>
        <v>#DIV/0!</v>
      </c>
      <c r="AB117" s="57" t="e">
        <f t="shared" si="43"/>
        <v>#VALUE!</v>
      </c>
      <c r="AC117" s="63"/>
      <c r="AD117" s="57" t="e">
        <f t="shared" si="44"/>
        <v>#DIV/0!</v>
      </c>
      <c r="AE117" s="63"/>
      <c r="AF117" s="57" t="e">
        <f t="shared" si="45"/>
        <v>#DIV/0!</v>
      </c>
      <c r="AG117" s="57" t="e">
        <f t="shared" si="46"/>
        <v>#DIV/0!</v>
      </c>
      <c r="AH117" s="57" t="e">
        <f t="shared" si="47"/>
        <v>#DIV/0!</v>
      </c>
      <c r="AI117" s="57" t="e">
        <f t="shared" si="48"/>
        <v>#DIV/0!</v>
      </c>
      <c r="AJ117" s="57" t="e">
        <f t="shared" si="49"/>
        <v>#DIV/0!</v>
      </c>
      <c r="AK117" s="57" t="e">
        <f t="shared" si="50"/>
        <v>#DIV/0!</v>
      </c>
      <c r="AL117" s="57" t="e">
        <f t="shared" si="51"/>
        <v>#DIV/0!</v>
      </c>
      <c r="AM117" s="63"/>
      <c r="AN117" s="57" t="e">
        <f t="shared" si="53"/>
        <v>#DIV/0!</v>
      </c>
      <c r="AO117" s="58" t="e">
        <f t="shared" si="29"/>
        <v>#VALUE!</v>
      </c>
      <c r="AP117" s="63"/>
      <c r="AQ117" s="58" t="e">
        <f t="shared" si="54"/>
        <v>#DIV/0!</v>
      </c>
      <c r="AR117" s="63"/>
      <c r="AS117" s="58" t="e">
        <f t="shared" si="54"/>
        <v>#DIV/0!</v>
      </c>
      <c r="AT117" s="58" t="e">
        <f t="shared" si="54"/>
        <v>#DIV/0!</v>
      </c>
      <c r="AU117" s="58" t="e">
        <f t="shared" si="54"/>
        <v>#DIV/0!</v>
      </c>
      <c r="AV117" s="58" t="e">
        <f t="shared" si="54"/>
        <v>#DIV/0!</v>
      </c>
      <c r="AW117" s="58" t="e">
        <f t="shared" si="54"/>
        <v>#DIV/0!</v>
      </c>
      <c r="AX117" s="58" t="e">
        <f t="shared" si="54"/>
        <v>#DIV/0!</v>
      </c>
      <c r="AY117" s="58" t="e">
        <f t="shared" si="54"/>
        <v>#DIV/0!</v>
      </c>
      <c r="AZ117" s="63"/>
      <c r="BA117" s="58" t="e">
        <f t="shared" si="54"/>
        <v>#DIV/0!</v>
      </c>
      <c r="BB117" s="63"/>
      <c r="BC117" s="57" t="e">
        <f>(Links!C117*Links!AQ117+'On-Ramps'!AC117*'On-Ramps'!CE117)/('On-Ramps'!AC117+Links!C117)</f>
        <v>#DIV/0!</v>
      </c>
      <c r="BD117" s="63"/>
      <c r="BE117" s="57" t="e">
        <f>(Links!E117*Links!AS117+'On-Ramps'!AD117*'On-Ramps'!CF116)/('On-Ramps'!AD117+Links!E117)</f>
        <v>#DIV/0!</v>
      </c>
      <c r="BF117" s="57" t="e">
        <f>(Links!F117*Links!AT117+'On-Ramps'!AE117*'On-Ramps'!CG117)/('On-Ramps'!AE117+Links!F117)</f>
        <v>#DIV/0!</v>
      </c>
      <c r="BG117" s="57" t="e">
        <f>(Links!I117*Links!AW117+'On-Ramps'!AF117*'On-Ramps'!CH117)/('On-Ramps'!AF117+Links!I117)</f>
        <v>#DIV/0!</v>
      </c>
      <c r="BH117" s="57" t="e">
        <f>(#REF!*#REF!+'On-Ramps'!AG117*'On-Ramps'!CI117)/('On-Ramps'!AG117+#REF!)</f>
        <v>#REF!</v>
      </c>
      <c r="BI117" s="57" t="e">
        <f>(Links!L117*Links!AZ117+'On-Ramps'!AH117*'On-Ramps'!CJ117)/('On-Ramps'!AH117+Links!L117)</f>
        <v>#DIV/0!</v>
      </c>
      <c r="BJ117" s="57" t="e">
        <f>(Links!BA117*Links!M117+'On-Ramps'!AI117*'On-Ramps'!CK117)/('On-Ramps'!AI117+Links!M117)</f>
        <v>#DIV/0!</v>
      </c>
      <c r="BK117" s="57" t="e">
        <f>(Links!S117*Links!BG117+'On-Ramps'!AJ117*'On-Ramps'!CL117)/('On-Ramps'!AJ117+Links!S117)</f>
        <v>#DIV/0!</v>
      </c>
      <c r="BL117" s="63"/>
      <c r="BM117" s="57" t="e">
        <f>(Links!S117*Links!BG117+'On-Ramps'!AL117*'On-Ramps'!CM117)/(Links!S117+'On-Ramps'!AL117)</f>
        <v>#DIV/0!</v>
      </c>
      <c r="BN117" s="63"/>
      <c r="BO117" s="58" t="e">
        <f>(Links!W117^2+'Off-Ramp'!L117^2)/(Links!W117+'Off-Ramp'!L117)</f>
        <v>#DIV/0!</v>
      </c>
      <c r="BP117" s="63"/>
      <c r="BQ117" s="58" t="e">
        <f>(Links!Y117^2+'Off-Ramp'!C117^2)/(Links!Y117+'Off-Ramp'!C117)</f>
        <v>#DIV/0!</v>
      </c>
      <c r="BR117" s="63"/>
      <c r="BS117" s="58" t="e">
        <f>(Links!AA117^2+'Off-Ramp'!N117^2)/(Links!AA117+'Off-Ramp'!N117)</f>
        <v>#DIV/0!</v>
      </c>
      <c r="BT117" s="58" t="e">
        <f>(Links!AD117^2+'Off-Ramp'!O117^2)/(Links!AD117+'Off-Ramp'!O117)</f>
        <v>#DIV/0!</v>
      </c>
      <c r="BU117" s="58" t="e">
        <f>(Links!AE117^2+'Off-Ramp'!V117^2+'Off-Ramp'!W117^2+'Off-Ramp'!X117^2)/(Links!AE117+'Off-Ramp'!V117+'Off-Ramp'!W117+'Off-Ramp'!X117)</f>
        <v>#DIV/0!</v>
      </c>
      <c r="BV117" s="58" t="e">
        <f>(Links!AG117^2+'Off-Ramp'!Y117^2+'Off-Ramp'!Z117^2+'Off-Ramp'!AA117^2)/(Links!AG117+'Off-Ramp'!Y117+'Off-Ramp'!Z117+'Off-Ramp'!AA117)</f>
        <v>#DIV/0!</v>
      </c>
      <c r="BW117" s="58" t="e">
        <f>(Links!AH117^2+'Off-Ramp'!R117^2)/(Links!AH117+'Off-Ramp'!R117)</f>
        <v>#DIV/0!</v>
      </c>
      <c r="BX117" s="58" t="e">
        <f>(Links!AK117^2+'Off-Ramp'!S117^2)/(Links!AK117+'Off-Ramp'!S117)</f>
        <v>#DIV/0!</v>
      </c>
      <c r="BY117" s="58" t="e">
        <f>(Links!AL117^2+'Off-Ramp'!T117^2)/(Links!AL117+'Off-Ramp'!T117)</f>
        <v>#DIV/0!</v>
      </c>
      <c r="BZ117" s="63"/>
      <c r="CA117" s="58" t="e">
        <f>(Links!AN117^2+'Off-Ramp'!U117^2)/(Links!AN117+'Off-Ramp'!U117)</f>
        <v>#DIV/0!</v>
      </c>
    </row>
    <row r="118" spans="1:79" x14ac:dyDescent="0.15">
      <c r="A118" s="56">
        <v>116</v>
      </c>
      <c r="B118" s="57" t="e">
        <f t="shared" si="30"/>
        <v>#DIV/0!</v>
      </c>
      <c r="C118" s="57" t="e">
        <f t="shared" si="31"/>
        <v>#DIV/0!</v>
      </c>
      <c r="D118" s="57" t="e">
        <f t="shared" si="32"/>
        <v>#DIV/0!</v>
      </c>
      <c r="E118" s="57" t="e">
        <f t="shared" si="33"/>
        <v>#DIV/0!</v>
      </c>
      <c r="F118" s="57" t="e">
        <f t="shared" si="34"/>
        <v>#DIV/0!</v>
      </c>
      <c r="G118" s="57" t="e">
        <f t="shared" si="35"/>
        <v>#DIV/0!</v>
      </c>
      <c r="H118" s="57" t="e">
        <f t="shared" si="36"/>
        <v>#DIV/0!</v>
      </c>
      <c r="I118" s="57" t="e">
        <f t="shared" si="37"/>
        <v>#DIV/0!</v>
      </c>
      <c r="J118" s="57" t="e">
        <f t="shared" si="38"/>
        <v>#DIV/0!</v>
      </c>
      <c r="K118" s="57" t="e">
        <f t="shared" si="39"/>
        <v>#DIV/0!</v>
      </c>
      <c r="L118" s="57" t="e">
        <f t="shared" si="40"/>
        <v>#DIV/0!</v>
      </c>
      <c r="M118" s="57" t="e">
        <f t="shared" si="41"/>
        <v>#DIV/0!</v>
      </c>
      <c r="N118" s="57" t="e">
        <f t="shared" si="42"/>
        <v>#DIV/0!</v>
      </c>
      <c r="O118" s="58" t="e">
        <f>Links!B118</f>
        <v>#DIV/0!</v>
      </c>
      <c r="P118" s="58" t="e">
        <f>Links!C118+'On-Ramps'!AC118</f>
        <v>#DIV/0!</v>
      </c>
      <c r="Q118" s="58" t="e">
        <f>Links!D118</f>
        <v>#DIV/0!</v>
      </c>
      <c r="R118" s="58" t="e">
        <f>Links!E118+'On-Ramps'!AD118</f>
        <v>#DIV/0!</v>
      </c>
      <c r="S118" s="58" t="e">
        <f>Links!F118+'On-Ramps'!AE118</f>
        <v>#DIV/0!</v>
      </c>
      <c r="T118" s="58" t="e">
        <f>Links!I118+'On-Ramps'!AF118</f>
        <v>#DIV/0!</v>
      </c>
      <c r="U118" s="58" t="e">
        <f>Links!J118+'On-Ramps'!AG118</f>
        <v>#DIV/0!</v>
      </c>
      <c r="V118" s="58" t="e">
        <f>Links!L118+'On-Ramps'!AH118</f>
        <v>#DIV/0!</v>
      </c>
      <c r="W118" s="58" t="e">
        <f>Links!M118+'On-Ramps'!AI118</f>
        <v>#DIV/0!</v>
      </c>
      <c r="X118" s="58" t="e">
        <f>Links!P118+'On-Ramps'!AJ118</f>
        <v>#DIV/0!</v>
      </c>
      <c r="Y118" s="58" t="e">
        <f>Links!Q118</f>
        <v>#DIV/0!</v>
      </c>
      <c r="Z118" s="58" t="e">
        <f>Links!R118+'On-Ramps'!AK118</f>
        <v>#DIV/0!</v>
      </c>
      <c r="AA118" s="58" t="e">
        <f>Links!S118</f>
        <v>#DIV/0!</v>
      </c>
      <c r="AB118" s="57" t="e">
        <f t="shared" si="43"/>
        <v>#VALUE!</v>
      </c>
      <c r="AC118" s="63"/>
      <c r="AD118" s="57" t="e">
        <f t="shared" si="44"/>
        <v>#DIV/0!</v>
      </c>
      <c r="AE118" s="63"/>
      <c r="AF118" s="57" t="e">
        <f t="shared" si="45"/>
        <v>#DIV/0!</v>
      </c>
      <c r="AG118" s="57" t="e">
        <f t="shared" si="46"/>
        <v>#DIV/0!</v>
      </c>
      <c r="AH118" s="57" t="e">
        <f t="shared" si="47"/>
        <v>#DIV/0!</v>
      </c>
      <c r="AI118" s="57" t="e">
        <f t="shared" si="48"/>
        <v>#DIV/0!</v>
      </c>
      <c r="AJ118" s="57" t="e">
        <f t="shared" si="49"/>
        <v>#DIV/0!</v>
      </c>
      <c r="AK118" s="57" t="e">
        <f t="shared" si="50"/>
        <v>#DIV/0!</v>
      </c>
      <c r="AL118" s="57" t="e">
        <f t="shared" si="51"/>
        <v>#DIV/0!</v>
      </c>
      <c r="AM118" s="63"/>
      <c r="AN118" s="57" t="e">
        <f t="shared" si="53"/>
        <v>#DIV/0!</v>
      </c>
      <c r="AO118" s="58" t="e">
        <f t="shared" si="29"/>
        <v>#VALUE!</v>
      </c>
      <c r="AP118" s="63"/>
      <c r="AQ118" s="58" t="e">
        <f t="shared" si="54"/>
        <v>#DIV/0!</v>
      </c>
      <c r="AR118" s="63"/>
      <c r="AS118" s="58" t="e">
        <f t="shared" si="54"/>
        <v>#DIV/0!</v>
      </c>
      <c r="AT118" s="58" t="e">
        <f t="shared" si="54"/>
        <v>#DIV/0!</v>
      </c>
      <c r="AU118" s="58" t="e">
        <f t="shared" si="54"/>
        <v>#DIV/0!</v>
      </c>
      <c r="AV118" s="58" t="e">
        <f t="shared" si="54"/>
        <v>#DIV/0!</v>
      </c>
      <c r="AW118" s="58" t="e">
        <f t="shared" si="54"/>
        <v>#DIV/0!</v>
      </c>
      <c r="AX118" s="58" t="e">
        <f t="shared" si="54"/>
        <v>#DIV/0!</v>
      </c>
      <c r="AY118" s="58" t="e">
        <f t="shared" si="54"/>
        <v>#DIV/0!</v>
      </c>
      <c r="AZ118" s="63"/>
      <c r="BA118" s="58" t="e">
        <f t="shared" si="54"/>
        <v>#DIV/0!</v>
      </c>
      <c r="BB118" s="63"/>
      <c r="BC118" s="57" t="e">
        <f>(Links!C118*Links!AQ118+'On-Ramps'!AC118*'On-Ramps'!CE118)/('On-Ramps'!AC118+Links!C118)</f>
        <v>#DIV/0!</v>
      </c>
      <c r="BD118" s="63"/>
      <c r="BE118" s="57" t="e">
        <f>(Links!E118*Links!AS118+'On-Ramps'!AD118*'On-Ramps'!CF117)/('On-Ramps'!AD118+Links!E118)</f>
        <v>#DIV/0!</v>
      </c>
      <c r="BF118" s="57" t="e">
        <f>(Links!F118*Links!AT118+'On-Ramps'!AE118*'On-Ramps'!CG118)/('On-Ramps'!AE118+Links!F118)</f>
        <v>#DIV/0!</v>
      </c>
      <c r="BG118" s="57" t="e">
        <f>(Links!I118*Links!AW118+'On-Ramps'!AF118*'On-Ramps'!CH118)/('On-Ramps'!AF118+Links!I118)</f>
        <v>#DIV/0!</v>
      </c>
      <c r="BH118" s="57" t="e">
        <f>(#REF!*#REF!+'On-Ramps'!AG118*'On-Ramps'!CI118)/('On-Ramps'!AG118+#REF!)</f>
        <v>#REF!</v>
      </c>
      <c r="BI118" s="57" t="e">
        <f>(Links!L118*Links!AZ118+'On-Ramps'!AH118*'On-Ramps'!CJ118)/('On-Ramps'!AH118+Links!L118)</f>
        <v>#DIV/0!</v>
      </c>
      <c r="BJ118" s="57" t="e">
        <f>(Links!BA118*Links!M118+'On-Ramps'!AI118*'On-Ramps'!CK118)/('On-Ramps'!AI118+Links!M118)</f>
        <v>#DIV/0!</v>
      </c>
      <c r="BK118" s="57" t="e">
        <f>(Links!S118*Links!BG118+'On-Ramps'!AJ118*'On-Ramps'!CL118)/('On-Ramps'!AJ118+Links!S118)</f>
        <v>#DIV/0!</v>
      </c>
      <c r="BL118" s="63"/>
      <c r="BM118" s="57" t="e">
        <f>(Links!S118*Links!BG118+'On-Ramps'!AL118*'On-Ramps'!CM118)/(Links!S118+'On-Ramps'!AL118)</f>
        <v>#DIV/0!</v>
      </c>
      <c r="BN118" s="63"/>
      <c r="BO118" s="58" t="e">
        <f>(Links!W118^2+'Off-Ramp'!L118^2)/(Links!W118+'Off-Ramp'!L118)</f>
        <v>#DIV/0!</v>
      </c>
      <c r="BP118" s="63"/>
      <c r="BQ118" s="58" t="e">
        <f>(Links!Y118^2+'Off-Ramp'!C118^2)/(Links!Y118+'Off-Ramp'!C118)</f>
        <v>#DIV/0!</v>
      </c>
      <c r="BR118" s="63"/>
      <c r="BS118" s="58" t="e">
        <f>(Links!AA118^2+'Off-Ramp'!N118^2)/(Links!AA118+'Off-Ramp'!N118)</f>
        <v>#DIV/0!</v>
      </c>
      <c r="BT118" s="58" t="e">
        <f>(Links!AD118^2+'Off-Ramp'!O118^2)/(Links!AD118+'Off-Ramp'!O118)</f>
        <v>#DIV/0!</v>
      </c>
      <c r="BU118" s="58" t="e">
        <f>(Links!AE118^2+'Off-Ramp'!V118^2+'Off-Ramp'!W118^2+'Off-Ramp'!X118^2)/(Links!AE118+'Off-Ramp'!V118+'Off-Ramp'!W118+'Off-Ramp'!X118)</f>
        <v>#DIV/0!</v>
      </c>
      <c r="BV118" s="58" t="e">
        <f>(Links!AG118^2+'Off-Ramp'!Y118^2+'Off-Ramp'!Z118^2+'Off-Ramp'!AA118^2)/(Links!AG118+'Off-Ramp'!Y118+'Off-Ramp'!Z118+'Off-Ramp'!AA118)</f>
        <v>#DIV/0!</v>
      </c>
      <c r="BW118" s="58" t="e">
        <f>(Links!AH118^2+'Off-Ramp'!R118^2)/(Links!AH118+'Off-Ramp'!R118)</f>
        <v>#DIV/0!</v>
      </c>
      <c r="BX118" s="58" t="e">
        <f>(Links!AK118^2+'Off-Ramp'!S118^2)/(Links!AK118+'Off-Ramp'!S118)</f>
        <v>#DIV/0!</v>
      </c>
      <c r="BY118" s="58" t="e">
        <f>(Links!AL118^2+'Off-Ramp'!T118^2)/(Links!AL118+'Off-Ramp'!T118)</f>
        <v>#DIV/0!</v>
      </c>
      <c r="BZ118" s="63"/>
      <c r="CA118" s="58" t="e">
        <f>(Links!AN118^2+'Off-Ramp'!U118^2)/(Links!AN118+'Off-Ramp'!U118)</f>
        <v>#DIV/0!</v>
      </c>
    </row>
    <row r="119" spans="1:79" x14ac:dyDescent="0.15">
      <c r="A119" s="56">
        <v>117</v>
      </c>
      <c r="B119" s="57" t="e">
        <f t="shared" si="30"/>
        <v>#DIV/0!</v>
      </c>
      <c r="C119" s="57" t="e">
        <f t="shared" si="31"/>
        <v>#DIV/0!</v>
      </c>
      <c r="D119" s="57" t="e">
        <f t="shared" si="32"/>
        <v>#DIV/0!</v>
      </c>
      <c r="E119" s="57" t="e">
        <f t="shared" si="33"/>
        <v>#DIV/0!</v>
      </c>
      <c r="F119" s="57" t="e">
        <f t="shared" si="34"/>
        <v>#DIV/0!</v>
      </c>
      <c r="G119" s="57" t="e">
        <f t="shared" si="35"/>
        <v>#DIV/0!</v>
      </c>
      <c r="H119" s="57" t="e">
        <f t="shared" si="36"/>
        <v>#DIV/0!</v>
      </c>
      <c r="I119" s="57" t="e">
        <f t="shared" si="37"/>
        <v>#DIV/0!</v>
      </c>
      <c r="J119" s="57" t="e">
        <f t="shared" si="38"/>
        <v>#DIV/0!</v>
      </c>
      <c r="K119" s="57" t="e">
        <f t="shared" si="39"/>
        <v>#DIV/0!</v>
      </c>
      <c r="L119" s="57" t="e">
        <f t="shared" si="40"/>
        <v>#DIV/0!</v>
      </c>
      <c r="M119" s="57" t="e">
        <f t="shared" si="41"/>
        <v>#DIV/0!</v>
      </c>
      <c r="N119" s="57" t="e">
        <f t="shared" si="42"/>
        <v>#DIV/0!</v>
      </c>
      <c r="O119" s="58" t="e">
        <f>Links!B119</f>
        <v>#DIV/0!</v>
      </c>
      <c r="P119" s="58" t="e">
        <f>Links!C119+'On-Ramps'!AC119</f>
        <v>#DIV/0!</v>
      </c>
      <c r="Q119" s="58" t="e">
        <f>Links!D119</f>
        <v>#DIV/0!</v>
      </c>
      <c r="R119" s="58" t="e">
        <f>Links!E119+'On-Ramps'!AD119</f>
        <v>#DIV/0!</v>
      </c>
      <c r="S119" s="58" t="e">
        <f>Links!F119+'On-Ramps'!AE119</f>
        <v>#DIV/0!</v>
      </c>
      <c r="T119" s="58" t="e">
        <f>Links!I119+'On-Ramps'!AF119</f>
        <v>#DIV/0!</v>
      </c>
      <c r="U119" s="58" t="e">
        <f>Links!J119+'On-Ramps'!AG119</f>
        <v>#DIV/0!</v>
      </c>
      <c r="V119" s="58" t="e">
        <f>Links!L119+'On-Ramps'!AH119</f>
        <v>#DIV/0!</v>
      </c>
      <c r="W119" s="58" t="e">
        <f>Links!M119+'On-Ramps'!AI119</f>
        <v>#DIV/0!</v>
      </c>
      <c r="X119" s="58" t="e">
        <f>Links!P119+'On-Ramps'!AJ119</f>
        <v>#DIV/0!</v>
      </c>
      <c r="Y119" s="58" t="e">
        <f>Links!Q119</f>
        <v>#DIV/0!</v>
      </c>
      <c r="Z119" s="58" t="e">
        <f>Links!R119+'On-Ramps'!AK119</f>
        <v>#DIV/0!</v>
      </c>
      <c r="AA119" s="58" t="e">
        <f>Links!S119</f>
        <v>#DIV/0!</v>
      </c>
      <c r="AB119" s="57" t="e">
        <f t="shared" si="43"/>
        <v>#VALUE!</v>
      </c>
      <c r="AC119" s="63"/>
      <c r="AD119" s="57" t="e">
        <f t="shared" si="44"/>
        <v>#DIV/0!</v>
      </c>
      <c r="AE119" s="63"/>
      <c r="AF119" s="57" t="e">
        <f t="shared" si="45"/>
        <v>#DIV/0!</v>
      </c>
      <c r="AG119" s="57" t="e">
        <f t="shared" si="46"/>
        <v>#DIV/0!</v>
      </c>
      <c r="AH119" s="57" t="e">
        <f t="shared" si="47"/>
        <v>#DIV/0!</v>
      </c>
      <c r="AI119" s="57" t="e">
        <f t="shared" si="48"/>
        <v>#DIV/0!</v>
      </c>
      <c r="AJ119" s="57" t="e">
        <f t="shared" si="49"/>
        <v>#DIV/0!</v>
      </c>
      <c r="AK119" s="57" t="e">
        <f t="shared" si="50"/>
        <v>#DIV/0!</v>
      </c>
      <c r="AL119" s="57" t="e">
        <f t="shared" si="51"/>
        <v>#DIV/0!</v>
      </c>
      <c r="AM119" s="63"/>
      <c r="AN119" s="57" t="e">
        <f t="shared" si="53"/>
        <v>#DIV/0!</v>
      </c>
      <c r="AO119" s="58" t="e">
        <f t="shared" si="29"/>
        <v>#VALUE!</v>
      </c>
      <c r="AP119" s="63"/>
      <c r="AQ119" s="58" t="e">
        <f t="shared" si="54"/>
        <v>#DIV/0!</v>
      </c>
      <c r="AR119" s="63"/>
      <c r="AS119" s="58" t="e">
        <f t="shared" si="54"/>
        <v>#DIV/0!</v>
      </c>
      <c r="AT119" s="58" t="e">
        <f t="shared" si="54"/>
        <v>#DIV/0!</v>
      </c>
      <c r="AU119" s="58" t="e">
        <f t="shared" si="54"/>
        <v>#DIV/0!</v>
      </c>
      <c r="AV119" s="58" t="e">
        <f t="shared" si="54"/>
        <v>#DIV/0!</v>
      </c>
      <c r="AW119" s="58" t="e">
        <f t="shared" si="54"/>
        <v>#DIV/0!</v>
      </c>
      <c r="AX119" s="58" t="e">
        <f t="shared" si="54"/>
        <v>#DIV/0!</v>
      </c>
      <c r="AY119" s="58" t="e">
        <f t="shared" si="54"/>
        <v>#DIV/0!</v>
      </c>
      <c r="AZ119" s="63"/>
      <c r="BA119" s="58" t="e">
        <f t="shared" si="54"/>
        <v>#DIV/0!</v>
      </c>
      <c r="BB119" s="63"/>
      <c r="BC119" s="57" t="e">
        <f>(Links!C119*Links!AQ119+'On-Ramps'!AC119*'On-Ramps'!CE119)/('On-Ramps'!AC119+Links!C119)</f>
        <v>#DIV/0!</v>
      </c>
      <c r="BD119" s="63"/>
      <c r="BE119" s="57" t="e">
        <f>(Links!E119*Links!AS119+'On-Ramps'!AD119*'On-Ramps'!CF118)/('On-Ramps'!AD119+Links!E119)</f>
        <v>#DIV/0!</v>
      </c>
      <c r="BF119" s="57" t="e">
        <f>(Links!F119*Links!AT119+'On-Ramps'!AE119*'On-Ramps'!CG119)/('On-Ramps'!AE119+Links!F119)</f>
        <v>#DIV/0!</v>
      </c>
      <c r="BG119" s="57" t="e">
        <f>(Links!I119*Links!AW119+'On-Ramps'!AF119*'On-Ramps'!CH119)/('On-Ramps'!AF119+Links!I119)</f>
        <v>#DIV/0!</v>
      </c>
      <c r="BH119" s="57" t="e">
        <f>(#REF!*#REF!+'On-Ramps'!AG119*'On-Ramps'!CI119)/('On-Ramps'!AG119+#REF!)</f>
        <v>#REF!</v>
      </c>
      <c r="BI119" s="57" t="e">
        <f>(Links!L119*Links!AZ119+'On-Ramps'!AH119*'On-Ramps'!CJ119)/('On-Ramps'!AH119+Links!L119)</f>
        <v>#DIV/0!</v>
      </c>
      <c r="BJ119" s="57" t="e">
        <f>(Links!BA119*Links!M119+'On-Ramps'!AI119*'On-Ramps'!CK119)/('On-Ramps'!AI119+Links!M119)</f>
        <v>#DIV/0!</v>
      </c>
      <c r="BK119" s="57" t="e">
        <f>(Links!S119*Links!BG119+'On-Ramps'!AJ119*'On-Ramps'!CL119)/('On-Ramps'!AJ119+Links!S119)</f>
        <v>#DIV/0!</v>
      </c>
      <c r="BL119" s="63"/>
      <c r="BM119" s="57" t="e">
        <f>(Links!S119*Links!BG119+'On-Ramps'!AL119*'On-Ramps'!CM119)/(Links!S119+'On-Ramps'!AL119)</f>
        <v>#DIV/0!</v>
      </c>
      <c r="BN119" s="63"/>
      <c r="BO119" s="58" t="e">
        <f>(Links!W119^2+'Off-Ramp'!L119^2)/(Links!W119+'Off-Ramp'!L119)</f>
        <v>#DIV/0!</v>
      </c>
      <c r="BP119" s="63"/>
      <c r="BQ119" s="58" t="e">
        <f>(Links!Y119^2+'Off-Ramp'!C119^2)/(Links!Y119+'Off-Ramp'!C119)</f>
        <v>#DIV/0!</v>
      </c>
      <c r="BR119" s="63"/>
      <c r="BS119" s="58" t="e">
        <f>(Links!AA119^2+'Off-Ramp'!N119^2)/(Links!AA119+'Off-Ramp'!N119)</f>
        <v>#DIV/0!</v>
      </c>
      <c r="BT119" s="58" t="e">
        <f>(Links!AD119^2+'Off-Ramp'!O119^2)/(Links!AD119+'Off-Ramp'!O119)</f>
        <v>#DIV/0!</v>
      </c>
      <c r="BU119" s="58" t="e">
        <f>(Links!AE119^2+'Off-Ramp'!V119^2+'Off-Ramp'!W119^2+'Off-Ramp'!X119^2)/(Links!AE119+'Off-Ramp'!V119+'Off-Ramp'!W119+'Off-Ramp'!X119)</f>
        <v>#DIV/0!</v>
      </c>
      <c r="BV119" s="58" t="e">
        <f>(Links!AG119^2+'Off-Ramp'!Y119^2+'Off-Ramp'!Z119^2+'Off-Ramp'!AA119^2)/(Links!AG119+'Off-Ramp'!Y119+'Off-Ramp'!Z119+'Off-Ramp'!AA119)</f>
        <v>#DIV/0!</v>
      </c>
      <c r="BW119" s="58" t="e">
        <f>(Links!AH119^2+'Off-Ramp'!R119^2)/(Links!AH119+'Off-Ramp'!R119)</f>
        <v>#DIV/0!</v>
      </c>
      <c r="BX119" s="58" t="e">
        <f>(Links!AK119^2+'Off-Ramp'!S119^2)/(Links!AK119+'Off-Ramp'!S119)</f>
        <v>#DIV/0!</v>
      </c>
      <c r="BY119" s="58" t="e">
        <f>(Links!AL119^2+'Off-Ramp'!T119^2)/(Links!AL119+'Off-Ramp'!T119)</f>
        <v>#DIV/0!</v>
      </c>
      <c r="BZ119" s="63"/>
      <c r="CA119" s="58" t="e">
        <f>(Links!AN119^2+'Off-Ramp'!U119^2)/(Links!AN119+'Off-Ramp'!U119)</f>
        <v>#DIV/0!</v>
      </c>
    </row>
    <row r="120" spans="1:79" x14ac:dyDescent="0.15">
      <c r="A120" s="56">
        <v>118</v>
      </c>
      <c r="B120" s="57" t="e">
        <f t="shared" si="30"/>
        <v>#DIV/0!</v>
      </c>
      <c r="C120" s="57" t="e">
        <f t="shared" si="31"/>
        <v>#DIV/0!</v>
      </c>
      <c r="D120" s="57" t="e">
        <f t="shared" si="32"/>
        <v>#DIV/0!</v>
      </c>
      <c r="E120" s="57" t="e">
        <f t="shared" si="33"/>
        <v>#DIV/0!</v>
      </c>
      <c r="F120" s="57" t="e">
        <f t="shared" si="34"/>
        <v>#DIV/0!</v>
      </c>
      <c r="G120" s="57" t="e">
        <f t="shared" si="35"/>
        <v>#DIV/0!</v>
      </c>
      <c r="H120" s="57" t="e">
        <f t="shared" si="36"/>
        <v>#DIV/0!</v>
      </c>
      <c r="I120" s="57" t="e">
        <f t="shared" si="37"/>
        <v>#DIV/0!</v>
      </c>
      <c r="J120" s="57" t="e">
        <f t="shared" si="38"/>
        <v>#DIV/0!</v>
      </c>
      <c r="K120" s="57" t="e">
        <f t="shared" si="39"/>
        <v>#DIV/0!</v>
      </c>
      <c r="L120" s="57" t="e">
        <f t="shared" si="40"/>
        <v>#DIV/0!</v>
      </c>
      <c r="M120" s="57" t="e">
        <f t="shared" si="41"/>
        <v>#DIV/0!</v>
      </c>
      <c r="N120" s="57" t="e">
        <f t="shared" si="42"/>
        <v>#DIV/0!</v>
      </c>
      <c r="O120" s="58" t="e">
        <f>Links!B120</f>
        <v>#DIV/0!</v>
      </c>
      <c r="P120" s="58" t="e">
        <f>Links!C120+'On-Ramps'!AC120</f>
        <v>#DIV/0!</v>
      </c>
      <c r="Q120" s="58" t="e">
        <f>Links!D120</f>
        <v>#DIV/0!</v>
      </c>
      <c r="R120" s="58" t="e">
        <f>Links!E120+'On-Ramps'!AD120</f>
        <v>#DIV/0!</v>
      </c>
      <c r="S120" s="58" t="e">
        <f>Links!F120+'On-Ramps'!AE120</f>
        <v>#DIV/0!</v>
      </c>
      <c r="T120" s="58" t="e">
        <f>Links!I120+'On-Ramps'!AF120</f>
        <v>#DIV/0!</v>
      </c>
      <c r="U120" s="58" t="e">
        <f>Links!J120+'On-Ramps'!AG120</f>
        <v>#DIV/0!</v>
      </c>
      <c r="V120" s="58" t="e">
        <f>Links!L120+'On-Ramps'!AH120</f>
        <v>#DIV/0!</v>
      </c>
      <c r="W120" s="58" t="e">
        <f>Links!M120+'On-Ramps'!AI120</f>
        <v>#DIV/0!</v>
      </c>
      <c r="X120" s="58" t="e">
        <f>Links!P120+'On-Ramps'!AJ120</f>
        <v>#DIV/0!</v>
      </c>
      <c r="Y120" s="58" t="e">
        <f>Links!Q120</f>
        <v>#DIV/0!</v>
      </c>
      <c r="Z120" s="58" t="e">
        <f>Links!R120+'On-Ramps'!AK120</f>
        <v>#DIV/0!</v>
      </c>
      <c r="AA120" s="58" t="e">
        <f>Links!S120</f>
        <v>#DIV/0!</v>
      </c>
      <c r="AB120" s="57" t="e">
        <f t="shared" si="43"/>
        <v>#VALUE!</v>
      </c>
      <c r="AC120" s="63"/>
      <c r="AD120" s="57" t="e">
        <f t="shared" si="44"/>
        <v>#DIV/0!</v>
      </c>
      <c r="AE120" s="63"/>
      <c r="AF120" s="57" t="e">
        <f t="shared" si="45"/>
        <v>#DIV/0!</v>
      </c>
      <c r="AG120" s="57" t="e">
        <f t="shared" si="46"/>
        <v>#DIV/0!</v>
      </c>
      <c r="AH120" s="57" t="e">
        <f t="shared" si="47"/>
        <v>#DIV/0!</v>
      </c>
      <c r="AI120" s="57" t="e">
        <f t="shared" si="48"/>
        <v>#DIV/0!</v>
      </c>
      <c r="AJ120" s="57" t="e">
        <f t="shared" si="49"/>
        <v>#DIV/0!</v>
      </c>
      <c r="AK120" s="57" t="e">
        <f t="shared" si="50"/>
        <v>#DIV/0!</v>
      </c>
      <c r="AL120" s="57" t="e">
        <f t="shared" si="51"/>
        <v>#DIV/0!</v>
      </c>
      <c r="AM120" s="63"/>
      <c r="AN120" s="57" t="e">
        <f t="shared" si="53"/>
        <v>#DIV/0!</v>
      </c>
      <c r="AO120" s="58" t="e">
        <f t="shared" si="29"/>
        <v>#VALUE!</v>
      </c>
      <c r="AP120" s="63"/>
      <c r="AQ120" s="58" t="e">
        <f t="shared" si="54"/>
        <v>#DIV/0!</v>
      </c>
      <c r="AR120" s="63"/>
      <c r="AS120" s="58" t="e">
        <f t="shared" si="54"/>
        <v>#DIV/0!</v>
      </c>
      <c r="AT120" s="58" t="e">
        <f t="shared" ref="AQ120:BA141" si="55">AT$3</f>
        <v>#DIV/0!</v>
      </c>
      <c r="AU120" s="58" t="e">
        <f t="shared" si="55"/>
        <v>#DIV/0!</v>
      </c>
      <c r="AV120" s="58" t="e">
        <f t="shared" si="55"/>
        <v>#DIV/0!</v>
      </c>
      <c r="AW120" s="58" t="e">
        <f t="shared" si="55"/>
        <v>#DIV/0!</v>
      </c>
      <c r="AX120" s="58" t="e">
        <f t="shared" si="55"/>
        <v>#DIV/0!</v>
      </c>
      <c r="AY120" s="58" t="e">
        <f t="shared" si="55"/>
        <v>#DIV/0!</v>
      </c>
      <c r="AZ120" s="63"/>
      <c r="BA120" s="58" t="e">
        <f t="shared" si="55"/>
        <v>#DIV/0!</v>
      </c>
      <c r="BB120" s="63"/>
      <c r="BC120" s="57" t="e">
        <f>(Links!C120*Links!AQ120+'On-Ramps'!AC120*'On-Ramps'!CE120)/('On-Ramps'!AC120+Links!C120)</f>
        <v>#DIV/0!</v>
      </c>
      <c r="BD120" s="63"/>
      <c r="BE120" s="57" t="e">
        <f>(Links!E120*Links!AS120+'On-Ramps'!AD120*'On-Ramps'!CF119)/('On-Ramps'!AD120+Links!E120)</f>
        <v>#DIV/0!</v>
      </c>
      <c r="BF120" s="57" t="e">
        <f>(Links!F120*Links!AT120+'On-Ramps'!AE120*'On-Ramps'!CG120)/('On-Ramps'!AE120+Links!F120)</f>
        <v>#DIV/0!</v>
      </c>
      <c r="BG120" s="57" t="e">
        <f>(Links!I120*Links!AW120+'On-Ramps'!AF120*'On-Ramps'!CH120)/('On-Ramps'!AF120+Links!I120)</f>
        <v>#DIV/0!</v>
      </c>
      <c r="BH120" s="57" t="e">
        <f>(#REF!*#REF!+'On-Ramps'!AG120*'On-Ramps'!CI120)/('On-Ramps'!AG120+#REF!)</f>
        <v>#REF!</v>
      </c>
      <c r="BI120" s="57" t="e">
        <f>(Links!L120*Links!AZ120+'On-Ramps'!AH120*'On-Ramps'!CJ120)/('On-Ramps'!AH120+Links!L120)</f>
        <v>#DIV/0!</v>
      </c>
      <c r="BJ120" s="57" t="e">
        <f>(Links!BA120*Links!M120+'On-Ramps'!AI120*'On-Ramps'!CK120)/('On-Ramps'!AI120+Links!M120)</f>
        <v>#DIV/0!</v>
      </c>
      <c r="BK120" s="57" t="e">
        <f>(Links!S120*Links!BG120+'On-Ramps'!AJ120*'On-Ramps'!CL120)/('On-Ramps'!AJ120+Links!S120)</f>
        <v>#DIV/0!</v>
      </c>
      <c r="BL120" s="63"/>
      <c r="BM120" s="57" t="e">
        <f>(Links!S120*Links!BG120+'On-Ramps'!AL120*'On-Ramps'!CM120)/(Links!S120+'On-Ramps'!AL120)</f>
        <v>#DIV/0!</v>
      </c>
      <c r="BN120" s="63"/>
      <c r="BO120" s="58" t="e">
        <f>(Links!W120^2+'Off-Ramp'!L120^2)/(Links!W120+'Off-Ramp'!L120)</f>
        <v>#DIV/0!</v>
      </c>
      <c r="BP120" s="63"/>
      <c r="BQ120" s="58" t="e">
        <f>(Links!Y120^2+'Off-Ramp'!C120^2)/(Links!Y120+'Off-Ramp'!C120)</f>
        <v>#DIV/0!</v>
      </c>
      <c r="BR120" s="63"/>
      <c r="BS120" s="58" t="e">
        <f>(Links!AA120^2+'Off-Ramp'!N120^2)/(Links!AA120+'Off-Ramp'!N120)</f>
        <v>#DIV/0!</v>
      </c>
      <c r="BT120" s="58" t="e">
        <f>(Links!AD120^2+'Off-Ramp'!O120^2)/(Links!AD120+'Off-Ramp'!O120)</f>
        <v>#DIV/0!</v>
      </c>
      <c r="BU120" s="58" t="e">
        <f>(Links!AE120^2+'Off-Ramp'!V120^2+'Off-Ramp'!W120^2+'Off-Ramp'!X120^2)/(Links!AE120+'Off-Ramp'!V120+'Off-Ramp'!W120+'Off-Ramp'!X120)</f>
        <v>#DIV/0!</v>
      </c>
      <c r="BV120" s="58" t="e">
        <f>(Links!AG120^2+'Off-Ramp'!Y120^2+'Off-Ramp'!Z120^2+'Off-Ramp'!AA120^2)/(Links!AG120+'Off-Ramp'!Y120+'Off-Ramp'!Z120+'Off-Ramp'!AA120)</f>
        <v>#DIV/0!</v>
      </c>
      <c r="BW120" s="58" t="e">
        <f>(Links!AH120^2+'Off-Ramp'!R120^2)/(Links!AH120+'Off-Ramp'!R120)</f>
        <v>#DIV/0!</v>
      </c>
      <c r="BX120" s="58" t="e">
        <f>(Links!AK120^2+'Off-Ramp'!S120^2)/(Links!AK120+'Off-Ramp'!S120)</f>
        <v>#DIV/0!</v>
      </c>
      <c r="BY120" s="58" t="e">
        <f>(Links!AL120^2+'Off-Ramp'!T120^2)/(Links!AL120+'Off-Ramp'!T120)</f>
        <v>#DIV/0!</v>
      </c>
      <c r="BZ120" s="63"/>
      <c r="CA120" s="58" t="e">
        <f>(Links!AN120^2+'Off-Ramp'!U120^2)/(Links!AN120+'Off-Ramp'!U120)</f>
        <v>#DIV/0!</v>
      </c>
    </row>
    <row r="121" spans="1:79" x14ac:dyDescent="0.15">
      <c r="A121" s="56">
        <v>119</v>
      </c>
      <c r="B121" s="57" t="e">
        <f t="shared" si="30"/>
        <v>#DIV/0!</v>
      </c>
      <c r="C121" s="57" t="e">
        <f t="shared" si="31"/>
        <v>#DIV/0!</v>
      </c>
      <c r="D121" s="57" t="e">
        <f t="shared" si="32"/>
        <v>#DIV/0!</v>
      </c>
      <c r="E121" s="57" t="e">
        <f t="shared" si="33"/>
        <v>#DIV/0!</v>
      </c>
      <c r="F121" s="57" t="e">
        <f t="shared" si="34"/>
        <v>#DIV/0!</v>
      </c>
      <c r="G121" s="57" t="e">
        <f t="shared" si="35"/>
        <v>#DIV/0!</v>
      </c>
      <c r="H121" s="57" t="e">
        <f t="shared" si="36"/>
        <v>#DIV/0!</v>
      </c>
      <c r="I121" s="57" t="e">
        <f t="shared" si="37"/>
        <v>#DIV/0!</v>
      </c>
      <c r="J121" s="57" t="e">
        <f t="shared" si="38"/>
        <v>#DIV/0!</v>
      </c>
      <c r="K121" s="57" t="e">
        <f t="shared" si="39"/>
        <v>#DIV/0!</v>
      </c>
      <c r="L121" s="57" t="e">
        <f t="shared" si="40"/>
        <v>#DIV/0!</v>
      </c>
      <c r="M121" s="57" t="e">
        <f t="shared" si="41"/>
        <v>#DIV/0!</v>
      </c>
      <c r="N121" s="57" t="e">
        <f t="shared" si="42"/>
        <v>#DIV/0!</v>
      </c>
      <c r="O121" s="58" t="e">
        <f>Links!B121</f>
        <v>#DIV/0!</v>
      </c>
      <c r="P121" s="58" t="e">
        <f>Links!C121+'On-Ramps'!AC121</f>
        <v>#DIV/0!</v>
      </c>
      <c r="Q121" s="58" t="e">
        <f>Links!D121</f>
        <v>#DIV/0!</v>
      </c>
      <c r="R121" s="58" t="e">
        <f>Links!E121+'On-Ramps'!AD121</f>
        <v>#DIV/0!</v>
      </c>
      <c r="S121" s="58" t="e">
        <f>Links!F121+'On-Ramps'!AE121</f>
        <v>#DIV/0!</v>
      </c>
      <c r="T121" s="58" t="e">
        <f>Links!I121+'On-Ramps'!AF121</f>
        <v>#DIV/0!</v>
      </c>
      <c r="U121" s="58" t="e">
        <f>Links!J121+'On-Ramps'!AG121</f>
        <v>#DIV/0!</v>
      </c>
      <c r="V121" s="58" t="e">
        <f>Links!L121+'On-Ramps'!AH121</f>
        <v>#DIV/0!</v>
      </c>
      <c r="W121" s="58" t="e">
        <f>Links!M121+'On-Ramps'!AI121</f>
        <v>#DIV/0!</v>
      </c>
      <c r="X121" s="58" t="e">
        <f>Links!P121+'On-Ramps'!AJ121</f>
        <v>#DIV/0!</v>
      </c>
      <c r="Y121" s="58" t="e">
        <f>Links!Q121</f>
        <v>#DIV/0!</v>
      </c>
      <c r="Z121" s="58" t="e">
        <f>Links!R121+'On-Ramps'!AK121</f>
        <v>#DIV/0!</v>
      </c>
      <c r="AA121" s="58" t="e">
        <f>Links!S121</f>
        <v>#DIV/0!</v>
      </c>
      <c r="AB121" s="57" t="e">
        <f t="shared" si="43"/>
        <v>#VALUE!</v>
      </c>
      <c r="AC121" s="63"/>
      <c r="AD121" s="57" t="e">
        <f t="shared" si="44"/>
        <v>#DIV/0!</v>
      </c>
      <c r="AE121" s="63"/>
      <c r="AF121" s="57" t="e">
        <f t="shared" si="45"/>
        <v>#DIV/0!</v>
      </c>
      <c r="AG121" s="57" t="e">
        <f t="shared" si="46"/>
        <v>#DIV/0!</v>
      </c>
      <c r="AH121" s="57" t="e">
        <f t="shared" si="47"/>
        <v>#DIV/0!</v>
      </c>
      <c r="AI121" s="57" t="e">
        <f t="shared" si="48"/>
        <v>#DIV/0!</v>
      </c>
      <c r="AJ121" s="57" t="e">
        <f t="shared" si="49"/>
        <v>#DIV/0!</v>
      </c>
      <c r="AK121" s="57" t="e">
        <f t="shared" si="50"/>
        <v>#DIV/0!</v>
      </c>
      <c r="AL121" s="57" t="e">
        <f t="shared" si="51"/>
        <v>#DIV/0!</v>
      </c>
      <c r="AM121" s="63"/>
      <c r="AN121" s="57" t="e">
        <f t="shared" si="53"/>
        <v>#DIV/0!</v>
      </c>
      <c r="AO121" s="58" t="e">
        <f t="shared" ref="AO121:AO182" si="56">AO$3</f>
        <v>#VALUE!</v>
      </c>
      <c r="AP121" s="63"/>
      <c r="AQ121" s="58" t="e">
        <f t="shared" si="55"/>
        <v>#DIV/0!</v>
      </c>
      <c r="AR121" s="63"/>
      <c r="AS121" s="58" t="e">
        <f t="shared" si="55"/>
        <v>#DIV/0!</v>
      </c>
      <c r="AT121" s="58" t="e">
        <f t="shared" si="55"/>
        <v>#DIV/0!</v>
      </c>
      <c r="AU121" s="58" t="e">
        <f t="shared" si="55"/>
        <v>#DIV/0!</v>
      </c>
      <c r="AV121" s="58" t="e">
        <f t="shared" si="55"/>
        <v>#DIV/0!</v>
      </c>
      <c r="AW121" s="58" t="e">
        <f t="shared" si="55"/>
        <v>#DIV/0!</v>
      </c>
      <c r="AX121" s="58" t="e">
        <f t="shared" si="55"/>
        <v>#DIV/0!</v>
      </c>
      <c r="AY121" s="58" t="e">
        <f t="shared" si="55"/>
        <v>#DIV/0!</v>
      </c>
      <c r="AZ121" s="63"/>
      <c r="BA121" s="58" t="e">
        <f t="shared" si="55"/>
        <v>#DIV/0!</v>
      </c>
      <c r="BB121" s="63"/>
      <c r="BC121" s="57" t="e">
        <f>(Links!C121*Links!AQ121+'On-Ramps'!AC121*'On-Ramps'!CE121)/('On-Ramps'!AC121+Links!C121)</f>
        <v>#DIV/0!</v>
      </c>
      <c r="BD121" s="63"/>
      <c r="BE121" s="57" t="e">
        <f>(Links!E121*Links!AS121+'On-Ramps'!AD121*'On-Ramps'!CF120)/('On-Ramps'!AD121+Links!E121)</f>
        <v>#DIV/0!</v>
      </c>
      <c r="BF121" s="57" t="e">
        <f>(Links!F121*Links!AT121+'On-Ramps'!AE121*'On-Ramps'!CG121)/('On-Ramps'!AE121+Links!F121)</f>
        <v>#DIV/0!</v>
      </c>
      <c r="BG121" s="57" t="e">
        <f>(Links!I121*Links!AW121+'On-Ramps'!AF121*'On-Ramps'!CH121)/('On-Ramps'!AF121+Links!I121)</f>
        <v>#DIV/0!</v>
      </c>
      <c r="BH121" s="57" t="e">
        <f>(#REF!*#REF!+'On-Ramps'!AG121*'On-Ramps'!CI121)/('On-Ramps'!AG121+#REF!)</f>
        <v>#REF!</v>
      </c>
      <c r="BI121" s="57" t="e">
        <f>(Links!L121*Links!AZ121+'On-Ramps'!AH121*'On-Ramps'!CJ121)/('On-Ramps'!AH121+Links!L121)</f>
        <v>#DIV/0!</v>
      </c>
      <c r="BJ121" s="57" t="e">
        <f>(Links!BA121*Links!M121+'On-Ramps'!AI121*'On-Ramps'!CK121)/('On-Ramps'!AI121+Links!M121)</f>
        <v>#DIV/0!</v>
      </c>
      <c r="BK121" s="57" t="e">
        <f>(Links!S121*Links!BG121+'On-Ramps'!AJ121*'On-Ramps'!CL121)/('On-Ramps'!AJ121+Links!S121)</f>
        <v>#DIV/0!</v>
      </c>
      <c r="BL121" s="63"/>
      <c r="BM121" s="57" t="e">
        <f>(Links!S121*Links!BG121+'On-Ramps'!AL121*'On-Ramps'!CM121)/(Links!S121+'On-Ramps'!AL121)</f>
        <v>#DIV/0!</v>
      </c>
      <c r="BN121" s="63"/>
      <c r="BO121" s="58" t="e">
        <f>(Links!W121^2+'Off-Ramp'!L121^2)/(Links!W121+'Off-Ramp'!L121)</f>
        <v>#DIV/0!</v>
      </c>
      <c r="BP121" s="63"/>
      <c r="BQ121" s="58" t="e">
        <f>(Links!Y121^2+'Off-Ramp'!C121^2)/(Links!Y121+'Off-Ramp'!C121)</f>
        <v>#DIV/0!</v>
      </c>
      <c r="BR121" s="63"/>
      <c r="BS121" s="58" t="e">
        <f>(Links!AA121^2+'Off-Ramp'!N121^2)/(Links!AA121+'Off-Ramp'!N121)</f>
        <v>#DIV/0!</v>
      </c>
      <c r="BT121" s="58" t="e">
        <f>(Links!AD121^2+'Off-Ramp'!O121^2)/(Links!AD121+'Off-Ramp'!O121)</f>
        <v>#DIV/0!</v>
      </c>
      <c r="BU121" s="58" t="e">
        <f>(Links!AE121^2+'Off-Ramp'!V121^2+'Off-Ramp'!W121^2+'Off-Ramp'!X121^2)/(Links!AE121+'Off-Ramp'!V121+'Off-Ramp'!W121+'Off-Ramp'!X121)</f>
        <v>#DIV/0!</v>
      </c>
      <c r="BV121" s="58" t="e">
        <f>(Links!AG121^2+'Off-Ramp'!Y121^2+'Off-Ramp'!Z121^2+'Off-Ramp'!AA121^2)/(Links!AG121+'Off-Ramp'!Y121+'Off-Ramp'!Z121+'Off-Ramp'!AA121)</f>
        <v>#DIV/0!</v>
      </c>
      <c r="BW121" s="58" t="e">
        <f>(Links!AH121^2+'Off-Ramp'!R121^2)/(Links!AH121+'Off-Ramp'!R121)</f>
        <v>#DIV/0!</v>
      </c>
      <c r="BX121" s="58" t="e">
        <f>(Links!AK121^2+'Off-Ramp'!S121^2)/(Links!AK121+'Off-Ramp'!S121)</f>
        <v>#DIV/0!</v>
      </c>
      <c r="BY121" s="58" t="e">
        <f>(Links!AL121^2+'Off-Ramp'!T121^2)/(Links!AL121+'Off-Ramp'!T121)</f>
        <v>#DIV/0!</v>
      </c>
      <c r="BZ121" s="63"/>
      <c r="CA121" s="58" t="e">
        <f>(Links!AN121^2+'Off-Ramp'!U121^2)/(Links!AN121+'Off-Ramp'!U121)</f>
        <v>#DIV/0!</v>
      </c>
    </row>
    <row r="122" spans="1:79" x14ac:dyDescent="0.15">
      <c r="A122" s="56">
        <v>120</v>
      </c>
      <c r="B122" s="57" t="e">
        <f t="shared" si="30"/>
        <v>#DIV/0!</v>
      </c>
      <c r="C122" s="57" t="e">
        <f t="shared" si="31"/>
        <v>#DIV/0!</v>
      </c>
      <c r="D122" s="57" t="e">
        <f t="shared" si="32"/>
        <v>#DIV/0!</v>
      </c>
      <c r="E122" s="57" t="e">
        <f t="shared" si="33"/>
        <v>#DIV/0!</v>
      </c>
      <c r="F122" s="57" t="e">
        <f t="shared" si="34"/>
        <v>#DIV/0!</v>
      </c>
      <c r="G122" s="57" t="e">
        <f t="shared" si="35"/>
        <v>#DIV/0!</v>
      </c>
      <c r="H122" s="57" t="e">
        <f t="shared" si="36"/>
        <v>#DIV/0!</v>
      </c>
      <c r="I122" s="57" t="e">
        <f t="shared" si="37"/>
        <v>#DIV/0!</v>
      </c>
      <c r="J122" s="57" t="e">
        <f t="shared" si="38"/>
        <v>#DIV/0!</v>
      </c>
      <c r="K122" s="57" t="e">
        <f t="shared" si="39"/>
        <v>#DIV/0!</v>
      </c>
      <c r="L122" s="57" t="e">
        <f t="shared" si="40"/>
        <v>#DIV/0!</v>
      </c>
      <c r="M122" s="57" t="e">
        <f t="shared" si="41"/>
        <v>#DIV/0!</v>
      </c>
      <c r="N122" s="57" t="e">
        <f t="shared" si="42"/>
        <v>#DIV/0!</v>
      </c>
      <c r="O122" s="58" t="e">
        <f>Links!B122</f>
        <v>#DIV/0!</v>
      </c>
      <c r="P122" s="58" t="e">
        <f>Links!C122+'On-Ramps'!AC122</f>
        <v>#DIV/0!</v>
      </c>
      <c r="Q122" s="58" t="e">
        <f>Links!D122</f>
        <v>#DIV/0!</v>
      </c>
      <c r="R122" s="58" t="e">
        <f>Links!E122+'On-Ramps'!AD122</f>
        <v>#DIV/0!</v>
      </c>
      <c r="S122" s="58" t="e">
        <f>Links!F122+'On-Ramps'!AE122</f>
        <v>#DIV/0!</v>
      </c>
      <c r="T122" s="58" t="e">
        <f>Links!I122+'On-Ramps'!AF122</f>
        <v>#DIV/0!</v>
      </c>
      <c r="U122" s="58" t="e">
        <f>Links!J122+'On-Ramps'!AG122</f>
        <v>#DIV/0!</v>
      </c>
      <c r="V122" s="58" t="e">
        <f>Links!L122+'On-Ramps'!AH122</f>
        <v>#DIV/0!</v>
      </c>
      <c r="W122" s="58" t="e">
        <f>Links!M122+'On-Ramps'!AI122</f>
        <v>#DIV/0!</v>
      </c>
      <c r="X122" s="58" t="e">
        <f>Links!P122+'On-Ramps'!AJ122</f>
        <v>#DIV/0!</v>
      </c>
      <c r="Y122" s="58" t="e">
        <f>Links!Q122</f>
        <v>#DIV/0!</v>
      </c>
      <c r="Z122" s="58" t="e">
        <f>Links!R122+'On-Ramps'!AK122</f>
        <v>#DIV/0!</v>
      </c>
      <c r="AA122" s="58" t="e">
        <f>Links!S122</f>
        <v>#DIV/0!</v>
      </c>
      <c r="AB122" s="57" t="e">
        <f t="shared" si="43"/>
        <v>#VALUE!</v>
      </c>
      <c r="AC122" s="63"/>
      <c r="AD122" s="57" t="e">
        <f t="shared" si="44"/>
        <v>#DIV/0!</v>
      </c>
      <c r="AE122" s="63"/>
      <c r="AF122" s="57" t="e">
        <f t="shared" si="45"/>
        <v>#DIV/0!</v>
      </c>
      <c r="AG122" s="57" t="e">
        <f t="shared" si="46"/>
        <v>#DIV/0!</v>
      </c>
      <c r="AH122" s="57" t="e">
        <f t="shared" si="47"/>
        <v>#DIV/0!</v>
      </c>
      <c r="AI122" s="57" t="e">
        <f t="shared" si="48"/>
        <v>#DIV/0!</v>
      </c>
      <c r="AJ122" s="57" t="e">
        <f t="shared" si="49"/>
        <v>#DIV/0!</v>
      </c>
      <c r="AK122" s="57" t="e">
        <f t="shared" si="50"/>
        <v>#DIV/0!</v>
      </c>
      <c r="AL122" s="57" t="e">
        <f t="shared" si="51"/>
        <v>#DIV/0!</v>
      </c>
      <c r="AM122" s="63"/>
      <c r="AN122" s="57" t="e">
        <f t="shared" si="53"/>
        <v>#DIV/0!</v>
      </c>
      <c r="AO122" s="58" t="e">
        <f t="shared" si="56"/>
        <v>#VALUE!</v>
      </c>
      <c r="AP122" s="63"/>
      <c r="AQ122" s="58" t="e">
        <f t="shared" si="55"/>
        <v>#DIV/0!</v>
      </c>
      <c r="AR122" s="63"/>
      <c r="AS122" s="58" t="e">
        <f t="shared" si="55"/>
        <v>#DIV/0!</v>
      </c>
      <c r="AT122" s="58" t="e">
        <f t="shared" si="55"/>
        <v>#DIV/0!</v>
      </c>
      <c r="AU122" s="58" t="e">
        <f t="shared" si="55"/>
        <v>#DIV/0!</v>
      </c>
      <c r="AV122" s="58" t="e">
        <f t="shared" si="55"/>
        <v>#DIV/0!</v>
      </c>
      <c r="AW122" s="58" t="e">
        <f t="shared" si="55"/>
        <v>#DIV/0!</v>
      </c>
      <c r="AX122" s="58" t="e">
        <f t="shared" si="55"/>
        <v>#DIV/0!</v>
      </c>
      <c r="AY122" s="58" t="e">
        <f t="shared" si="55"/>
        <v>#DIV/0!</v>
      </c>
      <c r="AZ122" s="63"/>
      <c r="BA122" s="58" t="e">
        <f t="shared" si="55"/>
        <v>#DIV/0!</v>
      </c>
      <c r="BB122" s="63"/>
      <c r="BC122" s="57" t="e">
        <f>(Links!C122*Links!AQ122+'On-Ramps'!AC122*'On-Ramps'!CE122)/('On-Ramps'!AC122+Links!C122)</f>
        <v>#DIV/0!</v>
      </c>
      <c r="BD122" s="63"/>
      <c r="BE122" s="57" t="e">
        <f>(Links!E122*Links!AS122+'On-Ramps'!AD122*'On-Ramps'!CF121)/('On-Ramps'!AD122+Links!E122)</f>
        <v>#DIV/0!</v>
      </c>
      <c r="BF122" s="57" t="e">
        <f>(Links!F122*Links!AT122+'On-Ramps'!AE122*'On-Ramps'!CG122)/('On-Ramps'!AE122+Links!F122)</f>
        <v>#DIV/0!</v>
      </c>
      <c r="BG122" s="57" t="e">
        <f>(Links!I122*Links!AW122+'On-Ramps'!AF122*'On-Ramps'!CH122)/('On-Ramps'!AF122+Links!I122)</f>
        <v>#DIV/0!</v>
      </c>
      <c r="BH122" s="57" t="e">
        <f>(#REF!*#REF!+'On-Ramps'!AG122*'On-Ramps'!CI122)/('On-Ramps'!AG122+#REF!)</f>
        <v>#REF!</v>
      </c>
      <c r="BI122" s="57" t="e">
        <f>(Links!L122*Links!AZ122+'On-Ramps'!AH122*'On-Ramps'!CJ122)/('On-Ramps'!AH122+Links!L122)</f>
        <v>#DIV/0!</v>
      </c>
      <c r="BJ122" s="57" t="e">
        <f>(Links!BA122*Links!M122+'On-Ramps'!AI122*'On-Ramps'!CK122)/('On-Ramps'!AI122+Links!M122)</f>
        <v>#DIV/0!</v>
      </c>
      <c r="BK122" s="57" t="e">
        <f>(Links!S122*Links!BG122+'On-Ramps'!AJ122*'On-Ramps'!CL122)/('On-Ramps'!AJ122+Links!S122)</f>
        <v>#DIV/0!</v>
      </c>
      <c r="BL122" s="63"/>
      <c r="BM122" s="57" t="e">
        <f>(Links!S122*Links!BG122+'On-Ramps'!AL122*'On-Ramps'!CM122)/(Links!S122+'On-Ramps'!AL122)</f>
        <v>#DIV/0!</v>
      </c>
      <c r="BN122" s="63"/>
      <c r="BO122" s="58" t="e">
        <f>(Links!W122^2+'Off-Ramp'!L122^2)/(Links!W122+'Off-Ramp'!L122)</f>
        <v>#DIV/0!</v>
      </c>
      <c r="BP122" s="63"/>
      <c r="BQ122" s="58" t="e">
        <f>(Links!Y122^2+'Off-Ramp'!C122^2)/(Links!Y122+'Off-Ramp'!C122)</f>
        <v>#DIV/0!</v>
      </c>
      <c r="BR122" s="63"/>
      <c r="BS122" s="58" t="e">
        <f>(Links!AA122^2+'Off-Ramp'!N122^2)/(Links!AA122+'Off-Ramp'!N122)</f>
        <v>#DIV/0!</v>
      </c>
      <c r="BT122" s="58" t="e">
        <f>(Links!AD122^2+'Off-Ramp'!O122^2)/(Links!AD122+'Off-Ramp'!O122)</f>
        <v>#DIV/0!</v>
      </c>
      <c r="BU122" s="58" t="e">
        <f>(Links!AE122^2+'Off-Ramp'!V122^2+'Off-Ramp'!W122^2+'Off-Ramp'!X122^2)/(Links!AE122+'Off-Ramp'!V122+'Off-Ramp'!W122+'Off-Ramp'!X122)</f>
        <v>#DIV/0!</v>
      </c>
      <c r="BV122" s="58" t="e">
        <f>(Links!AG122^2+'Off-Ramp'!Y122^2+'Off-Ramp'!Z122^2+'Off-Ramp'!AA122^2)/(Links!AG122+'Off-Ramp'!Y122+'Off-Ramp'!Z122+'Off-Ramp'!AA122)</f>
        <v>#DIV/0!</v>
      </c>
      <c r="BW122" s="58" t="e">
        <f>(Links!AH122^2+'Off-Ramp'!R122^2)/(Links!AH122+'Off-Ramp'!R122)</f>
        <v>#DIV/0!</v>
      </c>
      <c r="BX122" s="58" t="e">
        <f>(Links!AK122^2+'Off-Ramp'!S122^2)/(Links!AK122+'Off-Ramp'!S122)</f>
        <v>#DIV/0!</v>
      </c>
      <c r="BY122" s="58" t="e">
        <f>(Links!AL122^2+'Off-Ramp'!T122^2)/(Links!AL122+'Off-Ramp'!T122)</f>
        <v>#DIV/0!</v>
      </c>
      <c r="BZ122" s="63"/>
      <c r="CA122" s="58" t="e">
        <f>(Links!AN122^2+'Off-Ramp'!U122^2)/(Links!AN122+'Off-Ramp'!U122)</f>
        <v>#DIV/0!</v>
      </c>
    </row>
    <row r="123" spans="1:79" x14ac:dyDescent="0.15">
      <c r="A123" s="56">
        <v>121</v>
      </c>
      <c r="B123" s="57" t="e">
        <f t="shared" si="30"/>
        <v>#DIV/0!</v>
      </c>
      <c r="C123" s="57" t="e">
        <f t="shared" si="31"/>
        <v>#DIV/0!</v>
      </c>
      <c r="D123" s="57" t="e">
        <f t="shared" si="32"/>
        <v>#DIV/0!</v>
      </c>
      <c r="E123" s="57" t="e">
        <f t="shared" si="33"/>
        <v>#DIV/0!</v>
      </c>
      <c r="F123" s="57" t="e">
        <f t="shared" si="34"/>
        <v>#DIV/0!</v>
      </c>
      <c r="G123" s="57" t="e">
        <f t="shared" si="35"/>
        <v>#DIV/0!</v>
      </c>
      <c r="H123" s="57" t="e">
        <f t="shared" si="36"/>
        <v>#DIV/0!</v>
      </c>
      <c r="I123" s="57" t="e">
        <f t="shared" si="37"/>
        <v>#DIV/0!</v>
      </c>
      <c r="J123" s="57" t="e">
        <f t="shared" si="38"/>
        <v>#DIV/0!</v>
      </c>
      <c r="K123" s="57" t="e">
        <f t="shared" si="39"/>
        <v>#DIV/0!</v>
      </c>
      <c r="L123" s="57" t="e">
        <f t="shared" si="40"/>
        <v>#DIV/0!</v>
      </c>
      <c r="M123" s="57" t="e">
        <f t="shared" si="41"/>
        <v>#DIV/0!</v>
      </c>
      <c r="N123" s="57" t="e">
        <f t="shared" si="42"/>
        <v>#DIV/0!</v>
      </c>
      <c r="O123" s="58" t="e">
        <f>Links!B123</f>
        <v>#DIV/0!</v>
      </c>
      <c r="P123" s="58" t="e">
        <f>Links!C123+'On-Ramps'!AC123</f>
        <v>#DIV/0!</v>
      </c>
      <c r="Q123" s="58" t="e">
        <f>Links!D123</f>
        <v>#DIV/0!</v>
      </c>
      <c r="R123" s="58" t="e">
        <f>Links!E123+'On-Ramps'!AD123</f>
        <v>#DIV/0!</v>
      </c>
      <c r="S123" s="58" t="e">
        <f>Links!F123+'On-Ramps'!AE123</f>
        <v>#DIV/0!</v>
      </c>
      <c r="T123" s="58" t="e">
        <f>Links!I123+'On-Ramps'!AF123</f>
        <v>#DIV/0!</v>
      </c>
      <c r="U123" s="58" t="e">
        <f>Links!J123+'On-Ramps'!AG123</f>
        <v>#DIV/0!</v>
      </c>
      <c r="V123" s="58" t="e">
        <f>Links!L123+'On-Ramps'!AH123</f>
        <v>#DIV/0!</v>
      </c>
      <c r="W123" s="58" t="e">
        <f>Links!M123+'On-Ramps'!AI123</f>
        <v>#DIV/0!</v>
      </c>
      <c r="X123" s="58" t="e">
        <f>Links!P123+'On-Ramps'!AJ123</f>
        <v>#DIV/0!</v>
      </c>
      <c r="Y123" s="58" t="e">
        <f>Links!Q123</f>
        <v>#DIV/0!</v>
      </c>
      <c r="Z123" s="58" t="e">
        <f>Links!R123+'On-Ramps'!AK123</f>
        <v>#DIV/0!</v>
      </c>
      <c r="AA123" s="58" t="e">
        <f>Links!S123</f>
        <v>#DIV/0!</v>
      </c>
      <c r="AB123" s="57" t="e">
        <f t="shared" si="43"/>
        <v>#VALUE!</v>
      </c>
      <c r="AC123" s="63"/>
      <c r="AD123" s="57" t="e">
        <f t="shared" si="44"/>
        <v>#DIV/0!</v>
      </c>
      <c r="AE123" s="63"/>
      <c r="AF123" s="57" t="e">
        <f t="shared" si="45"/>
        <v>#DIV/0!</v>
      </c>
      <c r="AG123" s="57" t="e">
        <f t="shared" si="46"/>
        <v>#DIV/0!</v>
      </c>
      <c r="AH123" s="57" t="e">
        <f t="shared" si="47"/>
        <v>#DIV/0!</v>
      </c>
      <c r="AI123" s="57" t="e">
        <f t="shared" si="48"/>
        <v>#DIV/0!</v>
      </c>
      <c r="AJ123" s="57" t="e">
        <f t="shared" si="49"/>
        <v>#DIV/0!</v>
      </c>
      <c r="AK123" s="57" t="e">
        <f t="shared" si="50"/>
        <v>#DIV/0!</v>
      </c>
      <c r="AL123" s="57" t="e">
        <f t="shared" si="51"/>
        <v>#DIV/0!</v>
      </c>
      <c r="AM123" s="63"/>
      <c r="AN123" s="57" t="e">
        <f t="shared" si="53"/>
        <v>#DIV/0!</v>
      </c>
      <c r="AO123" s="58" t="e">
        <f t="shared" si="56"/>
        <v>#VALUE!</v>
      </c>
      <c r="AP123" s="63"/>
      <c r="AQ123" s="58" t="e">
        <f t="shared" si="55"/>
        <v>#DIV/0!</v>
      </c>
      <c r="AR123" s="63"/>
      <c r="AS123" s="58" t="e">
        <f t="shared" si="55"/>
        <v>#DIV/0!</v>
      </c>
      <c r="AT123" s="58" t="e">
        <f t="shared" si="55"/>
        <v>#DIV/0!</v>
      </c>
      <c r="AU123" s="58" t="e">
        <f t="shared" si="55"/>
        <v>#DIV/0!</v>
      </c>
      <c r="AV123" s="58" t="e">
        <f t="shared" si="55"/>
        <v>#DIV/0!</v>
      </c>
      <c r="AW123" s="58" t="e">
        <f t="shared" si="55"/>
        <v>#DIV/0!</v>
      </c>
      <c r="AX123" s="58" t="e">
        <f t="shared" si="55"/>
        <v>#DIV/0!</v>
      </c>
      <c r="AY123" s="58" t="e">
        <f t="shared" si="55"/>
        <v>#DIV/0!</v>
      </c>
      <c r="AZ123" s="63"/>
      <c r="BA123" s="58" t="e">
        <f t="shared" si="55"/>
        <v>#DIV/0!</v>
      </c>
      <c r="BB123" s="63"/>
      <c r="BC123" s="57" t="e">
        <f>(Links!C123*Links!AQ123+'On-Ramps'!AC123*'On-Ramps'!CE123)/('On-Ramps'!AC123+Links!C123)</f>
        <v>#DIV/0!</v>
      </c>
      <c r="BD123" s="63"/>
      <c r="BE123" s="57" t="e">
        <f>(Links!E123*Links!AS123+'On-Ramps'!AD123*'On-Ramps'!CF122)/('On-Ramps'!AD123+Links!E123)</f>
        <v>#DIV/0!</v>
      </c>
      <c r="BF123" s="57" t="e">
        <f>(Links!F123*Links!AT123+'On-Ramps'!AE123*'On-Ramps'!CG123)/('On-Ramps'!AE123+Links!F123)</f>
        <v>#DIV/0!</v>
      </c>
      <c r="BG123" s="57" t="e">
        <f>(Links!I123*Links!AW123+'On-Ramps'!AF123*'On-Ramps'!CH123)/('On-Ramps'!AF123+Links!I123)</f>
        <v>#DIV/0!</v>
      </c>
      <c r="BH123" s="57" t="e">
        <f>(#REF!*#REF!+'On-Ramps'!AG123*'On-Ramps'!CI123)/('On-Ramps'!AG123+#REF!)</f>
        <v>#REF!</v>
      </c>
      <c r="BI123" s="57" t="e">
        <f>(Links!L123*Links!AZ123+'On-Ramps'!AH123*'On-Ramps'!CJ123)/('On-Ramps'!AH123+Links!L123)</f>
        <v>#DIV/0!</v>
      </c>
      <c r="BJ123" s="57" t="e">
        <f>(Links!BA123*Links!M123+'On-Ramps'!AI123*'On-Ramps'!CK123)/('On-Ramps'!AI123+Links!M123)</f>
        <v>#DIV/0!</v>
      </c>
      <c r="BK123" s="57" t="e">
        <f>(Links!S123*Links!BG123+'On-Ramps'!AJ123*'On-Ramps'!CL123)/('On-Ramps'!AJ123+Links!S123)</f>
        <v>#DIV/0!</v>
      </c>
      <c r="BL123" s="63"/>
      <c r="BM123" s="57" t="e">
        <f>(Links!S123*Links!BG123+'On-Ramps'!AL123*'On-Ramps'!CM123)/(Links!S123+'On-Ramps'!AL123)</f>
        <v>#DIV/0!</v>
      </c>
      <c r="BN123" s="63"/>
      <c r="BO123" s="58" t="e">
        <f>(Links!W123^2+'Off-Ramp'!L123^2)/(Links!W123+'Off-Ramp'!L123)</f>
        <v>#DIV/0!</v>
      </c>
      <c r="BP123" s="63"/>
      <c r="BQ123" s="58" t="e">
        <f>(Links!Y123^2+'Off-Ramp'!C123^2)/(Links!Y123+'Off-Ramp'!C123)</f>
        <v>#DIV/0!</v>
      </c>
      <c r="BR123" s="63"/>
      <c r="BS123" s="58" t="e">
        <f>(Links!AA123^2+'Off-Ramp'!N123^2)/(Links!AA123+'Off-Ramp'!N123)</f>
        <v>#DIV/0!</v>
      </c>
      <c r="BT123" s="58" t="e">
        <f>(Links!AD123^2+'Off-Ramp'!O123^2)/(Links!AD123+'Off-Ramp'!O123)</f>
        <v>#DIV/0!</v>
      </c>
      <c r="BU123" s="58" t="e">
        <f>(Links!AE123^2+'Off-Ramp'!V123^2+'Off-Ramp'!W123^2+'Off-Ramp'!X123^2)/(Links!AE123+'Off-Ramp'!V123+'Off-Ramp'!W123+'Off-Ramp'!X123)</f>
        <v>#DIV/0!</v>
      </c>
      <c r="BV123" s="58" t="e">
        <f>(Links!AG123^2+'Off-Ramp'!Y123^2+'Off-Ramp'!Z123^2+'Off-Ramp'!AA123^2)/(Links!AG123+'Off-Ramp'!Y123+'Off-Ramp'!Z123+'Off-Ramp'!AA123)</f>
        <v>#DIV/0!</v>
      </c>
      <c r="BW123" s="58" t="e">
        <f>(Links!AH123^2+'Off-Ramp'!R123^2)/(Links!AH123+'Off-Ramp'!R123)</f>
        <v>#DIV/0!</v>
      </c>
      <c r="BX123" s="58" t="e">
        <f>(Links!AK123^2+'Off-Ramp'!S123^2)/(Links!AK123+'Off-Ramp'!S123)</f>
        <v>#DIV/0!</v>
      </c>
      <c r="BY123" s="58" t="e">
        <f>(Links!AL123^2+'Off-Ramp'!T123^2)/(Links!AL123+'Off-Ramp'!T123)</f>
        <v>#DIV/0!</v>
      </c>
      <c r="BZ123" s="63"/>
      <c r="CA123" s="58" t="e">
        <f>(Links!AN123^2+'Off-Ramp'!U123^2)/(Links!AN123+'Off-Ramp'!U123)</f>
        <v>#DIV/0!</v>
      </c>
    </row>
    <row r="124" spans="1:79" x14ac:dyDescent="0.15">
      <c r="A124" s="56">
        <v>122</v>
      </c>
      <c r="B124" s="57" t="e">
        <f t="shared" si="30"/>
        <v>#DIV/0!</v>
      </c>
      <c r="C124" s="57" t="e">
        <f t="shared" si="31"/>
        <v>#DIV/0!</v>
      </c>
      <c r="D124" s="57" t="e">
        <f t="shared" si="32"/>
        <v>#DIV/0!</v>
      </c>
      <c r="E124" s="57" t="e">
        <f t="shared" si="33"/>
        <v>#DIV/0!</v>
      </c>
      <c r="F124" s="57" t="e">
        <f t="shared" si="34"/>
        <v>#DIV/0!</v>
      </c>
      <c r="G124" s="57" t="e">
        <f t="shared" si="35"/>
        <v>#DIV/0!</v>
      </c>
      <c r="H124" s="57" t="e">
        <f t="shared" si="36"/>
        <v>#DIV/0!</v>
      </c>
      <c r="I124" s="57" t="e">
        <f t="shared" si="37"/>
        <v>#DIV/0!</v>
      </c>
      <c r="J124" s="57" t="e">
        <f t="shared" si="38"/>
        <v>#DIV/0!</v>
      </c>
      <c r="K124" s="57" t="e">
        <f t="shared" si="39"/>
        <v>#DIV/0!</v>
      </c>
      <c r="L124" s="57" t="e">
        <f t="shared" si="40"/>
        <v>#DIV/0!</v>
      </c>
      <c r="M124" s="57" t="e">
        <f t="shared" si="41"/>
        <v>#DIV/0!</v>
      </c>
      <c r="N124" s="57" t="e">
        <f t="shared" si="42"/>
        <v>#DIV/0!</v>
      </c>
      <c r="O124" s="58" t="e">
        <f>Links!B124</f>
        <v>#DIV/0!</v>
      </c>
      <c r="P124" s="58" t="e">
        <f>Links!C124+'On-Ramps'!AC124</f>
        <v>#DIV/0!</v>
      </c>
      <c r="Q124" s="58" t="e">
        <f>Links!D124</f>
        <v>#DIV/0!</v>
      </c>
      <c r="R124" s="58" t="e">
        <f>Links!E124+'On-Ramps'!AD124</f>
        <v>#DIV/0!</v>
      </c>
      <c r="S124" s="58" t="e">
        <f>Links!F124+'On-Ramps'!AE124</f>
        <v>#DIV/0!</v>
      </c>
      <c r="T124" s="58" t="e">
        <f>Links!I124+'On-Ramps'!AF124</f>
        <v>#DIV/0!</v>
      </c>
      <c r="U124" s="58" t="e">
        <f>Links!J124+'On-Ramps'!AG124</f>
        <v>#DIV/0!</v>
      </c>
      <c r="V124" s="58" t="e">
        <f>Links!L124+'On-Ramps'!AH124</f>
        <v>#DIV/0!</v>
      </c>
      <c r="W124" s="58" t="e">
        <f>Links!M124+'On-Ramps'!AI124</f>
        <v>#DIV/0!</v>
      </c>
      <c r="X124" s="58" t="e">
        <f>Links!P124+'On-Ramps'!AJ124</f>
        <v>#DIV/0!</v>
      </c>
      <c r="Y124" s="58" t="e">
        <f>Links!Q124</f>
        <v>#DIV/0!</v>
      </c>
      <c r="Z124" s="58" t="e">
        <f>Links!R124+'On-Ramps'!AK124</f>
        <v>#DIV/0!</v>
      </c>
      <c r="AA124" s="58" t="e">
        <f>Links!S124</f>
        <v>#DIV/0!</v>
      </c>
      <c r="AB124" s="57" t="e">
        <f t="shared" si="43"/>
        <v>#VALUE!</v>
      </c>
      <c r="AC124" s="63"/>
      <c r="AD124" s="57" t="e">
        <f t="shared" si="44"/>
        <v>#DIV/0!</v>
      </c>
      <c r="AE124" s="63"/>
      <c r="AF124" s="57" t="e">
        <f t="shared" si="45"/>
        <v>#DIV/0!</v>
      </c>
      <c r="AG124" s="57" t="e">
        <f t="shared" si="46"/>
        <v>#DIV/0!</v>
      </c>
      <c r="AH124" s="57" t="e">
        <f t="shared" si="47"/>
        <v>#DIV/0!</v>
      </c>
      <c r="AI124" s="57" t="e">
        <f t="shared" si="48"/>
        <v>#DIV/0!</v>
      </c>
      <c r="AJ124" s="57" t="e">
        <f t="shared" si="49"/>
        <v>#DIV/0!</v>
      </c>
      <c r="AK124" s="57" t="e">
        <f t="shared" si="50"/>
        <v>#DIV/0!</v>
      </c>
      <c r="AL124" s="57" t="e">
        <f t="shared" si="51"/>
        <v>#DIV/0!</v>
      </c>
      <c r="AM124" s="63"/>
      <c r="AN124" s="57" t="e">
        <f t="shared" si="53"/>
        <v>#DIV/0!</v>
      </c>
      <c r="AO124" s="58" t="e">
        <f t="shared" si="56"/>
        <v>#VALUE!</v>
      </c>
      <c r="AP124" s="63"/>
      <c r="AQ124" s="58" t="e">
        <f t="shared" si="55"/>
        <v>#DIV/0!</v>
      </c>
      <c r="AR124" s="63"/>
      <c r="AS124" s="58" t="e">
        <f t="shared" si="55"/>
        <v>#DIV/0!</v>
      </c>
      <c r="AT124" s="58" t="e">
        <f t="shared" si="55"/>
        <v>#DIV/0!</v>
      </c>
      <c r="AU124" s="58" t="e">
        <f t="shared" si="55"/>
        <v>#DIV/0!</v>
      </c>
      <c r="AV124" s="58" t="e">
        <f t="shared" si="55"/>
        <v>#DIV/0!</v>
      </c>
      <c r="AW124" s="58" t="e">
        <f t="shared" si="55"/>
        <v>#DIV/0!</v>
      </c>
      <c r="AX124" s="58" t="e">
        <f t="shared" si="55"/>
        <v>#DIV/0!</v>
      </c>
      <c r="AY124" s="58" t="e">
        <f t="shared" si="55"/>
        <v>#DIV/0!</v>
      </c>
      <c r="AZ124" s="63"/>
      <c r="BA124" s="58" t="e">
        <f t="shared" si="55"/>
        <v>#DIV/0!</v>
      </c>
      <c r="BB124" s="63"/>
      <c r="BC124" s="57" t="e">
        <f>(Links!C124*Links!AQ124+'On-Ramps'!AC124*'On-Ramps'!CE124)/('On-Ramps'!AC124+Links!C124)</f>
        <v>#DIV/0!</v>
      </c>
      <c r="BD124" s="63"/>
      <c r="BE124" s="57" t="e">
        <f>(Links!E124*Links!AS124+'On-Ramps'!AD124*'On-Ramps'!CF123)/('On-Ramps'!AD124+Links!E124)</f>
        <v>#DIV/0!</v>
      </c>
      <c r="BF124" s="57" t="e">
        <f>(Links!F124*Links!AT124+'On-Ramps'!AE124*'On-Ramps'!CG124)/('On-Ramps'!AE124+Links!F124)</f>
        <v>#DIV/0!</v>
      </c>
      <c r="BG124" s="57" t="e">
        <f>(Links!I124*Links!AW124+'On-Ramps'!AF124*'On-Ramps'!CH124)/('On-Ramps'!AF124+Links!I124)</f>
        <v>#DIV/0!</v>
      </c>
      <c r="BH124" s="57" t="e">
        <f>(#REF!*#REF!+'On-Ramps'!AG124*'On-Ramps'!CI124)/('On-Ramps'!AG124+#REF!)</f>
        <v>#REF!</v>
      </c>
      <c r="BI124" s="57" t="e">
        <f>(Links!L124*Links!AZ124+'On-Ramps'!AH124*'On-Ramps'!CJ124)/('On-Ramps'!AH124+Links!L124)</f>
        <v>#DIV/0!</v>
      </c>
      <c r="BJ124" s="57" t="e">
        <f>(Links!BA124*Links!M124+'On-Ramps'!AI124*'On-Ramps'!CK124)/('On-Ramps'!AI124+Links!M124)</f>
        <v>#DIV/0!</v>
      </c>
      <c r="BK124" s="57" t="e">
        <f>(Links!S124*Links!BG124+'On-Ramps'!AJ124*'On-Ramps'!CL124)/('On-Ramps'!AJ124+Links!S124)</f>
        <v>#DIV/0!</v>
      </c>
      <c r="BL124" s="63"/>
      <c r="BM124" s="57" t="e">
        <f>(Links!S124*Links!BG124+'On-Ramps'!AL124*'On-Ramps'!CM124)/(Links!S124+'On-Ramps'!AL124)</f>
        <v>#DIV/0!</v>
      </c>
      <c r="BN124" s="63"/>
      <c r="BO124" s="58" t="e">
        <f>(Links!W124^2+'Off-Ramp'!L124^2)/(Links!W124+'Off-Ramp'!L124)</f>
        <v>#DIV/0!</v>
      </c>
      <c r="BP124" s="63"/>
      <c r="BQ124" s="58" t="e">
        <f>(Links!Y124^2+'Off-Ramp'!C124^2)/(Links!Y124+'Off-Ramp'!C124)</f>
        <v>#DIV/0!</v>
      </c>
      <c r="BR124" s="63"/>
      <c r="BS124" s="58" t="e">
        <f>(Links!AA124^2+'Off-Ramp'!N124^2)/(Links!AA124+'Off-Ramp'!N124)</f>
        <v>#DIV/0!</v>
      </c>
      <c r="BT124" s="58" t="e">
        <f>(Links!AD124^2+'Off-Ramp'!O124^2)/(Links!AD124+'Off-Ramp'!O124)</f>
        <v>#DIV/0!</v>
      </c>
      <c r="BU124" s="58" t="e">
        <f>(Links!AE124^2+'Off-Ramp'!V124^2+'Off-Ramp'!W124^2+'Off-Ramp'!X124^2)/(Links!AE124+'Off-Ramp'!V124+'Off-Ramp'!W124+'Off-Ramp'!X124)</f>
        <v>#DIV/0!</v>
      </c>
      <c r="BV124" s="58" t="e">
        <f>(Links!AG124^2+'Off-Ramp'!Y124^2+'Off-Ramp'!Z124^2+'Off-Ramp'!AA124^2)/(Links!AG124+'Off-Ramp'!Y124+'Off-Ramp'!Z124+'Off-Ramp'!AA124)</f>
        <v>#DIV/0!</v>
      </c>
      <c r="BW124" s="58" t="e">
        <f>(Links!AH124^2+'Off-Ramp'!R124^2)/(Links!AH124+'Off-Ramp'!R124)</f>
        <v>#DIV/0!</v>
      </c>
      <c r="BX124" s="58" t="e">
        <f>(Links!AK124^2+'Off-Ramp'!S124^2)/(Links!AK124+'Off-Ramp'!S124)</f>
        <v>#DIV/0!</v>
      </c>
      <c r="BY124" s="58" t="e">
        <f>(Links!AL124^2+'Off-Ramp'!T124^2)/(Links!AL124+'Off-Ramp'!T124)</f>
        <v>#DIV/0!</v>
      </c>
      <c r="BZ124" s="63"/>
      <c r="CA124" s="58" t="e">
        <f>(Links!AN124^2+'Off-Ramp'!U124^2)/(Links!AN124+'Off-Ramp'!U124)</f>
        <v>#DIV/0!</v>
      </c>
    </row>
    <row r="125" spans="1:79" x14ac:dyDescent="0.15">
      <c r="A125" s="56">
        <v>123</v>
      </c>
      <c r="B125" s="57" t="e">
        <f t="shared" si="30"/>
        <v>#DIV/0!</v>
      </c>
      <c r="C125" s="57" t="e">
        <f t="shared" si="31"/>
        <v>#DIV/0!</v>
      </c>
      <c r="D125" s="57" t="e">
        <f t="shared" si="32"/>
        <v>#DIV/0!</v>
      </c>
      <c r="E125" s="57" t="e">
        <f t="shared" si="33"/>
        <v>#DIV/0!</v>
      </c>
      <c r="F125" s="57" t="e">
        <f t="shared" si="34"/>
        <v>#DIV/0!</v>
      </c>
      <c r="G125" s="57" t="e">
        <f t="shared" si="35"/>
        <v>#DIV/0!</v>
      </c>
      <c r="H125" s="57" t="e">
        <f t="shared" si="36"/>
        <v>#DIV/0!</v>
      </c>
      <c r="I125" s="57" t="e">
        <f t="shared" si="37"/>
        <v>#DIV/0!</v>
      </c>
      <c r="J125" s="57" t="e">
        <f t="shared" si="38"/>
        <v>#DIV/0!</v>
      </c>
      <c r="K125" s="57" t="e">
        <f t="shared" si="39"/>
        <v>#DIV/0!</v>
      </c>
      <c r="L125" s="57" t="e">
        <f t="shared" si="40"/>
        <v>#DIV/0!</v>
      </c>
      <c r="M125" s="57" t="e">
        <f t="shared" si="41"/>
        <v>#DIV/0!</v>
      </c>
      <c r="N125" s="57" t="e">
        <f t="shared" si="42"/>
        <v>#DIV/0!</v>
      </c>
      <c r="O125" s="58" t="e">
        <f>Links!B125</f>
        <v>#DIV/0!</v>
      </c>
      <c r="P125" s="58" t="e">
        <f>Links!C125+'On-Ramps'!AC125</f>
        <v>#DIV/0!</v>
      </c>
      <c r="Q125" s="58" t="e">
        <f>Links!D125</f>
        <v>#DIV/0!</v>
      </c>
      <c r="R125" s="58" t="e">
        <f>Links!E125+'On-Ramps'!AD125</f>
        <v>#DIV/0!</v>
      </c>
      <c r="S125" s="58" t="e">
        <f>Links!F125+'On-Ramps'!AE125</f>
        <v>#DIV/0!</v>
      </c>
      <c r="T125" s="58" t="e">
        <f>Links!I125+'On-Ramps'!AF125</f>
        <v>#DIV/0!</v>
      </c>
      <c r="U125" s="58" t="e">
        <f>Links!J125+'On-Ramps'!AG125</f>
        <v>#DIV/0!</v>
      </c>
      <c r="V125" s="58" t="e">
        <f>Links!L125+'On-Ramps'!AH125</f>
        <v>#DIV/0!</v>
      </c>
      <c r="W125" s="58" t="e">
        <f>Links!M125+'On-Ramps'!AI125</f>
        <v>#DIV/0!</v>
      </c>
      <c r="X125" s="58" t="e">
        <f>Links!P125+'On-Ramps'!AJ125</f>
        <v>#DIV/0!</v>
      </c>
      <c r="Y125" s="58" t="e">
        <f>Links!Q125</f>
        <v>#DIV/0!</v>
      </c>
      <c r="Z125" s="58" t="e">
        <f>Links!R125+'On-Ramps'!AK125</f>
        <v>#DIV/0!</v>
      </c>
      <c r="AA125" s="58" t="e">
        <f>Links!S125</f>
        <v>#DIV/0!</v>
      </c>
      <c r="AB125" s="57" t="e">
        <f t="shared" si="43"/>
        <v>#VALUE!</v>
      </c>
      <c r="AC125" s="63"/>
      <c r="AD125" s="57" t="e">
        <f t="shared" si="44"/>
        <v>#DIV/0!</v>
      </c>
      <c r="AE125" s="63"/>
      <c r="AF125" s="57" t="e">
        <f t="shared" si="45"/>
        <v>#DIV/0!</v>
      </c>
      <c r="AG125" s="57" t="e">
        <f t="shared" si="46"/>
        <v>#DIV/0!</v>
      </c>
      <c r="AH125" s="57" t="e">
        <f t="shared" si="47"/>
        <v>#DIV/0!</v>
      </c>
      <c r="AI125" s="57" t="e">
        <f t="shared" si="48"/>
        <v>#DIV/0!</v>
      </c>
      <c r="AJ125" s="57" t="e">
        <f t="shared" si="49"/>
        <v>#DIV/0!</v>
      </c>
      <c r="AK125" s="57" t="e">
        <f t="shared" si="50"/>
        <v>#DIV/0!</v>
      </c>
      <c r="AL125" s="57" t="e">
        <f t="shared" si="51"/>
        <v>#DIV/0!</v>
      </c>
      <c r="AM125" s="63"/>
      <c r="AN125" s="57" t="e">
        <f t="shared" si="53"/>
        <v>#DIV/0!</v>
      </c>
      <c r="AO125" s="58" t="e">
        <f t="shared" si="56"/>
        <v>#VALUE!</v>
      </c>
      <c r="AP125" s="63"/>
      <c r="AQ125" s="58" t="e">
        <f t="shared" si="55"/>
        <v>#DIV/0!</v>
      </c>
      <c r="AR125" s="63"/>
      <c r="AS125" s="58" t="e">
        <f t="shared" si="55"/>
        <v>#DIV/0!</v>
      </c>
      <c r="AT125" s="58" t="e">
        <f t="shared" si="55"/>
        <v>#DIV/0!</v>
      </c>
      <c r="AU125" s="58" t="e">
        <f t="shared" si="55"/>
        <v>#DIV/0!</v>
      </c>
      <c r="AV125" s="58" t="e">
        <f t="shared" si="55"/>
        <v>#DIV/0!</v>
      </c>
      <c r="AW125" s="58" t="e">
        <f t="shared" si="55"/>
        <v>#DIV/0!</v>
      </c>
      <c r="AX125" s="58" t="e">
        <f t="shared" si="55"/>
        <v>#DIV/0!</v>
      </c>
      <c r="AY125" s="58" t="e">
        <f t="shared" si="55"/>
        <v>#DIV/0!</v>
      </c>
      <c r="AZ125" s="63"/>
      <c r="BA125" s="58" t="e">
        <f t="shared" si="55"/>
        <v>#DIV/0!</v>
      </c>
      <c r="BB125" s="63"/>
      <c r="BC125" s="57" t="e">
        <f>(Links!C125*Links!AQ125+'On-Ramps'!AC125*'On-Ramps'!CE125)/('On-Ramps'!AC125+Links!C125)</f>
        <v>#DIV/0!</v>
      </c>
      <c r="BD125" s="63"/>
      <c r="BE125" s="57" t="e">
        <f>(Links!E125*Links!AS125+'On-Ramps'!AD125*'On-Ramps'!CF124)/('On-Ramps'!AD125+Links!E125)</f>
        <v>#DIV/0!</v>
      </c>
      <c r="BF125" s="57" t="e">
        <f>(Links!F125*Links!AT125+'On-Ramps'!AE125*'On-Ramps'!CG125)/('On-Ramps'!AE125+Links!F125)</f>
        <v>#DIV/0!</v>
      </c>
      <c r="BG125" s="57" t="e">
        <f>(Links!I125*Links!AW125+'On-Ramps'!AF125*'On-Ramps'!CH125)/('On-Ramps'!AF125+Links!I125)</f>
        <v>#DIV/0!</v>
      </c>
      <c r="BH125" s="57" t="e">
        <f>(#REF!*#REF!+'On-Ramps'!AG125*'On-Ramps'!CI125)/('On-Ramps'!AG125+#REF!)</f>
        <v>#REF!</v>
      </c>
      <c r="BI125" s="57" t="e">
        <f>(Links!L125*Links!AZ125+'On-Ramps'!AH125*'On-Ramps'!CJ125)/('On-Ramps'!AH125+Links!L125)</f>
        <v>#DIV/0!</v>
      </c>
      <c r="BJ125" s="57" t="e">
        <f>(Links!BA125*Links!M125+'On-Ramps'!AI125*'On-Ramps'!CK125)/('On-Ramps'!AI125+Links!M125)</f>
        <v>#DIV/0!</v>
      </c>
      <c r="BK125" s="57" t="e">
        <f>(Links!S125*Links!BG125+'On-Ramps'!AJ125*'On-Ramps'!CL125)/('On-Ramps'!AJ125+Links!S125)</f>
        <v>#DIV/0!</v>
      </c>
      <c r="BL125" s="63"/>
      <c r="BM125" s="57" t="e">
        <f>(Links!S125*Links!BG125+'On-Ramps'!AL125*'On-Ramps'!CM125)/(Links!S125+'On-Ramps'!AL125)</f>
        <v>#DIV/0!</v>
      </c>
      <c r="BN125" s="63"/>
      <c r="BO125" s="58" t="e">
        <f>(Links!W125^2+'Off-Ramp'!L125^2)/(Links!W125+'Off-Ramp'!L125)</f>
        <v>#DIV/0!</v>
      </c>
      <c r="BP125" s="63"/>
      <c r="BQ125" s="58" t="e">
        <f>(Links!Y125^2+'Off-Ramp'!C125^2)/(Links!Y125+'Off-Ramp'!C125)</f>
        <v>#DIV/0!</v>
      </c>
      <c r="BR125" s="63"/>
      <c r="BS125" s="58" t="e">
        <f>(Links!AA125^2+'Off-Ramp'!N125^2)/(Links!AA125+'Off-Ramp'!N125)</f>
        <v>#DIV/0!</v>
      </c>
      <c r="BT125" s="58" t="e">
        <f>(Links!AD125^2+'Off-Ramp'!O125^2)/(Links!AD125+'Off-Ramp'!O125)</f>
        <v>#DIV/0!</v>
      </c>
      <c r="BU125" s="58" t="e">
        <f>(Links!AE125^2+'Off-Ramp'!V125^2+'Off-Ramp'!W125^2+'Off-Ramp'!X125^2)/(Links!AE125+'Off-Ramp'!V125+'Off-Ramp'!W125+'Off-Ramp'!X125)</f>
        <v>#DIV/0!</v>
      </c>
      <c r="BV125" s="58" t="e">
        <f>(Links!AG125^2+'Off-Ramp'!Y125^2+'Off-Ramp'!Z125^2+'Off-Ramp'!AA125^2)/(Links!AG125+'Off-Ramp'!Y125+'Off-Ramp'!Z125+'Off-Ramp'!AA125)</f>
        <v>#DIV/0!</v>
      </c>
      <c r="BW125" s="58" t="e">
        <f>(Links!AH125^2+'Off-Ramp'!R125^2)/(Links!AH125+'Off-Ramp'!R125)</f>
        <v>#DIV/0!</v>
      </c>
      <c r="BX125" s="58" t="e">
        <f>(Links!AK125^2+'Off-Ramp'!S125^2)/(Links!AK125+'Off-Ramp'!S125)</f>
        <v>#DIV/0!</v>
      </c>
      <c r="BY125" s="58" t="e">
        <f>(Links!AL125^2+'Off-Ramp'!T125^2)/(Links!AL125+'Off-Ramp'!T125)</f>
        <v>#DIV/0!</v>
      </c>
      <c r="BZ125" s="63"/>
      <c r="CA125" s="58" t="e">
        <f>(Links!AN125^2+'Off-Ramp'!U125^2)/(Links!AN125+'Off-Ramp'!U125)</f>
        <v>#DIV/0!</v>
      </c>
    </row>
    <row r="126" spans="1:79" x14ac:dyDescent="0.15">
      <c r="A126" s="56">
        <v>124</v>
      </c>
      <c r="B126" s="57" t="e">
        <f t="shared" si="30"/>
        <v>#DIV/0!</v>
      </c>
      <c r="C126" s="57" t="e">
        <f t="shared" si="31"/>
        <v>#DIV/0!</v>
      </c>
      <c r="D126" s="57" t="e">
        <f t="shared" si="32"/>
        <v>#DIV/0!</v>
      </c>
      <c r="E126" s="57" t="e">
        <f t="shared" si="33"/>
        <v>#DIV/0!</v>
      </c>
      <c r="F126" s="57" t="e">
        <f t="shared" si="34"/>
        <v>#DIV/0!</v>
      </c>
      <c r="G126" s="57" t="e">
        <f t="shared" si="35"/>
        <v>#DIV/0!</v>
      </c>
      <c r="H126" s="57" t="e">
        <f t="shared" si="36"/>
        <v>#DIV/0!</v>
      </c>
      <c r="I126" s="57" t="e">
        <f t="shared" si="37"/>
        <v>#DIV/0!</v>
      </c>
      <c r="J126" s="57" t="e">
        <f t="shared" si="38"/>
        <v>#DIV/0!</v>
      </c>
      <c r="K126" s="57" t="e">
        <f t="shared" si="39"/>
        <v>#DIV/0!</v>
      </c>
      <c r="L126" s="57" t="e">
        <f t="shared" si="40"/>
        <v>#DIV/0!</v>
      </c>
      <c r="M126" s="57" t="e">
        <f t="shared" si="41"/>
        <v>#DIV/0!</v>
      </c>
      <c r="N126" s="57" t="e">
        <f t="shared" si="42"/>
        <v>#DIV/0!</v>
      </c>
      <c r="O126" s="58" t="e">
        <f>Links!B126</f>
        <v>#DIV/0!</v>
      </c>
      <c r="P126" s="58" t="e">
        <f>Links!C126+'On-Ramps'!AC126</f>
        <v>#DIV/0!</v>
      </c>
      <c r="Q126" s="58" t="e">
        <f>Links!D126</f>
        <v>#DIV/0!</v>
      </c>
      <c r="R126" s="58" t="e">
        <f>Links!E126+'On-Ramps'!AD126</f>
        <v>#DIV/0!</v>
      </c>
      <c r="S126" s="58" t="e">
        <f>Links!F126+'On-Ramps'!AE126</f>
        <v>#DIV/0!</v>
      </c>
      <c r="T126" s="58" t="e">
        <f>Links!I126+'On-Ramps'!AF126</f>
        <v>#DIV/0!</v>
      </c>
      <c r="U126" s="58" t="e">
        <f>Links!J126+'On-Ramps'!AG126</f>
        <v>#DIV/0!</v>
      </c>
      <c r="V126" s="58" t="e">
        <f>Links!L126+'On-Ramps'!AH126</f>
        <v>#DIV/0!</v>
      </c>
      <c r="W126" s="58" t="e">
        <f>Links!M126+'On-Ramps'!AI126</f>
        <v>#DIV/0!</v>
      </c>
      <c r="X126" s="58" t="e">
        <f>Links!P126+'On-Ramps'!AJ126</f>
        <v>#DIV/0!</v>
      </c>
      <c r="Y126" s="58" t="e">
        <f>Links!Q126</f>
        <v>#DIV/0!</v>
      </c>
      <c r="Z126" s="58" t="e">
        <f>Links!R126+'On-Ramps'!AK126</f>
        <v>#DIV/0!</v>
      </c>
      <c r="AA126" s="58" t="e">
        <f>Links!S126</f>
        <v>#DIV/0!</v>
      </c>
      <c r="AB126" s="57" t="e">
        <f t="shared" si="43"/>
        <v>#VALUE!</v>
      </c>
      <c r="AC126" s="63"/>
      <c r="AD126" s="57" t="e">
        <f t="shared" si="44"/>
        <v>#DIV/0!</v>
      </c>
      <c r="AE126" s="63"/>
      <c r="AF126" s="57" t="e">
        <f t="shared" si="45"/>
        <v>#DIV/0!</v>
      </c>
      <c r="AG126" s="57" t="e">
        <f t="shared" si="46"/>
        <v>#DIV/0!</v>
      </c>
      <c r="AH126" s="57" t="e">
        <f t="shared" si="47"/>
        <v>#DIV/0!</v>
      </c>
      <c r="AI126" s="57" t="e">
        <f t="shared" si="48"/>
        <v>#DIV/0!</v>
      </c>
      <c r="AJ126" s="57" t="e">
        <f t="shared" si="49"/>
        <v>#DIV/0!</v>
      </c>
      <c r="AK126" s="57" t="e">
        <f t="shared" si="50"/>
        <v>#DIV/0!</v>
      </c>
      <c r="AL126" s="57" t="e">
        <f t="shared" si="51"/>
        <v>#DIV/0!</v>
      </c>
      <c r="AM126" s="63"/>
      <c r="AN126" s="57" t="e">
        <f t="shared" si="53"/>
        <v>#DIV/0!</v>
      </c>
      <c r="AO126" s="58" t="e">
        <f t="shared" si="56"/>
        <v>#VALUE!</v>
      </c>
      <c r="AP126" s="63"/>
      <c r="AQ126" s="58" t="e">
        <f t="shared" si="55"/>
        <v>#DIV/0!</v>
      </c>
      <c r="AR126" s="63"/>
      <c r="AS126" s="58" t="e">
        <f t="shared" si="55"/>
        <v>#DIV/0!</v>
      </c>
      <c r="AT126" s="58" t="e">
        <f t="shared" si="55"/>
        <v>#DIV/0!</v>
      </c>
      <c r="AU126" s="58" t="e">
        <f t="shared" si="55"/>
        <v>#DIV/0!</v>
      </c>
      <c r="AV126" s="58" t="e">
        <f t="shared" si="55"/>
        <v>#DIV/0!</v>
      </c>
      <c r="AW126" s="58" t="e">
        <f t="shared" si="55"/>
        <v>#DIV/0!</v>
      </c>
      <c r="AX126" s="58" t="e">
        <f t="shared" si="55"/>
        <v>#DIV/0!</v>
      </c>
      <c r="AY126" s="58" t="e">
        <f t="shared" si="55"/>
        <v>#DIV/0!</v>
      </c>
      <c r="AZ126" s="63"/>
      <c r="BA126" s="58" t="e">
        <f t="shared" si="55"/>
        <v>#DIV/0!</v>
      </c>
      <c r="BB126" s="63"/>
      <c r="BC126" s="57" t="e">
        <f>(Links!C126*Links!AQ126+'On-Ramps'!AC126*'On-Ramps'!CE126)/('On-Ramps'!AC126+Links!C126)</f>
        <v>#DIV/0!</v>
      </c>
      <c r="BD126" s="63"/>
      <c r="BE126" s="57" t="e">
        <f>(Links!E126*Links!AS126+'On-Ramps'!AD126*'On-Ramps'!CF125)/('On-Ramps'!AD126+Links!E126)</f>
        <v>#DIV/0!</v>
      </c>
      <c r="BF126" s="57" t="e">
        <f>(Links!F126*Links!AT126+'On-Ramps'!AE126*'On-Ramps'!CG126)/('On-Ramps'!AE126+Links!F126)</f>
        <v>#DIV/0!</v>
      </c>
      <c r="BG126" s="57" t="e">
        <f>(Links!I126*Links!AW126+'On-Ramps'!AF126*'On-Ramps'!CH126)/('On-Ramps'!AF126+Links!I126)</f>
        <v>#DIV/0!</v>
      </c>
      <c r="BH126" s="57" t="e">
        <f>(#REF!*#REF!+'On-Ramps'!AG126*'On-Ramps'!CI126)/('On-Ramps'!AG126+#REF!)</f>
        <v>#REF!</v>
      </c>
      <c r="BI126" s="57" t="e">
        <f>(Links!L126*Links!AZ126+'On-Ramps'!AH126*'On-Ramps'!CJ126)/('On-Ramps'!AH126+Links!L126)</f>
        <v>#DIV/0!</v>
      </c>
      <c r="BJ126" s="57" t="e">
        <f>(Links!BA126*Links!M126+'On-Ramps'!AI126*'On-Ramps'!CK126)/('On-Ramps'!AI126+Links!M126)</f>
        <v>#DIV/0!</v>
      </c>
      <c r="BK126" s="57" t="e">
        <f>(Links!S126*Links!BG126+'On-Ramps'!AJ126*'On-Ramps'!CL126)/('On-Ramps'!AJ126+Links!S126)</f>
        <v>#DIV/0!</v>
      </c>
      <c r="BL126" s="63"/>
      <c r="BM126" s="57" t="e">
        <f>(Links!S126*Links!BG126+'On-Ramps'!AL126*'On-Ramps'!CM126)/(Links!S126+'On-Ramps'!AL126)</f>
        <v>#DIV/0!</v>
      </c>
      <c r="BN126" s="63"/>
      <c r="BO126" s="58" t="e">
        <f>(Links!W126^2+'Off-Ramp'!L126^2)/(Links!W126+'Off-Ramp'!L126)</f>
        <v>#DIV/0!</v>
      </c>
      <c r="BP126" s="63"/>
      <c r="BQ126" s="58" t="e">
        <f>(Links!Y126^2+'Off-Ramp'!C126^2)/(Links!Y126+'Off-Ramp'!C126)</f>
        <v>#DIV/0!</v>
      </c>
      <c r="BR126" s="63"/>
      <c r="BS126" s="58" t="e">
        <f>(Links!AA126^2+'Off-Ramp'!N126^2)/(Links!AA126+'Off-Ramp'!N126)</f>
        <v>#DIV/0!</v>
      </c>
      <c r="BT126" s="58" t="e">
        <f>(Links!AD126^2+'Off-Ramp'!O126^2)/(Links!AD126+'Off-Ramp'!O126)</f>
        <v>#DIV/0!</v>
      </c>
      <c r="BU126" s="58" t="e">
        <f>(Links!AE126^2+'Off-Ramp'!V126^2+'Off-Ramp'!W126^2+'Off-Ramp'!X126^2)/(Links!AE126+'Off-Ramp'!V126+'Off-Ramp'!W126+'Off-Ramp'!X126)</f>
        <v>#DIV/0!</v>
      </c>
      <c r="BV126" s="58" t="e">
        <f>(Links!AG126^2+'Off-Ramp'!Y126^2+'Off-Ramp'!Z126^2+'Off-Ramp'!AA126^2)/(Links!AG126+'Off-Ramp'!Y126+'Off-Ramp'!Z126+'Off-Ramp'!AA126)</f>
        <v>#DIV/0!</v>
      </c>
      <c r="BW126" s="58" t="e">
        <f>(Links!AH126^2+'Off-Ramp'!R126^2)/(Links!AH126+'Off-Ramp'!R126)</f>
        <v>#DIV/0!</v>
      </c>
      <c r="BX126" s="58" t="e">
        <f>(Links!AK126^2+'Off-Ramp'!S126^2)/(Links!AK126+'Off-Ramp'!S126)</f>
        <v>#DIV/0!</v>
      </c>
      <c r="BY126" s="58" t="e">
        <f>(Links!AL126^2+'Off-Ramp'!T126^2)/(Links!AL126+'Off-Ramp'!T126)</f>
        <v>#DIV/0!</v>
      </c>
      <c r="BZ126" s="63"/>
      <c r="CA126" s="58" t="e">
        <f>(Links!AN126^2+'Off-Ramp'!U126^2)/(Links!AN126+'Off-Ramp'!U126)</f>
        <v>#DIV/0!</v>
      </c>
    </row>
    <row r="127" spans="1:79" x14ac:dyDescent="0.15">
      <c r="A127" s="56">
        <v>125</v>
      </c>
      <c r="B127" s="57" t="e">
        <f t="shared" si="30"/>
        <v>#DIV/0!</v>
      </c>
      <c r="C127" s="57" t="e">
        <f t="shared" si="31"/>
        <v>#DIV/0!</v>
      </c>
      <c r="D127" s="57" t="e">
        <f t="shared" si="32"/>
        <v>#DIV/0!</v>
      </c>
      <c r="E127" s="57" t="e">
        <f t="shared" si="33"/>
        <v>#DIV/0!</v>
      </c>
      <c r="F127" s="57" t="e">
        <f t="shared" si="34"/>
        <v>#DIV/0!</v>
      </c>
      <c r="G127" s="57" t="e">
        <f t="shared" si="35"/>
        <v>#DIV/0!</v>
      </c>
      <c r="H127" s="57" t="e">
        <f t="shared" si="36"/>
        <v>#DIV/0!</v>
      </c>
      <c r="I127" s="57" t="e">
        <f t="shared" si="37"/>
        <v>#DIV/0!</v>
      </c>
      <c r="J127" s="57" t="e">
        <f t="shared" si="38"/>
        <v>#DIV/0!</v>
      </c>
      <c r="K127" s="57" t="e">
        <f t="shared" si="39"/>
        <v>#DIV/0!</v>
      </c>
      <c r="L127" s="57" t="e">
        <f t="shared" si="40"/>
        <v>#DIV/0!</v>
      </c>
      <c r="M127" s="57" t="e">
        <f t="shared" si="41"/>
        <v>#DIV/0!</v>
      </c>
      <c r="N127" s="57" t="e">
        <f t="shared" si="42"/>
        <v>#DIV/0!</v>
      </c>
      <c r="O127" s="58" t="e">
        <f>Links!B127</f>
        <v>#DIV/0!</v>
      </c>
      <c r="P127" s="58" t="e">
        <f>Links!C127+'On-Ramps'!AC127</f>
        <v>#DIV/0!</v>
      </c>
      <c r="Q127" s="58" t="e">
        <f>Links!D127</f>
        <v>#DIV/0!</v>
      </c>
      <c r="R127" s="58" t="e">
        <f>Links!E127+'On-Ramps'!AD127</f>
        <v>#DIV/0!</v>
      </c>
      <c r="S127" s="58" t="e">
        <f>Links!F127+'On-Ramps'!AE127</f>
        <v>#DIV/0!</v>
      </c>
      <c r="T127" s="58" t="e">
        <f>Links!I127+'On-Ramps'!AF127</f>
        <v>#DIV/0!</v>
      </c>
      <c r="U127" s="58" t="e">
        <f>Links!J127+'On-Ramps'!AG127</f>
        <v>#DIV/0!</v>
      </c>
      <c r="V127" s="58" t="e">
        <f>Links!L127+'On-Ramps'!AH127</f>
        <v>#DIV/0!</v>
      </c>
      <c r="W127" s="58" t="e">
        <f>Links!M127+'On-Ramps'!AI127</f>
        <v>#DIV/0!</v>
      </c>
      <c r="X127" s="58" t="e">
        <f>Links!P127+'On-Ramps'!AJ127</f>
        <v>#DIV/0!</v>
      </c>
      <c r="Y127" s="58" t="e">
        <f>Links!Q127</f>
        <v>#DIV/0!</v>
      </c>
      <c r="Z127" s="58" t="e">
        <f>Links!R127+'On-Ramps'!AK127</f>
        <v>#DIV/0!</v>
      </c>
      <c r="AA127" s="58" t="e">
        <f>Links!S127</f>
        <v>#DIV/0!</v>
      </c>
      <c r="AB127" s="57" t="e">
        <f t="shared" si="43"/>
        <v>#VALUE!</v>
      </c>
      <c r="AC127" s="63"/>
      <c r="AD127" s="57" t="e">
        <f t="shared" si="44"/>
        <v>#DIV/0!</v>
      </c>
      <c r="AE127" s="63"/>
      <c r="AF127" s="57" t="e">
        <f t="shared" si="45"/>
        <v>#DIV/0!</v>
      </c>
      <c r="AG127" s="57" t="e">
        <f t="shared" si="46"/>
        <v>#DIV/0!</v>
      </c>
      <c r="AH127" s="57" t="e">
        <f t="shared" si="47"/>
        <v>#DIV/0!</v>
      </c>
      <c r="AI127" s="57" t="e">
        <f t="shared" si="48"/>
        <v>#DIV/0!</v>
      </c>
      <c r="AJ127" s="57" t="e">
        <f t="shared" si="49"/>
        <v>#DIV/0!</v>
      </c>
      <c r="AK127" s="57" t="e">
        <f t="shared" si="50"/>
        <v>#DIV/0!</v>
      </c>
      <c r="AL127" s="57" t="e">
        <f t="shared" si="51"/>
        <v>#DIV/0!</v>
      </c>
      <c r="AM127" s="63"/>
      <c r="AN127" s="57" t="e">
        <f t="shared" si="53"/>
        <v>#DIV/0!</v>
      </c>
      <c r="AO127" s="58" t="e">
        <f t="shared" si="56"/>
        <v>#VALUE!</v>
      </c>
      <c r="AP127" s="63"/>
      <c r="AQ127" s="58" t="e">
        <f t="shared" si="55"/>
        <v>#DIV/0!</v>
      </c>
      <c r="AR127" s="63"/>
      <c r="AS127" s="58" t="e">
        <f t="shared" si="55"/>
        <v>#DIV/0!</v>
      </c>
      <c r="AT127" s="58" t="e">
        <f t="shared" si="55"/>
        <v>#DIV/0!</v>
      </c>
      <c r="AU127" s="58" t="e">
        <f t="shared" si="55"/>
        <v>#DIV/0!</v>
      </c>
      <c r="AV127" s="58" t="e">
        <f t="shared" si="55"/>
        <v>#DIV/0!</v>
      </c>
      <c r="AW127" s="58" t="e">
        <f t="shared" si="55"/>
        <v>#DIV/0!</v>
      </c>
      <c r="AX127" s="58" t="e">
        <f t="shared" si="55"/>
        <v>#DIV/0!</v>
      </c>
      <c r="AY127" s="58" t="e">
        <f t="shared" si="55"/>
        <v>#DIV/0!</v>
      </c>
      <c r="AZ127" s="63"/>
      <c r="BA127" s="58" t="e">
        <f t="shared" si="55"/>
        <v>#DIV/0!</v>
      </c>
      <c r="BB127" s="63"/>
      <c r="BC127" s="57" t="e">
        <f>(Links!C127*Links!AQ127+'On-Ramps'!AC127*'On-Ramps'!CE127)/('On-Ramps'!AC127+Links!C127)</f>
        <v>#DIV/0!</v>
      </c>
      <c r="BD127" s="63"/>
      <c r="BE127" s="57" t="e">
        <f>(Links!E127*Links!AS127+'On-Ramps'!AD127*'On-Ramps'!CF126)/('On-Ramps'!AD127+Links!E127)</f>
        <v>#DIV/0!</v>
      </c>
      <c r="BF127" s="57" t="e">
        <f>(Links!F127*Links!AT127+'On-Ramps'!AE127*'On-Ramps'!CG127)/('On-Ramps'!AE127+Links!F127)</f>
        <v>#DIV/0!</v>
      </c>
      <c r="BG127" s="57" t="e">
        <f>(Links!I127*Links!AW127+'On-Ramps'!AF127*'On-Ramps'!CH127)/('On-Ramps'!AF127+Links!I127)</f>
        <v>#DIV/0!</v>
      </c>
      <c r="BH127" s="57" t="e">
        <f>(#REF!*#REF!+'On-Ramps'!AG127*'On-Ramps'!CI127)/('On-Ramps'!AG127+#REF!)</f>
        <v>#REF!</v>
      </c>
      <c r="BI127" s="57" t="e">
        <f>(Links!L127*Links!AZ127+'On-Ramps'!AH127*'On-Ramps'!CJ127)/('On-Ramps'!AH127+Links!L127)</f>
        <v>#DIV/0!</v>
      </c>
      <c r="BJ127" s="57" t="e">
        <f>(Links!BA127*Links!M127+'On-Ramps'!AI127*'On-Ramps'!CK127)/('On-Ramps'!AI127+Links!M127)</f>
        <v>#DIV/0!</v>
      </c>
      <c r="BK127" s="57" t="e">
        <f>(Links!S127*Links!BG127+'On-Ramps'!AJ127*'On-Ramps'!CL127)/('On-Ramps'!AJ127+Links!S127)</f>
        <v>#DIV/0!</v>
      </c>
      <c r="BL127" s="63"/>
      <c r="BM127" s="57" t="e">
        <f>(Links!S127*Links!BG127+'On-Ramps'!AL127*'On-Ramps'!CM127)/(Links!S127+'On-Ramps'!AL127)</f>
        <v>#DIV/0!</v>
      </c>
      <c r="BN127" s="63"/>
      <c r="BO127" s="58" t="e">
        <f>(Links!W127^2+'Off-Ramp'!L127^2)/(Links!W127+'Off-Ramp'!L127)</f>
        <v>#DIV/0!</v>
      </c>
      <c r="BP127" s="63"/>
      <c r="BQ127" s="58" t="e">
        <f>(Links!Y127^2+'Off-Ramp'!C127^2)/(Links!Y127+'Off-Ramp'!C127)</f>
        <v>#DIV/0!</v>
      </c>
      <c r="BR127" s="63"/>
      <c r="BS127" s="58" t="e">
        <f>(Links!AA127^2+'Off-Ramp'!N127^2)/(Links!AA127+'Off-Ramp'!N127)</f>
        <v>#DIV/0!</v>
      </c>
      <c r="BT127" s="58" t="e">
        <f>(Links!AD127^2+'Off-Ramp'!O127^2)/(Links!AD127+'Off-Ramp'!O127)</f>
        <v>#DIV/0!</v>
      </c>
      <c r="BU127" s="58" t="e">
        <f>(Links!AE127^2+'Off-Ramp'!V127^2+'Off-Ramp'!W127^2+'Off-Ramp'!X127^2)/(Links!AE127+'Off-Ramp'!V127+'Off-Ramp'!W127+'Off-Ramp'!X127)</f>
        <v>#DIV/0!</v>
      </c>
      <c r="BV127" s="58" t="e">
        <f>(Links!AG127^2+'Off-Ramp'!Y127^2+'Off-Ramp'!Z127^2+'Off-Ramp'!AA127^2)/(Links!AG127+'Off-Ramp'!Y127+'Off-Ramp'!Z127+'Off-Ramp'!AA127)</f>
        <v>#DIV/0!</v>
      </c>
      <c r="BW127" s="58" t="e">
        <f>(Links!AH127^2+'Off-Ramp'!R127^2)/(Links!AH127+'Off-Ramp'!R127)</f>
        <v>#DIV/0!</v>
      </c>
      <c r="BX127" s="58" t="e">
        <f>(Links!AK127^2+'Off-Ramp'!S127^2)/(Links!AK127+'Off-Ramp'!S127)</f>
        <v>#DIV/0!</v>
      </c>
      <c r="BY127" s="58" t="e">
        <f>(Links!AL127^2+'Off-Ramp'!T127^2)/(Links!AL127+'Off-Ramp'!T127)</f>
        <v>#DIV/0!</v>
      </c>
      <c r="BZ127" s="63"/>
      <c r="CA127" s="58" t="e">
        <f>(Links!AN127^2+'Off-Ramp'!U127^2)/(Links!AN127+'Off-Ramp'!U127)</f>
        <v>#DIV/0!</v>
      </c>
    </row>
    <row r="128" spans="1:79" x14ac:dyDescent="0.15">
      <c r="A128" s="56">
        <v>126</v>
      </c>
      <c r="B128" s="57" t="e">
        <f t="shared" si="30"/>
        <v>#DIV/0!</v>
      </c>
      <c r="C128" s="57" t="e">
        <f t="shared" si="31"/>
        <v>#DIV/0!</v>
      </c>
      <c r="D128" s="57" t="e">
        <f t="shared" si="32"/>
        <v>#DIV/0!</v>
      </c>
      <c r="E128" s="57" t="e">
        <f t="shared" si="33"/>
        <v>#DIV/0!</v>
      </c>
      <c r="F128" s="57" t="e">
        <f t="shared" si="34"/>
        <v>#DIV/0!</v>
      </c>
      <c r="G128" s="57" t="e">
        <f t="shared" si="35"/>
        <v>#DIV/0!</v>
      </c>
      <c r="H128" s="57" t="e">
        <f t="shared" si="36"/>
        <v>#DIV/0!</v>
      </c>
      <c r="I128" s="57" t="e">
        <f t="shared" si="37"/>
        <v>#DIV/0!</v>
      </c>
      <c r="J128" s="57" t="e">
        <f t="shared" si="38"/>
        <v>#DIV/0!</v>
      </c>
      <c r="K128" s="57" t="e">
        <f t="shared" si="39"/>
        <v>#DIV/0!</v>
      </c>
      <c r="L128" s="57" t="e">
        <f t="shared" si="40"/>
        <v>#DIV/0!</v>
      </c>
      <c r="M128" s="57" t="e">
        <f t="shared" si="41"/>
        <v>#DIV/0!</v>
      </c>
      <c r="N128" s="57" t="e">
        <f t="shared" si="42"/>
        <v>#DIV/0!</v>
      </c>
      <c r="O128" s="58" t="e">
        <f>Links!B128</f>
        <v>#DIV/0!</v>
      </c>
      <c r="P128" s="58" t="e">
        <f>Links!C128+'On-Ramps'!AC128</f>
        <v>#DIV/0!</v>
      </c>
      <c r="Q128" s="58" t="e">
        <f>Links!D128</f>
        <v>#DIV/0!</v>
      </c>
      <c r="R128" s="58" t="e">
        <f>Links!E128+'On-Ramps'!AD128</f>
        <v>#DIV/0!</v>
      </c>
      <c r="S128" s="58" t="e">
        <f>Links!F128+'On-Ramps'!AE128</f>
        <v>#DIV/0!</v>
      </c>
      <c r="T128" s="58" t="e">
        <f>Links!I128+'On-Ramps'!AF128</f>
        <v>#DIV/0!</v>
      </c>
      <c r="U128" s="58" t="e">
        <f>Links!J128+'On-Ramps'!AG128</f>
        <v>#DIV/0!</v>
      </c>
      <c r="V128" s="58" t="e">
        <f>Links!L128+'On-Ramps'!AH128</f>
        <v>#DIV/0!</v>
      </c>
      <c r="W128" s="58" t="e">
        <f>Links!M128+'On-Ramps'!AI128</f>
        <v>#DIV/0!</v>
      </c>
      <c r="X128" s="58" t="e">
        <f>Links!P128+'On-Ramps'!AJ128</f>
        <v>#DIV/0!</v>
      </c>
      <c r="Y128" s="58" t="e">
        <f>Links!Q128</f>
        <v>#DIV/0!</v>
      </c>
      <c r="Z128" s="58" t="e">
        <f>Links!R128+'On-Ramps'!AK128</f>
        <v>#DIV/0!</v>
      </c>
      <c r="AA128" s="58" t="e">
        <f>Links!S128</f>
        <v>#DIV/0!</v>
      </c>
      <c r="AB128" s="57" t="e">
        <f t="shared" si="43"/>
        <v>#VALUE!</v>
      </c>
      <c r="AC128" s="63"/>
      <c r="AD128" s="57" t="e">
        <f t="shared" si="44"/>
        <v>#DIV/0!</v>
      </c>
      <c r="AE128" s="63"/>
      <c r="AF128" s="57" t="e">
        <f t="shared" si="45"/>
        <v>#DIV/0!</v>
      </c>
      <c r="AG128" s="57" t="e">
        <f t="shared" si="46"/>
        <v>#DIV/0!</v>
      </c>
      <c r="AH128" s="57" t="e">
        <f t="shared" si="47"/>
        <v>#DIV/0!</v>
      </c>
      <c r="AI128" s="57" t="e">
        <f t="shared" si="48"/>
        <v>#DIV/0!</v>
      </c>
      <c r="AJ128" s="57" t="e">
        <f t="shared" si="49"/>
        <v>#DIV/0!</v>
      </c>
      <c r="AK128" s="57" t="e">
        <f t="shared" si="50"/>
        <v>#DIV/0!</v>
      </c>
      <c r="AL128" s="57" t="e">
        <f t="shared" si="51"/>
        <v>#DIV/0!</v>
      </c>
      <c r="AM128" s="63"/>
      <c r="AN128" s="57" t="e">
        <f t="shared" si="53"/>
        <v>#DIV/0!</v>
      </c>
      <c r="AO128" s="58" t="e">
        <f t="shared" si="56"/>
        <v>#VALUE!</v>
      </c>
      <c r="AP128" s="63"/>
      <c r="AQ128" s="58" t="e">
        <f t="shared" si="55"/>
        <v>#DIV/0!</v>
      </c>
      <c r="AR128" s="63"/>
      <c r="AS128" s="58" t="e">
        <f t="shared" si="55"/>
        <v>#DIV/0!</v>
      </c>
      <c r="AT128" s="58" t="e">
        <f t="shared" si="55"/>
        <v>#DIV/0!</v>
      </c>
      <c r="AU128" s="58" t="e">
        <f t="shared" si="55"/>
        <v>#DIV/0!</v>
      </c>
      <c r="AV128" s="58" t="e">
        <f t="shared" si="55"/>
        <v>#DIV/0!</v>
      </c>
      <c r="AW128" s="58" t="e">
        <f t="shared" si="55"/>
        <v>#DIV/0!</v>
      </c>
      <c r="AX128" s="58" t="e">
        <f t="shared" si="55"/>
        <v>#DIV/0!</v>
      </c>
      <c r="AY128" s="58" t="e">
        <f t="shared" si="55"/>
        <v>#DIV/0!</v>
      </c>
      <c r="AZ128" s="63"/>
      <c r="BA128" s="58" t="e">
        <f t="shared" si="55"/>
        <v>#DIV/0!</v>
      </c>
      <c r="BB128" s="63"/>
      <c r="BC128" s="57" t="e">
        <f>(Links!C128*Links!AQ128+'On-Ramps'!AC128*'On-Ramps'!CE128)/('On-Ramps'!AC128+Links!C128)</f>
        <v>#DIV/0!</v>
      </c>
      <c r="BD128" s="63"/>
      <c r="BE128" s="57" t="e">
        <f>(Links!E128*Links!AS128+'On-Ramps'!AD128*'On-Ramps'!CF127)/('On-Ramps'!AD128+Links!E128)</f>
        <v>#DIV/0!</v>
      </c>
      <c r="BF128" s="57" t="e">
        <f>(Links!F128*Links!AT128+'On-Ramps'!AE128*'On-Ramps'!CG128)/('On-Ramps'!AE128+Links!F128)</f>
        <v>#DIV/0!</v>
      </c>
      <c r="BG128" s="57" t="e">
        <f>(Links!I128*Links!AW128+'On-Ramps'!AF128*'On-Ramps'!CH128)/('On-Ramps'!AF128+Links!I128)</f>
        <v>#DIV/0!</v>
      </c>
      <c r="BH128" s="57" t="e">
        <f>(#REF!*#REF!+'On-Ramps'!AG128*'On-Ramps'!CI128)/('On-Ramps'!AG128+#REF!)</f>
        <v>#REF!</v>
      </c>
      <c r="BI128" s="57" t="e">
        <f>(Links!L128*Links!AZ128+'On-Ramps'!AH128*'On-Ramps'!CJ128)/('On-Ramps'!AH128+Links!L128)</f>
        <v>#DIV/0!</v>
      </c>
      <c r="BJ128" s="57" t="e">
        <f>(Links!BA128*Links!M128+'On-Ramps'!AI128*'On-Ramps'!CK128)/('On-Ramps'!AI128+Links!M128)</f>
        <v>#DIV/0!</v>
      </c>
      <c r="BK128" s="57" t="e">
        <f>(Links!S128*Links!BG128+'On-Ramps'!AJ128*'On-Ramps'!CL128)/('On-Ramps'!AJ128+Links!S128)</f>
        <v>#DIV/0!</v>
      </c>
      <c r="BL128" s="63"/>
      <c r="BM128" s="57" t="e">
        <f>(Links!S128*Links!BG128+'On-Ramps'!AL128*'On-Ramps'!CM128)/(Links!S128+'On-Ramps'!AL128)</f>
        <v>#DIV/0!</v>
      </c>
      <c r="BN128" s="63"/>
      <c r="BO128" s="58" t="e">
        <f>(Links!W128^2+'Off-Ramp'!L128^2)/(Links!W128+'Off-Ramp'!L128)</f>
        <v>#DIV/0!</v>
      </c>
      <c r="BP128" s="63"/>
      <c r="BQ128" s="58" t="e">
        <f>(Links!Y128^2+'Off-Ramp'!C128^2)/(Links!Y128+'Off-Ramp'!C128)</f>
        <v>#DIV/0!</v>
      </c>
      <c r="BR128" s="63"/>
      <c r="BS128" s="58" t="e">
        <f>(Links!AA128^2+'Off-Ramp'!N128^2)/(Links!AA128+'Off-Ramp'!N128)</f>
        <v>#DIV/0!</v>
      </c>
      <c r="BT128" s="58" t="e">
        <f>(Links!AD128^2+'Off-Ramp'!O128^2)/(Links!AD128+'Off-Ramp'!O128)</f>
        <v>#DIV/0!</v>
      </c>
      <c r="BU128" s="58" t="e">
        <f>(Links!AE128^2+'Off-Ramp'!V128^2+'Off-Ramp'!W128^2+'Off-Ramp'!X128^2)/(Links!AE128+'Off-Ramp'!V128+'Off-Ramp'!W128+'Off-Ramp'!X128)</f>
        <v>#DIV/0!</v>
      </c>
      <c r="BV128" s="58" t="e">
        <f>(Links!AG128^2+'Off-Ramp'!Y128^2+'Off-Ramp'!Z128^2+'Off-Ramp'!AA128^2)/(Links!AG128+'Off-Ramp'!Y128+'Off-Ramp'!Z128+'Off-Ramp'!AA128)</f>
        <v>#DIV/0!</v>
      </c>
      <c r="BW128" s="58" t="e">
        <f>(Links!AH128^2+'Off-Ramp'!R128^2)/(Links!AH128+'Off-Ramp'!R128)</f>
        <v>#DIV/0!</v>
      </c>
      <c r="BX128" s="58" t="e">
        <f>(Links!AK128^2+'Off-Ramp'!S128^2)/(Links!AK128+'Off-Ramp'!S128)</f>
        <v>#DIV/0!</v>
      </c>
      <c r="BY128" s="58" t="e">
        <f>(Links!AL128^2+'Off-Ramp'!T128^2)/(Links!AL128+'Off-Ramp'!T128)</f>
        <v>#DIV/0!</v>
      </c>
      <c r="BZ128" s="63"/>
      <c r="CA128" s="58" t="e">
        <f>(Links!AN128^2+'Off-Ramp'!U128^2)/(Links!AN128+'Off-Ramp'!U128)</f>
        <v>#DIV/0!</v>
      </c>
    </row>
    <row r="129" spans="1:79" x14ac:dyDescent="0.15">
      <c r="A129" s="56">
        <v>127</v>
      </c>
      <c r="B129" s="57" t="e">
        <f t="shared" si="30"/>
        <v>#DIV/0!</v>
      </c>
      <c r="C129" s="57" t="e">
        <f t="shared" si="31"/>
        <v>#DIV/0!</v>
      </c>
      <c r="D129" s="57" t="e">
        <f t="shared" si="32"/>
        <v>#DIV/0!</v>
      </c>
      <c r="E129" s="57" t="e">
        <f t="shared" si="33"/>
        <v>#DIV/0!</v>
      </c>
      <c r="F129" s="57" t="e">
        <f t="shared" si="34"/>
        <v>#DIV/0!</v>
      </c>
      <c r="G129" s="57" t="e">
        <f t="shared" si="35"/>
        <v>#DIV/0!</v>
      </c>
      <c r="H129" s="57" t="e">
        <f t="shared" si="36"/>
        <v>#DIV/0!</v>
      </c>
      <c r="I129" s="57" t="e">
        <f t="shared" si="37"/>
        <v>#DIV/0!</v>
      </c>
      <c r="J129" s="57" t="e">
        <f t="shared" si="38"/>
        <v>#DIV/0!</v>
      </c>
      <c r="K129" s="57" t="e">
        <f t="shared" si="39"/>
        <v>#DIV/0!</v>
      </c>
      <c r="L129" s="57" t="e">
        <f t="shared" si="40"/>
        <v>#DIV/0!</v>
      </c>
      <c r="M129" s="57" t="e">
        <f t="shared" si="41"/>
        <v>#DIV/0!</v>
      </c>
      <c r="N129" s="57" t="e">
        <f t="shared" si="42"/>
        <v>#DIV/0!</v>
      </c>
      <c r="O129" s="58" t="e">
        <f>Links!B129</f>
        <v>#DIV/0!</v>
      </c>
      <c r="P129" s="58" t="e">
        <f>Links!C129+'On-Ramps'!AC129</f>
        <v>#DIV/0!</v>
      </c>
      <c r="Q129" s="58" t="e">
        <f>Links!D129</f>
        <v>#DIV/0!</v>
      </c>
      <c r="R129" s="58" t="e">
        <f>Links!E129+'On-Ramps'!AD129</f>
        <v>#DIV/0!</v>
      </c>
      <c r="S129" s="58" t="e">
        <f>Links!F129+'On-Ramps'!AE129</f>
        <v>#DIV/0!</v>
      </c>
      <c r="T129" s="58" t="e">
        <f>Links!I129+'On-Ramps'!AF129</f>
        <v>#DIV/0!</v>
      </c>
      <c r="U129" s="58" t="e">
        <f>Links!J129+'On-Ramps'!AG129</f>
        <v>#DIV/0!</v>
      </c>
      <c r="V129" s="58" t="e">
        <f>Links!L129+'On-Ramps'!AH129</f>
        <v>#DIV/0!</v>
      </c>
      <c r="W129" s="58" t="e">
        <f>Links!M129+'On-Ramps'!AI129</f>
        <v>#DIV/0!</v>
      </c>
      <c r="X129" s="58" t="e">
        <f>Links!P129+'On-Ramps'!AJ129</f>
        <v>#DIV/0!</v>
      </c>
      <c r="Y129" s="58" t="e">
        <f>Links!Q129</f>
        <v>#DIV/0!</v>
      </c>
      <c r="Z129" s="58" t="e">
        <f>Links!R129+'On-Ramps'!AK129</f>
        <v>#DIV/0!</v>
      </c>
      <c r="AA129" s="58" t="e">
        <f>Links!S129</f>
        <v>#DIV/0!</v>
      </c>
      <c r="AB129" s="57" t="e">
        <f t="shared" si="43"/>
        <v>#VALUE!</v>
      </c>
      <c r="AC129" s="63"/>
      <c r="AD129" s="57" t="e">
        <f t="shared" si="44"/>
        <v>#DIV/0!</v>
      </c>
      <c r="AE129" s="63"/>
      <c r="AF129" s="57" t="e">
        <f t="shared" si="45"/>
        <v>#DIV/0!</v>
      </c>
      <c r="AG129" s="57" t="e">
        <f t="shared" si="46"/>
        <v>#DIV/0!</v>
      </c>
      <c r="AH129" s="57" t="e">
        <f t="shared" si="47"/>
        <v>#DIV/0!</v>
      </c>
      <c r="AI129" s="57" t="e">
        <f t="shared" si="48"/>
        <v>#DIV/0!</v>
      </c>
      <c r="AJ129" s="57" t="e">
        <f t="shared" si="49"/>
        <v>#DIV/0!</v>
      </c>
      <c r="AK129" s="57" t="e">
        <f t="shared" si="50"/>
        <v>#DIV/0!</v>
      </c>
      <c r="AL129" s="57" t="e">
        <f t="shared" si="51"/>
        <v>#DIV/0!</v>
      </c>
      <c r="AM129" s="63"/>
      <c r="AN129" s="57" t="e">
        <f t="shared" si="53"/>
        <v>#DIV/0!</v>
      </c>
      <c r="AO129" s="58" t="e">
        <f t="shared" si="56"/>
        <v>#VALUE!</v>
      </c>
      <c r="AP129" s="63"/>
      <c r="AQ129" s="58" t="e">
        <f t="shared" si="55"/>
        <v>#DIV/0!</v>
      </c>
      <c r="AR129" s="63"/>
      <c r="AS129" s="58" t="e">
        <f t="shared" si="55"/>
        <v>#DIV/0!</v>
      </c>
      <c r="AT129" s="58" t="e">
        <f t="shared" si="55"/>
        <v>#DIV/0!</v>
      </c>
      <c r="AU129" s="58" t="e">
        <f t="shared" si="55"/>
        <v>#DIV/0!</v>
      </c>
      <c r="AV129" s="58" t="e">
        <f t="shared" si="55"/>
        <v>#DIV/0!</v>
      </c>
      <c r="AW129" s="58" t="e">
        <f t="shared" si="55"/>
        <v>#DIV/0!</v>
      </c>
      <c r="AX129" s="58" t="e">
        <f t="shared" si="55"/>
        <v>#DIV/0!</v>
      </c>
      <c r="AY129" s="58" t="e">
        <f t="shared" si="55"/>
        <v>#DIV/0!</v>
      </c>
      <c r="AZ129" s="63"/>
      <c r="BA129" s="58" t="e">
        <f t="shared" si="55"/>
        <v>#DIV/0!</v>
      </c>
      <c r="BB129" s="63"/>
      <c r="BC129" s="57" t="e">
        <f>(Links!C129*Links!AQ129+'On-Ramps'!AC129*'On-Ramps'!CE129)/('On-Ramps'!AC129+Links!C129)</f>
        <v>#DIV/0!</v>
      </c>
      <c r="BD129" s="63"/>
      <c r="BE129" s="57" t="e">
        <f>(Links!E129*Links!AS129+'On-Ramps'!AD129*'On-Ramps'!CF128)/('On-Ramps'!AD129+Links!E129)</f>
        <v>#DIV/0!</v>
      </c>
      <c r="BF129" s="57" t="e">
        <f>(Links!F129*Links!AT129+'On-Ramps'!AE129*'On-Ramps'!CG129)/('On-Ramps'!AE129+Links!F129)</f>
        <v>#DIV/0!</v>
      </c>
      <c r="BG129" s="57" t="e">
        <f>(Links!I129*Links!AW129+'On-Ramps'!AF129*'On-Ramps'!CH129)/('On-Ramps'!AF129+Links!I129)</f>
        <v>#DIV/0!</v>
      </c>
      <c r="BH129" s="57" t="e">
        <f>(#REF!*#REF!+'On-Ramps'!AG129*'On-Ramps'!CI129)/('On-Ramps'!AG129+#REF!)</f>
        <v>#REF!</v>
      </c>
      <c r="BI129" s="57" t="e">
        <f>(Links!L129*Links!AZ129+'On-Ramps'!AH129*'On-Ramps'!CJ129)/('On-Ramps'!AH129+Links!L129)</f>
        <v>#DIV/0!</v>
      </c>
      <c r="BJ129" s="57" t="e">
        <f>(Links!BA129*Links!M129+'On-Ramps'!AI129*'On-Ramps'!CK129)/('On-Ramps'!AI129+Links!M129)</f>
        <v>#DIV/0!</v>
      </c>
      <c r="BK129" s="57" t="e">
        <f>(Links!S129*Links!BG129+'On-Ramps'!AJ129*'On-Ramps'!CL129)/('On-Ramps'!AJ129+Links!S129)</f>
        <v>#DIV/0!</v>
      </c>
      <c r="BL129" s="63"/>
      <c r="BM129" s="57" t="e">
        <f>(Links!S129*Links!BG129+'On-Ramps'!AL129*'On-Ramps'!CM129)/(Links!S129+'On-Ramps'!AL129)</f>
        <v>#DIV/0!</v>
      </c>
      <c r="BN129" s="63"/>
      <c r="BO129" s="58" t="e">
        <f>(Links!W129^2+'Off-Ramp'!L129^2)/(Links!W129+'Off-Ramp'!L129)</f>
        <v>#DIV/0!</v>
      </c>
      <c r="BP129" s="63"/>
      <c r="BQ129" s="58" t="e">
        <f>(Links!Y129^2+'Off-Ramp'!C129^2)/(Links!Y129+'Off-Ramp'!C129)</f>
        <v>#DIV/0!</v>
      </c>
      <c r="BR129" s="63"/>
      <c r="BS129" s="58" t="e">
        <f>(Links!AA129^2+'Off-Ramp'!N129^2)/(Links!AA129+'Off-Ramp'!N129)</f>
        <v>#DIV/0!</v>
      </c>
      <c r="BT129" s="58" t="e">
        <f>(Links!AD129^2+'Off-Ramp'!O129^2)/(Links!AD129+'Off-Ramp'!O129)</f>
        <v>#DIV/0!</v>
      </c>
      <c r="BU129" s="58" t="e">
        <f>(Links!AE129^2+'Off-Ramp'!V129^2+'Off-Ramp'!W129^2+'Off-Ramp'!X129^2)/(Links!AE129+'Off-Ramp'!V129+'Off-Ramp'!W129+'Off-Ramp'!X129)</f>
        <v>#DIV/0!</v>
      </c>
      <c r="BV129" s="58" t="e">
        <f>(Links!AG129^2+'Off-Ramp'!Y129^2+'Off-Ramp'!Z129^2+'Off-Ramp'!AA129^2)/(Links!AG129+'Off-Ramp'!Y129+'Off-Ramp'!Z129+'Off-Ramp'!AA129)</f>
        <v>#DIV/0!</v>
      </c>
      <c r="BW129" s="58" t="e">
        <f>(Links!AH129^2+'Off-Ramp'!R129^2)/(Links!AH129+'Off-Ramp'!R129)</f>
        <v>#DIV/0!</v>
      </c>
      <c r="BX129" s="58" t="e">
        <f>(Links!AK129^2+'Off-Ramp'!S129^2)/(Links!AK129+'Off-Ramp'!S129)</f>
        <v>#DIV/0!</v>
      </c>
      <c r="BY129" s="58" t="e">
        <f>(Links!AL129^2+'Off-Ramp'!T129^2)/(Links!AL129+'Off-Ramp'!T129)</f>
        <v>#DIV/0!</v>
      </c>
      <c r="BZ129" s="63"/>
      <c r="CA129" s="58" t="e">
        <f>(Links!AN129^2+'Off-Ramp'!U129^2)/(Links!AN129+'Off-Ramp'!U129)</f>
        <v>#DIV/0!</v>
      </c>
    </row>
    <row r="130" spans="1:79" x14ac:dyDescent="0.15">
      <c r="A130" s="56">
        <v>128</v>
      </c>
      <c r="B130" s="57" t="e">
        <f t="shared" si="30"/>
        <v>#DIV/0!</v>
      </c>
      <c r="C130" s="57" t="e">
        <f t="shared" si="31"/>
        <v>#DIV/0!</v>
      </c>
      <c r="D130" s="57" t="e">
        <f t="shared" si="32"/>
        <v>#DIV/0!</v>
      </c>
      <c r="E130" s="57" t="e">
        <f t="shared" si="33"/>
        <v>#DIV/0!</v>
      </c>
      <c r="F130" s="57" t="e">
        <f t="shared" si="34"/>
        <v>#DIV/0!</v>
      </c>
      <c r="G130" s="57" t="e">
        <f t="shared" si="35"/>
        <v>#DIV/0!</v>
      </c>
      <c r="H130" s="57" t="e">
        <f t="shared" si="36"/>
        <v>#DIV/0!</v>
      </c>
      <c r="I130" s="57" t="e">
        <f t="shared" si="37"/>
        <v>#DIV/0!</v>
      </c>
      <c r="J130" s="57" t="e">
        <f t="shared" si="38"/>
        <v>#DIV/0!</v>
      </c>
      <c r="K130" s="57" t="e">
        <f t="shared" si="39"/>
        <v>#DIV/0!</v>
      </c>
      <c r="L130" s="57" t="e">
        <f t="shared" si="40"/>
        <v>#DIV/0!</v>
      </c>
      <c r="M130" s="57" t="e">
        <f t="shared" si="41"/>
        <v>#DIV/0!</v>
      </c>
      <c r="N130" s="57" t="e">
        <f t="shared" si="42"/>
        <v>#DIV/0!</v>
      </c>
      <c r="O130" s="58" t="e">
        <f>Links!B130</f>
        <v>#DIV/0!</v>
      </c>
      <c r="P130" s="58" t="e">
        <f>Links!C130+'On-Ramps'!AC130</f>
        <v>#DIV/0!</v>
      </c>
      <c r="Q130" s="58" t="e">
        <f>Links!D130</f>
        <v>#DIV/0!</v>
      </c>
      <c r="R130" s="58" t="e">
        <f>Links!E130+'On-Ramps'!AD130</f>
        <v>#DIV/0!</v>
      </c>
      <c r="S130" s="58" t="e">
        <f>Links!F130+'On-Ramps'!AE130</f>
        <v>#DIV/0!</v>
      </c>
      <c r="T130" s="58" t="e">
        <f>Links!I130+'On-Ramps'!AF130</f>
        <v>#DIV/0!</v>
      </c>
      <c r="U130" s="58" t="e">
        <f>Links!J130+'On-Ramps'!AG130</f>
        <v>#DIV/0!</v>
      </c>
      <c r="V130" s="58" t="e">
        <f>Links!L130+'On-Ramps'!AH130</f>
        <v>#DIV/0!</v>
      </c>
      <c r="W130" s="58" t="e">
        <f>Links!M130+'On-Ramps'!AI130</f>
        <v>#DIV/0!</v>
      </c>
      <c r="X130" s="58" t="e">
        <f>Links!P130+'On-Ramps'!AJ130</f>
        <v>#DIV/0!</v>
      </c>
      <c r="Y130" s="58" t="e">
        <f>Links!Q130</f>
        <v>#DIV/0!</v>
      </c>
      <c r="Z130" s="58" t="e">
        <f>Links!R130+'On-Ramps'!AK130</f>
        <v>#DIV/0!</v>
      </c>
      <c r="AA130" s="58" t="e">
        <f>Links!S130</f>
        <v>#DIV/0!</v>
      </c>
      <c r="AB130" s="57" t="e">
        <f t="shared" si="43"/>
        <v>#VALUE!</v>
      </c>
      <c r="AC130" s="63"/>
      <c r="AD130" s="57" t="e">
        <f t="shared" si="44"/>
        <v>#DIV/0!</v>
      </c>
      <c r="AE130" s="63"/>
      <c r="AF130" s="57" t="e">
        <f t="shared" si="45"/>
        <v>#DIV/0!</v>
      </c>
      <c r="AG130" s="57" t="e">
        <f t="shared" si="46"/>
        <v>#DIV/0!</v>
      </c>
      <c r="AH130" s="57" t="e">
        <f t="shared" si="47"/>
        <v>#DIV/0!</v>
      </c>
      <c r="AI130" s="57" t="e">
        <f t="shared" si="48"/>
        <v>#DIV/0!</v>
      </c>
      <c r="AJ130" s="57" t="e">
        <f t="shared" si="49"/>
        <v>#DIV/0!</v>
      </c>
      <c r="AK130" s="57" t="e">
        <f t="shared" si="50"/>
        <v>#DIV/0!</v>
      </c>
      <c r="AL130" s="57" t="e">
        <f t="shared" si="51"/>
        <v>#DIV/0!</v>
      </c>
      <c r="AM130" s="63"/>
      <c r="AN130" s="57" t="e">
        <f t="shared" si="53"/>
        <v>#DIV/0!</v>
      </c>
      <c r="AO130" s="58" t="e">
        <f t="shared" si="56"/>
        <v>#VALUE!</v>
      </c>
      <c r="AP130" s="63"/>
      <c r="AQ130" s="58" t="e">
        <f t="shared" si="55"/>
        <v>#DIV/0!</v>
      </c>
      <c r="AR130" s="63"/>
      <c r="AS130" s="58" t="e">
        <f t="shared" si="55"/>
        <v>#DIV/0!</v>
      </c>
      <c r="AT130" s="58" t="e">
        <f t="shared" si="55"/>
        <v>#DIV/0!</v>
      </c>
      <c r="AU130" s="58" t="e">
        <f t="shared" si="55"/>
        <v>#DIV/0!</v>
      </c>
      <c r="AV130" s="58" t="e">
        <f t="shared" si="55"/>
        <v>#DIV/0!</v>
      </c>
      <c r="AW130" s="58" t="e">
        <f t="shared" si="55"/>
        <v>#DIV/0!</v>
      </c>
      <c r="AX130" s="58" t="e">
        <f t="shared" si="55"/>
        <v>#DIV/0!</v>
      </c>
      <c r="AY130" s="58" t="e">
        <f t="shared" si="55"/>
        <v>#DIV/0!</v>
      </c>
      <c r="AZ130" s="63"/>
      <c r="BA130" s="58" t="e">
        <f t="shared" si="55"/>
        <v>#DIV/0!</v>
      </c>
      <c r="BB130" s="63"/>
      <c r="BC130" s="57" t="e">
        <f>(Links!C130*Links!AQ130+'On-Ramps'!AC130*'On-Ramps'!CE130)/('On-Ramps'!AC130+Links!C130)</f>
        <v>#DIV/0!</v>
      </c>
      <c r="BD130" s="63"/>
      <c r="BE130" s="57" t="e">
        <f>(Links!E130*Links!AS130+'On-Ramps'!AD130*'On-Ramps'!CF129)/('On-Ramps'!AD130+Links!E130)</f>
        <v>#DIV/0!</v>
      </c>
      <c r="BF130" s="57" t="e">
        <f>(Links!F130*Links!AT130+'On-Ramps'!AE130*'On-Ramps'!CG130)/('On-Ramps'!AE130+Links!F130)</f>
        <v>#DIV/0!</v>
      </c>
      <c r="BG130" s="57" t="e">
        <f>(Links!I130*Links!AW130+'On-Ramps'!AF130*'On-Ramps'!CH130)/('On-Ramps'!AF130+Links!I130)</f>
        <v>#DIV/0!</v>
      </c>
      <c r="BH130" s="57" t="e">
        <f>(#REF!*#REF!+'On-Ramps'!AG130*'On-Ramps'!CI130)/('On-Ramps'!AG130+#REF!)</f>
        <v>#REF!</v>
      </c>
      <c r="BI130" s="57" t="e">
        <f>(Links!L130*Links!AZ130+'On-Ramps'!AH130*'On-Ramps'!CJ130)/('On-Ramps'!AH130+Links!L130)</f>
        <v>#DIV/0!</v>
      </c>
      <c r="BJ130" s="57" t="e">
        <f>(Links!BA130*Links!M130+'On-Ramps'!AI130*'On-Ramps'!CK130)/('On-Ramps'!AI130+Links!M130)</f>
        <v>#DIV/0!</v>
      </c>
      <c r="BK130" s="57" t="e">
        <f>(Links!S130*Links!BG130+'On-Ramps'!AJ130*'On-Ramps'!CL130)/('On-Ramps'!AJ130+Links!S130)</f>
        <v>#DIV/0!</v>
      </c>
      <c r="BL130" s="63"/>
      <c r="BM130" s="57" t="e">
        <f>(Links!S130*Links!BG130+'On-Ramps'!AL130*'On-Ramps'!CM130)/(Links!S130+'On-Ramps'!AL130)</f>
        <v>#DIV/0!</v>
      </c>
      <c r="BN130" s="63"/>
      <c r="BO130" s="58" t="e">
        <f>(Links!W130^2+'Off-Ramp'!L130^2)/(Links!W130+'Off-Ramp'!L130)</f>
        <v>#DIV/0!</v>
      </c>
      <c r="BP130" s="63"/>
      <c r="BQ130" s="58" t="e">
        <f>(Links!Y130^2+'Off-Ramp'!C130^2)/(Links!Y130+'Off-Ramp'!C130)</f>
        <v>#DIV/0!</v>
      </c>
      <c r="BR130" s="63"/>
      <c r="BS130" s="58" t="e">
        <f>(Links!AA130^2+'Off-Ramp'!N130^2)/(Links!AA130+'Off-Ramp'!N130)</f>
        <v>#DIV/0!</v>
      </c>
      <c r="BT130" s="58" t="e">
        <f>(Links!AD130^2+'Off-Ramp'!O130^2)/(Links!AD130+'Off-Ramp'!O130)</f>
        <v>#DIV/0!</v>
      </c>
      <c r="BU130" s="58" t="e">
        <f>(Links!AE130^2+'Off-Ramp'!V130^2+'Off-Ramp'!W130^2+'Off-Ramp'!X130^2)/(Links!AE130+'Off-Ramp'!V130+'Off-Ramp'!W130+'Off-Ramp'!X130)</f>
        <v>#DIV/0!</v>
      </c>
      <c r="BV130" s="58" t="e">
        <f>(Links!AG130^2+'Off-Ramp'!Y130^2+'Off-Ramp'!Z130^2+'Off-Ramp'!AA130^2)/(Links!AG130+'Off-Ramp'!Y130+'Off-Ramp'!Z130+'Off-Ramp'!AA130)</f>
        <v>#DIV/0!</v>
      </c>
      <c r="BW130" s="58" t="e">
        <f>(Links!AH130^2+'Off-Ramp'!R130^2)/(Links!AH130+'Off-Ramp'!R130)</f>
        <v>#DIV/0!</v>
      </c>
      <c r="BX130" s="58" t="e">
        <f>(Links!AK130^2+'Off-Ramp'!S130^2)/(Links!AK130+'Off-Ramp'!S130)</f>
        <v>#DIV/0!</v>
      </c>
      <c r="BY130" s="58" t="e">
        <f>(Links!AL130^2+'Off-Ramp'!T130^2)/(Links!AL130+'Off-Ramp'!T130)</f>
        <v>#DIV/0!</v>
      </c>
      <c r="BZ130" s="63"/>
      <c r="CA130" s="58" t="e">
        <f>(Links!AN130^2+'Off-Ramp'!U130^2)/(Links!AN130+'Off-Ramp'!U130)</f>
        <v>#DIV/0!</v>
      </c>
    </row>
    <row r="131" spans="1:79" x14ac:dyDescent="0.15">
      <c r="A131" s="56">
        <v>129</v>
      </c>
      <c r="B131" s="57" t="e">
        <f t="shared" si="30"/>
        <v>#DIV/0!</v>
      </c>
      <c r="C131" s="57" t="e">
        <f t="shared" si="31"/>
        <v>#DIV/0!</v>
      </c>
      <c r="D131" s="57" t="e">
        <f t="shared" si="32"/>
        <v>#DIV/0!</v>
      </c>
      <c r="E131" s="57" t="e">
        <f t="shared" si="33"/>
        <v>#DIV/0!</v>
      </c>
      <c r="F131" s="57" t="e">
        <f t="shared" si="34"/>
        <v>#DIV/0!</v>
      </c>
      <c r="G131" s="57" t="e">
        <f t="shared" si="35"/>
        <v>#DIV/0!</v>
      </c>
      <c r="H131" s="57" t="e">
        <f t="shared" si="36"/>
        <v>#DIV/0!</v>
      </c>
      <c r="I131" s="57" t="e">
        <f t="shared" si="37"/>
        <v>#DIV/0!</v>
      </c>
      <c r="J131" s="57" t="e">
        <f t="shared" si="38"/>
        <v>#DIV/0!</v>
      </c>
      <c r="K131" s="57" t="e">
        <f t="shared" si="39"/>
        <v>#DIV/0!</v>
      </c>
      <c r="L131" s="57" t="e">
        <f t="shared" si="40"/>
        <v>#DIV/0!</v>
      </c>
      <c r="M131" s="57" t="e">
        <f t="shared" si="41"/>
        <v>#DIV/0!</v>
      </c>
      <c r="N131" s="57" t="e">
        <f t="shared" si="42"/>
        <v>#DIV/0!</v>
      </c>
      <c r="O131" s="58" t="e">
        <f>Links!B131</f>
        <v>#DIV/0!</v>
      </c>
      <c r="P131" s="58" t="e">
        <f>Links!C131+'On-Ramps'!AC131</f>
        <v>#DIV/0!</v>
      </c>
      <c r="Q131" s="58" t="e">
        <f>Links!D131</f>
        <v>#DIV/0!</v>
      </c>
      <c r="R131" s="58" t="e">
        <f>Links!E131+'On-Ramps'!AD131</f>
        <v>#DIV/0!</v>
      </c>
      <c r="S131" s="58" t="e">
        <f>Links!F131+'On-Ramps'!AE131</f>
        <v>#DIV/0!</v>
      </c>
      <c r="T131" s="58" t="e">
        <f>Links!I131+'On-Ramps'!AF131</f>
        <v>#DIV/0!</v>
      </c>
      <c r="U131" s="58" t="e">
        <f>Links!J131+'On-Ramps'!AG131</f>
        <v>#DIV/0!</v>
      </c>
      <c r="V131" s="58" t="e">
        <f>Links!L131+'On-Ramps'!AH131</f>
        <v>#DIV/0!</v>
      </c>
      <c r="W131" s="58" t="e">
        <f>Links!M131+'On-Ramps'!AI131</f>
        <v>#DIV/0!</v>
      </c>
      <c r="X131" s="58" t="e">
        <f>Links!P131+'On-Ramps'!AJ131</f>
        <v>#DIV/0!</v>
      </c>
      <c r="Y131" s="58" t="e">
        <f>Links!Q131</f>
        <v>#DIV/0!</v>
      </c>
      <c r="Z131" s="58" t="e">
        <f>Links!R131+'On-Ramps'!AK131</f>
        <v>#DIV/0!</v>
      </c>
      <c r="AA131" s="58" t="e">
        <f>Links!S131</f>
        <v>#DIV/0!</v>
      </c>
      <c r="AB131" s="57" t="e">
        <f t="shared" si="43"/>
        <v>#VALUE!</v>
      </c>
      <c r="AC131" s="63"/>
      <c r="AD131" s="57" t="e">
        <f t="shared" si="44"/>
        <v>#DIV/0!</v>
      </c>
      <c r="AE131" s="63"/>
      <c r="AF131" s="57" t="e">
        <f t="shared" si="45"/>
        <v>#DIV/0!</v>
      </c>
      <c r="AG131" s="57" t="e">
        <f t="shared" si="46"/>
        <v>#DIV/0!</v>
      </c>
      <c r="AH131" s="57" t="e">
        <f t="shared" si="47"/>
        <v>#DIV/0!</v>
      </c>
      <c r="AI131" s="57" t="e">
        <f t="shared" si="48"/>
        <v>#DIV/0!</v>
      </c>
      <c r="AJ131" s="57" t="e">
        <f t="shared" si="49"/>
        <v>#DIV/0!</v>
      </c>
      <c r="AK131" s="57" t="e">
        <f t="shared" si="50"/>
        <v>#DIV/0!</v>
      </c>
      <c r="AL131" s="57" t="e">
        <f t="shared" si="51"/>
        <v>#DIV/0!</v>
      </c>
      <c r="AM131" s="63"/>
      <c r="AN131" s="57" t="e">
        <f t="shared" si="53"/>
        <v>#DIV/0!</v>
      </c>
      <c r="AO131" s="58" t="e">
        <f t="shared" si="56"/>
        <v>#VALUE!</v>
      </c>
      <c r="AP131" s="63"/>
      <c r="AQ131" s="58" t="e">
        <f t="shared" si="55"/>
        <v>#DIV/0!</v>
      </c>
      <c r="AR131" s="63"/>
      <c r="AS131" s="58" t="e">
        <f t="shared" si="55"/>
        <v>#DIV/0!</v>
      </c>
      <c r="AT131" s="58" t="e">
        <f t="shared" si="55"/>
        <v>#DIV/0!</v>
      </c>
      <c r="AU131" s="58" t="e">
        <f t="shared" si="55"/>
        <v>#DIV/0!</v>
      </c>
      <c r="AV131" s="58" t="e">
        <f t="shared" si="55"/>
        <v>#DIV/0!</v>
      </c>
      <c r="AW131" s="58" t="e">
        <f t="shared" si="55"/>
        <v>#DIV/0!</v>
      </c>
      <c r="AX131" s="58" t="e">
        <f t="shared" si="55"/>
        <v>#DIV/0!</v>
      </c>
      <c r="AY131" s="58" t="e">
        <f t="shared" si="55"/>
        <v>#DIV/0!</v>
      </c>
      <c r="AZ131" s="63"/>
      <c r="BA131" s="58" t="e">
        <f t="shared" si="55"/>
        <v>#DIV/0!</v>
      </c>
      <c r="BB131" s="63"/>
      <c r="BC131" s="57" t="e">
        <f>(Links!C131*Links!AQ131+'On-Ramps'!AC131*'On-Ramps'!CE131)/('On-Ramps'!AC131+Links!C131)</f>
        <v>#DIV/0!</v>
      </c>
      <c r="BD131" s="63"/>
      <c r="BE131" s="57" t="e">
        <f>(Links!E131*Links!AS131+'On-Ramps'!AD131*'On-Ramps'!CF130)/('On-Ramps'!AD131+Links!E131)</f>
        <v>#DIV/0!</v>
      </c>
      <c r="BF131" s="57" t="e">
        <f>(Links!F131*Links!AT131+'On-Ramps'!AE131*'On-Ramps'!CG131)/('On-Ramps'!AE131+Links!F131)</f>
        <v>#DIV/0!</v>
      </c>
      <c r="BG131" s="57" t="e">
        <f>(Links!I131*Links!AW131+'On-Ramps'!AF131*'On-Ramps'!CH131)/('On-Ramps'!AF131+Links!I131)</f>
        <v>#DIV/0!</v>
      </c>
      <c r="BH131" s="57" t="e">
        <f>(#REF!*#REF!+'On-Ramps'!AG131*'On-Ramps'!CI131)/('On-Ramps'!AG131+#REF!)</f>
        <v>#REF!</v>
      </c>
      <c r="BI131" s="57" t="e">
        <f>(Links!L131*Links!AZ131+'On-Ramps'!AH131*'On-Ramps'!CJ131)/('On-Ramps'!AH131+Links!L131)</f>
        <v>#DIV/0!</v>
      </c>
      <c r="BJ131" s="57" t="e">
        <f>(Links!BA131*Links!M131+'On-Ramps'!AI131*'On-Ramps'!CK131)/('On-Ramps'!AI131+Links!M131)</f>
        <v>#DIV/0!</v>
      </c>
      <c r="BK131" s="57" t="e">
        <f>(Links!S131*Links!BG131+'On-Ramps'!AJ131*'On-Ramps'!CL131)/('On-Ramps'!AJ131+Links!S131)</f>
        <v>#DIV/0!</v>
      </c>
      <c r="BL131" s="63"/>
      <c r="BM131" s="57" t="e">
        <f>(Links!S131*Links!BG131+'On-Ramps'!AL131*'On-Ramps'!CM131)/(Links!S131+'On-Ramps'!AL131)</f>
        <v>#DIV/0!</v>
      </c>
      <c r="BN131" s="63"/>
      <c r="BO131" s="58" t="e">
        <f>(Links!W131^2+'Off-Ramp'!L131^2)/(Links!W131+'Off-Ramp'!L131)</f>
        <v>#DIV/0!</v>
      </c>
      <c r="BP131" s="63"/>
      <c r="BQ131" s="58" t="e">
        <f>(Links!Y131^2+'Off-Ramp'!C131^2)/(Links!Y131+'Off-Ramp'!C131)</f>
        <v>#DIV/0!</v>
      </c>
      <c r="BR131" s="63"/>
      <c r="BS131" s="58" t="e">
        <f>(Links!AA131^2+'Off-Ramp'!N131^2)/(Links!AA131+'Off-Ramp'!N131)</f>
        <v>#DIV/0!</v>
      </c>
      <c r="BT131" s="58" t="e">
        <f>(Links!AD131^2+'Off-Ramp'!O131^2)/(Links!AD131+'Off-Ramp'!O131)</f>
        <v>#DIV/0!</v>
      </c>
      <c r="BU131" s="58" t="e">
        <f>(Links!AE131^2+'Off-Ramp'!V131^2+'Off-Ramp'!W131^2+'Off-Ramp'!X131^2)/(Links!AE131+'Off-Ramp'!V131+'Off-Ramp'!W131+'Off-Ramp'!X131)</f>
        <v>#DIV/0!</v>
      </c>
      <c r="BV131" s="58" t="e">
        <f>(Links!AG131^2+'Off-Ramp'!Y131^2+'Off-Ramp'!Z131^2+'Off-Ramp'!AA131^2)/(Links!AG131+'Off-Ramp'!Y131+'Off-Ramp'!Z131+'Off-Ramp'!AA131)</f>
        <v>#DIV/0!</v>
      </c>
      <c r="BW131" s="58" t="e">
        <f>(Links!AH131^2+'Off-Ramp'!R131^2)/(Links!AH131+'Off-Ramp'!R131)</f>
        <v>#DIV/0!</v>
      </c>
      <c r="BX131" s="58" t="e">
        <f>(Links!AK131^2+'Off-Ramp'!S131^2)/(Links!AK131+'Off-Ramp'!S131)</f>
        <v>#DIV/0!</v>
      </c>
      <c r="BY131" s="58" t="e">
        <f>(Links!AL131^2+'Off-Ramp'!T131^2)/(Links!AL131+'Off-Ramp'!T131)</f>
        <v>#DIV/0!</v>
      </c>
      <c r="BZ131" s="63"/>
      <c r="CA131" s="58" t="e">
        <f>(Links!AN131^2+'Off-Ramp'!U131^2)/(Links!AN131+'Off-Ramp'!U131)</f>
        <v>#DIV/0!</v>
      </c>
    </row>
    <row r="132" spans="1:79" x14ac:dyDescent="0.15">
      <c r="A132" s="56">
        <v>130</v>
      </c>
      <c r="B132" s="57" t="e">
        <f t="shared" ref="B132:B182" si="57">O132+AB132</f>
        <v>#DIV/0!</v>
      </c>
      <c r="C132" s="57" t="e">
        <f t="shared" ref="C132:C182" si="58">P132+AC132</f>
        <v>#DIV/0!</v>
      </c>
      <c r="D132" s="57" t="e">
        <f t="shared" ref="D132:D182" si="59">Q132+AD132</f>
        <v>#DIV/0!</v>
      </c>
      <c r="E132" s="57" t="e">
        <f t="shared" ref="E132:E182" si="60">R132+AE132</f>
        <v>#DIV/0!</v>
      </c>
      <c r="F132" s="57" t="e">
        <f t="shared" ref="F132:F182" si="61">S132+AF132</f>
        <v>#DIV/0!</v>
      </c>
      <c r="G132" s="57" t="e">
        <f t="shared" ref="G132:G182" si="62">T132+AG132</f>
        <v>#DIV/0!</v>
      </c>
      <c r="H132" s="57" t="e">
        <f t="shared" ref="H132:H182" si="63">U132+AH132</f>
        <v>#DIV/0!</v>
      </c>
      <c r="I132" s="57" t="e">
        <f t="shared" ref="I132:I182" si="64">V132+AI132</f>
        <v>#DIV/0!</v>
      </c>
      <c r="J132" s="57" t="e">
        <f t="shared" ref="J132:J182" si="65">W132+AJ132</f>
        <v>#DIV/0!</v>
      </c>
      <c r="K132" s="57" t="e">
        <f t="shared" ref="K132:K182" si="66">X132+AK132</f>
        <v>#DIV/0!</v>
      </c>
      <c r="L132" s="57" t="e">
        <f t="shared" ref="L132:L182" si="67">Y132+AL132</f>
        <v>#DIV/0!</v>
      </c>
      <c r="M132" s="57" t="e">
        <f t="shared" ref="M132:M182" si="68">Z132+AM132</f>
        <v>#DIV/0!</v>
      </c>
      <c r="N132" s="57" t="e">
        <f t="shared" ref="N132:N182" si="69">AA132+AN132</f>
        <v>#DIV/0!</v>
      </c>
      <c r="O132" s="58" t="e">
        <f>Links!B132</f>
        <v>#DIV/0!</v>
      </c>
      <c r="P132" s="58" t="e">
        <f>Links!C132+'On-Ramps'!AC132</f>
        <v>#DIV/0!</v>
      </c>
      <c r="Q132" s="58" t="e">
        <f>Links!D132</f>
        <v>#DIV/0!</v>
      </c>
      <c r="R132" s="58" t="e">
        <f>Links!E132+'On-Ramps'!AD132</f>
        <v>#DIV/0!</v>
      </c>
      <c r="S132" s="58" t="e">
        <f>Links!F132+'On-Ramps'!AE132</f>
        <v>#DIV/0!</v>
      </c>
      <c r="T132" s="58" t="e">
        <f>Links!I132+'On-Ramps'!AF132</f>
        <v>#DIV/0!</v>
      </c>
      <c r="U132" s="58" t="e">
        <f>Links!J132+'On-Ramps'!AG132</f>
        <v>#DIV/0!</v>
      </c>
      <c r="V132" s="58" t="e">
        <f>Links!L132+'On-Ramps'!AH132</f>
        <v>#DIV/0!</v>
      </c>
      <c r="W132" s="58" t="e">
        <f>Links!M132+'On-Ramps'!AI132</f>
        <v>#DIV/0!</v>
      </c>
      <c r="X132" s="58" t="e">
        <f>Links!P132+'On-Ramps'!AJ132</f>
        <v>#DIV/0!</v>
      </c>
      <c r="Y132" s="58" t="e">
        <f>Links!Q132</f>
        <v>#DIV/0!</v>
      </c>
      <c r="Z132" s="58" t="e">
        <f>Links!R132+'On-Ramps'!AK132</f>
        <v>#DIV/0!</v>
      </c>
      <c r="AA132" s="58" t="e">
        <f>Links!S132</f>
        <v>#DIV/0!</v>
      </c>
      <c r="AB132" s="57" t="e">
        <f t="shared" si="43"/>
        <v>#VALUE!</v>
      </c>
      <c r="AC132" s="63"/>
      <c r="AD132" s="57" t="e">
        <f t="shared" si="44"/>
        <v>#DIV/0!</v>
      </c>
      <c r="AE132" s="63"/>
      <c r="AF132" s="57" t="e">
        <f t="shared" si="45"/>
        <v>#DIV/0!</v>
      </c>
      <c r="AG132" s="57" t="e">
        <f t="shared" si="46"/>
        <v>#DIV/0!</v>
      </c>
      <c r="AH132" s="57" t="e">
        <f t="shared" si="47"/>
        <v>#DIV/0!</v>
      </c>
      <c r="AI132" s="57" t="e">
        <f t="shared" si="48"/>
        <v>#DIV/0!</v>
      </c>
      <c r="AJ132" s="57" t="e">
        <f t="shared" si="49"/>
        <v>#DIV/0!</v>
      </c>
      <c r="AK132" s="57" t="e">
        <f t="shared" si="50"/>
        <v>#DIV/0!</v>
      </c>
      <c r="AL132" s="57" t="e">
        <f t="shared" si="51"/>
        <v>#DIV/0!</v>
      </c>
      <c r="AM132" s="63"/>
      <c r="AN132" s="57" t="e">
        <f t="shared" si="53"/>
        <v>#DIV/0!</v>
      </c>
      <c r="AO132" s="58" t="e">
        <f t="shared" si="56"/>
        <v>#VALUE!</v>
      </c>
      <c r="AP132" s="63"/>
      <c r="AQ132" s="58" t="e">
        <f t="shared" si="55"/>
        <v>#DIV/0!</v>
      </c>
      <c r="AR132" s="63"/>
      <c r="AS132" s="58" t="e">
        <f t="shared" si="55"/>
        <v>#DIV/0!</v>
      </c>
      <c r="AT132" s="58" t="e">
        <f t="shared" si="55"/>
        <v>#DIV/0!</v>
      </c>
      <c r="AU132" s="58" t="e">
        <f t="shared" si="55"/>
        <v>#DIV/0!</v>
      </c>
      <c r="AV132" s="58" t="e">
        <f t="shared" si="55"/>
        <v>#DIV/0!</v>
      </c>
      <c r="AW132" s="58" t="e">
        <f t="shared" si="55"/>
        <v>#DIV/0!</v>
      </c>
      <c r="AX132" s="58" t="e">
        <f t="shared" si="55"/>
        <v>#DIV/0!</v>
      </c>
      <c r="AY132" s="58" t="e">
        <f t="shared" si="55"/>
        <v>#DIV/0!</v>
      </c>
      <c r="AZ132" s="63"/>
      <c r="BA132" s="58" t="e">
        <f t="shared" si="55"/>
        <v>#DIV/0!</v>
      </c>
      <c r="BB132" s="63"/>
      <c r="BC132" s="57" t="e">
        <f>(Links!C132*Links!AQ132+'On-Ramps'!AC132*'On-Ramps'!CE132)/('On-Ramps'!AC132+Links!C132)</f>
        <v>#DIV/0!</v>
      </c>
      <c r="BD132" s="63"/>
      <c r="BE132" s="57" t="e">
        <f>(Links!E132*Links!AS132+'On-Ramps'!AD132*'On-Ramps'!CF131)/('On-Ramps'!AD132+Links!E132)</f>
        <v>#DIV/0!</v>
      </c>
      <c r="BF132" s="57" t="e">
        <f>(Links!F132*Links!AT132+'On-Ramps'!AE132*'On-Ramps'!CG132)/('On-Ramps'!AE132+Links!F132)</f>
        <v>#DIV/0!</v>
      </c>
      <c r="BG132" s="57" t="e">
        <f>(Links!I132*Links!AW132+'On-Ramps'!AF132*'On-Ramps'!CH132)/('On-Ramps'!AF132+Links!I132)</f>
        <v>#DIV/0!</v>
      </c>
      <c r="BH132" s="57" t="e">
        <f>(#REF!*#REF!+'On-Ramps'!AG132*'On-Ramps'!CI132)/('On-Ramps'!AG132+#REF!)</f>
        <v>#REF!</v>
      </c>
      <c r="BI132" s="57" t="e">
        <f>(Links!L132*Links!AZ132+'On-Ramps'!AH132*'On-Ramps'!CJ132)/('On-Ramps'!AH132+Links!L132)</f>
        <v>#DIV/0!</v>
      </c>
      <c r="BJ132" s="57" t="e">
        <f>(Links!BA132*Links!M132+'On-Ramps'!AI132*'On-Ramps'!CK132)/('On-Ramps'!AI132+Links!M132)</f>
        <v>#DIV/0!</v>
      </c>
      <c r="BK132" s="57" t="e">
        <f>(Links!S132*Links!BG132+'On-Ramps'!AJ132*'On-Ramps'!CL132)/('On-Ramps'!AJ132+Links!S132)</f>
        <v>#DIV/0!</v>
      </c>
      <c r="BL132" s="63"/>
      <c r="BM132" s="57" t="e">
        <f>(Links!S132*Links!BG132+'On-Ramps'!AL132*'On-Ramps'!CM132)/(Links!S132+'On-Ramps'!AL132)</f>
        <v>#DIV/0!</v>
      </c>
      <c r="BN132" s="63"/>
      <c r="BO132" s="58" t="e">
        <f>(Links!W132^2+'Off-Ramp'!L132^2)/(Links!W132+'Off-Ramp'!L132)</f>
        <v>#DIV/0!</v>
      </c>
      <c r="BP132" s="63"/>
      <c r="BQ132" s="58" t="e">
        <f>(Links!Y132^2+'Off-Ramp'!C132^2)/(Links!Y132+'Off-Ramp'!C132)</f>
        <v>#DIV/0!</v>
      </c>
      <c r="BR132" s="63"/>
      <c r="BS132" s="58" t="e">
        <f>(Links!AA132^2+'Off-Ramp'!N132^2)/(Links!AA132+'Off-Ramp'!N132)</f>
        <v>#DIV/0!</v>
      </c>
      <c r="BT132" s="58" t="e">
        <f>(Links!AD132^2+'Off-Ramp'!O132^2)/(Links!AD132+'Off-Ramp'!O132)</f>
        <v>#DIV/0!</v>
      </c>
      <c r="BU132" s="58" t="e">
        <f>(Links!AE132^2+'Off-Ramp'!V132^2+'Off-Ramp'!W132^2+'Off-Ramp'!X132^2)/(Links!AE132+'Off-Ramp'!V132+'Off-Ramp'!W132+'Off-Ramp'!X132)</f>
        <v>#DIV/0!</v>
      </c>
      <c r="BV132" s="58" t="e">
        <f>(Links!AG132^2+'Off-Ramp'!Y132^2+'Off-Ramp'!Z132^2+'Off-Ramp'!AA132^2)/(Links!AG132+'Off-Ramp'!Y132+'Off-Ramp'!Z132+'Off-Ramp'!AA132)</f>
        <v>#DIV/0!</v>
      </c>
      <c r="BW132" s="58" t="e">
        <f>(Links!AH132^2+'Off-Ramp'!R132^2)/(Links!AH132+'Off-Ramp'!R132)</f>
        <v>#DIV/0!</v>
      </c>
      <c r="BX132" s="58" t="e">
        <f>(Links!AK132^2+'Off-Ramp'!S132^2)/(Links!AK132+'Off-Ramp'!S132)</f>
        <v>#DIV/0!</v>
      </c>
      <c r="BY132" s="58" t="e">
        <f>(Links!AL132^2+'Off-Ramp'!T132^2)/(Links!AL132+'Off-Ramp'!T132)</f>
        <v>#DIV/0!</v>
      </c>
      <c r="BZ132" s="63"/>
      <c r="CA132" s="58" t="e">
        <f>(Links!AN132^2+'Off-Ramp'!U132^2)/(Links!AN132+'Off-Ramp'!U132)</f>
        <v>#DIV/0!</v>
      </c>
    </row>
    <row r="133" spans="1:79" x14ac:dyDescent="0.15">
      <c r="A133" s="56">
        <v>131</v>
      </c>
      <c r="B133" s="57" t="e">
        <f t="shared" si="57"/>
        <v>#DIV/0!</v>
      </c>
      <c r="C133" s="57" t="e">
        <f t="shared" si="58"/>
        <v>#DIV/0!</v>
      </c>
      <c r="D133" s="57" t="e">
        <f t="shared" si="59"/>
        <v>#DIV/0!</v>
      </c>
      <c r="E133" s="57" t="e">
        <f t="shared" si="60"/>
        <v>#DIV/0!</v>
      </c>
      <c r="F133" s="57" t="e">
        <f t="shared" si="61"/>
        <v>#DIV/0!</v>
      </c>
      <c r="G133" s="57" t="e">
        <f t="shared" si="62"/>
        <v>#DIV/0!</v>
      </c>
      <c r="H133" s="57" t="e">
        <f t="shared" si="63"/>
        <v>#DIV/0!</v>
      </c>
      <c r="I133" s="57" t="e">
        <f t="shared" si="64"/>
        <v>#DIV/0!</v>
      </c>
      <c r="J133" s="57" t="e">
        <f t="shared" si="65"/>
        <v>#DIV/0!</v>
      </c>
      <c r="K133" s="57" t="e">
        <f t="shared" si="66"/>
        <v>#DIV/0!</v>
      </c>
      <c r="L133" s="57" t="e">
        <f t="shared" si="67"/>
        <v>#DIV/0!</v>
      </c>
      <c r="M133" s="57" t="e">
        <f t="shared" si="68"/>
        <v>#DIV/0!</v>
      </c>
      <c r="N133" s="57" t="e">
        <f t="shared" si="69"/>
        <v>#DIV/0!</v>
      </c>
      <c r="O133" s="58" t="e">
        <f>Links!B133</f>
        <v>#DIV/0!</v>
      </c>
      <c r="P133" s="58" t="e">
        <f>Links!C133+'On-Ramps'!AC133</f>
        <v>#DIV/0!</v>
      </c>
      <c r="Q133" s="58" t="e">
        <f>Links!D133</f>
        <v>#DIV/0!</v>
      </c>
      <c r="R133" s="58" t="e">
        <f>Links!E133+'On-Ramps'!AD133</f>
        <v>#DIV/0!</v>
      </c>
      <c r="S133" s="58" t="e">
        <f>Links!F133+'On-Ramps'!AE133</f>
        <v>#DIV/0!</v>
      </c>
      <c r="T133" s="58" t="e">
        <f>Links!I133+'On-Ramps'!AF133</f>
        <v>#DIV/0!</v>
      </c>
      <c r="U133" s="58" t="e">
        <f>Links!J133+'On-Ramps'!AG133</f>
        <v>#DIV/0!</v>
      </c>
      <c r="V133" s="58" t="e">
        <f>Links!L133+'On-Ramps'!AH133</f>
        <v>#DIV/0!</v>
      </c>
      <c r="W133" s="58" t="e">
        <f>Links!M133+'On-Ramps'!AI133</f>
        <v>#DIV/0!</v>
      </c>
      <c r="X133" s="58" t="e">
        <f>Links!P133+'On-Ramps'!AJ133</f>
        <v>#DIV/0!</v>
      </c>
      <c r="Y133" s="58" t="e">
        <f>Links!Q133</f>
        <v>#DIV/0!</v>
      </c>
      <c r="Z133" s="58" t="e">
        <f>Links!R133+'On-Ramps'!AK133</f>
        <v>#DIV/0!</v>
      </c>
      <c r="AA133" s="58" t="e">
        <f>Links!S133</f>
        <v>#DIV/0!</v>
      </c>
      <c r="AB133" s="57" t="e">
        <f t="shared" ref="AB133:AB182" si="70">AO133*(1-AO133)*O133</f>
        <v>#VALUE!</v>
      </c>
      <c r="AC133" s="63"/>
      <c r="AD133" s="57" t="e">
        <f t="shared" ref="AD133:AD182" si="71">AQ133*(1-AQ133)*Q133</f>
        <v>#DIV/0!</v>
      </c>
      <c r="AE133" s="63"/>
      <c r="AF133" s="57" t="e">
        <f t="shared" ref="AF133:AF182" si="72">AS133*(1-AS133)*S133</f>
        <v>#DIV/0!</v>
      </c>
      <c r="AG133" s="57" t="e">
        <f t="shared" ref="AG133:AG182" si="73">AT133*(1-AT133)*T133</f>
        <v>#DIV/0!</v>
      </c>
      <c r="AH133" s="57" t="e">
        <f t="shared" ref="AH133:AH182" si="74">AU133*(1-AU133)*U133</f>
        <v>#DIV/0!</v>
      </c>
      <c r="AI133" s="57" t="e">
        <f t="shared" ref="AI133:AI182" si="75">AV133*(1-AV133)*V133</f>
        <v>#DIV/0!</v>
      </c>
      <c r="AJ133" s="57" t="e">
        <f t="shared" ref="AJ133:AJ182" si="76">AW133*(1-AW133)*W133</f>
        <v>#DIV/0!</v>
      </c>
      <c r="AK133" s="57" t="e">
        <f t="shared" ref="AK133:AK182" si="77">AX133*(1-AX133)*X133</f>
        <v>#DIV/0!</v>
      </c>
      <c r="AL133" s="57" t="e">
        <f t="shared" ref="AL133:AL182" si="78">AY133*(1-AY133)*Y133</f>
        <v>#DIV/0!</v>
      </c>
      <c r="AM133" s="63"/>
      <c r="AN133" s="57" t="e">
        <f t="shared" si="53"/>
        <v>#DIV/0!</v>
      </c>
      <c r="AO133" s="58" t="e">
        <f t="shared" si="56"/>
        <v>#VALUE!</v>
      </c>
      <c r="AP133" s="63"/>
      <c r="AQ133" s="58" t="e">
        <f t="shared" si="55"/>
        <v>#DIV/0!</v>
      </c>
      <c r="AR133" s="63"/>
      <c r="AS133" s="58" t="e">
        <f t="shared" si="55"/>
        <v>#DIV/0!</v>
      </c>
      <c r="AT133" s="58" t="e">
        <f t="shared" si="55"/>
        <v>#DIV/0!</v>
      </c>
      <c r="AU133" s="58" t="e">
        <f t="shared" si="55"/>
        <v>#DIV/0!</v>
      </c>
      <c r="AV133" s="58" t="e">
        <f t="shared" si="55"/>
        <v>#DIV/0!</v>
      </c>
      <c r="AW133" s="58" t="e">
        <f t="shared" si="55"/>
        <v>#DIV/0!</v>
      </c>
      <c r="AX133" s="58" t="e">
        <f t="shared" si="55"/>
        <v>#DIV/0!</v>
      </c>
      <c r="AY133" s="58" t="e">
        <f t="shared" si="55"/>
        <v>#DIV/0!</v>
      </c>
      <c r="AZ133" s="63"/>
      <c r="BA133" s="58" t="e">
        <f t="shared" si="55"/>
        <v>#DIV/0!</v>
      </c>
      <c r="BB133" s="63"/>
      <c r="BC133" s="57" t="e">
        <f>(Links!C133*Links!AQ133+'On-Ramps'!AC133*'On-Ramps'!CE133)/('On-Ramps'!AC133+Links!C133)</f>
        <v>#DIV/0!</v>
      </c>
      <c r="BD133" s="63"/>
      <c r="BE133" s="57" t="e">
        <f>(Links!E133*Links!AS133+'On-Ramps'!AD133*'On-Ramps'!CF132)/('On-Ramps'!AD133+Links!E133)</f>
        <v>#DIV/0!</v>
      </c>
      <c r="BF133" s="57" t="e">
        <f>(Links!F133*Links!AT133+'On-Ramps'!AE133*'On-Ramps'!CG133)/('On-Ramps'!AE133+Links!F133)</f>
        <v>#DIV/0!</v>
      </c>
      <c r="BG133" s="57" t="e">
        <f>(Links!I133*Links!AW133+'On-Ramps'!AF133*'On-Ramps'!CH133)/('On-Ramps'!AF133+Links!I133)</f>
        <v>#DIV/0!</v>
      </c>
      <c r="BH133" s="57" t="e">
        <f>(#REF!*#REF!+'On-Ramps'!AG133*'On-Ramps'!CI133)/('On-Ramps'!AG133+#REF!)</f>
        <v>#REF!</v>
      </c>
      <c r="BI133" s="57" t="e">
        <f>(Links!L133*Links!AZ133+'On-Ramps'!AH133*'On-Ramps'!CJ133)/('On-Ramps'!AH133+Links!L133)</f>
        <v>#DIV/0!</v>
      </c>
      <c r="BJ133" s="57" t="e">
        <f>(Links!BA133*Links!M133+'On-Ramps'!AI133*'On-Ramps'!CK133)/('On-Ramps'!AI133+Links!M133)</f>
        <v>#DIV/0!</v>
      </c>
      <c r="BK133" s="57" t="e">
        <f>(Links!S133*Links!BG133+'On-Ramps'!AJ133*'On-Ramps'!CL133)/('On-Ramps'!AJ133+Links!S133)</f>
        <v>#DIV/0!</v>
      </c>
      <c r="BL133" s="63"/>
      <c r="BM133" s="57" t="e">
        <f>(Links!S133*Links!BG133+'On-Ramps'!AL133*'On-Ramps'!CM133)/(Links!S133+'On-Ramps'!AL133)</f>
        <v>#DIV/0!</v>
      </c>
      <c r="BN133" s="63"/>
      <c r="BO133" s="58" t="e">
        <f>(Links!W133^2+'Off-Ramp'!L133^2)/(Links!W133+'Off-Ramp'!L133)</f>
        <v>#DIV/0!</v>
      </c>
      <c r="BP133" s="63"/>
      <c r="BQ133" s="58" t="e">
        <f>(Links!Y133^2+'Off-Ramp'!C133^2)/(Links!Y133+'Off-Ramp'!C133)</f>
        <v>#DIV/0!</v>
      </c>
      <c r="BR133" s="63"/>
      <c r="BS133" s="58" t="e">
        <f>(Links!AA133^2+'Off-Ramp'!N133^2)/(Links!AA133+'Off-Ramp'!N133)</f>
        <v>#DIV/0!</v>
      </c>
      <c r="BT133" s="58" t="e">
        <f>(Links!AD133^2+'Off-Ramp'!O133^2)/(Links!AD133+'Off-Ramp'!O133)</f>
        <v>#DIV/0!</v>
      </c>
      <c r="BU133" s="58" t="e">
        <f>(Links!AE133^2+'Off-Ramp'!V133^2+'Off-Ramp'!W133^2+'Off-Ramp'!X133^2)/(Links!AE133+'Off-Ramp'!V133+'Off-Ramp'!W133+'Off-Ramp'!X133)</f>
        <v>#DIV/0!</v>
      </c>
      <c r="BV133" s="58" t="e">
        <f>(Links!AG133^2+'Off-Ramp'!Y133^2+'Off-Ramp'!Z133^2+'Off-Ramp'!AA133^2)/(Links!AG133+'Off-Ramp'!Y133+'Off-Ramp'!Z133+'Off-Ramp'!AA133)</f>
        <v>#DIV/0!</v>
      </c>
      <c r="BW133" s="58" t="e">
        <f>(Links!AH133^2+'Off-Ramp'!R133^2)/(Links!AH133+'Off-Ramp'!R133)</f>
        <v>#DIV/0!</v>
      </c>
      <c r="BX133" s="58" t="e">
        <f>(Links!AK133^2+'Off-Ramp'!S133^2)/(Links!AK133+'Off-Ramp'!S133)</f>
        <v>#DIV/0!</v>
      </c>
      <c r="BY133" s="58" t="e">
        <f>(Links!AL133^2+'Off-Ramp'!T133^2)/(Links!AL133+'Off-Ramp'!T133)</f>
        <v>#DIV/0!</v>
      </c>
      <c r="BZ133" s="63"/>
      <c r="CA133" s="58" t="e">
        <f>(Links!AN133^2+'Off-Ramp'!U133^2)/(Links!AN133+'Off-Ramp'!U133)</f>
        <v>#DIV/0!</v>
      </c>
    </row>
    <row r="134" spans="1:79" x14ac:dyDescent="0.15">
      <c r="A134" s="56">
        <v>132</v>
      </c>
      <c r="B134" s="57" t="e">
        <f t="shared" si="57"/>
        <v>#DIV/0!</v>
      </c>
      <c r="C134" s="57" t="e">
        <f t="shared" si="58"/>
        <v>#DIV/0!</v>
      </c>
      <c r="D134" s="57" t="e">
        <f t="shared" si="59"/>
        <v>#DIV/0!</v>
      </c>
      <c r="E134" s="57" t="e">
        <f t="shared" si="60"/>
        <v>#DIV/0!</v>
      </c>
      <c r="F134" s="57" t="e">
        <f t="shared" si="61"/>
        <v>#DIV/0!</v>
      </c>
      <c r="G134" s="57" t="e">
        <f t="shared" si="62"/>
        <v>#DIV/0!</v>
      </c>
      <c r="H134" s="57" t="e">
        <f t="shared" si="63"/>
        <v>#DIV/0!</v>
      </c>
      <c r="I134" s="57" t="e">
        <f t="shared" si="64"/>
        <v>#DIV/0!</v>
      </c>
      <c r="J134" s="57" t="e">
        <f t="shared" si="65"/>
        <v>#DIV/0!</v>
      </c>
      <c r="K134" s="57" t="e">
        <f t="shared" si="66"/>
        <v>#DIV/0!</v>
      </c>
      <c r="L134" s="57" t="e">
        <f t="shared" si="67"/>
        <v>#DIV/0!</v>
      </c>
      <c r="M134" s="57" t="e">
        <f t="shared" si="68"/>
        <v>#DIV/0!</v>
      </c>
      <c r="N134" s="57" t="e">
        <f t="shared" si="69"/>
        <v>#DIV/0!</v>
      </c>
      <c r="O134" s="58" t="e">
        <f>Links!B134</f>
        <v>#DIV/0!</v>
      </c>
      <c r="P134" s="58" t="e">
        <f>Links!C134+'On-Ramps'!AC134</f>
        <v>#DIV/0!</v>
      </c>
      <c r="Q134" s="58" t="e">
        <f>Links!D134</f>
        <v>#DIV/0!</v>
      </c>
      <c r="R134" s="58" t="e">
        <f>Links!E134+'On-Ramps'!AD134</f>
        <v>#DIV/0!</v>
      </c>
      <c r="S134" s="58" t="e">
        <f>Links!F134+'On-Ramps'!AE134</f>
        <v>#DIV/0!</v>
      </c>
      <c r="T134" s="58" t="e">
        <f>Links!I134+'On-Ramps'!AF134</f>
        <v>#DIV/0!</v>
      </c>
      <c r="U134" s="58" t="e">
        <f>Links!J134+'On-Ramps'!AG134</f>
        <v>#DIV/0!</v>
      </c>
      <c r="V134" s="58" t="e">
        <f>Links!L134+'On-Ramps'!AH134</f>
        <v>#DIV/0!</v>
      </c>
      <c r="W134" s="58" t="e">
        <f>Links!M134+'On-Ramps'!AI134</f>
        <v>#DIV/0!</v>
      </c>
      <c r="X134" s="58" t="e">
        <f>Links!P134+'On-Ramps'!AJ134</f>
        <v>#DIV/0!</v>
      </c>
      <c r="Y134" s="58" t="e">
        <f>Links!Q134</f>
        <v>#DIV/0!</v>
      </c>
      <c r="Z134" s="58" t="e">
        <f>Links!R134+'On-Ramps'!AK134</f>
        <v>#DIV/0!</v>
      </c>
      <c r="AA134" s="58" t="e">
        <f>Links!S134</f>
        <v>#DIV/0!</v>
      </c>
      <c r="AB134" s="57" t="e">
        <f t="shared" si="70"/>
        <v>#VALUE!</v>
      </c>
      <c r="AC134" s="63"/>
      <c r="AD134" s="57" t="e">
        <f t="shared" si="71"/>
        <v>#DIV/0!</v>
      </c>
      <c r="AE134" s="63"/>
      <c r="AF134" s="57" t="e">
        <f t="shared" si="72"/>
        <v>#DIV/0!</v>
      </c>
      <c r="AG134" s="57" t="e">
        <f t="shared" si="73"/>
        <v>#DIV/0!</v>
      </c>
      <c r="AH134" s="57" t="e">
        <f t="shared" si="74"/>
        <v>#DIV/0!</v>
      </c>
      <c r="AI134" s="57" t="e">
        <f t="shared" si="75"/>
        <v>#DIV/0!</v>
      </c>
      <c r="AJ134" s="57" t="e">
        <f t="shared" si="76"/>
        <v>#DIV/0!</v>
      </c>
      <c r="AK134" s="57" t="e">
        <f t="shared" si="77"/>
        <v>#DIV/0!</v>
      </c>
      <c r="AL134" s="57" t="e">
        <f t="shared" si="78"/>
        <v>#DIV/0!</v>
      </c>
      <c r="AM134" s="63"/>
      <c r="AN134" s="57" t="e">
        <f t="shared" si="53"/>
        <v>#DIV/0!</v>
      </c>
      <c r="AO134" s="58" t="e">
        <f t="shared" si="56"/>
        <v>#VALUE!</v>
      </c>
      <c r="AP134" s="63"/>
      <c r="AQ134" s="58" t="e">
        <f t="shared" si="55"/>
        <v>#DIV/0!</v>
      </c>
      <c r="AR134" s="63"/>
      <c r="AS134" s="58" t="e">
        <f t="shared" si="55"/>
        <v>#DIV/0!</v>
      </c>
      <c r="AT134" s="58" t="e">
        <f t="shared" si="55"/>
        <v>#DIV/0!</v>
      </c>
      <c r="AU134" s="58" t="e">
        <f t="shared" si="55"/>
        <v>#DIV/0!</v>
      </c>
      <c r="AV134" s="58" t="e">
        <f t="shared" si="55"/>
        <v>#DIV/0!</v>
      </c>
      <c r="AW134" s="58" t="e">
        <f t="shared" si="55"/>
        <v>#DIV/0!</v>
      </c>
      <c r="AX134" s="58" t="e">
        <f t="shared" si="55"/>
        <v>#DIV/0!</v>
      </c>
      <c r="AY134" s="58" t="e">
        <f t="shared" si="55"/>
        <v>#DIV/0!</v>
      </c>
      <c r="AZ134" s="63"/>
      <c r="BA134" s="58" t="e">
        <f t="shared" si="55"/>
        <v>#DIV/0!</v>
      </c>
      <c r="BB134" s="63"/>
      <c r="BC134" s="57" t="e">
        <f>(Links!C134*Links!AQ134+'On-Ramps'!AC134*'On-Ramps'!CE134)/('On-Ramps'!AC134+Links!C134)</f>
        <v>#DIV/0!</v>
      </c>
      <c r="BD134" s="63"/>
      <c r="BE134" s="57" t="e">
        <f>(Links!E134*Links!AS134+'On-Ramps'!AD134*'On-Ramps'!CF133)/('On-Ramps'!AD134+Links!E134)</f>
        <v>#DIV/0!</v>
      </c>
      <c r="BF134" s="57" t="e">
        <f>(Links!F134*Links!AT134+'On-Ramps'!AE134*'On-Ramps'!CG134)/('On-Ramps'!AE134+Links!F134)</f>
        <v>#DIV/0!</v>
      </c>
      <c r="BG134" s="57" t="e">
        <f>(Links!I134*Links!AW134+'On-Ramps'!AF134*'On-Ramps'!CH134)/('On-Ramps'!AF134+Links!I134)</f>
        <v>#DIV/0!</v>
      </c>
      <c r="BH134" s="57" t="e">
        <f>(#REF!*#REF!+'On-Ramps'!AG134*'On-Ramps'!CI134)/('On-Ramps'!AG134+#REF!)</f>
        <v>#REF!</v>
      </c>
      <c r="BI134" s="57" t="e">
        <f>(Links!L134*Links!AZ134+'On-Ramps'!AH134*'On-Ramps'!CJ134)/('On-Ramps'!AH134+Links!L134)</f>
        <v>#DIV/0!</v>
      </c>
      <c r="BJ134" s="57" t="e">
        <f>(Links!BA134*Links!M134+'On-Ramps'!AI134*'On-Ramps'!CK134)/('On-Ramps'!AI134+Links!M134)</f>
        <v>#DIV/0!</v>
      </c>
      <c r="BK134" s="57" t="e">
        <f>(Links!S134*Links!BG134+'On-Ramps'!AJ134*'On-Ramps'!CL134)/('On-Ramps'!AJ134+Links!S134)</f>
        <v>#DIV/0!</v>
      </c>
      <c r="BL134" s="63"/>
      <c r="BM134" s="57" t="e">
        <f>(Links!S134*Links!BG134+'On-Ramps'!AL134*'On-Ramps'!CM134)/(Links!S134+'On-Ramps'!AL134)</f>
        <v>#DIV/0!</v>
      </c>
      <c r="BN134" s="63"/>
      <c r="BO134" s="58" t="e">
        <f>(Links!W134^2+'Off-Ramp'!L134^2)/(Links!W134+'Off-Ramp'!L134)</f>
        <v>#DIV/0!</v>
      </c>
      <c r="BP134" s="63"/>
      <c r="BQ134" s="58" t="e">
        <f>(Links!Y134^2+'Off-Ramp'!C134^2)/(Links!Y134+'Off-Ramp'!C134)</f>
        <v>#DIV/0!</v>
      </c>
      <c r="BR134" s="63"/>
      <c r="BS134" s="58" t="e">
        <f>(Links!AA134^2+'Off-Ramp'!N134^2)/(Links!AA134+'Off-Ramp'!N134)</f>
        <v>#DIV/0!</v>
      </c>
      <c r="BT134" s="58" t="e">
        <f>(Links!AD134^2+'Off-Ramp'!O134^2)/(Links!AD134+'Off-Ramp'!O134)</f>
        <v>#DIV/0!</v>
      </c>
      <c r="BU134" s="58" t="e">
        <f>(Links!AE134^2+'Off-Ramp'!V134^2+'Off-Ramp'!W134^2+'Off-Ramp'!X134^2)/(Links!AE134+'Off-Ramp'!V134+'Off-Ramp'!W134+'Off-Ramp'!X134)</f>
        <v>#DIV/0!</v>
      </c>
      <c r="BV134" s="58" t="e">
        <f>(Links!AG134^2+'Off-Ramp'!Y134^2+'Off-Ramp'!Z134^2+'Off-Ramp'!AA134^2)/(Links!AG134+'Off-Ramp'!Y134+'Off-Ramp'!Z134+'Off-Ramp'!AA134)</f>
        <v>#DIV/0!</v>
      </c>
      <c r="BW134" s="58" t="e">
        <f>(Links!AH134^2+'Off-Ramp'!R134^2)/(Links!AH134+'Off-Ramp'!R134)</f>
        <v>#DIV/0!</v>
      </c>
      <c r="BX134" s="58" t="e">
        <f>(Links!AK134^2+'Off-Ramp'!S134^2)/(Links!AK134+'Off-Ramp'!S134)</f>
        <v>#DIV/0!</v>
      </c>
      <c r="BY134" s="58" t="e">
        <f>(Links!AL134^2+'Off-Ramp'!T134^2)/(Links!AL134+'Off-Ramp'!T134)</f>
        <v>#DIV/0!</v>
      </c>
      <c r="BZ134" s="63"/>
      <c r="CA134" s="58" t="e">
        <f>(Links!AN134^2+'Off-Ramp'!U134^2)/(Links!AN134+'Off-Ramp'!U134)</f>
        <v>#DIV/0!</v>
      </c>
    </row>
    <row r="135" spans="1:79" x14ac:dyDescent="0.15">
      <c r="A135" s="56">
        <v>133</v>
      </c>
      <c r="B135" s="57" t="e">
        <f t="shared" si="57"/>
        <v>#DIV/0!</v>
      </c>
      <c r="C135" s="57" t="e">
        <f t="shared" si="58"/>
        <v>#DIV/0!</v>
      </c>
      <c r="D135" s="57" t="e">
        <f t="shared" si="59"/>
        <v>#DIV/0!</v>
      </c>
      <c r="E135" s="57" t="e">
        <f t="shared" si="60"/>
        <v>#DIV/0!</v>
      </c>
      <c r="F135" s="57" t="e">
        <f t="shared" si="61"/>
        <v>#DIV/0!</v>
      </c>
      <c r="G135" s="57" t="e">
        <f t="shared" si="62"/>
        <v>#DIV/0!</v>
      </c>
      <c r="H135" s="57" t="e">
        <f t="shared" si="63"/>
        <v>#DIV/0!</v>
      </c>
      <c r="I135" s="57" t="e">
        <f t="shared" si="64"/>
        <v>#DIV/0!</v>
      </c>
      <c r="J135" s="57" t="e">
        <f t="shared" si="65"/>
        <v>#DIV/0!</v>
      </c>
      <c r="K135" s="57" t="e">
        <f t="shared" si="66"/>
        <v>#DIV/0!</v>
      </c>
      <c r="L135" s="57" t="e">
        <f t="shared" si="67"/>
        <v>#DIV/0!</v>
      </c>
      <c r="M135" s="57" t="e">
        <f t="shared" si="68"/>
        <v>#DIV/0!</v>
      </c>
      <c r="N135" s="57" t="e">
        <f t="shared" si="69"/>
        <v>#DIV/0!</v>
      </c>
      <c r="O135" s="58" t="e">
        <f>Links!B135</f>
        <v>#DIV/0!</v>
      </c>
      <c r="P135" s="58" t="e">
        <f>Links!C135+'On-Ramps'!AC135</f>
        <v>#DIV/0!</v>
      </c>
      <c r="Q135" s="58" t="e">
        <f>Links!D135</f>
        <v>#DIV/0!</v>
      </c>
      <c r="R135" s="58" t="e">
        <f>Links!E135+'On-Ramps'!AD135</f>
        <v>#DIV/0!</v>
      </c>
      <c r="S135" s="58" t="e">
        <f>Links!F135+'On-Ramps'!AE135</f>
        <v>#DIV/0!</v>
      </c>
      <c r="T135" s="58" t="e">
        <f>Links!I135+'On-Ramps'!AF135</f>
        <v>#DIV/0!</v>
      </c>
      <c r="U135" s="58" t="e">
        <f>Links!J135+'On-Ramps'!AG135</f>
        <v>#DIV/0!</v>
      </c>
      <c r="V135" s="58" t="e">
        <f>Links!L135+'On-Ramps'!AH135</f>
        <v>#DIV/0!</v>
      </c>
      <c r="W135" s="58" t="e">
        <f>Links!M135+'On-Ramps'!AI135</f>
        <v>#DIV/0!</v>
      </c>
      <c r="X135" s="58" t="e">
        <f>Links!P135+'On-Ramps'!AJ135</f>
        <v>#DIV/0!</v>
      </c>
      <c r="Y135" s="58" t="e">
        <f>Links!Q135</f>
        <v>#DIV/0!</v>
      </c>
      <c r="Z135" s="58" t="e">
        <f>Links!R135+'On-Ramps'!AK135</f>
        <v>#DIV/0!</v>
      </c>
      <c r="AA135" s="58" t="e">
        <f>Links!S135</f>
        <v>#DIV/0!</v>
      </c>
      <c r="AB135" s="57" t="e">
        <f t="shared" si="70"/>
        <v>#VALUE!</v>
      </c>
      <c r="AC135" s="63"/>
      <c r="AD135" s="57" t="e">
        <f t="shared" si="71"/>
        <v>#DIV/0!</v>
      </c>
      <c r="AE135" s="63"/>
      <c r="AF135" s="57" t="e">
        <f t="shared" si="72"/>
        <v>#DIV/0!</v>
      </c>
      <c r="AG135" s="57" t="e">
        <f t="shared" si="73"/>
        <v>#DIV/0!</v>
      </c>
      <c r="AH135" s="57" t="e">
        <f t="shared" si="74"/>
        <v>#DIV/0!</v>
      </c>
      <c r="AI135" s="57" t="e">
        <f t="shared" si="75"/>
        <v>#DIV/0!</v>
      </c>
      <c r="AJ135" s="57" t="e">
        <f t="shared" si="76"/>
        <v>#DIV/0!</v>
      </c>
      <c r="AK135" s="57" t="e">
        <f t="shared" si="77"/>
        <v>#DIV/0!</v>
      </c>
      <c r="AL135" s="57" t="e">
        <f t="shared" si="78"/>
        <v>#DIV/0!</v>
      </c>
      <c r="AM135" s="63"/>
      <c r="AN135" s="57" t="e">
        <f t="shared" si="53"/>
        <v>#DIV/0!</v>
      </c>
      <c r="AO135" s="58" t="e">
        <f t="shared" si="56"/>
        <v>#VALUE!</v>
      </c>
      <c r="AP135" s="63"/>
      <c r="AQ135" s="58" t="e">
        <f t="shared" si="55"/>
        <v>#DIV/0!</v>
      </c>
      <c r="AR135" s="63"/>
      <c r="AS135" s="58" t="e">
        <f t="shared" si="55"/>
        <v>#DIV/0!</v>
      </c>
      <c r="AT135" s="58" t="e">
        <f t="shared" si="55"/>
        <v>#DIV/0!</v>
      </c>
      <c r="AU135" s="58" t="e">
        <f t="shared" si="55"/>
        <v>#DIV/0!</v>
      </c>
      <c r="AV135" s="58" t="e">
        <f t="shared" si="55"/>
        <v>#DIV/0!</v>
      </c>
      <c r="AW135" s="58" t="e">
        <f t="shared" si="55"/>
        <v>#DIV/0!</v>
      </c>
      <c r="AX135" s="58" t="e">
        <f t="shared" si="55"/>
        <v>#DIV/0!</v>
      </c>
      <c r="AY135" s="58" t="e">
        <f t="shared" si="55"/>
        <v>#DIV/0!</v>
      </c>
      <c r="AZ135" s="63"/>
      <c r="BA135" s="58" t="e">
        <f t="shared" si="55"/>
        <v>#DIV/0!</v>
      </c>
      <c r="BB135" s="63"/>
      <c r="BC135" s="57" t="e">
        <f>(Links!C135*Links!AQ135+'On-Ramps'!AC135*'On-Ramps'!CE135)/('On-Ramps'!AC135+Links!C135)</f>
        <v>#DIV/0!</v>
      </c>
      <c r="BD135" s="63"/>
      <c r="BE135" s="57" t="e">
        <f>(Links!E135*Links!AS135+'On-Ramps'!AD135*'On-Ramps'!CF134)/('On-Ramps'!AD135+Links!E135)</f>
        <v>#DIV/0!</v>
      </c>
      <c r="BF135" s="57" t="e">
        <f>(Links!F135*Links!AT135+'On-Ramps'!AE135*'On-Ramps'!CG135)/('On-Ramps'!AE135+Links!F135)</f>
        <v>#DIV/0!</v>
      </c>
      <c r="BG135" s="57" t="e">
        <f>(Links!I135*Links!AW135+'On-Ramps'!AF135*'On-Ramps'!CH135)/('On-Ramps'!AF135+Links!I135)</f>
        <v>#DIV/0!</v>
      </c>
      <c r="BH135" s="57" t="e">
        <f>(#REF!*#REF!+'On-Ramps'!AG135*'On-Ramps'!CI135)/('On-Ramps'!AG135+#REF!)</f>
        <v>#REF!</v>
      </c>
      <c r="BI135" s="57" t="e">
        <f>(Links!L135*Links!AZ135+'On-Ramps'!AH135*'On-Ramps'!CJ135)/('On-Ramps'!AH135+Links!L135)</f>
        <v>#DIV/0!</v>
      </c>
      <c r="BJ135" s="57" t="e">
        <f>(Links!BA135*Links!M135+'On-Ramps'!AI135*'On-Ramps'!CK135)/('On-Ramps'!AI135+Links!M135)</f>
        <v>#DIV/0!</v>
      </c>
      <c r="BK135" s="57" t="e">
        <f>(Links!S135*Links!BG135+'On-Ramps'!AJ135*'On-Ramps'!CL135)/('On-Ramps'!AJ135+Links!S135)</f>
        <v>#DIV/0!</v>
      </c>
      <c r="BL135" s="63"/>
      <c r="BM135" s="57" t="e">
        <f>(Links!S135*Links!BG135+'On-Ramps'!AL135*'On-Ramps'!CM135)/(Links!S135+'On-Ramps'!AL135)</f>
        <v>#DIV/0!</v>
      </c>
      <c r="BN135" s="63"/>
      <c r="BO135" s="58" t="e">
        <f>(Links!W135^2+'Off-Ramp'!L135^2)/(Links!W135+'Off-Ramp'!L135)</f>
        <v>#DIV/0!</v>
      </c>
      <c r="BP135" s="63"/>
      <c r="BQ135" s="58" t="e">
        <f>(Links!Y135^2+'Off-Ramp'!C135^2)/(Links!Y135+'Off-Ramp'!C135)</f>
        <v>#DIV/0!</v>
      </c>
      <c r="BR135" s="63"/>
      <c r="BS135" s="58" t="e">
        <f>(Links!AA135^2+'Off-Ramp'!N135^2)/(Links!AA135+'Off-Ramp'!N135)</f>
        <v>#DIV/0!</v>
      </c>
      <c r="BT135" s="58" t="e">
        <f>(Links!AD135^2+'Off-Ramp'!O135^2)/(Links!AD135+'Off-Ramp'!O135)</f>
        <v>#DIV/0!</v>
      </c>
      <c r="BU135" s="58" t="e">
        <f>(Links!AE135^2+'Off-Ramp'!V135^2+'Off-Ramp'!W135^2+'Off-Ramp'!X135^2)/(Links!AE135+'Off-Ramp'!V135+'Off-Ramp'!W135+'Off-Ramp'!X135)</f>
        <v>#DIV/0!</v>
      </c>
      <c r="BV135" s="58" t="e">
        <f>(Links!AG135^2+'Off-Ramp'!Y135^2+'Off-Ramp'!Z135^2+'Off-Ramp'!AA135^2)/(Links!AG135+'Off-Ramp'!Y135+'Off-Ramp'!Z135+'Off-Ramp'!AA135)</f>
        <v>#DIV/0!</v>
      </c>
      <c r="BW135" s="58" t="e">
        <f>(Links!AH135^2+'Off-Ramp'!R135^2)/(Links!AH135+'Off-Ramp'!R135)</f>
        <v>#DIV/0!</v>
      </c>
      <c r="BX135" s="58" t="e">
        <f>(Links!AK135^2+'Off-Ramp'!S135^2)/(Links!AK135+'Off-Ramp'!S135)</f>
        <v>#DIV/0!</v>
      </c>
      <c r="BY135" s="58" t="e">
        <f>(Links!AL135^2+'Off-Ramp'!T135^2)/(Links!AL135+'Off-Ramp'!T135)</f>
        <v>#DIV/0!</v>
      </c>
      <c r="BZ135" s="63"/>
      <c r="CA135" s="58" t="e">
        <f>(Links!AN135^2+'Off-Ramp'!U135^2)/(Links!AN135+'Off-Ramp'!U135)</f>
        <v>#DIV/0!</v>
      </c>
    </row>
    <row r="136" spans="1:79" x14ac:dyDescent="0.15">
      <c r="A136" s="56">
        <v>134</v>
      </c>
      <c r="B136" s="57" t="e">
        <f t="shared" si="57"/>
        <v>#DIV/0!</v>
      </c>
      <c r="C136" s="57" t="e">
        <f t="shared" si="58"/>
        <v>#DIV/0!</v>
      </c>
      <c r="D136" s="57" t="e">
        <f t="shared" si="59"/>
        <v>#DIV/0!</v>
      </c>
      <c r="E136" s="57" t="e">
        <f t="shared" si="60"/>
        <v>#DIV/0!</v>
      </c>
      <c r="F136" s="57" t="e">
        <f t="shared" si="61"/>
        <v>#DIV/0!</v>
      </c>
      <c r="G136" s="57" t="e">
        <f t="shared" si="62"/>
        <v>#DIV/0!</v>
      </c>
      <c r="H136" s="57" t="e">
        <f t="shared" si="63"/>
        <v>#DIV/0!</v>
      </c>
      <c r="I136" s="57" t="e">
        <f t="shared" si="64"/>
        <v>#DIV/0!</v>
      </c>
      <c r="J136" s="57" t="e">
        <f t="shared" si="65"/>
        <v>#DIV/0!</v>
      </c>
      <c r="K136" s="57" t="e">
        <f t="shared" si="66"/>
        <v>#DIV/0!</v>
      </c>
      <c r="L136" s="57" t="e">
        <f t="shared" si="67"/>
        <v>#DIV/0!</v>
      </c>
      <c r="M136" s="57" t="e">
        <f t="shared" si="68"/>
        <v>#DIV/0!</v>
      </c>
      <c r="N136" s="57" t="e">
        <f t="shared" si="69"/>
        <v>#DIV/0!</v>
      </c>
      <c r="O136" s="58" t="e">
        <f>Links!B136</f>
        <v>#DIV/0!</v>
      </c>
      <c r="P136" s="58" t="e">
        <f>Links!C136+'On-Ramps'!AC136</f>
        <v>#DIV/0!</v>
      </c>
      <c r="Q136" s="58" t="e">
        <f>Links!D136</f>
        <v>#DIV/0!</v>
      </c>
      <c r="R136" s="58" t="e">
        <f>Links!E136+'On-Ramps'!AD136</f>
        <v>#DIV/0!</v>
      </c>
      <c r="S136" s="58" t="e">
        <f>Links!F136+'On-Ramps'!AE136</f>
        <v>#DIV/0!</v>
      </c>
      <c r="T136" s="58" t="e">
        <f>Links!I136+'On-Ramps'!AF136</f>
        <v>#DIV/0!</v>
      </c>
      <c r="U136" s="58" t="e">
        <f>Links!J136+'On-Ramps'!AG136</f>
        <v>#DIV/0!</v>
      </c>
      <c r="V136" s="58" t="e">
        <f>Links!L136+'On-Ramps'!AH136</f>
        <v>#DIV/0!</v>
      </c>
      <c r="W136" s="58" t="e">
        <f>Links!M136+'On-Ramps'!AI136</f>
        <v>#DIV/0!</v>
      </c>
      <c r="X136" s="58" t="e">
        <f>Links!P136+'On-Ramps'!AJ136</f>
        <v>#DIV/0!</v>
      </c>
      <c r="Y136" s="58" t="e">
        <f>Links!Q136</f>
        <v>#DIV/0!</v>
      </c>
      <c r="Z136" s="58" t="e">
        <f>Links!R136+'On-Ramps'!AK136</f>
        <v>#DIV/0!</v>
      </c>
      <c r="AA136" s="58" t="e">
        <f>Links!S136</f>
        <v>#DIV/0!</v>
      </c>
      <c r="AB136" s="57" t="e">
        <f t="shared" si="70"/>
        <v>#VALUE!</v>
      </c>
      <c r="AC136" s="63"/>
      <c r="AD136" s="57" t="e">
        <f t="shared" si="71"/>
        <v>#DIV/0!</v>
      </c>
      <c r="AE136" s="63"/>
      <c r="AF136" s="57" t="e">
        <f t="shared" si="72"/>
        <v>#DIV/0!</v>
      </c>
      <c r="AG136" s="57" t="e">
        <f t="shared" si="73"/>
        <v>#DIV/0!</v>
      </c>
      <c r="AH136" s="57" t="e">
        <f t="shared" si="74"/>
        <v>#DIV/0!</v>
      </c>
      <c r="AI136" s="57" t="e">
        <f t="shared" si="75"/>
        <v>#DIV/0!</v>
      </c>
      <c r="AJ136" s="57" t="e">
        <f t="shared" si="76"/>
        <v>#DIV/0!</v>
      </c>
      <c r="AK136" s="57" t="e">
        <f t="shared" si="77"/>
        <v>#DIV/0!</v>
      </c>
      <c r="AL136" s="57" t="e">
        <f t="shared" si="78"/>
        <v>#DIV/0!</v>
      </c>
      <c r="AM136" s="63"/>
      <c r="AN136" s="57" t="e">
        <f t="shared" si="53"/>
        <v>#DIV/0!</v>
      </c>
      <c r="AO136" s="58" t="e">
        <f t="shared" si="56"/>
        <v>#VALUE!</v>
      </c>
      <c r="AP136" s="63"/>
      <c r="AQ136" s="58" t="e">
        <f t="shared" si="55"/>
        <v>#DIV/0!</v>
      </c>
      <c r="AR136" s="63"/>
      <c r="AS136" s="58" t="e">
        <f t="shared" si="55"/>
        <v>#DIV/0!</v>
      </c>
      <c r="AT136" s="58" t="e">
        <f t="shared" si="55"/>
        <v>#DIV/0!</v>
      </c>
      <c r="AU136" s="58" t="e">
        <f t="shared" si="55"/>
        <v>#DIV/0!</v>
      </c>
      <c r="AV136" s="58" t="e">
        <f t="shared" si="55"/>
        <v>#DIV/0!</v>
      </c>
      <c r="AW136" s="58" t="e">
        <f t="shared" si="55"/>
        <v>#DIV/0!</v>
      </c>
      <c r="AX136" s="58" t="e">
        <f t="shared" si="55"/>
        <v>#DIV/0!</v>
      </c>
      <c r="AY136" s="58" t="e">
        <f t="shared" si="55"/>
        <v>#DIV/0!</v>
      </c>
      <c r="AZ136" s="63"/>
      <c r="BA136" s="58" t="e">
        <f t="shared" si="55"/>
        <v>#DIV/0!</v>
      </c>
      <c r="BB136" s="63"/>
      <c r="BC136" s="57" t="e">
        <f>(Links!C136*Links!AQ136+'On-Ramps'!AC136*'On-Ramps'!CE136)/('On-Ramps'!AC136+Links!C136)</f>
        <v>#DIV/0!</v>
      </c>
      <c r="BD136" s="63"/>
      <c r="BE136" s="57" t="e">
        <f>(Links!E136*Links!AS136+'On-Ramps'!AD136*'On-Ramps'!CF135)/('On-Ramps'!AD136+Links!E136)</f>
        <v>#DIV/0!</v>
      </c>
      <c r="BF136" s="57" t="e">
        <f>(Links!F136*Links!AT136+'On-Ramps'!AE136*'On-Ramps'!CG136)/('On-Ramps'!AE136+Links!F136)</f>
        <v>#DIV/0!</v>
      </c>
      <c r="BG136" s="57" t="e">
        <f>(Links!I136*Links!AW136+'On-Ramps'!AF136*'On-Ramps'!CH136)/('On-Ramps'!AF136+Links!I136)</f>
        <v>#DIV/0!</v>
      </c>
      <c r="BH136" s="57" t="e">
        <f>(#REF!*#REF!+'On-Ramps'!AG136*'On-Ramps'!CI136)/('On-Ramps'!AG136+#REF!)</f>
        <v>#REF!</v>
      </c>
      <c r="BI136" s="57" t="e">
        <f>(Links!L136*Links!AZ136+'On-Ramps'!AH136*'On-Ramps'!CJ136)/('On-Ramps'!AH136+Links!L136)</f>
        <v>#DIV/0!</v>
      </c>
      <c r="BJ136" s="57" t="e">
        <f>(Links!BA136*Links!M136+'On-Ramps'!AI136*'On-Ramps'!CK136)/('On-Ramps'!AI136+Links!M136)</f>
        <v>#DIV/0!</v>
      </c>
      <c r="BK136" s="57" t="e">
        <f>(Links!S136*Links!BG136+'On-Ramps'!AJ136*'On-Ramps'!CL136)/('On-Ramps'!AJ136+Links!S136)</f>
        <v>#DIV/0!</v>
      </c>
      <c r="BL136" s="63"/>
      <c r="BM136" s="57" t="e">
        <f>(Links!S136*Links!BG136+'On-Ramps'!AL136*'On-Ramps'!CM136)/(Links!S136+'On-Ramps'!AL136)</f>
        <v>#DIV/0!</v>
      </c>
      <c r="BN136" s="63"/>
      <c r="BO136" s="58" t="e">
        <f>(Links!W136^2+'Off-Ramp'!L136^2)/(Links!W136+'Off-Ramp'!L136)</f>
        <v>#DIV/0!</v>
      </c>
      <c r="BP136" s="63"/>
      <c r="BQ136" s="58" t="e">
        <f>(Links!Y136^2+'Off-Ramp'!C136^2)/(Links!Y136+'Off-Ramp'!C136)</f>
        <v>#DIV/0!</v>
      </c>
      <c r="BR136" s="63"/>
      <c r="BS136" s="58" t="e">
        <f>(Links!AA136^2+'Off-Ramp'!N136^2)/(Links!AA136+'Off-Ramp'!N136)</f>
        <v>#DIV/0!</v>
      </c>
      <c r="BT136" s="58" t="e">
        <f>(Links!AD136^2+'Off-Ramp'!O136^2)/(Links!AD136+'Off-Ramp'!O136)</f>
        <v>#DIV/0!</v>
      </c>
      <c r="BU136" s="58" t="e">
        <f>(Links!AE136^2+'Off-Ramp'!V136^2+'Off-Ramp'!W136^2+'Off-Ramp'!X136^2)/(Links!AE136+'Off-Ramp'!V136+'Off-Ramp'!W136+'Off-Ramp'!X136)</f>
        <v>#DIV/0!</v>
      </c>
      <c r="BV136" s="58" t="e">
        <f>(Links!AG136^2+'Off-Ramp'!Y136^2+'Off-Ramp'!Z136^2+'Off-Ramp'!AA136^2)/(Links!AG136+'Off-Ramp'!Y136+'Off-Ramp'!Z136+'Off-Ramp'!AA136)</f>
        <v>#DIV/0!</v>
      </c>
      <c r="BW136" s="58" t="e">
        <f>(Links!AH136^2+'Off-Ramp'!R136^2)/(Links!AH136+'Off-Ramp'!R136)</f>
        <v>#DIV/0!</v>
      </c>
      <c r="BX136" s="58" t="e">
        <f>(Links!AK136^2+'Off-Ramp'!S136^2)/(Links!AK136+'Off-Ramp'!S136)</f>
        <v>#DIV/0!</v>
      </c>
      <c r="BY136" s="58" t="e">
        <f>(Links!AL136^2+'Off-Ramp'!T136^2)/(Links!AL136+'Off-Ramp'!T136)</f>
        <v>#DIV/0!</v>
      </c>
      <c r="BZ136" s="63"/>
      <c r="CA136" s="58" t="e">
        <f>(Links!AN136^2+'Off-Ramp'!U136^2)/(Links!AN136+'Off-Ramp'!U136)</f>
        <v>#DIV/0!</v>
      </c>
    </row>
    <row r="137" spans="1:79" x14ac:dyDescent="0.15">
      <c r="A137" s="56">
        <v>135</v>
      </c>
      <c r="B137" s="57" t="e">
        <f t="shared" si="57"/>
        <v>#DIV/0!</v>
      </c>
      <c r="C137" s="57" t="e">
        <f t="shared" si="58"/>
        <v>#DIV/0!</v>
      </c>
      <c r="D137" s="57" t="e">
        <f t="shared" si="59"/>
        <v>#DIV/0!</v>
      </c>
      <c r="E137" s="57" t="e">
        <f t="shared" si="60"/>
        <v>#DIV/0!</v>
      </c>
      <c r="F137" s="57" t="e">
        <f t="shared" si="61"/>
        <v>#DIV/0!</v>
      </c>
      <c r="G137" s="57" t="e">
        <f t="shared" si="62"/>
        <v>#DIV/0!</v>
      </c>
      <c r="H137" s="57" t="e">
        <f t="shared" si="63"/>
        <v>#DIV/0!</v>
      </c>
      <c r="I137" s="57" t="e">
        <f t="shared" si="64"/>
        <v>#DIV/0!</v>
      </c>
      <c r="J137" s="57" t="e">
        <f t="shared" si="65"/>
        <v>#DIV/0!</v>
      </c>
      <c r="K137" s="57" t="e">
        <f t="shared" si="66"/>
        <v>#DIV/0!</v>
      </c>
      <c r="L137" s="57" t="e">
        <f t="shared" si="67"/>
        <v>#DIV/0!</v>
      </c>
      <c r="M137" s="57" t="e">
        <f t="shared" si="68"/>
        <v>#DIV/0!</v>
      </c>
      <c r="N137" s="57" t="e">
        <f t="shared" si="69"/>
        <v>#DIV/0!</v>
      </c>
      <c r="O137" s="58" t="e">
        <f>Links!B137</f>
        <v>#DIV/0!</v>
      </c>
      <c r="P137" s="58" t="e">
        <f>Links!C137+'On-Ramps'!AC137</f>
        <v>#DIV/0!</v>
      </c>
      <c r="Q137" s="58" t="e">
        <f>Links!D137</f>
        <v>#DIV/0!</v>
      </c>
      <c r="R137" s="58" t="e">
        <f>Links!E137+'On-Ramps'!AD137</f>
        <v>#DIV/0!</v>
      </c>
      <c r="S137" s="58" t="e">
        <f>Links!F137+'On-Ramps'!AE137</f>
        <v>#DIV/0!</v>
      </c>
      <c r="T137" s="58" t="e">
        <f>Links!I137+'On-Ramps'!AF137</f>
        <v>#DIV/0!</v>
      </c>
      <c r="U137" s="58" t="e">
        <f>Links!J137+'On-Ramps'!AG137</f>
        <v>#DIV/0!</v>
      </c>
      <c r="V137" s="58" t="e">
        <f>Links!L137+'On-Ramps'!AH137</f>
        <v>#DIV/0!</v>
      </c>
      <c r="W137" s="58" t="e">
        <f>Links!M137+'On-Ramps'!AI137</f>
        <v>#DIV/0!</v>
      </c>
      <c r="X137" s="58" t="e">
        <f>Links!P137+'On-Ramps'!AJ137</f>
        <v>#DIV/0!</v>
      </c>
      <c r="Y137" s="58" t="e">
        <f>Links!Q137</f>
        <v>#DIV/0!</v>
      </c>
      <c r="Z137" s="58" t="e">
        <f>Links!R137+'On-Ramps'!AK137</f>
        <v>#DIV/0!</v>
      </c>
      <c r="AA137" s="58" t="e">
        <f>Links!S137</f>
        <v>#DIV/0!</v>
      </c>
      <c r="AB137" s="57" t="e">
        <f t="shared" si="70"/>
        <v>#VALUE!</v>
      </c>
      <c r="AC137" s="63"/>
      <c r="AD137" s="57" t="e">
        <f t="shared" si="71"/>
        <v>#DIV/0!</v>
      </c>
      <c r="AE137" s="63"/>
      <c r="AF137" s="57" t="e">
        <f t="shared" si="72"/>
        <v>#DIV/0!</v>
      </c>
      <c r="AG137" s="57" t="e">
        <f t="shared" si="73"/>
        <v>#DIV/0!</v>
      </c>
      <c r="AH137" s="57" t="e">
        <f t="shared" si="74"/>
        <v>#DIV/0!</v>
      </c>
      <c r="AI137" s="57" t="e">
        <f t="shared" si="75"/>
        <v>#DIV/0!</v>
      </c>
      <c r="AJ137" s="57" t="e">
        <f t="shared" si="76"/>
        <v>#DIV/0!</v>
      </c>
      <c r="AK137" s="57" t="e">
        <f t="shared" si="77"/>
        <v>#DIV/0!</v>
      </c>
      <c r="AL137" s="57" t="e">
        <f t="shared" si="78"/>
        <v>#DIV/0!</v>
      </c>
      <c r="AM137" s="63"/>
      <c r="AN137" s="57" t="e">
        <f t="shared" si="53"/>
        <v>#DIV/0!</v>
      </c>
      <c r="AO137" s="58" t="e">
        <f t="shared" si="56"/>
        <v>#VALUE!</v>
      </c>
      <c r="AP137" s="63"/>
      <c r="AQ137" s="58" t="e">
        <f t="shared" si="55"/>
        <v>#DIV/0!</v>
      </c>
      <c r="AR137" s="63"/>
      <c r="AS137" s="58" t="e">
        <f t="shared" si="55"/>
        <v>#DIV/0!</v>
      </c>
      <c r="AT137" s="58" t="e">
        <f t="shared" si="55"/>
        <v>#DIV/0!</v>
      </c>
      <c r="AU137" s="58" t="e">
        <f t="shared" si="55"/>
        <v>#DIV/0!</v>
      </c>
      <c r="AV137" s="58" t="e">
        <f t="shared" si="55"/>
        <v>#DIV/0!</v>
      </c>
      <c r="AW137" s="58" t="e">
        <f t="shared" si="55"/>
        <v>#DIV/0!</v>
      </c>
      <c r="AX137" s="58" t="e">
        <f t="shared" si="55"/>
        <v>#DIV/0!</v>
      </c>
      <c r="AY137" s="58" t="e">
        <f t="shared" si="55"/>
        <v>#DIV/0!</v>
      </c>
      <c r="AZ137" s="63"/>
      <c r="BA137" s="58" t="e">
        <f t="shared" si="55"/>
        <v>#DIV/0!</v>
      </c>
      <c r="BB137" s="63"/>
      <c r="BC137" s="57" t="e">
        <f>(Links!C137*Links!AQ137+'On-Ramps'!AC137*'On-Ramps'!CE137)/('On-Ramps'!AC137+Links!C137)</f>
        <v>#DIV/0!</v>
      </c>
      <c r="BD137" s="63"/>
      <c r="BE137" s="57" t="e">
        <f>(Links!E137*Links!AS137+'On-Ramps'!AD137*'On-Ramps'!CF136)/('On-Ramps'!AD137+Links!E137)</f>
        <v>#DIV/0!</v>
      </c>
      <c r="BF137" s="57" t="e">
        <f>(Links!F137*Links!AT137+'On-Ramps'!AE137*'On-Ramps'!CG137)/('On-Ramps'!AE137+Links!F137)</f>
        <v>#DIV/0!</v>
      </c>
      <c r="BG137" s="57" t="e">
        <f>(Links!I137*Links!AW137+'On-Ramps'!AF137*'On-Ramps'!CH137)/('On-Ramps'!AF137+Links!I137)</f>
        <v>#DIV/0!</v>
      </c>
      <c r="BH137" s="57" t="e">
        <f>(#REF!*#REF!+'On-Ramps'!AG137*'On-Ramps'!CI137)/('On-Ramps'!AG137+#REF!)</f>
        <v>#REF!</v>
      </c>
      <c r="BI137" s="57" t="e">
        <f>(Links!L137*Links!AZ137+'On-Ramps'!AH137*'On-Ramps'!CJ137)/('On-Ramps'!AH137+Links!L137)</f>
        <v>#DIV/0!</v>
      </c>
      <c r="BJ137" s="57" t="e">
        <f>(Links!BA137*Links!M137+'On-Ramps'!AI137*'On-Ramps'!CK137)/('On-Ramps'!AI137+Links!M137)</f>
        <v>#DIV/0!</v>
      </c>
      <c r="BK137" s="57" t="e">
        <f>(Links!S137*Links!BG137+'On-Ramps'!AJ137*'On-Ramps'!CL137)/('On-Ramps'!AJ137+Links!S137)</f>
        <v>#DIV/0!</v>
      </c>
      <c r="BL137" s="63"/>
      <c r="BM137" s="57" t="e">
        <f>(Links!S137*Links!BG137+'On-Ramps'!AL137*'On-Ramps'!CM137)/(Links!S137+'On-Ramps'!AL137)</f>
        <v>#DIV/0!</v>
      </c>
      <c r="BN137" s="63"/>
      <c r="BO137" s="58" t="e">
        <f>(Links!W137^2+'Off-Ramp'!L137^2)/(Links!W137+'Off-Ramp'!L137)</f>
        <v>#DIV/0!</v>
      </c>
      <c r="BP137" s="63"/>
      <c r="BQ137" s="58" t="e">
        <f>(Links!Y137^2+'Off-Ramp'!C137^2)/(Links!Y137+'Off-Ramp'!C137)</f>
        <v>#DIV/0!</v>
      </c>
      <c r="BR137" s="63"/>
      <c r="BS137" s="58" t="e">
        <f>(Links!AA137^2+'Off-Ramp'!N137^2)/(Links!AA137+'Off-Ramp'!N137)</f>
        <v>#DIV/0!</v>
      </c>
      <c r="BT137" s="58" t="e">
        <f>(Links!AD137^2+'Off-Ramp'!O137^2)/(Links!AD137+'Off-Ramp'!O137)</f>
        <v>#DIV/0!</v>
      </c>
      <c r="BU137" s="58" t="e">
        <f>(Links!AE137^2+'Off-Ramp'!V137^2+'Off-Ramp'!W137^2+'Off-Ramp'!X137^2)/(Links!AE137+'Off-Ramp'!V137+'Off-Ramp'!W137+'Off-Ramp'!X137)</f>
        <v>#DIV/0!</v>
      </c>
      <c r="BV137" s="58" t="e">
        <f>(Links!AG137^2+'Off-Ramp'!Y137^2+'Off-Ramp'!Z137^2+'Off-Ramp'!AA137^2)/(Links!AG137+'Off-Ramp'!Y137+'Off-Ramp'!Z137+'Off-Ramp'!AA137)</f>
        <v>#DIV/0!</v>
      </c>
      <c r="BW137" s="58" t="e">
        <f>(Links!AH137^2+'Off-Ramp'!R137^2)/(Links!AH137+'Off-Ramp'!R137)</f>
        <v>#DIV/0!</v>
      </c>
      <c r="BX137" s="58" t="e">
        <f>(Links!AK137^2+'Off-Ramp'!S137^2)/(Links!AK137+'Off-Ramp'!S137)</f>
        <v>#DIV/0!</v>
      </c>
      <c r="BY137" s="58" t="e">
        <f>(Links!AL137^2+'Off-Ramp'!T137^2)/(Links!AL137+'Off-Ramp'!T137)</f>
        <v>#DIV/0!</v>
      </c>
      <c r="BZ137" s="63"/>
      <c r="CA137" s="58" t="e">
        <f>(Links!AN137^2+'Off-Ramp'!U137^2)/(Links!AN137+'Off-Ramp'!U137)</f>
        <v>#DIV/0!</v>
      </c>
    </row>
    <row r="138" spans="1:79" x14ac:dyDescent="0.15">
      <c r="A138" s="56">
        <v>136</v>
      </c>
      <c r="B138" s="57" t="e">
        <f t="shared" si="57"/>
        <v>#DIV/0!</v>
      </c>
      <c r="C138" s="57" t="e">
        <f t="shared" si="58"/>
        <v>#DIV/0!</v>
      </c>
      <c r="D138" s="57" t="e">
        <f t="shared" si="59"/>
        <v>#DIV/0!</v>
      </c>
      <c r="E138" s="57" t="e">
        <f t="shared" si="60"/>
        <v>#DIV/0!</v>
      </c>
      <c r="F138" s="57" t="e">
        <f t="shared" si="61"/>
        <v>#DIV/0!</v>
      </c>
      <c r="G138" s="57" t="e">
        <f t="shared" si="62"/>
        <v>#DIV/0!</v>
      </c>
      <c r="H138" s="57" t="e">
        <f t="shared" si="63"/>
        <v>#DIV/0!</v>
      </c>
      <c r="I138" s="57" t="e">
        <f t="shared" si="64"/>
        <v>#DIV/0!</v>
      </c>
      <c r="J138" s="57" t="e">
        <f t="shared" si="65"/>
        <v>#DIV/0!</v>
      </c>
      <c r="K138" s="57" t="e">
        <f t="shared" si="66"/>
        <v>#DIV/0!</v>
      </c>
      <c r="L138" s="57" t="e">
        <f t="shared" si="67"/>
        <v>#DIV/0!</v>
      </c>
      <c r="M138" s="57" t="e">
        <f t="shared" si="68"/>
        <v>#DIV/0!</v>
      </c>
      <c r="N138" s="57" t="e">
        <f t="shared" si="69"/>
        <v>#DIV/0!</v>
      </c>
      <c r="O138" s="58" t="e">
        <f>Links!B138</f>
        <v>#DIV/0!</v>
      </c>
      <c r="P138" s="58" t="e">
        <f>Links!C138+'On-Ramps'!AC138</f>
        <v>#DIV/0!</v>
      </c>
      <c r="Q138" s="58" t="e">
        <f>Links!D138</f>
        <v>#DIV/0!</v>
      </c>
      <c r="R138" s="58" t="e">
        <f>Links!E138+'On-Ramps'!AD138</f>
        <v>#DIV/0!</v>
      </c>
      <c r="S138" s="58" t="e">
        <f>Links!F138+'On-Ramps'!AE138</f>
        <v>#DIV/0!</v>
      </c>
      <c r="T138" s="58" t="e">
        <f>Links!I138+'On-Ramps'!AF138</f>
        <v>#DIV/0!</v>
      </c>
      <c r="U138" s="58" t="e">
        <f>Links!J138+'On-Ramps'!AG138</f>
        <v>#DIV/0!</v>
      </c>
      <c r="V138" s="58" t="e">
        <f>Links!L138+'On-Ramps'!AH138</f>
        <v>#DIV/0!</v>
      </c>
      <c r="W138" s="58" t="e">
        <f>Links!M138+'On-Ramps'!AI138</f>
        <v>#DIV/0!</v>
      </c>
      <c r="X138" s="58" t="e">
        <f>Links!P138+'On-Ramps'!AJ138</f>
        <v>#DIV/0!</v>
      </c>
      <c r="Y138" s="58" t="e">
        <f>Links!Q138</f>
        <v>#DIV/0!</v>
      </c>
      <c r="Z138" s="58" t="e">
        <f>Links!R138+'On-Ramps'!AK138</f>
        <v>#DIV/0!</v>
      </c>
      <c r="AA138" s="58" t="e">
        <f>Links!S138</f>
        <v>#DIV/0!</v>
      </c>
      <c r="AB138" s="57" t="e">
        <f t="shared" si="70"/>
        <v>#VALUE!</v>
      </c>
      <c r="AC138" s="63"/>
      <c r="AD138" s="57" t="e">
        <f t="shared" si="71"/>
        <v>#DIV/0!</v>
      </c>
      <c r="AE138" s="63"/>
      <c r="AF138" s="57" t="e">
        <f t="shared" si="72"/>
        <v>#DIV/0!</v>
      </c>
      <c r="AG138" s="57" t="e">
        <f t="shared" si="73"/>
        <v>#DIV/0!</v>
      </c>
      <c r="AH138" s="57" t="e">
        <f t="shared" si="74"/>
        <v>#DIV/0!</v>
      </c>
      <c r="AI138" s="57" t="e">
        <f t="shared" si="75"/>
        <v>#DIV/0!</v>
      </c>
      <c r="AJ138" s="57" t="e">
        <f t="shared" si="76"/>
        <v>#DIV/0!</v>
      </c>
      <c r="AK138" s="57" t="e">
        <f t="shared" si="77"/>
        <v>#DIV/0!</v>
      </c>
      <c r="AL138" s="57" t="e">
        <f t="shared" si="78"/>
        <v>#DIV/0!</v>
      </c>
      <c r="AM138" s="63"/>
      <c r="AN138" s="57" t="e">
        <f t="shared" si="53"/>
        <v>#DIV/0!</v>
      </c>
      <c r="AO138" s="58" t="e">
        <f t="shared" si="56"/>
        <v>#VALUE!</v>
      </c>
      <c r="AP138" s="63"/>
      <c r="AQ138" s="58" t="e">
        <f t="shared" si="55"/>
        <v>#DIV/0!</v>
      </c>
      <c r="AR138" s="63"/>
      <c r="AS138" s="58" t="e">
        <f t="shared" si="55"/>
        <v>#DIV/0!</v>
      </c>
      <c r="AT138" s="58" t="e">
        <f t="shared" si="55"/>
        <v>#DIV/0!</v>
      </c>
      <c r="AU138" s="58" t="e">
        <f t="shared" si="55"/>
        <v>#DIV/0!</v>
      </c>
      <c r="AV138" s="58" t="e">
        <f t="shared" si="55"/>
        <v>#DIV/0!</v>
      </c>
      <c r="AW138" s="58" t="e">
        <f t="shared" si="55"/>
        <v>#DIV/0!</v>
      </c>
      <c r="AX138" s="58" t="e">
        <f t="shared" si="55"/>
        <v>#DIV/0!</v>
      </c>
      <c r="AY138" s="58" t="e">
        <f t="shared" si="55"/>
        <v>#DIV/0!</v>
      </c>
      <c r="AZ138" s="63"/>
      <c r="BA138" s="58" t="e">
        <f t="shared" si="55"/>
        <v>#DIV/0!</v>
      </c>
      <c r="BB138" s="63"/>
      <c r="BC138" s="57" t="e">
        <f>(Links!C138*Links!AQ138+'On-Ramps'!AC138*'On-Ramps'!CE138)/('On-Ramps'!AC138+Links!C138)</f>
        <v>#DIV/0!</v>
      </c>
      <c r="BD138" s="63"/>
      <c r="BE138" s="57" t="e">
        <f>(Links!E138*Links!AS138+'On-Ramps'!AD138*'On-Ramps'!CF137)/('On-Ramps'!AD138+Links!E138)</f>
        <v>#DIV/0!</v>
      </c>
      <c r="BF138" s="57" t="e">
        <f>(Links!F138*Links!AT138+'On-Ramps'!AE138*'On-Ramps'!CG138)/('On-Ramps'!AE138+Links!F138)</f>
        <v>#DIV/0!</v>
      </c>
      <c r="BG138" s="57" t="e">
        <f>(Links!I138*Links!AW138+'On-Ramps'!AF138*'On-Ramps'!CH138)/('On-Ramps'!AF138+Links!I138)</f>
        <v>#DIV/0!</v>
      </c>
      <c r="BH138" s="57" t="e">
        <f>(#REF!*#REF!+'On-Ramps'!AG138*'On-Ramps'!CI138)/('On-Ramps'!AG138+#REF!)</f>
        <v>#REF!</v>
      </c>
      <c r="BI138" s="57" t="e">
        <f>(Links!L138*Links!AZ138+'On-Ramps'!AH138*'On-Ramps'!CJ138)/('On-Ramps'!AH138+Links!L138)</f>
        <v>#DIV/0!</v>
      </c>
      <c r="BJ138" s="57" t="e">
        <f>(Links!BA138*Links!M138+'On-Ramps'!AI138*'On-Ramps'!CK138)/('On-Ramps'!AI138+Links!M138)</f>
        <v>#DIV/0!</v>
      </c>
      <c r="BK138" s="57" t="e">
        <f>(Links!S138*Links!BG138+'On-Ramps'!AJ138*'On-Ramps'!CL138)/('On-Ramps'!AJ138+Links!S138)</f>
        <v>#DIV/0!</v>
      </c>
      <c r="BL138" s="63"/>
      <c r="BM138" s="57" t="e">
        <f>(Links!S138*Links!BG138+'On-Ramps'!AL138*'On-Ramps'!CM138)/(Links!S138+'On-Ramps'!AL138)</f>
        <v>#DIV/0!</v>
      </c>
      <c r="BN138" s="63"/>
      <c r="BO138" s="58" t="e">
        <f>(Links!W138^2+'Off-Ramp'!L138^2)/(Links!W138+'Off-Ramp'!L138)</f>
        <v>#DIV/0!</v>
      </c>
      <c r="BP138" s="63"/>
      <c r="BQ138" s="58" t="e">
        <f>(Links!Y138^2+'Off-Ramp'!C138^2)/(Links!Y138+'Off-Ramp'!C138)</f>
        <v>#DIV/0!</v>
      </c>
      <c r="BR138" s="63"/>
      <c r="BS138" s="58" t="e">
        <f>(Links!AA138^2+'Off-Ramp'!N138^2)/(Links!AA138+'Off-Ramp'!N138)</f>
        <v>#DIV/0!</v>
      </c>
      <c r="BT138" s="58" t="e">
        <f>(Links!AD138^2+'Off-Ramp'!O138^2)/(Links!AD138+'Off-Ramp'!O138)</f>
        <v>#DIV/0!</v>
      </c>
      <c r="BU138" s="58" t="e">
        <f>(Links!AE138^2+'Off-Ramp'!V138^2+'Off-Ramp'!W138^2+'Off-Ramp'!X138^2)/(Links!AE138+'Off-Ramp'!V138+'Off-Ramp'!W138+'Off-Ramp'!X138)</f>
        <v>#DIV/0!</v>
      </c>
      <c r="BV138" s="58" t="e">
        <f>(Links!AG138^2+'Off-Ramp'!Y138^2+'Off-Ramp'!Z138^2+'Off-Ramp'!AA138^2)/(Links!AG138+'Off-Ramp'!Y138+'Off-Ramp'!Z138+'Off-Ramp'!AA138)</f>
        <v>#DIV/0!</v>
      </c>
      <c r="BW138" s="58" t="e">
        <f>(Links!AH138^2+'Off-Ramp'!R138^2)/(Links!AH138+'Off-Ramp'!R138)</f>
        <v>#DIV/0!</v>
      </c>
      <c r="BX138" s="58" t="e">
        <f>(Links!AK138^2+'Off-Ramp'!S138^2)/(Links!AK138+'Off-Ramp'!S138)</f>
        <v>#DIV/0!</v>
      </c>
      <c r="BY138" s="58" t="e">
        <f>(Links!AL138^2+'Off-Ramp'!T138^2)/(Links!AL138+'Off-Ramp'!T138)</f>
        <v>#DIV/0!</v>
      </c>
      <c r="BZ138" s="63"/>
      <c r="CA138" s="58" t="e">
        <f>(Links!AN138^2+'Off-Ramp'!U138^2)/(Links!AN138+'Off-Ramp'!U138)</f>
        <v>#DIV/0!</v>
      </c>
    </row>
    <row r="139" spans="1:79" x14ac:dyDescent="0.15">
      <c r="A139" s="56">
        <v>137</v>
      </c>
      <c r="B139" s="57" t="e">
        <f t="shared" si="57"/>
        <v>#DIV/0!</v>
      </c>
      <c r="C139" s="57" t="e">
        <f t="shared" si="58"/>
        <v>#DIV/0!</v>
      </c>
      <c r="D139" s="57" t="e">
        <f t="shared" si="59"/>
        <v>#DIV/0!</v>
      </c>
      <c r="E139" s="57" t="e">
        <f t="shared" si="60"/>
        <v>#DIV/0!</v>
      </c>
      <c r="F139" s="57" t="e">
        <f t="shared" si="61"/>
        <v>#DIV/0!</v>
      </c>
      <c r="G139" s="57" t="e">
        <f t="shared" si="62"/>
        <v>#DIV/0!</v>
      </c>
      <c r="H139" s="57" t="e">
        <f t="shared" si="63"/>
        <v>#DIV/0!</v>
      </c>
      <c r="I139" s="57" t="e">
        <f t="shared" si="64"/>
        <v>#DIV/0!</v>
      </c>
      <c r="J139" s="57" t="e">
        <f t="shared" si="65"/>
        <v>#DIV/0!</v>
      </c>
      <c r="K139" s="57" t="e">
        <f t="shared" si="66"/>
        <v>#DIV/0!</v>
      </c>
      <c r="L139" s="57" t="e">
        <f t="shared" si="67"/>
        <v>#DIV/0!</v>
      </c>
      <c r="M139" s="57" t="e">
        <f t="shared" si="68"/>
        <v>#DIV/0!</v>
      </c>
      <c r="N139" s="57" t="e">
        <f t="shared" si="69"/>
        <v>#DIV/0!</v>
      </c>
      <c r="O139" s="58" t="e">
        <f>Links!B139</f>
        <v>#DIV/0!</v>
      </c>
      <c r="P139" s="58" t="e">
        <f>Links!C139+'On-Ramps'!AC139</f>
        <v>#DIV/0!</v>
      </c>
      <c r="Q139" s="58" t="e">
        <f>Links!D139</f>
        <v>#DIV/0!</v>
      </c>
      <c r="R139" s="58" t="e">
        <f>Links!E139+'On-Ramps'!AD139</f>
        <v>#DIV/0!</v>
      </c>
      <c r="S139" s="58" t="e">
        <f>Links!F139+'On-Ramps'!AE139</f>
        <v>#DIV/0!</v>
      </c>
      <c r="T139" s="58" t="e">
        <f>Links!I139+'On-Ramps'!AF139</f>
        <v>#DIV/0!</v>
      </c>
      <c r="U139" s="58" t="e">
        <f>Links!J139+'On-Ramps'!AG139</f>
        <v>#DIV/0!</v>
      </c>
      <c r="V139" s="58" t="e">
        <f>Links!L139+'On-Ramps'!AH139</f>
        <v>#DIV/0!</v>
      </c>
      <c r="W139" s="58" t="e">
        <f>Links!M139+'On-Ramps'!AI139</f>
        <v>#DIV/0!</v>
      </c>
      <c r="X139" s="58" t="e">
        <f>Links!P139+'On-Ramps'!AJ139</f>
        <v>#DIV/0!</v>
      </c>
      <c r="Y139" s="58" t="e">
        <f>Links!Q139</f>
        <v>#DIV/0!</v>
      </c>
      <c r="Z139" s="58" t="e">
        <f>Links!R139+'On-Ramps'!AK139</f>
        <v>#DIV/0!</v>
      </c>
      <c r="AA139" s="58" t="e">
        <f>Links!S139</f>
        <v>#DIV/0!</v>
      </c>
      <c r="AB139" s="57" t="e">
        <f t="shared" si="70"/>
        <v>#VALUE!</v>
      </c>
      <c r="AC139" s="63"/>
      <c r="AD139" s="57" t="e">
        <f t="shared" si="71"/>
        <v>#DIV/0!</v>
      </c>
      <c r="AE139" s="63"/>
      <c r="AF139" s="57" t="e">
        <f t="shared" si="72"/>
        <v>#DIV/0!</v>
      </c>
      <c r="AG139" s="57" t="e">
        <f t="shared" si="73"/>
        <v>#DIV/0!</v>
      </c>
      <c r="AH139" s="57" t="e">
        <f t="shared" si="74"/>
        <v>#DIV/0!</v>
      </c>
      <c r="AI139" s="57" t="e">
        <f t="shared" si="75"/>
        <v>#DIV/0!</v>
      </c>
      <c r="AJ139" s="57" t="e">
        <f t="shared" si="76"/>
        <v>#DIV/0!</v>
      </c>
      <c r="AK139" s="57" t="e">
        <f t="shared" si="77"/>
        <v>#DIV/0!</v>
      </c>
      <c r="AL139" s="57" t="e">
        <f t="shared" si="78"/>
        <v>#DIV/0!</v>
      </c>
      <c r="AM139" s="63"/>
      <c r="AN139" s="57" t="e">
        <f t="shared" si="53"/>
        <v>#DIV/0!</v>
      </c>
      <c r="AO139" s="58" t="e">
        <f t="shared" si="56"/>
        <v>#VALUE!</v>
      </c>
      <c r="AP139" s="63"/>
      <c r="AQ139" s="58" t="e">
        <f t="shared" si="55"/>
        <v>#DIV/0!</v>
      </c>
      <c r="AR139" s="63"/>
      <c r="AS139" s="58" t="e">
        <f t="shared" si="55"/>
        <v>#DIV/0!</v>
      </c>
      <c r="AT139" s="58" t="e">
        <f t="shared" si="55"/>
        <v>#DIV/0!</v>
      </c>
      <c r="AU139" s="58" t="e">
        <f t="shared" si="55"/>
        <v>#DIV/0!</v>
      </c>
      <c r="AV139" s="58" t="e">
        <f t="shared" si="55"/>
        <v>#DIV/0!</v>
      </c>
      <c r="AW139" s="58" t="e">
        <f t="shared" si="55"/>
        <v>#DIV/0!</v>
      </c>
      <c r="AX139" s="58" t="e">
        <f t="shared" si="55"/>
        <v>#DIV/0!</v>
      </c>
      <c r="AY139" s="58" t="e">
        <f t="shared" si="55"/>
        <v>#DIV/0!</v>
      </c>
      <c r="AZ139" s="63"/>
      <c r="BA139" s="58" t="e">
        <f t="shared" si="55"/>
        <v>#DIV/0!</v>
      </c>
      <c r="BB139" s="63"/>
      <c r="BC139" s="57" t="e">
        <f>(Links!C139*Links!AQ139+'On-Ramps'!AC139*'On-Ramps'!CE139)/('On-Ramps'!AC139+Links!C139)</f>
        <v>#DIV/0!</v>
      </c>
      <c r="BD139" s="63"/>
      <c r="BE139" s="57" t="e">
        <f>(Links!E139*Links!AS139+'On-Ramps'!AD139*'On-Ramps'!CF138)/('On-Ramps'!AD139+Links!E139)</f>
        <v>#DIV/0!</v>
      </c>
      <c r="BF139" s="57" t="e">
        <f>(Links!F139*Links!AT139+'On-Ramps'!AE139*'On-Ramps'!CG139)/('On-Ramps'!AE139+Links!F139)</f>
        <v>#DIV/0!</v>
      </c>
      <c r="BG139" s="57" t="e">
        <f>(Links!I139*Links!AW139+'On-Ramps'!AF139*'On-Ramps'!CH139)/('On-Ramps'!AF139+Links!I139)</f>
        <v>#DIV/0!</v>
      </c>
      <c r="BH139" s="57" t="e">
        <f>(#REF!*#REF!+'On-Ramps'!AG139*'On-Ramps'!CI139)/('On-Ramps'!AG139+#REF!)</f>
        <v>#REF!</v>
      </c>
      <c r="BI139" s="57" t="e">
        <f>(Links!L139*Links!AZ139+'On-Ramps'!AH139*'On-Ramps'!CJ139)/('On-Ramps'!AH139+Links!L139)</f>
        <v>#DIV/0!</v>
      </c>
      <c r="BJ139" s="57" t="e">
        <f>(Links!BA139*Links!M139+'On-Ramps'!AI139*'On-Ramps'!CK139)/('On-Ramps'!AI139+Links!M139)</f>
        <v>#DIV/0!</v>
      </c>
      <c r="BK139" s="57" t="e">
        <f>(Links!S139*Links!BG139+'On-Ramps'!AJ139*'On-Ramps'!CL139)/('On-Ramps'!AJ139+Links!S139)</f>
        <v>#DIV/0!</v>
      </c>
      <c r="BL139" s="63"/>
      <c r="BM139" s="57" t="e">
        <f>(Links!S139*Links!BG139+'On-Ramps'!AL139*'On-Ramps'!CM139)/(Links!S139+'On-Ramps'!AL139)</f>
        <v>#DIV/0!</v>
      </c>
      <c r="BN139" s="63"/>
      <c r="BO139" s="58" t="e">
        <f>(Links!W139^2+'Off-Ramp'!L139^2)/(Links!W139+'Off-Ramp'!L139)</f>
        <v>#DIV/0!</v>
      </c>
      <c r="BP139" s="63"/>
      <c r="BQ139" s="58" t="e">
        <f>(Links!Y139^2+'Off-Ramp'!C139^2)/(Links!Y139+'Off-Ramp'!C139)</f>
        <v>#DIV/0!</v>
      </c>
      <c r="BR139" s="63"/>
      <c r="BS139" s="58" t="e">
        <f>(Links!AA139^2+'Off-Ramp'!N139^2)/(Links!AA139+'Off-Ramp'!N139)</f>
        <v>#DIV/0!</v>
      </c>
      <c r="BT139" s="58" t="e">
        <f>(Links!AD139^2+'Off-Ramp'!O139^2)/(Links!AD139+'Off-Ramp'!O139)</f>
        <v>#DIV/0!</v>
      </c>
      <c r="BU139" s="58" t="e">
        <f>(Links!AE139^2+'Off-Ramp'!V139^2+'Off-Ramp'!W139^2+'Off-Ramp'!X139^2)/(Links!AE139+'Off-Ramp'!V139+'Off-Ramp'!W139+'Off-Ramp'!X139)</f>
        <v>#DIV/0!</v>
      </c>
      <c r="BV139" s="58" t="e">
        <f>(Links!AG139^2+'Off-Ramp'!Y139^2+'Off-Ramp'!Z139^2+'Off-Ramp'!AA139^2)/(Links!AG139+'Off-Ramp'!Y139+'Off-Ramp'!Z139+'Off-Ramp'!AA139)</f>
        <v>#DIV/0!</v>
      </c>
      <c r="BW139" s="58" t="e">
        <f>(Links!AH139^2+'Off-Ramp'!R139^2)/(Links!AH139+'Off-Ramp'!R139)</f>
        <v>#DIV/0!</v>
      </c>
      <c r="BX139" s="58" t="e">
        <f>(Links!AK139^2+'Off-Ramp'!S139^2)/(Links!AK139+'Off-Ramp'!S139)</f>
        <v>#DIV/0!</v>
      </c>
      <c r="BY139" s="58" t="e">
        <f>(Links!AL139^2+'Off-Ramp'!T139^2)/(Links!AL139+'Off-Ramp'!T139)</f>
        <v>#DIV/0!</v>
      </c>
      <c r="BZ139" s="63"/>
      <c r="CA139" s="58" t="e">
        <f>(Links!AN139^2+'Off-Ramp'!U139^2)/(Links!AN139+'Off-Ramp'!U139)</f>
        <v>#DIV/0!</v>
      </c>
    </row>
    <row r="140" spans="1:79" x14ac:dyDescent="0.15">
      <c r="A140" s="56">
        <v>138</v>
      </c>
      <c r="B140" s="57" t="e">
        <f t="shared" si="57"/>
        <v>#DIV/0!</v>
      </c>
      <c r="C140" s="57" t="e">
        <f t="shared" si="58"/>
        <v>#DIV/0!</v>
      </c>
      <c r="D140" s="57" t="e">
        <f t="shared" si="59"/>
        <v>#DIV/0!</v>
      </c>
      <c r="E140" s="57" t="e">
        <f t="shared" si="60"/>
        <v>#DIV/0!</v>
      </c>
      <c r="F140" s="57" t="e">
        <f t="shared" si="61"/>
        <v>#DIV/0!</v>
      </c>
      <c r="G140" s="57" t="e">
        <f t="shared" si="62"/>
        <v>#DIV/0!</v>
      </c>
      <c r="H140" s="57" t="e">
        <f t="shared" si="63"/>
        <v>#DIV/0!</v>
      </c>
      <c r="I140" s="57" t="e">
        <f t="shared" si="64"/>
        <v>#DIV/0!</v>
      </c>
      <c r="J140" s="57" t="e">
        <f t="shared" si="65"/>
        <v>#DIV/0!</v>
      </c>
      <c r="K140" s="57" t="e">
        <f t="shared" si="66"/>
        <v>#DIV/0!</v>
      </c>
      <c r="L140" s="57" t="e">
        <f t="shared" si="67"/>
        <v>#DIV/0!</v>
      </c>
      <c r="M140" s="57" t="e">
        <f t="shared" si="68"/>
        <v>#DIV/0!</v>
      </c>
      <c r="N140" s="57" t="e">
        <f t="shared" si="69"/>
        <v>#DIV/0!</v>
      </c>
      <c r="O140" s="58" t="e">
        <f>Links!B140</f>
        <v>#DIV/0!</v>
      </c>
      <c r="P140" s="58" t="e">
        <f>Links!C140+'On-Ramps'!AC140</f>
        <v>#DIV/0!</v>
      </c>
      <c r="Q140" s="58" t="e">
        <f>Links!D140</f>
        <v>#DIV/0!</v>
      </c>
      <c r="R140" s="58" t="e">
        <f>Links!E140+'On-Ramps'!AD140</f>
        <v>#DIV/0!</v>
      </c>
      <c r="S140" s="58" t="e">
        <f>Links!F140+'On-Ramps'!AE140</f>
        <v>#DIV/0!</v>
      </c>
      <c r="T140" s="58" t="e">
        <f>Links!I140+'On-Ramps'!AF140</f>
        <v>#DIV/0!</v>
      </c>
      <c r="U140" s="58" t="e">
        <f>Links!J140+'On-Ramps'!AG140</f>
        <v>#DIV/0!</v>
      </c>
      <c r="V140" s="58" t="e">
        <f>Links!L140+'On-Ramps'!AH140</f>
        <v>#DIV/0!</v>
      </c>
      <c r="W140" s="58" t="e">
        <f>Links!M140+'On-Ramps'!AI140</f>
        <v>#DIV/0!</v>
      </c>
      <c r="X140" s="58" t="e">
        <f>Links!P140+'On-Ramps'!AJ140</f>
        <v>#DIV/0!</v>
      </c>
      <c r="Y140" s="58" t="e">
        <f>Links!Q140</f>
        <v>#DIV/0!</v>
      </c>
      <c r="Z140" s="58" t="e">
        <f>Links!R140+'On-Ramps'!AK140</f>
        <v>#DIV/0!</v>
      </c>
      <c r="AA140" s="58" t="e">
        <f>Links!S140</f>
        <v>#DIV/0!</v>
      </c>
      <c r="AB140" s="57" t="e">
        <f t="shared" si="70"/>
        <v>#VALUE!</v>
      </c>
      <c r="AC140" s="63"/>
      <c r="AD140" s="57" t="e">
        <f t="shared" si="71"/>
        <v>#DIV/0!</v>
      </c>
      <c r="AE140" s="63"/>
      <c r="AF140" s="57" t="e">
        <f t="shared" si="72"/>
        <v>#DIV/0!</v>
      </c>
      <c r="AG140" s="57" t="e">
        <f t="shared" si="73"/>
        <v>#DIV/0!</v>
      </c>
      <c r="AH140" s="57" t="e">
        <f t="shared" si="74"/>
        <v>#DIV/0!</v>
      </c>
      <c r="AI140" s="57" t="e">
        <f t="shared" si="75"/>
        <v>#DIV/0!</v>
      </c>
      <c r="AJ140" s="57" t="e">
        <f t="shared" si="76"/>
        <v>#DIV/0!</v>
      </c>
      <c r="AK140" s="57" t="e">
        <f t="shared" si="77"/>
        <v>#DIV/0!</v>
      </c>
      <c r="AL140" s="57" t="e">
        <f t="shared" si="78"/>
        <v>#DIV/0!</v>
      </c>
      <c r="AM140" s="63"/>
      <c r="AN140" s="57" t="e">
        <f t="shared" si="53"/>
        <v>#DIV/0!</v>
      </c>
      <c r="AO140" s="58" t="e">
        <f t="shared" si="56"/>
        <v>#VALUE!</v>
      </c>
      <c r="AP140" s="63"/>
      <c r="AQ140" s="58" t="e">
        <f t="shared" si="55"/>
        <v>#DIV/0!</v>
      </c>
      <c r="AR140" s="63"/>
      <c r="AS140" s="58" t="e">
        <f t="shared" si="55"/>
        <v>#DIV/0!</v>
      </c>
      <c r="AT140" s="58" t="e">
        <f t="shared" si="55"/>
        <v>#DIV/0!</v>
      </c>
      <c r="AU140" s="58" t="e">
        <f t="shared" si="55"/>
        <v>#DIV/0!</v>
      </c>
      <c r="AV140" s="58" t="e">
        <f t="shared" si="55"/>
        <v>#DIV/0!</v>
      </c>
      <c r="AW140" s="58" t="e">
        <f t="shared" si="55"/>
        <v>#DIV/0!</v>
      </c>
      <c r="AX140" s="58" t="e">
        <f t="shared" si="55"/>
        <v>#DIV/0!</v>
      </c>
      <c r="AY140" s="58" t="e">
        <f t="shared" si="55"/>
        <v>#DIV/0!</v>
      </c>
      <c r="AZ140" s="63"/>
      <c r="BA140" s="58" t="e">
        <f t="shared" si="55"/>
        <v>#DIV/0!</v>
      </c>
      <c r="BB140" s="63"/>
      <c r="BC140" s="57" t="e">
        <f>(Links!C140*Links!AQ140+'On-Ramps'!AC140*'On-Ramps'!CE140)/('On-Ramps'!AC140+Links!C140)</f>
        <v>#DIV/0!</v>
      </c>
      <c r="BD140" s="63"/>
      <c r="BE140" s="57" t="e">
        <f>(Links!E140*Links!AS140+'On-Ramps'!AD140*'On-Ramps'!CF139)/('On-Ramps'!AD140+Links!E140)</f>
        <v>#DIV/0!</v>
      </c>
      <c r="BF140" s="57" t="e">
        <f>(Links!F140*Links!AT140+'On-Ramps'!AE140*'On-Ramps'!CG140)/('On-Ramps'!AE140+Links!F140)</f>
        <v>#DIV/0!</v>
      </c>
      <c r="BG140" s="57" t="e">
        <f>(Links!I140*Links!AW140+'On-Ramps'!AF140*'On-Ramps'!CH140)/('On-Ramps'!AF140+Links!I140)</f>
        <v>#DIV/0!</v>
      </c>
      <c r="BH140" s="57" t="e">
        <f>(#REF!*#REF!+'On-Ramps'!AG140*'On-Ramps'!CI140)/('On-Ramps'!AG140+#REF!)</f>
        <v>#REF!</v>
      </c>
      <c r="BI140" s="57" t="e">
        <f>(Links!L140*Links!AZ140+'On-Ramps'!AH140*'On-Ramps'!CJ140)/('On-Ramps'!AH140+Links!L140)</f>
        <v>#DIV/0!</v>
      </c>
      <c r="BJ140" s="57" t="e">
        <f>(Links!BA140*Links!M140+'On-Ramps'!AI140*'On-Ramps'!CK140)/('On-Ramps'!AI140+Links!M140)</f>
        <v>#DIV/0!</v>
      </c>
      <c r="BK140" s="57" t="e">
        <f>(Links!S140*Links!BG140+'On-Ramps'!AJ140*'On-Ramps'!CL140)/('On-Ramps'!AJ140+Links!S140)</f>
        <v>#DIV/0!</v>
      </c>
      <c r="BL140" s="63"/>
      <c r="BM140" s="57" t="e">
        <f>(Links!S140*Links!BG140+'On-Ramps'!AL140*'On-Ramps'!CM140)/(Links!S140+'On-Ramps'!AL140)</f>
        <v>#DIV/0!</v>
      </c>
      <c r="BN140" s="63"/>
      <c r="BO140" s="58" t="e">
        <f>(Links!W140^2+'Off-Ramp'!L140^2)/(Links!W140+'Off-Ramp'!L140)</f>
        <v>#DIV/0!</v>
      </c>
      <c r="BP140" s="63"/>
      <c r="BQ140" s="58" t="e">
        <f>(Links!Y140^2+'Off-Ramp'!C140^2)/(Links!Y140+'Off-Ramp'!C140)</f>
        <v>#DIV/0!</v>
      </c>
      <c r="BR140" s="63"/>
      <c r="BS140" s="58" t="e">
        <f>(Links!AA140^2+'Off-Ramp'!N140^2)/(Links!AA140+'Off-Ramp'!N140)</f>
        <v>#DIV/0!</v>
      </c>
      <c r="BT140" s="58" t="e">
        <f>(Links!AD140^2+'Off-Ramp'!O140^2)/(Links!AD140+'Off-Ramp'!O140)</f>
        <v>#DIV/0!</v>
      </c>
      <c r="BU140" s="58" t="e">
        <f>(Links!AE140^2+'Off-Ramp'!V140^2+'Off-Ramp'!W140^2+'Off-Ramp'!X140^2)/(Links!AE140+'Off-Ramp'!V140+'Off-Ramp'!W140+'Off-Ramp'!X140)</f>
        <v>#DIV/0!</v>
      </c>
      <c r="BV140" s="58" t="e">
        <f>(Links!AG140^2+'Off-Ramp'!Y140^2+'Off-Ramp'!Z140^2+'Off-Ramp'!AA140^2)/(Links!AG140+'Off-Ramp'!Y140+'Off-Ramp'!Z140+'Off-Ramp'!AA140)</f>
        <v>#DIV/0!</v>
      </c>
      <c r="BW140" s="58" t="e">
        <f>(Links!AH140^2+'Off-Ramp'!R140^2)/(Links!AH140+'Off-Ramp'!R140)</f>
        <v>#DIV/0!</v>
      </c>
      <c r="BX140" s="58" t="e">
        <f>(Links!AK140^2+'Off-Ramp'!S140^2)/(Links!AK140+'Off-Ramp'!S140)</f>
        <v>#DIV/0!</v>
      </c>
      <c r="BY140" s="58" t="e">
        <f>(Links!AL140^2+'Off-Ramp'!T140^2)/(Links!AL140+'Off-Ramp'!T140)</f>
        <v>#DIV/0!</v>
      </c>
      <c r="BZ140" s="63"/>
      <c r="CA140" s="58" t="e">
        <f>(Links!AN140^2+'Off-Ramp'!U140^2)/(Links!AN140+'Off-Ramp'!U140)</f>
        <v>#DIV/0!</v>
      </c>
    </row>
    <row r="141" spans="1:79" x14ac:dyDescent="0.15">
      <c r="A141" s="56">
        <v>139</v>
      </c>
      <c r="B141" s="57" t="e">
        <f t="shared" si="57"/>
        <v>#DIV/0!</v>
      </c>
      <c r="C141" s="57" t="e">
        <f t="shared" si="58"/>
        <v>#DIV/0!</v>
      </c>
      <c r="D141" s="57" t="e">
        <f t="shared" si="59"/>
        <v>#DIV/0!</v>
      </c>
      <c r="E141" s="57" t="e">
        <f t="shared" si="60"/>
        <v>#DIV/0!</v>
      </c>
      <c r="F141" s="57" t="e">
        <f t="shared" si="61"/>
        <v>#DIV/0!</v>
      </c>
      <c r="G141" s="57" t="e">
        <f t="shared" si="62"/>
        <v>#DIV/0!</v>
      </c>
      <c r="H141" s="57" t="e">
        <f t="shared" si="63"/>
        <v>#DIV/0!</v>
      </c>
      <c r="I141" s="57" t="e">
        <f t="shared" si="64"/>
        <v>#DIV/0!</v>
      </c>
      <c r="J141" s="57" t="e">
        <f t="shared" si="65"/>
        <v>#DIV/0!</v>
      </c>
      <c r="K141" s="57" t="e">
        <f t="shared" si="66"/>
        <v>#DIV/0!</v>
      </c>
      <c r="L141" s="57" t="e">
        <f t="shared" si="67"/>
        <v>#DIV/0!</v>
      </c>
      <c r="M141" s="57" t="e">
        <f t="shared" si="68"/>
        <v>#DIV/0!</v>
      </c>
      <c r="N141" s="57" t="e">
        <f t="shared" si="69"/>
        <v>#DIV/0!</v>
      </c>
      <c r="O141" s="58" t="e">
        <f>Links!B141</f>
        <v>#DIV/0!</v>
      </c>
      <c r="P141" s="58" t="e">
        <f>Links!C141+'On-Ramps'!AC141</f>
        <v>#DIV/0!</v>
      </c>
      <c r="Q141" s="58" t="e">
        <f>Links!D141</f>
        <v>#DIV/0!</v>
      </c>
      <c r="R141" s="58" t="e">
        <f>Links!E141+'On-Ramps'!AD141</f>
        <v>#DIV/0!</v>
      </c>
      <c r="S141" s="58" t="e">
        <f>Links!F141+'On-Ramps'!AE141</f>
        <v>#DIV/0!</v>
      </c>
      <c r="T141" s="58" t="e">
        <f>Links!I141+'On-Ramps'!AF141</f>
        <v>#DIV/0!</v>
      </c>
      <c r="U141" s="58" t="e">
        <f>Links!J141+'On-Ramps'!AG141</f>
        <v>#DIV/0!</v>
      </c>
      <c r="V141" s="58" t="e">
        <f>Links!L141+'On-Ramps'!AH141</f>
        <v>#DIV/0!</v>
      </c>
      <c r="W141" s="58" t="e">
        <f>Links!M141+'On-Ramps'!AI141</f>
        <v>#DIV/0!</v>
      </c>
      <c r="X141" s="58" t="e">
        <f>Links!P141+'On-Ramps'!AJ141</f>
        <v>#DIV/0!</v>
      </c>
      <c r="Y141" s="58" t="e">
        <f>Links!Q141</f>
        <v>#DIV/0!</v>
      </c>
      <c r="Z141" s="58" t="e">
        <f>Links!R141+'On-Ramps'!AK141</f>
        <v>#DIV/0!</v>
      </c>
      <c r="AA141" s="58" t="e">
        <f>Links!S141</f>
        <v>#DIV/0!</v>
      </c>
      <c r="AB141" s="57" t="e">
        <f t="shared" si="70"/>
        <v>#VALUE!</v>
      </c>
      <c r="AC141" s="63"/>
      <c r="AD141" s="57" t="e">
        <f t="shared" si="71"/>
        <v>#DIV/0!</v>
      </c>
      <c r="AE141" s="63"/>
      <c r="AF141" s="57" t="e">
        <f t="shared" si="72"/>
        <v>#DIV/0!</v>
      </c>
      <c r="AG141" s="57" t="e">
        <f t="shared" si="73"/>
        <v>#DIV/0!</v>
      </c>
      <c r="AH141" s="57" t="e">
        <f t="shared" si="74"/>
        <v>#DIV/0!</v>
      </c>
      <c r="AI141" s="57" t="e">
        <f t="shared" si="75"/>
        <v>#DIV/0!</v>
      </c>
      <c r="AJ141" s="57" t="e">
        <f t="shared" si="76"/>
        <v>#DIV/0!</v>
      </c>
      <c r="AK141" s="57" t="e">
        <f t="shared" si="77"/>
        <v>#DIV/0!</v>
      </c>
      <c r="AL141" s="57" t="e">
        <f t="shared" si="78"/>
        <v>#DIV/0!</v>
      </c>
      <c r="AM141" s="63"/>
      <c r="AN141" s="57" t="e">
        <f t="shared" si="53"/>
        <v>#DIV/0!</v>
      </c>
      <c r="AO141" s="58" t="e">
        <f t="shared" si="56"/>
        <v>#VALUE!</v>
      </c>
      <c r="AP141" s="63"/>
      <c r="AQ141" s="58" t="e">
        <f t="shared" si="55"/>
        <v>#DIV/0!</v>
      </c>
      <c r="AR141" s="63"/>
      <c r="AS141" s="58" t="e">
        <f t="shared" si="55"/>
        <v>#DIV/0!</v>
      </c>
      <c r="AT141" s="58" t="e">
        <f t="shared" si="55"/>
        <v>#DIV/0!</v>
      </c>
      <c r="AU141" s="58" t="e">
        <f t="shared" si="55"/>
        <v>#DIV/0!</v>
      </c>
      <c r="AV141" s="58" t="e">
        <f t="shared" si="55"/>
        <v>#DIV/0!</v>
      </c>
      <c r="AW141" s="58" t="e">
        <f t="shared" ref="AQ141:BA162" si="79">AW$3</f>
        <v>#DIV/0!</v>
      </c>
      <c r="AX141" s="58" t="e">
        <f t="shared" si="79"/>
        <v>#DIV/0!</v>
      </c>
      <c r="AY141" s="58" t="e">
        <f t="shared" si="79"/>
        <v>#DIV/0!</v>
      </c>
      <c r="AZ141" s="63"/>
      <c r="BA141" s="58" t="e">
        <f t="shared" si="79"/>
        <v>#DIV/0!</v>
      </c>
      <c r="BB141" s="63"/>
      <c r="BC141" s="57" t="e">
        <f>(Links!C141*Links!AQ141+'On-Ramps'!AC141*'On-Ramps'!CE141)/('On-Ramps'!AC141+Links!C141)</f>
        <v>#DIV/0!</v>
      </c>
      <c r="BD141" s="63"/>
      <c r="BE141" s="57" t="e">
        <f>(Links!E141*Links!AS141+'On-Ramps'!AD141*'On-Ramps'!CF140)/('On-Ramps'!AD141+Links!E141)</f>
        <v>#DIV/0!</v>
      </c>
      <c r="BF141" s="57" t="e">
        <f>(Links!F141*Links!AT141+'On-Ramps'!AE141*'On-Ramps'!CG141)/('On-Ramps'!AE141+Links!F141)</f>
        <v>#DIV/0!</v>
      </c>
      <c r="BG141" s="57" t="e">
        <f>(Links!I141*Links!AW141+'On-Ramps'!AF141*'On-Ramps'!CH141)/('On-Ramps'!AF141+Links!I141)</f>
        <v>#DIV/0!</v>
      </c>
      <c r="BH141" s="57" t="e">
        <f>(#REF!*#REF!+'On-Ramps'!AG141*'On-Ramps'!CI141)/('On-Ramps'!AG141+#REF!)</f>
        <v>#REF!</v>
      </c>
      <c r="BI141" s="57" t="e">
        <f>(Links!L141*Links!AZ141+'On-Ramps'!AH141*'On-Ramps'!CJ141)/('On-Ramps'!AH141+Links!L141)</f>
        <v>#DIV/0!</v>
      </c>
      <c r="BJ141" s="57" t="e">
        <f>(Links!BA141*Links!M141+'On-Ramps'!AI141*'On-Ramps'!CK141)/('On-Ramps'!AI141+Links!M141)</f>
        <v>#DIV/0!</v>
      </c>
      <c r="BK141" s="57" t="e">
        <f>(Links!S141*Links!BG141+'On-Ramps'!AJ141*'On-Ramps'!CL141)/('On-Ramps'!AJ141+Links!S141)</f>
        <v>#DIV/0!</v>
      </c>
      <c r="BL141" s="63"/>
      <c r="BM141" s="57" t="e">
        <f>(Links!S141*Links!BG141+'On-Ramps'!AL141*'On-Ramps'!CM141)/(Links!S141+'On-Ramps'!AL141)</f>
        <v>#DIV/0!</v>
      </c>
      <c r="BN141" s="63"/>
      <c r="BO141" s="58" t="e">
        <f>(Links!W141^2+'Off-Ramp'!L141^2)/(Links!W141+'Off-Ramp'!L141)</f>
        <v>#DIV/0!</v>
      </c>
      <c r="BP141" s="63"/>
      <c r="BQ141" s="58" t="e">
        <f>(Links!Y141^2+'Off-Ramp'!C141^2)/(Links!Y141+'Off-Ramp'!C141)</f>
        <v>#DIV/0!</v>
      </c>
      <c r="BR141" s="63"/>
      <c r="BS141" s="58" t="e">
        <f>(Links!AA141^2+'Off-Ramp'!N141^2)/(Links!AA141+'Off-Ramp'!N141)</f>
        <v>#DIV/0!</v>
      </c>
      <c r="BT141" s="58" t="e">
        <f>(Links!AD141^2+'Off-Ramp'!O141^2)/(Links!AD141+'Off-Ramp'!O141)</f>
        <v>#DIV/0!</v>
      </c>
      <c r="BU141" s="58" t="e">
        <f>(Links!AE141^2+'Off-Ramp'!V141^2+'Off-Ramp'!W141^2+'Off-Ramp'!X141^2)/(Links!AE141+'Off-Ramp'!V141+'Off-Ramp'!W141+'Off-Ramp'!X141)</f>
        <v>#DIV/0!</v>
      </c>
      <c r="BV141" s="58" t="e">
        <f>(Links!AG141^2+'Off-Ramp'!Y141^2+'Off-Ramp'!Z141^2+'Off-Ramp'!AA141^2)/(Links!AG141+'Off-Ramp'!Y141+'Off-Ramp'!Z141+'Off-Ramp'!AA141)</f>
        <v>#DIV/0!</v>
      </c>
      <c r="BW141" s="58" t="e">
        <f>(Links!AH141^2+'Off-Ramp'!R141^2)/(Links!AH141+'Off-Ramp'!R141)</f>
        <v>#DIV/0!</v>
      </c>
      <c r="BX141" s="58" t="e">
        <f>(Links!AK141^2+'Off-Ramp'!S141^2)/(Links!AK141+'Off-Ramp'!S141)</f>
        <v>#DIV/0!</v>
      </c>
      <c r="BY141" s="58" t="e">
        <f>(Links!AL141^2+'Off-Ramp'!T141^2)/(Links!AL141+'Off-Ramp'!T141)</f>
        <v>#DIV/0!</v>
      </c>
      <c r="BZ141" s="63"/>
      <c r="CA141" s="58" t="e">
        <f>(Links!AN141^2+'Off-Ramp'!U141^2)/(Links!AN141+'Off-Ramp'!U141)</f>
        <v>#DIV/0!</v>
      </c>
    </row>
    <row r="142" spans="1:79" x14ac:dyDescent="0.15">
      <c r="A142" s="56">
        <v>140</v>
      </c>
      <c r="B142" s="57" t="e">
        <f t="shared" si="57"/>
        <v>#DIV/0!</v>
      </c>
      <c r="C142" s="57" t="e">
        <f t="shared" si="58"/>
        <v>#DIV/0!</v>
      </c>
      <c r="D142" s="57" t="e">
        <f t="shared" si="59"/>
        <v>#DIV/0!</v>
      </c>
      <c r="E142" s="57" t="e">
        <f t="shared" si="60"/>
        <v>#DIV/0!</v>
      </c>
      <c r="F142" s="57" t="e">
        <f t="shared" si="61"/>
        <v>#DIV/0!</v>
      </c>
      <c r="G142" s="57" t="e">
        <f t="shared" si="62"/>
        <v>#DIV/0!</v>
      </c>
      <c r="H142" s="57" t="e">
        <f t="shared" si="63"/>
        <v>#DIV/0!</v>
      </c>
      <c r="I142" s="57" t="e">
        <f t="shared" si="64"/>
        <v>#DIV/0!</v>
      </c>
      <c r="J142" s="57" t="e">
        <f t="shared" si="65"/>
        <v>#DIV/0!</v>
      </c>
      <c r="K142" s="57" t="e">
        <f t="shared" si="66"/>
        <v>#DIV/0!</v>
      </c>
      <c r="L142" s="57" t="e">
        <f t="shared" si="67"/>
        <v>#DIV/0!</v>
      </c>
      <c r="M142" s="57" t="e">
        <f t="shared" si="68"/>
        <v>#DIV/0!</v>
      </c>
      <c r="N142" s="57" t="e">
        <f t="shared" si="69"/>
        <v>#DIV/0!</v>
      </c>
      <c r="O142" s="58" t="e">
        <f>Links!B142</f>
        <v>#DIV/0!</v>
      </c>
      <c r="P142" s="58" t="e">
        <f>Links!C142+'On-Ramps'!AC142</f>
        <v>#DIV/0!</v>
      </c>
      <c r="Q142" s="58" t="e">
        <f>Links!D142</f>
        <v>#DIV/0!</v>
      </c>
      <c r="R142" s="58" t="e">
        <f>Links!E142+'On-Ramps'!AD142</f>
        <v>#DIV/0!</v>
      </c>
      <c r="S142" s="58" t="e">
        <f>Links!F142+'On-Ramps'!AE142</f>
        <v>#DIV/0!</v>
      </c>
      <c r="T142" s="58" t="e">
        <f>Links!I142+'On-Ramps'!AF142</f>
        <v>#DIV/0!</v>
      </c>
      <c r="U142" s="58" t="e">
        <f>Links!J142+'On-Ramps'!AG142</f>
        <v>#DIV/0!</v>
      </c>
      <c r="V142" s="58" t="e">
        <f>Links!L142+'On-Ramps'!AH142</f>
        <v>#DIV/0!</v>
      </c>
      <c r="W142" s="58" t="e">
        <f>Links!M142+'On-Ramps'!AI142</f>
        <v>#DIV/0!</v>
      </c>
      <c r="X142" s="58" t="e">
        <f>Links!P142+'On-Ramps'!AJ142</f>
        <v>#DIV/0!</v>
      </c>
      <c r="Y142" s="58" t="e">
        <f>Links!Q142</f>
        <v>#DIV/0!</v>
      </c>
      <c r="Z142" s="58" t="e">
        <f>Links!R142+'On-Ramps'!AK142</f>
        <v>#DIV/0!</v>
      </c>
      <c r="AA142" s="58" t="e">
        <f>Links!S142</f>
        <v>#DIV/0!</v>
      </c>
      <c r="AB142" s="57" t="e">
        <f t="shared" si="70"/>
        <v>#VALUE!</v>
      </c>
      <c r="AC142" s="63"/>
      <c r="AD142" s="57" t="e">
        <f t="shared" si="71"/>
        <v>#DIV/0!</v>
      </c>
      <c r="AE142" s="63"/>
      <c r="AF142" s="57" t="e">
        <f t="shared" si="72"/>
        <v>#DIV/0!</v>
      </c>
      <c r="AG142" s="57" t="e">
        <f t="shared" si="73"/>
        <v>#DIV/0!</v>
      </c>
      <c r="AH142" s="57" t="e">
        <f t="shared" si="74"/>
        <v>#DIV/0!</v>
      </c>
      <c r="AI142" s="57" t="e">
        <f t="shared" si="75"/>
        <v>#DIV/0!</v>
      </c>
      <c r="AJ142" s="57" t="e">
        <f t="shared" si="76"/>
        <v>#DIV/0!</v>
      </c>
      <c r="AK142" s="57" t="e">
        <f t="shared" si="77"/>
        <v>#DIV/0!</v>
      </c>
      <c r="AL142" s="57" t="e">
        <f t="shared" si="78"/>
        <v>#DIV/0!</v>
      </c>
      <c r="AM142" s="63"/>
      <c r="AN142" s="57" t="e">
        <f t="shared" si="53"/>
        <v>#DIV/0!</v>
      </c>
      <c r="AO142" s="58" t="e">
        <f t="shared" si="56"/>
        <v>#VALUE!</v>
      </c>
      <c r="AP142" s="63"/>
      <c r="AQ142" s="58" t="e">
        <f t="shared" si="79"/>
        <v>#DIV/0!</v>
      </c>
      <c r="AR142" s="63"/>
      <c r="AS142" s="58" t="e">
        <f t="shared" si="79"/>
        <v>#DIV/0!</v>
      </c>
      <c r="AT142" s="58" t="e">
        <f t="shared" si="79"/>
        <v>#DIV/0!</v>
      </c>
      <c r="AU142" s="58" t="e">
        <f t="shared" si="79"/>
        <v>#DIV/0!</v>
      </c>
      <c r="AV142" s="58" t="e">
        <f t="shared" si="79"/>
        <v>#DIV/0!</v>
      </c>
      <c r="AW142" s="58" t="e">
        <f t="shared" si="79"/>
        <v>#DIV/0!</v>
      </c>
      <c r="AX142" s="58" t="e">
        <f t="shared" si="79"/>
        <v>#DIV/0!</v>
      </c>
      <c r="AY142" s="58" t="e">
        <f t="shared" si="79"/>
        <v>#DIV/0!</v>
      </c>
      <c r="AZ142" s="63"/>
      <c r="BA142" s="58" t="e">
        <f t="shared" si="79"/>
        <v>#DIV/0!</v>
      </c>
      <c r="BB142" s="63"/>
      <c r="BC142" s="57" t="e">
        <f>(Links!C142*Links!AQ142+'On-Ramps'!AC142*'On-Ramps'!CE142)/('On-Ramps'!AC142+Links!C142)</f>
        <v>#DIV/0!</v>
      </c>
      <c r="BD142" s="63"/>
      <c r="BE142" s="57" t="e">
        <f>(Links!E142*Links!AS142+'On-Ramps'!AD142*'On-Ramps'!CF141)/('On-Ramps'!AD142+Links!E142)</f>
        <v>#DIV/0!</v>
      </c>
      <c r="BF142" s="57" t="e">
        <f>(Links!F142*Links!AT142+'On-Ramps'!AE142*'On-Ramps'!CG142)/('On-Ramps'!AE142+Links!F142)</f>
        <v>#DIV/0!</v>
      </c>
      <c r="BG142" s="57" t="e">
        <f>(Links!I142*Links!AW142+'On-Ramps'!AF142*'On-Ramps'!CH142)/('On-Ramps'!AF142+Links!I142)</f>
        <v>#DIV/0!</v>
      </c>
      <c r="BH142" s="57" t="e">
        <f>(#REF!*#REF!+'On-Ramps'!AG142*'On-Ramps'!CI142)/('On-Ramps'!AG142+#REF!)</f>
        <v>#REF!</v>
      </c>
      <c r="BI142" s="57" t="e">
        <f>(Links!L142*Links!AZ142+'On-Ramps'!AH142*'On-Ramps'!CJ142)/('On-Ramps'!AH142+Links!L142)</f>
        <v>#DIV/0!</v>
      </c>
      <c r="BJ142" s="57" t="e">
        <f>(Links!BA142*Links!M142+'On-Ramps'!AI142*'On-Ramps'!CK142)/('On-Ramps'!AI142+Links!M142)</f>
        <v>#DIV/0!</v>
      </c>
      <c r="BK142" s="57" t="e">
        <f>(Links!S142*Links!BG142+'On-Ramps'!AJ142*'On-Ramps'!CL142)/('On-Ramps'!AJ142+Links!S142)</f>
        <v>#DIV/0!</v>
      </c>
      <c r="BL142" s="63"/>
      <c r="BM142" s="57" t="e">
        <f>(Links!S142*Links!BG142+'On-Ramps'!AL142*'On-Ramps'!CM142)/(Links!S142+'On-Ramps'!AL142)</f>
        <v>#DIV/0!</v>
      </c>
      <c r="BN142" s="63"/>
      <c r="BO142" s="58" t="e">
        <f>(Links!W142^2+'Off-Ramp'!L142^2)/(Links!W142+'Off-Ramp'!L142)</f>
        <v>#DIV/0!</v>
      </c>
      <c r="BP142" s="63"/>
      <c r="BQ142" s="58" t="e">
        <f>(Links!Y142^2+'Off-Ramp'!C142^2)/(Links!Y142+'Off-Ramp'!C142)</f>
        <v>#DIV/0!</v>
      </c>
      <c r="BR142" s="63"/>
      <c r="BS142" s="58" t="e">
        <f>(Links!AA142^2+'Off-Ramp'!N142^2)/(Links!AA142+'Off-Ramp'!N142)</f>
        <v>#DIV/0!</v>
      </c>
      <c r="BT142" s="58" t="e">
        <f>(Links!AD142^2+'Off-Ramp'!O142^2)/(Links!AD142+'Off-Ramp'!O142)</f>
        <v>#DIV/0!</v>
      </c>
      <c r="BU142" s="58" t="e">
        <f>(Links!AE142^2+'Off-Ramp'!V142^2+'Off-Ramp'!W142^2+'Off-Ramp'!X142^2)/(Links!AE142+'Off-Ramp'!V142+'Off-Ramp'!W142+'Off-Ramp'!X142)</f>
        <v>#DIV/0!</v>
      </c>
      <c r="BV142" s="58" t="e">
        <f>(Links!AG142^2+'Off-Ramp'!Y142^2+'Off-Ramp'!Z142^2+'Off-Ramp'!AA142^2)/(Links!AG142+'Off-Ramp'!Y142+'Off-Ramp'!Z142+'Off-Ramp'!AA142)</f>
        <v>#DIV/0!</v>
      </c>
      <c r="BW142" s="58" t="e">
        <f>(Links!AH142^2+'Off-Ramp'!R142^2)/(Links!AH142+'Off-Ramp'!R142)</f>
        <v>#DIV/0!</v>
      </c>
      <c r="BX142" s="58" t="e">
        <f>(Links!AK142^2+'Off-Ramp'!S142^2)/(Links!AK142+'Off-Ramp'!S142)</f>
        <v>#DIV/0!</v>
      </c>
      <c r="BY142" s="58" t="e">
        <f>(Links!AL142^2+'Off-Ramp'!T142^2)/(Links!AL142+'Off-Ramp'!T142)</f>
        <v>#DIV/0!</v>
      </c>
      <c r="BZ142" s="63"/>
      <c r="CA142" s="58" t="e">
        <f>(Links!AN142^2+'Off-Ramp'!U142^2)/(Links!AN142+'Off-Ramp'!U142)</f>
        <v>#DIV/0!</v>
      </c>
    </row>
    <row r="143" spans="1:79" x14ac:dyDescent="0.15">
      <c r="A143" s="56">
        <v>141</v>
      </c>
      <c r="B143" s="57" t="e">
        <f t="shared" si="57"/>
        <v>#DIV/0!</v>
      </c>
      <c r="C143" s="57" t="e">
        <f t="shared" si="58"/>
        <v>#DIV/0!</v>
      </c>
      <c r="D143" s="57" t="e">
        <f t="shared" si="59"/>
        <v>#DIV/0!</v>
      </c>
      <c r="E143" s="57" t="e">
        <f t="shared" si="60"/>
        <v>#DIV/0!</v>
      </c>
      <c r="F143" s="57" t="e">
        <f t="shared" si="61"/>
        <v>#DIV/0!</v>
      </c>
      <c r="G143" s="57" t="e">
        <f t="shared" si="62"/>
        <v>#DIV/0!</v>
      </c>
      <c r="H143" s="57" t="e">
        <f t="shared" si="63"/>
        <v>#DIV/0!</v>
      </c>
      <c r="I143" s="57" t="e">
        <f t="shared" si="64"/>
        <v>#DIV/0!</v>
      </c>
      <c r="J143" s="57" t="e">
        <f t="shared" si="65"/>
        <v>#DIV/0!</v>
      </c>
      <c r="K143" s="57" t="e">
        <f t="shared" si="66"/>
        <v>#DIV/0!</v>
      </c>
      <c r="L143" s="57" t="e">
        <f t="shared" si="67"/>
        <v>#DIV/0!</v>
      </c>
      <c r="M143" s="57" t="e">
        <f t="shared" si="68"/>
        <v>#DIV/0!</v>
      </c>
      <c r="N143" s="57" t="e">
        <f t="shared" si="69"/>
        <v>#DIV/0!</v>
      </c>
      <c r="O143" s="58" t="e">
        <f>Links!B143</f>
        <v>#DIV/0!</v>
      </c>
      <c r="P143" s="58" t="e">
        <f>Links!C143+'On-Ramps'!AC143</f>
        <v>#DIV/0!</v>
      </c>
      <c r="Q143" s="58" t="e">
        <f>Links!D143</f>
        <v>#DIV/0!</v>
      </c>
      <c r="R143" s="58" t="e">
        <f>Links!E143+'On-Ramps'!AD143</f>
        <v>#DIV/0!</v>
      </c>
      <c r="S143" s="58" t="e">
        <f>Links!F143+'On-Ramps'!AE143</f>
        <v>#DIV/0!</v>
      </c>
      <c r="T143" s="58" t="e">
        <f>Links!I143+'On-Ramps'!AF143</f>
        <v>#DIV/0!</v>
      </c>
      <c r="U143" s="58" t="e">
        <f>Links!J143+'On-Ramps'!AG143</f>
        <v>#DIV/0!</v>
      </c>
      <c r="V143" s="58" t="e">
        <f>Links!L143+'On-Ramps'!AH143</f>
        <v>#DIV/0!</v>
      </c>
      <c r="W143" s="58" t="e">
        <f>Links!M143+'On-Ramps'!AI143</f>
        <v>#DIV/0!</v>
      </c>
      <c r="X143" s="58" t="e">
        <f>Links!P143+'On-Ramps'!AJ143</f>
        <v>#DIV/0!</v>
      </c>
      <c r="Y143" s="58" t="e">
        <f>Links!Q143</f>
        <v>#DIV/0!</v>
      </c>
      <c r="Z143" s="58" t="e">
        <f>Links!R143+'On-Ramps'!AK143</f>
        <v>#DIV/0!</v>
      </c>
      <c r="AA143" s="58" t="e">
        <f>Links!S143</f>
        <v>#DIV/0!</v>
      </c>
      <c r="AB143" s="57" t="e">
        <f t="shared" si="70"/>
        <v>#VALUE!</v>
      </c>
      <c r="AC143" s="63"/>
      <c r="AD143" s="57" t="e">
        <f t="shared" si="71"/>
        <v>#DIV/0!</v>
      </c>
      <c r="AE143" s="63"/>
      <c r="AF143" s="57" t="e">
        <f t="shared" si="72"/>
        <v>#DIV/0!</v>
      </c>
      <c r="AG143" s="57" t="e">
        <f t="shared" si="73"/>
        <v>#DIV/0!</v>
      </c>
      <c r="AH143" s="57" t="e">
        <f t="shared" si="74"/>
        <v>#DIV/0!</v>
      </c>
      <c r="AI143" s="57" t="e">
        <f t="shared" si="75"/>
        <v>#DIV/0!</v>
      </c>
      <c r="AJ143" s="57" t="e">
        <f t="shared" si="76"/>
        <v>#DIV/0!</v>
      </c>
      <c r="AK143" s="57" t="e">
        <f t="shared" si="77"/>
        <v>#DIV/0!</v>
      </c>
      <c r="AL143" s="57" t="e">
        <f t="shared" si="78"/>
        <v>#DIV/0!</v>
      </c>
      <c r="AM143" s="63"/>
      <c r="AN143" s="57" t="e">
        <f t="shared" si="53"/>
        <v>#DIV/0!</v>
      </c>
      <c r="AO143" s="58" t="e">
        <f t="shared" si="56"/>
        <v>#VALUE!</v>
      </c>
      <c r="AP143" s="63"/>
      <c r="AQ143" s="58" t="e">
        <f t="shared" si="79"/>
        <v>#DIV/0!</v>
      </c>
      <c r="AR143" s="63"/>
      <c r="AS143" s="58" t="e">
        <f t="shared" si="79"/>
        <v>#DIV/0!</v>
      </c>
      <c r="AT143" s="58" t="e">
        <f t="shared" si="79"/>
        <v>#DIV/0!</v>
      </c>
      <c r="AU143" s="58" t="e">
        <f t="shared" si="79"/>
        <v>#DIV/0!</v>
      </c>
      <c r="AV143" s="58" t="e">
        <f t="shared" si="79"/>
        <v>#DIV/0!</v>
      </c>
      <c r="AW143" s="58" t="e">
        <f t="shared" si="79"/>
        <v>#DIV/0!</v>
      </c>
      <c r="AX143" s="58" t="e">
        <f t="shared" si="79"/>
        <v>#DIV/0!</v>
      </c>
      <c r="AY143" s="58" t="e">
        <f t="shared" si="79"/>
        <v>#DIV/0!</v>
      </c>
      <c r="AZ143" s="63"/>
      <c r="BA143" s="58" t="e">
        <f t="shared" si="79"/>
        <v>#DIV/0!</v>
      </c>
      <c r="BB143" s="63"/>
      <c r="BC143" s="57" t="e">
        <f>(Links!C143*Links!AQ143+'On-Ramps'!AC143*'On-Ramps'!CE143)/('On-Ramps'!AC143+Links!C143)</f>
        <v>#DIV/0!</v>
      </c>
      <c r="BD143" s="63"/>
      <c r="BE143" s="57" t="e">
        <f>(Links!E143*Links!AS143+'On-Ramps'!AD143*'On-Ramps'!CF142)/('On-Ramps'!AD143+Links!E143)</f>
        <v>#DIV/0!</v>
      </c>
      <c r="BF143" s="57" t="e">
        <f>(Links!F143*Links!AT143+'On-Ramps'!AE143*'On-Ramps'!CG143)/('On-Ramps'!AE143+Links!F143)</f>
        <v>#DIV/0!</v>
      </c>
      <c r="BG143" s="57" t="e">
        <f>(Links!I143*Links!AW143+'On-Ramps'!AF143*'On-Ramps'!CH143)/('On-Ramps'!AF143+Links!I143)</f>
        <v>#DIV/0!</v>
      </c>
      <c r="BH143" s="57" t="e">
        <f>(#REF!*#REF!+'On-Ramps'!AG143*'On-Ramps'!CI143)/('On-Ramps'!AG143+#REF!)</f>
        <v>#REF!</v>
      </c>
      <c r="BI143" s="57" t="e">
        <f>(Links!L143*Links!AZ143+'On-Ramps'!AH143*'On-Ramps'!CJ143)/('On-Ramps'!AH143+Links!L143)</f>
        <v>#DIV/0!</v>
      </c>
      <c r="BJ143" s="57" t="e">
        <f>(Links!BA143*Links!M143+'On-Ramps'!AI143*'On-Ramps'!CK143)/('On-Ramps'!AI143+Links!M143)</f>
        <v>#DIV/0!</v>
      </c>
      <c r="BK143" s="57" t="e">
        <f>(Links!S143*Links!BG143+'On-Ramps'!AJ143*'On-Ramps'!CL143)/('On-Ramps'!AJ143+Links!S143)</f>
        <v>#DIV/0!</v>
      </c>
      <c r="BL143" s="63"/>
      <c r="BM143" s="57" t="e">
        <f>(Links!S143*Links!BG143+'On-Ramps'!AL143*'On-Ramps'!CM143)/(Links!S143+'On-Ramps'!AL143)</f>
        <v>#DIV/0!</v>
      </c>
      <c r="BN143" s="63"/>
      <c r="BO143" s="58" t="e">
        <f>(Links!W143^2+'Off-Ramp'!L143^2)/(Links!W143+'Off-Ramp'!L143)</f>
        <v>#DIV/0!</v>
      </c>
      <c r="BP143" s="63"/>
      <c r="BQ143" s="58" t="e">
        <f>(Links!Y143^2+'Off-Ramp'!C143^2)/(Links!Y143+'Off-Ramp'!C143)</f>
        <v>#DIV/0!</v>
      </c>
      <c r="BR143" s="63"/>
      <c r="BS143" s="58" t="e">
        <f>(Links!AA143^2+'Off-Ramp'!N143^2)/(Links!AA143+'Off-Ramp'!N143)</f>
        <v>#DIV/0!</v>
      </c>
      <c r="BT143" s="58" t="e">
        <f>(Links!AD143^2+'Off-Ramp'!O143^2)/(Links!AD143+'Off-Ramp'!O143)</f>
        <v>#DIV/0!</v>
      </c>
      <c r="BU143" s="58" t="e">
        <f>(Links!AE143^2+'Off-Ramp'!V143^2+'Off-Ramp'!W143^2+'Off-Ramp'!X143^2)/(Links!AE143+'Off-Ramp'!V143+'Off-Ramp'!W143+'Off-Ramp'!X143)</f>
        <v>#DIV/0!</v>
      </c>
      <c r="BV143" s="58" t="e">
        <f>(Links!AG143^2+'Off-Ramp'!Y143^2+'Off-Ramp'!Z143^2+'Off-Ramp'!AA143^2)/(Links!AG143+'Off-Ramp'!Y143+'Off-Ramp'!Z143+'Off-Ramp'!AA143)</f>
        <v>#DIV/0!</v>
      </c>
      <c r="BW143" s="58" t="e">
        <f>(Links!AH143^2+'Off-Ramp'!R143^2)/(Links!AH143+'Off-Ramp'!R143)</f>
        <v>#DIV/0!</v>
      </c>
      <c r="BX143" s="58" t="e">
        <f>(Links!AK143^2+'Off-Ramp'!S143^2)/(Links!AK143+'Off-Ramp'!S143)</f>
        <v>#DIV/0!</v>
      </c>
      <c r="BY143" s="58" t="e">
        <f>(Links!AL143^2+'Off-Ramp'!T143^2)/(Links!AL143+'Off-Ramp'!T143)</f>
        <v>#DIV/0!</v>
      </c>
      <c r="BZ143" s="63"/>
      <c r="CA143" s="58" t="e">
        <f>(Links!AN143^2+'Off-Ramp'!U143^2)/(Links!AN143+'Off-Ramp'!U143)</f>
        <v>#DIV/0!</v>
      </c>
    </row>
    <row r="144" spans="1:79" x14ac:dyDescent="0.15">
      <c r="A144" s="56">
        <v>142</v>
      </c>
      <c r="B144" s="57" t="e">
        <f t="shared" si="57"/>
        <v>#DIV/0!</v>
      </c>
      <c r="C144" s="57" t="e">
        <f t="shared" si="58"/>
        <v>#DIV/0!</v>
      </c>
      <c r="D144" s="57" t="e">
        <f t="shared" si="59"/>
        <v>#DIV/0!</v>
      </c>
      <c r="E144" s="57" t="e">
        <f t="shared" si="60"/>
        <v>#DIV/0!</v>
      </c>
      <c r="F144" s="57" t="e">
        <f t="shared" si="61"/>
        <v>#DIV/0!</v>
      </c>
      <c r="G144" s="57" t="e">
        <f t="shared" si="62"/>
        <v>#DIV/0!</v>
      </c>
      <c r="H144" s="57" t="e">
        <f t="shared" si="63"/>
        <v>#DIV/0!</v>
      </c>
      <c r="I144" s="57" t="e">
        <f t="shared" si="64"/>
        <v>#DIV/0!</v>
      </c>
      <c r="J144" s="57" t="e">
        <f t="shared" si="65"/>
        <v>#DIV/0!</v>
      </c>
      <c r="K144" s="57" t="e">
        <f t="shared" si="66"/>
        <v>#DIV/0!</v>
      </c>
      <c r="L144" s="57" t="e">
        <f t="shared" si="67"/>
        <v>#DIV/0!</v>
      </c>
      <c r="M144" s="57" t="e">
        <f t="shared" si="68"/>
        <v>#DIV/0!</v>
      </c>
      <c r="N144" s="57" t="e">
        <f t="shared" si="69"/>
        <v>#DIV/0!</v>
      </c>
      <c r="O144" s="58" t="e">
        <f>Links!B144</f>
        <v>#DIV/0!</v>
      </c>
      <c r="P144" s="58" t="e">
        <f>Links!C144+'On-Ramps'!AC144</f>
        <v>#DIV/0!</v>
      </c>
      <c r="Q144" s="58" t="e">
        <f>Links!D144</f>
        <v>#DIV/0!</v>
      </c>
      <c r="R144" s="58" t="e">
        <f>Links!E144+'On-Ramps'!AD144</f>
        <v>#DIV/0!</v>
      </c>
      <c r="S144" s="58" t="e">
        <f>Links!F144+'On-Ramps'!AE144</f>
        <v>#DIV/0!</v>
      </c>
      <c r="T144" s="58" t="e">
        <f>Links!I144+'On-Ramps'!AF144</f>
        <v>#DIV/0!</v>
      </c>
      <c r="U144" s="58" t="e">
        <f>Links!J144+'On-Ramps'!AG144</f>
        <v>#DIV/0!</v>
      </c>
      <c r="V144" s="58" t="e">
        <f>Links!L144+'On-Ramps'!AH144</f>
        <v>#DIV/0!</v>
      </c>
      <c r="W144" s="58" t="e">
        <f>Links!M144+'On-Ramps'!AI144</f>
        <v>#DIV/0!</v>
      </c>
      <c r="X144" s="58" t="e">
        <f>Links!P144+'On-Ramps'!AJ144</f>
        <v>#DIV/0!</v>
      </c>
      <c r="Y144" s="58" t="e">
        <f>Links!Q144</f>
        <v>#DIV/0!</v>
      </c>
      <c r="Z144" s="58" t="e">
        <f>Links!R144+'On-Ramps'!AK144</f>
        <v>#DIV/0!</v>
      </c>
      <c r="AA144" s="58" t="e">
        <f>Links!S144</f>
        <v>#DIV/0!</v>
      </c>
      <c r="AB144" s="57" t="e">
        <f t="shared" si="70"/>
        <v>#VALUE!</v>
      </c>
      <c r="AC144" s="63"/>
      <c r="AD144" s="57" t="e">
        <f t="shared" si="71"/>
        <v>#DIV/0!</v>
      </c>
      <c r="AE144" s="63"/>
      <c r="AF144" s="57" t="e">
        <f t="shared" si="72"/>
        <v>#DIV/0!</v>
      </c>
      <c r="AG144" s="57" t="e">
        <f t="shared" si="73"/>
        <v>#DIV/0!</v>
      </c>
      <c r="AH144" s="57" t="e">
        <f t="shared" si="74"/>
        <v>#DIV/0!</v>
      </c>
      <c r="AI144" s="57" t="e">
        <f t="shared" si="75"/>
        <v>#DIV/0!</v>
      </c>
      <c r="AJ144" s="57" t="e">
        <f t="shared" si="76"/>
        <v>#DIV/0!</v>
      </c>
      <c r="AK144" s="57" t="e">
        <f t="shared" si="77"/>
        <v>#DIV/0!</v>
      </c>
      <c r="AL144" s="57" t="e">
        <f t="shared" si="78"/>
        <v>#DIV/0!</v>
      </c>
      <c r="AM144" s="63"/>
      <c r="AN144" s="57" t="e">
        <f t="shared" si="53"/>
        <v>#DIV/0!</v>
      </c>
      <c r="AO144" s="58" t="e">
        <f t="shared" si="56"/>
        <v>#VALUE!</v>
      </c>
      <c r="AP144" s="63"/>
      <c r="AQ144" s="58" t="e">
        <f t="shared" si="79"/>
        <v>#DIV/0!</v>
      </c>
      <c r="AR144" s="63"/>
      <c r="AS144" s="58" t="e">
        <f t="shared" si="79"/>
        <v>#DIV/0!</v>
      </c>
      <c r="AT144" s="58" t="e">
        <f t="shared" si="79"/>
        <v>#DIV/0!</v>
      </c>
      <c r="AU144" s="58" t="e">
        <f t="shared" si="79"/>
        <v>#DIV/0!</v>
      </c>
      <c r="AV144" s="58" t="e">
        <f t="shared" si="79"/>
        <v>#DIV/0!</v>
      </c>
      <c r="AW144" s="58" t="e">
        <f t="shared" si="79"/>
        <v>#DIV/0!</v>
      </c>
      <c r="AX144" s="58" t="e">
        <f t="shared" si="79"/>
        <v>#DIV/0!</v>
      </c>
      <c r="AY144" s="58" t="e">
        <f t="shared" si="79"/>
        <v>#DIV/0!</v>
      </c>
      <c r="AZ144" s="63"/>
      <c r="BA144" s="58" t="e">
        <f t="shared" si="79"/>
        <v>#DIV/0!</v>
      </c>
      <c r="BB144" s="63"/>
      <c r="BC144" s="57" t="e">
        <f>(Links!C144*Links!AQ144+'On-Ramps'!AC144*'On-Ramps'!CE144)/('On-Ramps'!AC144+Links!C144)</f>
        <v>#DIV/0!</v>
      </c>
      <c r="BD144" s="63"/>
      <c r="BE144" s="57" t="e">
        <f>(Links!E144*Links!AS144+'On-Ramps'!AD144*'On-Ramps'!CF143)/('On-Ramps'!AD144+Links!E144)</f>
        <v>#DIV/0!</v>
      </c>
      <c r="BF144" s="57" t="e">
        <f>(Links!F144*Links!AT144+'On-Ramps'!AE144*'On-Ramps'!CG144)/('On-Ramps'!AE144+Links!F144)</f>
        <v>#DIV/0!</v>
      </c>
      <c r="BG144" s="57" t="e">
        <f>(Links!I144*Links!AW144+'On-Ramps'!AF144*'On-Ramps'!CH144)/('On-Ramps'!AF144+Links!I144)</f>
        <v>#DIV/0!</v>
      </c>
      <c r="BH144" s="57" t="e">
        <f>(#REF!*#REF!+'On-Ramps'!AG144*'On-Ramps'!CI144)/('On-Ramps'!AG144+#REF!)</f>
        <v>#REF!</v>
      </c>
      <c r="BI144" s="57" t="e">
        <f>(Links!L144*Links!AZ144+'On-Ramps'!AH144*'On-Ramps'!CJ144)/('On-Ramps'!AH144+Links!L144)</f>
        <v>#DIV/0!</v>
      </c>
      <c r="BJ144" s="57" t="e">
        <f>(Links!BA144*Links!M144+'On-Ramps'!AI144*'On-Ramps'!CK144)/('On-Ramps'!AI144+Links!M144)</f>
        <v>#DIV/0!</v>
      </c>
      <c r="BK144" s="57" t="e">
        <f>(Links!S144*Links!BG144+'On-Ramps'!AJ144*'On-Ramps'!CL144)/('On-Ramps'!AJ144+Links!S144)</f>
        <v>#DIV/0!</v>
      </c>
      <c r="BL144" s="63"/>
      <c r="BM144" s="57" t="e">
        <f>(Links!S144*Links!BG144+'On-Ramps'!AL144*'On-Ramps'!CM144)/(Links!S144+'On-Ramps'!AL144)</f>
        <v>#DIV/0!</v>
      </c>
      <c r="BN144" s="63"/>
      <c r="BO144" s="58" t="e">
        <f>(Links!W144^2+'Off-Ramp'!L144^2)/(Links!W144+'Off-Ramp'!L144)</f>
        <v>#DIV/0!</v>
      </c>
      <c r="BP144" s="63"/>
      <c r="BQ144" s="58" t="e">
        <f>(Links!Y144^2+'Off-Ramp'!C144^2)/(Links!Y144+'Off-Ramp'!C144)</f>
        <v>#DIV/0!</v>
      </c>
      <c r="BR144" s="63"/>
      <c r="BS144" s="58" t="e">
        <f>(Links!AA144^2+'Off-Ramp'!N144^2)/(Links!AA144+'Off-Ramp'!N144)</f>
        <v>#DIV/0!</v>
      </c>
      <c r="BT144" s="58" t="e">
        <f>(Links!AD144^2+'Off-Ramp'!O144^2)/(Links!AD144+'Off-Ramp'!O144)</f>
        <v>#DIV/0!</v>
      </c>
      <c r="BU144" s="58" t="e">
        <f>(Links!AE144^2+'Off-Ramp'!V144^2+'Off-Ramp'!W144^2+'Off-Ramp'!X144^2)/(Links!AE144+'Off-Ramp'!V144+'Off-Ramp'!W144+'Off-Ramp'!X144)</f>
        <v>#DIV/0!</v>
      </c>
      <c r="BV144" s="58" t="e">
        <f>(Links!AG144^2+'Off-Ramp'!Y144^2+'Off-Ramp'!Z144^2+'Off-Ramp'!AA144^2)/(Links!AG144+'Off-Ramp'!Y144+'Off-Ramp'!Z144+'Off-Ramp'!AA144)</f>
        <v>#DIV/0!</v>
      </c>
      <c r="BW144" s="58" t="e">
        <f>(Links!AH144^2+'Off-Ramp'!R144^2)/(Links!AH144+'Off-Ramp'!R144)</f>
        <v>#DIV/0!</v>
      </c>
      <c r="BX144" s="58" t="e">
        <f>(Links!AK144^2+'Off-Ramp'!S144^2)/(Links!AK144+'Off-Ramp'!S144)</f>
        <v>#DIV/0!</v>
      </c>
      <c r="BY144" s="58" t="e">
        <f>(Links!AL144^2+'Off-Ramp'!T144^2)/(Links!AL144+'Off-Ramp'!T144)</f>
        <v>#DIV/0!</v>
      </c>
      <c r="BZ144" s="63"/>
      <c r="CA144" s="58" t="e">
        <f>(Links!AN144^2+'Off-Ramp'!U144^2)/(Links!AN144+'Off-Ramp'!U144)</f>
        <v>#DIV/0!</v>
      </c>
    </row>
    <row r="145" spans="1:79" x14ac:dyDescent="0.15">
      <c r="A145" s="56">
        <v>143</v>
      </c>
      <c r="B145" s="57" t="e">
        <f t="shared" si="57"/>
        <v>#DIV/0!</v>
      </c>
      <c r="C145" s="57" t="e">
        <f t="shared" si="58"/>
        <v>#DIV/0!</v>
      </c>
      <c r="D145" s="57" t="e">
        <f t="shared" si="59"/>
        <v>#DIV/0!</v>
      </c>
      <c r="E145" s="57" t="e">
        <f t="shared" si="60"/>
        <v>#DIV/0!</v>
      </c>
      <c r="F145" s="57" t="e">
        <f t="shared" si="61"/>
        <v>#DIV/0!</v>
      </c>
      <c r="G145" s="57" t="e">
        <f t="shared" si="62"/>
        <v>#DIV/0!</v>
      </c>
      <c r="H145" s="57" t="e">
        <f t="shared" si="63"/>
        <v>#DIV/0!</v>
      </c>
      <c r="I145" s="57" t="e">
        <f t="shared" si="64"/>
        <v>#DIV/0!</v>
      </c>
      <c r="J145" s="57" t="e">
        <f t="shared" si="65"/>
        <v>#DIV/0!</v>
      </c>
      <c r="K145" s="57" t="e">
        <f t="shared" si="66"/>
        <v>#DIV/0!</v>
      </c>
      <c r="L145" s="57" t="e">
        <f t="shared" si="67"/>
        <v>#DIV/0!</v>
      </c>
      <c r="M145" s="57" t="e">
        <f t="shared" si="68"/>
        <v>#DIV/0!</v>
      </c>
      <c r="N145" s="57" t="e">
        <f t="shared" si="69"/>
        <v>#DIV/0!</v>
      </c>
      <c r="O145" s="58" t="e">
        <f>Links!B145</f>
        <v>#DIV/0!</v>
      </c>
      <c r="P145" s="58" t="e">
        <f>Links!C145+'On-Ramps'!AC145</f>
        <v>#DIV/0!</v>
      </c>
      <c r="Q145" s="58" t="e">
        <f>Links!D145</f>
        <v>#DIV/0!</v>
      </c>
      <c r="R145" s="58" t="e">
        <f>Links!E145+'On-Ramps'!AD145</f>
        <v>#DIV/0!</v>
      </c>
      <c r="S145" s="58" t="e">
        <f>Links!F145+'On-Ramps'!AE145</f>
        <v>#DIV/0!</v>
      </c>
      <c r="T145" s="58" t="e">
        <f>Links!I145+'On-Ramps'!AF145</f>
        <v>#DIV/0!</v>
      </c>
      <c r="U145" s="58" t="e">
        <f>Links!J145+'On-Ramps'!AG145</f>
        <v>#DIV/0!</v>
      </c>
      <c r="V145" s="58" t="e">
        <f>Links!L145+'On-Ramps'!AH145</f>
        <v>#DIV/0!</v>
      </c>
      <c r="W145" s="58" t="e">
        <f>Links!M145+'On-Ramps'!AI145</f>
        <v>#DIV/0!</v>
      </c>
      <c r="X145" s="58" t="e">
        <f>Links!P145+'On-Ramps'!AJ145</f>
        <v>#DIV/0!</v>
      </c>
      <c r="Y145" s="58" t="e">
        <f>Links!Q145</f>
        <v>#DIV/0!</v>
      </c>
      <c r="Z145" s="58" t="e">
        <f>Links!R145+'On-Ramps'!AK145</f>
        <v>#DIV/0!</v>
      </c>
      <c r="AA145" s="58" t="e">
        <f>Links!S145</f>
        <v>#DIV/0!</v>
      </c>
      <c r="AB145" s="57" t="e">
        <f t="shared" si="70"/>
        <v>#VALUE!</v>
      </c>
      <c r="AC145" s="63"/>
      <c r="AD145" s="57" t="e">
        <f t="shared" si="71"/>
        <v>#DIV/0!</v>
      </c>
      <c r="AE145" s="63"/>
      <c r="AF145" s="57" t="e">
        <f t="shared" si="72"/>
        <v>#DIV/0!</v>
      </c>
      <c r="AG145" s="57" t="e">
        <f t="shared" si="73"/>
        <v>#DIV/0!</v>
      </c>
      <c r="AH145" s="57" t="e">
        <f t="shared" si="74"/>
        <v>#DIV/0!</v>
      </c>
      <c r="AI145" s="57" t="e">
        <f t="shared" si="75"/>
        <v>#DIV/0!</v>
      </c>
      <c r="AJ145" s="57" t="e">
        <f t="shared" si="76"/>
        <v>#DIV/0!</v>
      </c>
      <c r="AK145" s="57" t="e">
        <f t="shared" si="77"/>
        <v>#DIV/0!</v>
      </c>
      <c r="AL145" s="57" t="e">
        <f t="shared" si="78"/>
        <v>#DIV/0!</v>
      </c>
      <c r="AM145" s="63"/>
      <c r="AN145" s="57" t="e">
        <f t="shared" si="53"/>
        <v>#DIV/0!</v>
      </c>
      <c r="AO145" s="58" t="e">
        <f t="shared" si="56"/>
        <v>#VALUE!</v>
      </c>
      <c r="AP145" s="63"/>
      <c r="AQ145" s="58" t="e">
        <f t="shared" si="79"/>
        <v>#DIV/0!</v>
      </c>
      <c r="AR145" s="63"/>
      <c r="AS145" s="58" t="e">
        <f t="shared" si="79"/>
        <v>#DIV/0!</v>
      </c>
      <c r="AT145" s="58" t="e">
        <f t="shared" si="79"/>
        <v>#DIV/0!</v>
      </c>
      <c r="AU145" s="58" t="e">
        <f t="shared" si="79"/>
        <v>#DIV/0!</v>
      </c>
      <c r="AV145" s="58" t="e">
        <f t="shared" si="79"/>
        <v>#DIV/0!</v>
      </c>
      <c r="AW145" s="58" t="e">
        <f t="shared" si="79"/>
        <v>#DIV/0!</v>
      </c>
      <c r="AX145" s="58" t="e">
        <f t="shared" si="79"/>
        <v>#DIV/0!</v>
      </c>
      <c r="AY145" s="58" t="e">
        <f t="shared" si="79"/>
        <v>#DIV/0!</v>
      </c>
      <c r="AZ145" s="63"/>
      <c r="BA145" s="58" t="e">
        <f t="shared" si="79"/>
        <v>#DIV/0!</v>
      </c>
      <c r="BB145" s="63"/>
      <c r="BC145" s="57" t="e">
        <f>(Links!C145*Links!AQ145+'On-Ramps'!AC145*'On-Ramps'!CE145)/('On-Ramps'!AC145+Links!C145)</f>
        <v>#DIV/0!</v>
      </c>
      <c r="BD145" s="63"/>
      <c r="BE145" s="57" t="e">
        <f>(Links!E145*Links!AS145+'On-Ramps'!AD145*'On-Ramps'!CF144)/('On-Ramps'!AD145+Links!E145)</f>
        <v>#DIV/0!</v>
      </c>
      <c r="BF145" s="57" t="e">
        <f>(Links!F145*Links!AT145+'On-Ramps'!AE145*'On-Ramps'!CG145)/('On-Ramps'!AE145+Links!F145)</f>
        <v>#DIV/0!</v>
      </c>
      <c r="BG145" s="57" t="e">
        <f>(Links!I145*Links!AW145+'On-Ramps'!AF145*'On-Ramps'!CH145)/('On-Ramps'!AF145+Links!I145)</f>
        <v>#DIV/0!</v>
      </c>
      <c r="BH145" s="57" t="e">
        <f>(#REF!*#REF!+'On-Ramps'!AG145*'On-Ramps'!CI145)/('On-Ramps'!AG145+#REF!)</f>
        <v>#REF!</v>
      </c>
      <c r="BI145" s="57" t="e">
        <f>(Links!L145*Links!AZ145+'On-Ramps'!AH145*'On-Ramps'!CJ145)/('On-Ramps'!AH145+Links!L145)</f>
        <v>#DIV/0!</v>
      </c>
      <c r="BJ145" s="57" t="e">
        <f>(Links!BA145*Links!M145+'On-Ramps'!AI145*'On-Ramps'!CK145)/('On-Ramps'!AI145+Links!M145)</f>
        <v>#DIV/0!</v>
      </c>
      <c r="BK145" s="57" t="e">
        <f>(Links!S145*Links!BG145+'On-Ramps'!AJ145*'On-Ramps'!CL145)/('On-Ramps'!AJ145+Links!S145)</f>
        <v>#DIV/0!</v>
      </c>
      <c r="BL145" s="63"/>
      <c r="BM145" s="57" t="e">
        <f>(Links!S145*Links!BG145+'On-Ramps'!AL145*'On-Ramps'!CM145)/(Links!S145+'On-Ramps'!AL145)</f>
        <v>#DIV/0!</v>
      </c>
      <c r="BN145" s="63"/>
      <c r="BO145" s="58" t="e">
        <f>(Links!W145^2+'Off-Ramp'!L145^2)/(Links!W145+'Off-Ramp'!L145)</f>
        <v>#DIV/0!</v>
      </c>
      <c r="BP145" s="63"/>
      <c r="BQ145" s="58" t="e">
        <f>(Links!Y145^2+'Off-Ramp'!C145^2)/(Links!Y145+'Off-Ramp'!C145)</f>
        <v>#DIV/0!</v>
      </c>
      <c r="BR145" s="63"/>
      <c r="BS145" s="58" t="e">
        <f>(Links!AA145^2+'Off-Ramp'!N145^2)/(Links!AA145+'Off-Ramp'!N145)</f>
        <v>#DIV/0!</v>
      </c>
      <c r="BT145" s="58" t="e">
        <f>(Links!AD145^2+'Off-Ramp'!O145^2)/(Links!AD145+'Off-Ramp'!O145)</f>
        <v>#DIV/0!</v>
      </c>
      <c r="BU145" s="58" t="e">
        <f>(Links!AE145^2+'Off-Ramp'!V145^2+'Off-Ramp'!W145^2+'Off-Ramp'!X145^2)/(Links!AE145+'Off-Ramp'!V145+'Off-Ramp'!W145+'Off-Ramp'!X145)</f>
        <v>#DIV/0!</v>
      </c>
      <c r="BV145" s="58" t="e">
        <f>(Links!AG145^2+'Off-Ramp'!Y145^2+'Off-Ramp'!Z145^2+'Off-Ramp'!AA145^2)/(Links!AG145+'Off-Ramp'!Y145+'Off-Ramp'!Z145+'Off-Ramp'!AA145)</f>
        <v>#DIV/0!</v>
      </c>
      <c r="BW145" s="58" t="e">
        <f>(Links!AH145^2+'Off-Ramp'!R145^2)/(Links!AH145+'Off-Ramp'!R145)</f>
        <v>#DIV/0!</v>
      </c>
      <c r="BX145" s="58" t="e">
        <f>(Links!AK145^2+'Off-Ramp'!S145^2)/(Links!AK145+'Off-Ramp'!S145)</f>
        <v>#DIV/0!</v>
      </c>
      <c r="BY145" s="58" t="e">
        <f>(Links!AL145^2+'Off-Ramp'!T145^2)/(Links!AL145+'Off-Ramp'!T145)</f>
        <v>#DIV/0!</v>
      </c>
      <c r="BZ145" s="63"/>
      <c r="CA145" s="58" t="e">
        <f>(Links!AN145^2+'Off-Ramp'!U145^2)/(Links!AN145+'Off-Ramp'!U145)</f>
        <v>#DIV/0!</v>
      </c>
    </row>
    <row r="146" spans="1:79" x14ac:dyDescent="0.15">
      <c r="A146" s="56">
        <v>144</v>
      </c>
      <c r="B146" s="57" t="e">
        <f t="shared" si="57"/>
        <v>#DIV/0!</v>
      </c>
      <c r="C146" s="57" t="e">
        <f t="shared" si="58"/>
        <v>#DIV/0!</v>
      </c>
      <c r="D146" s="57" t="e">
        <f t="shared" si="59"/>
        <v>#DIV/0!</v>
      </c>
      <c r="E146" s="57" t="e">
        <f t="shared" si="60"/>
        <v>#DIV/0!</v>
      </c>
      <c r="F146" s="57" t="e">
        <f t="shared" si="61"/>
        <v>#DIV/0!</v>
      </c>
      <c r="G146" s="57" t="e">
        <f t="shared" si="62"/>
        <v>#DIV/0!</v>
      </c>
      <c r="H146" s="57" t="e">
        <f t="shared" si="63"/>
        <v>#DIV/0!</v>
      </c>
      <c r="I146" s="57" t="e">
        <f t="shared" si="64"/>
        <v>#DIV/0!</v>
      </c>
      <c r="J146" s="57" t="e">
        <f t="shared" si="65"/>
        <v>#DIV/0!</v>
      </c>
      <c r="K146" s="57" t="e">
        <f t="shared" si="66"/>
        <v>#DIV/0!</v>
      </c>
      <c r="L146" s="57" t="e">
        <f t="shared" si="67"/>
        <v>#DIV/0!</v>
      </c>
      <c r="M146" s="57" t="e">
        <f t="shared" si="68"/>
        <v>#DIV/0!</v>
      </c>
      <c r="N146" s="57" t="e">
        <f t="shared" si="69"/>
        <v>#DIV/0!</v>
      </c>
      <c r="O146" s="58" t="e">
        <f>Links!B146</f>
        <v>#DIV/0!</v>
      </c>
      <c r="P146" s="58" t="e">
        <f>Links!C146+'On-Ramps'!AC146</f>
        <v>#DIV/0!</v>
      </c>
      <c r="Q146" s="58" t="e">
        <f>Links!D146</f>
        <v>#DIV/0!</v>
      </c>
      <c r="R146" s="58" t="e">
        <f>Links!E146+'On-Ramps'!AD146</f>
        <v>#DIV/0!</v>
      </c>
      <c r="S146" s="58" t="e">
        <f>Links!F146+'On-Ramps'!AE146</f>
        <v>#DIV/0!</v>
      </c>
      <c r="T146" s="58" t="e">
        <f>Links!I146+'On-Ramps'!AF146</f>
        <v>#DIV/0!</v>
      </c>
      <c r="U146" s="58" t="e">
        <f>Links!J146+'On-Ramps'!AG146</f>
        <v>#DIV/0!</v>
      </c>
      <c r="V146" s="58" t="e">
        <f>Links!L146+'On-Ramps'!AH146</f>
        <v>#DIV/0!</v>
      </c>
      <c r="W146" s="58" t="e">
        <f>Links!M146+'On-Ramps'!AI146</f>
        <v>#DIV/0!</v>
      </c>
      <c r="X146" s="58" t="e">
        <f>Links!P146+'On-Ramps'!AJ146</f>
        <v>#DIV/0!</v>
      </c>
      <c r="Y146" s="58" t="e">
        <f>Links!Q146</f>
        <v>#DIV/0!</v>
      </c>
      <c r="Z146" s="58" t="e">
        <f>Links!R146+'On-Ramps'!AK146</f>
        <v>#DIV/0!</v>
      </c>
      <c r="AA146" s="58" t="e">
        <f>Links!S146</f>
        <v>#DIV/0!</v>
      </c>
      <c r="AB146" s="57" t="e">
        <f t="shared" si="70"/>
        <v>#VALUE!</v>
      </c>
      <c r="AC146" s="63"/>
      <c r="AD146" s="57" t="e">
        <f t="shared" si="71"/>
        <v>#DIV/0!</v>
      </c>
      <c r="AE146" s="63"/>
      <c r="AF146" s="57" t="e">
        <f t="shared" si="72"/>
        <v>#DIV/0!</v>
      </c>
      <c r="AG146" s="57" t="e">
        <f t="shared" si="73"/>
        <v>#DIV/0!</v>
      </c>
      <c r="AH146" s="57" t="e">
        <f t="shared" si="74"/>
        <v>#DIV/0!</v>
      </c>
      <c r="AI146" s="57" t="e">
        <f t="shared" si="75"/>
        <v>#DIV/0!</v>
      </c>
      <c r="AJ146" s="57" t="e">
        <f t="shared" si="76"/>
        <v>#DIV/0!</v>
      </c>
      <c r="AK146" s="57" t="e">
        <f t="shared" si="77"/>
        <v>#DIV/0!</v>
      </c>
      <c r="AL146" s="57" t="e">
        <f t="shared" si="78"/>
        <v>#DIV/0!</v>
      </c>
      <c r="AM146" s="63"/>
      <c r="AN146" s="57" t="e">
        <f t="shared" si="53"/>
        <v>#DIV/0!</v>
      </c>
      <c r="AO146" s="58" t="e">
        <f t="shared" si="56"/>
        <v>#VALUE!</v>
      </c>
      <c r="AP146" s="63"/>
      <c r="AQ146" s="58" t="e">
        <f t="shared" si="79"/>
        <v>#DIV/0!</v>
      </c>
      <c r="AR146" s="63"/>
      <c r="AS146" s="58" t="e">
        <f t="shared" si="79"/>
        <v>#DIV/0!</v>
      </c>
      <c r="AT146" s="58" t="e">
        <f t="shared" si="79"/>
        <v>#DIV/0!</v>
      </c>
      <c r="AU146" s="58" t="e">
        <f t="shared" si="79"/>
        <v>#DIV/0!</v>
      </c>
      <c r="AV146" s="58" t="e">
        <f t="shared" si="79"/>
        <v>#DIV/0!</v>
      </c>
      <c r="AW146" s="58" t="e">
        <f t="shared" si="79"/>
        <v>#DIV/0!</v>
      </c>
      <c r="AX146" s="58" t="e">
        <f t="shared" si="79"/>
        <v>#DIV/0!</v>
      </c>
      <c r="AY146" s="58" t="e">
        <f t="shared" si="79"/>
        <v>#DIV/0!</v>
      </c>
      <c r="AZ146" s="63"/>
      <c r="BA146" s="58" t="e">
        <f t="shared" si="79"/>
        <v>#DIV/0!</v>
      </c>
      <c r="BB146" s="63"/>
      <c r="BC146" s="57" t="e">
        <f>(Links!C146*Links!AQ146+'On-Ramps'!AC146*'On-Ramps'!CE146)/('On-Ramps'!AC146+Links!C146)</f>
        <v>#DIV/0!</v>
      </c>
      <c r="BD146" s="63"/>
      <c r="BE146" s="57" t="e">
        <f>(Links!E146*Links!AS146+'On-Ramps'!AD146*'On-Ramps'!CF145)/('On-Ramps'!AD146+Links!E146)</f>
        <v>#DIV/0!</v>
      </c>
      <c r="BF146" s="57" t="e">
        <f>(Links!F146*Links!AT146+'On-Ramps'!AE146*'On-Ramps'!CG146)/('On-Ramps'!AE146+Links!F146)</f>
        <v>#DIV/0!</v>
      </c>
      <c r="BG146" s="57" t="e">
        <f>(Links!I146*Links!AW146+'On-Ramps'!AF146*'On-Ramps'!CH146)/('On-Ramps'!AF146+Links!I146)</f>
        <v>#DIV/0!</v>
      </c>
      <c r="BH146" s="57" t="e">
        <f>(#REF!*#REF!+'On-Ramps'!AG146*'On-Ramps'!CI146)/('On-Ramps'!AG146+#REF!)</f>
        <v>#REF!</v>
      </c>
      <c r="BI146" s="57" t="e">
        <f>(Links!L146*Links!AZ146+'On-Ramps'!AH146*'On-Ramps'!CJ146)/('On-Ramps'!AH146+Links!L146)</f>
        <v>#DIV/0!</v>
      </c>
      <c r="BJ146" s="57" t="e">
        <f>(Links!BA146*Links!M146+'On-Ramps'!AI146*'On-Ramps'!CK146)/('On-Ramps'!AI146+Links!M146)</f>
        <v>#DIV/0!</v>
      </c>
      <c r="BK146" s="57" t="e">
        <f>(Links!S146*Links!BG146+'On-Ramps'!AJ146*'On-Ramps'!CL146)/('On-Ramps'!AJ146+Links!S146)</f>
        <v>#DIV/0!</v>
      </c>
      <c r="BL146" s="63"/>
      <c r="BM146" s="57" t="e">
        <f>(Links!S146*Links!BG146+'On-Ramps'!AL146*'On-Ramps'!CM146)/(Links!S146+'On-Ramps'!AL146)</f>
        <v>#DIV/0!</v>
      </c>
      <c r="BN146" s="63"/>
      <c r="BO146" s="58" t="e">
        <f>(Links!W146^2+'Off-Ramp'!L146^2)/(Links!W146+'Off-Ramp'!L146)</f>
        <v>#DIV/0!</v>
      </c>
      <c r="BP146" s="63"/>
      <c r="BQ146" s="58" t="e">
        <f>(Links!Y146^2+'Off-Ramp'!C146^2)/(Links!Y146+'Off-Ramp'!C146)</f>
        <v>#DIV/0!</v>
      </c>
      <c r="BR146" s="63"/>
      <c r="BS146" s="58" t="e">
        <f>(Links!AA146^2+'Off-Ramp'!N146^2)/(Links!AA146+'Off-Ramp'!N146)</f>
        <v>#DIV/0!</v>
      </c>
      <c r="BT146" s="58" t="e">
        <f>(Links!AD146^2+'Off-Ramp'!O146^2)/(Links!AD146+'Off-Ramp'!O146)</f>
        <v>#DIV/0!</v>
      </c>
      <c r="BU146" s="58" t="e">
        <f>(Links!AE146^2+'Off-Ramp'!V146^2+'Off-Ramp'!W146^2+'Off-Ramp'!X146^2)/(Links!AE146+'Off-Ramp'!V146+'Off-Ramp'!W146+'Off-Ramp'!X146)</f>
        <v>#DIV/0!</v>
      </c>
      <c r="BV146" s="58" t="e">
        <f>(Links!AG146^2+'Off-Ramp'!Y146^2+'Off-Ramp'!Z146^2+'Off-Ramp'!AA146^2)/(Links!AG146+'Off-Ramp'!Y146+'Off-Ramp'!Z146+'Off-Ramp'!AA146)</f>
        <v>#DIV/0!</v>
      </c>
      <c r="BW146" s="58" t="e">
        <f>(Links!AH146^2+'Off-Ramp'!R146^2)/(Links!AH146+'Off-Ramp'!R146)</f>
        <v>#DIV/0!</v>
      </c>
      <c r="BX146" s="58" t="e">
        <f>(Links!AK146^2+'Off-Ramp'!S146^2)/(Links!AK146+'Off-Ramp'!S146)</f>
        <v>#DIV/0!</v>
      </c>
      <c r="BY146" s="58" t="e">
        <f>(Links!AL146^2+'Off-Ramp'!T146^2)/(Links!AL146+'Off-Ramp'!T146)</f>
        <v>#DIV/0!</v>
      </c>
      <c r="BZ146" s="63"/>
      <c r="CA146" s="58" t="e">
        <f>(Links!AN146^2+'Off-Ramp'!U146^2)/(Links!AN146+'Off-Ramp'!U146)</f>
        <v>#DIV/0!</v>
      </c>
    </row>
    <row r="147" spans="1:79" x14ac:dyDescent="0.15">
      <c r="A147" s="56">
        <v>145</v>
      </c>
      <c r="B147" s="57" t="e">
        <f t="shared" si="57"/>
        <v>#DIV/0!</v>
      </c>
      <c r="C147" s="57" t="e">
        <f t="shared" si="58"/>
        <v>#DIV/0!</v>
      </c>
      <c r="D147" s="57" t="e">
        <f t="shared" si="59"/>
        <v>#DIV/0!</v>
      </c>
      <c r="E147" s="57" t="e">
        <f t="shared" si="60"/>
        <v>#DIV/0!</v>
      </c>
      <c r="F147" s="57" t="e">
        <f t="shared" si="61"/>
        <v>#DIV/0!</v>
      </c>
      <c r="G147" s="57" t="e">
        <f t="shared" si="62"/>
        <v>#DIV/0!</v>
      </c>
      <c r="H147" s="57" t="e">
        <f t="shared" si="63"/>
        <v>#DIV/0!</v>
      </c>
      <c r="I147" s="57" t="e">
        <f t="shared" si="64"/>
        <v>#DIV/0!</v>
      </c>
      <c r="J147" s="57" t="e">
        <f t="shared" si="65"/>
        <v>#DIV/0!</v>
      </c>
      <c r="K147" s="57" t="e">
        <f t="shared" si="66"/>
        <v>#DIV/0!</v>
      </c>
      <c r="L147" s="57" t="e">
        <f t="shared" si="67"/>
        <v>#DIV/0!</v>
      </c>
      <c r="M147" s="57" t="e">
        <f t="shared" si="68"/>
        <v>#DIV/0!</v>
      </c>
      <c r="N147" s="57" t="e">
        <f t="shared" si="69"/>
        <v>#DIV/0!</v>
      </c>
      <c r="O147" s="58" t="e">
        <f>Links!B147</f>
        <v>#DIV/0!</v>
      </c>
      <c r="P147" s="58" t="e">
        <f>Links!C147+'On-Ramps'!AC147</f>
        <v>#DIV/0!</v>
      </c>
      <c r="Q147" s="58" t="e">
        <f>Links!D147</f>
        <v>#DIV/0!</v>
      </c>
      <c r="R147" s="58" t="e">
        <f>Links!E147+'On-Ramps'!AD147</f>
        <v>#DIV/0!</v>
      </c>
      <c r="S147" s="58" t="e">
        <f>Links!F147+'On-Ramps'!AE147</f>
        <v>#DIV/0!</v>
      </c>
      <c r="T147" s="58" t="e">
        <f>Links!I147+'On-Ramps'!AF147</f>
        <v>#DIV/0!</v>
      </c>
      <c r="U147" s="58" t="e">
        <f>Links!J147+'On-Ramps'!AG147</f>
        <v>#DIV/0!</v>
      </c>
      <c r="V147" s="58" t="e">
        <f>Links!L147+'On-Ramps'!AH147</f>
        <v>#DIV/0!</v>
      </c>
      <c r="W147" s="58" t="e">
        <f>Links!M147+'On-Ramps'!AI147</f>
        <v>#DIV/0!</v>
      </c>
      <c r="X147" s="58" t="e">
        <f>Links!P147+'On-Ramps'!AJ147</f>
        <v>#DIV/0!</v>
      </c>
      <c r="Y147" s="58" t="e">
        <f>Links!Q147</f>
        <v>#DIV/0!</v>
      </c>
      <c r="Z147" s="58" t="e">
        <f>Links!R147+'On-Ramps'!AK147</f>
        <v>#DIV/0!</v>
      </c>
      <c r="AA147" s="58" t="e">
        <f>Links!S147</f>
        <v>#DIV/0!</v>
      </c>
      <c r="AB147" s="57" t="e">
        <f t="shared" si="70"/>
        <v>#VALUE!</v>
      </c>
      <c r="AC147" s="63"/>
      <c r="AD147" s="57" t="e">
        <f t="shared" si="71"/>
        <v>#DIV/0!</v>
      </c>
      <c r="AE147" s="63"/>
      <c r="AF147" s="57" t="e">
        <f t="shared" si="72"/>
        <v>#DIV/0!</v>
      </c>
      <c r="AG147" s="57" t="e">
        <f t="shared" si="73"/>
        <v>#DIV/0!</v>
      </c>
      <c r="AH147" s="57" t="e">
        <f t="shared" si="74"/>
        <v>#DIV/0!</v>
      </c>
      <c r="AI147" s="57" t="e">
        <f t="shared" si="75"/>
        <v>#DIV/0!</v>
      </c>
      <c r="AJ147" s="57" t="e">
        <f t="shared" si="76"/>
        <v>#DIV/0!</v>
      </c>
      <c r="AK147" s="57" t="e">
        <f t="shared" si="77"/>
        <v>#DIV/0!</v>
      </c>
      <c r="AL147" s="57" t="e">
        <f t="shared" si="78"/>
        <v>#DIV/0!</v>
      </c>
      <c r="AM147" s="63"/>
      <c r="AN147" s="57" t="e">
        <f t="shared" si="53"/>
        <v>#DIV/0!</v>
      </c>
      <c r="AO147" s="58" t="e">
        <f t="shared" si="56"/>
        <v>#VALUE!</v>
      </c>
      <c r="AP147" s="63"/>
      <c r="AQ147" s="58" t="e">
        <f t="shared" si="79"/>
        <v>#DIV/0!</v>
      </c>
      <c r="AR147" s="63"/>
      <c r="AS147" s="58" t="e">
        <f t="shared" si="79"/>
        <v>#DIV/0!</v>
      </c>
      <c r="AT147" s="58" t="e">
        <f t="shared" si="79"/>
        <v>#DIV/0!</v>
      </c>
      <c r="AU147" s="58" t="e">
        <f t="shared" si="79"/>
        <v>#DIV/0!</v>
      </c>
      <c r="AV147" s="58" t="e">
        <f t="shared" si="79"/>
        <v>#DIV/0!</v>
      </c>
      <c r="AW147" s="58" t="e">
        <f t="shared" si="79"/>
        <v>#DIV/0!</v>
      </c>
      <c r="AX147" s="58" t="e">
        <f t="shared" si="79"/>
        <v>#DIV/0!</v>
      </c>
      <c r="AY147" s="58" t="e">
        <f t="shared" si="79"/>
        <v>#DIV/0!</v>
      </c>
      <c r="AZ147" s="63"/>
      <c r="BA147" s="58" t="e">
        <f t="shared" si="79"/>
        <v>#DIV/0!</v>
      </c>
      <c r="BB147" s="63"/>
      <c r="BC147" s="57" t="e">
        <f>(Links!C147*Links!AQ147+'On-Ramps'!AC147*'On-Ramps'!CE147)/('On-Ramps'!AC147+Links!C147)</f>
        <v>#DIV/0!</v>
      </c>
      <c r="BD147" s="63"/>
      <c r="BE147" s="57" t="e">
        <f>(Links!E147*Links!AS147+'On-Ramps'!AD147*'On-Ramps'!CF146)/('On-Ramps'!AD147+Links!E147)</f>
        <v>#DIV/0!</v>
      </c>
      <c r="BF147" s="57" t="e">
        <f>(Links!F147*Links!AT147+'On-Ramps'!AE147*'On-Ramps'!CG147)/('On-Ramps'!AE147+Links!F147)</f>
        <v>#DIV/0!</v>
      </c>
      <c r="BG147" s="57" t="e">
        <f>(Links!I147*Links!AW147+'On-Ramps'!AF147*'On-Ramps'!CH147)/('On-Ramps'!AF147+Links!I147)</f>
        <v>#DIV/0!</v>
      </c>
      <c r="BH147" s="57" t="e">
        <f>(#REF!*#REF!+'On-Ramps'!AG147*'On-Ramps'!CI147)/('On-Ramps'!AG147+#REF!)</f>
        <v>#REF!</v>
      </c>
      <c r="BI147" s="57" t="e">
        <f>(Links!L147*Links!AZ147+'On-Ramps'!AH147*'On-Ramps'!CJ147)/('On-Ramps'!AH147+Links!L147)</f>
        <v>#DIV/0!</v>
      </c>
      <c r="BJ147" s="57" t="e">
        <f>(Links!BA147*Links!M147+'On-Ramps'!AI147*'On-Ramps'!CK147)/('On-Ramps'!AI147+Links!M147)</f>
        <v>#DIV/0!</v>
      </c>
      <c r="BK147" s="57" t="e">
        <f>(Links!S147*Links!BG147+'On-Ramps'!AJ147*'On-Ramps'!CL147)/('On-Ramps'!AJ147+Links!S147)</f>
        <v>#DIV/0!</v>
      </c>
      <c r="BL147" s="63"/>
      <c r="BM147" s="57" t="e">
        <f>(Links!S147*Links!BG147+'On-Ramps'!AL147*'On-Ramps'!CM147)/(Links!S147+'On-Ramps'!AL147)</f>
        <v>#DIV/0!</v>
      </c>
      <c r="BN147" s="63"/>
      <c r="BO147" s="58" t="e">
        <f>(Links!W147^2+'Off-Ramp'!L147^2)/(Links!W147+'Off-Ramp'!L147)</f>
        <v>#DIV/0!</v>
      </c>
      <c r="BP147" s="63"/>
      <c r="BQ147" s="58" t="e">
        <f>(Links!Y147^2+'Off-Ramp'!C147^2)/(Links!Y147+'Off-Ramp'!C147)</f>
        <v>#DIV/0!</v>
      </c>
      <c r="BR147" s="63"/>
      <c r="BS147" s="58" t="e">
        <f>(Links!AA147^2+'Off-Ramp'!N147^2)/(Links!AA147+'Off-Ramp'!N147)</f>
        <v>#DIV/0!</v>
      </c>
      <c r="BT147" s="58" t="e">
        <f>(Links!AD147^2+'Off-Ramp'!O147^2)/(Links!AD147+'Off-Ramp'!O147)</f>
        <v>#DIV/0!</v>
      </c>
      <c r="BU147" s="58" t="e">
        <f>(Links!AE147^2+'Off-Ramp'!V147^2+'Off-Ramp'!W147^2+'Off-Ramp'!X147^2)/(Links!AE147+'Off-Ramp'!V147+'Off-Ramp'!W147+'Off-Ramp'!X147)</f>
        <v>#DIV/0!</v>
      </c>
      <c r="BV147" s="58" t="e">
        <f>(Links!AG147^2+'Off-Ramp'!Y147^2+'Off-Ramp'!Z147^2+'Off-Ramp'!AA147^2)/(Links!AG147+'Off-Ramp'!Y147+'Off-Ramp'!Z147+'Off-Ramp'!AA147)</f>
        <v>#DIV/0!</v>
      </c>
      <c r="BW147" s="58" t="e">
        <f>(Links!AH147^2+'Off-Ramp'!R147^2)/(Links!AH147+'Off-Ramp'!R147)</f>
        <v>#DIV/0!</v>
      </c>
      <c r="BX147" s="58" t="e">
        <f>(Links!AK147^2+'Off-Ramp'!S147^2)/(Links!AK147+'Off-Ramp'!S147)</f>
        <v>#DIV/0!</v>
      </c>
      <c r="BY147" s="58" t="e">
        <f>(Links!AL147^2+'Off-Ramp'!T147^2)/(Links!AL147+'Off-Ramp'!T147)</f>
        <v>#DIV/0!</v>
      </c>
      <c r="BZ147" s="63"/>
      <c r="CA147" s="58" t="e">
        <f>(Links!AN147^2+'Off-Ramp'!U147^2)/(Links!AN147+'Off-Ramp'!U147)</f>
        <v>#DIV/0!</v>
      </c>
    </row>
    <row r="148" spans="1:79" x14ac:dyDescent="0.15">
      <c r="A148" s="56">
        <v>146</v>
      </c>
      <c r="B148" s="57" t="e">
        <f t="shared" si="57"/>
        <v>#DIV/0!</v>
      </c>
      <c r="C148" s="57" t="e">
        <f t="shared" si="58"/>
        <v>#DIV/0!</v>
      </c>
      <c r="D148" s="57" t="e">
        <f t="shared" si="59"/>
        <v>#DIV/0!</v>
      </c>
      <c r="E148" s="57" t="e">
        <f t="shared" si="60"/>
        <v>#DIV/0!</v>
      </c>
      <c r="F148" s="57" t="e">
        <f t="shared" si="61"/>
        <v>#DIV/0!</v>
      </c>
      <c r="G148" s="57" t="e">
        <f t="shared" si="62"/>
        <v>#DIV/0!</v>
      </c>
      <c r="H148" s="57" t="e">
        <f t="shared" si="63"/>
        <v>#DIV/0!</v>
      </c>
      <c r="I148" s="57" t="e">
        <f t="shared" si="64"/>
        <v>#DIV/0!</v>
      </c>
      <c r="J148" s="57" t="e">
        <f t="shared" si="65"/>
        <v>#DIV/0!</v>
      </c>
      <c r="K148" s="57" t="e">
        <f t="shared" si="66"/>
        <v>#DIV/0!</v>
      </c>
      <c r="L148" s="57" t="e">
        <f t="shared" si="67"/>
        <v>#DIV/0!</v>
      </c>
      <c r="M148" s="57" t="e">
        <f t="shared" si="68"/>
        <v>#DIV/0!</v>
      </c>
      <c r="N148" s="57" t="e">
        <f t="shared" si="69"/>
        <v>#DIV/0!</v>
      </c>
      <c r="O148" s="58" t="e">
        <f>Links!B148</f>
        <v>#DIV/0!</v>
      </c>
      <c r="P148" s="58" t="e">
        <f>Links!C148+'On-Ramps'!AC148</f>
        <v>#DIV/0!</v>
      </c>
      <c r="Q148" s="58" t="e">
        <f>Links!D148</f>
        <v>#DIV/0!</v>
      </c>
      <c r="R148" s="58" t="e">
        <f>Links!E148+'On-Ramps'!AD148</f>
        <v>#DIV/0!</v>
      </c>
      <c r="S148" s="58" t="e">
        <f>Links!F148+'On-Ramps'!AE148</f>
        <v>#DIV/0!</v>
      </c>
      <c r="T148" s="58" t="e">
        <f>Links!I148+'On-Ramps'!AF148</f>
        <v>#DIV/0!</v>
      </c>
      <c r="U148" s="58" t="e">
        <f>Links!J148+'On-Ramps'!AG148</f>
        <v>#DIV/0!</v>
      </c>
      <c r="V148" s="58" t="e">
        <f>Links!L148+'On-Ramps'!AH148</f>
        <v>#DIV/0!</v>
      </c>
      <c r="W148" s="58" t="e">
        <f>Links!M148+'On-Ramps'!AI148</f>
        <v>#DIV/0!</v>
      </c>
      <c r="X148" s="58" t="e">
        <f>Links!P148+'On-Ramps'!AJ148</f>
        <v>#DIV/0!</v>
      </c>
      <c r="Y148" s="58" t="e">
        <f>Links!Q148</f>
        <v>#DIV/0!</v>
      </c>
      <c r="Z148" s="58" t="e">
        <f>Links!R148+'On-Ramps'!AK148</f>
        <v>#DIV/0!</v>
      </c>
      <c r="AA148" s="58" t="e">
        <f>Links!S148</f>
        <v>#DIV/0!</v>
      </c>
      <c r="AB148" s="57" t="e">
        <f t="shared" si="70"/>
        <v>#VALUE!</v>
      </c>
      <c r="AC148" s="63"/>
      <c r="AD148" s="57" t="e">
        <f t="shared" si="71"/>
        <v>#DIV/0!</v>
      </c>
      <c r="AE148" s="63"/>
      <c r="AF148" s="57" t="e">
        <f t="shared" si="72"/>
        <v>#DIV/0!</v>
      </c>
      <c r="AG148" s="57" t="e">
        <f t="shared" si="73"/>
        <v>#DIV/0!</v>
      </c>
      <c r="AH148" s="57" t="e">
        <f t="shared" si="74"/>
        <v>#DIV/0!</v>
      </c>
      <c r="AI148" s="57" t="e">
        <f t="shared" si="75"/>
        <v>#DIV/0!</v>
      </c>
      <c r="AJ148" s="57" t="e">
        <f t="shared" si="76"/>
        <v>#DIV/0!</v>
      </c>
      <c r="AK148" s="57" t="e">
        <f t="shared" si="77"/>
        <v>#DIV/0!</v>
      </c>
      <c r="AL148" s="57" t="e">
        <f t="shared" si="78"/>
        <v>#DIV/0!</v>
      </c>
      <c r="AM148" s="63"/>
      <c r="AN148" s="57" t="e">
        <f t="shared" ref="AN148:AN182" si="80">BA148*(1-BA148)*AA148</f>
        <v>#DIV/0!</v>
      </c>
      <c r="AO148" s="58" t="e">
        <f t="shared" si="56"/>
        <v>#VALUE!</v>
      </c>
      <c r="AP148" s="63"/>
      <c r="AQ148" s="58" t="e">
        <f t="shared" si="79"/>
        <v>#DIV/0!</v>
      </c>
      <c r="AR148" s="63"/>
      <c r="AS148" s="58" t="e">
        <f t="shared" si="79"/>
        <v>#DIV/0!</v>
      </c>
      <c r="AT148" s="58" t="e">
        <f t="shared" si="79"/>
        <v>#DIV/0!</v>
      </c>
      <c r="AU148" s="58" t="e">
        <f t="shared" si="79"/>
        <v>#DIV/0!</v>
      </c>
      <c r="AV148" s="58" t="e">
        <f t="shared" si="79"/>
        <v>#DIV/0!</v>
      </c>
      <c r="AW148" s="58" t="e">
        <f t="shared" si="79"/>
        <v>#DIV/0!</v>
      </c>
      <c r="AX148" s="58" t="e">
        <f t="shared" si="79"/>
        <v>#DIV/0!</v>
      </c>
      <c r="AY148" s="58" t="e">
        <f t="shared" si="79"/>
        <v>#DIV/0!</v>
      </c>
      <c r="AZ148" s="63"/>
      <c r="BA148" s="58" t="e">
        <f t="shared" si="79"/>
        <v>#DIV/0!</v>
      </c>
      <c r="BB148" s="63"/>
      <c r="BC148" s="57" t="e">
        <f>(Links!C148*Links!AQ148+'On-Ramps'!AC148*'On-Ramps'!CE148)/('On-Ramps'!AC148+Links!C148)</f>
        <v>#DIV/0!</v>
      </c>
      <c r="BD148" s="63"/>
      <c r="BE148" s="57" t="e">
        <f>(Links!E148*Links!AS148+'On-Ramps'!AD148*'On-Ramps'!CF147)/('On-Ramps'!AD148+Links!E148)</f>
        <v>#DIV/0!</v>
      </c>
      <c r="BF148" s="57" t="e">
        <f>(Links!F148*Links!AT148+'On-Ramps'!AE148*'On-Ramps'!CG148)/('On-Ramps'!AE148+Links!F148)</f>
        <v>#DIV/0!</v>
      </c>
      <c r="BG148" s="57" t="e">
        <f>(Links!I148*Links!AW148+'On-Ramps'!AF148*'On-Ramps'!CH148)/('On-Ramps'!AF148+Links!I148)</f>
        <v>#DIV/0!</v>
      </c>
      <c r="BH148" s="57" t="e">
        <f>(#REF!*#REF!+'On-Ramps'!AG148*'On-Ramps'!CI148)/('On-Ramps'!AG148+#REF!)</f>
        <v>#REF!</v>
      </c>
      <c r="BI148" s="57" t="e">
        <f>(Links!L148*Links!AZ148+'On-Ramps'!AH148*'On-Ramps'!CJ148)/('On-Ramps'!AH148+Links!L148)</f>
        <v>#DIV/0!</v>
      </c>
      <c r="BJ148" s="57" t="e">
        <f>(Links!BA148*Links!M148+'On-Ramps'!AI148*'On-Ramps'!CK148)/('On-Ramps'!AI148+Links!M148)</f>
        <v>#DIV/0!</v>
      </c>
      <c r="BK148" s="57" t="e">
        <f>(Links!S148*Links!BG148+'On-Ramps'!AJ148*'On-Ramps'!CL148)/('On-Ramps'!AJ148+Links!S148)</f>
        <v>#DIV/0!</v>
      </c>
      <c r="BL148" s="63"/>
      <c r="BM148" s="57" t="e">
        <f>(Links!S148*Links!BG148+'On-Ramps'!AL148*'On-Ramps'!CM148)/(Links!S148+'On-Ramps'!AL148)</f>
        <v>#DIV/0!</v>
      </c>
      <c r="BN148" s="63"/>
      <c r="BO148" s="58" t="e">
        <f>(Links!W148^2+'Off-Ramp'!L148^2)/(Links!W148+'Off-Ramp'!L148)</f>
        <v>#DIV/0!</v>
      </c>
      <c r="BP148" s="63"/>
      <c r="BQ148" s="58" t="e">
        <f>(Links!Y148^2+'Off-Ramp'!C148^2)/(Links!Y148+'Off-Ramp'!C148)</f>
        <v>#DIV/0!</v>
      </c>
      <c r="BR148" s="63"/>
      <c r="BS148" s="58" t="e">
        <f>(Links!AA148^2+'Off-Ramp'!N148^2)/(Links!AA148+'Off-Ramp'!N148)</f>
        <v>#DIV/0!</v>
      </c>
      <c r="BT148" s="58" t="e">
        <f>(Links!AD148^2+'Off-Ramp'!O148^2)/(Links!AD148+'Off-Ramp'!O148)</f>
        <v>#DIV/0!</v>
      </c>
      <c r="BU148" s="58" t="e">
        <f>(Links!AE148^2+'Off-Ramp'!V148^2+'Off-Ramp'!W148^2+'Off-Ramp'!X148^2)/(Links!AE148+'Off-Ramp'!V148+'Off-Ramp'!W148+'Off-Ramp'!X148)</f>
        <v>#DIV/0!</v>
      </c>
      <c r="BV148" s="58" t="e">
        <f>(Links!AG148^2+'Off-Ramp'!Y148^2+'Off-Ramp'!Z148^2+'Off-Ramp'!AA148^2)/(Links!AG148+'Off-Ramp'!Y148+'Off-Ramp'!Z148+'Off-Ramp'!AA148)</f>
        <v>#DIV/0!</v>
      </c>
      <c r="BW148" s="58" t="e">
        <f>(Links!AH148^2+'Off-Ramp'!R148^2)/(Links!AH148+'Off-Ramp'!R148)</f>
        <v>#DIV/0!</v>
      </c>
      <c r="BX148" s="58" t="e">
        <f>(Links!AK148^2+'Off-Ramp'!S148^2)/(Links!AK148+'Off-Ramp'!S148)</f>
        <v>#DIV/0!</v>
      </c>
      <c r="BY148" s="58" t="e">
        <f>(Links!AL148^2+'Off-Ramp'!T148^2)/(Links!AL148+'Off-Ramp'!T148)</f>
        <v>#DIV/0!</v>
      </c>
      <c r="BZ148" s="63"/>
      <c r="CA148" s="58" t="e">
        <f>(Links!AN148^2+'Off-Ramp'!U148^2)/(Links!AN148+'Off-Ramp'!U148)</f>
        <v>#DIV/0!</v>
      </c>
    </row>
    <row r="149" spans="1:79" x14ac:dyDescent="0.15">
      <c r="A149" s="56">
        <v>147</v>
      </c>
      <c r="B149" s="57" t="e">
        <f t="shared" si="57"/>
        <v>#DIV/0!</v>
      </c>
      <c r="C149" s="57" t="e">
        <f t="shared" si="58"/>
        <v>#DIV/0!</v>
      </c>
      <c r="D149" s="57" t="e">
        <f t="shared" si="59"/>
        <v>#DIV/0!</v>
      </c>
      <c r="E149" s="57" t="e">
        <f t="shared" si="60"/>
        <v>#DIV/0!</v>
      </c>
      <c r="F149" s="57" t="e">
        <f t="shared" si="61"/>
        <v>#DIV/0!</v>
      </c>
      <c r="G149" s="57" t="e">
        <f t="shared" si="62"/>
        <v>#DIV/0!</v>
      </c>
      <c r="H149" s="57" t="e">
        <f t="shared" si="63"/>
        <v>#DIV/0!</v>
      </c>
      <c r="I149" s="57" t="e">
        <f t="shared" si="64"/>
        <v>#DIV/0!</v>
      </c>
      <c r="J149" s="57" t="e">
        <f t="shared" si="65"/>
        <v>#DIV/0!</v>
      </c>
      <c r="K149" s="57" t="e">
        <f t="shared" si="66"/>
        <v>#DIV/0!</v>
      </c>
      <c r="L149" s="57" t="e">
        <f t="shared" si="67"/>
        <v>#DIV/0!</v>
      </c>
      <c r="M149" s="57" t="e">
        <f t="shared" si="68"/>
        <v>#DIV/0!</v>
      </c>
      <c r="N149" s="57" t="e">
        <f t="shared" si="69"/>
        <v>#DIV/0!</v>
      </c>
      <c r="O149" s="58" t="e">
        <f>Links!B149</f>
        <v>#DIV/0!</v>
      </c>
      <c r="P149" s="58" t="e">
        <f>Links!C149+'On-Ramps'!AC149</f>
        <v>#DIV/0!</v>
      </c>
      <c r="Q149" s="58" t="e">
        <f>Links!D149</f>
        <v>#DIV/0!</v>
      </c>
      <c r="R149" s="58" t="e">
        <f>Links!E149+'On-Ramps'!AD149</f>
        <v>#DIV/0!</v>
      </c>
      <c r="S149" s="58" t="e">
        <f>Links!F149+'On-Ramps'!AE149</f>
        <v>#DIV/0!</v>
      </c>
      <c r="T149" s="58" t="e">
        <f>Links!I149+'On-Ramps'!AF149</f>
        <v>#DIV/0!</v>
      </c>
      <c r="U149" s="58" t="e">
        <f>Links!J149+'On-Ramps'!AG149</f>
        <v>#DIV/0!</v>
      </c>
      <c r="V149" s="58" t="e">
        <f>Links!L149+'On-Ramps'!AH149</f>
        <v>#DIV/0!</v>
      </c>
      <c r="W149" s="58" t="e">
        <f>Links!M149+'On-Ramps'!AI149</f>
        <v>#DIV/0!</v>
      </c>
      <c r="X149" s="58" t="e">
        <f>Links!P149+'On-Ramps'!AJ149</f>
        <v>#DIV/0!</v>
      </c>
      <c r="Y149" s="58" t="e">
        <f>Links!Q149</f>
        <v>#DIV/0!</v>
      </c>
      <c r="Z149" s="58" t="e">
        <f>Links!R149+'On-Ramps'!AK149</f>
        <v>#DIV/0!</v>
      </c>
      <c r="AA149" s="58" t="e">
        <f>Links!S149</f>
        <v>#DIV/0!</v>
      </c>
      <c r="AB149" s="57" t="e">
        <f t="shared" si="70"/>
        <v>#VALUE!</v>
      </c>
      <c r="AC149" s="63"/>
      <c r="AD149" s="57" t="e">
        <f t="shared" si="71"/>
        <v>#DIV/0!</v>
      </c>
      <c r="AE149" s="63"/>
      <c r="AF149" s="57" t="e">
        <f t="shared" si="72"/>
        <v>#DIV/0!</v>
      </c>
      <c r="AG149" s="57" t="e">
        <f t="shared" si="73"/>
        <v>#DIV/0!</v>
      </c>
      <c r="AH149" s="57" t="e">
        <f t="shared" si="74"/>
        <v>#DIV/0!</v>
      </c>
      <c r="AI149" s="57" t="e">
        <f t="shared" si="75"/>
        <v>#DIV/0!</v>
      </c>
      <c r="AJ149" s="57" t="e">
        <f t="shared" si="76"/>
        <v>#DIV/0!</v>
      </c>
      <c r="AK149" s="57" t="e">
        <f t="shared" si="77"/>
        <v>#DIV/0!</v>
      </c>
      <c r="AL149" s="57" t="e">
        <f t="shared" si="78"/>
        <v>#DIV/0!</v>
      </c>
      <c r="AM149" s="63"/>
      <c r="AN149" s="57" t="e">
        <f t="shared" si="80"/>
        <v>#DIV/0!</v>
      </c>
      <c r="AO149" s="58" t="e">
        <f t="shared" si="56"/>
        <v>#VALUE!</v>
      </c>
      <c r="AP149" s="63"/>
      <c r="AQ149" s="58" t="e">
        <f t="shared" si="79"/>
        <v>#DIV/0!</v>
      </c>
      <c r="AR149" s="63"/>
      <c r="AS149" s="58" t="e">
        <f t="shared" si="79"/>
        <v>#DIV/0!</v>
      </c>
      <c r="AT149" s="58" t="e">
        <f t="shared" si="79"/>
        <v>#DIV/0!</v>
      </c>
      <c r="AU149" s="58" t="e">
        <f t="shared" si="79"/>
        <v>#DIV/0!</v>
      </c>
      <c r="AV149" s="58" t="e">
        <f t="shared" si="79"/>
        <v>#DIV/0!</v>
      </c>
      <c r="AW149" s="58" t="e">
        <f t="shared" si="79"/>
        <v>#DIV/0!</v>
      </c>
      <c r="AX149" s="58" t="e">
        <f t="shared" si="79"/>
        <v>#DIV/0!</v>
      </c>
      <c r="AY149" s="58" t="e">
        <f t="shared" si="79"/>
        <v>#DIV/0!</v>
      </c>
      <c r="AZ149" s="63"/>
      <c r="BA149" s="58" t="e">
        <f t="shared" si="79"/>
        <v>#DIV/0!</v>
      </c>
      <c r="BB149" s="63"/>
      <c r="BC149" s="57" t="e">
        <f>(Links!C149*Links!AQ149+'On-Ramps'!AC149*'On-Ramps'!CE149)/('On-Ramps'!AC149+Links!C149)</f>
        <v>#DIV/0!</v>
      </c>
      <c r="BD149" s="63"/>
      <c r="BE149" s="57" t="e">
        <f>(Links!E149*Links!AS149+'On-Ramps'!AD149*'On-Ramps'!CF148)/('On-Ramps'!AD149+Links!E149)</f>
        <v>#DIV/0!</v>
      </c>
      <c r="BF149" s="57" t="e">
        <f>(Links!F149*Links!AT149+'On-Ramps'!AE149*'On-Ramps'!CG149)/('On-Ramps'!AE149+Links!F149)</f>
        <v>#DIV/0!</v>
      </c>
      <c r="BG149" s="57" t="e">
        <f>(Links!I149*Links!AW149+'On-Ramps'!AF149*'On-Ramps'!CH149)/('On-Ramps'!AF149+Links!I149)</f>
        <v>#DIV/0!</v>
      </c>
      <c r="BH149" s="57" t="e">
        <f>(#REF!*#REF!+'On-Ramps'!AG149*'On-Ramps'!CI149)/('On-Ramps'!AG149+#REF!)</f>
        <v>#REF!</v>
      </c>
      <c r="BI149" s="57" t="e">
        <f>(Links!L149*Links!AZ149+'On-Ramps'!AH149*'On-Ramps'!CJ149)/('On-Ramps'!AH149+Links!L149)</f>
        <v>#DIV/0!</v>
      </c>
      <c r="BJ149" s="57" t="e">
        <f>(Links!BA149*Links!M149+'On-Ramps'!AI149*'On-Ramps'!CK149)/('On-Ramps'!AI149+Links!M149)</f>
        <v>#DIV/0!</v>
      </c>
      <c r="BK149" s="57" t="e">
        <f>(Links!S149*Links!BG149+'On-Ramps'!AJ149*'On-Ramps'!CL149)/('On-Ramps'!AJ149+Links!S149)</f>
        <v>#DIV/0!</v>
      </c>
      <c r="BL149" s="63"/>
      <c r="BM149" s="57" t="e">
        <f>(Links!S149*Links!BG149+'On-Ramps'!AL149*'On-Ramps'!CM149)/(Links!S149+'On-Ramps'!AL149)</f>
        <v>#DIV/0!</v>
      </c>
      <c r="BN149" s="63"/>
      <c r="BO149" s="58" t="e">
        <f>(Links!W149^2+'Off-Ramp'!L149^2)/(Links!W149+'Off-Ramp'!L149)</f>
        <v>#DIV/0!</v>
      </c>
      <c r="BP149" s="63"/>
      <c r="BQ149" s="58" t="e">
        <f>(Links!Y149^2+'Off-Ramp'!C149^2)/(Links!Y149+'Off-Ramp'!C149)</f>
        <v>#DIV/0!</v>
      </c>
      <c r="BR149" s="63"/>
      <c r="BS149" s="58" t="e">
        <f>(Links!AA149^2+'Off-Ramp'!N149^2)/(Links!AA149+'Off-Ramp'!N149)</f>
        <v>#DIV/0!</v>
      </c>
      <c r="BT149" s="58" t="e">
        <f>(Links!AD149^2+'Off-Ramp'!O149^2)/(Links!AD149+'Off-Ramp'!O149)</f>
        <v>#DIV/0!</v>
      </c>
      <c r="BU149" s="58" t="e">
        <f>(Links!AE149^2+'Off-Ramp'!V149^2+'Off-Ramp'!W149^2+'Off-Ramp'!X149^2)/(Links!AE149+'Off-Ramp'!V149+'Off-Ramp'!W149+'Off-Ramp'!X149)</f>
        <v>#DIV/0!</v>
      </c>
      <c r="BV149" s="58" t="e">
        <f>(Links!AG149^2+'Off-Ramp'!Y149^2+'Off-Ramp'!Z149^2+'Off-Ramp'!AA149^2)/(Links!AG149+'Off-Ramp'!Y149+'Off-Ramp'!Z149+'Off-Ramp'!AA149)</f>
        <v>#DIV/0!</v>
      </c>
      <c r="BW149" s="58" t="e">
        <f>(Links!AH149^2+'Off-Ramp'!R149^2)/(Links!AH149+'Off-Ramp'!R149)</f>
        <v>#DIV/0!</v>
      </c>
      <c r="BX149" s="58" t="e">
        <f>(Links!AK149^2+'Off-Ramp'!S149^2)/(Links!AK149+'Off-Ramp'!S149)</f>
        <v>#DIV/0!</v>
      </c>
      <c r="BY149" s="58" t="e">
        <f>(Links!AL149^2+'Off-Ramp'!T149^2)/(Links!AL149+'Off-Ramp'!T149)</f>
        <v>#DIV/0!</v>
      </c>
      <c r="BZ149" s="63"/>
      <c r="CA149" s="58" t="e">
        <f>(Links!AN149^2+'Off-Ramp'!U149^2)/(Links!AN149+'Off-Ramp'!U149)</f>
        <v>#DIV/0!</v>
      </c>
    </row>
    <row r="150" spans="1:79" x14ac:dyDescent="0.15">
      <c r="A150" s="56">
        <v>148</v>
      </c>
      <c r="B150" s="57" t="e">
        <f t="shared" si="57"/>
        <v>#DIV/0!</v>
      </c>
      <c r="C150" s="57" t="e">
        <f t="shared" si="58"/>
        <v>#DIV/0!</v>
      </c>
      <c r="D150" s="57" t="e">
        <f t="shared" si="59"/>
        <v>#DIV/0!</v>
      </c>
      <c r="E150" s="57" t="e">
        <f t="shared" si="60"/>
        <v>#DIV/0!</v>
      </c>
      <c r="F150" s="57" t="e">
        <f t="shared" si="61"/>
        <v>#DIV/0!</v>
      </c>
      <c r="G150" s="57" t="e">
        <f t="shared" si="62"/>
        <v>#DIV/0!</v>
      </c>
      <c r="H150" s="57" t="e">
        <f t="shared" si="63"/>
        <v>#DIV/0!</v>
      </c>
      <c r="I150" s="57" t="e">
        <f t="shared" si="64"/>
        <v>#DIV/0!</v>
      </c>
      <c r="J150" s="57" t="e">
        <f t="shared" si="65"/>
        <v>#DIV/0!</v>
      </c>
      <c r="K150" s="57" t="e">
        <f t="shared" si="66"/>
        <v>#DIV/0!</v>
      </c>
      <c r="L150" s="57" t="e">
        <f t="shared" si="67"/>
        <v>#DIV/0!</v>
      </c>
      <c r="M150" s="57" t="e">
        <f t="shared" si="68"/>
        <v>#DIV/0!</v>
      </c>
      <c r="N150" s="57" t="e">
        <f t="shared" si="69"/>
        <v>#DIV/0!</v>
      </c>
      <c r="O150" s="58" t="e">
        <f>Links!B150</f>
        <v>#DIV/0!</v>
      </c>
      <c r="P150" s="58" t="e">
        <f>Links!C150+'On-Ramps'!AC150</f>
        <v>#DIV/0!</v>
      </c>
      <c r="Q150" s="58" t="e">
        <f>Links!D150</f>
        <v>#DIV/0!</v>
      </c>
      <c r="R150" s="58" t="e">
        <f>Links!E150+'On-Ramps'!AD150</f>
        <v>#DIV/0!</v>
      </c>
      <c r="S150" s="58" t="e">
        <f>Links!F150+'On-Ramps'!AE150</f>
        <v>#DIV/0!</v>
      </c>
      <c r="T150" s="58" t="e">
        <f>Links!I150+'On-Ramps'!AF150</f>
        <v>#DIV/0!</v>
      </c>
      <c r="U150" s="58" t="e">
        <f>Links!J150+'On-Ramps'!AG150</f>
        <v>#DIV/0!</v>
      </c>
      <c r="V150" s="58" t="e">
        <f>Links!L150+'On-Ramps'!AH150</f>
        <v>#DIV/0!</v>
      </c>
      <c r="W150" s="58" t="e">
        <f>Links!M150+'On-Ramps'!AI150</f>
        <v>#DIV/0!</v>
      </c>
      <c r="X150" s="58" t="e">
        <f>Links!P150+'On-Ramps'!AJ150</f>
        <v>#DIV/0!</v>
      </c>
      <c r="Y150" s="58" t="e">
        <f>Links!Q150</f>
        <v>#DIV/0!</v>
      </c>
      <c r="Z150" s="58" t="e">
        <f>Links!R150+'On-Ramps'!AK150</f>
        <v>#DIV/0!</v>
      </c>
      <c r="AA150" s="58" t="e">
        <f>Links!S150</f>
        <v>#DIV/0!</v>
      </c>
      <c r="AB150" s="57" t="e">
        <f t="shared" si="70"/>
        <v>#VALUE!</v>
      </c>
      <c r="AC150" s="63"/>
      <c r="AD150" s="57" t="e">
        <f t="shared" si="71"/>
        <v>#DIV/0!</v>
      </c>
      <c r="AE150" s="63"/>
      <c r="AF150" s="57" t="e">
        <f t="shared" si="72"/>
        <v>#DIV/0!</v>
      </c>
      <c r="AG150" s="57" t="e">
        <f t="shared" si="73"/>
        <v>#DIV/0!</v>
      </c>
      <c r="AH150" s="57" t="e">
        <f t="shared" si="74"/>
        <v>#DIV/0!</v>
      </c>
      <c r="AI150" s="57" t="e">
        <f t="shared" si="75"/>
        <v>#DIV/0!</v>
      </c>
      <c r="AJ150" s="57" t="e">
        <f t="shared" si="76"/>
        <v>#DIV/0!</v>
      </c>
      <c r="AK150" s="57" t="e">
        <f t="shared" si="77"/>
        <v>#DIV/0!</v>
      </c>
      <c r="AL150" s="57" t="e">
        <f t="shared" si="78"/>
        <v>#DIV/0!</v>
      </c>
      <c r="AM150" s="63"/>
      <c r="AN150" s="57" t="e">
        <f t="shared" si="80"/>
        <v>#DIV/0!</v>
      </c>
      <c r="AO150" s="58" t="e">
        <f t="shared" si="56"/>
        <v>#VALUE!</v>
      </c>
      <c r="AP150" s="63"/>
      <c r="AQ150" s="58" t="e">
        <f t="shared" si="79"/>
        <v>#DIV/0!</v>
      </c>
      <c r="AR150" s="63"/>
      <c r="AS150" s="58" t="e">
        <f t="shared" si="79"/>
        <v>#DIV/0!</v>
      </c>
      <c r="AT150" s="58" t="e">
        <f t="shared" si="79"/>
        <v>#DIV/0!</v>
      </c>
      <c r="AU150" s="58" t="e">
        <f t="shared" si="79"/>
        <v>#DIV/0!</v>
      </c>
      <c r="AV150" s="58" t="e">
        <f t="shared" si="79"/>
        <v>#DIV/0!</v>
      </c>
      <c r="AW150" s="58" t="e">
        <f t="shared" si="79"/>
        <v>#DIV/0!</v>
      </c>
      <c r="AX150" s="58" t="e">
        <f t="shared" si="79"/>
        <v>#DIV/0!</v>
      </c>
      <c r="AY150" s="58" t="e">
        <f t="shared" si="79"/>
        <v>#DIV/0!</v>
      </c>
      <c r="AZ150" s="63"/>
      <c r="BA150" s="58" t="e">
        <f t="shared" si="79"/>
        <v>#DIV/0!</v>
      </c>
      <c r="BB150" s="63"/>
      <c r="BC150" s="57" t="e">
        <f>(Links!C150*Links!AQ150+'On-Ramps'!AC150*'On-Ramps'!CE150)/('On-Ramps'!AC150+Links!C150)</f>
        <v>#DIV/0!</v>
      </c>
      <c r="BD150" s="63"/>
      <c r="BE150" s="57" t="e">
        <f>(Links!E150*Links!AS150+'On-Ramps'!AD150*'On-Ramps'!CF149)/('On-Ramps'!AD150+Links!E150)</f>
        <v>#DIV/0!</v>
      </c>
      <c r="BF150" s="57" t="e">
        <f>(Links!F150*Links!AT150+'On-Ramps'!AE150*'On-Ramps'!CG150)/('On-Ramps'!AE150+Links!F150)</f>
        <v>#DIV/0!</v>
      </c>
      <c r="BG150" s="57" t="e">
        <f>(Links!I150*Links!AW150+'On-Ramps'!AF150*'On-Ramps'!CH150)/('On-Ramps'!AF150+Links!I150)</f>
        <v>#DIV/0!</v>
      </c>
      <c r="BH150" s="57" t="e">
        <f>(#REF!*#REF!+'On-Ramps'!AG150*'On-Ramps'!CI150)/('On-Ramps'!AG150+#REF!)</f>
        <v>#REF!</v>
      </c>
      <c r="BI150" s="57" t="e">
        <f>(Links!L150*Links!AZ150+'On-Ramps'!AH150*'On-Ramps'!CJ150)/('On-Ramps'!AH150+Links!L150)</f>
        <v>#DIV/0!</v>
      </c>
      <c r="BJ150" s="57" t="e">
        <f>(Links!BA150*Links!M150+'On-Ramps'!AI150*'On-Ramps'!CK150)/('On-Ramps'!AI150+Links!M150)</f>
        <v>#DIV/0!</v>
      </c>
      <c r="BK150" s="57" t="e">
        <f>(Links!S150*Links!BG150+'On-Ramps'!AJ150*'On-Ramps'!CL150)/('On-Ramps'!AJ150+Links!S150)</f>
        <v>#DIV/0!</v>
      </c>
      <c r="BL150" s="63"/>
      <c r="BM150" s="57" t="e">
        <f>(Links!S150*Links!BG150+'On-Ramps'!AL150*'On-Ramps'!CM150)/(Links!S150+'On-Ramps'!AL150)</f>
        <v>#DIV/0!</v>
      </c>
      <c r="BN150" s="63"/>
      <c r="BO150" s="58" t="e">
        <f>(Links!W150^2+'Off-Ramp'!L150^2)/(Links!W150+'Off-Ramp'!L150)</f>
        <v>#DIV/0!</v>
      </c>
      <c r="BP150" s="63"/>
      <c r="BQ150" s="58" t="e">
        <f>(Links!Y150^2+'Off-Ramp'!C150^2)/(Links!Y150+'Off-Ramp'!C150)</f>
        <v>#DIV/0!</v>
      </c>
      <c r="BR150" s="63"/>
      <c r="BS150" s="58" t="e">
        <f>(Links!AA150^2+'Off-Ramp'!N150^2)/(Links!AA150+'Off-Ramp'!N150)</f>
        <v>#DIV/0!</v>
      </c>
      <c r="BT150" s="58" t="e">
        <f>(Links!AD150^2+'Off-Ramp'!O150^2)/(Links!AD150+'Off-Ramp'!O150)</f>
        <v>#DIV/0!</v>
      </c>
      <c r="BU150" s="58" t="e">
        <f>(Links!AE150^2+'Off-Ramp'!V150^2+'Off-Ramp'!W150^2+'Off-Ramp'!X150^2)/(Links!AE150+'Off-Ramp'!V150+'Off-Ramp'!W150+'Off-Ramp'!X150)</f>
        <v>#DIV/0!</v>
      </c>
      <c r="BV150" s="58" t="e">
        <f>(Links!AG150^2+'Off-Ramp'!Y150^2+'Off-Ramp'!Z150^2+'Off-Ramp'!AA150^2)/(Links!AG150+'Off-Ramp'!Y150+'Off-Ramp'!Z150+'Off-Ramp'!AA150)</f>
        <v>#DIV/0!</v>
      </c>
      <c r="BW150" s="58" t="e">
        <f>(Links!AH150^2+'Off-Ramp'!R150^2)/(Links!AH150+'Off-Ramp'!R150)</f>
        <v>#DIV/0!</v>
      </c>
      <c r="BX150" s="58" t="e">
        <f>(Links!AK150^2+'Off-Ramp'!S150^2)/(Links!AK150+'Off-Ramp'!S150)</f>
        <v>#DIV/0!</v>
      </c>
      <c r="BY150" s="58" t="e">
        <f>(Links!AL150^2+'Off-Ramp'!T150^2)/(Links!AL150+'Off-Ramp'!T150)</f>
        <v>#DIV/0!</v>
      </c>
      <c r="BZ150" s="63"/>
      <c r="CA150" s="58" t="e">
        <f>(Links!AN150^2+'Off-Ramp'!U150^2)/(Links!AN150+'Off-Ramp'!U150)</f>
        <v>#DIV/0!</v>
      </c>
    </row>
    <row r="151" spans="1:79" x14ac:dyDescent="0.15">
      <c r="A151" s="56">
        <v>149</v>
      </c>
      <c r="B151" s="57" t="e">
        <f t="shared" si="57"/>
        <v>#DIV/0!</v>
      </c>
      <c r="C151" s="57" t="e">
        <f t="shared" si="58"/>
        <v>#DIV/0!</v>
      </c>
      <c r="D151" s="57" t="e">
        <f t="shared" si="59"/>
        <v>#DIV/0!</v>
      </c>
      <c r="E151" s="57" t="e">
        <f t="shared" si="60"/>
        <v>#DIV/0!</v>
      </c>
      <c r="F151" s="57" t="e">
        <f t="shared" si="61"/>
        <v>#DIV/0!</v>
      </c>
      <c r="G151" s="57" t="e">
        <f t="shared" si="62"/>
        <v>#DIV/0!</v>
      </c>
      <c r="H151" s="57" t="e">
        <f t="shared" si="63"/>
        <v>#DIV/0!</v>
      </c>
      <c r="I151" s="57" t="e">
        <f t="shared" si="64"/>
        <v>#DIV/0!</v>
      </c>
      <c r="J151" s="57" t="e">
        <f t="shared" si="65"/>
        <v>#DIV/0!</v>
      </c>
      <c r="K151" s="57" t="e">
        <f t="shared" si="66"/>
        <v>#DIV/0!</v>
      </c>
      <c r="L151" s="57" t="e">
        <f t="shared" si="67"/>
        <v>#DIV/0!</v>
      </c>
      <c r="M151" s="57" t="e">
        <f t="shared" si="68"/>
        <v>#DIV/0!</v>
      </c>
      <c r="N151" s="57" t="e">
        <f t="shared" si="69"/>
        <v>#DIV/0!</v>
      </c>
      <c r="O151" s="58" t="e">
        <f>Links!B151</f>
        <v>#DIV/0!</v>
      </c>
      <c r="P151" s="58" t="e">
        <f>Links!C151+'On-Ramps'!AC151</f>
        <v>#DIV/0!</v>
      </c>
      <c r="Q151" s="58" t="e">
        <f>Links!D151</f>
        <v>#DIV/0!</v>
      </c>
      <c r="R151" s="58" t="e">
        <f>Links!E151+'On-Ramps'!AD151</f>
        <v>#DIV/0!</v>
      </c>
      <c r="S151" s="58" t="e">
        <f>Links!F151+'On-Ramps'!AE151</f>
        <v>#DIV/0!</v>
      </c>
      <c r="T151" s="58" t="e">
        <f>Links!I151+'On-Ramps'!AF151</f>
        <v>#DIV/0!</v>
      </c>
      <c r="U151" s="58" t="e">
        <f>Links!J151+'On-Ramps'!AG151</f>
        <v>#DIV/0!</v>
      </c>
      <c r="V151" s="58" t="e">
        <f>Links!L151+'On-Ramps'!AH151</f>
        <v>#DIV/0!</v>
      </c>
      <c r="W151" s="58" t="e">
        <f>Links!M151+'On-Ramps'!AI151</f>
        <v>#DIV/0!</v>
      </c>
      <c r="X151" s="58" t="e">
        <f>Links!P151+'On-Ramps'!AJ151</f>
        <v>#DIV/0!</v>
      </c>
      <c r="Y151" s="58" t="e">
        <f>Links!Q151</f>
        <v>#DIV/0!</v>
      </c>
      <c r="Z151" s="58" t="e">
        <f>Links!R151+'On-Ramps'!AK151</f>
        <v>#DIV/0!</v>
      </c>
      <c r="AA151" s="58" t="e">
        <f>Links!S151</f>
        <v>#DIV/0!</v>
      </c>
      <c r="AB151" s="57" t="e">
        <f t="shared" si="70"/>
        <v>#VALUE!</v>
      </c>
      <c r="AC151" s="63"/>
      <c r="AD151" s="57" t="e">
        <f t="shared" si="71"/>
        <v>#DIV/0!</v>
      </c>
      <c r="AE151" s="63"/>
      <c r="AF151" s="57" t="e">
        <f t="shared" si="72"/>
        <v>#DIV/0!</v>
      </c>
      <c r="AG151" s="57" t="e">
        <f t="shared" si="73"/>
        <v>#DIV/0!</v>
      </c>
      <c r="AH151" s="57" t="e">
        <f t="shared" si="74"/>
        <v>#DIV/0!</v>
      </c>
      <c r="AI151" s="57" t="e">
        <f t="shared" si="75"/>
        <v>#DIV/0!</v>
      </c>
      <c r="AJ151" s="57" t="e">
        <f t="shared" si="76"/>
        <v>#DIV/0!</v>
      </c>
      <c r="AK151" s="57" t="e">
        <f t="shared" si="77"/>
        <v>#DIV/0!</v>
      </c>
      <c r="AL151" s="57" t="e">
        <f t="shared" si="78"/>
        <v>#DIV/0!</v>
      </c>
      <c r="AM151" s="63"/>
      <c r="AN151" s="57" t="e">
        <f t="shared" si="80"/>
        <v>#DIV/0!</v>
      </c>
      <c r="AO151" s="58" t="e">
        <f t="shared" si="56"/>
        <v>#VALUE!</v>
      </c>
      <c r="AP151" s="63"/>
      <c r="AQ151" s="58" t="e">
        <f t="shared" si="79"/>
        <v>#DIV/0!</v>
      </c>
      <c r="AR151" s="63"/>
      <c r="AS151" s="58" t="e">
        <f t="shared" si="79"/>
        <v>#DIV/0!</v>
      </c>
      <c r="AT151" s="58" t="e">
        <f t="shared" si="79"/>
        <v>#DIV/0!</v>
      </c>
      <c r="AU151" s="58" t="e">
        <f t="shared" si="79"/>
        <v>#DIV/0!</v>
      </c>
      <c r="AV151" s="58" t="e">
        <f t="shared" si="79"/>
        <v>#DIV/0!</v>
      </c>
      <c r="AW151" s="58" t="e">
        <f t="shared" si="79"/>
        <v>#DIV/0!</v>
      </c>
      <c r="AX151" s="58" t="e">
        <f t="shared" si="79"/>
        <v>#DIV/0!</v>
      </c>
      <c r="AY151" s="58" t="e">
        <f t="shared" si="79"/>
        <v>#DIV/0!</v>
      </c>
      <c r="AZ151" s="63"/>
      <c r="BA151" s="58" t="e">
        <f t="shared" si="79"/>
        <v>#DIV/0!</v>
      </c>
      <c r="BB151" s="63"/>
      <c r="BC151" s="57" t="e">
        <f>(Links!C151*Links!AQ151+'On-Ramps'!AC151*'On-Ramps'!CE151)/('On-Ramps'!AC151+Links!C151)</f>
        <v>#DIV/0!</v>
      </c>
      <c r="BD151" s="63"/>
      <c r="BE151" s="57" t="e">
        <f>(Links!E151*Links!AS151+'On-Ramps'!AD151*'On-Ramps'!CF150)/('On-Ramps'!AD151+Links!E151)</f>
        <v>#DIV/0!</v>
      </c>
      <c r="BF151" s="57" t="e">
        <f>(Links!F151*Links!AT151+'On-Ramps'!AE151*'On-Ramps'!CG151)/('On-Ramps'!AE151+Links!F151)</f>
        <v>#DIV/0!</v>
      </c>
      <c r="BG151" s="57" t="e">
        <f>(Links!I151*Links!AW151+'On-Ramps'!AF151*'On-Ramps'!CH151)/('On-Ramps'!AF151+Links!I151)</f>
        <v>#DIV/0!</v>
      </c>
      <c r="BH151" s="57" t="e">
        <f>(#REF!*#REF!+'On-Ramps'!AG151*'On-Ramps'!CI151)/('On-Ramps'!AG151+#REF!)</f>
        <v>#REF!</v>
      </c>
      <c r="BI151" s="57" t="e">
        <f>(Links!L151*Links!AZ151+'On-Ramps'!AH151*'On-Ramps'!CJ151)/('On-Ramps'!AH151+Links!L151)</f>
        <v>#DIV/0!</v>
      </c>
      <c r="BJ151" s="57" t="e">
        <f>(Links!BA151*Links!M151+'On-Ramps'!AI151*'On-Ramps'!CK151)/('On-Ramps'!AI151+Links!M151)</f>
        <v>#DIV/0!</v>
      </c>
      <c r="BK151" s="57" t="e">
        <f>(Links!S151*Links!BG151+'On-Ramps'!AJ151*'On-Ramps'!CL151)/('On-Ramps'!AJ151+Links!S151)</f>
        <v>#DIV/0!</v>
      </c>
      <c r="BL151" s="63"/>
      <c r="BM151" s="57" t="e">
        <f>(Links!S151*Links!BG151+'On-Ramps'!AL151*'On-Ramps'!CM151)/(Links!S151+'On-Ramps'!AL151)</f>
        <v>#DIV/0!</v>
      </c>
      <c r="BN151" s="63"/>
      <c r="BO151" s="58" t="e">
        <f>(Links!W151^2+'Off-Ramp'!L151^2)/(Links!W151+'Off-Ramp'!L151)</f>
        <v>#DIV/0!</v>
      </c>
      <c r="BP151" s="63"/>
      <c r="BQ151" s="58" t="e">
        <f>(Links!Y151^2+'Off-Ramp'!C151^2)/(Links!Y151+'Off-Ramp'!C151)</f>
        <v>#DIV/0!</v>
      </c>
      <c r="BR151" s="63"/>
      <c r="BS151" s="58" t="e">
        <f>(Links!AA151^2+'Off-Ramp'!N151^2)/(Links!AA151+'Off-Ramp'!N151)</f>
        <v>#DIV/0!</v>
      </c>
      <c r="BT151" s="58" t="e">
        <f>(Links!AD151^2+'Off-Ramp'!O151^2)/(Links!AD151+'Off-Ramp'!O151)</f>
        <v>#DIV/0!</v>
      </c>
      <c r="BU151" s="58" t="e">
        <f>(Links!AE151^2+'Off-Ramp'!V151^2+'Off-Ramp'!W151^2+'Off-Ramp'!X151^2)/(Links!AE151+'Off-Ramp'!V151+'Off-Ramp'!W151+'Off-Ramp'!X151)</f>
        <v>#DIV/0!</v>
      </c>
      <c r="BV151" s="58" t="e">
        <f>(Links!AG151^2+'Off-Ramp'!Y151^2+'Off-Ramp'!Z151^2+'Off-Ramp'!AA151^2)/(Links!AG151+'Off-Ramp'!Y151+'Off-Ramp'!Z151+'Off-Ramp'!AA151)</f>
        <v>#DIV/0!</v>
      </c>
      <c r="BW151" s="58" t="e">
        <f>(Links!AH151^2+'Off-Ramp'!R151^2)/(Links!AH151+'Off-Ramp'!R151)</f>
        <v>#DIV/0!</v>
      </c>
      <c r="BX151" s="58" t="e">
        <f>(Links!AK151^2+'Off-Ramp'!S151^2)/(Links!AK151+'Off-Ramp'!S151)</f>
        <v>#DIV/0!</v>
      </c>
      <c r="BY151" s="58" t="e">
        <f>(Links!AL151^2+'Off-Ramp'!T151^2)/(Links!AL151+'Off-Ramp'!T151)</f>
        <v>#DIV/0!</v>
      </c>
      <c r="BZ151" s="63"/>
      <c r="CA151" s="58" t="e">
        <f>(Links!AN151^2+'Off-Ramp'!U151^2)/(Links!AN151+'Off-Ramp'!U151)</f>
        <v>#DIV/0!</v>
      </c>
    </row>
    <row r="152" spans="1:79" x14ac:dyDescent="0.15">
      <c r="A152" s="56">
        <v>150</v>
      </c>
      <c r="B152" s="57" t="e">
        <f t="shared" si="57"/>
        <v>#DIV/0!</v>
      </c>
      <c r="C152" s="57" t="e">
        <f t="shared" si="58"/>
        <v>#DIV/0!</v>
      </c>
      <c r="D152" s="57" t="e">
        <f t="shared" si="59"/>
        <v>#DIV/0!</v>
      </c>
      <c r="E152" s="57" t="e">
        <f t="shared" si="60"/>
        <v>#DIV/0!</v>
      </c>
      <c r="F152" s="57" t="e">
        <f t="shared" si="61"/>
        <v>#DIV/0!</v>
      </c>
      <c r="G152" s="57" t="e">
        <f t="shared" si="62"/>
        <v>#DIV/0!</v>
      </c>
      <c r="H152" s="57" t="e">
        <f t="shared" si="63"/>
        <v>#DIV/0!</v>
      </c>
      <c r="I152" s="57" t="e">
        <f t="shared" si="64"/>
        <v>#DIV/0!</v>
      </c>
      <c r="J152" s="57" t="e">
        <f t="shared" si="65"/>
        <v>#DIV/0!</v>
      </c>
      <c r="K152" s="57" t="e">
        <f t="shared" si="66"/>
        <v>#DIV/0!</v>
      </c>
      <c r="L152" s="57" t="e">
        <f t="shared" si="67"/>
        <v>#DIV/0!</v>
      </c>
      <c r="M152" s="57" t="e">
        <f t="shared" si="68"/>
        <v>#DIV/0!</v>
      </c>
      <c r="N152" s="57" t="e">
        <f t="shared" si="69"/>
        <v>#DIV/0!</v>
      </c>
      <c r="O152" s="58" t="e">
        <f>Links!B152</f>
        <v>#DIV/0!</v>
      </c>
      <c r="P152" s="58" t="e">
        <f>Links!C152+'On-Ramps'!AC152</f>
        <v>#DIV/0!</v>
      </c>
      <c r="Q152" s="58" t="e">
        <f>Links!D152</f>
        <v>#DIV/0!</v>
      </c>
      <c r="R152" s="58" t="e">
        <f>Links!E152+'On-Ramps'!AD152</f>
        <v>#DIV/0!</v>
      </c>
      <c r="S152" s="58" t="e">
        <f>Links!F152+'On-Ramps'!AE152</f>
        <v>#DIV/0!</v>
      </c>
      <c r="T152" s="58" t="e">
        <f>Links!I152+'On-Ramps'!AF152</f>
        <v>#DIV/0!</v>
      </c>
      <c r="U152" s="58" t="e">
        <f>Links!J152+'On-Ramps'!AG152</f>
        <v>#DIV/0!</v>
      </c>
      <c r="V152" s="58" t="e">
        <f>Links!L152+'On-Ramps'!AH152</f>
        <v>#DIV/0!</v>
      </c>
      <c r="W152" s="58" t="e">
        <f>Links!M152+'On-Ramps'!AI152</f>
        <v>#DIV/0!</v>
      </c>
      <c r="X152" s="58" t="e">
        <f>Links!P152+'On-Ramps'!AJ152</f>
        <v>#DIV/0!</v>
      </c>
      <c r="Y152" s="58" t="e">
        <f>Links!Q152</f>
        <v>#DIV/0!</v>
      </c>
      <c r="Z152" s="58" t="e">
        <f>Links!R152+'On-Ramps'!AK152</f>
        <v>#DIV/0!</v>
      </c>
      <c r="AA152" s="58" t="e">
        <f>Links!S152</f>
        <v>#DIV/0!</v>
      </c>
      <c r="AB152" s="57" t="e">
        <f t="shared" si="70"/>
        <v>#VALUE!</v>
      </c>
      <c r="AC152" s="63"/>
      <c r="AD152" s="57" t="e">
        <f t="shared" si="71"/>
        <v>#DIV/0!</v>
      </c>
      <c r="AE152" s="63"/>
      <c r="AF152" s="57" t="e">
        <f t="shared" si="72"/>
        <v>#DIV/0!</v>
      </c>
      <c r="AG152" s="57" t="e">
        <f t="shared" si="73"/>
        <v>#DIV/0!</v>
      </c>
      <c r="AH152" s="57" t="e">
        <f t="shared" si="74"/>
        <v>#DIV/0!</v>
      </c>
      <c r="AI152" s="57" t="e">
        <f t="shared" si="75"/>
        <v>#DIV/0!</v>
      </c>
      <c r="AJ152" s="57" t="e">
        <f t="shared" si="76"/>
        <v>#DIV/0!</v>
      </c>
      <c r="AK152" s="57" t="e">
        <f t="shared" si="77"/>
        <v>#DIV/0!</v>
      </c>
      <c r="AL152" s="57" t="e">
        <f t="shared" si="78"/>
        <v>#DIV/0!</v>
      </c>
      <c r="AM152" s="63"/>
      <c r="AN152" s="57" t="e">
        <f t="shared" si="80"/>
        <v>#DIV/0!</v>
      </c>
      <c r="AO152" s="58" t="e">
        <f t="shared" si="56"/>
        <v>#VALUE!</v>
      </c>
      <c r="AP152" s="63"/>
      <c r="AQ152" s="58" t="e">
        <f t="shared" si="79"/>
        <v>#DIV/0!</v>
      </c>
      <c r="AR152" s="63"/>
      <c r="AS152" s="58" t="e">
        <f t="shared" si="79"/>
        <v>#DIV/0!</v>
      </c>
      <c r="AT152" s="58" t="e">
        <f t="shared" si="79"/>
        <v>#DIV/0!</v>
      </c>
      <c r="AU152" s="58" t="e">
        <f t="shared" si="79"/>
        <v>#DIV/0!</v>
      </c>
      <c r="AV152" s="58" t="e">
        <f t="shared" si="79"/>
        <v>#DIV/0!</v>
      </c>
      <c r="AW152" s="58" t="e">
        <f t="shared" si="79"/>
        <v>#DIV/0!</v>
      </c>
      <c r="AX152" s="58" t="e">
        <f t="shared" si="79"/>
        <v>#DIV/0!</v>
      </c>
      <c r="AY152" s="58" t="e">
        <f t="shared" si="79"/>
        <v>#DIV/0!</v>
      </c>
      <c r="AZ152" s="63"/>
      <c r="BA152" s="58" t="e">
        <f t="shared" si="79"/>
        <v>#DIV/0!</v>
      </c>
      <c r="BB152" s="63"/>
      <c r="BC152" s="57" t="e">
        <f>(Links!C152*Links!AQ152+'On-Ramps'!AC152*'On-Ramps'!CE152)/('On-Ramps'!AC152+Links!C152)</f>
        <v>#DIV/0!</v>
      </c>
      <c r="BD152" s="63"/>
      <c r="BE152" s="57" t="e">
        <f>(Links!E152*Links!AS152+'On-Ramps'!AD152*'On-Ramps'!CF151)/('On-Ramps'!AD152+Links!E152)</f>
        <v>#DIV/0!</v>
      </c>
      <c r="BF152" s="57" t="e">
        <f>(Links!F152*Links!AT152+'On-Ramps'!AE152*'On-Ramps'!CG152)/('On-Ramps'!AE152+Links!F152)</f>
        <v>#DIV/0!</v>
      </c>
      <c r="BG152" s="57" t="e">
        <f>(Links!I152*Links!AW152+'On-Ramps'!AF152*'On-Ramps'!CH152)/('On-Ramps'!AF152+Links!I152)</f>
        <v>#DIV/0!</v>
      </c>
      <c r="BH152" s="57" t="e">
        <f>(#REF!*#REF!+'On-Ramps'!AG152*'On-Ramps'!CI152)/('On-Ramps'!AG152+#REF!)</f>
        <v>#REF!</v>
      </c>
      <c r="BI152" s="57" t="e">
        <f>(Links!L152*Links!AZ152+'On-Ramps'!AH152*'On-Ramps'!CJ152)/('On-Ramps'!AH152+Links!L152)</f>
        <v>#DIV/0!</v>
      </c>
      <c r="BJ152" s="57" t="e">
        <f>(Links!BA152*Links!M152+'On-Ramps'!AI152*'On-Ramps'!CK152)/('On-Ramps'!AI152+Links!M152)</f>
        <v>#DIV/0!</v>
      </c>
      <c r="BK152" s="57" t="e">
        <f>(Links!S152*Links!BG152+'On-Ramps'!AJ152*'On-Ramps'!CL152)/('On-Ramps'!AJ152+Links!S152)</f>
        <v>#DIV/0!</v>
      </c>
      <c r="BL152" s="63"/>
      <c r="BM152" s="57" t="e">
        <f>(Links!S152*Links!BG152+'On-Ramps'!AL152*'On-Ramps'!CM152)/(Links!S152+'On-Ramps'!AL152)</f>
        <v>#DIV/0!</v>
      </c>
      <c r="BN152" s="63"/>
      <c r="BO152" s="58" t="e">
        <f>(Links!W152^2+'Off-Ramp'!L152^2)/(Links!W152+'Off-Ramp'!L152)</f>
        <v>#DIV/0!</v>
      </c>
      <c r="BP152" s="63"/>
      <c r="BQ152" s="58" t="e">
        <f>(Links!Y152^2+'Off-Ramp'!C152^2)/(Links!Y152+'Off-Ramp'!C152)</f>
        <v>#DIV/0!</v>
      </c>
      <c r="BR152" s="63"/>
      <c r="BS152" s="58" t="e">
        <f>(Links!AA152^2+'Off-Ramp'!N152^2)/(Links!AA152+'Off-Ramp'!N152)</f>
        <v>#DIV/0!</v>
      </c>
      <c r="BT152" s="58" t="e">
        <f>(Links!AD152^2+'Off-Ramp'!O152^2)/(Links!AD152+'Off-Ramp'!O152)</f>
        <v>#DIV/0!</v>
      </c>
      <c r="BU152" s="58" t="e">
        <f>(Links!AE152^2+'Off-Ramp'!V152^2+'Off-Ramp'!W152^2+'Off-Ramp'!X152^2)/(Links!AE152+'Off-Ramp'!V152+'Off-Ramp'!W152+'Off-Ramp'!X152)</f>
        <v>#DIV/0!</v>
      </c>
      <c r="BV152" s="58" t="e">
        <f>(Links!AG152^2+'Off-Ramp'!Y152^2+'Off-Ramp'!Z152^2+'Off-Ramp'!AA152^2)/(Links!AG152+'Off-Ramp'!Y152+'Off-Ramp'!Z152+'Off-Ramp'!AA152)</f>
        <v>#DIV/0!</v>
      </c>
      <c r="BW152" s="58" t="e">
        <f>(Links!AH152^2+'Off-Ramp'!R152^2)/(Links!AH152+'Off-Ramp'!R152)</f>
        <v>#DIV/0!</v>
      </c>
      <c r="BX152" s="58" t="e">
        <f>(Links!AK152^2+'Off-Ramp'!S152^2)/(Links!AK152+'Off-Ramp'!S152)</f>
        <v>#DIV/0!</v>
      </c>
      <c r="BY152" s="58" t="e">
        <f>(Links!AL152^2+'Off-Ramp'!T152^2)/(Links!AL152+'Off-Ramp'!T152)</f>
        <v>#DIV/0!</v>
      </c>
      <c r="BZ152" s="63"/>
      <c r="CA152" s="58" t="e">
        <f>(Links!AN152^2+'Off-Ramp'!U152^2)/(Links!AN152+'Off-Ramp'!U152)</f>
        <v>#DIV/0!</v>
      </c>
    </row>
    <row r="153" spans="1:79" x14ac:dyDescent="0.15">
      <c r="A153" s="56">
        <v>151</v>
      </c>
      <c r="B153" s="57" t="e">
        <f t="shared" si="57"/>
        <v>#DIV/0!</v>
      </c>
      <c r="C153" s="57" t="e">
        <f t="shared" si="58"/>
        <v>#DIV/0!</v>
      </c>
      <c r="D153" s="57" t="e">
        <f t="shared" si="59"/>
        <v>#DIV/0!</v>
      </c>
      <c r="E153" s="57" t="e">
        <f t="shared" si="60"/>
        <v>#DIV/0!</v>
      </c>
      <c r="F153" s="57" t="e">
        <f t="shared" si="61"/>
        <v>#DIV/0!</v>
      </c>
      <c r="G153" s="57" t="e">
        <f t="shared" si="62"/>
        <v>#DIV/0!</v>
      </c>
      <c r="H153" s="57" t="e">
        <f t="shared" si="63"/>
        <v>#DIV/0!</v>
      </c>
      <c r="I153" s="57" t="e">
        <f t="shared" si="64"/>
        <v>#DIV/0!</v>
      </c>
      <c r="J153" s="57" t="e">
        <f t="shared" si="65"/>
        <v>#DIV/0!</v>
      </c>
      <c r="K153" s="57" t="e">
        <f t="shared" si="66"/>
        <v>#DIV/0!</v>
      </c>
      <c r="L153" s="57" t="e">
        <f t="shared" si="67"/>
        <v>#DIV/0!</v>
      </c>
      <c r="M153" s="57" t="e">
        <f t="shared" si="68"/>
        <v>#DIV/0!</v>
      </c>
      <c r="N153" s="57" t="e">
        <f t="shared" si="69"/>
        <v>#DIV/0!</v>
      </c>
      <c r="O153" s="58" t="e">
        <f>Links!B153</f>
        <v>#DIV/0!</v>
      </c>
      <c r="P153" s="58" t="e">
        <f>Links!C153+'On-Ramps'!AC153</f>
        <v>#DIV/0!</v>
      </c>
      <c r="Q153" s="58" t="e">
        <f>Links!D153</f>
        <v>#DIV/0!</v>
      </c>
      <c r="R153" s="58" t="e">
        <f>Links!E153+'On-Ramps'!AD153</f>
        <v>#DIV/0!</v>
      </c>
      <c r="S153" s="58" t="e">
        <f>Links!F153+'On-Ramps'!AE153</f>
        <v>#DIV/0!</v>
      </c>
      <c r="T153" s="58" t="e">
        <f>Links!I153+'On-Ramps'!AF153</f>
        <v>#DIV/0!</v>
      </c>
      <c r="U153" s="58" t="e">
        <f>Links!J153+'On-Ramps'!AG153</f>
        <v>#DIV/0!</v>
      </c>
      <c r="V153" s="58" t="e">
        <f>Links!L153+'On-Ramps'!AH153</f>
        <v>#DIV/0!</v>
      </c>
      <c r="W153" s="58" t="e">
        <f>Links!M153+'On-Ramps'!AI153</f>
        <v>#DIV/0!</v>
      </c>
      <c r="X153" s="58" t="e">
        <f>Links!P153+'On-Ramps'!AJ153</f>
        <v>#DIV/0!</v>
      </c>
      <c r="Y153" s="58" t="e">
        <f>Links!Q153</f>
        <v>#DIV/0!</v>
      </c>
      <c r="Z153" s="58" t="e">
        <f>Links!R153+'On-Ramps'!AK153</f>
        <v>#DIV/0!</v>
      </c>
      <c r="AA153" s="58" t="e">
        <f>Links!S153</f>
        <v>#DIV/0!</v>
      </c>
      <c r="AB153" s="57" t="e">
        <f t="shared" si="70"/>
        <v>#VALUE!</v>
      </c>
      <c r="AC153" s="63"/>
      <c r="AD153" s="57" t="e">
        <f t="shared" si="71"/>
        <v>#DIV/0!</v>
      </c>
      <c r="AE153" s="63"/>
      <c r="AF153" s="57" t="e">
        <f t="shared" si="72"/>
        <v>#DIV/0!</v>
      </c>
      <c r="AG153" s="57" t="e">
        <f t="shared" si="73"/>
        <v>#DIV/0!</v>
      </c>
      <c r="AH153" s="57" t="e">
        <f t="shared" si="74"/>
        <v>#DIV/0!</v>
      </c>
      <c r="AI153" s="57" t="e">
        <f t="shared" si="75"/>
        <v>#DIV/0!</v>
      </c>
      <c r="AJ153" s="57" t="e">
        <f t="shared" si="76"/>
        <v>#DIV/0!</v>
      </c>
      <c r="AK153" s="57" t="e">
        <f t="shared" si="77"/>
        <v>#DIV/0!</v>
      </c>
      <c r="AL153" s="57" t="e">
        <f t="shared" si="78"/>
        <v>#DIV/0!</v>
      </c>
      <c r="AM153" s="63"/>
      <c r="AN153" s="57" t="e">
        <f t="shared" si="80"/>
        <v>#DIV/0!</v>
      </c>
      <c r="AO153" s="58" t="e">
        <f t="shared" si="56"/>
        <v>#VALUE!</v>
      </c>
      <c r="AP153" s="63"/>
      <c r="AQ153" s="58" t="e">
        <f t="shared" si="79"/>
        <v>#DIV/0!</v>
      </c>
      <c r="AR153" s="63"/>
      <c r="AS153" s="58" t="e">
        <f t="shared" si="79"/>
        <v>#DIV/0!</v>
      </c>
      <c r="AT153" s="58" t="e">
        <f t="shared" si="79"/>
        <v>#DIV/0!</v>
      </c>
      <c r="AU153" s="58" t="e">
        <f t="shared" si="79"/>
        <v>#DIV/0!</v>
      </c>
      <c r="AV153" s="58" t="e">
        <f t="shared" si="79"/>
        <v>#DIV/0!</v>
      </c>
      <c r="AW153" s="58" t="e">
        <f t="shared" si="79"/>
        <v>#DIV/0!</v>
      </c>
      <c r="AX153" s="58" t="e">
        <f t="shared" si="79"/>
        <v>#DIV/0!</v>
      </c>
      <c r="AY153" s="58" t="e">
        <f t="shared" si="79"/>
        <v>#DIV/0!</v>
      </c>
      <c r="AZ153" s="63"/>
      <c r="BA153" s="58" t="e">
        <f t="shared" si="79"/>
        <v>#DIV/0!</v>
      </c>
      <c r="BB153" s="63"/>
      <c r="BC153" s="57" t="e">
        <f>(Links!C153*Links!AQ153+'On-Ramps'!AC153*'On-Ramps'!CE153)/('On-Ramps'!AC153+Links!C153)</f>
        <v>#DIV/0!</v>
      </c>
      <c r="BD153" s="63"/>
      <c r="BE153" s="57" t="e">
        <f>(Links!E153*Links!AS153+'On-Ramps'!AD153*'On-Ramps'!CF152)/('On-Ramps'!AD153+Links!E153)</f>
        <v>#DIV/0!</v>
      </c>
      <c r="BF153" s="57" t="e">
        <f>(Links!F153*Links!AT153+'On-Ramps'!AE153*'On-Ramps'!CG153)/('On-Ramps'!AE153+Links!F153)</f>
        <v>#DIV/0!</v>
      </c>
      <c r="BG153" s="57" t="e">
        <f>(Links!I153*Links!AW153+'On-Ramps'!AF153*'On-Ramps'!CH153)/('On-Ramps'!AF153+Links!I153)</f>
        <v>#DIV/0!</v>
      </c>
      <c r="BH153" s="57" t="e">
        <f>(#REF!*#REF!+'On-Ramps'!AG153*'On-Ramps'!CI153)/('On-Ramps'!AG153+#REF!)</f>
        <v>#REF!</v>
      </c>
      <c r="BI153" s="57" t="e">
        <f>(Links!L153*Links!AZ153+'On-Ramps'!AH153*'On-Ramps'!CJ153)/('On-Ramps'!AH153+Links!L153)</f>
        <v>#DIV/0!</v>
      </c>
      <c r="BJ153" s="57" t="e">
        <f>(Links!BA153*Links!M153+'On-Ramps'!AI153*'On-Ramps'!CK153)/('On-Ramps'!AI153+Links!M153)</f>
        <v>#DIV/0!</v>
      </c>
      <c r="BK153" s="57" t="e">
        <f>(Links!S153*Links!BG153+'On-Ramps'!AJ153*'On-Ramps'!CL153)/('On-Ramps'!AJ153+Links!S153)</f>
        <v>#DIV/0!</v>
      </c>
      <c r="BL153" s="63"/>
      <c r="BM153" s="57" t="e">
        <f>(Links!S153*Links!BG153+'On-Ramps'!AL153*'On-Ramps'!CM153)/(Links!S153+'On-Ramps'!AL153)</f>
        <v>#DIV/0!</v>
      </c>
      <c r="BN153" s="63"/>
      <c r="BO153" s="58" t="e">
        <f>(Links!W153^2+'Off-Ramp'!L153^2)/(Links!W153+'Off-Ramp'!L153)</f>
        <v>#DIV/0!</v>
      </c>
      <c r="BP153" s="63"/>
      <c r="BQ153" s="58" t="e">
        <f>(Links!Y153^2+'Off-Ramp'!C153^2)/(Links!Y153+'Off-Ramp'!C153)</f>
        <v>#DIV/0!</v>
      </c>
      <c r="BR153" s="63"/>
      <c r="BS153" s="58" t="e">
        <f>(Links!AA153^2+'Off-Ramp'!N153^2)/(Links!AA153+'Off-Ramp'!N153)</f>
        <v>#DIV/0!</v>
      </c>
      <c r="BT153" s="58" t="e">
        <f>(Links!AD153^2+'Off-Ramp'!O153^2)/(Links!AD153+'Off-Ramp'!O153)</f>
        <v>#DIV/0!</v>
      </c>
      <c r="BU153" s="58" t="e">
        <f>(Links!AE153^2+'Off-Ramp'!V153^2+'Off-Ramp'!W153^2+'Off-Ramp'!X153^2)/(Links!AE153+'Off-Ramp'!V153+'Off-Ramp'!W153+'Off-Ramp'!X153)</f>
        <v>#DIV/0!</v>
      </c>
      <c r="BV153" s="58" t="e">
        <f>(Links!AG153^2+'Off-Ramp'!Y153^2+'Off-Ramp'!Z153^2+'Off-Ramp'!AA153^2)/(Links!AG153+'Off-Ramp'!Y153+'Off-Ramp'!Z153+'Off-Ramp'!AA153)</f>
        <v>#DIV/0!</v>
      </c>
      <c r="BW153" s="58" t="e">
        <f>(Links!AH153^2+'Off-Ramp'!R153^2)/(Links!AH153+'Off-Ramp'!R153)</f>
        <v>#DIV/0!</v>
      </c>
      <c r="BX153" s="58" t="e">
        <f>(Links!AK153^2+'Off-Ramp'!S153^2)/(Links!AK153+'Off-Ramp'!S153)</f>
        <v>#DIV/0!</v>
      </c>
      <c r="BY153" s="58" t="e">
        <f>(Links!AL153^2+'Off-Ramp'!T153^2)/(Links!AL153+'Off-Ramp'!T153)</f>
        <v>#DIV/0!</v>
      </c>
      <c r="BZ153" s="63"/>
      <c r="CA153" s="58" t="e">
        <f>(Links!AN153^2+'Off-Ramp'!U153^2)/(Links!AN153+'Off-Ramp'!U153)</f>
        <v>#DIV/0!</v>
      </c>
    </row>
    <row r="154" spans="1:79" x14ac:dyDescent="0.15">
      <c r="A154" s="56">
        <v>152</v>
      </c>
      <c r="B154" s="57" t="e">
        <f t="shared" si="57"/>
        <v>#DIV/0!</v>
      </c>
      <c r="C154" s="57" t="e">
        <f t="shared" si="58"/>
        <v>#DIV/0!</v>
      </c>
      <c r="D154" s="57" t="e">
        <f t="shared" si="59"/>
        <v>#DIV/0!</v>
      </c>
      <c r="E154" s="57" t="e">
        <f t="shared" si="60"/>
        <v>#DIV/0!</v>
      </c>
      <c r="F154" s="57" t="e">
        <f t="shared" si="61"/>
        <v>#DIV/0!</v>
      </c>
      <c r="G154" s="57" t="e">
        <f t="shared" si="62"/>
        <v>#DIV/0!</v>
      </c>
      <c r="H154" s="57" t="e">
        <f t="shared" si="63"/>
        <v>#DIV/0!</v>
      </c>
      <c r="I154" s="57" t="e">
        <f t="shared" si="64"/>
        <v>#DIV/0!</v>
      </c>
      <c r="J154" s="57" t="e">
        <f t="shared" si="65"/>
        <v>#DIV/0!</v>
      </c>
      <c r="K154" s="57" t="e">
        <f t="shared" si="66"/>
        <v>#DIV/0!</v>
      </c>
      <c r="L154" s="57" t="e">
        <f t="shared" si="67"/>
        <v>#DIV/0!</v>
      </c>
      <c r="M154" s="57" t="e">
        <f t="shared" si="68"/>
        <v>#DIV/0!</v>
      </c>
      <c r="N154" s="57" t="e">
        <f t="shared" si="69"/>
        <v>#DIV/0!</v>
      </c>
      <c r="O154" s="58" t="e">
        <f>Links!B154</f>
        <v>#DIV/0!</v>
      </c>
      <c r="P154" s="58" t="e">
        <f>Links!C154+'On-Ramps'!AC154</f>
        <v>#DIV/0!</v>
      </c>
      <c r="Q154" s="58" t="e">
        <f>Links!D154</f>
        <v>#DIV/0!</v>
      </c>
      <c r="R154" s="58" t="e">
        <f>Links!E154+'On-Ramps'!AD154</f>
        <v>#DIV/0!</v>
      </c>
      <c r="S154" s="58" t="e">
        <f>Links!F154+'On-Ramps'!AE154</f>
        <v>#DIV/0!</v>
      </c>
      <c r="T154" s="58" t="e">
        <f>Links!I154+'On-Ramps'!AF154</f>
        <v>#DIV/0!</v>
      </c>
      <c r="U154" s="58" t="e">
        <f>Links!J154+'On-Ramps'!AG154</f>
        <v>#DIV/0!</v>
      </c>
      <c r="V154" s="58" t="e">
        <f>Links!L154+'On-Ramps'!AH154</f>
        <v>#DIV/0!</v>
      </c>
      <c r="W154" s="58" t="e">
        <f>Links!M154+'On-Ramps'!AI154</f>
        <v>#DIV/0!</v>
      </c>
      <c r="X154" s="58" t="e">
        <f>Links!P154+'On-Ramps'!AJ154</f>
        <v>#DIV/0!</v>
      </c>
      <c r="Y154" s="58" t="e">
        <f>Links!Q154</f>
        <v>#DIV/0!</v>
      </c>
      <c r="Z154" s="58" t="e">
        <f>Links!R154+'On-Ramps'!AK154</f>
        <v>#DIV/0!</v>
      </c>
      <c r="AA154" s="58" t="e">
        <f>Links!S154</f>
        <v>#DIV/0!</v>
      </c>
      <c r="AB154" s="57" t="e">
        <f t="shared" si="70"/>
        <v>#VALUE!</v>
      </c>
      <c r="AC154" s="63"/>
      <c r="AD154" s="57" t="e">
        <f t="shared" si="71"/>
        <v>#DIV/0!</v>
      </c>
      <c r="AE154" s="63"/>
      <c r="AF154" s="57" t="e">
        <f t="shared" si="72"/>
        <v>#DIV/0!</v>
      </c>
      <c r="AG154" s="57" t="e">
        <f t="shared" si="73"/>
        <v>#DIV/0!</v>
      </c>
      <c r="AH154" s="57" t="e">
        <f t="shared" si="74"/>
        <v>#DIV/0!</v>
      </c>
      <c r="AI154" s="57" t="e">
        <f t="shared" si="75"/>
        <v>#DIV/0!</v>
      </c>
      <c r="AJ154" s="57" t="e">
        <f t="shared" si="76"/>
        <v>#DIV/0!</v>
      </c>
      <c r="AK154" s="57" t="e">
        <f t="shared" si="77"/>
        <v>#DIV/0!</v>
      </c>
      <c r="AL154" s="57" t="e">
        <f t="shared" si="78"/>
        <v>#DIV/0!</v>
      </c>
      <c r="AM154" s="63"/>
      <c r="AN154" s="57" t="e">
        <f t="shared" si="80"/>
        <v>#DIV/0!</v>
      </c>
      <c r="AO154" s="58" t="e">
        <f t="shared" si="56"/>
        <v>#VALUE!</v>
      </c>
      <c r="AP154" s="63"/>
      <c r="AQ154" s="58" t="e">
        <f t="shared" si="79"/>
        <v>#DIV/0!</v>
      </c>
      <c r="AR154" s="63"/>
      <c r="AS154" s="58" t="e">
        <f t="shared" si="79"/>
        <v>#DIV/0!</v>
      </c>
      <c r="AT154" s="58" t="e">
        <f t="shared" si="79"/>
        <v>#DIV/0!</v>
      </c>
      <c r="AU154" s="58" t="e">
        <f t="shared" si="79"/>
        <v>#DIV/0!</v>
      </c>
      <c r="AV154" s="58" t="e">
        <f t="shared" si="79"/>
        <v>#DIV/0!</v>
      </c>
      <c r="AW154" s="58" t="e">
        <f t="shared" si="79"/>
        <v>#DIV/0!</v>
      </c>
      <c r="AX154" s="58" t="e">
        <f t="shared" si="79"/>
        <v>#DIV/0!</v>
      </c>
      <c r="AY154" s="58" t="e">
        <f t="shared" si="79"/>
        <v>#DIV/0!</v>
      </c>
      <c r="AZ154" s="63"/>
      <c r="BA154" s="58" t="e">
        <f t="shared" si="79"/>
        <v>#DIV/0!</v>
      </c>
      <c r="BB154" s="63"/>
      <c r="BC154" s="57" t="e">
        <f>(Links!C154*Links!AQ154+'On-Ramps'!AC154*'On-Ramps'!CE154)/('On-Ramps'!AC154+Links!C154)</f>
        <v>#DIV/0!</v>
      </c>
      <c r="BD154" s="63"/>
      <c r="BE154" s="57" t="e">
        <f>(Links!E154*Links!AS154+'On-Ramps'!AD154*'On-Ramps'!CF153)/('On-Ramps'!AD154+Links!E154)</f>
        <v>#DIV/0!</v>
      </c>
      <c r="BF154" s="57" t="e">
        <f>(Links!F154*Links!AT154+'On-Ramps'!AE154*'On-Ramps'!CG154)/('On-Ramps'!AE154+Links!F154)</f>
        <v>#DIV/0!</v>
      </c>
      <c r="BG154" s="57" t="e">
        <f>(Links!I154*Links!AW154+'On-Ramps'!AF154*'On-Ramps'!CH154)/('On-Ramps'!AF154+Links!I154)</f>
        <v>#DIV/0!</v>
      </c>
      <c r="BH154" s="57" t="e">
        <f>(#REF!*#REF!+'On-Ramps'!AG154*'On-Ramps'!CI154)/('On-Ramps'!AG154+#REF!)</f>
        <v>#REF!</v>
      </c>
      <c r="BI154" s="57" t="e">
        <f>(Links!L154*Links!AZ154+'On-Ramps'!AH154*'On-Ramps'!CJ154)/('On-Ramps'!AH154+Links!L154)</f>
        <v>#DIV/0!</v>
      </c>
      <c r="BJ154" s="57" t="e">
        <f>(Links!BA154*Links!M154+'On-Ramps'!AI154*'On-Ramps'!CK154)/('On-Ramps'!AI154+Links!M154)</f>
        <v>#DIV/0!</v>
      </c>
      <c r="BK154" s="57" t="e">
        <f>(Links!S154*Links!BG154+'On-Ramps'!AJ154*'On-Ramps'!CL154)/('On-Ramps'!AJ154+Links!S154)</f>
        <v>#DIV/0!</v>
      </c>
      <c r="BL154" s="63"/>
      <c r="BM154" s="57" t="e">
        <f>(Links!S154*Links!BG154+'On-Ramps'!AL154*'On-Ramps'!CM154)/(Links!S154+'On-Ramps'!AL154)</f>
        <v>#DIV/0!</v>
      </c>
      <c r="BN154" s="63"/>
      <c r="BO154" s="58" t="e">
        <f>(Links!W154^2+'Off-Ramp'!L154^2)/(Links!W154+'Off-Ramp'!L154)</f>
        <v>#DIV/0!</v>
      </c>
      <c r="BP154" s="63"/>
      <c r="BQ154" s="58" t="e">
        <f>(Links!Y154^2+'Off-Ramp'!C154^2)/(Links!Y154+'Off-Ramp'!C154)</f>
        <v>#DIV/0!</v>
      </c>
      <c r="BR154" s="63"/>
      <c r="BS154" s="58" t="e">
        <f>(Links!AA154^2+'Off-Ramp'!N154^2)/(Links!AA154+'Off-Ramp'!N154)</f>
        <v>#DIV/0!</v>
      </c>
      <c r="BT154" s="58" t="e">
        <f>(Links!AD154^2+'Off-Ramp'!O154^2)/(Links!AD154+'Off-Ramp'!O154)</f>
        <v>#DIV/0!</v>
      </c>
      <c r="BU154" s="58" t="e">
        <f>(Links!AE154^2+'Off-Ramp'!V154^2+'Off-Ramp'!W154^2+'Off-Ramp'!X154^2)/(Links!AE154+'Off-Ramp'!V154+'Off-Ramp'!W154+'Off-Ramp'!X154)</f>
        <v>#DIV/0!</v>
      </c>
      <c r="BV154" s="58" t="e">
        <f>(Links!AG154^2+'Off-Ramp'!Y154^2+'Off-Ramp'!Z154^2+'Off-Ramp'!AA154^2)/(Links!AG154+'Off-Ramp'!Y154+'Off-Ramp'!Z154+'Off-Ramp'!AA154)</f>
        <v>#DIV/0!</v>
      </c>
      <c r="BW154" s="58" t="e">
        <f>(Links!AH154^2+'Off-Ramp'!R154^2)/(Links!AH154+'Off-Ramp'!R154)</f>
        <v>#DIV/0!</v>
      </c>
      <c r="BX154" s="58" t="e">
        <f>(Links!AK154^2+'Off-Ramp'!S154^2)/(Links!AK154+'Off-Ramp'!S154)</f>
        <v>#DIV/0!</v>
      </c>
      <c r="BY154" s="58" t="e">
        <f>(Links!AL154^2+'Off-Ramp'!T154^2)/(Links!AL154+'Off-Ramp'!T154)</f>
        <v>#DIV/0!</v>
      </c>
      <c r="BZ154" s="63"/>
      <c r="CA154" s="58" t="e">
        <f>(Links!AN154^2+'Off-Ramp'!U154^2)/(Links!AN154+'Off-Ramp'!U154)</f>
        <v>#DIV/0!</v>
      </c>
    </row>
    <row r="155" spans="1:79" x14ac:dyDescent="0.15">
      <c r="A155" s="56">
        <v>153</v>
      </c>
      <c r="B155" s="57" t="e">
        <f t="shared" si="57"/>
        <v>#DIV/0!</v>
      </c>
      <c r="C155" s="57" t="e">
        <f t="shared" si="58"/>
        <v>#DIV/0!</v>
      </c>
      <c r="D155" s="57" t="e">
        <f t="shared" si="59"/>
        <v>#DIV/0!</v>
      </c>
      <c r="E155" s="57" t="e">
        <f t="shared" si="60"/>
        <v>#DIV/0!</v>
      </c>
      <c r="F155" s="57" t="e">
        <f t="shared" si="61"/>
        <v>#DIV/0!</v>
      </c>
      <c r="G155" s="57" t="e">
        <f t="shared" si="62"/>
        <v>#DIV/0!</v>
      </c>
      <c r="H155" s="57" t="e">
        <f t="shared" si="63"/>
        <v>#DIV/0!</v>
      </c>
      <c r="I155" s="57" t="e">
        <f t="shared" si="64"/>
        <v>#DIV/0!</v>
      </c>
      <c r="J155" s="57" t="e">
        <f t="shared" si="65"/>
        <v>#DIV/0!</v>
      </c>
      <c r="K155" s="57" t="e">
        <f t="shared" si="66"/>
        <v>#DIV/0!</v>
      </c>
      <c r="L155" s="57" t="e">
        <f t="shared" si="67"/>
        <v>#DIV/0!</v>
      </c>
      <c r="M155" s="57" t="e">
        <f t="shared" si="68"/>
        <v>#DIV/0!</v>
      </c>
      <c r="N155" s="57" t="e">
        <f t="shared" si="69"/>
        <v>#DIV/0!</v>
      </c>
      <c r="O155" s="58" t="e">
        <f>Links!B155</f>
        <v>#DIV/0!</v>
      </c>
      <c r="P155" s="58" t="e">
        <f>Links!C155+'On-Ramps'!AC155</f>
        <v>#DIV/0!</v>
      </c>
      <c r="Q155" s="58" t="e">
        <f>Links!D155</f>
        <v>#DIV/0!</v>
      </c>
      <c r="R155" s="58" t="e">
        <f>Links!E155+'On-Ramps'!AD155</f>
        <v>#DIV/0!</v>
      </c>
      <c r="S155" s="58" t="e">
        <f>Links!F155+'On-Ramps'!AE155</f>
        <v>#DIV/0!</v>
      </c>
      <c r="T155" s="58" t="e">
        <f>Links!I155+'On-Ramps'!AF155</f>
        <v>#DIV/0!</v>
      </c>
      <c r="U155" s="58" t="e">
        <f>Links!J155+'On-Ramps'!AG155</f>
        <v>#DIV/0!</v>
      </c>
      <c r="V155" s="58" t="e">
        <f>Links!L155+'On-Ramps'!AH155</f>
        <v>#DIV/0!</v>
      </c>
      <c r="W155" s="58" t="e">
        <f>Links!M155+'On-Ramps'!AI155</f>
        <v>#DIV/0!</v>
      </c>
      <c r="X155" s="58" t="e">
        <f>Links!P155+'On-Ramps'!AJ155</f>
        <v>#DIV/0!</v>
      </c>
      <c r="Y155" s="58" t="e">
        <f>Links!Q155</f>
        <v>#DIV/0!</v>
      </c>
      <c r="Z155" s="58" t="e">
        <f>Links!R155+'On-Ramps'!AK155</f>
        <v>#DIV/0!</v>
      </c>
      <c r="AA155" s="58" t="e">
        <f>Links!S155</f>
        <v>#DIV/0!</v>
      </c>
      <c r="AB155" s="57" t="e">
        <f t="shared" si="70"/>
        <v>#VALUE!</v>
      </c>
      <c r="AC155" s="63"/>
      <c r="AD155" s="57" t="e">
        <f t="shared" si="71"/>
        <v>#DIV/0!</v>
      </c>
      <c r="AE155" s="63"/>
      <c r="AF155" s="57" t="e">
        <f t="shared" si="72"/>
        <v>#DIV/0!</v>
      </c>
      <c r="AG155" s="57" t="e">
        <f t="shared" si="73"/>
        <v>#DIV/0!</v>
      </c>
      <c r="AH155" s="57" t="e">
        <f t="shared" si="74"/>
        <v>#DIV/0!</v>
      </c>
      <c r="AI155" s="57" t="e">
        <f t="shared" si="75"/>
        <v>#DIV/0!</v>
      </c>
      <c r="AJ155" s="57" t="e">
        <f t="shared" si="76"/>
        <v>#DIV/0!</v>
      </c>
      <c r="AK155" s="57" t="e">
        <f t="shared" si="77"/>
        <v>#DIV/0!</v>
      </c>
      <c r="AL155" s="57" t="e">
        <f t="shared" si="78"/>
        <v>#DIV/0!</v>
      </c>
      <c r="AM155" s="63"/>
      <c r="AN155" s="57" t="e">
        <f t="shared" si="80"/>
        <v>#DIV/0!</v>
      </c>
      <c r="AO155" s="58" t="e">
        <f t="shared" si="56"/>
        <v>#VALUE!</v>
      </c>
      <c r="AP155" s="63"/>
      <c r="AQ155" s="58" t="e">
        <f t="shared" si="79"/>
        <v>#DIV/0!</v>
      </c>
      <c r="AR155" s="63"/>
      <c r="AS155" s="58" t="e">
        <f t="shared" si="79"/>
        <v>#DIV/0!</v>
      </c>
      <c r="AT155" s="58" t="e">
        <f t="shared" si="79"/>
        <v>#DIV/0!</v>
      </c>
      <c r="AU155" s="58" t="e">
        <f t="shared" si="79"/>
        <v>#DIV/0!</v>
      </c>
      <c r="AV155" s="58" t="e">
        <f t="shared" si="79"/>
        <v>#DIV/0!</v>
      </c>
      <c r="AW155" s="58" t="e">
        <f t="shared" si="79"/>
        <v>#DIV/0!</v>
      </c>
      <c r="AX155" s="58" t="e">
        <f t="shared" si="79"/>
        <v>#DIV/0!</v>
      </c>
      <c r="AY155" s="58" t="e">
        <f t="shared" si="79"/>
        <v>#DIV/0!</v>
      </c>
      <c r="AZ155" s="63"/>
      <c r="BA155" s="58" t="e">
        <f t="shared" si="79"/>
        <v>#DIV/0!</v>
      </c>
      <c r="BB155" s="63"/>
      <c r="BC155" s="57" t="e">
        <f>(Links!C155*Links!AQ155+'On-Ramps'!AC155*'On-Ramps'!CE155)/('On-Ramps'!AC155+Links!C155)</f>
        <v>#DIV/0!</v>
      </c>
      <c r="BD155" s="63"/>
      <c r="BE155" s="57" t="e">
        <f>(Links!E155*Links!AS155+'On-Ramps'!AD155*'On-Ramps'!CF154)/('On-Ramps'!AD155+Links!E155)</f>
        <v>#DIV/0!</v>
      </c>
      <c r="BF155" s="57" t="e">
        <f>(Links!F155*Links!AT155+'On-Ramps'!AE155*'On-Ramps'!CG155)/('On-Ramps'!AE155+Links!F155)</f>
        <v>#DIV/0!</v>
      </c>
      <c r="BG155" s="57" t="e">
        <f>(Links!I155*Links!AW155+'On-Ramps'!AF155*'On-Ramps'!CH155)/('On-Ramps'!AF155+Links!I155)</f>
        <v>#DIV/0!</v>
      </c>
      <c r="BH155" s="57" t="e">
        <f>(#REF!*#REF!+'On-Ramps'!AG155*'On-Ramps'!CI155)/('On-Ramps'!AG155+#REF!)</f>
        <v>#REF!</v>
      </c>
      <c r="BI155" s="57" t="e">
        <f>(Links!L155*Links!AZ155+'On-Ramps'!AH155*'On-Ramps'!CJ155)/('On-Ramps'!AH155+Links!L155)</f>
        <v>#DIV/0!</v>
      </c>
      <c r="BJ155" s="57" t="e">
        <f>(Links!BA155*Links!M155+'On-Ramps'!AI155*'On-Ramps'!CK155)/('On-Ramps'!AI155+Links!M155)</f>
        <v>#DIV/0!</v>
      </c>
      <c r="BK155" s="57" t="e">
        <f>(Links!S155*Links!BG155+'On-Ramps'!AJ155*'On-Ramps'!CL155)/('On-Ramps'!AJ155+Links!S155)</f>
        <v>#DIV/0!</v>
      </c>
      <c r="BL155" s="63"/>
      <c r="BM155" s="57" t="e">
        <f>(Links!S155*Links!BG155+'On-Ramps'!AL155*'On-Ramps'!CM155)/(Links!S155+'On-Ramps'!AL155)</f>
        <v>#DIV/0!</v>
      </c>
      <c r="BN155" s="63"/>
      <c r="BO155" s="58" t="e">
        <f>(Links!W155^2+'Off-Ramp'!L155^2)/(Links!W155+'Off-Ramp'!L155)</f>
        <v>#DIV/0!</v>
      </c>
      <c r="BP155" s="63"/>
      <c r="BQ155" s="58" t="e">
        <f>(Links!Y155^2+'Off-Ramp'!C155^2)/(Links!Y155+'Off-Ramp'!C155)</f>
        <v>#DIV/0!</v>
      </c>
      <c r="BR155" s="63"/>
      <c r="BS155" s="58" t="e">
        <f>(Links!AA155^2+'Off-Ramp'!N155^2)/(Links!AA155+'Off-Ramp'!N155)</f>
        <v>#DIV/0!</v>
      </c>
      <c r="BT155" s="58" t="e">
        <f>(Links!AD155^2+'Off-Ramp'!O155^2)/(Links!AD155+'Off-Ramp'!O155)</f>
        <v>#DIV/0!</v>
      </c>
      <c r="BU155" s="58" t="e">
        <f>(Links!AE155^2+'Off-Ramp'!V155^2+'Off-Ramp'!W155^2+'Off-Ramp'!X155^2)/(Links!AE155+'Off-Ramp'!V155+'Off-Ramp'!W155+'Off-Ramp'!X155)</f>
        <v>#DIV/0!</v>
      </c>
      <c r="BV155" s="58" t="e">
        <f>(Links!AG155^2+'Off-Ramp'!Y155^2+'Off-Ramp'!Z155^2+'Off-Ramp'!AA155^2)/(Links!AG155+'Off-Ramp'!Y155+'Off-Ramp'!Z155+'Off-Ramp'!AA155)</f>
        <v>#DIV/0!</v>
      </c>
      <c r="BW155" s="58" t="e">
        <f>(Links!AH155^2+'Off-Ramp'!R155^2)/(Links!AH155+'Off-Ramp'!R155)</f>
        <v>#DIV/0!</v>
      </c>
      <c r="BX155" s="58" t="e">
        <f>(Links!AK155^2+'Off-Ramp'!S155^2)/(Links!AK155+'Off-Ramp'!S155)</f>
        <v>#DIV/0!</v>
      </c>
      <c r="BY155" s="58" t="e">
        <f>(Links!AL155^2+'Off-Ramp'!T155^2)/(Links!AL155+'Off-Ramp'!T155)</f>
        <v>#DIV/0!</v>
      </c>
      <c r="BZ155" s="63"/>
      <c r="CA155" s="58" t="e">
        <f>(Links!AN155^2+'Off-Ramp'!U155^2)/(Links!AN155+'Off-Ramp'!U155)</f>
        <v>#DIV/0!</v>
      </c>
    </row>
    <row r="156" spans="1:79" x14ac:dyDescent="0.15">
      <c r="A156" s="56">
        <v>154</v>
      </c>
      <c r="B156" s="57" t="e">
        <f t="shared" si="57"/>
        <v>#DIV/0!</v>
      </c>
      <c r="C156" s="57" t="e">
        <f t="shared" si="58"/>
        <v>#DIV/0!</v>
      </c>
      <c r="D156" s="57" t="e">
        <f t="shared" si="59"/>
        <v>#DIV/0!</v>
      </c>
      <c r="E156" s="57" t="e">
        <f t="shared" si="60"/>
        <v>#DIV/0!</v>
      </c>
      <c r="F156" s="57" t="e">
        <f t="shared" si="61"/>
        <v>#DIV/0!</v>
      </c>
      <c r="G156" s="57" t="e">
        <f t="shared" si="62"/>
        <v>#DIV/0!</v>
      </c>
      <c r="H156" s="57" t="e">
        <f t="shared" si="63"/>
        <v>#DIV/0!</v>
      </c>
      <c r="I156" s="57" t="e">
        <f t="shared" si="64"/>
        <v>#DIV/0!</v>
      </c>
      <c r="J156" s="57" t="e">
        <f t="shared" si="65"/>
        <v>#DIV/0!</v>
      </c>
      <c r="K156" s="57" t="e">
        <f t="shared" si="66"/>
        <v>#DIV/0!</v>
      </c>
      <c r="L156" s="57" t="e">
        <f t="shared" si="67"/>
        <v>#DIV/0!</v>
      </c>
      <c r="M156" s="57" t="e">
        <f t="shared" si="68"/>
        <v>#DIV/0!</v>
      </c>
      <c r="N156" s="57" t="e">
        <f t="shared" si="69"/>
        <v>#DIV/0!</v>
      </c>
      <c r="O156" s="58" t="e">
        <f>Links!B156</f>
        <v>#DIV/0!</v>
      </c>
      <c r="P156" s="58" t="e">
        <f>Links!C156+'On-Ramps'!AC156</f>
        <v>#DIV/0!</v>
      </c>
      <c r="Q156" s="58" t="e">
        <f>Links!D156</f>
        <v>#DIV/0!</v>
      </c>
      <c r="R156" s="58" t="e">
        <f>Links!E156+'On-Ramps'!AD156</f>
        <v>#DIV/0!</v>
      </c>
      <c r="S156" s="58" t="e">
        <f>Links!F156+'On-Ramps'!AE156</f>
        <v>#DIV/0!</v>
      </c>
      <c r="T156" s="58" t="e">
        <f>Links!I156+'On-Ramps'!AF156</f>
        <v>#DIV/0!</v>
      </c>
      <c r="U156" s="58" t="e">
        <f>Links!J156+'On-Ramps'!AG156</f>
        <v>#DIV/0!</v>
      </c>
      <c r="V156" s="58" t="e">
        <f>Links!L156+'On-Ramps'!AH156</f>
        <v>#DIV/0!</v>
      </c>
      <c r="W156" s="58" t="e">
        <f>Links!M156+'On-Ramps'!AI156</f>
        <v>#DIV/0!</v>
      </c>
      <c r="X156" s="58" t="e">
        <f>Links!P156+'On-Ramps'!AJ156</f>
        <v>#DIV/0!</v>
      </c>
      <c r="Y156" s="58" t="e">
        <f>Links!Q156</f>
        <v>#DIV/0!</v>
      </c>
      <c r="Z156" s="58" t="e">
        <f>Links!R156+'On-Ramps'!AK156</f>
        <v>#DIV/0!</v>
      </c>
      <c r="AA156" s="58" t="e">
        <f>Links!S156</f>
        <v>#DIV/0!</v>
      </c>
      <c r="AB156" s="57" t="e">
        <f t="shared" si="70"/>
        <v>#VALUE!</v>
      </c>
      <c r="AC156" s="63"/>
      <c r="AD156" s="57" t="e">
        <f t="shared" si="71"/>
        <v>#DIV/0!</v>
      </c>
      <c r="AE156" s="63"/>
      <c r="AF156" s="57" t="e">
        <f t="shared" si="72"/>
        <v>#DIV/0!</v>
      </c>
      <c r="AG156" s="57" t="e">
        <f t="shared" si="73"/>
        <v>#DIV/0!</v>
      </c>
      <c r="AH156" s="57" t="e">
        <f t="shared" si="74"/>
        <v>#DIV/0!</v>
      </c>
      <c r="AI156" s="57" t="e">
        <f t="shared" si="75"/>
        <v>#DIV/0!</v>
      </c>
      <c r="AJ156" s="57" t="e">
        <f t="shared" si="76"/>
        <v>#DIV/0!</v>
      </c>
      <c r="AK156" s="57" t="e">
        <f t="shared" si="77"/>
        <v>#DIV/0!</v>
      </c>
      <c r="AL156" s="57" t="e">
        <f t="shared" si="78"/>
        <v>#DIV/0!</v>
      </c>
      <c r="AM156" s="63"/>
      <c r="AN156" s="57" t="e">
        <f t="shared" si="80"/>
        <v>#DIV/0!</v>
      </c>
      <c r="AO156" s="58" t="e">
        <f t="shared" si="56"/>
        <v>#VALUE!</v>
      </c>
      <c r="AP156" s="63"/>
      <c r="AQ156" s="58" t="e">
        <f t="shared" si="79"/>
        <v>#DIV/0!</v>
      </c>
      <c r="AR156" s="63"/>
      <c r="AS156" s="58" t="e">
        <f t="shared" si="79"/>
        <v>#DIV/0!</v>
      </c>
      <c r="AT156" s="58" t="e">
        <f t="shared" si="79"/>
        <v>#DIV/0!</v>
      </c>
      <c r="AU156" s="58" t="e">
        <f t="shared" si="79"/>
        <v>#DIV/0!</v>
      </c>
      <c r="AV156" s="58" t="e">
        <f t="shared" si="79"/>
        <v>#DIV/0!</v>
      </c>
      <c r="AW156" s="58" t="e">
        <f t="shared" si="79"/>
        <v>#DIV/0!</v>
      </c>
      <c r="AX156" s="58" t="e">
        <f t="shared" si="79"/>
        <v>#DIV/0!</v>
      </c>
      <c r="AY156" s="58" t="e">
        <f t="shared" si="79"/>
        <v>#DIV/0!</v>
      </c>
      <c r="AZ156" s="63"/>
      <c r="BA156" s="58" t="e">
        <f t="shared" si="79"/>
        <v>#DIV/0!</v>
      </c>
      <c r="BB156" s="63"/>
      <c r="BC156" s="57" t="e">
        <f>(Links!C156*Links!AQ156+'On-Ramps'!AC156*'On-Ramps'!CE156)/('On-Ramps'!AC156+Links!C156)</f>
        <v>#DIV/0!</v>
      </c>
      <c r="BD156" s="63"/>
      <c r="BE156" s="57" t="e">
        <f>(Links!E156*Links!AS156+'On-Ramps'!AD156*'On-Ramps'!CF155)/('On-Ramps'!AD156+Links!E156)</f>
        <v>#DIV/0!</v>
      </c>
      <c r="BF156" s="57" t="e">
        <f>(Links!F156*Links!AT156+'On-Ramps'!AE156*'On-Ramps'!CG156)/('On-Ramps'!AE156+Links!F156)</f>
        <v>#DIV/0!</v>
      </c>
      <c r="BG156" s="57" t="e">
        <f>(Links!I156*Links!AW156+'On-Ramps'!AF156*'On-Ramps'!CH156)/('On-Ramps'!AF156+Links!I156)</f>
        <v>#DIV/0!</v>
      </c>
      <c r="BH156" s="57" t="e">
        <f>(#REF!*#REF!+'On-Ramps'!AG156*'On-Ramps'!CI156)/('On-Ramps'!AG156+#REF!)</f>
        <v>#REF!</v>
      </c>
      <c r="BI156" s="57" t="e">
        <f>(Links!L156*Links!AZ156+'On-Ramps'!AH156*'On-Ramps'!CJ156)/('On-Ramps'!AH156+Links!L156)</f>
        <v>#DIV/0!</v>
      </c>
      <c r="BJ156" s="57" t="e">
        <f>(Links!BA156*Links!M156+'On-Ramps'!AI156*'On-Ramps'!CK156)/('On-Ramps'!AI156+Links!M156)</f>
        <v>#DIV/0!</v>
      </c>
      <c r="BK156" s="57" t="e">
        <f>(Links!S156*Links!BG156+'On-Ramps'!AJ156*'On-Ramps'!CL156)/('On-Ramps'!AJ156+Links!S156)</f>
        <v>#DIV/0!</v>
      </c>
      <c r="BL156" s="63"/>
      <c r="BM156" s="57" t="e">
        <f>(Links!S156*Links!BG156+'On-Ramps'!AL156*'On-Ramps'!CM156)/(Links!S156+'On-Ramps'!AL156)</f>
        <v>#DIV/0!</v>
      </c>
      <c r="BN156" s="63"/>
      <c r="BO156" s="58" t="e">
        <f>(Links!W156^2+'Off-Ramp'!L156^2)/(Links!W156+'Off-Ramp'!L156)</f>
        <v>#DIV/0!</v>
      </c>
      <c r="BP156" s="63"/>
      <c r="BQ156" s="58" t="e">
        <f>(Links!Y156^2+'Off-Ramp'!C156^2)/(Links!Y156+'Off-Ramp'!C156)</f>
        <v>#DIV/0!</v>
      </c>
      <c r="BR156" s="63"/>
      <c r="BS156" s="58" t="e">
        <f>(Links!AA156^2+'Off-Ramp'!N156^2)/(Links!AA156+'Off-Ramp'!N156)</f>
        <v>#DIV/0!</v>
      </c>
      <c r="BT156" s="58" t="e">
        <f>(Links!AD156^2+'Off-Ramp'!O156^2)/(Links!AD156+'Off-Ramp'!O156)</f>
        <v>#DIV/0!</v>
      </c>
      <c r="BU156" s="58" t="e">
        <f>(Links!AE156^2+'Off-Ramp'!V156^2+'Off-Ramp'!W156^2+'Off-Ramp'!X156^2)/(Links!AE156+'Off-Ramp'!V156+'Off-Ramp'!W156+'Off-Ramp'!X156)</f>
        <v>#DIV/0!</v>
      </c>
      <c r="BV156" s="58" t="e">
        <f>(Links!AG156^2+'Off-Ramp'!Y156^2+'Off-Ramp'!Z156^2+'Off-Ramp'!AA156^2)/(Links!AG156+'Off-Ramp'!Y156+'Off-Ramp'!Z156+'Off-Ramp'!AA156)</f>
        <v>#DIV/0!</v>
      </c>
      <c r="BW156" s="58" t="e">
        <f>(Links!AH156^2+'Off-Ramp'!R156^2)/(Links!AH156+'Off-Ramp'!R156)</f>
        <v>#DIV/0!</v>
      </c>
      <c r="BX156" s="58" t="e">
        <f>(Links!AK156^2+'Off-Ramp'!S156^2)/(Links!AK156+'Off-Ramp'!S156)</f>
        <v>#DIV/0!</v>
      </c>
      <c r="BY156" s="58" t="e">
        <f>(Links!AL156^2+'Off-Ramp'!T156^2)/(Links!AL156+'Off-Ramp'!T156)</f>
        <v>#DIV/0!</v>
      </c>
      <c r="BZ156" s="63"/>
      <c r="CA156" s="58" t="e">
        <f>(Links!AN156^2+'Off-Ramp'!U156^2)/(Links!AN156+'Off-Ramp'!U156)</f>
        <v>#DIV/0!</v>
      </c>
    </row>
    <row r="157" spans="1:79" x14ac:dyDescent="0.15">
      <c r="A157" s="56">
        <v>155</v>
      </c>
      <c r="B157" s="57" t="e">
        <f t="shared" si="57"/>
        <v>#DIV/0!</v>
      </c>
      <c r="C157" s="57" t="e">
        <f t="shared" si="58"/>
        <v>#DIV/0!</v>
      </c>
      <c r="D157" s="57" t="e">
        <f t="shared" si="59"/>
        <v>#DIV/0!</v>
      </c>
      <c r="E157" s="57" t="e">
        <f t="shared" si="60"/>
        <v>#DIV/0!</v>
      </c>
      <c r="F157" s="57" t="e">
        <f t="shared" si="61"/>
        <v>#DIV/0!</v>
      </c>
      <c r="G157" s="57" t="e">
        <f t="shared" si="62"/>
        <v>#DIV/0!</v>
      </c>
      <c r="H157" s="57" t="e">
        <f t="shared" si="63"/>
        <v>#DIV/0!</v>
      </c>
      <c r="I157" s="57" t="e">
        <f t="shared" si="64"/>
        <v>#DIV/0!</v>
      </c>
      <c r="J157" s="57" t="e">
        <f t="shared" si="65"/>
        <v>#DIV/0!</v>
      </c>
      <c r="K157" s="57" t="e">
        <f t="shared" si="66"/>
        <v>#DIV/0!</v>
      </c>
      <c r="L157" s="57" t="e">
        <f t="shared" si="67"/>
        <v>#DIV/0!</v>
      </c>
      <c r="M157" s="57" t="e">
        <f t="shared" si="68"/>
        <v>#DIV/0!</v>
      </c>
      <c r="N157" s="57" t="e">
        <f t="shared" si="69"/>
        <v>#DIV/0!</v>
      </c>
      <c r="O157" s="58" t="e">
        <f>Links!B157</f>
        <v>#DIV/0!</v>
      </c>
      <c r="P157" s="58" t="e">
        <f>Links!C157+'On-Ramps'!AC157</f>
        <v>#DIV/0!</v>
      </c>
      <c r="Q157" s="58" t="e">
        <f>Links!D157</f>
        <v>#DIV/0!</v>
      </c>
      <c r="R157" s="58" t="e">
        <f>Links!E157+'On-Ramps'!AD157</f>
        <v>#DIV/0!</v>
      </c>
      <c r="S157" s="58" t="e">
        <f>Links!F157+'On-Ramps'!AE157</f>
        <v>#DIV/0!</v>
      </c>
      <c r="T157" s="58" t="e">
        <f>Links!I157+'On-Ramps'!AF157</f>
        <v>#DIV/0!</v>
      </c>
      <c r="U157" s="58" t="e">
        <f>Links!J157+'On-Ramps'!AG157</f>
        <v>#DIV/0!</v>
      </c>
      <c r="V157" s="58" t="e">
        <f>Links!L157+'On-Ramps'!AH157</f>
        <v>#DIV/0!</v>
      </c>
      <c r="W157" s="58" t="e">
        <f>Links!M157+'On-Ramps'!AI157</f>
        <v>#DIV/0!</v>
      </c>
      <c r="X157" s="58" t="e">
        <f>Links!P157+'On-Ramps'!AJ157</f>
        <v>#DIV/0!</v>
      </c>
      <c r="Y157" s="58" t="e">
        <f>Links!Q157</f>
        <v>#DIV/0!</v>
      </c>
      <c r="Z157" s="58" t="e">
        <f>Links!R157+'On-Ramps'!AK157</f>
        <v>#DIV/0!</v>
      </c>
      <c r="AA157" s="58" t="e">
        <f>Links!S157</f>
        <v>#DIV/0!</v>
      </c>
      <c r="AB157" s="57" t="e">
        <f t="shared" si="70"/>
        <v>#VALUE!</v>
      </c>
      <c r="AC157" s="63"/>
      <c r="AD157" s="57" t="e">
        <f t="shared" si="71"/>
        <v>#DIV/0!</v>
      </c>
      <c r="AE157" s="63"/>
      <c r="AF157" s="57" t="e">
        <f t="shared" si="72"/>
        <v>#DIV/0!</v>
      </c>
      <c r="AG157" s="57" t="e">
        <f t="shared" si="73"/>
        <v>#DIV/0!</v>
      </c>
      <c r="AH157" s="57" t="e">
        <f t="shared" si="74"/>
        <v>#DIV/0!</v>
      </c>
      <c r="AI157" s="57" t="e">
        <f t="shared" si="75"/>
        <v>#DIV/0!</v>
      </c>
      <c r="AJ157" s="57" t="e">
        <f t="shared" si="76"/>
        <v>#DIV/0!</v>
      </c>
      <c r="AK157" s="57" t="e">
        <f t="shared" si="77"/>
        <v>#DIV/0!</v>
      </c>
      <c r="AL157" s="57" t="e">
        <f t="shared" si="78"/>
        <v>#DIV/0!</v>
      </c>
      <c r="AM157" s="63"/>
      <c r="AN157" s="57" t="e">
        <f t="shared" si="80"/>
        <v>#DIV/0!</v>
      </c>
      <c r="AO157" s="58" t="e">
        <f t="shared" si="56"/>
        <v>#VALUE!</v>
      </c>
      <c r="AP157" s="63"/>
      <c r="AQ157" s="58" t="e">
        <f t="shared" si="79"/>
        <v>#DIV/0!</v>
      </c>
      <c r="AR157" s="63"/>
      <c r="AS157" s="58" t="e">
        <f t="shared" si="79"/>
        <v>#DIV/0!</v>
      </c>
      <c r="AT157" s="58" t="e">
        <f t="shared" si="79"/>
        <v>#DIV/0!</v>
      </c>
      <c r="AU157" s="58" t="e">
        <f t="shared" si="79"/>
        <v>#DIV/0!</v>
      </c>
      <c r="AV157" s="58" t="e">
        <f t="shared" si="79"/>
        <v>#DIV/0!</v>
      </c>
      <c r="AW157" s="58" t="e">
        <f t="shared" si="79"/>
        <v>#DIV/0!</v>
      </c>
      <c r="AX157" s="58" t="e">
        <f t="shared" si="79"/>
        <v>#DIV/0!</v>
      </c>
      <c r="AY157" s="58" t="e">
        <f t="shared" si="79"/>
        <v>#DIV/0!</v>
      </c>
      <c r="AZ157" s="63"/>
      <c r="BA157" s="58" t="e">
        <f t="shared" si="79"/>
        <v>#DIV/0!</v>
      </c>
      <c r="BB157" s="63"/>
      <c r="BC157" s="57" t="e">
        <f>(Links!C157*Links!AQ157+'On-Ramps'!AC157*'On-Ramps'!CE157)/('On-Ramps'!AC157+Links!C157)</f>
        <v>#DIV/0!</v>
      </c>
      <c r="BD157" s="63"/>
      <c r="BE157" s="57" t="e">
        <f>(Links!E157*Links!AS157+'On-Ramps'!AD157*'On-Ramps'!CF156)/('On-Ramps'!AD157+Links!E157)</f>
        <v>#DIV/0!</v>
      </c>
      <c r="BF157" s="57" t="e">
        <f>(Links!F157*Links!AT157+'On-Ramps'!AE157*'On-Ramps'!CG157)/('On-Ramps'!AE157+Links!F157)</f>
        <v>#DIV/0!</v>
      </c>
      <c r="BG157" s="57" t="e">
        <f>(Links!I157*Links!AW157+'On-Ramps'!AF157*'On-Ramps'!CH157)/('On-Ramps'!AF157+Links!I157)</f>
        <v>#DIV/0!</v>
      </c>
      <c r="BH157" s="57" t="e">
        <f>(#REF!*#REF!+'On-Ramps'!AG157*'On-Ramps'!CI157)/('On-Ramps'!AG157+#REF!)</f>
        <v>#REF!</v>
      </c>
      <c r="BI157" s="57" t="e">
        <f>(Links!L157*Links!AZ157+'On-Ramps'!AH157*'On-Ramps'!CJ157)/('On-Ramps'!AH157+Links!L157)</f>
        <v>#DIV/0!</v>
      </c>
      <c r="BJ157" s="57" t="e">
        <f>(Links!BA157*Links!M157+'On-Ramps'!AI157*'On-Ramps'!CK157)/('On-Ramps'!AI157+Links!M157)</f>
        <v>#DIV/0!</v>
      </c>
      <c r="BK157" s="57" t="e">
        <f>(Links!S157*Links!BG157+'On-Ramps'!AJ157*'On-Ramps'!CL157)/('On-Ramps'!AJ157+Links!S157)</f>
        <v>#DIV/0!</v>
      </c>
      <c r="BL157" s="63"/>
      <c r="BM157" s="57" t="e">
        <f>(Links!S157*Links!BG157+'On-Ramps'!AL157*'On-Ramps'!CM157)/(Links!S157+'On-Ramps'!AL157)</f>
        <v>#DIV/0!</v>
      </c>
      <c r="BN157" s="63"/>
      <c r="BO157" s="58" t="e">
        <f>(Links!W157^2+'Off-Ramp'!L157^2)/(Links!W157+'Off-Ramp'!L157)</f>
        <v>#DIV/0!</v>
      </c>
      <c r="BP157" s="63"/>
      <c r="BQ157" s="58" t="e">
        <f>(Links!Y157^2+'Off-Ramp'!C157^2)/(Links!Y157+'Off-Ramp'!C157)</f>
        <v>#DIV/0!</v>
      </c>
      <c r="BR157" s="63"/>
      <c r="BS157" s="58" t="e">
        <f>(Links!AA157^2+'Off-Ramp'!N157^2)/(Links!AA157+'Off-Ramp'!N157)</f>
        <v>#DIV/0!</v>
      </c>
      <c r="BT157" s="58" t="e">
        <f>(Links!AD157^2+'Off-Ramp'!O157^2)/(Links!AD157+'Off-Ramp'!O157)</f>
        <v>#DIV/0!</v>
      </c>
      <c r="BU157" s="58" t="e">
        <f>(Links!AE157^2+'Off-Ramp'!V157^2+'Off-Ramp'!W157^2+'Off-Ramp'!X157^2)/(Links!AE157+'Off-Ramp'!V157+'Off-Ramp'!W157+'Off-Ramp'!X157)</f>
        <v>#DIV/0!</v>
      </c>
      <c r="BV157" s="58" t="e">
        <f>(Links!AG157^2+'Off-Ramp'!Y157^2+'Off-Ramp'!Z157^2+'Off-Ramp'!AA157^2)/(Links!AG157+'Off-Ramp'!Y157+'Off-Ramp'!Z157+'Off-Ramp'!AA157)</f>
        <v>#DIV/0!</v>
      </c>
      <c r="BW157" s="58" t="e">
        <f>(Links!AH157^2+'Off-Ramp'!R157^2)/(Links!AH157+'Off-Ramp'!R157)</f>
        <v>#DIV/0!</v>
      </c>
      <c r="BX157" s="58" t="e">
        <f>(Links!AK157^2+'Off-Ramp'!S157^2)/(Links!AK157+'Off-Ramp'!S157)</f>
        <v>#DIV/0!</v>
      </c>
      <c r="BY157" s="58" t="e">
        <f>(Links!AL157^2+'Off-Ramp'!T157^2)/(Links!AL157+'Off-Ramp'!T157)</f>
        <v>#DIV/0!</v>
      </c>
      <c r="BZ157" s="63"/>
      <c r="CA157" s="58" t="e">
        <f>(Links!AN157^2+'Off-Ramp'!U157^2)/(Links!AN157+'Off-Ramp'!U157)</f>
        <v>#DIV/0!</v>
      </c>
    </row>
    <row r="158" spans="1:79" x14ac:dyDescent="0.15">
      <c r="A158" s="56">
        <v>156</v>
      </c>
      <c r="B158" s="57" t="e">
        <f t="shared" si="57"/>
        <v>#DIV/0!</v>
      </c>
      <c r="C158" s="57" t="e">
        <f t="shared" si="58"/>
        <v>#DIV/0!</v>
      </c>
      <c r="D158" s="57" t="e">
        <f t="shared" si="59"/>
        <v>#DIV/0!</v>
      </c>
      <c r="E158" s="57" t="e">
        <f t="shared" si="60"/>
        <v>#DIV/0!</v>
      </c>
      <c r="F158" s="57" t="e">
        <f t="shared" si="61"/>
        <v>#DIV/0!</v>
      </c>
      <c r="G158" s="57" t="e">
        <f t="shared" si="62"/>
        <v>#DIV/0!</v>
      </c>
      <c r="H158" s="57" t="e">
        <f t="shared" si="63"/>
        <v>#DIV/0!</v>
      </c>
      <c r="I158" s="57" t="e">
        <f t="shared" si="64"/>
        <v>#DIV/0!</v>
      </c>
      <c r="J158" s="57" t="e">
        <f t="shared" si="65"/>
        <v>#DIV/0!</v>
      </c>
      <c r="K158" s="57" t="e">
        <f t="shared" si="66"/>
        <v>#DIV/0!</v>
      </c>
      <c r="L158" s="57" t="e">
        <f t="shared" si="67"/>
        <v>#DIV/0!</v>
      </c>
      <c r="M158" s="57" t="e">
        <f t="shared" si="68"/>
        <v>#DIV/0!</v>
      </c>
      <c r="N158" s="57" t="e">
        <f t="shared" si="69"/>
        <v>#DIV/0!</v>
      </c>
      <c r="O158" s="58" t="e">
        <f>Links!B158</f>
        <v>#DIV/0!</v>
      </c>
      <c r="P158" s="58" t="e">
        <f>Links!C158+'On-Ramps'!AC158</f>
        <v>#DIV/0!</v>
      </c>
      <c r="Q158" s="58" t="e">
        <f>Links!D158</f>
        <v>#DIV/0!</v>
      </c>
      <c r="R158" s="58" t="e">
        <f>Links!E158+'On-Ramps'!AD158</f>
        <v>#DIV/0!</v>
      </c>
      <c r="S158" s="58" t="e">
        <f>Links!F158+'On-Ramps'!AE158</f>
        <v>#DIV/0!</v>
      </c>
      <c r="T158" s="58" t="e">
        <f>Links!I158+'On-Ramps'!AF158</f>
        <v>#DIV/0!</v>
      </c>
      <c r="U158" s="58" t="e">
        <f>Links!J158+'On-Ramps'!AG158</f>
        <v>#DIV/0!</v>
      </c>
      <c r="V158" s="58" t="e">
        <f>Links!L158+'On-Ramps'!AH158</f>
        <v>#DIV/0!</v>
      </c>
      <c r="W158" s="58" t="e">
        <f>Links!M158+'On-Ramps'!AI158</f>
        <v>#DIV/0!</v>
      </c>
      <c r="X158" s="58" t="e">
        <f>Links!P158+'On-Ramps'!AJ158</f>
        <v>#DIV/0!</v>
      </c>
      <c r="Y158" s="58" t="e">
        <f>Links!Q158</f>
        <v>#DIV/0!</v>
      </c>
      <c r="Z158" s="58" t="e">
        <f>Links!R158+'On-Ramps'!AK158</f>
        <v>#DIV/0!</v>
      </c>
      <c r="AA158" s="58" t="e">
        <f>Links!S158</f>
        <v>#DIV/0!</v>
      </c>
      <c r="AB158" s="57" t="e">
        <f t="shared" si="70"/>
        <v>#VALUE!</v>
      </c>
      <c r="AC158" s="63"/>
      <c r="AD158" s="57" t="e">
        <f t="shared" si="71"/>
        <v>#DIV/0!</v>
      </c>
      <c r="AE158" s="63"/>
      <c r="AF158" s="57" t="e">
        <f t="shared" si="72"/>
        <v>#DIV/0!</v>
      </c>
      <c r="AG158" s="57" t="e">
        <f t="shared" si="73"/>
        <v>#DIV/0!</v>
      </c>
      <c r="AH158" s="57" t="e">
        <f t="shared" si="74"/>
        <v>#DIV/0!</v>
      </c>
      <c r="AI158" s="57" t="e">
        <f t="shared" si="75"/>
        <v>#DIV/0!</v>
      </c>
      <c r="AJ158" s="57" t="e">
        <f t="shared" si="76"/>
        <v>#DIV/0!</v>
      </c>
      <c r="AK158" s="57" t="e">
        <f t="shared" si="77"/>
        <v>#DIV/0!</v>
      </c>
      <c r="AL158" s="57" t="e">
        <f t="shared" si="78"/>
        <v>#DIV/0!</v>
      </c>
      <c r="AM158" s="63"/>
      <c r="AN158" s="57" t="e">
        <f t="shared" si="80"/>
        <v>#DIV/0!</v>
      </c>
      <c r="AO158" s="58" t="e">
        <f t="shared" si="56"/>
        <v>#VALUE!</v>
      </c>
      <c r="AP158" s="63"/>
      <c r="AQ158" s="58" t="e">
        <f t="shared" si="79"/>
        <v>#DIV/0!</v>
      </c>
      <c r="AR158" s="63"/>
      <c r="AS158" s="58" t="e">
        <f t="shared" si="79"/>
        <v>#DIV/0!</v>
      </c>
      <c r="AT158" s="58" t="e">
        <f t="shared" si="79"/>
        <v>#DIV/0!</v>
      </c>
      <c r="AU158" s="58" t="e">
        <f t="shared" si="79"/>
        <v>#DIV/0!</v>
      </c>
      <c r="AV158" s="58" t="e">
        <f t="shared" si="79"/>
        <v>#DIV/0!</v>
      </c>
      <c r="AW158" s="58" t="e">
        <f t="shared" si="79"/>
        <v>#DIV/0!</v>
      </c>
      <c r="AX158" s="58" t="e">
        <f t="shared" si="79"/>
        <v>#DIV/0!</v>
      </c>
      <c r="AY158" s="58" t="e">
        <f t="shared" si="79"/>
        <v>#DIV/0!</v>
      </c>
      <c r="AZ158" s="63"/>
      <c r="BA158" s="58" t="e">
        <f t="shared" si="79"/>
        <v>#DIV/0!</v>
      </c>
      <c r="BB158" s="63"/>
      <c r="BC158" s="57" t="e">
        <f>(Links!C158*Links!AQ158+'On-Ramps'!AC158*'On-Ramps'!CE158)/('On-Ramps'!AC158+Links!C158)</f>
        <v>#DIV/0!</v>
      </c>
      <c r="BD158" s="63"/>
      <c r="BE158" s="57" t="e">
        <f>(Links!E158*Links!AS158+'On-Ramps'!AD158*'On-Ramps'!CF157)/('On-Ramps'!AD158+Links!E158)</f>
        <v>#DIV/0!</v>
      </c>
      <c r="BF158" s="57" t="e">
        <f>(Links!F158*Links!AT158+'On-Ramps'!AE158*'On-Ramps'!CG158)/('On-Ramps'!AE158+Links!F158)</f>
        <v>#DIV/0!</v>
      </c>
      <c r="BG158" s="57" t="e">
        <f>(Links!I158*Links!AW158+'On-Ramps'!AF158*'On-Ramps'!CH158)/('On-Ramps'!AF158+Links!I158)</f>
        <v>#DIV/0!</v>
      </c>
      <c r="BH158" s="57" t="e">
        <f>(#REF!*#REF!+'On-Ramps'!AG158*'On-Ramps'!CI158)/('On-Ramps'!AG158+#REF!)</f>
        <v>#REF!</v>
      </c>
      <c r="BI158" s="57" t="e">
        <f>(Links!L158*Links!AZ158+'On-Ramps'!AH158*'On-Ramps'!CJ158)/('On-Ramps'!AH158+Links!L158)</f>
        <v>#DIV/0!</v>
      </c>
      <c r="BJ158" s="57" t="e">
        <f>(Links!BA158*Links!M158+'On-Ramps'!AI158*'On-Ramps'!CK158)/('On-Ramps'!AI158+Links!M158)</f>
        <v>#DIV/0!</v>
      </c>
      <c r="BK158" s="57" t="e">
        <f>(Links!S158*Links!BG158+'On-Ramps'!AJ158*'On-Ramps'!CL158)/('On-Ramps'!AJ158+Links!S158)</f>
        <v>#DIV/0!</v>
      </c>
      <c r="BL158" s="63"/>
      <c r="BM158" s="57" t="e">
        <f>(Links!S158*Links!BG158+'On-Ramps'!AL158*'On-Ramps'!CM158)/(Links!S158+'On-Ramps'!AL158)</f>
        <v>#DIV/0!</v>
      </c>
      <c r="BN158" s="63"/>
      <c r="BO158" s="58" t="e">
        <f>(Links!W158^2+'Off-Ramp'!L158^2)/(Links!W158+'Off-Ramp'!L158)</f>
        <v>#DIV/0!</v>
      </c>
      <c r="BP158" s="63"/>
      <c r="BQ158" s="58" t="e">
        <f>(Links!Y158^2+'Off-Ramp'!C158^2)/(Links!Y158+'Off-Ramp'!C158)</f>
        <v>#DIV/0!</v>
      </c>
      <c r="BR158" s="63"/>
      <c r="BS158" s="58" t="e">
        <f>(Links!AA158^2+'Off-Ramp'!N158^2)/(Links!AA158+'Off-Ramp'!N158)</f>
        <v>#DIV/0!</v>
      </c>
      <c r="BT158" s="58" t="e">
        <f>(Links!AD158^2+'Off-Ramp'!O158^2)/(Links!AD158+'Off-Ramp'!O158)</f>
        <v>#DIV/0!</v>
      </c>
      <c r="BU158" s="58" t="e">
        <f>(Links!AE158^2+'Off-Ramp'!V158^2+'Off-Ramp'!W158^2+'Off-Ramp'!X158^2)/(Links!AE158+'Off-Ramp'!V158+'Off-Ramp'!W158+'Off-Ramp'!X158)</f>
        <v>#DIV/0!</v>
      </c>
      <c r="BV158" s="58" t="e">
        <f>(Links!AG158^2+'Off-Ramp'!Y158^2+'Off-Ramp'!Z158^2+'Off-Ramp'!AA158^2)/(Links!AG158+'Off-Ramp'!Y158+'Off-Ramp'!Z158+'Off-Ramp'!AA158)</f>
        <v>#DIV/0!</v>
      </c>
      <c r="BW158" s="58" t="e">
        <f>(Links!AH158^2+'Off-Ramp'!R158^2)/(Links!AH158+'Off-Ramp'!R158)</f>
        <v>#DIV/0!</v>
      </c>
      <c r="BX158" s="58" t="e">
        <f>(Links!AK158^2+'Off-Ramp'!S158^2)/(Links!AK158+'Off-Ramp'!S158)</f>
        <v>#DIV/0!</v>
      </c>
      <c r="BY158" s="58" t="e">
        <f>(Links!AL158^2+'Off-Ramp'!T158^2)/(Links!AL158+'Off-Ramp'!T158)</f>
        <v>#DIV/0!</v>
      </c>
      <c r="BZ158" s="63"/>
      <c r="CA158" s="58" t="e">
        <f>(Links!AN158^2+'Off-Ramp'!U158^2)/(Links!AN158+'Off-Ramp'!U158)</f>
        <v>#DIV/0!</v>
      </c>
    </row>
    <row r="159" spans="1:79" x14ac:dyDescent="0.15">
      <c r="A159" s="56">
        <v>157</v>
      </c>
      <c r="B159" s="57" t="e">
        <f t="shared" si="57"/>
        <v>#DIV/0!</v>
      </c>
      <c r="C159" s="57" t="e">
        <f t="shared" si="58"/>
        <v>#DIV/0!</v>
      </c>
      <c r="D159" s="57" t="e">
        <f t="shared" si="59"/>
        <v>#DIV/0!</v>
      </c>
      <c r="E159" s="57" t="e">
        <f t="shared" si="60"/>
        <v>#DIV/0!</v>
      </c>
      <c r="F159" s="57" t="e">
        <f t="shared" si="61"/>
        <v>#DIV/0!</v>
      </c>
      <c r="G159" s="57" t="e">
        <f t="shared" si="62"/>
        <v>#DIV/0!</v>
      </c>
      <c r="H159" s="57" t="e">
        <f t="shared" si="63"/>
        <v>#DIV/0!</v>
      </c>
      <c r="I159" s="57" t="e">
        <f t="shared" si="64"/>
        <v>#DIV/0!</v>
      </c>
      <c r="J159" s="57" t="e">
        <f t="shared" si="65"/>
        <v>#DIV/0!</v>
      </c>
      <c r="K159" s="57" t="e">
        <f t="shared" si="66"/>
        <v>#DIV/0!</v>
      </c>
      <c r="L159" s="57" t="e">
        <f t="shared" si="67"/>
        <v>#DIV/0!</v>
      </c>
      <c r="M159" s="57" t="e">
        <f t="shared" si="68"/>
        <v>#DIV/0!</v>
      </c>
      <c r="N159" s="57" t="e">
        <f t="shared" si="69"/>
        <v>#DIV/0!</v>
      </c>
      <c r="O159" s="58" t="e">
        <f>Links!B159</f>
        <v>#DIV/0!</v>
      </c>
      <c r="P159" s="58" t="e">
        <f>Links!C159+'On-Ramps'!AC159</f>
        <v>#DIV/0!</v>
      </c>
      <c r="Q159" s="58" t="e">
        <f>Links!D159</f>
        <v>#DIV/0!</v>
      </c>
      <c r="R159" s="58" t="e">
        <f>Links!E159+'On-Ramps'!AD159</f>
        <v>#DIV/0!</v>
      </c>
      <c r="S159" s="58" t="e">
        <f>Links!F159+'On-Ramps'!AE159</f>
        <v>#DIV/0!</v>
      </c>
      <c r="T159" s="58" t="e">
        <f>Links!I159+'On-Ramps'!AF159</f>
        <v>#DIV/0!</v>
      </c>
      <c r="U159" s="58" t="e">
        <f>Links!J159+'On-Ramps'!AG159</f>
        <v>#DIV/0!</v>
      </c>
      <c r="V159" s="58" t="e">
        <f>Links!L159+'On-Ramps'!AH159</f>
        <v>#DIV/0!</v>
      </c>
      <c r="W159" s="58" t="e">
        <f>Links!M159+'On-Ramps'!AI159</f>
        <v>#DIV/0!</v>
      </c>
      <c r="X159" s="58" t="e">
        <f>Links!P159+'On-Ramps'!AJ159</f>
        <v>#DIV/0!</v>
      </c>
      <c r="Y159" s="58" t="e">
        <f>Links!Q159</f>
        <v>#DIV/0!</v>
      </c>
      <c r="Z159" s="58" t="e">
        <f>Links!R159+'On-Ramps'!AK159</f>
        <v>#DIV/0!</v>
      </c>
      <c r="AA159" s="58" t="e">
        <f>Links!S159</f>
        <v>#DIV/0!</v>
      </c>
      <c r="AB159" s="57" t="e">
        <f t="shared" si="70"/>
        <v>#VALUE!</v>
      </c>
      <c r="AC159" s="63"/>
      <c r="AD159" s="57" t="e">
        <f t="shared" si="71"/>
        <v>#DIV/0!</v>
      </c>
      <c r="AE159" s="63"/>
      <c r="AF159" s="57" t="e">
        <f t="shared" si="72"/>
        <v>#DIV/0!</v>
      </c>
      <c r="AG159" s="57" t="e">
        <f t="shared" si="73"/>
        <v>#DIV/0!</v>
      </c>
      <c r="AH159" s="57" t="e">
        <f t="shared" si="74"/>
        <v>#DIV/0!</v>
      </c>
      <c r="AI159" s="57" t="e">
        <f t="shared" si="75"/>
        <v>#DIV/0!</v>
      </c>
      <c r="AJ159" s="57" t="e">
        <f t="shared" si="76"/>
        <v>#DIV/0!</v>
      </c>
      <c r="AK159" s="57" t="e">
        <f t="shared" si="77"/>
        <v>#DIV/0!</v>
      </c>
      <c r="AL159" s="57" t="e">
        <f t="shared" si="78"/>
        <v>#DIV/0!</v>
      </c>
      <c r="AM159" s="63"/>
      <c r="AN159" s="57" t="e">
        <f t="shared" si="80"/>
        <v>#DIV/0!</v>
      </c>
      <c r="AO159" s="58" t="e">
        <f t="shared" si="56"/>
        <v>#VALUE!</v>
      </c>
      <c r="AP159" s="63"/>
      <c r="AQ159" s="58" t="e">
        <f t="shared" si="79"/>
        <v>#DIV/0!</v>
      </c>
      <c r="AR159" s="63"/>
      <c r="AS159" s="58" t="e">
        <f t="shared" si="79"/>
        <v>#DIV/0!</v>
      </c>
      <c r="AT159" s="58" t="e">
        <f t="shared" si="79"/>
        <v>#DIV/0!</v>
      </c>
      <c r="AU159" s="58" t="e">
        <f t="shared" si="79"/>
        <v>#DIV/0!</v>
      </c>
      <c r="AV159" s="58" t="e">
        <f t="shared" si="79"/>
        <v>#DIV/0!</v>
      </c>
      <c r="AW159" s="58" t="e">
        <f t="shared" si="79"/>
        <v>#DIV/0!</v>
      </c>
      <c r="AX159" s="58" t="e">
        <f t="shared" si="79"/>
        <v>#DIV/0!</v>
      </c>
      <c r="AY159" s="58" t="e">
        <f t="shared" si="79"/>
        <v>#DIV/0!</v>
      </c>
      <c r="AZ159" s="63"/>
      <c r="BA159" s="58" t="e">
        <f t="shared" si="79"/>
        <v>#DIV/0!</v>
      </c>
      <c r="BB159" s="63"/>
      <c r="BC159" s="57" t="e">
        <f>(Links!C159*Links!AQ159+'On-Ramps'!AC159*'On-Ramps'!CE159)/('On-Ramps'!AC159+Links!C159)</f>
        <v>#DIV/0!</v>
      </c>
      <c r="BD159" s="63"/>
      <c r="BE159" s="57" t="e">
        <f>(Links!E159*Links!AS159+'On-Ramps'!AD159*'On-Ramps'!CF158)/('On-Ramps'!AD159+Links!E159)</f>
        <v>#DIV/0!</v>
      </c>
      <c r="BF159" s="57" t="e">
        <f>(Links!F159*Links!AT159+'On-Ramps'!AE159*'On-Ramps'!CG159)/('On-Ramps'!AE159+Links!F159)</f>
        <v>#DIV/0!</v>
      </c>
      <c r="BG159" s="57" t="e">
        <f>(Links!I159*Links!AW159+'On-Ramps'!AF159*'On-Ramps'!CH159)/('On-Ramps'!AF159+Links!I159)</f>
        <v>#DIV/0!</v>
      </c>
      <c r="BH159" s="57" t="e">
        <f>(#REF!*#REF!+'On-Ramps'!AG159*'On-Ramps'!CI159)/('On-Ramps'!AG159+#REF!)</f>
        <v>#REF!</v>
      </c>
      <c r="BI159" s="57" t="e">
        <f>(Links!L159*Links!AZ159+'On-Ramps'!AH159*'On-Ramps'!CJ159)/('On-Ramps'!AH159+Links!L159)</f>
        <v>#DIV/0!</v>
      </c>
      <c r="BJ159" s="57" t="e">
        <f>(Links!BA159*Links!M159+'On-Ramps'!AI159*'On-Ramps'!CK159)/('On-Ramps'!AI159+Links!M159)</f>
        <v>#DIV/0!</v>
      </c>
      <c r="BK159" s="57" t="e">
        <f>(Links!S159*Links!BG159+'On-Ramps'!AJ159*'On-Ramps'!CL159)/('On-Ramps'!AJ159+Links!S159)</f>
        <v>#DIV/0!</v>
      </c>
      <c r="BL159" s="63"/>
      <c r="BM159" s="57" t="e">
        <f>(Links!S159*Links!BG159+'On-Ramps'!AL159*'On-Ramps'!CM159)/(Links!S159+'On-Ramps'!AL159)</f>
        <v>#DIV/0!</v>
      </c>
      <c r="BN159" s="63"/>
      <c r="BO159" s="58" t="e">
        <f>(Links!W159^2+'Off-Ramp'!L159^2)/(Links!W159+'Off-Ramp'!L159)</f>
        <v>#DIV/0!</v>
      </c>
      <c r="BP159" s="63"/>
      <c r="BQ159" s="58" t="e">
        <f>(Links!Y159^2+'Off-Ramp'!C159^2)/(Links!Y159+'Off-Ramp'!C159)</f>
        <v>#DIV/0!</v>
      </c>
      <c r="BR159" s="63"/>
      <c r="BS159" s="58" t="e">
        <f>(Links!AA159^2+'Off-Ramp'!N159^2)/(Links!AA159+'Off-Ramp'!N159)</f>
        <v>#DIV/0!</v>
      </c>
      <c r="BT159" s="58" t="e">
        <f>(Links!AD159^2+'Off-Ramp'!O159^2)/(Links!AD159+'Off-Ramp'!O159)</f>
        <v>#DIV/0!</v>
      </c>
      <c r="BU159" s="58" t="e">
        <f>(Links!AE159^2+'Off-Ramp'!V159^2+'Off-Ramp'!W159^2+'Off-Ramp'!X159^2)/(Links!AE159+'Off-Ramp'!V159+'Off-Ramp'!W159+'Off-Ramp'!X159)</f>
        <v>#DIV/0!</v>
      </c>
      <c r="BV159" s="58" t="e">
        <f>(Links!AG159^2+'Off-Ramp'!Y159^2+'Off-Ramp'!Z159^2+'Off-Ramp'!AA159^2)/(Links!AG159+'Off-Ramp'!Y159+'Off-Ramp'!Z159+'Off-Ramp'!AA159)</f>
        <v>#DIV/0!</v>
      </c>
      <c r="BW159" s="58" t="e">
        <f>(Links!AH159^2+'Off-Ramp'!R159^2)/(Links!AH159+'Off-Ramp'!R159)</f>
        <v>#DIV/0!</v>
      </c>
      <c r="BX159" s="58" t="e">
        <f>(Links!AK159^2+'Off-Ramp'!S159^2)/(Links!AK159+'Off-Ramp'!S159)</f>
        <v>#DIV/0!</v>
      </c>
      <c r="BY159" s="58" t="e">
        <f>(Links!AL159^2+'Off-Ramp'!T159^2)/(Links!AL159+'Off-Ramp'!T159)</f>
        <v>#DIV/0!</v>
      </c>
      <c r="BZ159" s="63"/>
      <c r="CA159" s="58" t="e">
        <f>(Links!AN159^2+'Off-Ramp'!U159^2)/(Links!AN159+'Off-Ramp'!U159)</f>
        <v>#DIV/0!</v>
      </c>
    </row>
    <row r="160" spans="1:79" x14ac:dyDescent="0.15">
      <c r="A160" s="56">
        <v>158</v>
      </c>
      <c r="B160" s="57" t="e">
        <f t="shared" si="57"/>
        <v>#DIV/0!</v>
      </c>
      <c r="C160" s="57" t="e">
        <f t="shared" si="58"/>
        <v>#DIV/0!</v>
      </c>
      <c r="D160" s="57" t="e">
        <f t="shared" si="59"/>
        <v>#DIV/0!</v>
      </c>
      <c r="E160" s="57" t="e">
        <f t="shared" si="60"/>
        <v>#DIV/0!</v>
      </c>
      <c r="F160" s="57" t="e">
        <f t="shared" si="61"/>
        <v>#DIV/0!</v>
      </c>
      <c r="G160" s="57" t="e">
        <f t="shared" si="62"/>
        <v>#DIV/0!</v>
      </c>
      <c r="H160" s="57" t="e">
        <f t="shared" si="63"/>
        <v>#DIV/0!</v>
      </c>
      <c r="I160" s="57" t="e">
        <f t="shared" si="64"/>
        <v>#DIV/0!</v>
      </c>
      <c r="J160" s="57" t="e">
        <f t="shared" si="65"/>
        <v>#DIV/0!</v>
      </c>
      <c r="K160" s="57" t="e">
        <f t="shared" si="66"/>
        <v>#DIV/0!</v>
      </c>
      <c r="L160" s="57" t="e">
        <f t="shared" si="67"/>
        <v>#DIV/0!</v>
      </c>
      <c r="M160" s="57" t="e">
        <f t="shared" si="68"/>
        <v>#DIV/0!</v>
      </c>
      <c r="N160" s="57" t="e">
        <f t="shared" si="69"/>
        <v>#DIV/0!</v>
      </c>
      <c r="O160" s="58" t="e">
        <f>Links!B160</f>
        <v>#DIV/0!</v>
      </c>
      <c r="P160" s="58" t="e">
        <f>Links!C160+'On-Ramps'!AC160</f>
        <v>#DIV/0!</v>
      </c>
      <c r="Q160" s="58" t="e">
        <f>Links!D160</f>
        <v>#DIV/0!</v>
      </c>
      <c r="R160" s="58" t="e">
        <f>Links!E160+'On-Ramps'!AD160</f>
        <v>#DIV/0!</v>
      </c>
      <c r="S160" s="58" t="e">
        <f>Links!F160+'On-Ramps'!AE160</f>
        <v>#DIV/0!</v>
      </c>
      <c r="T160" s="58" t="e">
        <f>Links!I160+'On-Ramps'!AF160</f>
        <v>#DIV/0!</v>
      </c>
      <c r="U160" s="58" t="e">
        <f>Links!J160+'On-Ramps'!AG160</f>
        <v>#DIV/0!</v>
      </c>
      <c r="V160" s="58" t="e">
        <f>Links!L160+'On-Ramps'!AH160</f>
        <v>#DIV/0!</v>
      </c>
      <c r="W160" s="58" t="e">
        <f>Links!M160+'On-Ramps'!AI160</f>
        <v>#DIV/0!</v>
      </c>
      <c r="X160" s="58" t="e">
        <f>Links!P160+'On-Ramps'!AJ160</f>
        <v>#DIV/0!</v>
      </c>
      <c r="Y160" s="58" t="e">
        <f>Links!Q160</f>
        <v>#DIV/0!</v>
      </c>
      <c r="Z160" s="58" t="e">
        <f>Links!R160+'On-Ramps'!AK160</f>
        <v>#DIV/0!</v>
      </c>
      <c r="AA160" s="58" t="e">
        <f>Links!S160</f>
        <v>#DIV/0!</v>
      </c>
      <c r="AB160" s="57" t="e">
        <f t="shared" si="70"/>
        <v>#VALUE!</v>
      </c>
      <c r="AC160" s="63"/>
      <c r="AD160" s="57" t="e">
        <f t="shared" si="71"/>
        <v>#DIV/0!</v>
      </c>
      <c r="AE160" s="63"/>
      <c r="AF160" s="57" t="e">
        <f t="shared" si="72"/>
        <v>#DIV/0!</v>
      </c>
      <c r="AG160" s="57" t="e">
        <f t="shared" si="73"/>
        <v>#DIV/0!</v>
      </c>
      <c r="AH160" s="57" t="e">
        <f t="shared" si="74"/>
        <v>#DIV/0!</v>
      </c>
      <c r="AI160" s="57" t="e">
        <f t="shared" si="75"/>
        <v>#DIV/0!</v>
      </c>
      <c r="AJ160" s="57" t="e">
        <f t="shared" si="76"/>
        <v>#DIV/0!</v>
      </c>
      <c r="AK160" s="57" t="e">
        <f t="shared" si="77"/>
        <v>#DIV/0!</v>
      </c>
      <c r="AL160" s="57" t="e">
        <f t="shared" si="78"/>
        <v>#DIV/0!</v>
      </c>
      <c r="AM160" s="63"/>
      <c r="AN160" s="57" t="e">
        <f t="shared" si="80"/>
        <v>#DIV/0!</v>
      </c>
      <c r="AO160" s="58" t="e">
        <f t="shared" si="56"/>
        <v>#VALUE!</v>
      </c>
      <c r="AP160" s="63"/>
      <c r="AQ160" s="58" t="e">
        <f t="shared" si="79"/>
        <v>#DIV/0!</v>
      </c>
      <c r="AR160" s="63"/>
      <c r="AS160" s="58" t="e">
        <f t="shared" si="79"/>
        <v>#DIV/0!</v>
      </c>
      <c r="AT160" s="58" t="e">
        <f t="shared" si="79"/>
        <v>#DIV/0!</v>
      </c>
      <c r="AU160" s="58" t="e">
        <f t="shared" si="79"/>
        <v>#DIV/0!</v>
      </c>
      <c r="AV160" s="58" t="e">
        <f t="shared" si="79"/>
        <v>#DIV/0!</v>
      </c>
      <c r="AW160" s="58" t="e">
        <f t="shared" si="79"/>
        <v>#DIV/0!</v>
      </c>
      <c r="AX160" s="58" t="e">
        <f t="shared" si="79"/>
        <v>#DIV/0!</v>
      </c>
      <c r="AY160" s="58" t="e">
        <f t="shared" si="79"/>
        <v>#DIV/0!</v>
      </c>
      <c r="AZ160" s="63"/>
      <c r="BA160" s="58" t="e">
        <f t="shared" si="79"/>
        <v>#DIV/0!</v>
      </c>
      <c r="BB160" s="63"/>
      <c r="BC160" s="57" t="e">
        <f>(Links!C160*Links!AQ160+'On-Ramps'!AC160*'On-Ramps'!CE160)/('On-Ramps'!AC160+Links!C160)</f>
        <v>#DIV/0!</v>
      </c>
      <c r="BD160" s="63"/>
      <c r="BE160" s="57" t="e">
        <f>(Links!E160*Links!AS160+'On-Ramps'!AD160*'On-Ramps'!CF159)/('On-Ramps'!AD160+Links!E160)</f>
        <v>#DIV/0!</v>
      </c>
      <c r="BF160" s="57" t="e">
        <f>(Links!F160*Links!AT160+'On-Ramps'!AE160*'On-Ramps'!CG160)/('On-Ramps'!AE160+Links!F160)</f>
        <v>#DIV/0!</v>
      </c>
      <c r="BG160" s="57" t="e">
        <f>(Links!I160*Links!AW160+'On-Ramps'!AF160*'On-Ramps'!CH160)/('On-Ramps'!AF160+Links!I160)</f>
        <v>#DIV/0!</v>
      </c>
      <c r="BH160" s="57" t="e">
        <f>(#REF!*#REF!+'On-Ramps'!AG160*'On-Ramps'!CI160)/('On-Ramps'!AG160+#REF!)</f>
        <v>#REF!</v>
      </c>
      <c r="BI160" s="57" t="e">
        <f>(Links!L160*Links!AZ160+'On-Ramps'!AH160*'On-Ramps'!CJ160)/('On-Ramps'!AH160+Links!L160)</f>
        <v>#DIV/0!</v>
      </c>
      <c r="BJ160" s="57" t="e">
        <f>(Links!BA160*Links!M160+'On-Ramps'!AI160*'On-Ramps'!CK160)/('On-Ramps'!AI160+Links!M160)</f>
        <v>#DIV/0!</v>
      </c>
      <c r="BK160" s="57" t="e">
        <f>(Links!S160*Links!BG160+'On-Ramps'!AJ160*'On-Ramps'!CL160)/('On-Ramps'!AJ160+Links!S160)</f>
        <v>#DIV/0!</v>
      </c>
      <c r="BL160" s="63"/>
      <c r="BM160" s="57" t="e">
        <f>(Links!S160*Links!BG160+'On-Ramps'!AL160*'On-Ramps'!CM160)/(Links!S160+'On-Ramps'!AL160)</f>
        <v>#DIV/0!</v>
      </c>
      <c r="BN160" s="63"/>
      <c r="BO160" s="58" t="e">
        <f>(Links!W160^2+'Off-Ramp'!L160^2)/(Links!W160+'Off-Ramp'!L160)</f>
        <v>#DIV/0!</v>
      </c>
      <c r="BP160" s="63"/>
      <c r="BQ160" s="58" t="e">
        <f>(Links!Y160^2+'Off-Ramp'!C160^2)/(Links!Y160+'Off-Ramp'!C160)</f>
        <v>#DIV/0!</v>
      </c>
      <c r="BR160" s="63"/>
      <c r="BS160" s="58" t="e">
        <f>(Links!AA160^2+'Off-Ramp'!N160^2)/(Links!AA160+'Off-Ramp'!N160)</f>
        <v>#DIV/0!</v>
      </c>
      <c r="BT160" s="58" t="e">
        <f>(Links!AD160^2+'Off-Ramp'!O160^2)/(Links!AD160+'Off-Ramp'!O160)</f>
        <v>#DIV/0!</v>
      </c>
      <c r="BU160" s="58" t="e">
        <f>(Links!AE160^2+'Off-Ramp'!V160^2+'Off-Ramp'!W160^2+'Off-Ramp'!X160^2)/(Links!AE160+'Off-Ramp'!V160+'Off-Ramp'!W160+'Off-Ramp'!X160)</f>
        <v>#DIV/0!</v>
      </c>
      <c r="BV160" s="58" t="e">
        <f>(Links!AG160^2+'Off-Ramp'!Y160^2+'Off-Ramp'!Z160^2+'Off-Ramp'!AA160^2)/(Links!AG160+'Off-Ramp'!Y160+'Off-Ramp'!Z160+'Off-Ramp'!AA160)</f>
        <v>#DIV/0!</v>
      </c>
      <c r="BW160" s="58" t="e">
        <f>(Links!AH160^2+'Off-Ramp'!R160^2)/(Links!AH160+'Off-Ramp'!R160)</f>
        <v>#DIV/0!</v>
      </c>
      <c r="BX160" s="58" t="e">
        <f>(Links!AK160^2+'Off-Ramp'!S160^2)/(Links!AK160+'Off-Ramp'!S160)</f>
        <v>#DIV/0!</v>
      </c>
      <c r="BY160" s="58" t="e">
        <f>(Links!AL160^2+'Off-Ramp'!T160^2)/(Links!AL160+'Off-Ramp'!T160)</f>
        <v>#DIV/0!</v>
      </c>
      <c r="BZ160" s="63"/>
      <c r="CA160" s="58" t="e">
        <f>(Links!AN160^2+'Off-Ramp'!U160^2)/(Links!AN160+'Off-Ramp'!U160)</f>
        <v>#DIV/0!</v>
      </c>
    </row>
    <row r="161" spans="1:79" x14ac:dyDescent="0.15">
      <c r="A161" s="56">
        <v>159</v>
      </c>
      <c r="B161" s="57" t="e">
        <f t="shared" si="57"/>
        <v>#DIV/0!</v>
      </c>
      <c r="C161" s="57" t="e">
        <f t="shared" si="58"/>
        <v>#DIV/0!</v>
      </c>
      <c r="D161" s="57" t="e">
        <f t="shared" si="59"/>
        <v>#DIV/0!</v>
      </c>
      <c r="E161" s="57" t="e">
        <f t="shared" si="60"/>
        <v>#DIV/0!</v>
      </c>
      <c r="F161" s="57" t="e">
        <f t="shared" si="61"/>
        <v>#DIV/0!</v>
      </c>
      <c r="G161" s="57" t="e">
        <f t="shared" si="62"/>
        <v>#DIV/0!</v>
      </c>
      <c r="H161" s="57" t="e">
        <f t="shared" si="63"/>
        <v>#DIV/0!</v>
      </c>
      <c r="I161" s="57" t="e">
        <f t="shared" si="64"/>
        <v>#DIV/0!</v>
      </c>
      <c r="J161" s="57" t="e">
        <f t="shared" si="65"/>
        <v>#DIV/0!</v>
      </c>
      <c r="K161" s="57" t="e">
        <f t="shared" si="66"/>
        <v>#DIV/0!</v>
      </c>
      <c r="L161" s="57" t="e">
        <f t="shared" si="67"/>
        <v>#DIV/0!</v>
      </c>
      <c r="M161" s="57" t="e">
        <f t="shared" si="68"/>
        <v>#DIV/0!</v>
      </c>
      <c r="N161" s="57" t="e">
        <f t="shared" si="69"/>
        <v>#DIV/0!</v>
      </c>
      <c r="O161" s="58" t="e">
        <f>Links!B161</f>
        <v>#DIV/0!</v>
      </c>
      <c r="P161" s="58" t="e">
        <f>Links!C161+'On-Ramps'!AC161</f>
        <v>#DIV/0!</v>
      </c>
      <c r="Q161" s="58" t="e">
        <f>Links!D161</f>
        <v>#DIV/0!</v>
      </c>
      <c r="R161" s="58" t="e">
        <f>Links!E161+'On-Ramps'!AD161</f>
        <v>#DIV/0!</v>
      </c>
      <c r="S161" s="58" t="e">
        <f>Links!F161+'On-Ramps'!AE161</f>
        <v>#DIV/0!</v>
      </c>
      <c r="T161" s="58" t="e">
        <f>Links!I161+'On-Ramps'!AF161</f>
        <v>#DIV/0!</v>
      </c>
      <c r="U161" s="58" t="e">
        <f>Links!J161+'On-Ramps'!AG161</f>
        <v>#DIV/0!</v>
      </c>
      <c r="V161" s="58" t="e">
        <f>Links!L161+'On-Ramps'!AH161</f>
        <v>#DIV/0!</v>
      </c>
      <c r="W161" s="58" t="e">
        <f>Links!M161+'On-Ramps'!AI161</f>
        <v>#DIV/0!</v>
      </c>
      <c r="X161" s="58" t="e">
        <f>Links!P161+'On-Ramps'!AJ161</f>
        <v>#DIV/0!</v>
      </c>
      <c r="Y161" s="58" t="e">
        <f>Links!Q161</f>
        <v>#DIV/0!</v>
      </c>
      <c r="Z161" s="58" t="e">
        <f>Links!R161+'On-Ramps'!AK161</f>
        <v>#DIV/0!</v>
      </c>
      <c r="AA161" s="58" t="e">
        <f>Links!S161</f>
        <v>#DIV/0!</v>
      </c>
      <c r="AB161" s="57" t="e">
        <f t="shared" si="70"/>
        <v>#VALUE!</v>
      </c>
      <c r="AC161" s="63"/>
      <c r="AD161" s="57" t="e">
        <f t="shared" si="71"/>
        <v>#DIV/0!</v>
      </c>
      <c r="AE161" s="63"/>
      <c r="AF161" s="57" t="e">
        <f t="shared" si="72"/>
        <v>#DIV/0!</v>
      </c>
      <c r="AG161" s="57" t="e">
        <f t="shared" si="73"/>
        <v>#DIV/0!</v>
      </c>
      <c r="AH161" s="57" t="e">
        <f t="shared" si="74"/>
        <v>#DIV/0!</v>
      </c>
      <c r="AI161" s="57" t="e">
        <f t="shared" si="75"/>
        <v>#DIV/0!</v>
      </c>
      <c r="AJ161" s="57" t="e">
        <f t="shared" si="76"/>
        <v>#DIV/0!</v>
      </c>
      <c r="AK161" s="57" t="e">
        <f t="shared" si="77"/>
        <v>#DIV/0!</v>
      </c>
      <c r="AL161" s="57" t="e">
        <f t="shared" si="78"/>
        <v>#DIV/0!</v>
      </c>
      <c r="AM161" s="63"/>
      <c r="AN161" s="57" t="e">
        <f t="shared" si="80"/>
        <v>#DIV/0!</v>
      </c>
      <c r="AO161" s="58" t="e">
        <f t="shared" si="56"/>
        <v>#VALUE!</v>
      </c>
      <c r="AP161" s="63"/>
      <c r="AQ161" s="58" t="e">
        <f t="shared" si="79"/>
        <v>#DIV/0!</v>
      </c>
      <c r="AR161" s="63"/>
      <c r="AS161" s="58" t="e">
        <f t="shared" si="79"/>
        <v>#DIV/0!</v>
      </c>
      <c r="AT161" s="58" t="e">
        <f t="shared" si="79"/>
        <v>#DIV/0!</v>
      </c>
      <c r="AU161" s="58" t="e">
        <f t="shared" si="79"/>
        <v>#DIV/0!</v>
      </c>
      <c r="AV161" s="58" t="e">
        <f t="shared" si="79"/>
        <v>#DIV/0!</v>
      </c>
      <c r="AW161" s="58" t="e">
        <f t="shared" si="79"/>
        <v>#DIV/0!</v>
      </c>
      <c r="AX161" s="58" t="e">
        <f t="shared" si="79"/>
        <v>#DIV/0!</v>
      </c>
      <c r="AY161" s="58" t="e">
        <f t="shared" si="79"/>
        <v>#DIV/0!</v>
      </c>
      <c r="AZ161" s="63"/>
      <c r="BA161" s="58" t="e">
        <f t="shared" si="79"/>
        <v>#DIV/0!</v>
      </c>
      <c r="BB161" s="63"/>
      <c r="BC161" s="57" t="e">
        <f>(Links!C161*Links!AQ161+'On-Ramps'!AC161*'On-Ramps'!CE161)/('On-Ramps'!AC161+Links!C161)</f>
        <v>#DIV/0!</v>
      </c>
      <c r="BD161" s="63"/>
      <c r="BE161" s="57" t="e">
        <f>(Links!E161*Links!AS161+'On-Ramps'!AD161*'On-Ramps'!CF160)/('On-Ramps'!AD161+Links!E161)</f>
        <v>#DIV/0!</v>
      </c>
      <c r="BF161" s="57" t="e">
        <f>(Links!F161*Links!AT161+'On-Ramps'!AE161*'On-Ramps'!CG161)/('On-Ramps'!AE161+Links!F161)</f>
        <v>#DIV/0!</v>
      </c>
      <c r="BG161" s="57" t="e">
        <f>(Links!I161*Links!AW161+'On-Ramps'!AF161*'On-Ramps'!CH161)/('On-Ramps'!AF161+Links!I161)</f>
        <v>#DIV/0!</v>
      </c>
      <c r="BH161" s="57" t="e">
        <f>(#REF!*#REF!+'On-Ramps'!AG161*'On-Ramps'!CI161)/('On-Ramps'!AG161+#REF!)</f>
        <v>#REF!</v>
      </c>
      <c r="BI161" s="57" t="e">
        <f>(Links!L161*Links!AZ161+'On-Ramps'!AH161*'On-Ramps'!CJ161)/('On-Ramps'!AH161+Links!L161)</f>
        <v>#DIV/0!</v>
      </c>
      <c r="BJ161" s="57" t="e">
        <f>(Links!BA161*Links!M161+'On-Ramps'!AI161*'On-Ramps'!CK161)/('On-Ramps'!AI161+Links!M161)</f>
        <v>#DIV/0!</v>
      </c>
      <c r="BK161" s="57" t="e">
        <f>(Links!S161*Links!BG161+'On-Ramps'!AJ161*'On-Ramps'!CL161)/('On-Ramps'!AJ161+Links!S161)</f>
        <v>#DIV/0!</v>
      </c>
      <c r="BL161" s="63"/>
      <c r="BM161" s="57" t="e">
        <f>(Links!S161*Links!BG161+'On-Ramps'!AL161*'On-Ramps'!CM161)/(Links!S161+'On-Ramps'!AL161)</f>
        <v>#DIV/0!</v>
      </c>
      <c r="BN161" s="63"/>
      <c r="BO161" s="58" t="e">
        <f>(Links!W161^2+'Off-Ramp'!L161^2)/(Links!W161+'Off-Ramp'!L161)</f>
        <v>#DIV/0!</v>
      </c>
      <c r="BP161" s="63"/>
      <c r="BQ161" s="58" t="e">
        <f>(Links!Y161^2+'Off-Ramp'!C161^2)/(Links!Y161+'Off-Ramp'!C161)</f>
        <v>#DIV/0!</v>
      </c>
      <c r="BR161" s="63"/>
      <c r="BS161" s="58" t="e">
        <f>(Links!AA161^2+'Off-Ramp'!N161^2)/(Links!AA161+'Off-Ramp'!N161)</f>
        <v>#DIV/0!</v>
      </c>
      <c r="BT161" s="58" t="e">
        <f>(Links!AD161^2+'Off-Ramp'!O161^2)/(Links!AD161+'Off-Ramp'!O161)</f>
        <v>#DIV/0!</v>
      </c>
      <c r="BU161" s="58" t="e">
        <f>(Links!AE161^2+'Off-Ramp'!V161^2+'Off-Ramp'!W161^2+'Off-Ramp'!X161^2)/(Links!AE161+'Off-Ramp'!V161+'Off-Ramp'!W161+'Off-Ramp'!X161)</f>
        <v>#DIV/0!</v>
      </c>
      <c r="BV161" s="58" t="e">
        <f>(Links!AG161^2+'Off-Ramp'!Y161^2+'Off-Ramp'!Z161^2+'Off-Ramp'!AA161^2)/(Links!AG161+'Off-Ramp'!Y161+'Off-Ramp'!Z161+'Off-Ramp'!AA161)</f>
        <v>#DIV/0!</v>
      </c>
      <c r="BW161" s="58" t="e">
        <f>(Links!AH161^2+'Off-Ramp'!R161^2)/(Links!AH161+'Off-Ramp'!R161)</f>
        <v>#DIV/0!</v>
      </c>
      <c r="BX161" s="58" t="e">
        <f>(Links!AK161^2+'Off-Ramp'!S161^2)/(Links!AK161+'Off-Ramp'!S161)</f>
        <v>#DIV/0!</v>
      </c>
      <c r="BY161" s="58" t="e">
        <f>(Links!AL161^2+'Off-Ramp'!T161^2)/(Links!AL161+'Off-Ramp'!T161)</f>
        <v>#DIV/0!</v>
      </c>
      <c r="BZ161" s="63"/>
      <c r="CA161" s="58" t="e">
        <f>(Links!AN161^2+'Off-Ramp'!U161^2)/(Links!AN161+'Off-Ramp'!U161)</f>
        <v>#DIV/0!</v>
      </c>
    </row>
    <row r="162" spans="1:79" x14ac:dyDescent="0.15">
      <c r="A162" s="56">
        <v>160</v>
      </c>
      <c r="B162" s="57" t="e">
        <f t="shared" si="57"/>
        <v>#DIV/0!</v>
      </c>
      <c r="C162" s="57" t="e">
        <f t="shared" si="58"/>
        <v>#DIV/0!</v>
      </c>
      <c r="D162" s="57" t="e">
        <f t="shared" si="59"/>
        <v>#DIV/0!</v>
      </c>
      <c r="E162" s="57" t="e">
        <f t="shared" si="60"/>
        <v>#DIV/0!</v>
      </c>
      <c r="F162" s="57" t="e">
        <f t="shared" si="61"/>
        <v>#DIV/0!</v>
      </c>
      <c r="G162" s="57" t="e">
        <f t="shared" si="62"/>
        <v>#DIV/0!</v>
      </c>
      <c r="H162" s="57" t="e">
        <f t="shared" si="63"/>
        <v>#DIV/0!</v>
      </c>
      <c r="I162" s="57" t="e">
        <f t="shared" si="64"/>
        <v>#DIV/0!</v>
      </c>
      <c r="J162" s="57" t="e">
        <f t="shared" si="65"/>
        <v>#DIV/0!</v>
      </c>
      <c r="K162" s="57" t="e">
        <f t="shared" si="66"/>
        <v>#DIV/0!</v>
      </c>
      <c r="L162" s="57" t="e">
        <f t="shared" si="67"/>
        <v>#DIV/0!</v>
      </c>
      <c r="M162" s="57" t="e">
        <f t="shared" si="68"/>
        <v>#DIV/0!</v>
      </c>
      <c r="N162" s="57" t="e">
        <f t="shared" si="69"/>
        <v>#DIV/0!</v>
      </c>
      <c r="O162" s="58" t="e">
        <f>Links!B162</f>
        <v>#DIV/0!</v>
      </c>
      <c r="P162" s="58" t="e">
        <f>Links!C162+'On-Ramps'!AC162</f>
        <v>#DIV/0!</v>
      </c>
      <c r="Q162" s="58" t="e">
        <f>Links!D162</f>
        <v>#DIV/0!</v>
      </c>
      <c r="R162" s="58" t="e">
        <f>Links!E162+'On-Ramps'!AD162</f>
        <v>#DIV/0!</v>
      </c>
      <c r="S162" s="58" t="e">
        <f>Links!F162+'On-Ramps'!AE162</f>
        <v>#DIV/0!</v>
      </c>
      <c r="T162" s="58" t="e">
        <f>Links!I162+'On-Ramps'!AF162</f>
        <v>#DIV/0!</v>
      </c>
      <c r="U162" s="58" t="e">
        <f>Links!J162+'On-Ramps'!AG162</f>
        <v>#DIV/0!</v>
      </c>
      <c r="V162" s="58" t="e">
        <f>Links!L162+'On-Ramps'!AH162</f>
        <v>#DIV/0!</v>
      </c>
      <c r="W162" s="58" t="e">
        <f>Links!M162+'On-Ramps'!AI162</f>
        <v>#DIV/0!</v>
      </c>
      <c r="X162" s="58" t="e">
        <f>Links!P162+'On-Ramps'!AJ162</f>
        <v>#DIV/0!</v>
      </c>
      <c r="Y162" s="58" t="e">
        <f>Links!Q162</f>
        <v>#DIV/0!</v>
      </c>
      <c r="Z162" s="58" t="e">
        <f>Links!R162+'On-Ramps'!AK162</f>
        <v>#DIV/0!</v>
      </c>
      <c r="AA162" s="58" t="e">
        <f>Links!S162</f>
        <v>#DIV/0!</v>
      </c>
      <c r="AB162" s="57" t="e">
        <f t="shared" si="70"/>
        <v>#VALUE!</v>
      </c>
      <c r="AC162" s="63"/>
      <c r="AD162" s="57" t="e">
        <f t="shared" si="71"/>
        <v>#DIV/0!</v>
      </c>
      <c r="AE162" s="63"/>
      <c r="AF162" s="57" t="e">
        <f t="shared" si="72"/>
        <v>#DIV/0!</v>
      </c>
      <c r="AG162" s="57" t="e">
        <f t="shared" si="73"/>
        <v>#DIV/0!</v>
      </c>
      <c r="AH162" s="57" t="e">
        <f t="shared" si="74"/>
        <v>#DIV/0!</v>
      </c>
      <c r="AI162" s="57" t="e">
        <f t="shared" si="75"/>
        <v>#DIV/0!</v>
      </c>
      <c r="AJ162" s="57" t="e">
        <f t="shared" si="76"/>
        <v>#DIV/0!</v>
      </c>
      <c r="AK162" s="57" t="e">
        <f t="shared" si="77"/>
        <v>#DIV/0!</v>
      </c>
      <c r="AL162" s="57" t="e">
        <f t="shared" si="78"/>
        <v>#DIV/0!</v>
      </c>
      <c r="AM162" s="63"/>
      <c r="AN162" s="57" t="e">
        <f t="shared" si="80"/>
        <v>#DIV/0!</v>
      </c>
      <c r="AO162" s="58" t="e">
        <f t="shared" si="56"/>
        <v>#VALUE!</v>
      </c>
      <c r="AP162" s="63"/>
      <c r="AQ162" s="58" t="e">
        <f t="shared" si="79"/>
        <v>#DIV/0!</v>
      </c>
      <c r="AR162" s="63"/>
      <c r="AS162" s="58" t="e">
        <f t="shared" si="79"/>
        <v>#DIV/0!</v>
      </c>
      <c r="AT162" s="58" t="e">
        <f t="shared" si="79"/>
        <v>#DIV/0!</v>
      </c>
      <c r="AU162" s="58" t="e">
        <f t="shared" si="79"/>
        <v>#DIV/0!</v>
      </c>
      <c r="AV162" s="58" t="e">
        <f t="shared" si="79"/>
        <v>#DIV/0!</v>
      </c>
      <c r="AW162" s="58" t="e">
        <f t="shared" si="79"/>
        <v>#DIV/0!</v>
      </c>
      <c r="AX162" s="58" t="e">
        <f t="shared" si="79"/>
        <v>#DIV/0!</v>
      </c>
      <c r="AY162" s="58" t="e">
        <f t="shared" si="79"/>
        <v>#DIV/0!</v>
      </c>
      <c r="AZ162" s="63"/>
      <c r="BA162" s="58" t="e">
        <f t="shared" ref="AQ162:BA182" si="81">BA$3</f>
        <v>#DIV/0!</v>
      </c>
      <c r="BB162" s="63"/>
      <c r="BC162" s="57" t="e">
        <f>(Links!C162*Links!AQ162+'On-Ramps'!AC162*'On-Ramps'!CE162)/('On-Ramps'!AC162+Links!C162)</f>
        <v>#DIV/0!</v>
      </c>
      <c r="BD162" s="63"/>
      <c r="BE162" s="57" t="e">
        <f>(Links!E162*Links!AS162+'On-Ramps'!AD162*'On-Ramps'!CF161)/('On-Ramps'!AD162+Links!E162)</f>
        <v>#DIV/0!</v>
      </c>
      <c r="BF162" s="57" t="e">
        <f>(Links!F162*Links!AT162+'On-Ramps'!AE162*'On-Ramps'!CG162)/('On-Ramps'!AE162+Links!F162)</f>
        <v>#DIV/0!</v>
      </c>
      <c r="BG162" s="57" t="e">
        <f>(Links!I162*Links!AW162+'On-Ramps'!AF162*'On-Ramps'!CH162)/('On-Ramps'!AF162+Links!I162)</f>
        <v>#DIV/0!</v>
      </c>
      <c r="BH162" s="57" t="e">
        <f>(#REF!*#REF!+'On-Ramps'!AG162*'On-Ramps'!CI162)/('On-Ramps'!AG162+#REF!)</f>
        <v>#REF!</v>
      </c>
      <c r="BI162" s="57" t="e">
        <f>(Links!L162*Links!AZ162+'On-Ramps'!AH162*'On-Ramps'!CJ162)/('On-Ramps'!AH162+Links!L162)</f>
        <v>#DIV/0!</v>
      </c>
      <c r="BJ162" s="57" t="e">
        <f>(Links!BA162*Links!M162+'On-Ramps'!AI162*'On-Ramps'!CK162)/('On-Ramps'!AI162+Links!M162)</f>
        <v>#DIV/0!</v>
      </c>
      <c r="BK162" s="57" t="e">
        <f>(Links!S162*Links!BG162+'On-Ramps'!AJ162*'On-Ramps'!CL162)/('On-Ramps'!AJ162+Links!S162)</f>
        <v>#DIV/0!</v>
      </c>
      <c r="BL162" s="63"/>
      <c r="BM162" s="57" t="e">
        <f>(Links!S162*Links!BG162+'On-Ramps'!AL162*'On-Ramps'!CM162)/(Links!S162+'On-Ramps'!AL162)</f>
        <v>#DIV/0!</v>
      </c>
      <c r="BN162" s="63"/>
      <c r="BO162" s="58" t="e">
        <f>(Links!W162^2+'Off-Ramp'!L162^2)/(Links!W162+'Off-Ramp'!L162)</f>
        <v>#DIV/0!</v>
      </c>
      <c r="BP162" s="63"/>
      <c r="BQ162" s="58" t="e">
        <f>(Links!Y162^2+'Off-Ramp'!C162^2)/(Links!Y162+'Off-Ramp'!C162)</f>
        <v>#DIV/0!</v>
      </c>
      <c r="BR162" s="63"/>
      <c r="BS162" s="58" t="e">
        <f>(Links!AA162^2+'Off-Ramp'!N162^2)/(Links!AA162+'Off-Ramp'!N162)</f>
        <v>#DIV/0!</v>
      </c>
      <c r="BT162" s="58" t="e">
        <f>(Links!AD162^2+'Off-Ramp'!O162^2)/(Links!AD162+'Off-Ramp'!O162)</f>
        <v>#DIV/0!</v>
      </c>
      <c r="BU162" s="58" t="e">
        <f>(Links!AE162^2+'Off-Ramp'!V162^2+'Off-Ramp'!W162^2+'Off-Ramp'!X162^2)/(Links!AE162+'Off-Ramp'!V162+'Off-Ramp'!W162+'Off-Ramp'!X162)</f>
        <v>#DIV/0!</v>
      </c>
      <c r="BV162" s="58" t="e">
        <f>(Links!AG162^2+'Off-Ramp'!Y162^2+'Off-Ramp'!Z162^2+'Off-Ramp'!AA162^2)/(Links!AG162+'Off-Ramp'!Y162+'Off-Ramp'!Z162+'Off-Ramp'!AA162)</f>
        <v>#DIV/0!</v>
      </c>
      <c r="BW162" s="58" t="e">
        <f>(Links!AH162^2+'Off-Ramp'!R162^2)/(Links!AH162+'Off-Ramp'!R162)</f>
        <v>#DIV/0!</v>
      </c>
      <c r="BX162" s="58" t="e">
        <f>(Links!AK162^2+'Off-Ramp'!S162^2)/(Links!AK162+'Off-Ramp'!S162)</f>
        <v>#DIV/0!</v>
      </c>
      <c r="BY162" s="58" t="e">
        <f>(Links!AL162^2+'Off-Ramp'!T162^2)/(Links!AL162+'Off-Ramp'!T162)</f>
        <v>#DIV/0!</v>
      </c>
      <c r="BZ162" s="63"/>
      <c r="CA162" s="58" t="e">
        <f>(Links!AN162^2+'Off-Ramp'!U162^2)/(Links!AN162+'Off-Ramp'!U162)</f>
        <v>#DIV/0!</v>
      </c>
    </row>
    <row r="163" spans="1:79" x14ac:dyDescent="0.15">
      <c r="A163" s="56">
        <v>161</v>
      </c>
      <c r="B163" s="57" t="e">
        <f t="shared" si="57"/>
        <v>#DIV/0!</v>
      </c>
      <c r="C163" s="57" t="e">
        <f t="shared" si="58"/>
        <v>#DIV/0!</v>
      </c>
      <c r="D163" s="57" t="e">
        <f t="shared" si="59"/>
        <v>#DIV/0!</v>
      </c>
      <c r="E163" s="57" t="e">
        <f t="shared" si="60"/>
        <v>#DIV/0!</v>
      </c>
      <c r="F163" s="57" t="e">
        <f t="shared" si="61"/>
        <v>#DIV/0!</v>
      </c>
      <c r="G163" s="57" t="e">
        <f t="shared" si="62"/>
        <v>#DIV/0!</v>
      </c>
      <c r="H163" s="57" t="e">
        <f t="shared" si="63"/>
        <v>#DIV/0!</v>
      </c>
      <c r="I163" s="57" t="e">
        <f t="shared" si="64"/>
        <v>#DIV/0!</v>
      </c>
      <c r="J163" s="57" t="e">
        <f t="shared" si="65"/>
        <v>#DIV/0!</v>
      </c>
      <c r="K163" s="57" t="e">
        <f t="shared" si="66"/>
        <v>#DIV/0!</v>
      </c>
      <c r="L163" s="57" t="e">
        <f t="shared" si="67"/>
        <v>#DIV/0!</v>
      </c>
      <c r="M163" s="57" t="e">
        <f t="shared" si="68"/>
        <v>#DIV/0!</v>
      </c>
      <c r="N163" s="57" t="e">
        <f t="shared" si="69"/>
        <v>#DIV/0!</v>
      </c>
      <c r="O163" s="58" t="e">
        <f>Links!B163</f>
        <v>#DIV/0!</v>
      </c>
      <c r="P163" s="58" t="e">
        <f>Links!C163+'On-Ramps'!AC163</f>
        <v>#DIV/0!</v>
      </c>
      <c r="Q163" s="58" t="e">
        <f>Links!D163</f>
        <v>#DIV/0!</v>
      </c>
      <c r="R163" s="58" t="e">
        <f>Links!E163+'On-Ramps'!AD163</f>
        <v>#DIV/0!</v>
      </c>
      <c r="S163" s="58" t="e">
        <f>Links!F163+'On-Ramps'!AE163</f>
        <v>#DIV/0!</v>
      </c>
      <c r="T163" s="58" t="e">
        <f>Links!I163+'On-Ramps'!AF163</f>
        <v>#DIV/0!</v>
      </c>
      <c r="U163" s="58" t="e">
        <f>Links!J163+'On-Ramps'!AG163</f>
        <v>#DIV/0!</v>
      </c>
      <c r="V163" s="58" t="e">
        <f>Links!L163+'On-Ramps'!AH163</f>
        <v>#DIV/0!</v>
      </c>
      <c r="W163" s="58" t="e">
        <f>Links!M163+'On-Ramps'!AI163</f>
        <v>#DIV/0!</v>
      </c>
      <c r="X163" s="58" t="e">
        <f>Links!P163+'On-Ramps'!AJ163</f>
        <v>#DIV/0!</v>
      </c>
      <c r="Y163" s="58" t="e">
        <f>Links!Q163</f>
        <v>#DIV/0!</v>
      </c>
      <c r="Z163" s="58" t="e">
        <f>Links!R163+'On-Ramps'!AK163</f>
        <v>#DIV/0!</v>
      </c>
      <c r="AA163" s="58" t="e">
        <f>Links!S163</f>
        <v>#DIV/0!</v>
      </c>
      <c r="AB163" s="57" t="e">
        <f t="shared" si="70"/>
        <v>#VALUE!</v>
      </c>
      <c r="AC163" s="63"/>
      <c r="AD163" s="57" t="e">
        <f t="shared" si="71"/>
        <v>#DIV/0!</v>
      </c>
      <c r="AE163" s="63"/>
      <c r="AF163" s="57" t="e">
        <f t="shared" si="72"/>
        <v>#DIV/0!</v>
      </c>
      <c r="AG163" s="57" t="e">
        <f t="shared" si="73"/>
        <v>#DIV/0!</v>
      </c>
      <c r="AH163" s="57" t="e">
        <f t="shared" si="74"/>
        <v>#DIV/0!</v>
      </c>
      <c r="AI163" s="57" t="e">
        <f t="shared" si="75"/>
        <v>#DIV/0!</v>
      </c>
      <c r="AJ163" s="57" t="e">
        <f t="shared" si="76"/>
        <v>#DIV/0!</v>
      </c>
      <c r="AK163" s="57" t="e">
        <f t="shared" si="77"/>
        <v>#DIV/0!</v>
      </c>
      <c r="AL163" s="57" t="e">
        <f t="shared" si="78"/>
        <v>#DIV/0!</v>
      </c>
      <c r="AM163" s="63"/>
      <c r="AN163" s="57" t="e">
        <f t="shared" si="80"/>
        <v>#DIV/0!</v>
      </c>
      <c r="AO163" s="58" t="e">
        <f t="shared" si="56"/>
        <v>#VALUE!</v>
      </c>
      <c r="AP163" s="63"/>
      <c r="AQ163" s="58" t="e">
        <f t="shared" si="81"/>
        <v>#DIV/0!</v>
      </c>
      <c r="AR163" s="63"/>
      <c r="AS163" s="58" t="e">
        <f t="shared" si="81"/>
        <v>#DIV/0!</v>
      </c>
      <c r="AT163" s="58" t="e">
        <f t="shared" si="81"/>
        <v>#DIV/0!</v>
      </c>
      <c r="AU163" s="58" t="e">
        <f t="shared" si="81"/>
        <v>#DIV/0!</v>
      </c>
      <c r="AV163" s="58" t="e">
        <f t="shared" si="81"/>
        <v>#DIV/0!</v>
      </c>
      <c r="AW163" s="58" t="e">
        <f t="shared" si="81"/>
        <v>#DIV/0!</v>
      </c>
      <c r="AX163" s="58" t="e">
        <f t="shared" si="81"/>
        <v>#DIV/0!</v>
      </c>
      <c r="AY163" s="58" t="e">
        <f t="shared" si="81"/>
        <v>#DIV/0!</v>
      </c>
      <c r="AZ163" s="63"/>
      <c r="BA163" s="58" t="e">
        <f t="shared" si="81"/>
        <v>#DIV/0!</v>
      </c>
      <c r="BB163" s="63"/>
      <c r="BC163" s="57" t="e">
        <f>(Links!C163*Links!AQ163+'On-Ramps'!AC163*'On-Ramps'!CE163)/('On-Ramps'!AC163+Links!C163)</f>
        <v>#DIV/0!</v>
      </c>
      <c r="BD163" s="63"/>
      <c r="BE163" s="57" t="e">
        <f>(Links!E163*Links!AS163+'On-Ramps'!AD163*'On-Ramps'!CF162)/('On-Ramps'!AD163+Links!E163)</f>
        <v>#DIV/0!</v>
      </c>
      <c r="BF163" s="57" t="e">
        <f>(Links!F163*Links!AT163+'On-Ramps'!AE163*'On-Ramps'!CG163)/('On-Ramps'!AE163+Links!F163)</f>
        <v>#DIV/0!</v>
      </c>
      <c r="BG163" s="57" t="e">
        <f>(Links!I163*Links!AW163+'On-Ramps'!AF163*'On-Ramps'!CH163)/('On-Ramps'!AF163+Links!I163)</f>
        <v>#DIV/0!</v>
      </c>
      <c r="BH163" s="57" t="e">
        <f>(#REF!*#REF!+'On-Ramps'!AG163*'On-Ramps'!CI163)/('On-Ramps'!AG163+#REF!)</f>
        <v>#REF!</v>
      </c>
      <c r="BI163" s="57" t="e">
        <f>(Links!L163*Links!AZ163+'On-Ramps'!AH163*'On-Ramps'!CJ163)/('On-Ramps'!AH163+Links!L163)</f>
        <v>#DIV/0!</v>
      </c>
      <c r="BJ163" s="57" t="e">
        <f>(Links!BA163*Links!M163+'On-Ramps'!AI163*'On-Ramps'!CK163)/('On-Ramps'!AI163+Links!M163)</f>
        <v>#DIV/0!</v>
      </c>
      <c r="BK163" s="57" t="e">
        <f>(Links!S163*Links!BG163+'On-Ramps'!AJ163*'On-Ramps'!CL163)/('On-Ramps'!AJ163+Links!S163)</f>
        <v>#DIV/0!</v>
      </c>
      <c r="BL163" s="63"/>
      <c r="BM163" s="57" t="e">
        <f>(Links!S163*Links!BG163+'On-Ramps'!AL163*'On-Ramps'!CM163)/(Links!S163+'On-Ramps'!AL163)</f>
        <v>#DIV/0!</v>
      </c>
      <c r="BN163" s="63"/>
      <c r="BO163" s="58" t="e">
        <f>(Links!W163^2+'Off-Ramp'!L163^2)/(Links!W163+'Off-Ramp'!L163)</f>
        <v>#DIV/0!</v>
      </c>
      <c r="BP163" s="63"/>
      <c r="BQ163" s="58" t="e">
        <f>(Links!Y163^2+'Off-Ramp'!C163^2)/(Links!Y163+'Off-Ramp'!C163)</f>
        <v>#DIV/0!</v>
      </c>
      <c r="BR163" s="63"/>
      <c r="BS163" s="58" t="e">
        <f>(Links!AA163^2+'Off-Ramp'!N163^2)/(Links!AA163+'Off-Ramp'!N163)</f>
        <v>#DIV/0!</v>
      </c>
      <c r="BT163" s="58" t="e">
        <f>(Links!AD163^2+'Off-Ramp'!O163^2)/(Links!AD163+'Off-Ramp'!O163)</f>
        <v>#DIV/0!</v>
      </c>
      <c r="BU163" s="58" t="e">
        <f>(Links!AE163^2+'Off-Ramp'!V163^2+'Off-Ramp'!W163^2+'Off-Ramp'!X163^2)/(Links!AE163+'Off-Ramp'!V163+'Off-Ramp'!W163+'Off-Ramp'!X163)</f>
        <v>#DIV/0!</v>
      </c>
      <c r="BV163" s="58" t="e">
        <f>(Links!AG163^2+'Off-Ramp'!Y163^2+'Off-Ramp'!Z163^2+'Off-Ramp'!AA163^2)/(Links!AG163+'Off-Ramp'!Y163+'Off-Ramp'!Z163+'Off-Ramp'!AA163)</f>
        <v>#DIV/0!</v>
      </c>
      <c r="BW163" s="58" t="e">
        <f>(Links!AH163^2+'Off-Ramp'!R163^2)/(Links!AH163+'Off-Ramp'!R163)</f>
        <v>#DIV/0!</v>
      </c>
      <c r="BX163" s="58" t="e">
        <f>(Links!AK163^2+'Off-Ramp'!S163^2)/(Links!AK163+'Off-Ramp'!S163)</f>
        <v>#DIV/0!</v>
      </c>
      <c r="BY163" s="58" t="e">
        <f>(Links!AL163^2+'Off-Ramp'!T163^2)/(Links!AL163+'Off-Ramp'!T163)</f>
        <v>#DIV/0!</v>
      </c>
      <c r="BZ163" s="63"/>
      <c r="CA163" s="58" t="e">
        <f>(Links!AN163^2+'Off-Ramp'!U163^2)/(Links!AN163+'Off-Ramp'!U163)</f>
        <v>#DIV/0!</v>
      </c>
    </row>
    <row r="164" spans="1:79" x14ac:dyDescent="0.15">
      <c r="A164" s="56">
        <v>162</v>
      </c>
      <c r="B164" s="57" t="e">
        <f t="shared" si="57"/>
        <v>#DIV/0!</v>
      </c>
      <c r="C164" s="57" t="e">
        <f t="shared" si="58"/>
        <v>#DIV/0!</v>
      </c>
      <c r="D164" s="57" t="e">
        <f t="shared" si="59"/>
        <v>#DIV/0!</v>
      </c>
      <c r="E164" s="57" t="e">
        <f t="shared" si="60"/>
        <v>#DIV/0!</v>
      </c>
      <c r="F164" s="57" t="e">
        <f t="shared" si="61"/>
        <v>#DIV/0!</v>
      </c>
      <c r="G164" s="57" t="e">
        <f t="shared" si="62"/>
        <v>#DIV/0!</v>
      </c>
      <c r="H164" s="57" t="e">
        <f t="shared" si="63"/>
        <v>#DIV/0!</v>
      </c>
      <c r="I164" s="57" t="e">
        <f t="shared" si="64"/>
        <v>#DIV/0!</v>
      </c>
      <c r="J164" s="57" t="e">
        <f t="shared" si="65"/>
        <v>#DIV/0!</v>
      </c>
      <c r="K164" s="57" t="e">
        <f t="shared" si="66"/>
        <v>#DIV/0!</v>
      </c>
      <c r="L164" s="57" t="e">
        <f t="shared" si="67"/>
        <v>#DIV/0!</v>
      </c>
      <c r="M164" s="57" t="e">
        <f t="shared" si="68"/>
        <v>#DIV/0!</v>
      </c>
      <c r="N164" s="57" t="e">
        <f t="shared" si="69"/>
        <v>#DIV/0!</v>
      </c>
      <c r="O164" s="58" t="e">
        <f>Links!B164</f>
        <v>#DIV/0!</v>
      </c>
      <c r="P164" s="58" t="e">
        <f>Links!C164+'On-Ramps'!AC164</f>
        <v>#DIV/0!</v>
      </c>
      <c r="Q164" s="58" t="e">
        <f>Links!D164</f>
        <v>#DIV/0!</v>
      </c>
      <c r="R164" s="58" t="e">
        <f>Links!E164+'On-Ramps'!AD164</f>
        <v>#DIV/0!</v>
      </c>
      <c r="S164" s="58" t="e">
        <f>Links!F164+'On-Ramps'!AE164</f>
        <v>#DIV/0!</v>
      </c>
      <c r="T164" s="58" t="e">
        <f>Links!I164+'On-Ramps'!AF164</f>
        <v>#DIV/0!</v>
      </c>
      <c r="U164" s="58" t="e">
        <f>Links!J164+'On-Ramps'!AG164</f>
        <v>#DIV/0!</v>
      </c>
      <c r="V164" s="58" t="e">
        <f>Links!L164+'On-Ramps'!AH164</f>
        <v>#DIV/0!</v>
      </c>
      <c r="W164" s="58" t="e">
        <f>Links!M164+'On-Ramps'!AI164</f>
        <v>#DIV/0!</v>
      </c>
      <c r="X164" s="58" t="e">
        <f>Links!P164+'On-Ramps'!AJ164</f>
        <v>#DIV/0!</v>
      </c>
      <c r="Y164" s="58" t="e">
        <f>Links!Q164</f>
        <v>#DIV/0!</v>
      </c>
      <c r="Z164" s="58" t="e">
        <f>Links!R164+'On-Ramps'!AK164</f>
        <v>#DIV/0!</v>
      </c>
      <c r="AA164" s="58" t="e">
        <f>Links!S164</f>
        <v>#DIV/0!</v>
      </c>
      <c r="AB164" s="57" t="e">
        <f t="shared" si="70"/>
        <v>#VALUE!</v>
      </c>
      <c r="AC164" s="63"/>
      <c r="AD164" s="57" t="e">
        <f t="shared" si="71"/>
        <v>#DIV/0!</v>
      </c>
      <c r="AE164" s="63"/>
      <c r="AF164" s="57" t="e">
        <f t="shared" si="72"/>
        <v>#DIV/0!</v>
      </c>
      <c r="AG164" s="57" t="e">
        <f t="shared" si="73"/>
        <v>#DIV/0!</v>
      </c>
      <c r="AH164" s="57" t="e">
        <f t="shared" si="74"/>
        <v>#DIV/0!</v>
      </c>
      <c r="AI164" s="57" t="e">
        <f t="shared" si="75"/>
        <v>#DIV/0!</v>
      </c>
      <c r="AJ164" s="57" t="e">
        <f t="shared" si="76"/>
        <v>#DIV/0!</v>
      </c>
      <c r="AK164" s="57" t="e">
        <f t="shared" si="77"/>
        <v>#DIV/0!</v>
      </c>
      <c r="AL164" s="57" t="e">
        <f t="shared" si="78"/>
        <v>#DIV/0!</v>
      </c>
      <c r="AM164" s="63"/>
      <c r="AN164" s="57" t="e">
        <f t="shared" si="80"/>
        <v>#DIV/0!</v>
      </c>
      <c r="AO164" s="58" t="e">
        <f t="shared" si="56"/>
        <v>#VALUE!</v>
      </c>
      <c r="AP164" s="63"/>
      <c r="AQ164" s="58" t="e">
        <f t="shared" si="81"/>
        <v>#DIV/0!</v>
      </c>
      <c r="AR164" s="63"/>
      <c r="AS164" s="58" t="e">
        <f t="shared" si="81"/>
        <v>#DIV/0!</v>
      </c>
      <c r="AT164" s="58" t="e">
        <f t="shared" si="81"/>
        <v>#DIV/0!</v>
      </c>
      <c r="AU164" s="58" t="e">
        <f t="shared" si="81"/>
        <v>#DIV/0!</v>
      </c>
      <c r="AV164" s="58" t="e">
        <f t="shared" si="81"/>
        <v>#DIV/0!</v>
      </c>
      <c r="AW164" s="58" t="e">
        <f t="shared" si="81"/>
        <v>#DIV/0!</v>
      </c>
      <c r="AX164" s="58" t="e">
        <f t="shared" si="81"/>
        <v>#DIV/0!</v>
      </c>
      <c r="AY164" s="58" t="e">
        <f t="shared" si="81"/>
        <v>#DIV/0!</v>
      </c>
      <c r="AZ164" s="63"/>
      <c r="BA164" s="58" t="e">
        <f t="shared" si="81"/>
        <v>#DIV/0!</v>
      </c>
      <c r="BB164" s="63"/>
      <c r="BC164" s="57" t="e">
        <f>(Links!C164*Links!AQ164+'On-Ramps'!AC164*'On-Ramps'!CE164)/('On-Ramps'!AC164+Links!C164)</f>
        <v>#DIV/0!</v>
      </c>
      <c r="BD164" s="63"/>
      <c r="BE164" s="57" t="e">
        <f>(Links!E164*Links!AS164+'On-Ramps'!AD164*'On-Ramps'!CF163)/('On-Ramps'!AD164+Links!E164)</f>
        <v>#DIV/0!</v>
      </c>
      <c r="BF164" s="57" t="e">
        <f>(Links!F164*Links!AT164+'On-Ramps'!AE164*'On-Ramps'!CG164)/('On-Ramps'!AE164+Links!F164)</f>
        <v>#DIV/0!</v>
      </c>
      <c r="BG164" s="57" t="e">
        <f>(Links!I164*Links!AW164+'On-Ramps'!AF164*'On-Ramps'!CH164)/('On-Ramps'!AF164+Links!I164)</f>
        <v>#DIV/0!</v>
      </c>
      <c r="BH164" s="57" t="e">
        <f>(#REF!*#REF!+'On-Ramps'!AG164*'On-Ramps'!CI164)/('On-Ramps'!AG164+#REF!)</f>
        <v>#REF!</v>
      </c>
      <c r="BI164" s="57" t="e">
        <f>(Links!L164*Links!AZ164+'On-Ramps'!AH164*'On-Ramps'!CJ164)/('On-Ramps'!AH164+Links!L164)</f>
        <v>#DIV/0!</v>
      </c>
      <c r="BJ164" s="57" t="e">
        <f>(Links!BA164*Links!M164+'On-Ramps'!AI164*'On-Ramps'!CK164)/('On-Ramps'!AI164+Links!M164)</f>
        <v>#DIV/0!</v>
      </c>
      <c r="BK164" s="57" t="e">
        <f>(Links!S164*Links!BG164+'On-Ramps'!AJ164*'On-Ramps'!CL164)/('On-Ramps'!AJ164+Links!S164)</f>
        <v>#DIV/0!</v>
      </c>
      <c r="BL164" s="63"/>
      <c r="BM164" s="57" t="e">
        <f>(Links!S164*Links!BG164+'On-Ramps'!AL164*'On-Ramps'!CM164)/(Links!S164+'On-Ramps'!AL164)</f>
        <v>#DIV/0!</v>
      </c>
      <c r="BN164" s="63"/>
      <c r="BO164" s="58" t="e">
        <f>(Links!W164^2+'Off-Ramp'!L164^2)/(Links!W164+'Off-Ramp'!L164)</f>
        <v>#DIV/0!</v>
      </c>
      <c r="BP164" s="63"/>
      <c r="BQ164" s="58" t="e">
        <f>(Links!Y164^2+'Off-Ramp'!C164^2)/(Links!Y164+'Off-Ramp'!C164)</f>
        <v>#DIV/0!</v>
      </c>
      <c r="BR164" s="63"/>
      <c r="BS164" s="58" t="e">
        <f>(Links!AA164^2+'Off-Ramp'!N164^2)/(Links!AA164+'Off-Ramp'!N164)</f>
        <v>#DIV/0!</v>
      </c>
      <c r="BT164" s="58" t="e">
        <f>(Links!AD164^2+'Off-Ramp'!O164^2)/(Links!AD164+'Off-Ramp'!O164)</f>
        <v>#DIV/0!</v>
      </c>
      <c r="BU164" s="58" t="e">
        <f>(Links!AE164^2+'Off-Ramp'!V164^2+'Off-Ramp'!W164^2+'Off-Ramp'!X164^2)/(Links!AE164+'Off-Ramp'!V164+'Off-Ramp'!W164+'Off-Ramp'!X164)</f>
        <v>#DIV/0!</v>
      </c>
      <c r="BV164" s="58" t="e">
        <f>(Links!AG164^2+'Off-Ramp'!Y164^2+'Off-Ramp'!Z164^2+'Off-Ramp'!AA164^2)/(Links!AG164+'Off-Ramp'!Y164+'Off-Ramp'!Z164+'Off-Ramp'!AA164)</f>
        <v>#DIV/0!</v>
      </c>
      <c r="BW164" s="58" t="e">
        <f>(Links!AH164^2+'Off-Ramp'!R164^2)/(Links!AH164+'Off-Ramp'!R164)</f>
        <v>#DIV/0!</v>
      </c>
      <c r="BX164" s="58" t="e">
        <f>(Links!AK164^2+'Off-Ramp'!S164^2)/(Links!AK164+'Off-Ramp'!S164)</f>
        <v>#DIV/0!</v>
      </c>
      <c r="BY164" s="58" t="e">
        <f>(Links!AL164^2+'Off-Ramp'!T164^2)/(Links!AL164+'Off-Ramp'!T164)</f>
        <v>#DIV/0!</v>
      </c>
      <c r="BZ164" s="63"/>
      <c r="CA164" s="58" t="e">
        <f>(Links!AN164^2+'Off-Ramp'!U164^2)/(Links!AN164+'Off-Ramp'!U164)</f>
        <v>#DIV/0!</v>
      </c>
    </row>
    <row r="165" spans="1:79" x14ac:dyDescent="0.15">
      <c r="A165" s="56">
        <v>163</v>
      </c>
      <c r="B165" s="57" t="e">
        <f t="shared" si="57"/>
        <v>#DIV/0!</v>
      </c>
      <c r="C165" s="57" t="e">
        <f t="shared" si="58"/>
        <v>#DIV/0!</v>
      </c>
      <c r="D165" s="57" t="e">
        <f t="shared" si="59"/>
        <v>#DIV/0!</v>
      </c>
      <c r="E165" s="57" t="e">
        <f t="shared" si="60"/>
        <v>#DIV/0!</v>
      </c>
      <c r="F165" s="57" t="e">
        <f t="shared" si="61"/>
        <v>#DIV/0!</v>
      </c>
      <c r="G165" s="57" t="e">
        <f t="shared" si="62"/>
        <v>#DIV/0!</v>
      </c>
      <c r="H165" s="57" t="e">
        <f t="shared" si="63"/>
        <v>#DIV/0!</v>
      </c>
      <c r="I165" s="57" t="e">
        <f t="shared" si="64"/>
        <v>#DIV/0!</v>
      </c>
      <c r="J165" s="57" t="e">
        <f t="shared" si="65"/>
        <v>#DIV/0!</v>
      </c>
      <c r="K165" s="57" t="e">
        <f t="shared" si="66"/>
        <v>#DIV/0!</v>
      </c>
      <c r="L165" s="57" t="e">
        <f t="shared" si="67"/>
        <v>#DIV/0!</v>
      </c>
      <c r="M165" s="57" t="e">
        <f t="shared" si="68"/>
        <v>#DIV/0!</v>
      </c>
      <c r="N165" s="57" t="e">
        <f t="shared" si="69"/>
        <v>#DIV/0!</v>
      </c>
      <c r="O165" s="58" t="e">
        <f>Links!B165</f>
        <v>#DIV/0!</v>
      </c>
      <c r="P165" s="58" t="e">
        <f>Links!C165+'On-Ramps'!AC165</f>
        <v>#DIV/0!</v>
      </c>
      <c r="Q165" s="58" t="e">
        <f>Links!D165</f>
        <v>#DIV/0!</v>
      </c>
      <c r="R165" s="58" t="e">
        <f>Links!E165+'On-Ramps'!AD165</f>
        <v>#DIV/0!</v>
      </c>
      <c r="S165" s="58" t="e">
        <f>Links!F165+'On-Ramps'!AE165</f>
        <v>#DIV/0!</v>
      </c>
      <c r="T165" s="58" t="e">
        <f>Links!I165+'On-Ramps'!AF165</f>
        <v>#DIV/0!</v>
      </c>
      <c r="U165" s="58" t="e">
        <f>Links!J165+'On-Ramps'!AG165</f>
        <v>#DIV/0!</v>
      </c>
      <c r="V165" s="58" t="e">
        <f>Links!L165+'On-Ramps'!AH165</f>
        <v>#DIV/0!</v>
      </c>
      <c r="W165" s="58" t="e">
        <f>Links!M165+'On-Ramps'!AI165</f>
        <v>#DIV/0!</v>
      </c>
      <c r="X165" s="58" t="e">
        <f>Links!P165+'On-Ramps'!AJ165</f>
        <v>#DIV/0!</v>
      </c>
      <c r="Y165" s="58" t="e">
        <f>Links!Q165</f>
        <v>#DIV/0!</v>
      </c>
      <c r="Z165" s="58" t="e">
        <f>Links!R165+'On-Ramps'!AK165</f>
        <v>#DIV/0!</v>
      </c>
      <c r="AA165" s="58" t="e">
        <f>Links!S165</f>
        <v>#DIV/0!</v>
      </c>
      <c r="AB165" s="57" t="e">
        <f t="shared" si="70"/>
        <v>#VALUE!</v>
      </c>
      <c r="AC165" s="63"/>
      <c r="AD165" s="57" t="e">
        <f t="shared" si="71"/>
        <v>#DIV/0!</v>
      </c>
      <c r="AE165" s="63"/>
      <c r="AF165" s="57" t="e">
        <f t="shared" si="72"/>
        <v>#DIV/0!</v>
      </c>
      <c r="AG165" s="57" t="e">
        <f t="shared" si="73"/>
        <v>#DIV/0!</v>
      </c>
      <c r="AH165" s="57" t="e">
        <f t="shared" si="74"/>
        <v>#DIV/0!</v>
      </c>
      <c r="AI165" s="57" t="e">
        <f t="shared" si="75"/>
        <v>#DIV/0!</v>
      </c>
      <c r="AJ165" s="57" t="e">
        <f t="shared" si="76"/>
        <v>#DIV/0!</v>
      </c>
      <c r="AK165" s="57" t="e">
        <f t="shared" si="77"/>
        <v>#DIV/0!</v>
      </c>
      <c r="AL165" s="57" t="e">
        <f t="shared" si="78"/>
        <v>#DIV/0!</v>
      </c>
      <c r="AM165" s="63"/>
      <c r="AN165" s="57" t="e">
        <f t="shared" si="80"/>
        <v>#DIV/0!</v>
      </c>
      <c r="AO165" s="58" t="e">
        <f t="shared" si="56"/>
        <v>#VALUE!</v>
      </c>
      <c r="AP165" s="63"/>
      <c r="AQ165" s="58" t="e">
        <f t="shared" si="81"/>
        <v>#DIV/0!</v>
      </c>
      <c r="AR165" s="63"/>
      <c r="AS165" s="58" t="e">
        <f t="shared" si="81"/>
        <v>#DIV/0!</v>
      </c>
      <c r="AT165" s="58" t="e">
        <f t="shared" si="81"/>
        <v>#DIV/0!</v>
      </c>
      <c r="AU165" s="58" t="e">
        <f t="shared" si="81"/>
        <v>#DIV/0!</v>
      </c>
      <c r="AV165" s="58" t="e">
        <f t="shared" si="81"/>
        <v>#DIV/0!</v>
      </c>
      <c r="AW165" s="58" t="e">
        <f t="shared" si="81"/>
        <v>#DIV/0!</v>
      </c>
      <c r="AX165" s="58" t="e">
        <f t="shared" si="81"/>
        <v>#DIV/0!</v>
      </c>
      <c r="AY165" s="58" t="e">
        <f t="shared" si="81"/>
        <v>#DIV/0!</v>
      </c>
      <c r="AZ165" s="63"/>
      <c r="BA165" s="58" t="e">
        <f t="shared" si="81"/>
        <v>#DIV/0!</v>
      </c>
      <c r="BB165" s="63"/>
      <c r="BC165" s="57" t="e">
        <f>(Links!C165*Links!AQ165+'On-Ramps'!AC165*'On-Ramps'!CE165)/('On-Ramps'!AC165+Links!C165)</f>
        <v>#DIV/0!</v>
      </c>
      <c r="BD165" s="63"/>
      <c r="BE165" s="57" t="e">
        <f>(Links!E165*Links!AS165+'On-Ramps'!AD165*'On-Ramps'!CF164)/('On-Ramps'!AD165+Links!E165)</f>
        <v>#DIV/0!</v>
      </c>
      <c r="BF165" s="57" t="e">
        <f>(Links!F165*Links!AT165+'On-Ramps'!AE165*'On-Ramps'!CG165)/('On-Ramps'!AE165+Links!F165)</f>
        <v>#DIV/0!</v>
      </c>
      <c r="BG165" s="57" t="e">
        <f>(Links!I165*Links!AW165+'On-Ramps'!AF165*'On-Ramps'!CH165)/('On-Ramps'!AF165+Links!I165)</f>
        <v>#DIV/0!</v>
      </c>
      <c r="BH165" s="57" t="e">
        <f>(#REF!*#REF!+'On-Ramps'!AG165*'On-Ramps'!CI165)/('On-Ramps'!AG165+#REF!)</f>
        <v>#REF!</v>
      </c>
      <c r="BI165" s="57" t="e">
        <f>(Links!L165*Links!AZ165+'On-Ramps'!AH165*'On-Ramps'!CJ165)/('On-Ramps'!AH165+Links!L165)</f>
        <v>#DIV/0!</v>
      </c>
      <c r="BJ165" s="57" t="e">
        <f>(Links!BA165*Links!M165+'On-Ramps'!AI165*'On-Ramps'!CK165)/('On-Ramps'!AI165+Links!M165)</f>
        <v>#DIV/0!</v>
      </c>
      <c r="BK165" s="57" t="e">
        <f>(Links!S165*Links!BG165+'On-Ramps'!AJ165*'On-Ramps'!CL165)/('On-Ramps'!AJ165+Links!S165)</f>
        <v>#DIV/0!</v>
      </c>
      <c r="BL165" s="63"/>
      <c r="BM165" s="57" t="e">
        <f>(Links!S165*Links!BG165+'On-Ramps'!AL165*'On-Ramps'!CM165)/(Links!S165+'On-Ramps'!AL165)</f>
        <v>#DIV/0!</v>
      </c>
      <c r="BN165" s="63"/>
      <c r="BO165" s="58" t="e">
        <f>(Links!W165^2+'Off-Ramp'!L165^2)/(Links!W165+'Off-Ramp'!L165)</f>
        <v>#DIV/0!</v>
      </c>
      <c r="BP165" s="63"/>
      <c r="BQ165" s="58" t="e">
        <f>(Links!Y165^2+'Off-Ramp'!C165^2)/(Links!Y165+'Off-Ramp'!C165)</f>
        <v>#DIV/0!</v>
      </c>
      <c r="BR165" s="63"/>
      <c r="BS165" s="58" t="e">
        <f>(Links!AA165^2+'Off-Ramp'!N165^2)/(Links!AA165+'Off-Ramp'!N165)</f>
        <v>#DIV/0!</v>
      </c>
      <c r="BT165" s="58" t="e">
        <f>(Links!AD165^2+'Off-Ramp'!O165^2)/(Links!AD165+'Off-Ramp'!O165)</f>
        <v>#DIV/0!</v>
      </c>
      <c r="BU165" s="58" t="e">
        <f>(Links!AE165^2+'Off-Ramp'!V165^2+'Off-Ramp'!W165^2+'Off-Ramp'!X165^2)/(Links!AE165+'Off-Ramp'!V165+'Off-Ramp'!W165+'Off-Ramp'!X165)</f>
        <v>#DIV/0!</v>
      </c>
      <c r="BV165" s="58" t="e">
        <f>(Links!AG165^2+'Off-Ramp'!Y165^2+'Off-Ramp'!Z165^2+'Off-Ramp'!AA165^2)/(Links!AG165+'Off-Ramp'!Y165+'Off-Ramp'!Z165+'Off-Ramp'!AA165)</f>
        <v>#DIV/0!</v>
      </c>
      <c r="BW165" s="58" t="e">
        <f>(Links!AH165^2+'Off-Ramp'!R165^2)/(Links!AH165+'Off-Ramp'!R165)</f>
        <v>#DIV/0!</v>
      </c>
      <c r="BX165" s="58" t="e">
        <f>(Links!AK165^2+'Off-Ramp'!S165^2)/(Links!AK165+'Off-Ramp'!S165)</f>
        <v>#DIV/0!</v>
      </c>
      <c r="BY165" s="58" t="e">
        <f>(Links!AL165^2+'Off-Ramp'!T165^2)/(Links!AL165+'Off-Ramp'!T165)</f>
        <v>#DIV/0!</v>
      </c>
      <c r="BZ165" s="63"/>
      <c r="CA165" s="58" t="e">
        <f>(Links!AN165^2+'Off-Ramp'!U165^2)/(Links!AN165+'Off-Ramp'!U165)</f>
        <v>#DIV/0!</v>
      </c>
    </row>
    <row r="166" spans="1:79" x14ac:dyDescent="0.15">
      <c r="A166" s="56">
        <v>164</v>
      </c>
      <c r="B166" s="57" t="e">
        <f t="shared" si="57"/>
        <v>#DIV/0!</v>
      </c>
      <c r="C166" s="57" t="e">
        <f t="shared" si="58"/>
        <v>#DIV/0!</v>
      </c>
      <c r="D166" s="57" t="e">
        <f t="shared" si="59"/>
        <v>#DIV/0!</v>
      </c>
      <c r="E166" s="57" t="e">
        <f t="shared" si="60"/>
        <v>#DIV/0!</v>
      </c>
      <c r="F166" s="57" t="e">
        <f t="shared" si="61"/>
        <v>#DIV/0!</v>
      </c>
      <c r="G166" s="57" t="e">
        <f t="shared" si="62"/>
        <v>#DIV/0!</v>
      </c>
      <c r="H166" s="57" t="e">
        <f t="shared" si="63"/>
        <v>#DIV/0!</v>
      </c>
      <c r="I166" s="57" t="e">
        <f t="shared" si="64"/>
        <v>#DIV/0!</v>
      </c>
      <c r="J166" s="57" t="e">
        <f t="shared" si="65"/>
        <v>#DIV/0!</v>
      </c>
      <c r="K166" s="57" t="e">
        <f t="shared" si="66"/>
        <v>#DIV/0!</v>
      </c>
      <c r="L166" s="57" t="e">
        <f t="shared" si="67"/>
        <v>#DIV/0!</v>
      </c>
      <c r="M166" s="57" t="e">
        <f t="shared" si="68"/>
        <v>#DIV/0!</v>
      </c>
      <c r="N166" s="57" t="e">
        <f t="shared" si="69"/>
        <v>#DIV/0!</v>
      </c>
      <c r="O166" s="58" t="e">
        <f>Links!B166</f>
        <v>#DIV/0!</v>
      </c>
      <c r="P166" s="58" t="e">
        <f>Links!C166+'On-Ramps'!AC166</f>
        <v>#DIV/0!</v>
      </c>
      <c r="Q166" s="58" t="e">
        <f>Links!D166</f>
        <v>#DIV/0!</v>
      </c>
      <c r="R166" s="58" t="e">
        <f>Links!E166+'On-Ramps'!AD166</f>
        <v>#DIV/0!</v>
      </c>
      <c r="S166" s="58" t="e">
        <f>Links!F166+'On-Ramps'!AE166</f>
        <v>#DIV/0!</v>
      </c>
      <c r="T166" s="58" t="e">
        <f>Links!I166+'On-Ramps'!AF166</f>
        <v>#DIV/0!</v>
      </c>
      <c r="U166" s="58" t="e">
        <f>Links!J166+'On-Ramps'!AG166</f>
        <v>#DIV/0!</v>
      </c>
      <c r="V166" s="58" t="e">
        <f>Links!L166+'On-Ramps'!AH166</f>
        <v>#DIV/0!</v>
      </c>
      <c r="W166" s="58" t="e">
        <f>Links!M166+'On-Ramps'!AI166</f>
        <v>#DIV/0!</v>
      </c>
      <c r="X166" s="58" t="e">
        <f>Links!P166+'On-Ramps'!AJ166</f>
        <v>#DIV/0!</v>
      </c>
      <c r="Y166" s="58" t="e">
        <f>Links!Q166</f>
        <v>#DIV/0!</v>
      </c>
      <c r="Z166" s="58" t="e">
        <f>Links!R166+'On-Ramps'!AK166</f>
        <v>#DIV/0!</v>
      </c>
      <c r="AA166" s="58" t="e">
        <f>Links!S166</f>
        <v>#DIV/0!</v>
      </c>
      <c r="AB166" s="57" t="e">
        <f t="shared" si="70"/>
        <v>#VALUE!</v>
      </c>
      <c r="AC166" s="63"/>
      <c r="AD166" s="57" t="e">
        <f t="shared" si="71"/>
        <v>#DIV/0!</v>
      </c>
      <c r="AE166" s="63"/>
      <c r="AF166" s="57" t="e">
        <f t="shared" si="72"/>
        <v>#DIV/0!</v>
      </c>
      <c r="AG166" s="57" t="e">
        <f t="shared" si="73"/>
        <v>#DIV/0!</v>
      </c>
      <c r="AH166" s="57" t="e">
        <f t="shared" si="74"/>
        <v>#DIV/0!</v>
      </c>
      <c r="AI166" s="57" t="e">
        <f t="shared" si="75"/>
        <v>#DIV/0!</v>
      </c>
      <c r="AJ166" s="57" t="e">
        <f t="shared" si="76"/>
        <v>#DIV/0!</v>
      </c>
      <c r="AK166" s="57" t="e">
        <f t="shared" si="77"/>
        <v>#DIV/0!</v>
      </c>
      <c r="AL166" s="57" t="e">
        <f t="shared" si="78"/>
        <v>#DIV/0!</v>
      </c>
      <c r="AM166" s="63"/>
      <c r="AN166" s="57" t="e">
        <f t="shared" si="80"/>
        <v>#DIV/0!</v>
      </c>
      <c r="AO166" s="58" t="e">
        <f t="shared" si="56"/>
        <v>#VALUE!</v>
      </c>
      <c r="AP166" s="63"/>
      <c r="AQ166" s="58" t="e">
        <f t="shared" si="81"/>
        <v>#DIV/0!</v>
      </c>
      <c r="AR166" s="63"/>
      <c r="AS166" s="58" t="e">
        <f t="shared" si="81"/>
        <v>#DIV/0!</v>
      </c>
      <c r="AT166" s="58" t="e">
        <f t="shared" si="81"/>
        <v>#DIV/0!</v>
      </c>
      <c r="AU166" s="58" t="e">
        <f t="shared" si="81"/>
        <v>#DIV/0!</v>
      </c>
      <c r="AV166" s="58" t="e">
        <f t="shared" si="81"/>
        <v>#DIV/0!</v>
      </c>
      <c r="AW166" s="58" t="e">
        <f t="shared" si="81"/>
        <v>#DIV/0!</v>
      </c>
      <c r="AX166" s="58" t="e">
        <f t="shared" si="81"/>
        <v>#DIV/0!</v>
      </c>
      <c r="AY166" s="58" t="e">
        <f t="shared" si="81"/>
        <v>#DIV/0!</v>
      </c>
      <c r="AZ166" s="63"/>
      <c r="BA166" s="58" t="e">
        <f t="shared" si="81"/>
        <v>#DIV/0!</v>
      </c>
      <c r="BB166" s="63"/>
      <c r="BC166" s="57" t="e">
        <f>(Links!C166*Links!AQ166+'On-Ramps'!AC166*'On-Ramps'!CE166)/('On-Ramps'!AC166+Links!C166)</f>
        <v>#DIV/0!</v>
      </c>
      <c r="BD166" s="63"/>
      <c r="BE166" s="57" t="e">
        <f>(Links!E166*Links!AS166+'On-Ramps'!AD166*'On-Ramps'!CF165)/('On-Ramps'!AD166+Links!E166)</f>
        <v>#DIV/0!</v>
      </c>
      <c r="BF166" s="57" t="e">
        <f>(Links!F166*Links!AT166+'On-Ramps'!AE166*'On-Ramps'!CG166)/('On-Ramps'!AE166+Links!F166)</f>
        <v>#DIV/0!</v>
      </c>
      <c r="BG166" s="57" t="e">
        <f>(Links!I166*Links!AW166+'On-Ramps'!AF166*'On-Ramps'!CH166)/('On-Ramps'!AF166+Links!I166)</f>
        <v>#DIV/0!</v>
      </c>
      <c r="BH166" s="57" t="e">
        <f>(#REF!*#REF!+'On-Ramps'!AG166*'On-Ramps'!CI166)/('On-Ramps'!AG166+#REF!)</f>
        <v>#REF!</v>
      </c>
      <c r="BI166" s="57" t="e">
        <f>(Links!L166*Links!AZ166+'On-Ramps'!AH166*'On-Ramps'!CJ166)/('On-Ramps'!AH166+Links!L166)</f>
        <v>#DIV/0!</v>
      </c>
      <c r="BJ166" s="57" t="e">
        <f>(Links!BA166*Links!M166+'On-Ramps'!AI166*'On-Ramps'!CK166)/('On-Ramps'!AI166+Links!M166)</f>
        <v>#DIV/0!</v>
      </c>
      <c r="BK166" s="57" t="e">
        <f>(Links!S166*Links!BG166+'On-Ramps'!AJ166*'On-Ramps'!CL166)/('On-Ramps'!AJ166+Links!S166)</f>
        <v>#DIV/0!</v>
      </c>
      <c r="BL166" s="63"/>
      <c r="BM166" s="57" t="e">
        <f>(Links!S166*Links!BG166+'On-Ramps'!AL166*'On-Ramps'!CM166)/(Links!S166+'On-Ramps'!AL166)</f>
        <v>#DIV/0!</v>
      </c>
      <c r="BN166" s="63"/>
      <c r="BO166" s="58" t="e">
        <f>(Links!W166^2+'Off-Ramp'!L166^2)/(Links!W166+'Off-Ramp'!L166)</f>
        <v>#DIV/0!</v>
      </c>
      <c r="BP166" s="63"/>
      <c r="BQ166" s="58" t="e">
        <f>(Links!Y166^2+'Off-Ramp'!C166^2)/(Links!Y166+'Off-Ramp'!C166)</f>
        <v>#DIV/0!</v>
      </c>
      <c r="BR166" s="63"/>
      <c r="BS166" s="58" t="e">
        <f>(Links!AA166^2+'Off-Ramp'!N166^2)/(Links!AA166+'Off-Ramp'!N166)</f>
        <v>#DIV/0!</v>
      </c>
      <c r="BT166" s="58" t="e">
        <f>(Links!AD166^2+'Off-Ramp'!O166^2)/(Links!AD166+'Off-Ramp'!O166)</f>
        <v>#DIV/0!</v>
      </c>
      <c r="BU166" s="58" t="e">
        <f>(Links!AE166^2+'Off-Ramp'!V166^2+'Off-Ramp'!W166^2+'Off-Ramp'!X166^2)/(Links!AE166+'Off-Ramp'!V166+'Off-Ramp'!W166+'Off-Ramp'!X166)</f>
        <v>#DIV/0!</v>
      </c>
      <c r="BV166" s="58" t="e">
        <f>(Links!AG166^2+'Off-Ramp'!Y166^2+'Off-Ramp'!Z166^2+'Off-Ramp'!AA166^2)/(Links!AG166+'Off-Ramp'!Y166+'Off-Ramp'!Z166+'Off-Ramp'!AA166)</f>
        <v>#DIV/0!</v>
      </c>
      <c r="BW166" s="58" t="e">
        <f>(Links!AH166^2+'Off-Ramp'!R166^2)/(Links!AH166+'Off-Ramp'!R166)</f>
        <v>#DIV/0!</v>
      </c>
      <c r="BX166" s="58" t="e">
        <f>(Links!AK166^2+'Off-Ramp'!S166^2)/(Links!AK166+'Off-Ramp'!S166)</f>
        <v>#DIV/0!</v>
      </c>
      <c r="BY166" s="58" t="e">
        <f>(Links!AL166^2+'Off-Ramp'!T166^2)/(Links!AL166+'Off-Ramp'!T166)</f>
        <v>#DIV/0!</v>
      </c>
      <c r="BZ166" s="63"/>
      <c r="CA166" s="58" t="e">
        <f>(Links!AN166^2+'Off-Ramp'!U166^2)/(Links!AN166+'Off-Ramp'!U166)</f>
        <v>#DIV/0!</v>
      </c>
    </row>
    <row r="167" spans="1:79" x14ac:dyDescent="0.15">
      <c r="A167" s="56">
        <v>165</v>
      </c>
      <c r="B167" s="57" t="e">
        <f t="shared" si="57"/>
        <v>#DIV/0!</v>
      </c>
      <c r="C167" s="57" t="e">
        <f t="shared" si="58"/>
        <v>#DIV/0!</v>
      </c>
      <c r="D167" s="57" t="e">
        <f t="shared" si="59"/>
        <v>#DIV/0!</v>
      </c>
      <c r="E167" s="57" t="e">
        <f t="shared" si="60"/>
        <v>#DIV/0!</v>
      </c>
      <c r="F167" s="57" t="e">
        <f t="shared" si="61"/>
        <v>#DIV/0!</v>
      </c>
      <c r="G167" s="57" t="e">
        <f t="shared" si="62"/>
        <v>#DIV/0!</v>
      </c>
      <c r="H167" s="57" t="e">
        <f t="shared" si="63"/>
        <v>#DIV/0!</v>
      </c>
      <c r="I167" s="57" t="e">
        <f t="shared" si="64"/>
        <v>#DIV/0!</v>
      </c>
      <c r="J167" s="57" t="e">
        <f t="shared" si="65"/>
        <v>#DIV/0!</v>
      </c>
      <c r="K167" s="57" t="e">
        <f t="shared" si="66"/>
        <v>#DIV/0!</v>
      </c>
      <c r="L167" s="57" t="e">
        <f t="shared" si="67"/>
        <v>#DIV/0!</v>
      </c>
      <c r="M167" s="57" t="e">
        <f t="shared" si="68"/>
        <v>#DIV/0!</v>
      </c>
      <c r="N167" s="57" t="e">
        <f t="shared" si="69"/>
        <v>#DIV/0!</v>
      </c>
      <c r="O167" s="58" t="e">
        <f>Links!B167</f>
        <v>#DIV/0!</v>
      </c>
      <c r="P167" s="58" t="e">
        <f>Links!C167+'On-Ramps'!AC167</f>
        <v>#DIV/0!</v>
      </c>
      <c r="Q167" s="58" t="e">
        <f>Links!D167</f>
        <v>#DIV/0!</v>
      </c>
      <c r="R167" s="58" t="e">
        <f>Links!E167+'On-Ramps'!AD167</f>
        <v>#DIV/0!</v>
      </c>
      <c r="S167" s="58" t="e">
        <f>Links!F167+'On-Ramps'!AE167</f>
        <v>#DIV/0!</v>
      </c>
      <c r="T167" s="58" t="e">
        <f>Links!I167+'On-Ramps'!AF167</f>
        <v>#DIV/0!</v>
      </c>
      <c r="U167" s="58" t="e">
        <f>Links!J167+'On-Ramps'!AG167</f>
        <v>#DIV/0!</v>
      </c>
      <c r="V167" s="58" t="e">
        <f>Links!L167+'On-Ramps'!AH167</f>
        <v>#DIV/0!</v>
      </c>
      <c r="W167" s="58" t="e">
        <f>Links!M167+'On-Ramps'!AI167</f>
        <v>#DIV/0!</v>
      </c>
      <c r="X167" s="58" t="e">
        <f>Links!P167+'On-Ramps'!AJ167</f>
        <v>#DIV/0!</v>
      </c>
      <c r="Y167" s="58" t="e">
        <f>Links!Q167</f>
        <v>#DIV/0!</v>
      </c>
      <c r="Z167" s="58" t="e">
        <f>Links!R167+'On-Ramps'!AK167</f>
        <v>#DIV/0!</v>
      </c>
      <c r="AA167" s="58" t="e">
        <f>Links!S167</f>
        <v>#DIV/0!</v>
      </c>
      <c r="AB167" s="57" t="e">
        <f t="shared" si="70"/>
        <v>#VALUE!</v>
      </c>
      <c r="AC167" s="63"/>
      <c r="AD167" s="57" t="e">
        <f t="shared" si="71"/>
        <v>#DIV/0!</v>
      </c>
      <c r="AE167" s="63"/>
      <c r="AF167" s="57" t="e">
        <f t="shared" si="72"/>
        <v>#DIV/0!</v>
      </c>
      <c r="AG167" s="57" t="e">
        <f t="shared" si="73"/>
        <v>#DIV/0!</v>
      </c>
      <c r="AH167" s="57" t="e">
        <f t="shared" si="74"/>
        <v>#DIV/0!</v>
      </c>
      <c r="AI167" s="57" t="e">
        <f t="shared" si="75"/>
        <v>#DIV/0!</v>
      </c>
      <c r="AJ167" s="57" t="e">
        <f t="shared" si="76"/>
        <v>#DIV/0!</v>
      </c>
      <c r="AK167" s="57" t="e">
        <f t="shared" si="77"/>
        <v>#DIV/0!</v>
      </c>
      <c r="AL167" s="57" t="e">
        <f t="shared" si="78"/>
        <v>#DIV/0!</v>
      </c>
      <c r="AM167" s="63"/>
      <c r="AN167" s="57" t="e">
        <f t="shared" si="80"/>
        <v>#DIV/0!</v>
      </c>
      <c r="AO167" s="58" t="e">
        <f t="shared" si="56"/>
        <v>#VALUE!</v>
      </c>
      <c r="AP167" s="63"/>
      <c r="AQ167" s="58" t="e">
        <f t="shared" si="81"/>
        <v>#DIV/0!</v>
      </c>
      <c r="AR167" s="63"/>
      <c r="AS167" s="58" t="e">
        <f t="shared" si="81"/>
        <v>#DIV/0!</v>
      </c>
      <c r="AT167" s="58" t="e">
        <f t="shared" si="81"/>
        <v>#DIV/0!</v>
      </c>
      <c r="AU167" s="58" t="e">
        <f t="shared" si="81"/>
        <v>#DIV/0!</v>
      </c>
      <c r="AV167" s="58" t="e">
        <f t="shared" si="81"/>
        <v>#DIV/0!</v>
      </c>
      <c r="AW167" s="58" t="e">
        <f t="shared" si="81"/>
        <v>#DIV/0!</v>
      </c>
      <c r="AX167" s="58" t="e">
        <f t="shared" si="81"/>
        <v>#DIV/0!</v>
      </c>
      <c r="AY167" s="58" t="e">
        <f t="shared" si="81"/>
        <v>#DIV/0!</v>
      </c>
      <c r="AZ167" s="63"/>
      <c r="BA167" s="58" t="e">
        <f t="shared" si="81"/>
        <v>#DIV/0!</v>
      </c>
      <c r="BB167" s="63"/>
      <c r="BC167" s="57" t="e">
        <f>(Links!C167*Links!AQ167+'On-Ramps'!AC167*'On-Ramps'!CE167)/('On-Ramps'!AC167+Links!C167)</f>
        <v>#DIV/0!</v>
      </c>
      <c r="BD167" s="63"/>
      <c r="BE167" s="57" t="e">
        <f>(Links!E167*Links!AS167+'On-Ramps'!AD167*'On-Ramps'!CF166)/('On-Ramps'!AD167+Links!E167)</f>
        <v>#DIV/0!</v>
      </c>
      <c r="BF167" s="57" t="e">
        <f>(Links!F167*Links!AT167+'On-Ramps'!AE167*'On-Ramps'!CG167)/('On-Ramps'!AE167+Links!F167)</f>
        <v>#DIV/0!</v>
      </c>
      <c r="BG167" s="57" t="e">
        <f>(Links!I167*Links!AW167+'On-Ramps'!AF167*'On-Ramps'!CH167)/('On-Ramps'!AF167+Links!I167)</f>
        <v>#DIV/0!</v>
      </c>
      <c r="BH167" s="57" t="e">
        <f>(#REF!*#REF!+'On-Ramps'!AG167*'On-Ramps'!CI167)/('On-Ramps'!AG167+#REF!)</f>
        <v>#REF!</v>
      </c>
      <c r="BI167" s="57" t="e">
        <f>(Links!L167*Links!AZ167+'On-Ramps'!AH167*'On-Ramps'!CJ167)/('On-Ramps'!AH167+Links!L167)</f>
        <v>#DIV/0!</v>
      </c>
      <c r="BJ167" s="57" t="e">
        <f>(Links!BA167*Links!M167+'On-Ramps'!AI167*'On-Ramps'!CK167)/('On-Ramps'!AI167+Links!M167)</f>
        <v>#DIV/0!</v>
      </c>
      <c r="BK167" s="57" t="e">
        <f>(Links!S167*Links!BG167+'On-Ramps'!AJ167*'On-Ramps'!CL167)/('On-Ramps'!AJ167+Links!S167)</f>
        <v>#DIV/0!</v>
      </c>
      <c r="BL167" s="63"/>
      <c r="BM167" s="57" t="e">
        <f>(Links!S167*Links!BG167+'On-Ramps'!AL167*'On-Ramps'!CM167)/(Links!S167+'On-Ramps'!AL167)</f>
        <v>#DIV/0!</v>
      </c>
      <c r="BN167" s="63"/>
      <c r="BO167" s="58" t="e">
        <f>(Links!W167^2+'Off-Ramp'!L167^2)/(Links!W167+'Off-Ramp'!L167)</f>
        <v>#DIV/0!</v>
      </c>
      <c r="BP167" s="63"/>
      <c r="BQ167" s="58" t="e">
        <f>(Links!Y167^2+'Off-Ramp'!C167^2)/(Links!Y167+'Off-Ramp'!C167)</f>
        <v>#DIV/0!</v>
      </c>
      <c r="BR167" s="63"/>
      <c r="BS167" s="58" t="e">
        <f>(Links!AA167^2+'Off-Ramp'!N167^2)/(Links!AA167+'Off-Ramp'!N167)</f>
        <v>#DIV/0!</v>
      </c>
      <c r="BT167" s="58" t="e">
        <f>(Links!AD167^2+'Off-Ramp'!O167^2)/(Links!AD167+'Off-Ramp'!O167)</f>
        <v>#DIV/0!</v>
      </c>
      <c r="BU167" s="58" t="e">
        <f>(Links!AE167^2+'Off-Ramp'!V167^2+'Off-Ramp'!W167^2+'Off-Ramp'!X167^2)/(Links!AE167+'Off-Ramp'!V167+'Off-Ramp'!W167+'Off-Ramp'!X167)</f>
        <v>#DIV/0!</v>
      </c>
      <c r="BV167" s="58" t="e">
        <f>(Links!AG167^2+'Off-Ramp'!Y167^2+'Off-Ramp'!Z167^2+'Off-Ramp'!AA167^2)/(Links!AG167+'Off-Ramp'!Y167+'Off-Ramp'!Z167+'Off-Ramp'!AA167)</f>
        <v>#DIV/0!</v>
      </c>
      <c r="BW167" s="58" t="e">
        <f>(Links!AH167^2+'Off-Ramp'!R167^2)/(Links!AH167+'Off-Ramp'!R167)</f>
        <v>#DIV/0!</v>
      </c>
      <c r="BX167" s="58" t="e">
        <f>(Links!AK167^2+'Off-Ramp'!S167^2)/(Links!AK167+'Off-Ramp'!S167)</f>
        <v>#DIV/0!</v>
      </c>
      <c r="BY167" s="58" t="e">
        <f>(Links!AL167^2+'Off-Ramp'!T167^2)/(Links!AL167+'Off-Ramp'!T167)</f>
        <v>#DIV/0!</v>
      </c>
      <c r="BZ167" s="63"/>
      <c r="CA167" s="58" t="e">
        <f>(Links!AN167^2+'Off-Ramp'!U167^2)/(Links!AN167+'Off-Ramp'!U167)</f>
        <v>#DIV/0!</v>
      </c>
    </row>
    <row r="168" spans="1:79" x14ac:dyDescent="0.15">
      <c r="A168" s="56">
        <v>166</v>
      </c>
      <c r="B168" s="57" t="e">
        <f t="shared" si="57"/>
        <v>#DIV/0!</v>
      </c>
      <c r="C168" s="57" t="e">
        <f t="shared" si="58"/>
        <v>#DIV/0!</v>
      </c>
      <c r="D168" s="57" t="e">
        <f t="shared" si="59"/>
        <v>#DIV/0!</v>
      </c>
      <c r="E168" s="57" t="e">
        <f t="shared" si="60"/>
        <v>#DIV/0!</v>
      </c>
      <c r="F168" s="57" t="e">
        <f t="shared" si="61"/>
        <v>#DIV/0!</v>
      </c>
      <c r="G168" s="57" t="e">
        <f t="shared" si="62"/>
        <v>#DIV/0!</v>
      </c>
      <c r="H168" s="57" t="e">
        <f t="shared" si="63"/>
        <v>#DIV/0!</v>
      </c>
      <c r="I168" s="57" t="e">
        <f t="shared" si="64"/>
        <v>#DIV/0!</v>
      </c>
      <c r="J168" s="57" t="e">
        <f t="shared" si="65"/>
        <v>#DIV/0!</v>
      </c>
      <c r="K168" s="57" t="e">
        <f t="shared" si="66"/>
        <v>#DIV/0!</v>
      </c>
      <c r="L168" s="57" t="e">
        <f t="shared" si="67"/>
        <v>#DIV/0!</v>
      </c>
      <c r="M168" s="57" t="e">
        <f t="shared" si="68"/>
        <v>#DIV/0!</v>
      </c>
      <c r="N168" s="57" t="e">
        <f t="shared" si="69"/>
        <v>#DIV/0!</v>
      </c>
      <c r="O168" s="58" t="e">
        <f>Links!B168</f>
        <v>#DIV/0!</v>
      </c>
      <c r="P168" s="58" t="e">
        <f>Links!C168+'On-Ramps'!AC168</f>
        <v>#DIV/0!</v>
      </c>
      <c r="Q168" s="58" t="e">
        <f>Links!D168</f>
        <v>#DIV/0!</v>
      </c>
      <c r="R168" s="58" t="e">
        <f>Links!E168+'On-Ramps'!AD168</f>
        <v>#DIV/0!</v>
      </c>
      <c r="S168" s="58" t="e">
        <f>Links!F168+'On-Ramps'!AE168</f>
        <v>#DIV/0!</v>
      </c>
      <c r="T168" s="58" t="e">
        <f>Links!I168+'On-Ramps'!AF168</f>
        <v>#DIV/0!</v>
      </c>
      <c r="U168" s="58" t="e">
        <f>Links!J168+'On-Ramps'!AG168</f>
        <v>#DIV/0!</v>
      </c>
      <c r="V168" s="58" t="e">
        <f>Links!L168+'On-Ramps'!AH168</f>
        <v>#DIV/0!</v>
      </c>
      <c r="W168" s="58" t="e">
        <f>Links!M168+'On-Ramps'!AI168</f>
        <v>#DIV/0!</v>
      </c>
      <c r="X168" s="58" t="e">
        <f>Links!P168+'On-Ramps'!AJ168</f>
        <v>#DIV/0!</v>
      </c>
      <c r="Y168" s="58" t="e">
        <f>Links!Q168</f>
        <v>#DIV/0!</v>
      </c>
      <c r="Z168" s="58" t="e">
        <f>Links!R168+'On-Ramps'!AK168</f>
        <v>#DIV/0!</v>
      </c>
      <c r="AA168" s="58" t="e">
        <f>Links!S168</f>
        <v>#DIV/0!</v>
      </c>
      <c r="AB168" s="57" t="e">
        <f t="shared" si="70"/>
        <v>#VALUE!</v>
      </c>
      <c r="AC168" s="63"/>
      <c r="AD168" s="57" t="e">
        <f t="shared" si="71"/>
        <v>#DIV/0!</v>
      </c>
      <c r="AE168" s="63"/>
      <c r="AF168" s="57" t="e">
        <f t="shared" si="72"/>
        <v>#DIV/0!</v>
      </c>
      <c r="AG168" s="57" t="e">
        <f t="shared" si="73"/>
        <v>#DIV/0!</v>
      </c>
      <c r="AH168" s="57" t="e">
        <f t="shared" si="74"/>
        <v>#DIV/0!</v>
      </c>
      <c r="AI168" s="57" t="e">
        <f t="shared" si="75"/>
        <v>#DIV/0!</v>
      </c>
      <c r="AJ168" s="57" t="e">
        <f t="shared" si="76"/>
        <v>#DIV/0!</v>
      </c>
      <c r="AK168" s="57" t="e">
        <f t="shared" si="77"/>
        <v>#DIV/0!</v>
      </c>
      <c r="AL168" s="57" t="e">
        <f t="shared" si="78"/>
        <v>#DIV/0!</v>
      </c>
      <c r="AM168" s="63"/>
      <c r="AN168" s="57" t="e">
        <f t="shared" si="80"/>
        <v>#DIV/0!</v>
      </c>
      <c r="AO168" s="58" t="e">
        <f t="shared" si="56"/>
        <v>#VALUE!</v>
      </c>
      <c r="AP168" s="63"/>
      <c r="AQ168" s="58" t="e">
        <f t="shared" si="81"/>
        <v>#DIV/0!</v>
      </c>
      <c r="AR168" s="63"/>
      <c r="AS168" s="58" t="e">
        <f t="shared" si="81"/>
        <v>#DIV/0!</v>
      </c>
      <c r="AT168" s="58" t="e">
        <f t="shared" si="81"/>
        <v>#DIV/0!</v>
      </c>
      <c r="AU168" s="58" t="e">
        <f t="shared" si="81"/>
        <v>#DIV/0!</v>
      </c>
      <c r="AV168" s="58" t="e">
        <f t="shared" si="81"/>
        <v>#DIV/0!</v>
      </c>
      <c r="AW168" s="58" t="e">
        <f t="shared" si="81"/>
        <v>#DIV/0!</v>
      </c>
      <c r="AX168" s="58" t="e">
        <f t="shared" si="81"/>
        <v>#DIV/0!</v>
      </c>
      <c r="AY168" s="58" t="e">
        <f t="shared" si="81"/>
        <v>#DIV/0!</v>
      </c>
      <c r="AZ168" s="63"/>
      <c r="BA168" s="58" t="e">
        <f t="shared" si="81"/>
        <v>#DIV/0!</v>
      </c>
      <c r="BB168" s="63"/>
      <c r="BC168" s="57" t="e">
        <f>(Links!C168*Links!AQ168+'On-Ramps'!AC168*'On-Ramps'!CE168)/('On-Ramps'!AC168+Links!C168)</f>
        <v>#DIV/0!</v>
      </c>
      <c r="BD168" s="63"/>
      <c r="BE168" s="57" t="e">
        <f>(Links!E168*Links!AS168+'On-Ramps'!AD168*'On-Ramps'!CF167)/('On-Ramps'!AD168+Links!E168)</f>
        <v>#DIV/0!</v>
      </c>
      <c r="BF168" s="57" t="e">
        <f>(Links!F168*Links!AT168+'On-Ramps'!AE168*'On-Ramps'!CG168)/('On-Ramps'!AE168+Links!F168)</f>
        <v>#DIV/0!</v>
      </c>
      <c r="BG168" s="57" t="e">
        <f>(Links!I168*Links!AW168+'On-Ramps'!AF168*'On-Ramps'!CH168)/('On-Ramps'!AF168+Links!I168)</f>
        <v>#DIV/0!</v>
      </c>
      <c r="BH168" s="57" t="e">
        <f>(#REF!*#REF!+'On-Ramps'!AG168*'On-Ramps'!CI168)/('On-Ramps'!AG168+#REF!)</f>
        <v>#REF!</v>
      </c>
      <c r="BI168" s="57" t="e">
        <f>(Links!L168*Links!AZ168+'On-Ramps'!AH168*'On-Ramps'!CJ168)/('On-Ramps'!AH168+Links!L168)</f>
        <v>#DIV/0!</v>
      </c>
      <c r="BJ168" s="57" t="e">
        <f>(Links!BA168*Links!M168+'On-Ramps'!AI168*'On-Ramps'!CK168)/('On-Ramps'!AI168+Links!M168)</f>
        <v>#DIV/0!</v>
      </c>
      <c r="BK168" s="57" t="e">
        <f>(Links!S168*Links!BG168+'On-Ramps'!AJ168*'On-Ramps'!CL168)/('On-Ramps'!AJ168+Links!S168)</f>
        <v>#DIV/0!</v>
      </c>
      <c r="BL168" s="63"/>
      <c r="BM168" s="57" t="e">
        <f>(Links!S168*Links!BG168+'On-Ramps'!AL168*'On-Ramps'!CM168)/(Links!S168+'On-Ramps'!AL168)</f>
        <v>#DIV/0!</v>
      </c>
      <c r="BN168" s="63"/>
      <c r="BO168" s="58" t="e">
        <f>(Links!W168^2+'Off-Ramp'!L168^2)/(Links!W168+'Off-Ramp'!L168)</f>
        <v>#DIV/0!</v>
      </c>
      <c r="BP168" s="63"/>
      <c r="BQ168" s="58" t="e">
        <f>(Links!Y168^2+'Off-Ramp'!C168^2)/(Links!Y168+'Off-Ramp'!C168)</f>
        <v>#DIV/0!</v>
      </c>
      <c r="BR168" s="63"/>
      <c r="BS168" s="58" t="e">
        <f>(Links!AA168^2+'Off-Ramp'!N168^2)/(Links!AA168+'Off-Ramp'!N168)</f>
        <v>#DIV/0!</v>
      </c>
      <c r="BT168" s="58" t="e">
        <f>(Links!AD168^2+'Off-Ramp'!O168^2)/(Links!AD168+'Off-Ramp'!O168)</f>
        <v>#DIV/0!</v>
      </c>
      <c r="BU168" s="58" t="e">
        <f>(Links!AE168^2+'Off-Ramp'!V168^2+'Off-Ramp'!W168^2+'Off-Ramp'!X168^2)/(Links!AE168+'Off-Ramp'!V168+'Off-Ramp'!W168+'Off-Ramp'!X168)</f>
        <v>#DIV/0!</v>
      </c>
      <c r="BV168" s="58" t="e">
        <f>(Links!AG168^2+'Off-Ramp'!Y168^2+'Off-Ramp'!Z168^2+'Off-Ramp'!AA168^2)/(Links!AG168+'Off-Ramp'!Y168+'Off-Ramp'!Z168+'Off-Ramp'!AA168)</f>
        <v>#DIV/0!</v>
      </c>
      <c r="BW168" s="58" t="e">
        <f>(Links!AH168^2+'Off-Ramp'!R168^2)/(Links!AH168+'Off-Ramp'!R168)</f>
        <v>#DIV/0!</v>
      </c>
      <c r="BX168" s="58" t="e">
        <f>(Links!AK168^2+'Off-Ramp'!S168^2)/(Links!AK168+'Off-Ramp'!S168)</f>
        <v>#DIV/0!</v>
      </c>
      <c r="BY168" s="58" t="e">
        <f>(Links!AL168^2+'Off-Ramp'!T168^2)/(Links!AL168+'Off-Ramp'!T168)</f>
        <v>#DIV/0!</v>
      </c>
      <c r="BZ168" s="63"/>
      <c r="CA168" s="58" t="e">
        <f>(Links!AN168^2+'Off-Ramp'!U168^2)/(Links!AN168+'Off-Ramp'!U168)</f>
        <v>#DIV/0!</v>
      </c>
    </row>
    <row r="169" spans="1:79" x14ac:dyDescent="0.15">
      <c r="A169" s="56">
        <v>167</v>
      </c>
      <c r="B169" s="57" t="e">
        <f t="shared" si="57"/>
        <v>#DIV/0!</v>
      </c>
      <c r="C169" s="57" t="e">
        <f t="shared" si="58"/>
        <v>#DIV/0!</v>
      </c>
      <c r="D169" s="57" t="e">
        <f t="shared" si="59"/>
        <v>#DIV/0!</v>
      </c>
      <c r="E169" s="57" t="e">
        <f t="shared" si="60"/>
        <v>#DIV/0!</v>
      </c>
      <c r="F169" s="57" t="e">
        <f t="shared" si="61"/>
        <v>#DIV/0!</v>
      </c>
      <c r="G169" s="57" t="e">
        <f t="shared" si="62"/>
        <v>#DIV/0!</v>
      </c>
      <c r="H169" s="57" t="e">
        <f t="shared" si="63"/>
        <v>#DIV/0!</v>
      </c>
      <c r="I169" s="57" t="e">
        <f t="shared" si="64"/>
        <v>#DIV/0!</v>
      </c>
      <c r="J169" s="57" t="e">
        <f t="shared" si="65"/>
        <v>#DIV/0!</v>
      </c>
      <c r="K169" s="57" t="e">
        <f t="shared" si="66"/>
        <v>#DIV/0!</v>
      </c>
      <c r="L169" s="57" t="e">
        <f t="shared" si="67"/>
        <v>#DIV/0!</v>
      </c>
      <c r="M169" s="57" t="e">
        <f t="shared" si="68"/>
        <v>#DIV/0!</v>
      </c>
      <c r="N169" s="57" t="e">
        <f t="shared" si="69"/>
        <v>#DIV/0!</v>
      </c>
      <c r="O169" s="58" t="e">
        <f>Links!B169</f>
        <v>#DIV/0!</v>
      </c>
      <c r="P169" s="58" t="e">
        <f>Links!C169+'On-Ramps'!AC169</f>
        <v>#DIV/0!</v>
      </c>
      <c r="Q169" s="58" t="e">
        <f>Links!D169</f>
        <v>#DIV/0!</v>
      </c>
      <c r="R169" s="58" t="e">
        <f>Links!E169+'On-Ramps'!AD169</f>
        <v>#DIV/0!</v>
      </c>
      <c r="S169" s="58" t="e">
        <f>Links!F169+'On-Ramps'!AE169</f>
        <v>#DIV/0!</v>
      </c>
      <c r="T169" s="58" t="e">
        <f>Links!I169+'On-Ramps'!AF169</f>
        <v>#DIV/0!</v>
      </c>
      <c r="U169" s="58" t="e">
        <f>Links!J169+'On-Ramps'!AG169</f>
        <v>#DIV/0!</v>
      </c>
      <c r="V169" s="58" t="e">
        <f>Links!L169+'On-Ramps'!AH169</f>
        <v>#DIV/0!</v>
      </c>
      <c r="W169" s="58" t="e">
        <f>Links!M169+'On-Ramps'!AI169</f>
        <v>#DIV/0!</v>
      </c>
      <c r="X169" s="58" t="e">
        <f>Links!P169+'On-Ramps'!AJ169</f>
        <v>#DIV/0!</v>
      </c>
      <c r="Y169" s="58" t="e">
        <f>Links!Q169</f>
        <v>#DIV/0!</v>
      </c>
      <c r="Z169" s="58" t="e">
        <f>Links!R169+'On-Ramps'!AK169</f>
        <v>#DIV/0!</v>
      </c>
      <c r="AA169" s="58" t="e">
        <f>Links!S169</f>
        <v>#DIV/0!</v>
      </c>
      <c r="AB169" s="57" t="e">
        <f t="shared" si="70"/>
        <v>#VALUE!</v>
      </c>
      <c r="AC169" s="63"/>
      <c r="AD169" s="57" t="e">
        <f t="shared" si="71"/>
        <v>#DIV/0!</v>
      </c>
      <c r="AE169" s="63"/>
      <c r="AF169" s="57" t="e">
        <f t="shared" si="72"/>
        <v>#DIV/0!</v>
      </c>
      <c r="AG169" s="57" t="e">
        <f t="shared" si="73"/>
        <v>#DIV/0!</v>
      </c>
      <c r="AH169" s="57" t="e">
        <f t="shared" si="74"/>
        <v>#DIV/0!</v>
      </c>
      <c r="AI169" s="57" t="e">
        <f t="shared" si="75"/>
        <v>#DIV/0!</v>
      </c>
      <c r="AJ169" s="57" t="e">
        <f t="shared" si="76"/>
        <v>#DIV/0!</v>
      </c>
      <c r="AK169" s="57" t="e">
        <f t="shared" si="77"/>
        <v>#DIV/0!</v>
      </c>
      <c r="AL169" s="57" t="e">
        <f t="shared" si="78"/>
        <v>#DIV/0!</v>
      </c>
      <c r="AM169" s="63"/>
      <c r="AN169" s="57" t="e">
        <f t="shared" si="80"/>
        <v>#DIV/0!</v>
      </c>
      <c r="AO169" s="58" t="e">
        <f t="shared" si="56"/>
        <v>#VALUE!</v>
      </c>
      <c r="AP169" s="63"/>
      <c r="AQ169" s="58" t="e">
        <f t="shared" si="81"/>
        <v>#DIV/0!</v>
      </c>
      <c r="AR169" s="63"/>
      <c r="AS169" s="58" t="e">
        <f t="shared" si="81"/>
        <v>#DIV/0!</v>
      </c>
      <c r="AT169" s="58" t="e">
        <f t="shared" si="81"/>
        <v>#DIV/0!</v>
      </c>
      <c r="AU169" s="58" t="e">
        <f t="shared" si="81"/>
        <v>#DIV/0!</v>
      </c>
      <c r="AV169" s="58" t="e">
        <f t="shared" si="81"/>
        <v>#DIV/0!</v>
      </c>
      <c r="AW169" s="58" t="e">
        <f t="shared" si="81"/>
        <v>#DIV/0!</v>
      </c>
      <c r="AX169" s="58" t="e">
        <f t="shared" si="81"/>
        <v>#DIV/0!</v>
      </c>
      <c r="AY169" s="58" t="e">
        <f t="shared" si="81"/>
        <v>#DIV/0!</v>
      </c>
      <c r="AZ169" s="63"/>
      <c r="BA169" s="58" t="e">
        <f t="shared" si="81"/>
        <v>#DIV/0!</v>
      </c>
      <c r="BB169" s="63"/>
      <c r="BC169" s="57" t="e">
        <f>(Links!C169*Links!AQ169+'On-Ramps'!AC169*'On-Ramps'!CE169)/('On-Ramps'!AC169+Links!C169)</f>
        <v>#DIV/0!</v>
      </c>
      <c r="BD169" s="63"/>
      <c r="BE169" s="57" t="e">
        <f>(Links!E169*Links!AS169+'On-Ramps'!AD169*'On-Ramps'!CF168)/('On-Ramps'!AD169+Links!E169)</f>
        <v>#DIV/0!</v>
      </c>
      <c r="BF169" s="57" t="e">
        <f>(Links!F169*Links!AT169+'On-Ramps'!AE169*'On-Ramps'!CG169)/('On-Ramps'!AE169+Links!F169)</f>
        <v>#DIV/0!</v>
      </c>
      <c r="BG169" s="57" t="e">
        <f>(Links!I169*Links!AW169+'On-Ramps'!AF169*'On-Ramps'!CH169)/('On-Ramps'!AF169+Links!I169)</f>
        <v>#DIV/0!</v>
      </c>
      <c r="BH169" s="57" t="e">
        <f>(#REF!*#REF!+'On-Ramps'!AG169*'On-Ramps'!CI169)/('On-Ramps'!AG169+#REF!)</f>
        <v>#REF!</v>
      </c>
      <c r="BI169" s="57" t="e">
        <f>(Links!L169*Links!AZ169+'On-Ramps'!AH169*'On-Ramps'!CJ169)/('On-Ramps'!AH169+Links!L169)</f>
        <v>#DIV/0!</v>
      </c>
      <c r="BJ169" s="57" t="e">
        <f>(Links!BA169*Links!M169+'On-Ramps'!AI169*'On-Ramps'!CK169)/('On-Ramps'!AI169+Links!M169)</f>
        <v>#DIV/0!</v>
      </c>
      <c r="BK169" s="57" t="e">
        <f>(Links!S169*Links!BG169+'On-Ramps'!AJ169*'On-Ramps'!CL169)/('On-Ramps'!AJ169+Links!S169)</f>
        <v>#DIV/0!</v>
      </c>
      <c r="BL169" s="63"/>
      <c r="BM169" s="57" t="e">
        <f>(Links!S169*Links!BG169+'On-Ramps'!AL169*'On-Ramps'!CM169)/(Links!S169+'On-Ramps'!AL169)</f>
        <v>#DIV/0!</v>
      </c>
      <c r="BN169" s="63"/>
      <c r="BO169" s="58" t="e">
        <f>(Links!W169^2+'Off-Ramp'!L169^2)/(Links!W169+'Off-Ramp'!L169)</f>
        <v>#DIV/0!</v>
      </c>
      <c r="BP169" s="63"/>
      <c r="BQ169" s="58" t="e">
        <f>(Links!Y169^2+'Off-Ramp'!C169^2)/(Links!Y169+'Off-Ramp'!C169)</f>
        <v>#DIV/0!</v>
      </c>
      <c r="BR169" s="63"/>
      <c r="BS169" s="58" t="e">
        <f>(Links!AA169^2+'Off-Ramp'!N169^2)/(Links!AA169+'Off-Ramp'!N169)</f>
        <v>#DIV/0!</v>
      </c>
      <c r="BT169" s="58" t="e">
        <f>(Links!AD169^2+'Off-Ramp'!O169^2)/(Links!AD169+'Off-Ramp'!O169)</f>
        <v>#DIV/0!</v>
      </c>
      <c r="BU169" s="58" t="e">
        <f>(Links!AE169^2+'Off-Ramp'!V169^2+'Off-Ramp'!W169^2+'Off-Ramp'!X169^2)/(Links!AE169+'Off-Ramp'!V169+'Off-Ramp'!W169+'Off-Ramp'!X169)</f>
        <v>#DIV/0!</v>
      </c>
      <c r="BV169" s="58" t="e">
        <f>(Links!AG169^2+'Off-Ramp'!Y169^2+'Off-Ramp'!Z169^2+'Off-Ramp'!AA169^2)/(Links!AG169+'Off-Ramp'!Y169+'Off-Ramp'!Z169+'Off-Ramp'!AA169)</f>
        <v>#DIV/0!</v>
      </c>
      <c r="BW169" s="58" t="e">
        <f>(Links!AH169^2+'Off-Ramp'!R169^2)/(Links!AH169+'Off-Ramp'!R169)</f>
        <v>#DIV/0!</v>
      </c>
      <c r="BX169" s="58" t="e">
        <f>(Links!AK169^2+'Off-Ramp'!S169^2)/(Links!AK169+'Off-Ramp'!S169)</f>
        <v>#DIV/0!</v>
      </c>
      <c r="BY169" s="58" t="e">
        <f>(Links!AL169^2+'Off-Ramp'!T169^2)/(Links!AL169+'Off-Ramp'!T169)</f>
        <v>#DIV/0!</v>
      </c>
      <c r="BZ169" s="63"/>
      <c r="CA169" s="58" t="e">
        <f>(Links!AN169^2+'Off-Ramp'!U169^2)/(Links!AN169+'Off-Ramp'!U169)</f>
        <v>#DIV/0!</v>
      </c>
    </row>
    <row r="170" spans="1:79" x14ac:dyDescent="0.15">
      <c r="A170" s="56">
        <v>168</v>
      </c>
      <c r="B170" s="57" t="e">
        <f t="shared" si="57"/>
        <v>#DIV/0!</v>
      </c>
      <c r="C170" s="57" t="e">
        <f t="shared" si="58"/>
        <v>#DIV/0!</v>
      </c>
      <c r="D170" s="57" t="e">
        <f t="shared" si="59"/>
        <v>#DIV/0!</v>
      </c>
      <c r="E170" s="57" t="e">
        <f t="shared" si="60"/>
        <v>#DIV/0!</v>
      </c>
      <c r="F170" s="57" t="e">
        <f t="shared" si="61"/>
        <v>#DIV/0!</v>
      </c>
      <c r="G170" s="57" t="e">
        <f t="shared" si="62"/>
        <v>#DIV/0!</v>
      </c>
      <c r="H170" s="57" t="e">
        <f t="shared" si="63"/>
        <v>#DIV/0!</v>
      </c>
      <c r="I170" s="57" t="e">
        <f t="shared" si="64"/>
        <v>#DIV/0!</v>
      </c>
      <c r="J170" s="57" t="e">
        <f t="shared" si="65"/>
        <v>#DIV/0!</v>
      </c>
      <c r="K170" s="57" t="e">
        <f t="shared" si="66"/>
        <v>#DIV/0!</v>
      </c>
      <c r="L170" s="57" t="e">
        <f t="shared" si="67"/>
        <v>#DIV/0!</v>
      </c>
      <c r="M170" s="57" t="e">
        <f t="shared" si="68"/>
        <v>#DIV/0!</v>
      </c>
      <c r="N170" s="57" t="e">
        <f t="shared" si="69"/>
        <v>#DIV/0!</v>
      </c>
      <c r="O170" s="58" t="e">
        <f>Links!B170</f>
        <v>#DIV/0!</v>
      </c>
      <c r="P170" s="58" t="e">
        <f>Links!C170+'On-Ramps'!AC170</f>
        <v>#DIV/0!</v>
      </c>
      <c r="Q170" s="58" t="e">
        <f>Links!D170</f>
        <v>#DIV/0!</v>
      </c>
      <c r="R170" s="58" t="e">
        <f>Links!E170+'On-Ramps'!AD170</f>
        <v>#DIV/0!</v>
      </c>
      <c r="S170" s="58" t="e">
        <f>Links!F170+'On-Ramps'!AE170</f>
        <v>#DIV/0!</v>
      </c>
      <c r="T170" s="58" t="e">
        <f>Links!I170+'On-Ramps'!AF170</f>
        <v>#DIV/0!</v>
      </c>
      <c r="U170" s="58" t="e">
        <f>Links!J170+'On-Ramps'!AG170</f>
        <v>#DIV/0!</v>
      </c>
      <c r="V170" s="58" t="e">
        <f>Links!L170+'On-Ramps'!AH170</f>
        <v>#DIV/0!</v>
      </c>
      <c r="W170" s="58" t="e">
        <f>Links!M170+'On-Ramps'!AI170</f>
        <v>#DIV/0!</v>
      </c>
      <c r="X170" s="58" t="e">
        <f>Links!P170+'On-Ramps'!AJ170</f>
        <v>#DIV/0!</v>
      </c>
      <c r="Y170" s="58" t="e">
        <f>Links!Q170</f>
        <v>#DIV/0!</v>
      </c>
      <c r="Z170" s="58" t="e">
        <f>Links!R170+'On-Ramps'!AK170</f>
        <v>#DIV/0!</v>
      </c>
      <c r="AA170" s="58" t="e">
        <f>Links!S170</f>
        <v>#DIV/0!</v>
      </c>
      <c r="AB170" s="57" t="e">
        <f t="shared" si="70"/>
        <v>#VALUE!</v>
      </c>
      <c r="AC170" s="63"/>
      <c r="AD170" s="57" t="e">
        <f t="shared" si="71"/>
        <v>#DIV/0!</v>
      </c>
      <c r="AE170" s="63"/>
      <c r="AF170" s="57" t="e">
        <f t="shared" si="72"/>
        <v>#DIV/0!</v>
      </c>
      <c r="AG170" s="57" t="e">
        <f t="shared" si="73"/>
        <v>#DIV/0!</v>
      </c>
      <c r="AH170" s="57" t="e">
        <f t="shared" si="74"/>
        <v>#DIV/0!</v>
      </c>
      <c r="AI170" s="57" t="e">
        <f t="shared" si="75"/>
        <v>#DIV/0!</v>
      </c>
      <c r="AJ170" s="57" t="e">
        <f t="shared" si="76"/>
        <v>#DIV/0!</v>
      </c>
      <c r="AK170" s="57" t="e">
        <f t="shared" si="77"/>
        <v>#DIV/0!</v>
      </c>
      <c r="AL170" s="57" t="e">
        <f t="shared" si="78"/>
        <v>#DIV/0!</v>
      </c>
      <c r="AM170" s="63"/>
      <c r="AN170" s="57" t="e">
        <f t="shared" si="80"/>
        <v>#DIV/0!</v>
      </c>
      <c r="AO170" s="58" t="e">
        <f t="shared" si="56"/>
        <v>#VALUE!</v>
      </c>
      <c r="AP170" s="63"/>
      <c r="AQ170" s="58" t="e">
        <f t="shared" si="81"/>
        <v>#DIV/0!</v>
      </c>
      <c r="AR170" s="63"/>
      <c r="AS170" s="58" t="e">
        <f t="shared" si="81"/>
        <v>#DIV/0!</v>
      </c>
      <c r="AT170" s="58" t="e">
        <f t="shared" si="81"/>
        <v>#DIV/0!</v>
      </c>
      <c r="AU170" s="58" t="e">
        <f t="shared" si="81"/>
        <v>#DIV/0!</v>
      </c>
      <c r="AV170" s="58" t="e">
        <f t="shared" si="81"/>
        <v>#DIV/0!</v>
      </c>
      <c r="AW170" s="58" t="e">
        <f t="shared" si="81"/>
        <v>#DIV/0!</v>
      </c>
      <c r="AX170" s="58" t="e">
        <f t="shared" si="81"/>
        <v>#DIV/0!</v>
      </c>
      <c r="AY170" s="58" t="e">
        <f t="shared" si="81"/>
        <v>#DIV/0!</v>
      </c>
      <c r="AZ170" s="63"/>
      <c r="BA170" s="58" t="e">
        <f t="shared" si="81"/>
        <v>#DIV/0!</v>
      </c>
      <c r="BB170" s="63"/>
      <c r="BC170" s="57" t="e">
        <f>(Links!C170*Links!AQ170+'On-Ramps'!AC170*'On-Ramps'!CE170)/('On-Ramps'!AC170+Links!C170)</f>
        <v>#DIV/0!</v>
      </c>
      <c r="BD170" s="63"/>
      <c r="BE170" s="57" t="e">
        <f>(Links!E170*Links!AS170+'On-Ramps'!AD170*'On-Ramps'!CF169)/('On-Ramps'!AD170+Links!E170)</f>
        <v>#DIV/0!</v>
      </c>
      <c r="BF170" s="57" t="e">
        <f>(Links!F170*Links!AT170+'On-Ramps'!AE170*'On-Ramps'!CG170)/('On-Ramps'!AE170+Links!F170)</f>
        <v>#DIV/0!</v>
      </c>
      <c r="BG170" s="57" t="e">
        <f>(Links!I170*Links!AW170+'On-Ramps'!AF170*'On-Ramps'!CH170)/('On-Ramps'!AF170+Links!I170)</f>
        <v>#DIV/0!</v>
      </c>
      <c r="BH170" s="57" t="e">
        <f>(#REF!*#REF!+'On-Ramps'!AG170*'On-Ramps'!CI170)/('On-Ramps'!AG170+#REF!)</f>
        <v>#REF!</v>
      </c>
      <c r="BI170" s="57" t="e">
        <f>(Links!L170*Links!AZ170+'On-Ramps'!AH170*'On-Ramps'!CJ170)/('On-Ramps'!AH170+Links!L170)</f>
        <v>#DIV/0!</v>
      </c>
      <c r="BJ170" s="57" t="e">
        <f>(Links!BA170*Links!M170+'On-Ramps'!AI170*'On-Ramps'!CK170)/('On-Ramps'!AI170+Links!M170)</f>
        <v>#DIV/0!</v>
      </c>
      <c r="BK170" s="57" t="e">
        <f>(Links!S170*Links!BG170+'On-Ramps'!AJ170*'On-Ramps'!CL170)/('On-Ramps'!AJ170+Links!S170)</f>
        <v>#DIV/0!</v>
      </c>
      <c r="BL170" s="63"/>
      <c r="BM170" s="57" t="e">
        <f>(Links!S170*Links!BG170+'On-Ramps'!AL170*'On-Ramps'!CM170)/(Links!S170+'On-Ramps'!AL170)</f>
        <v>#DIV/0!</v>
      </c>
      <c r="BN170" s="63"/>
      <c r="BO170" s="58" t="e">
        <f>(Links!W170^2+'Off-Ramp'!L170^2)/(Links!W170+'Off-Ramp'!L170)</f>
        <v>#DIV/0!</v>
      </c>
      <c r="BP170" s="63"/>
      <c r="BQ170" s="58" t="e">
        <f>(Links!Y170^2+'Off-Ramp'!C170^2)/(Links!Y170+'Off-Ramp'!C170)</f>
        <v>#DIV/0!</v>
      </c>
      <c r="BR170" s="63"/>
      <c r="BS170" s="58" t="e">
        <f>(Links!AA170^2+'Off-Ramp'!N170^2)/(Links!AA170+'Off-Ramp'!N170)</f>
        <v>#DIV/0!</v>
      </c>
      <c r="BT170" s="58" t="e">
        <f>(Links!AD170^2+'Off-Ramp'!O170^2)/(Links!AD170+'Off-Ramp'!O170)</f>
        <v>#DIV/0!</v>
      </c>
      <c r="BU170" s="58" t="e">
        <f>(Links!AE170^2+'Off-Ramp'!V170^2+'Off-Ramp'!W170^2+'Off-Ramp'!X170^2)/(Links!AE170+'Off-Ramp'!V170+'Off-Ramp'!W170+'Off-Ramp'!X170)</f>
        <v>#DIV/0!</v>
      </c>
      <c r="BV170" s="58" t="e">
        <f>(Links!AG170^2+'Off-Ramp'!Y170^2+'Off-Ramp'!Z170^2+'Off-Ramp'!AA170^2)/(Links!AG170+'Off-Ramp'!Y170+'Off-Ramp'!Z170+'Off-Ramp'!AA170)</f>
        <v>#DIV/0!</v>
      </c>
      <c r="BW170" s="58" t="e">
        <f>(Links!AH170^2+'Off-Ramp'!R170^2)/(Links!AH170+'Off-Ramp'!R170)</f>
        <v>#DIV/0!</v>
      </c>
      <c r="BX170" s="58" t="e">
        <f>(Links!AK170^2+'Off-Ramp'!S170^2)/(Links!AK170+'Off-Ramp'!S170)</f>
        <v>#DIV/0!</v>
      </c>
      <c r="BY170" s="58" t="e">
        <f>(Links!AL170^2+'Off-Ramp'!T170^2)/(Links!AL170+'Off-Ramp'!T170)</f>
        <v>#DIV/0!</v>
      </c>
      <c r="BZ170" s="63"/>
      <c r="CA170" s="58" t="e">
        <f>(Links!AN170^2+'Off-Ramp'!U170^2)/(Links!AN170+'Off-Ramp'!U170)</f>
        <v>#DIV/0!</v>
      </c>
    </row>
    <row r="171" spans="1:79" x14ac:dyDescent="0.15">
      <c r="A171" s="56">
        <v>169</v>
      </c>
      <c r="B171" s="57" t="e">
        <f t="shared" si="57"/>
        <v>#DIV/0!</v>
      </c>
      <c r="C171" s="57" t="e">
        <f t="shared" si="58"/>
        <v>#DIV/0!</v>
      </c>
      <c r="D171" s="57" t="e">
        <f t="shared" si="59"/>
        <v>#DIV/0!</v>
      </c>
      <c r="E171" s="57" t="e">
        <f t="shared" si="60"/>
        <v>#DIV/0!</v>
      </c>
      <c r="F171" s="57" t="e">
        <f t="shared" si="61"/>
        <v>#DIV/0!</v>
      </c>
      <c r="G171" s="57" t="e">
        <f t="shared" si="62"/>
        <v>#DIV/0!</v>
      </c>
      <c r="H171" s="57" t="e">
        <f t="shared" si="63"/>
        <v>#DIV/0!</v>
      </c>
      <c r="I171" s="57" t="e">
        <f t="shared" si="64"/>
        <v>#DIV/0!</v>
      </c>
      <c r="J171" s="57" t="e">
        <f t="shared" si="65"/>
        <v>#DIV/0!</v>
      </c>
      <c r="K171" s="57" t="e">
        <f t="shared" si="66"/>
        <v>#DIV/0!</v>
      </c>
      <c r="L171" s="57" t="e">
        <f t="shared" si="67"/>
        <v>#DIV/0!</v>
      </c>
      <c r="M171" s="57" t="e">
        <f t="shared" si="68"/>
        <v>#DIV/0!</v>
      </c>
      <c r="N171" s="57" t="e">
        <f t="shared" si="69"/>
        <v>#DIV/0!</v>
      </c>
      <c r="O171" s="58" t="e">
        <f>Links!B171</f>
        <v>#DIV/0!</v>
      </c>
      <c r="P171" s="58" t="e">
        <f>Links!C171+'On-Ramps'!AC171</f>
        <v>#DIV/0!</v>
      </c>
      <c r="Q171" s="58" t="e">
        <f>Links!D171</f>
        <v>#DIV/0!</v>
      </c>
      <c r="R171" s="58" t="e">
        <f>Links!E171+'On-Ramps'!AD171</f>
        <v>#DIV/0!</v>
      </c>
      <c r="S171" s="58" t="e">
        <f>Links!F171+'On-Ramps'!AE171</f>
        <v>#DIV/0!</v>
      </c>
      <c r="T171" s="58" t="e">
        <f>Links!I171+'On-Ramps'!AF171</f>
        <v>#DIV/0!</v>
      </c>
      <c r="U171" s="58" t="e">
        <f>Links!J171+'On-Ramps'!AG171</f>
        <v>#DIV/0!</v>
      </c>
      <c r="V171" s="58" t="e">
        <f>Links!L171+'On-Ramps'!AH171</f>
        <v>#DIV/0!</v>
      </c>
      <c r="W171" s="58" t="e">
        <f>Links!M171+'On-Ramps'!AI171</f>
        <v>#DIV/0!</v>
      </c>
      <c r="X171" s="58" t="e">
        <f>Links!P171+'On-Ramps'!AJ171</f>
        <v>#DIV/0!</v>
      </c>
      <c r="Y171" s="58" t="e">
        <f>Links!Q171</f>
        <v>#DIV/0!</v>
      </c>
      <c r="Z171" s="58" t="e">
        <f>Links!R171+'On-Ramps'!AK171</f>
        <v>#DIV/0!</v>
      </c>
      <c r="AA171" s="58" t="e">
        <f>Links!S171</f>
        <v>#DIV/0!</v>
      </c>
      <c r="AB171" s="57" t="e">
        <f t="shared" si="70"/>
        <v>#VALUE!</v>
      </c>
      <c r="AC171" s="63"/>
      <c r="AD171" s="57" t="e">
        <f t="shared" si="71"/>
        <v>#DIV/0!</v>
      </c>
      <c r="AE171" s="63"/>
      <c r="AF171" s="57" t="e">
        <f t="shared" si="72"/>
        <v>#DIV/0!</v>
      </c>
      <c r="AG171" s="57" t="e">
        <f t="shared" si="73"/>
        <v>#DIV/0!</v>
      </c>
      <c r="AH171" s="57" t="e">
        <f t="shared" si="74"/>
        <v>#DIV/0!</v>
      </c>
      <c r="AI171" s="57" t="e">
        <f t="shared" si="75"/>
        <v>#DIV/0!</v>
      </c>
      <c r="AJ171" s="57" t="e">
        <f t="shared" si="76"/>
        <v>#DIV/0!</v>
      </c>
      <c r="AK171" s="57" t="e">
        <f t="shared" si="77"/>
        <v>#DIV/0!</v>
      </c>
      <c r="AL171" s="57" t="e">
        <f t="shared" si="78"/>
        <v>#DIV/0!</v>
      </c>
      <c r="AM171" s="63"/>
      <c r="AN171" s="57" t="e">
        <f t="shared" si="80"/>
        <v>#DIV/0!</v>
      </c>
      <c r="AO171" s="58" t="e">
        <f t="shared" si="56"/>
        <v>#VALUE!</v>
      </c>
      <c r="AP171" s="63"/>
      <c r="AQ171" s="58" t="e">
        <f t="shared" si="81"/>
        <v>#DIV/0!</v>
      </c>
      <c r="AR171" s="63"/>
      <c r="AS171" s="58" t="e">
        <f t="shared" si="81"/>
        <v>#DIV/0!</v>
      </c>
      <c r="AT171" s="58" t="e">
        <f t="shared" si="81"/>
        <v>#DIV/0!</v>
      </c>
      <c r="AU171" s="58" t="e">
        <f t="shared" si="81"/>
        <v>#DIV/0!</v>
      </c>
      <c r="AV171" s="58" t="e">
        <f t="shared" si="81"/>
        <v>#DIV/0!</v>
      </c>
      <c r="AW171" s="58" t="e">
        <f t="shared" si="81"/>
        <v>#DIV/0!</v>
      </c>
      <c r="AX171" s="58" t="e">
        <f t="shared" si="81"/>
        <v>#DIV/0!</v>
      </c>
      <c r="AY171" s="58" t="e">
        <f t="shared" si="81"/>
        <v>#DIV/0!</v>
      </c>
      <c r="AZ171" s="63"/>
      <c r="BA171" s="58" t="e">
        <f t="shared" si="81"/>
        <v>#DIV/0!</v>
      </c>
      <c r="BB171" s="63"/>
      <c r="BC171" s="57" t="e">
        <f>(Links!C171*Links!AQ171+'On-Ramps'!AC171*'On-Ramps'!CE171)/('On-Ramps'!AC171+Links!C171)</f>
        <v>#DIV/0!</v>
      </c>
      <c r="BD171" s="63"/>
      <c r="BE171" s="57" t="e">
        <f>(Links!E171*Links!AS171+'On-Ramps'!AD171*'On-Ramps'!CF170)/('On-Ramps'!AD171+Links!E171)</f>
        <v>#DIV/0!</v>
      </c>
      <c r="BF171" s="57" t="e">
        <f>(Links!F171*Links!AT171+'On-Ramps'!AE171*'On-Ramps'!CG171)/('On-Ramps'!AE171+Links!F171)</f>
        <v>#DIV/0!</v>
      </c>
      <c r="BG171" s="57" t="e">
        <f>(Links!I171*Links!AW171+'On-Ramps'!AF171*'On-Ramps'!CH171)/('On-Ramps'!AF171+Links!I171)</f>
        <v>#DIV/0!</v>
      </c>
      <c r="BH171" s="57" t="e">
        <f>(#REF!*#REF!+'On-Ramps'!AG171*'On-Ramps'!CI171)/('On-Ramps'!AG171+#REF!)</f>
        <v>#REF!</v>
      </c>
      <c r="BI171" s="57" t="e">
        <f>(Links!L171*Links!AZ171+'On-Ramps'!AH171*'On-Ramps'!CJ171)/('On-Ramps'!AH171+Links!L171)</f>
        <v>#DIV/0!</v>
      </c>
      <c r="BJ171" s="57" t="e">
        <f>(Links!BA171*Links!M171+'On-Ramps'!AI171*'On-Ramps'!CK171)/('On-Ramps'!AI171+Links!M171)</f>
        <v>#DIV/0!</v>
      </c>
      <c r="BK171" s="57" t="e">
        <f>(Links!S171*Links!BG171+'On-Ramps'!AJ171*'On-Ramps'!CL171)/('On-Ramps'!AJ171+Links!S171)</f>
        <v>#DIV/0!</v>
      </c>
      <c r="BL171" s="63"/>
      <c r="BM171" s="57" t="e">
        <f>(Links!S171*Links!BG171+'On-Ramps'!AL171*'On-Ramps'!CM171)/(Links!S171+'On-Ramps'!AL171)</f>
        <v>#DIV/0!</v>
      </c>
      <c r="BN171" s="63"/>
      <c r="BO171" s="58" t="e">
        <f>(Links!W171^2+'Off-Ramp'!L171^2)/(Links!W171+'Off-Ramp'!L171)</f>
        <v>#DIV/0!</v>
      </c>
      <c r="BP171" s="63"/>
      <c r="BQ171" s="58" t="e">
        <f>(Links!Y171^2+'Off-Ramp'!C171^2)/(Links!Y171+'Off-Ramp'!C171)</f>
        <v>#DIV/0!</v>
      </c>
      <c r="BR171" s="63"/>
      <c r="BS171" s="58" t="e">
        <f>(Links!AA171^2+'Off-Ramp'!N171^2)/(Links!AA171+'Off-Ramp'!N171)</f>
        <v>#DIV/0!</v>
      </c>
      <c r="BT171" s="58" t="e">
        <f>(Links!AD171^2+'Off-Ramp'!O171^2)/(Links!AD171+'Off-Ramp'!O171)</f>
        <v>#DIV/0!</v>
      </c>
      <c r="BU171" s="58" t="e">
        <f>(Links!AE171^2+'Off-Ramp'!V171^2+'Off-Ramp'!W171^2+'Off-Ramp'!X171^2)/(Links!AE171+'Off-Ramp'!V171+'Off-Ramp'!W171+'Off-Ramp'!X171)</f>
        <v>#DIV/0!</v>
      </c>
      <c r="BV171" s="58" t="e">
        <f>(Links!AG171^2+'Off-Ramp'!Y171^2+'Off-Ramp'!Z171^2+'Off-Ramp'!AA171^2)/(Links!AG171+'Off-Ramp'!Y171+'Off-Ramp'!Z171+'Off-Ramp'!AA171)</f>
        <v>#DIV/0!</v>
      </c>
      <c r="BW171" s="58" t="e">
        <f>(Links!AH171^2+'Off-Ramp'!R171^2)/(Links!AH171+'Off-Ramp'!R171)</f>
        <v>#DIV/0!</v>
      </c>
      <c r="BX171" s="58" t="e">
        <f>(Links!AK171^2+'Off-Ramp'!S171^2)/(Links!AK171+'Off-Ramp'!S171)</f>
        <v>#DIV/0!</v>
      </c>
      <c r="BY171" s="58" t="e">
        <f>(Links!AL171^2+'Off-Ramp'!T171^2)/(Links!AL171+'Off-Ramp'!T171)</f>
        <v>#DIV/0!</v>
      </c>
      <c r="BZ171" s="63"/>
      <c r="CA171" s="58" t="e">
        <f>(Links!AN171^2+'Off-Ramp'!U171^2)/(Links!AN171+'Off-Ramp'!U171)</f>
        <v>#DIV/0!</v>
      </c>
    </row>
    <row r="172" spans="1:79" x14ac:dyDescent="0.15">
      <c r="A172" s="56">
        <v>170</v>
      </c>
      <c r="B172" s="57" t="e">
        <f t="shared" si="57"/>
        <v>#DIV/0!</v>
      </c>
      <c r="C172" s="57" t="e">
        <f t="shared" si="58"/>
        <v>#DIV/0!</v>
      </c>
      <c r="D172" s="57" t="e">
        <f t="shared" si="59"/>
        <v>#DIV/0!</v>
      </c>
      <c r="E172" s="57" t="e">
        <f t="shared" si="60"/>
        <v>#DIV/0!</v>
      </c>
      <c r="F172" s="57" t="e">
        <f t="shared" si="61"/>
        <v>#DIV/0!</v>
      </c>
      <c r="G172" s="57" t="e">
        <f t="shared" si="62"/>
        <v>#DIV/0!</v>
      </c>
      <c r="H172" s="57" t="e">
        <f t="shared" si="63"/>
        <v>#DIV/0!</v>
      </c>
      <c r="I172" s="57" t="e">
        <f t="shared" si="64"/>
        <v>#DIV/0!</v>
      </c>
      <c r="J172" s="57" t="e">
        <f t="shared" si="65"/>
        <v>#DIV/0!</v>
      </c>
      <c r="K172" s="57" t="e">
        <f t="shared" si="66"/>
        <v>#DIV/0!</v>
      </c>
      <c r="L172" s="57" t="e">
        <f t="shared" si="67"/>
        <v>#DIV/0!</v>
      </c>
      <c r="M172" s="57" t="e">
        <f t="shared" si="68"/>
        <v>#DIV/0!</v>
      </c>
      <c r="N172" s="57" t="e">
        <f t="shared" si="69"/>
        <v>#DIV/0!</v>
      </c>
      <c r="O172" s="58" t="e">
        <f>Links!B172</f>
        <v>#DIV/0!</v>
      </c>
      <c r="P172" s="58" t="e">
        <f>Links!C172+'On-Ramps'!AC172</f>
        <v>#DIV/0!</v>
      </c>
      <c r="Q172" s="58" t="e">
        <f>Links!D172</f>
        <v>#DIV/0!</v>
      </c>
      <c r="R172" s="58" t="e">
        <f>Links!E172+'On-Ramps'!AD172</f>
        <v>#DIV/0!</v>
      </c>
      <c r="S172" s="58" t="e">
        <f>Links!F172+'On-Ramps'!AE172</f>
        <v>#DIV/0!</v>
      </c>
      <c r="T172" s="58" t="e">
        <f>Links!I172+'On-Ramps'!AF172</f>
        <v>#DIV/0!</v>
      </c>
      <c r="U172" s="58" t="e">
        <f>Links!J172+'On-Ramps'!AG172</f>
        <v>#DIV/0!</v>
      </c>
      <c r="V172" s="58" t="e">
        <f>Links!L172+'On-Ramps'!AH172</f>
        <v>#DIV/0!</v>
      </c>
      <c r="W172" s="58" t="e">
        <f>Links!M172+'On-Ramps'!AI172</f>
        <v>#DIV/0!</v>
      </c>
      <c r="X172" s="58" t="e">
        <f>Links!P172+'On-Ramps'!AJ172</f>
        <v>#DIV/0!</v>
      </c>
      <c r="Y172" s="58" t="e">
        <f>Links!Q172</f>
        <v>#DIV/0!</v>
      </c>
      <c r="Z172" s="58" t="e">
        <f>Links!R172+'On-Ramps'!AK172</f>
        <v>#DIV/0!</v>
      </c>
      <c r="AA172" s="58" t="e">
        <f>Links!S172</f>
        <v>#DIV/0!</v>
      </c>
      <c r="AB172" s="57" t="e">
        <f t="shared" si="70"/>
        <v>#VALUE!</v>
      </c>
      <c r="AC172" s="63"/>
      <c r="AD172" s="57" t="e">
        <f t="shared" si="71"/>
        <v>#DIV/0!</v>
      </c>
      <c r="AE172" s="63"/>
      <c r="AF172" s="57" t="e">
        <f t="shared" si="72"/>
        <v>#DIV/0!</v>
      </c>
      <c r="AG172" s="57" t="e">
        <f t="shared" si="73"/>
        <v>#DIV/0!</v>
      </c>
      <c r="AH172" s="57" t="e">
        <f t="shared" si="74"/>
        <v>#DIV/0!</v>
      </c>
      <c r="AI172" s="57" t="e">
        <f t="shared" si="75"/>
        <v>#DIV/0!</v>
      </c>
      <c r="AJ172" s="57" t="e">
        <f t="shared" si="76"/>
        <v>#DIV/0!</v>
      </c>
      <c r="AK172" s="57" t="e">
        <f t="shared" si="77"/>
        <v>#DIV/0!</v>
      </c>
      <c r="AL172" s="57" t="e">
        <f t="shared" si="78"/>
        <v>#DIV/0!</v>
      </c>
      <c r="AM172" s="63"/>
      <c r="AN172" s="57" t="e">
        <f t="shared" si="80"/>
        <v>#DIV/0!</v>
      </c>
      <c r="AO172" s="58" t="e">
        <f t="shared" si="56"/>
        <v>#VALUE!</v>
      </c>
      <c r="AP172" s="63"/>
      <c r="AQ172" s="58" t="e">
        <f t="shared" si="81"/>
        <v>#DIV/0!</v>
      </c>
      <c r="AR172" s="63"/>
      <c r="AS172" s="58" t="e">
        <f t="shared" si="81"/>
        <v>#DIV/0!</v>
      </c>
      <c r="AT172" s="58" t="e">
        <f t="shared" si="81"/>
        <v>#DIV/0!</v>
      </c>
      <c r="AU172" s="58" t="e">
        <f t="shared" si="81"/>
        <v>#DIV/0!</v>
      </c>
      <c r="AV172" s="58" t="e">
        <f t="shared" si="81"/>
        <v>#DIV/0!</v>
      </c>
      <c r="AW172" s="58" t="e">
        <f t="shared" si="81"/>
        <v>#DIV/0!</v>
      </c>
      <c r="AX172" s="58" t="e">
        <f t="shared" si="81"/>
        <v>#DIV/0!</v>
      </c>
      <c r="AY172" s="58" t="e">
        <f t="shared" si="81"/>
        <v>#DIV/0!</v>
      </c>
      <c r="AZ172" s="63"/>
      <c r="BA172" s="58" t="e">
        <f t="shared" si="81"/>
        <v>#DIV/0!</v>
      </c>
      <c r="BB172" s="63"/>
      <c r="BC172" s="57" t="e">
        <f>(Links!C172*Links!AQ172+'On-Ramps'!AC172*'On-Ramps'!CE172)/('On-Ramps'!AC172+Links!C172)</f>
        <v>#DIV/0!</v>
      </c>
      <c r="BD172" s="63"/>
      <c r="BE172" s="57" t="e">
        <f>(Links!E172*Links!AS172+'On-Ramps'!AD172*'On-Ramps'!CF171)/('On-Ramps'!AD172+Links!E172)</f>
        <v>#DIV/0!</v>
      </c>
      <c r="BF172" s="57" t="e">
        <f>(Links!F172*Links!AT172+'On-Ramps'!AE172*'On-Ramps'!CG172)/('On-Ramps'!AE172+Links!F172)</f>
        <v>#DIV/0!</v>
      </c>
      <c r="BG172" s="57" t="e">
        <f>(Links!I172*Links!AW172+'On-Ramps'!AF172*'On-Ramps'!CH172)/('On-Ramps'!AF172+Links!I172)</f>
        <v>#DIV/0!</v>
      </c>
      <c r="BH172" s="57" t="e">
        <f>(#REF!*#REF!+'On-Ramps'!AG172*'On-Ramps'!CI172)/('On-Ramps'!AG172+#REF!)</f>
        <v>#REF!</v>
      </c>
      <c r="BI172" s="57" t="e">
        <f>(Links!L172*Links!AZ172+'On-Ramps'!AH172*'On-Ramps'!CJ172)/('On-Ramps'!AH172+Links!L172)</f>
        <v>#DIV/0!</v>
      </c>
      <c r="BJ172" s="57" t="e">
        <f>(Links!BA172*Links!M172+'On-Ramps'!AI172*'On-Ramps'!CK172)/('On-Ramps'!AI172+Links!M172)</f>
        <v>#DIV/0!</v>
      </c>
      <c r="BK172" s="57" t="e">
        <f>(Links!S172*Links!BG172+'On-Ramps'!AJ172*'On-Ramps'!CL172)/('On-Ramps'!AJ172+Links!S172)</f>
        <v>#DIV/0!</v>
      </c>
      <c r="BL172" s="63"/>
      <c r="BM172" s="57" t="e">
        <f>(Links!S172*Links!BG172+'On-Ramps'!AL172*'On-Ramps'!CM172)/(Links!S172+'On-Ramps'!AL172)</f>
        <v>#DIV/0!</v>
      </c>
      <c r="BN172" s="63"/>
      <c r="BO172" s="58" t="e">
        <f>(Links!W172^2+'Off-Ramp'!L172^2)/(Links!W172+'Off-Ramp'!L172)</f>
        <v>#DIV/0!</v>
      </c>
      <c r="BP172" s="63"/>
      <c r="BQ172" s="58" t="e">
        <f>(Links!Y172^2+'Off-Ramp'!C172^2)/(Links!Y172+'Off-Ramp'!C172)</f>
        <v>#DIV/0!</v>
      </c>
      <c r="BR172" s="63"/>
      <c r="BS172" s="58" t="e">
        <f>(Links!AA172^2+'Off-Ramp'!N172^2)/(Links!AA172+'Off-Ramp'!N172)</f>
        <v>#DIV/0!</v>
      </c>
      <c r="BT172" s="58" t="e">
        <f>(Links!AD172^2+'Off-Ramp'!O172^2)/(Links!AD172+'Off-Ramp'!O172)</f>
        <v>#DIV/0!</v>
      </c>
      <c r="BU172" s="58" t="e">
        <f>(Links!AE172^2+'Off-Ramp'!V172^2+'Off-Ramp'!W172^2+'Off-Ramp'!X172^2)/(Links!AE172+'Off-Ramp'!V172+'Off-Ramp'!W172+'Off-Ramp'!X172)</f>
        <v>#DIV/0!</v>
      </c>
      <c r="BV172" s="58" t="e">
        <f>(Links!AG172^2+'Off-Ramp'!Y172^2+'Off-Ramp'!Z172^2+'Off-Ramp'!AA172^2)/(Links!AG172+'Off-Ramp'!Y172+'Off-Ramp'!Z172+'Off-Ramp'!AA172)</f>
        <v>#DIV/0!</v>
      </c>
      <c r="BW172" s="58" t="e">
        <f>(Links!AH172^2+'Off-Ramp'!R172^2)/(Links!AH172+'Off-Ramp'!R172)</f>
        <v>#DIV/0!</v>
      </c>
      <c r="BX172" s="58" t="e">
        <f>(Links!AK172^2+'Off-Ramp'!S172^2)/(Links!AK172+'Off-Ramp'!S172)</f>
        <v>#DIV/0!</v>
      </c>
      <c r="BY172" s="58" t="e">
        <f>(Links!AL172^2+'Off-Ramp'!T172^2)/(Links!AL172+'Off-Ramp'!T172)</f>
        <v>#DIV/0!</v>
      </c>
      <c r="BZ172" s="63"/>
      <c r="CA172" s="58" t="e">
        <f>(Links!AN172^2+'Off-Ramp'!U172^2)/(Links!AN172+'Off-Ramp'!U172)</f>
        <v>#DIV/0!</v>
      </c>
    </row>
    <row r="173" spans="1:79" x14ac:dyDescent="0.15">
      <c r="A173" s="56">
        <v>171</v>
      </c>
      <c r="B173" s="57" t="e">
        <f t="shared" si="57"/>
        <v>#DIV/0!</v>
      </c>
      <c r="C173" s="57" t="e">
        <f t="shared" si="58"/>
        <v>#DIV/0!</v>
      </c>
      <c r="D173" s="57" t="e">
        <f t="shared" si="59"/>
        <v>#DIV/0!</v>
      </c>
      <c r="E173" s="57" t="e">
        <f t="shared" si="60"/>
        <v>#DIV/0!</v>
      </c>
      <c r="F173" s="57" t="e">
        <f t="shared" si="61"/>
        <v>#DIV/0!</v>
      </c>
      <c r="G173" s="57" t="e">
        <f t="shared" si="62"/>
        <v>#DIV/0!</v>
      </c>
      <c r="H173" s="57" t="e">
        <f t="shared" si="63"/>
        <v>#DIV/0!</v>
      </c>
      <c r="I173" s="57" t="e">
        <f t="shared" si="64"/>
        <v>#DIV/0!</v>
      </c>
      <c r="J173" s="57" t="e">
        <f t="shared" si="65"/>
        <v>#DIV/0!</v>
      </c>
      <c r="K173" s="57" t="e">
        <f t="shared" si="66"/>
        <v>#DIV/0!</v>
      </c>
      <c r="L173" s="57" t="e">
        <f t="shared" si="67"/>
        <v>#DIV/0!</v>
      </c>
      <c r="M173" s="57" t="e">
        <f t="shared" si="68"/>
        <v>#DIV/0!</v>
      </c>
      <c r="N173" s="57" t="e">
        <f t="shared" si="69"/>
        <v>#DIV/0!</v>
      </c>
      <c r="O173" s="58" t="e">
        <f>Links!B173</f>
        <v>#DIV/0!</v>
      </c>
      <c r="P173" s="58" t="e">
        <f>Links!C173+'On-Ramps'!AC173</f>
        <v>#DIV/0!</v>
      </c>
      <c r="Q173" s="58" t="e">
        <f>Links!D173</f>
        <v>#DIV/0!</v>
      </c>
      <c r="R173" s="58" t="e">
        <f>Links!E173+'On-Ramps'!AD173</f>
        <v>#DIV/0!</v>
      </c>
      <c r="S173" s="58" t="e">
        <f>Links!F173+'On-Ramps'!AE173</f>
        <v>#DIV/0!</v>
      </c>
      <c r="T173" s="58" t="e">
        <f>Links!I173+'On-Ramps'!AF173</f>
        <v>#DIV/0!</v>
      </c>
      <c r="U173" s="58" t="e">
        <f>Links!J173+'On-Ramps'!AG173</f>
        <v>#DIV/0!</v>
      </c>
      <c r="V173" s="58" t="e">
        <f>Links!L173+'On-Ramps'!AH173</f>
        <v>#DIV/0!</v>
      </c>
      <c r="W173" s="58" t="e">
        <f>Links!M173+'On-Ramps'!AI173</f>
        <v>#DIV/0!</v>
      </c>
      <c r="X173" s="58" t="e">
        <f>Links!P173+'On-Ramps'!AJ173</f>
        <v>#DIV/0!</v>
      </c>
      <c r="Y173" s="58" t="e">
        <f>Links!Q173</f>
        <v>#DIV/0!</v>
      </c>
      <c r="Z173" s="58" t="e">
        <f>Links!R173+'On-Ramps'!AK173</f>
        <v>#DIV/0!</v>
      </c>
      <c r="AA173" s="58" t="e">
        <f>Links!S173</f>
        <v>#DIV/0!</v>
      </c>
      <c r="AB173" s="57" t="e">
        <f t="shared" si="70"/>
        <v>#VALUE!</v>
      </c>
      <c r="AC173" s="63"/>
      <c r="AD173" s="57" t="e">
        <f t="shared" si="71"/>
        <v>#DIV/0!</v>
      </c>
      <c r="AE173" s="63"/>
      <c r="AF173" s="57" t="e">
        <f t="shared" si="72"/>
        <v>#DIV/0!</v>
      </c>
      <c r="AG173" s="57" t="e">
        <f t="shared" si="73"/>
        <v>#DIV/0!</v>
      </c>
      <c r="AH173" s="57" t="e">
        <f t="shared" si="74"/>
        <v>#DIV/0!</v>
      </c>
      <c r="AI173" s="57" t="e">
        <f t="shared" si="75"/>
        <v>#DIV/0!</v>
      </c>
      <c r="AJ173" s="57" t="e">
        <f t="shared" si="76"/>
        <v>#DIV/0!</v>
      </c>
      <c r="AK173" s="57" t="e">
        <f t="shared" si="77"/>
        <v>#DIV/0!</v>
      </c>
      <c r="AL173" s="57" t="e">
        <f t="shared" si="78"/>
        <v>#DIV/0!</v>
      </c>
      <c r="AM173" s="63"/>
      <c r="AN173" s="57" t="e">
        <f t="shared" si="80"/>
        <v>#DIV/0!</v>
      </c>
      <c r="AO173" s="58" t="e">
        <f t="shared" si="56"/>
        <v>#VALUE!</v>
      </c>
      <c r="AP173" s="63"/>
      <c r="AQ173" s="58" t="e">
        <f t="shared" si="81"/>
        <v>#DIV/0!</v>
      </c>
      <c r="AR173" s="63"/>
      <c r="AS173" s="58" t="e">
        <f t="shared" si="81"/>
        <v>#DIV/0!</v>
      </c>
      <c r="AT173" s="58" t="e">
        <f t="shared" si="81"/>
        <v>#DIV/0!</v>
      </c>
      <c r="AU173" s="58" t="e">
        <f t="shared" si="81"/>
        <v>#DIV/0!</v>
      </c>
      <c r="AV173" s="58" t="e">
        <f t="shared" si="81"/>
        <v>#DIV/0!</v>
      </c>
      <c r="AW173" s="58" t="e">
        <f t="shared" si="81"/>
        <v>#DIV/0!</v>
      </c>
      <c r="AX173" s="58" t="e">
        <f t="shared" si="81"/>
        <v>#DIV/0!</v>
      </c>
      <c r="AY173" s="58" t="e">
        <f t="shared" si="81"/>
        <v>#DIV/0!</v>
      </c>
      <c r="AZ173" s="63"/>
      <c r="BA173" s="58" t="e">
        <f t="shared" si="81"/>
        <v>#DIV/0!</v>
      </c>
      <c r="BB173" s="63"/>
      <c r="BC173" s="57" t="e">
        <f>(Links!C173*Links!AQ173+'On-Ramps'!AC173*'On-Ramps'!CE173)/('On-Ramps'!AC173+Links!C173)</f>
        <v>#DIV/0!</v>
      </c>
      <c r="BD173" s="63"/>
      <c r="BE173" s="57" t="e">
        <f>(Links!E173*Links!AS173+'On-Ramps'!AD173*'On-Ramps'!CF172)/('On-Ramps'!AD173+Links!E173)</f>
        <v>#DIV/0!</v>
      </c>
      <c r="BF173" s="57" t="e">
        <f>(Links!F173*Links!AT173+'On-Ramps'!AE173*'On-Ramps'!CG173)/('On-Ramps'!AE173+Links!F173)</f>
        <v>#DIV/0!</v>
      </c>
      <c r="BG173" s="57" t="e">
        <f>(Links!I173*Links!AW173+'On-Ramps'!AF173*'On-Ramps'!CH173)/('On-Ramps'!AF173+Links!I173)</f>
        <v>#DIV/0!</v>
      </c>
      <c r="BH173" s="57" t="e">
        <f>(#REF!*#REF!+'On-Ramps'!AG173*'On-Ramps'!CI173)/('On-Ramps'!AG173+#REF!)</f>
        <v>#REF!</v>
      </c>
      <c r="BI173" s="57" t="e">
        <f>(Links!L173*Links!AZ173+'On-Ramps'!AH173*'On-Ramps'!CJ173)/('On-Ramps'!AH173+Links!L173)</f>
        <v>#DIV/0!</v>
      </c>
      <c r="BJ173" s="57" t="e">
        <f>(Links!BA173*Links!M173+'On-Ramps'!AI173*'On-Ramps'!CK173)/('On-Ramps'!AI173+Links!M173)</f>
        <v>#DIV/0!</v>
      </c>
      <c r="BK173" s="57" t="e">
        <f>(Links!S173*Links!BG173+'On-Ramps'!AJ173*'On-Ramps'!CL173)/('On-Ramps'!AJ173+Links!S173)</f>
        <v>#DIV/0!</v>
      </c>
      <c r="BL173" s="63"/>
      <c r="BM173" s="57" t="e">
        <f>(Links!S173*Links!BG173+'On-Ramps'!AL173*'On-Ramps'!CM173)/(Links!S173+'On-Ramps'!AL173)</f>
        <v>#DIV/0!</v>
      </c>
      <c r="BN173" s="63"/>
      <c r="BO173" s="58" t="e">
        <f>(Links!W173^2+'Off-Ramp'!L173^2)/(Links!W173+'Off-Ramp'!L173)</f>
        <v>#DIV/0!</v>
      </c>
      <c r="BP173" s="63"/>
      <c r="BQ173" s="58" t="e">
        <f>(Links!Y173^2+'Off-Ramp'!C173^2)/(Links!Y173+'Off-Ramp'!C173)</f>
        <v>#DIV/0!</v>
      </c>
      <c r="BR173" s="63"/>
      <c r="BS173" s="58" t="e">
        <f>(Links!AA173^2+'Off-Ramp'!N173^2)/(Links!AA173+'Off-Ramp'!N173)</f>
        <v>#DIV/0!</v>
      </c>
      <c r="BT173" s="58" t="e">
        <f>(Links!AD173^2+'Off-Ramp'!O173^2)/(Links!AD173+'Off-Ramp'!O173)</f>
        <v>#DIV/0!</v>
      </c>
      <c r="BU173" s="58" t="e">
        <f>(Links!AE173^2+'Off-Ramp'!V173^2+'Off-Ramp'!W173^2+'Off-Ramp'!X173^2)/(Links!AE173+'Off-Ramp'!V173+'Off-Ramp'!W173+'Off-Ramp'!X173)</f>
        <v>#DIV/0!</v>
      </c>
      <c r="BV173" s="58" t="e">
        <f>(Links!AG173^2+'Off-Ramp'!Y173^2+'Off-Ramp'!Z173^2+'Off-Ramp'!AA173^2)/(Links!AG173+'Off-Ramp'!Y173+'Off-Ramp'!Z173+'Off-Ramp'!AA173)</f>
        <v>#DIV/0!</v>
      </c>
      <c r="BW173" s="58" t="e">
        <f>(Links!AH173^2+'Off-Ramp'!R173^2)/(Links!AH173+'Off-Ramp'!R173)</f>
        <v>#DIV/0!</v>
      </c>
      <c r="BX173" s="58" t="e">
        <f>(Links!AK173^2+'Off-Ramp'!S173^2)/(Links!AK173+'Off-Ramp'!S173)</f>
        <v>#DIV/0!</v>
      </c>
      <c r="BY173" s="58" t="e">
        <f>(Links!AL173^2+'Off-Ramp'!T173^2)/(Links!AL173+'Off-Ramp'!T173)</f>
        <v>#DIV/0!</v>
      </c>
      <c r="BZ173" s="63"/>
      <c r="CA173" s="58" t="e">
        <f>(Links!AN173^2+'Off-Ramp'!U173^2)/(Links!AN173+'Off-Ramp'!U173)</f>
        <v>#DIV/0!</v>
      </c>
    </row>
    <row r="174" spans="1:79" x14ac:dyDescent="0.15">
      <c r="A174" s="56">
        <v>172</v>
      </c>
      <c r="B174" s="57" t="e">
        <f t="shared" si="57"/>
        <v>#DIV/0!</v>
      </c>
      <c r="C174" s="57" t="e">
        <f t="shared" si="58"/>
        <v>#DIV/0!</v>
      </c>
      <c r="D174" s="57" t="e">
        <f t="shared" si="59"/>
        <v>#DIV/0!</v>
      </c>
      <c r="E174" s="57" t="e">
        <f t="shared" si="60"/>
        <v>#DIV/0!</v>
      </c>
      <c r="F174" s="57" t="e">
        <f t="shared" si="61"/>
        <v>#DIV/0!</v>
      </c>
      <c r="G174" s="57" t="e">
        <f t="shared" si="62"/>
        <v>#DIV/0!</v>
      </c>
      <c r="H174" s="57" t="e">
        <f t="shared" si="63"/>
        <v>#DIV/0!</v>
      </c>
      <c r="I174" s="57" t="e">
        <f t="shared" si="64"/>
        <v>#DIV/0!</v>
      </c>
      <c r="J174" s="57" t="e">
        <f t="shared" si="65"/>
        <v>#DIV/0!</v>
      </c>
      <c r="K174" s="57" t="e">
        <f t="shared" si="66"/>
        <v>#DIV/0!</v>
      </c>
      <c r="L174" s="57" t="e">
        <f t="shared" si="67"/>
        <v>#DIV/0!</v>
      </c>
      <c r="M174" s="57" t="e">
        <f t="shared" si="68"/>
        <v>#DIV/0!</v>
      </c>
      <c r="N174" s="57" t="e">
        <f t="shared" si="69"/>
        <v>#DIV/0!</v>
      </c>
      <c r="O174" s="58" t="e">
        <f>Links!B174</f>
        <v>#DIV/0!</v>
      </c>
      <c r="P174" s="58" t="e">
        <f>Links!C174+'On-Ramps'!AC174</f>
        <v>#DIV/0!</v>
      </c>
      <c r="Q174" s="58" t="e">
        <f>Links!D174</f>
        <v>#DIV/0!</v>
      </c>
      <c r="R174" s="58" t="e">
        <f>Links!E174+'On-Ramps'!AD174</f>
        <v>#DIV/0!</v>
      </c>
      <c r="S174" s="58" t="e">
        <f>Links!F174+'On-Ramps'!AE174</f>
        <v>#DIV/0!</v>
      </c>
      <c r="T174" s="58" t="e">
        <f>Links!I174+'On-Ramps'!AF174</f>
        <v>#DIV/0!</v>
      </c>
      <c r="U174" s="58" t="e">
        <f>Links!J174+'On-Ramps'!AG174</f>
        <v>#DIV/0!</v>
      </c>
      <c r="V174" s="58" t="e">
        <f>Links!L174+'On-Ramps'!AH174</f>
        <v>#DIV/0!</v>
      </c>
      <c r="W174" s="58" t="e">
        <f>Links!M174+'On-Ramps'!AI174</f>
        <v>#DIV/0!</v>
      </c>
      <c r="X174" s="58" t="e">
        <f>Links!P174+'On-Ramps'!AJ174</f>
        <v>#DIV/0!</v>
      </c>
      <c r="Y174" s="58" t="e">
        <f>Links!Q174</f>
        <v>#DIV/0!</v>
      </c>
      <c r="Z174" s="58" t="e">
        <f>Links!R174+'On-Ramps'!AK174</f>
        <v>#DIV/0!</v>
      </c>
      <c r="AA174" s="58" t="e">
        <f>Links!S174</f>
        <v>#DIV/0!</v>
      </c>
      <c r="AB174" s="57" t="e">
        <f t="shared" si="70"/>
        <v>#VALUE!</v>
      </c>
      <c r="AC174" s="63"/>
      <c r="AD174" s="57" t="e">
        <f t="shared" si="71"/>
        <v>#DIV/0!</v>
      </c>
      <c r="AE174" s="63"/>
      <c r="AF174" s="57" t="e">
        <f t="shared" si="72"/>
        <v>#DIV/0!</v>
      </c>
      <c r="AG174" s="57" t="e">
        <f t="shared" si="73"/>
        <v>#DIV/0!</v>
      </c>
      <c r="AH174" s="57" t="e">
        <f t="shared" si="74"/>
        <v>#DIV/0!</v>
      </c>
      <c r="AI174" s="57" t="e">
        <f t="shared" si="75"/>
        <v>#DIV/0!</v>
      </c>
      <c r="AJ174" s="57" t="e">
        <f t="shared" si="76"/>
        <v>#DIV/0!</v>
      </c>
      <c r="AK174" s="57" t="e">
        <f t="shared" si="77"/>
        <v>#DIV/0!</v>
      </c>
      <c r="AL174" s="57" t="e">
        <f t="shared" si="78"/>
        <v>#DIV/0!</v>
      </c>
      <c r="AM174" s="63"/>
      <c r="AN174" s="57" t="e">
        <f t="shared" si="80"/>
        <v>#DIV/0!</v>
      </c>
      <c r="AO174" s="58" t="e">
        <f t="shared" si="56"/>
        <v>#VALUE!</v>
      </c>
      <c r="AP174" s="63"/>
      <c r="AQ174" s="58" t="e">
        <f t="shared" si="81"/>
        <v>#DIV/0!</v>
      </c>
      <c r="AR174" s="63"/>
      <c r="AS174" s="58" t="e">
        <f t="shared" si="81"/>
        <v>#DIV/0!</v>
      </c>
      <c r="AT174" s="58" t="e">
        <f t="shared" si="81"/>
        <v>#DIV/0!</v>
      </c>
      <c r="AU174" s="58" t="e">
        <f t="shared" si="81"/>
        <v>#DIV/0!</v>
      </c>
      <c r="AV174" s="58" t="e">
        <f t="shared" si="81"/>
        <v>#DIV/0!</v>
      </c>
      <c r="AW174" s="58" t="e">
        <f t="shared" si="81"/>
        <v>#DIV/0!</v>
      </c>
      <c r="AX174" s="58" t="e">
        <f t="shared" si="81"/>
        <v>#DIV/0!</v>
      </c>
      <c r="AY174" s="58" t="e">
        <f t="shared" si="81"/>
        <v>#DIV/0!</v>
      </c>
      <c r="AZ174" s="63"/>
      <c r="BA174" s="58" t="e">
        <f t="shared" si="81"/>
        <v>#DIV/0!</v>
      </c>
      <c r="BB174" s="63"/>
      <c r="BC174" s="57" t="e">
        <f>(Links!C174*Links!AQ174+'On-Ramps'!AC174*'On-Ramps'!CE174)/('On-Ramps'!AC174+Links!C174)</f>
        <v>#DIV/0!</v>
      </c>
      <c r="BD174" s="63"/>
      <c r="BE174" s="57" t="e">
        <f>(Links!E174*Links!AS174+'On-Ramps'!AD174*'On-Ramps'!CF173)/('On-Ramps'!AD174+Links!E174)</f>
        <v>#DIV/0!</v>
      </c>
      <c r="BF174" s="57" t="e">
        <f>(Links!F174*Links!AT174+'On-Ramps'!AE174*'On-Ramps'!CG174)/('On-Ramps'!AE174+Links!F174)</f>
        <v>#DIV/0!</v>
      </c>
      <c r="BG174" s="57" t="e">
        <f>(Links!I174*Links!AW174+'On-Ramps'!AF174*'On-Ramps'!CH174)/('On-Ramps'!AF174+Links!I174)</f>
        <v>#DIV/0!</v>
      </c>
      <c r="BH174" s="57" t="e">
        <f>(#REF!*#REF!+'On-Ramps'!AG174*'On-Ramps'!CI174)/('On-Ramps'!AG174+#REF!)</f>
        <v>#REF!</v>
      </c>
      <c r="BI174" s="57" t="e">
        <f>(Links!L174*Links!AZ174+'On-Ramps'!AH174*'On-Ramps'!CJ174)/('On-Ramps'!AH174+Links!L174)</f>
        <v>#DIV/0!</v>
      </c>
      <c r="BJ174" s="57" t="e">
        <f>(Links!BA174*Links!M174+'On-Ramps'!AI174*'On-Ramps'!CK174)/('On-Ramps'!AI174+Links!M174)</f>
        <v>#DIV/0!</v>
      </c>
      <c r="BK174" s="57" t="e">
        <f>(Links!S174*Links!BG174+'On-Ramps'!AJ174*'On-Ramps'!CL174)/('On-Ramps'!AJ174+Links!S174)</f>
        <v>#DIV/0!</v>
      </c>
      <c r="BL174" s="63"/>
      <c r="BM174" s="57" t="e">
        <f>(Links!S174*Links!BG174+'On-Ramps'!AL174*'On-Ramps'!CM174)/(Links!S174+'On-Ramps'!AL174)</f>
        <v>#DIV/0!</v>
      </c>
      <c r="BN174" s="63"/>
      <c r="BO174" s="58" t="e">
        <f>(Links!W174^2+'Off-Ramp'!L174^2)/(Links!W174+'Off-Ramp'!L174)</f>
        <v>#DIV/0!</v>
      </c>
      <c r="BP174" s="63"/>
      <c r="BQ174" s="58" t="e">
        <f>(Links!Y174^2+'Off-Ramp'!C174^2)/(Links!Y174+'Off-Ramp'!C174)</f>
        <v>#DIV/0!</v>
      </c>
      <c r="BR174" s="63"/>
      <c r="BS174" s="58" t="e">
        <f>(Links!AA174^2+'Off-Ramp'!N174^2)/(Links!AA174+'Off-Ramp'!N174)</f>
        <v>#DIV/0!</v>
      </c>
      <c r="BT174" s="58" t="e">
        <f>(Links!AD174^2+'Off-Ramp'!O174^2)/(Links!AD174+'Off-Ramp'!O174)</f>
        <v>#DIV/0!</v>
      </c>
      <c r="BU174" s="58" t="e">
        <f>(Links!AE174^2+'Off-Ramp'!V174^2+'Off-Ramp'!W174^2+'Off-Ramp'!X174^2)/(Links!AE174+'Off-Ramp'!V174+'Off-Ramp'!W174+'Off-Ramp'!X174)</f>
        <v>#DIV/0!</v>
      </c>
      <c r="BV174" s="58" t="e">
        <f>(Links!AG174^2+'Off-Ramp'!Y174^2+'Off-Ramp'!Z174^2+'Off-Ramp'!AA174^2)/(Links!AG174+'Off-Ramp'!Y174+'Off-Ramp'!Z174+'Off-Ramp'!AA174)</f>
        <v>#DIV/0!</v>
      </c>
      <c r="BW174" s="58" t="e">
        <f>(Links!AH174^2+'Off-Ramp'!R174^2)/(Links!AH174+'Off-Ramp'!R174)</f>
        <v>#DIV/0!</v>
      </c>
      <c r="BX174" s="58" t="e">
        <f>(Links!AK174^2+'Off-Ramp'!S174^2)/(Links!AK174+'Off-Ramp'!S174)</f>
        <v>#DIV/0!</v>
      </c>
      <c r="BY174" s="58" t="e">
        <f>(Links!AL174^2+'Off-Ramp'!T174^2)/(Links!AL174+'Off-Ramp'!T174)</f>
        <v>#DIV/0!</v>
      </c>
      <c r="BZ174" s="63"/>
      <c r="CA174" s="58" t="e">
        <f>(Links!AN174^2+'Off-Ramp'!U174^2)/(Links!AN174+'Off-Ramp'!U174)</f>
        <v>#DIV/0!</v>
      </c>
    </row>
    <row r="175" spans="1:79" x14ac:dyDescent="0.15">
      <c r="A175" s="56">
        <v>173</v>
      </c>
      <c r="B175" s="57" t="e">
        <f t="shared" si="57"/>
        <v>#DIV/0!</v>
      </c>
      <c r="C175" s="57" t="e">
        <f t="shared" si="58"/>
        <v>#DIV/0!</v>
      </c>
      <c r="D175" s="57" t="e">
        <f t="shared" si="59"/>
        <v>#DIV/0!</v>
      </c>
      <c r="E175" s="57" t="e">
        <f t="shared" si="60"/>
        <v>#DIV/0!</v>
      </c>
      <c r="F175" s="57" t="e">
        <f t="shared" si="61"/>
        <v>#DIV/0!</v>
      </c>
      <c r="G175" s="57" t="e">
        <f t="shared" si="62"/>
        <v>#DIV/0!</v>
      </c>
      <c r="H175" s="57" t="e">
        <f t="shared" si="63"/>
        <v>#DIV/0!</v>
      </c>
      <c r="I175" s="57" t="e">
        <f t="shared" si="64"/>
        <v>#DIV/0!</v>
      </c>
      <c r="J175" s="57" t="e">
        <f t="shared" si="65"/>
        <v>#DIV/0!</v>
      </c>
      <c r="K175" s="57" t="e">
        <f t="shared" si="66"/>
        <v>#DIV/0!</v>
      </c>
      <c r="L175" s="57" t="e">
        <f t="shared" si="67"/>
        <v>#DIV/0!</v>
      </c>
      <c r="M175" s="57" t="e">
        <f t="shared" si="68"/>
        <v>#DIV/0!</v>
      </c>
      <c r="N175" s="57" t="e">
        <f t="shared" si="69"/>
        <v>#DIV/0!</v>
      </c>
      <c r="O175" s="58" t="e">
        <f>Links!B175</f>
        <v>#DIV/0!</v>
      </c>
      <c r="P175" s="58" t="e">
        <f>Links!C175+'On-Ramps'!AC175</f>
        <v>#DIV/0!</v>
      </c>
      <c r="Q175" s="58" t="e">
        <f>Links!D175</f>
        <v>#DIV/0!</v>
      </c>
      <c r="R175" s="58" t="e">
        <f>Links!E175+'On-Ramps'!AD175</f>
        <v>#DIV/0!</v>
      </c>
      <c r="S175" s="58" t="e">
        <f>Links!F175+'On-Ramps'!AE175</f>
        <v>#DIV/0!</v>
      </c>
      <c r="T175" s="58" t="e">
        <f>Links!I175+'On-Ramps'!AF175</f>
        <v>#DIV/0!</v>
      </c>
      <c r="U175" s="58" t="e">
        <f>Links!J175+'On-Ramps'!AG175</f>
        <v>#DIV/0!</v>
      </c>
      <c r="V175" s="58" t="e">
        <f>Links!L175+'On-Ramps'!AH175</f>
        <v>#DIV/0!</v>
      </c>
      <c r="W175" s="58" t="e">
        <f>Links!M175+'On-Ramps'!AI175</f>
        <v>#DIV/0!</v>
      </c>
      <c r="X175" s="58" t="e">
        <f>Links!P175+'On-Ramps'!AJ175</f>
        <v>#DIV/0!</v>
      </c>
      <c r="Y175" s="58" t="e">
        <f>Links!Q175</f>
        <v>#DIV/0!</v>
      </c>
      <c r="Z175" s="58" t="e">
        <f>Links!R175+'On-Ramps'!AK175</f>
        <v>#DIV/0!</v>
      </c>
      <c r="AA175" s="58" t="e">
        <f>Links!S175</f>
        <v>#DIV/0!</v>
      </c>
      <c r="AB175" s="57" t="e">
        <f t="shared" si="70"/>
        <v>#VALUE!</v>
      </c>
      <c r="AC175" s="63"/>
      <c r="AD175" s="57" t="e">
        <f t="shared" si="71"/>
        <v>#DIV/0!</v>
      </c>
      <c r="AE175" s="63"/>
      <c r="AF175" s="57" t="e">
        <f t="shared" si="72"/>
        <v>#DIV/0!</v>
      </c>
      <c r="AG175" s="57" t="e">
        <f t="shared" si="73"/>
        <v>#DIV/0!</v>
      </c>
      <c r="AH175" s="57" t="e">
        <f t="shared" si="74"/>
        <v>#DIV/0!</v>
      </c>
      <c r="AI175" s="57" t="e">
        <f t="shared" si="75"/>
        <v>#DIV/0!</v>
      </c>
      <c r="AJ175" s="57" t="e">
        <f t="shared" si="76"/>
        <v>#DIV/0!</v>
      </c>
      <c r="AK175" s="57" t="e">
        <f t="shared" si="77"/>
        <v>#DIV/0!</v>
      </c>
      <c r="AL175" s="57" t="e">
        <f t="shared" si="78"/>
        <v>#DIV/0!</v>
      </c>
      <c r="AM175" s="63"/>
      <c r="AN175" s="57" t="e">
        <f t="shared" si="80"/>
        <v>#DIV/0!</v>
      </c>
      <c r="AO175" s="58" t="e">
        <f t="shared" si="56"/>
        <v>#VALUE!</v>
      </c>
      <c r="AP175" s="63"/>
      <c r="AQ175" s="58" t="e">
        <f t="shared" si="81"/>
        <v>#DIV/0!</v>
      </c>
      <c r="AR175" s="63"/>
      <c r="AS175" s="58" t="e">
        <f t="shared" si="81"/>
        <v>#DIV/0!</v>
      </c>
      <c r="AT175" s="58" t="e">
        <f t="shared" si="81"/>
        <v>#DIV/0!</v>
      </c>
      <c r="AU175" s="58" t="e">
        <f t="shared" si="81"/>
        <v>#DIV/0!</v>
      </c>
      <c r="AV175" s="58" t="e">
        <f t="shared" si="81"/>
        <v>#DIV/0!</v>
      </c>
      <c r="AW175" s="58" t="e">
        <f t="shared" si="81"/>
        <v>#DIV/0!</v>
      </c>
      <c r="AX175" s="58" t="e">
        <f t="shared" si="81"/>
        <v>#DIV/0!</v>
      </c>
      <c r="AY175" s="58" t="e">
        <f t="shared" si="81"/>
        <v>#DIV/0!</v>
      </c>
      <c r="AZ175" s="63"/>
      <c r="BA175" s="58" t="e">
        <f t="shared" si="81"/>
        <v>#DIV/0!</v>
      </c>
      <c r="BB175" s="63"/>
      <c r="BC175" s="57" t="e">
        <f>(Links!C175*Links!AQ175+'On-Ramps'!AC175*'On-Ramps'!CE175)/('On-Ramps'!AC175+Links!C175)</f>
        <v>#DIV/0!</v>
      </c>
      <c r="BD175" s="63"/>
      <c r="BE175" s="57" t="e">
        <f>(Links!E175*Links!AS175+'On-Ramps'!AD175*'On-Ramps'!CF174)/('On-Ramps'!AD175+Links!E175)</f>
        <v>#DIV/0!</v>
      </c>
      <c r="BF175" s="57" t="e">
        <f>(Links!F175*Links!AT175+'On-Ramps'!AE175*'On-Ramps'!CG175)/('On-Ramps'!AE175+Links!F175)</f>
        <v>#DIV/0!</v>
      </c>
      <c r="BG175" s="57" t="e">
        <f>(Links!I175*Links!AW175+'On-Ramps'!AF175*'On-Ramps'!CH175)/('On-Ramps'!AF175+Links!I175)</f>
        <v>#DIV/0!</v>
      </c>
      <c r="BH175" s="57" t="e">
        <f>(#REF!*#REF!+'On-Ramps'!AG175*'On-Ramps'!CI175)/('On-Ramps'!AG175+#REF!)</f>
        <v>#REF!</v>
      </c>
      <c r="BI175" s="57" t="e">
        <f>(Links!L175*Links!AZ175+'On-Ramps'!AH175*'On-Ramps'!CJ175)/('On-Ramps'!AH175+Links!L175)</f>
        <v>#DIV/0!</v>
      </c>
      <c r="BJ175" s="57" t="e">
        <f>(Links!BA175*Links!M175+'On-Ramps'!AI175*'On-Ramps'!CK175)/('On-Ramps'!AI175+Links!M175)</f>
        <v>#DIV/0!</v>
      </c>
      <c r="BK175" s="57" t="e">
        <f>(Links!S175*Links!BG175+'On-Ramps'!AJ175*'On-Ramps'!CL175)/('On-Ramps'!AJ175+Links!S175)</f>
        <v>#DIV/0!</v>
      </c>
      <c r="BL175" s="63"/>
      <c r="BM175" s="57" t="e">
        <f>(Links!S175*Links!BG175+'On-Ramps'!AL175*'On-Ramps'!CM175)/(Links!S175+'On-Ramps'!AL175)</f>
        <v>#DIV/0!</v>
      </c>
      <c r="BN175" s="63"/>
      <c r="BO175" s="58" t="e">
        <f>(Links!W175^2+'Off-Ramp'!L175^2)/(Links!W175+'Off-Ramp'!L175)</f>
        <v>#DIV/0!</v>
      </c>
      <c r="BP175" s="63"/>
      <c r="BQ175" s="58" t="e">
        <f>(Links!Y175^2+'Off-Ramp'!C175^2)/(Links!Y175+'Off-Ramp'!C175)</f>
        <v>#DIV/0!</v>
      </c>
      <c r="BR175" s="63"/>
      <c r="BS175" s="58" t="e">
        <f>(Links!AA175^2+'Off-Ramp'!N175^2)/(Links!AA175+'Off-Ramp'!N175)</f>
        <v>#DIV/0!</v>
      </c>
      <c r="BT175" s="58" t="e">
        <f>(Links!AD175^2+'Off-Ramp'!O175^2)/(Links!AD175+'Off-Ramp'!O175)</f>
        <v>#DIV/0!</v>
      </c>
      <c r="BU175" s="58" t="e">
        <f>(Links!AE175^2+'Off-Ramp'!V175^2+'Off-Ramp'!W175^2+'Off-Ramp'!X175^2)/(Links!AE175+'Off-Ramp'!V175+'Off-Ramp'!W175+'Off-Ramp'!X175)</f>
        <v>#DIV/0!</v>
      </c>
      <c r="BV175" s="58" t="e">
        <f>(Links!AG175^2+'Off-Ramp'!Y175^2+'Off-Ramp'!Z175^2+'Off-Ramp'!AA175^2)/(Links!AG175+'Off-Ramp'!Y175+'Off-Ramp'!Z175+'Off-Ramp'!AA175)</f>
        <v>#DIV/0!</v>
      </c>
      <c r="BW175" s="58" t="e">
        <f>(Links!AH175^2+'Off-Ramp'!R175^2)/(Links!AH175+'Off-Ramp'!R175)</f>
        <v>#DIV/0!</v>
      </c>
      <c r="BX175" s="58" t="e">
        <f>(Links!AK175^2+'Off-Ramp'!S175^2)/(Links!AK175+'Off-Ramp'!S175)</f>
        <v>#DIV/0!</v>
      </c>
      <c r="BY175" s="58" t="e">
        <f>(Links!AL175^2+'Off-Ramp'!T175^2)/(Links!AL175+'Off-Ramp'!T175)</f>
        <v>#DIV/0!</v>
      </c>
      <c r="BZ175" s="63"/>
      <c r="CA175" s="58" t="e">
        <f>(Links!AN175^2+'Off-Ramp'!U175^2)/(Links!AN175+'Off-Ramp'!U175)</f>
        <v>#DIV/0!</v>
      </c>
    </row>
    <row r="176" spans="1:79" x14ac:dyDescent="0.15">
      <c r="A176" s="56">
        <v>174</v>
      </c>
      <c r="B176" s="57" t="e">
        <f t="shared" si="57"/>
        <v>#DIV/0!</v>
      </c>
      <c r="C176" s="57" t="e">
        <f t="shared" si="58"/>
        <v>#DIV/0!</v>
      </c>
      <c r="D176" s="57" t="e">
        <f t="shared" si="59"/>
        <v>#DIV/0!</v>
      </c>
      <c r="E176" s="57" t="e">
        <f t="shared" si="60"/>
        <v>#DIV/0!</v>
      </c>
      <c r="F176" s="57" t="e">
        <f t="shared" si="61"/>
        <v>#DIV/0!</v>
      </c>
      <c r="G176" s="57" t="e">
        <f t="shared" si="62"/>
        <v>#DIV/0!</v>
      </c>
      <c r="H176" s="57" t="e">
        <f t="shared" si="63"/>
        <v>#DIV/0!</v>
      </c>
      <c r="I176" s="57" t="e">
        <f t="shared" si="64"/>
        <v>#DIV/0!</v>
      </c>
      <c r="J176" s="57" t="e">
        <f t="shared" si="65"/>
        <v>#DIV/0!</v>
      </c>
      <c r="K176" s="57" t="e">
        <f t="shared" si="66"/>
        <v>#DIV/0!</v>
      </c>
      <c r="L176" s="57" t="e">
        <f t="shared" si="67"/>
        <v>#DIV/0!</v>
      </c>
      <c r="M176" s="57" t="e">
        <f t="shared" si="68"/>
        <v>#DIV/0!</v>
      </c>
      <c r="N176" s="57" t="e">
        <f t="shared" si="69"/>
        <v>#DIV/0!</v>
      </c>
      <c r="O176" s="58" t="e">
        <f>Links!B176</f>
        <v>#DIV/0!</v>
      </c>
      <c r="P176" s="58" t="e">
        <f>Links!C176+'On-Ramps'!AC176</f>
        <v>#DIV/0!</v>
      </c>
      <c r="Q176" s="58" t="e">
        <f>Links!D176</f>
        <v>#DIV/0!</v>
      </c>
      <c r="R176" s="58" t="e">
        <f>Links!E176+'On-Ramps'!AD176</f>
        <v>#DIV/0!</v>
      </c>
      <c r="S176" s="58" t="e">
        <f>Links!F176+'On-Ramps'!AE176</f>
        <v>#DIV/0!</v>
      </c>
      <c r="T176" s="58" t="e">
        <f>Links!I176+'On-Ramps'!AF176</f>
        <v>#DIV/0!</v>
      </c>
      <c r="U176" s="58" t="e">
        <f>Links!J176+'On-Ramps'!AG176</f>
        <v>#DIV/0!</v>
      </c>
      <c r="V176" s="58" t="e">
        <f>Links!L176+'On-Ramps'!AH176</f>
        <v>#DIV/0!</v>
      </c>
      <c r="W176" s="58" t="e">
        <f>Links!M176+'On-Ramps'!AI176</f>
        <v>#DIV/0!</v>
      </c>
      <c r="X176" s="58" t="e">
        <f>Links!P176+'On-Ramps'!AJ176</f>
        <v>#DIV/0!</v>
      </c>
      <c r="Y176" s="58" t="e">
        <f>Links!Q176</f>
        <v>#DIV/0!</v>
      </c>
      <c r="Z176" s="58" t="e">
        <f>Links!R176+'On-Ramps'!AK176</f>
        <v>#DIV/0!</v>
      </c>
      <c r="AA176" s="58" t="e">
        <f>Links!S176</f>
        <v>#DIV/0!</v>
      </c>
      <c r="AB176" s="57" t="e">
        <f t="shared" si="70"/>
        <v>#VALUE!</v>
      </c>
      <c r="AC176" s="63"/>
      <c r="AD176" s="57" t="e">
        <f t="shared" si="71"/>
        <v>#DIV/0!</v>
      </c>
      <c r="AE176" s="63"/>
      <c r="AF176" s="57" t="e">
        <f t="shared" si="72"/>
        <v>#DIV/0!</v>
      </c>
      <c r="AG176" s="57" t="e">
        <f t="shared" si="73"/>
        <v>#DIV/0!</v>
      </c>
      <c r="AH176" s="57" t="e">
        <f t="shared" si="74"/>
        <v>#DIV/0!</v>
      </c>
      <c r="AI176" s="57" t="e">
        <f t="shared" si="75"/>
        <v>#DIV/0!</v>
      </c>
      <c r="AJ176" s="57" t="e">
        <f t="shared" si="76"/>
        <v>#DIV/0!</v>
      </c>
      <c r="AK176" s="57" t="e">
        <f t="shared" si="77"/>
        <v>#DIV/0!</v>
      </c>
      <c r="AL176" s="57" t="e">
        <f t="shared" si="78"/>
        <v>#DIV/0!</v>
      </c>
      <c r="AM176" s="63"/>
      <c r="AN176" s="57" t="e">
        <f t="shared" si="80"/>
        <v>#DIV/0!</v>
      </c>
      <c r="AO176" s="58" t="e">
        <f t="shared" si="56"/>
        <v>#VALUE!</v>
      </c>
      <c r="AP176" s="63"/>
      <c r="AQ176" s="58" t="e">
        <f t="shared" si="81"/>
        <v>#DIV/0!</v>
      </c>
      <c r="AR176" s="63"/>
      <c r="AS176" s="58" t="e">
        <f t="shared" si="81"/>
        <v>#DIV/0!</v>
      </c>
      <c r="AT176" s="58" t="e">
        <f t="shared" si="81"/>
        <v>#DIV/0!</v>
      </c>
      <c r="AU176" s="58" t="e">
        <f t="shared" si="81"/>
        <v>#DIV/0!</v>
      </c>
      <c r="AV176" s="58" t="e">
        <f t="shared" si="81"/>
        <v>#DIV/0!</v>
      </c>
      <c r="AW176" s="58" t="e">
        <f t="shared" si="81"/>
        <v>#DIV/0!</v>
      </c>
      <c r="AX176" s="58" t="e">
        <f t="shared" si="81"/>
        <v>#DIV/0!</v>
      </c>
      <c r="AY176" s="58" t="e">
        <f t="shared" si="81"/>
        <v>#DIV/0!</v>
      </c>
      <c r="AZ176" s="63"/>
      <c r="BA176" s="58" t="e">
        <f t="shared" si="81"/>
        <v>#DIV/0!</v>
      </c>
      <c r="BB176" s="63"/>
      <c r="BC176" s="57" t="e">
        <f>(Links!C176*Links!AQ176+'On-Ramps'!AC176*'On-Ramps'!CE176)/('On-Ramps'!AC176+Links!C176)</f>
        <v>#DIV/0!</v>
      </c>
      <c r="BD176" s="63"/>
      <c r="BE176" s="57" t="e">
        <f>(Links!E176*Links!AS176+'On-Ramps'!AD176*'On-Ramps'!CF175)/('On-Ramps'!AD176+Links!E176)</f>
        <v>#DIV/0!</v>
      </c>
      <c r="BF176" s="57" t="e">
        <f>(Links!F176*Links!AT176+'On-Ramps'!AE176*'On-Ramps'!CG176)/('On-Ramps'!AE176+Links!F176)</f>
        <v>#DIV/0!</v>
      </c>
      <c r="BG176" s="57" t="e">
        <f>(Links!I176*Links!AW176+'On-Ramps'!AF176*'On-Ramps'!CH176)/('On-Ramps'!AF176+Links!I176)</f>
        <v>#DIV/0!</v>
      </c>
      <c r="BH176" s="57" t="e">
        <f>(#REF!*#REF!+'On-Ramps'!AG176*'On-Ramps'!CI176)/('On-Ramps'!AG176+#REF!)</f>
        <v>#REF!</v>
      </c>
      <c r="BI176" s="57" t="e">
        <f>(Links!L176*Links!AZ176+'On-Ramps'!AH176*'On-Ramps'!CJ176)/('On-Ramps'!AH176+Links!L176)</f>
        <v>#DIV/0!</v>
      </c>
      <c r="BJ176" s="57" t="e">
        <f>(Links!BA176*Links!M176+'On-Ramps'!AI176*'On-Ramps'!CK176)/('On-Ramps'!AI176+Links!M176)</f>
        <v>#DIV/0!</v>
      </c>
      <c r="BK176" s="57" t="e">
        <f>(Links!S176*Links!BG176+'On-Ramps'!AJ176*'On-Ramps'!CL176)/('On-Ramps'!AJ176+Links!S176)</f>
        <v>#DIV/0!</v>
      </c>
      <c r="BL176" s="63"/>
      <c r="BM176" s="57" t="e">
        <f>(Links!S176*Links!BG176+'On-Ramps'!AL176*'On-Ramps'!CM176)/(Links!S176+'On-Ramps'!AL176)</f>
        <v>#DIV/0!</v>
      </c>
      <c r="BN176" s="63"/>
      <c r="BO176" s="58" t="e">
        <f>(Links!W176^2+'Off-Ramp'!L176^2)/(Links!W176+'Off-Ramp'!L176)</f>
        <v>#DIV/0!</v>
      </c>
      <c r="BP176" s="63"/>
      <c r="BQ176" s="58" t="e">
        <f>(Links!Y176^2+'Off-Ramp'!C176^2)/(Links!Y176+'Off-Ramp'!C176)</f>
        <v>#DIV/0!</v>
      </c>
      <c r="BR176" s="63"/>
      <c r="BS176" s="58" t="e">
        <f>(Links!AA176^2+'Off-Ramp'!N176^2)/(Links!AA176+'Off-Ramp'!N176)</f>
        <v>#DIV/0!</v>
      </c>
      <c r="BT176" s="58" t="e">
        <f>(Links!AD176^2+'Off-Ramp'!O176^2)/(Links!AD176+'Off-Ramp'!O176)</f>
        <v>#DIV/0!</v>
      </c>
      <c r="BU176" s="58" t="e">
        <f>(Links!AE176^2+'Off-Ramp'!V176^2+'Off-Ramp'!W176^2+'Off-Ramp'!X176^2)/(Links!AE176+'Off-Ramp'!V176+'Off-Ramp'!W176+'Off-Ramp'!X176)</f>
        <v>#DIV/0!</v>
      </c>
      <c r="BV176" s="58" t="e">
        <f>(Links!AG176^2+'Off-Ramp'!Y176^2+'Off-Ramp'!Z176^2+'Off-Ramp'!AA176^2)/(Links!AG176+'Off-Ramp'!Y176+'Off-Ramp'!Z176+'Off-Ramp'!AA176)</f>
        <v>#DIV/0!</v>
      </c>
      <c r="BW176" s="58" t="e">
        <f>(Links!AH176^2+'Off-Ramp'!R176^2)/(Links!AH176+'Off-Ramp'!R176)</f>
        <v>#DIV/0!</v>
      </c>
      <c r="BX176" s="58" t="e">
        <f>(Links!AK176^2+'Off-Ramp'!S176^2)/(Links!AK176+'Off-Ramp'!S176)</f>
        <v>#DIV/0!</v>
      </c>
      <c r="BY176" s="58" t="e">
        <f>(Links!AL176^2+'Off-Ramp'!T176^2)/(Links!AL176+'Off-Ramp'!T176)</f>
        <v>#DIV/0!</v>
      </c>
      <c r="BZ176" s="63"/>
      <c r="CA176" s="58" t="e">
        <f>(Links!AN176^2+'Off-Ramp'!U176^2)/(Links!AN176+'Off-Ramp'!U176)</f>
        <v>#DIV/0!</v>
      </c>
    </row>
    <row r="177" spans="1:79" x14ac:dyDescent="0.15">
      <c r="A177" s="56">
        <v>175</v>
      </c>
      <c r="B177" s="57" t="e">
        <f t="shared" si="57"/>
        <v>#DIV/0!</v>
      </c>
      <c r="C177" s="57" t="e">
        <f t="shared" si="58"/>
        <v>#DIV/0!</v>
      </c>
      <c r="D177" s="57" t="e">
        <f t="shared" si="59"/>
        <v>#DIV/0!</v>
      </c>
      <c r="E177" s="57" t="e">
        <f t="shared" si="60"/>
        <v>#DIV/0!</v>
      </c>
      <c r="F177" s="57" t="e">
        <f t="shared" si="61"/>
        <v>#DIV/0!</v>
      </c>
      <c r="G177" s="57" t="e">
        <f t="shared" si="62"/>
        <v>#DIV/0!</v>
      </c>
      <c r="H177" s="57" t="e">
        <f t="shared" si="63"/>
        <v>#DIV/0!</v>
      </c>
      <c r="I177" s="57" t="e">
        <f t="shared" si="64"/>
        <v>#DIV/0!</v>
      </c>
      <c r="J177" s="57" t="e">
        <f t="shared" si="65"/>
        <v>#DIV/0!</v>
      </c>
      <c r="K177" s="57" t="e">
        <f t="shared" si="66"/>
        <v>#DIV/0!</v>
      </c>
      <c r="L177" s="57" t="e">
        <f t="shared" si="67"/>
        <v>#DIV/0!</v>
      </c>
      <c r="M177" s="57" t="e">
        <f t="shared" si="68"/>
        <v>#DIV/0!</v>
      </c>
      <c r="N177" s="57" t="e">
        <f t="shared" si="69"/>
        <v>#DIV/0!</v>
      </c>
      <c r="O177" s="58" t="e">
        <f>Links!B177</f>
        <v>#DIV/0!</v>
      </c>
      <c r="P177" s="58" t="e">
        <f>Links!C177+'On-Ramps'!AC177</f>
        <v>#DIV/0!</v>
      </c>
      <c r="Q177" s="58" t="e">
        <f>Links!D177</f>
        <v>#DIV/0!</v>
      </c>
      <c r="R177" s="58" t="e">
        <f>Links!E177+'On-Ramps'!AD177</f>
        <v>#DIV/0!</v>
      </c>
      <c r="S177" s="58" t="e">
        <f>Links!F177+'On-Ramps'!AE177</f>
        <v>#DIV/0!</v>
      </c>
      <c r="T177" s="58" t="e">
        <f>Links!I177+'On-Ramps'!AF177</f>
        <v>#DIV/0!</v>
      </c>
      <c r="U177" s="58" t="e">
        <f>Links!J177+'On-Ramps'!AG177</f>
        <v>#DIV/0!</v>
      </c>
      <c r="V177" s="58" t="e">
        <f>Links!L177+'On-Ramps'!AH177</f>
        <v>#DIV/0!</v>
      </c>
      <c r="W177" s="58" t="e">
        <f>Links!M177+'On-Ramps'!AI177</f>
        <v>#DIV/0!</v>
      </c>
      <c r="X177" s="58" t="e">
        <f>Links!P177+'On-Ramps'!AJ177</f>
        <v>#DIV/0!</v>
      </c>
      <c r="Y177" s="58" t="e">
        <f>Links!Q177</f>
        <v>#DIV/0!</v>
      </c>
      <c r="Z177" s="58" t="e">
        <f>Links!R177+'On-Ramps'!AK177</f>
        <v>#DIV/0!</v>
      </c>
      <c r="AA177" s="58" t="e">
        <f>Links!S177</f>
        <v>#DIV/0!</v>
      </c>
      <c r="AB177" s="57" t="e">
        <f t="shared" si="70"/>
        <v>#VALUE!</v>
      </c>
      <c r="AC177" s="63"/>
      <c r="AD177" s="57" t="e">
        <f t="shared" si="71"/>
        <v>#DIV/0!</v>
      </c>
      <c r="AE177" s="63"/>
      <c r="AF177" s="57" t="e">
        <f t="shared" si="72"/>
        <v>#DIV/0!</v>
      </c>
      <c r="AG177" s="57" t="e">
        <f t="shared" si="73"/>
        <v>#DIV/0!</v>
      </c>
      <c r="AH177" s="57" t="e">
        <f t="shared" si="74"/>
        <v>#DIV/0!</v>
      </c>
      <c r="AI177" s="57" t="e">
        <f t="shared" si="75"/>
        <v>#DIV/0!</v>
      </c>
      <c r="AJ177" s="57" t="e">
        <f t="shared" si="76"/>
        <v>#DIV/0!</v>
      </c>
      <c r="AK177" s="57" t="e">
        <f t="shared" si="77"/>
        <v>#DIV/0!</v>
      </c>
      <c r="AL177" s="57" t="e">
        <f t="shared" si="78"/>
        <v>#DIV/0!</v>
      </c>
      <c r="AM177" s="63"/>
      <c r="AN177" s="57" t="e">
        <f t="shared" si="80"/>
        <v>#DIV/0!</v>
      </c>
      <c r="AO177" s="58" t="e">
        <f t="shared" si="56"/>
        <v>#VALUE!</v>
      </c>
      <c r="AP177" s="63"/>
      <c r="AQ177" s="58" t="e">
        <f t="shared" si="81"/>
        <v>#DIV/0!</v>
      </c>
      <c r="AR177" s="63"/>
      <c r="AS177" s="58" t="e">
        <f t="shared" si="81"/>
        <v>#DIV/0!</v>
      </c>
      <c r="AT177" s="58" t="e">
        <f t="shared" si="81"/>
        <v>#DIV/0!</v>
      </c>
      <c r="AU177" s="58" t="e">
        <f t="shared" si="81"/>
        <v>#DIV/0!</v>
      </c>
      <c r="AV177" s="58" t="e">
        <f t="shared" si="81"/>
        <v>#DIV/0!</v>
      </c>
      <c r="AW177" s="58" t="e">
        <f t="shared" si="81"/>
        <v>#DIV/0!</v>
      </c>
      <c r="AX177" s="58" t="e">
        <f t="shared" si="81"/>
        <v>#DIV/0!</v>
      </c>
      <c r="AY177" s="58" t="e">
        <f t="shared" si="81"/>
        <v>#DIV/0!</v>
      </c>
      <c r="AZ177" s="63"/>
      <c r="BA177" s="58" t="e">
        <f t="shared" si="81"/>
        <v>#DIV/0!</v>
      </c>
      <c r="BB177" s="63"/>
      <c r="BC177" s="57" t="e">
        <f>(Links!C177*Links!AQ177+'On-Ramps'!AC177*'On-Ramps'!CE177)/('On-Ramps'!AC177+Links!C177)</f>
        <v>#DIV/0!</v>
      </c>
      <c r="BD177" s="63"/>
      <c r="BE177" s="57" t="e">
        <f>(Links!E177*Links!AS177+'On-Ramps'!AD177*'On-Ramps'!CF176)/('On-Ramps'!AD177+Links!E177)</f>
        <v>#DIV/0!</v>
      </c>
      <c r="BF177" s="57" t="e">
        <f>(Links!F177*Links!AT177+'On-Ramps'!AE177*'On-Ramps'!CG177)/('On-Ramps'!AE177+Links!F177)</f>
        <v>#DIV/0!</v>
      </c>
      <c r="BG177" s="57" t="e">
        <f>(Links!I177*Links!AW177+'On-Ramps'!AF177*'On-Ramps'!CH177)/('On-Ramps'!AF177+Links!I177)</f>
        <v>#DIV/0!</v>
      </c>
      <c r="BH177" s="57" t="e">
        <f>(#REF!*#REF!+'On-Ramps'!AG177*'On-Ramps'!CI177)/('On-Ramps'!AG177+#REF!)</f>
        <v>#REF!</v>
      </c>
      <c r="BI177" s="57" t="e">
        <f>(Links!L177*Links!AZ177+'On-Ramps'!AH177*'On-Ramps'!CJ177)/('On-Ramps'!AH177+Links!L177)</f>
        <v>#DIV/0!</v>
      </c>
      <c r="BJ177" s="57" t="e">
        <f>(Links!BA177*Links!M177+'On-Ramps'!AI177*'On-Ramps'!CK177)/('On-Ramps'!AI177+Links!M177)</f>
        <v>#DIV/0!</v>
      </c>
      <c r="BK177" s="57" t="e">
        <f>(Links!S177*Links!BG177+'On-Ramps'!AJ177*'On-Ramps'!CL177)/('On-Ramps'!AJ177+Links!S177)</f>
        <v>#DIV/0!</v>
      </c>
      <c r="BL177" s="63"/>
      <c r="BM177" s="57" t="e">
        <f>(Links!S177*Links!BG177+'On-Ramps'!AL177*'On-Ramps'!CM177)/(Links!S177+'On-Ramps'!AL177)</f>
        <v>#DIV/0!</v>
      </c>
      <c r="BN177" s="63"/>
      <c r="BO177" s="58" t="e">
        <f>(Links!W177^2+'Off-Ramp'!L177^2)/(Links!W177+'Off-Ramp'!L177)</f>
        <v>#DIV/0!</v>
      </c>
      <c r="BP177" s="63"/>
      <c r="BQ177" s="58" t="e">
        <f>(Links!Y177^2+'Off-Ramp'!C177^2)/(Links!Y177+'Off-Ramp'!C177)</f>
        <v>#DIV/0!</v>
      </c>
      <c r="BR177" s="63"/>
      <c r="BS177" s="58" t="e">
        <f>(Links!AA177^2+'Off-Ramp'!N177^2)/(Links!AA177+'Off-Ramp'!N177)</f>
        <v>#DIV/0!</v>
      </c>
      <c r="BT177" s="58" t="e">
        <f>(Links!AD177^2+'Off-Ramp'!O177^2)/(Links!AD177+'Off-Ramp'!O177)</f>
        <v>#DIV/0!</v>
      </c>
      <c r="BU177" s="58" t="e">
        <f>(Links!AE177^2+'Off-Ramp'!V177^2+'Off-Ramp'!W177^2+'Off-Ramp'!X177^2)/(Links!AE177+'Off-Ramp'!V177+'Off-Ramp'!W177+'Off-Ramp'!X177)</f>
        <v>#DIV/0!</v>
      </c>
      <c r="BV177" s="58" t="e">
        <f>(Links!AG177^2+'Off-Ramp'!Y177^2+'Off-Ramp'!Z177^2+'Off-Ramp'!AA177^2)/(Links!AG177+'Off-Ramp'!Y177+'Off-Ramp'!Z177+'Off-Ramp'!AA177)</f>
        <v>#DIV/0!</v>
      </c>
      <c r="BW177" s="58" t="e">
        <f>(Links!AH177^2+'Off-Ramp'!R177^2)/(Links!AH177+'Off-Ramp'!R177)</f>
        <v>#DIV/0!</v>
      </c>
      <c r="BX177" s="58" t="e">
        <f>(Links!AK177^2+'Off-Ramp'!S177^2)/(Links!AK177+'Off-Ramp'!S177)</f>
        <v>#DIV/0!</v>
      </c>
      <c r="BY177" s="58" t="e">
        <f>(Links!AL177^2+'Off-Ramp'!T177^2)/(Links!AL177+'Off-Ramp'!T177)</f>
        <v>#DIV/0!</v>
      </c>
      <c r="BZ177" s="63"/>
      <c r="CA177" s="58" t="e">
        <f>(Links!AN177^2+'Off-Ramp'!U177^2)/(Links!AN177+'Off-Ramp'!U177)</f>
        <v>#DIV/0!</v>
      </c>
    </row>
    <row r="178" spans="1:79" x14ac:dyDescent="0.15">
      <c r="A178" s="56">
        <v>176</v>
      </c>
      <c r="B178" s="57" t="e">
        <f t="shared" si="57"/>
        <v>#DIV/0!</v>
      </c>
      <c r="C178" s="57" t="e">
        <f t="shared" si="58"/>
        <v>#DIV/0!</v>
      </c>
      <c r="D178" s="57" t="e">
        <f t="shared" si="59"/>
        <v>#DIV/0!</v>
      </c>
      <c r="E178" s="57" t="e">
        <f t="shared" si="60"/>
        <v>#DIV/0!</v>
      </c>
      <c r="F178" s="57" t="e">
        <f t="shared" si="61"/>
        <v>#DIV/0!</v>
      </c>
      <c r="G178" s="57" t="e">
        <f t="shared" si="62"/>
        <v>#DIV/0!</v>
      </c>
      <c r="H178" s="57" t="e">
        <f t="shared" si="63"/>
        <v>#DIV/0!</v>
      </c>
      <c r="I178" s="57" t="e">
        <f t="shared" si="64"/>
        <v>#DIV/0!</v>
      </c>
      <c r="J178" s="57" t="e">
        <f t="shared" si="65"/>
        <v>#DIV/0!</v>
      </c>
      <c r="K178" s="57" t="e">
        <f t="shared" si="66"/>
        <v>#DIV/0!</v>
      </c>
      <c r="L178" s="57" t="e">
        <f t="shared" si="67"/>
        <v>#DIV/0!</v>
      </c>
      <c r="M178" s="57" t="e">
        <f t="shared" si="68"/>
        <v>#DIV/0!</v>
      </c>
      <c r="N178" s="57" t="e">
        <f t="shared" si="69"/>
        <v>#DIV/0!</v>
      </c>
      <c r="O178" s="58" t="e">
        <f>Links!B178</f>
        <v>#DIV/0!</v>
      </c>
      <c r="P178" s="58" t="e">
        <f>Links!C178+'On-Ramps'!AC178</f>
        <v>#DIV/0!</v>
      </c>
      <c r="Q178" s="58" t="e">
        <f>Links!D178</f>
        <v>#DIV/0!</v>
      </c>
      <c r="R178" s="58" t="e">
        <f>Links!E178+'On-Ramps'!AD178</f>
        <v>#DIV/0!</v>
      </c>
      <c r="S178" s="58" t="e">
        <f>Links!F178+'On-Ramps'!AE178</f>
        <v>#DIV/0!</v>
      </c>
      <c r="T178" s="58" t="e">
        <f>Links!I178+'On-Ramps'!AF178</f>
        <v>#DIV/0!</v>
      </c>
      <c r="U178" s="58" t="e">
        <f>Links!J178+'On-Ramps'!AG178</f>
        <v>#DIV/0!</v>
      </c>
      <c r="V178" s="58" t="e">
        <f>Links!L178+'On-Ramps'!AH178</f>
        <v>#DIV/0!</v>
      </c>
      <c r="W178" s="58" t="e">
        <f>Links!M178+'On-Ramps'!AI178</f>
        <v>#DIV/0!</v>
      </c>
      <c r="X178" s="58" t="e">
        <f>Links!P178+'On-Ramps'!AJ178</f>
        <v>#DIV/0!</v>
      </c>
      <c r="Y178" s="58" t="e">
        <f>Links!Q178</f>
        <v>#DIV/0!</v>
      </c>
      <c r="Z178" s="58" t="e">
        <f>Links!R178+'On-Ramps'!AK178</f>
        <v>#DIV/0!</v>
      </c>
      <c r="AA178" s="58" t="e">
        <f>Links!S178</f>
        <v>#DIV/0!</v>
      </c>
      <c r="AB178" s="57" t="e">
        <f t="shared" si="70"/>
        <v>#VALUE!</v>
      </c>
      <c r="AC178" s="63"/>
      <c r="AD178" s="57" t="e">
        <f t="shared" si="71"/>
        <v>#DIV/0!</v>
      </c>
      <c r="AE178" s="63"/>
      <c r="AF178" s="57" t="e">
        <f t="shared" si="72"/>
        <v>#DIV/0!</v>
      </c>
      <c r="AG178" s="57" t="e">
        <f t="shared" si="73"/>
        <v>#DIV/0!</v>
      </c>
      <c r="AH178" s="57" t="e">
        <f t="shared" si="74"/>
        <v>#DIV/0!</v>
      </c>
      <c r="AI178" s="57" t="e">
        <f t="shared" si="75"/>
        <v>#DIV/0!</v>
      </c>
      <c r="AJ178" s="57" t="e">
        <f t="shared" si="76"/>
        <v>#DIV/0!</v>
      </c>
      <c r="AK178" s="57" t="e">
        <f t="shared" si="77"/>
        <v>#DIV/0!</v>
      </c>
      <c r="AL178" s="57" t="e">
        <f t="shared" si="78"/>
        <v>#DIV/0!</v>
      </c>
      <c r="AM178" s="63"/>
      <c r="AN178" s="57" t="e">
        <f t="shared" si="80"/>
        <v>#DIV/0!</v>
      </c>
      <c r="AO178" s="58" t="e">
        <f t="shared" si="56"/>
        <v>#VALUE!</v>
      </c>
      <c r="AP178" s="63"/>
      <c r="AQ178" s="58" t="e">
        <f t="shared" si="81"/>
        <v>#DIV/0!</v>
      </c>
      <c r="AR178" s="63"/>
      <c r="AS178" s="58" t="e">
        <f t="shared" si="81"/>
        <v>#DIV/0!</v>
      </c>
      <c r="AT178" s="58" t="e">
        <f t="shared" si="81"/>
        <v>#DIV/0!</v>
      </c>
      <c r="AU178" s="58" t="e">
        <f t="shared" si="81"/>
        <v>#DIV/0!</v>
      </c>
      <c r="AV178" s="58" t="e">
        <f t="shared" si="81"/>
        <v>#DIV/0!</v>
      </c>
      <c r="AW178" s="58" t="e">
        <f t="shared" si="81"/>
        <v>#DIV/0!</v>
      </c>
      <c r="AX178" s="58" t="e">
        <f t="shared" si="81"/>
        <v>#DIV/0!</v>
      </c>
      <c r="AY178" s="58" t="e">
        <f t="shared" si="81"/>
        <v>#DIV/0!</v>
      </c>
      <c r="AZ178" s="63"/>
      <c r="BA178" s="58" t="e">
        <f t="shared" si="81"/>
        <v>#DIV/0!</v>
      </c>
      <c r="BB178" s="63"/>
      <c r="BC178" s="57" t="e">
        <f>(Links!C178*Links!AQ178+'On-Ramps'!AC178*'On-Ramps'!CE178)/('On-Ramps'!AC178+Links!C178)</f>
        <v>#DIV/0!</v>
      </c>
      <c r="BD178" s="63"/>
      <c r="BE178" s="57" t="e">
        <f>(Links!E178*Links!AS178+'On-Ramps'!AD178*'On-Ramps'!CF177)/('On-Ramps'!AD178+Links!E178)</f>
        <v>#DIV/0!</v>
      </c>
      <c r="BF178" s="57" t="e">
        <f>(Links!F178*Links!AT178+'On-Ramps'!AE178*'On-Ramps'!CG178)/('On-Ramps'!AE178+Links!F178)</f>
        <v>#DIV/0!</v>
      </c>
      <c r="BG178" s="57" t="e">
        <f>(Links!I178*Links!AW178+'On-Ramps'!AF178*'On-Ramps'!CH178)/('On-Ramps'!AF178+Links!I178)</f>
        <v>#DIV/0!</v>
      </c>
      <c r="BH178" s="57" t="e">
        <f>(#REF!*#REF!+'On-Ramps'!AG178*'On-Ramps'!CI178)/('On-Ramps'!AG178+#REF!)</f>
        <v>#REF!</v>
      </c>
      <c r="BI178" s="57" t="e">
        <f>(Links!L178*Links!AZ178+'On-Ramps'!AH178*'On-Ramps'!CJ178)/('On-Ramps'!AH178+Links!L178)</f>
        <v>#DIV/0!</v>
      </c>
      <c r="BJ178" s="57" t="e">
        <f>(Links!BA178*Links!M178+'On-Ramps'!AI178*'On-Ramps'!CK178)/('On-Ramps'!AI178+Links!M178)</f>
        <v>#DIV/0!</v>
      </c>
      <c r="BK178" s="57" t="e">
        <f>(Links!S178*Links!BG178+'On-Ramps'!AJ178*'On-Ramps'!CL178)/('On-Ramps'!AJ178+Links!S178)</f>
        <v>#DIV/0!</v>
      </c>
      <c r="BL178" s="63"/>
      <c r="BM178" s="57" t="e">
        <f>(Links!S178*Links!BG178+'On-Ramps'!AL178*'On-Ramps'!CM178)/(Links!S178+'On-Ramps'!AL178)</f>
        <v>#DIV/0!</v>
      </c>
      <c r="BN178" s="63"/>
      <c r="BO178" s="58" t="e">
        <f>(Links!W178^2+'Off-Ramp'!L178^2)/(Links!W178+'Off-Ramp'!L178)</f>
        <v>#DIV/0!</v>
      </c>
      <c r="BP178" s="63"/>
      <c r="BQ178" s="58" t="e">
        <f>(Links!Y178^2+'Off-Ramp'!C178^2)/(Links!Y178+'Off-Ramp'!C178)</f>
        <v>#DIV/0!</v>
      </c>
      <c r="BR178" s="63"/>
      <c r="BS178" s="58" t="e">
        <f>(Links!AA178^2+'Off-Ramp'!N178^2)/(Links!AA178+'Off-Ramp'!N178)</f>
        <v>#DIV/0!</v>
      </c>
      <c r="BT178" s="58" t="e">
        <f>(Links!AD178^2+'Off-Ramp'!O178^2)/(Links!AD178+'Off-Ramp'!O178)</f>
        <v>#DIV/0!</v>
      </c>
      <c r="BU178" s="58" t="e">
        <f>(Links!AE178^2+'Off-Ramp'!V178^2+'Off-Ramp'!W178^2+'Off-Ramp'!X178^2)/(Links!AE178+'Off-Ramp'!V178+'Off-Ramp'!W178+'Off-Ramp'!X178)</f>
        <v>#DIV/0!</v>
      </c>
      <c r="BV178" s="58" t="e">
        <f>(Links!AG178^2+'Off-Ramp'!Y178^2+'Off-Ramp'!Z178^2+'Off-Ramp'!AA178^2)/(Links!AG178+'Off-Ramp'!Y178+'Off-Ramp'!Z178+'Off-Ramp'!AA178)</f>
        <v>#DIV/0!</v>
      </c>
      <c r="BW178" s="58" t="e">
        <f>(Links!AH178^2+'Off-Ramp'!R178^2)/(Links!AH178+'Off-Ramp'!R178)</f>
        <v>#DIV/0!</v>
      </c>
      <c r="BX178" s="58" t="e">
        <f>(Links!AK178^2+'Off-Ramp'!S178^2)/(Links!AK178+'Off-Ramp'!S178)</f>
        <v>#DIV/0!</v>
      </c>
      <c r="BY178" s="58" t="e">
        <f>(Links!AL178^2+'Off-Ramp'!T178^2)/(Links!AL178+'Off-Ramp'!T178)</f>
        <v>#DIV/0!</v>
      </c>
      <c r="BZ178" s="63"/>
      <c r="CA178" s="58" t="e">
        <f>(Links!AN178^2+'Off-Ramp'!U178^2)/(Links!AN178+'Off-Ramp'!U178)</f>
        <v>#DIV/0!</v>
      </c>
    </row>
    <row r="179" spans="1:79" x14ac:dyDescent="0.15">
      <c r="A179" s="56">
        <v>177</v>
      </c>
      <c r="B179" s="57" t="e">
        <f t="shared" si="57"/>
        <v>#DIV/0!</v>
      </c>
      <c r="C179" s="57" t="e">
        <f t="shared" si="58"/>
        <v>#DIV/0!</v>
      </c>
      <c r="D179" s="57" t="e">
        <f t="shared" si="59"/>
        <v>#DIV/0!</v>
      </c>
      <c r="E179" s="57" t="e">
        <f t="shared" si="60"/>
        <v>#DIV/0!</v>
      </c>
      <c r="F179" s="57" t="e">
        <f t="shared" si="61"/>
        <v>#DIV/0!</v>
      </c>
      <c r="G179" s="57" t="e">
        <f t="shared" si="62"/>
        <v>#DIV/0!</v>
      </c>
      <c r="H179" s="57" t="e">
        <f t="shared" si="63"/>
        <v>#DIV/0!</v>
      </c>
      <c r="I179" s="57" t="e">
        <f t="shared" si="64"/>
        <v>#DIV/0!</v>
      </c>
      <c r="J179" s="57" t="e">
        <f t="shared" si="65"/>
        <v>#DIV/0!</v>
      </c>
      <c r="K179" s="57" t="e">
        <f t="shared" si="66"/>
        <v>#DIV/0!</v>
      </c>
      <c r="L179" s="57" t="e">
        <f t="shared" si="67"/>
        <v>#DIV/0!</v>
      </c>
      <c r="M179" s="57" t="e">
        <f t="shared" si="68"/>
        <v>#DIV/0!</v>
      </c>
      <c r="N179" s="57" t="e">
        <f t="shared" si="69"/>
        <v>#DIV/0!</v>
      </c>
      <c r="O179" s="58" t="e">
        <f>Links!B179</f>
        <v>#DIV/0!</v>
      </c>
      <c r="P179" s="58" t="e">
        <f>Links!C179+'On-Ramps'!AC179</f>
        <v>#DIV/0!</v>
      </c>
      <c r="Q179" s="58" t="e">
        <f>Links!D179</f>
        <v>#DIV/0!</v>
      </c>
      <c r="R179" s="58" t="e">
        <f>Links!E179+'On-Ramps'!AD179</f>
        <v>#DIV/0!</v>
      </c>
      <c r="S179" s="58" t="e">
        <f>Links!F179+'On-Ramps'!AE179</f>
        <v>#DIV/0!</v>
      </c>
      <c r="T179" s="58" t="e">
        <f>Links!I179+'On-Ramps'!AF179</f>
        <v>#DIV/0!</v>
      </c>
      <c r="U179" s="58" t="e">
        <f>Links!J179+'On-Ramps'!AG179</f>
        <v>#DIV/0!</v>
      </c>
      <c r="V179" s="58" t="e">
        <f>Links!L179+'On-Ramps'!AH179</f>
        <v>#DIV/0!</v>
      </c>
      <c r="W179" s="58" t="e">
        <f>Links!M179+'On-Ramps'!AI179</f>
        <v>#DIV/0!</v>
      </c>
      <c r="X179" s="58" t="e">
        <f>Links!P179+'On-Ramps'!AJ179</f>
        <v>#DIV/0!</v>
      </c>
      <c r="Y179" s="58" t="e">
        <f>Links!Q179</f>
        <v>#DIV/0!</v>
      </c>
      <c r="Z179" s="58" t="e">
        <f>Links!R179+'On-Ramps'!AK179</f>
        <v>#DIV/0!</v>
      </c>
      <c r="AA179" s="58" t="e">
        <f>Links!S179</f>
        <v>#DIV/0!</v>
      </c>
      <c r="AB179" s="57" t="e">
        <f t="shared" si="70"/>
        <v>#VALUE!</v>
      </c>
      <c r="AC179" s="63"/>
      <c r="AD179" s="57" t="e">
        <f t="shared" si="71"/>
        <v>#DIV/0!</v>
      </c>
      <c r="AE179" s="63"/>
      <c r="AF179" s="57" t="e">
        <f t="shared" si="72"/>
        <v>#DIV/0!</v>
      </c>
      <c r="AG179" s="57" t="e">
        <f t="shared" si="73"/>
        <v>#DIV/0!</v>
      </c>
      <c r="AH179" s="57" t="e">
        <f t="shared" si="74"/>
        <v>#DIV/0!</v>
      </c>
      <c r="AI179" s="57" t="e">
        <f t="shared" si="75"/>
        <v>#DIV/0!</v>
      </c>
      <c r="AJ179" s="57" t="e">
        <f t="shared" si="76"/>
        <v>#DIV/0!</v>
      </c>
      <c r="AK179" s="57" t="e">
        <f t="shared" si="77"/>
        <v>#DIV/0!</v>
      </c>
      <c r="AL179" s="57" t="e">
        <f t="shared" si="78"/>
        <v>#DIV/0!</v>
      </c>
      <c r="AM179" s="63"/>
      <c r="AN179" s="57" t="e">
        <f t="shared" si="80"/>
        <v>#DIV/0!</v>
      </c>
      <c r="AO179" s="58" t="e">
        <f t="shared" si="56"/>
        <v>#VALUE!</v>
      </c>
      <c r="AP179" s="63"/>
      <c r="AQ179" s="58" t="e">
        <f t="shared" si="81"/>
        <v>#DIV/0!</v>
      </c>
      <c r="AR179" s="63"/>
      <c r="AS179" s="58" t="e">
        <f t="shared" si="81"/>
        <v>#DIV/0!</v>
      </c>
      <c r="AT179" s="58" t="e">
        <f t="shared" si="81"/>
        <v>#DIV/0!</v>
      </c>
      <c r="AU179" s="58" t="e">
        <f t="shared" si="81"/>
        <v>#DIV/0!</v>
      </c>
      <c r="AV179" s="58" t="e">
        <f t="shared" si="81"/>
        <v>#DIV/0!</v>
      </c>
      <c r="AW179" s="58" t="e">
        <f t="shared" si="81"/>
        <v>#DIV/0!</v>
      </c>
      <c r="AX179" s="58" t="e">
        <f t="shared" si="81"/>
        <v>#DIV/0!</v>
      </c>
      <c r="AY179" s="58" t="e">
        <f t="shared" si="81"/>
        <v>#DIV/0!</v>
      </c>
      <c r="AZ179" s="63"/>
      <c r="BA179" s="58" t="e">
        <f t="shared" si="81"/>
        <v>#DIV/0!</v>
      </c>
      <c r="BB179" s="63"/>
      <c r="BC179" s="57" t="e">
        <f>(Links!C179*Links!AQ179+'On-Ramps'!AC179*'On-Ramps'!CE179)/('On-Ramps'!AC179+Links!C179)</f>
        <v>#DIV/0!</v>
      </c>
      <c r="BD179" s="63"/>
      <c r="BE179" s="57" t="e">
        <f>(Links!E179*Links!AS179+'On-Ramps'!AD179*'On-Ramps'!CF178)/('On-Ramps'!AD179+Links!E179)</f>
        <v>#DIV/0!</v>
      </c>
      <c r="BF179" s="57" t="e">
        <f>(Links!F179*Links!AT179+'On-Ramps'!AE179*'On-Ramps'!CG179)/('On-Ramps'!AE179+Links!F179)</f>
        <v>#DIV/0!</v>
      </c>
      <c r="BG179" s="57" t="e">
        <f>(Links!I179*Links!AW179+'On-Ramps'!AF179*'On-Ramps'!CH179)/('On-Ramps'!AF179+Links!I179)</f>
        <v>#DIV/0!</v>
      </c>
      <c r="BH179" s="57" t="e">
        <f>(#REF!*#REF!+'On-Ramps'!AG179*'On-Ramps'!CI179)/('On-Ramps'!AG179+#REF!)</f>
        <v>#REF!</v>
      </c>
      <c r="BI179" s="57" t="e">
        <f>(Links!L179*Links!AZ179+'On-Ramps'!AH179*'On-Ramps'!CJ179)/('On-Ramps'!AH179+Links!L179)</f>
        <v>#DIV/0!</v>
      </c>
      <c r="BJ179" s="57" t="e">
        <f>(Links!BA179*Links!M179+'On-Ramps'!AI179*'On-Ramps'!CK179)/('On-Ramps'!AI179+Links!M179)</f>
        <v>#DIV/0!</v>
      </c>
      <c r="BK179" s="57" t="e">
        <f>(Links!S179*Links!BG179+'On-Ramps'!AJ179*'On-Ramps'!CL179)/('On-Ramps'!AJ179+Links!S179)</f>
        <v>#DIV/0!</v>
      </c>
      <c r="BL179" s="63"/>
      <c r="BM179" s="57" t="e">
        <f>(Links!S179*Links!BG179+'On-Ramps'!AL179*'On-Ramps'!CM179)/(Links!S179+'On-Ramps'!AL179)</f>
        <v>#DIV/0!</v>
      </c>
      <c r="BN179" s="63"/>
      <c r="BO179" s="58" t="e">
        <f>(Links!W179^2+'Off-Ramp'!L179^2)/(Links!W179+'Off-Ramp'!L179)</f>
        <v>#DIV/0!</v>
      </c>
      <c r="BP179" s="63"/>
      <c r="BQ179" s="58" t="e">
        <f>(Links!Y179^2+'Off-Ramp'!C179^2)/(Links!Y179+'Off-Ramp'!C179)</f>
        <v>#DIV/0!</v>
      </c>
      <c r="BR179" s="63"/>
      <c r="BS179" s="58" t="e">
        <f>(Links!AA179^2+'Off-Ramp'!N179^2)/(Links!AA179+'Off-Ramp'!N179)</f>
        <v>#DIV/0!</v>
      </c>
      <c r="BT179" s="58" t="e">
        <f>(Links!AD179^2+'Off-Ramp'!O179^2)/(Links!AD179+'Off-Ramp'!O179)</f>
        <v>#DIV/0!</v>
      </c>
      <c r="BU179" s="58" t="e">
        <f>(Links!AE179^2+'Off-Ramp'!V179^2+'Off-Ramp'!W179^2+'Off-Ramp'!X179^2)/(Links!AE179+'Off-Ramp'!V179+'Off-Ramp'!W179+'Off-Ramp'!X179)</f>
        <v>#DIV/0!</v>
      </c>
      <c r="BV179" s="58" t="e">
        <f>(Links!AG179^2+'Off-Ramp'!Y179^2+'Off-Ramp'!Z179^2+'Off-Ramp'!AA179^2)/(Links!AG179+'Off-Ramp'!Y179+'Off-Ramp'!Z179+'Off-Ramp'!AA179)</f>
        <v>#DIV/0!</v>
      </c>
      <c r="BW179" s="58" t="e">
        <f>(Links!AH179^2+'Off-Ramp'!R179^2)/(Links!AH179+'Off-Ramp'!R179)</f>
        <v>#DIV/0!</v>
      </c>
      <c r="BX179" s="58" t="e">
        <f>(Links!AK179^2+'Off-Ramp'!S179^2)/(Links!AK179+'Off-Ramp'!S179)</f>
        <v>#DIV/0!</v>
      </c>
      <c r="BY179" s="58" t="e">
        <f>(Links!AL179^2+'Off-Ramp'!T179^2)/(Links!AL179+'Off-Ramp'!T179)</f>
        <v>#DIV/0!</v>
      </c>
      <c r="BZ179" s="63"/>
      <c r="CA179" s="58" t="e">
        <f>(Links!AN179^2+'Off-Ramp'!U179^2)/(Links!AN179+'Off-Ramp'!U179)</f>
        <v>#DIV/0!</v>
      </c>
    </row>
    <row r="180" spans="1:79" x14ac:dyDescent="0.15">
      <c r="A180" s="56">
        <v>178</v>
      </c>
      <c r="B180" s="57" t="e">
        <f t="shared" si="57"/>
        <v>#DIV/0!</v>
      </c>
      <c r="C180" s="57" t="e">
        <f t="shared" si="58"/>
        <v>#DIV/0!</v>
      </c>
      <c r="D180" s="57" t="e">
        <f t="shared" si="59"/>
        <v>#DIV/0!</v>
      </c>
      <c r="E180" s="57" t="e">
        <f t="shared" si="60"/>
        <v>#DIV/0!</v>
      </c>
      <c r="F180" s="57" t="e">
        <f t="shared" si="61"/>
        <v>#DIV/0!</v>
      </c>
      <c r="G180" s="57" t="e">
        <f t="shared" si="62"/>
        <v>#DIV/0!</v>
      </c>
      <c r="H180" s="57" t="e">
        <f t="shared" si="63"/>
        <v>#DIV/0!</v>
      </c>
      <c r="I180" s="57" t="e">
        <f t="shared" si="64"/>
        <v>#DIV/0!</v>
      </c>
      <c r="J180" s="57" t="e">
        <f t="shared" si="65"/>
        <v>#DIV/0!</v>
      </c>
      <c r="K180" s="57" t="e">
        <f t="shared" si="66"/>
        <v>#DIV/0!</v>
      </c>
      <c r="L180" s="57" t="e">
        <f t="shared" si="67"/>
        <v>#DIV/0!</v>
      </c>
      <c r="M180" s="57" t="e">
        <f t="shared" si="68"/>
        <v>#DIV/0!</v>
      </c>
      <c r="N180" s="57" t="e">
        <f t="shared" si="69"/>
        <v>#DIV/0!</v>
      </c>
      <c r="O180" s="58" t="e">
        <f>Links!B180</f>
        <v>#DIV/0!</v>
      </c>
      <c r="P180" s="58" t="e">
        <f>Links!C180+'On-Ramps'!AC180</f>
        <v>#DIV/0!</v>
      </c>
      <c r="Q180" s="58" t="e">
        <f>Links!D180</f>
        <v>#DIV/0!</v>
      </c>
      <c r="R180" s="58" t="e">
        <f>Links!E180+'On-Ramps'!AD180</f>
        <v>#DIV/0!</v>
      </c>
      <c r="S180" s="58" t="e">
        <f>Links!F180+'On-Ramps'!AE180</f>
        <v>#DIV/0!</v>
      </c>
      <c r="T180" s="58" t="e">
        <f>Links!I180+'On-Ramps'!AF180</f>
        <v>#DIV/0!</v>
      </c>
      <c r="U180" s="58" t="e">
        <f>Links!J180+'On-Ramps'!AG180</f>
        <v>#DIV/0!</v>
      </c>
      <c r="V180" s="58" t="e">
        <f>Links!L180+'On-Ramps'!AH180</f>
        <v>#DIV/0!</v>
      </c>
      <c r="W180" s="58" t="e">
        <f>Links!M180+'On-Ramps'!AI180</f>
        <v>#DIV/0!</v>
      </c>
      <c r="X180" s="58" t="e">
        <f>Links!P180+'On-Ramps'!AJ180</f>
        <v>#DIV/0!</v>
      </c>
      <c r="Y180" s="58" t="e">
        <f>Links!Q180</f>
        <v>#DIV/0!</v>
      </c>
      <c r="Z180" s="58" t="e">
        <f>Links!R180+'On-Ramps'!AK180</f>
        <v>#DIV/0!</v>
      </c>
      <c r="AA180" s="58" t="e">
        <f>Links!S180</f>
        <v>#DIV/0!</v>
      </c>
      <c r="AB180" s="57" t="e">
        <f t="shared" si="70"/>
        <v>#VALUE!</v>
      </c>
      <c r="AC180" s="63"/>
      <c r="AD180" s="57" t="e">
        <f t="shared" si="71"/>
        <v>#DIV/0!</v>
      </c>
      <c r="AE180" s="63"/>
      <c r="AF180" s="57" t="e">
        <f t="shared" si="72"/>
        <v>#DIV/0!</v>
      </c>
      <c r="AG180" s="57" t="e">
        <f t="shared" si="73"/>
        <v>#DIV/0!</v>
      </c>
      <c r="AH180" s="57" t="e">
        <f t="shared" si="74"/>
        <v>#DIV/0!</v>
      </c>
      <c r="AI180" s="57" t="e">
        <f t="shared" si="75"/>
        <v>#DIV/0!</v>
      </c>
      <c r="AJ180" s="57" t="e">
        <f t="shared" si="76"/>
        <v>#DIV/0!</v>
      </c>
      <c r="AK180" s="57" t="e">
        <f t="shared" si="77"/>
        <v>#DIV/0!</v>
      </c>
      <c r="AL180" s="57" t="e">
        <f t="shared" si="78"/>
        <v>#DIV/0!</v>
      </c>
      <c r="AM180" s="63"/>
      <c r="AN180" s="57" t="e">
        <f t="shared" si="80"/>
        <v>#DIV/0!</v>
      </c>
      <c r="AO180" s="58" t="e">
        <f t="shared" si="56"/>
        <v>#VALUE!</v>
      </c>
      <c r="AP180" s="63"/>
      <c r="AQ180" s="58" t="e">
        <f t="shared" si="81"/>
        <v>#DIV/0!</v>
      </c>
      <c r="AR180" s="63"/>
      <c r="AS180" s="58" t="e">
        <f t="shared" si="81"/>
        <v>#DIV/0!</v>
      </c>
      <c r="AT180" s="58" t="e">
        <f t="shared" si="81"/>
        <v>#DIV/0!</v>
      </c>
      <c r="AU180" s="58" t="e">
        <f t="shared" si="81"/>
        <v>#DIV/0!</v>
      </c>
      <c r="AV180" s="58" t="e">
        <f t="shared" si="81"/>
        <v>#DIV/0!</v>
      </c>
      <c r="AW180" s="58" t="e">
        <f t="shared" si="81"/>
        <v>#DIV/0!</v>
      </c>
      <c r="AX180" s="58" t="e">
        <f t="shared" si="81"/>
        <v>#DIV/0!</v>
      </c>
      <c r="AY180" s="58" t="e">
        <f t="shared" si="81"/>
        <v>#DIV/0!</v>
      </c>
      <c r="AZ180" s="63"/>
      <c r="BA180" s="58" t="e">
        <f t="shared" si="81"/>
        <v>#DIV/0!</v>
      </c>
      <c r="BB180" s="63"/>
      <c r="BC180" s="57" t="e">
        <f>(Links!C180*Links!AQ180+'On-Ramps'!AC180*'On-Ramps'!CE180)/('On-Ramps'!AC180+Links!C180)</f>
        <v>#DIV/0!</v>
      </c>
      <c r="BD180" s="63"/>
      <c r="BE180" s="57" t="e">
        <f>(Links!E180*Links!AS180+'On-Ramps'!AD180*'On-Ramps'!CF179)/('On-Ramps'!AD180+Links!E180)</f>
        <v>#DIV/0!</v>
      </c>
      <c r="BF180" s="57" t="e">
        <f>(Links!F180*Links!AT180+'On-Ramps'!AE180*'On-Ramps'!CG180)/('On-Ramps'!AE180+Links!F180)</f>
        <v>#DIV/0!</v>
      </c>
      <c r="BG180" s="57" t="e">
        <f>(Links!I180*Links!AW180+'On-Ramps'!AF180*'On-Ramps'!CH180)/('On-Ramps'!AF180+Links!I180)</f>
        <v>#DIV/0!</v>
      </c>
      <c r="BH180" s="57" t="e">
        <f>(#REF!*#REF!+'On-Ramps'!AG180*'On-Ramps'!CI180)/('On-Ramps'!AG180+#REF!)</f>
        <v>#REF!</v>
      </c>
      <c r="BI180" s="57" t="e">
        <f>(Links!L180*Links!AZ180+'On-Ramps'!AH180*'On-Ramps'!CJ180)/('On-Ramps'!AH180+Links!L180)</f>
        <v>#DIV/0!</v>
      </c>
      <c r="BJ180" s="57" t="e">
        <f>(Links!BA180*Links!M180+'On-Ramps'!AI180*'On-Ramps'!CK180)/('On-Ramps'!AI180+Links!M180)</f>
        <v>#DIV/0!</v>
      </c>
      <c r="BK180" s="57" t="e">
        <f>(Links!S180*Links!BG180+'On-Ramps'!AJ180*'On-Ramps'!CL180)/('On-Ramps'!AJ180+Links!S180)</f>
        <v>#DIV/0!</v>
      </c>
      <c r="BL180" s="63"/>
      <c r="BM180" s="57" t="e">
        <f>(Links!S180*Links!BG180+'On-Ramps'!AL180*'On-Ramps'!CM180)/(Links!S180+'On-Ramps'!AL180)</f>
        <v>#DIV/0!</v>
      </c>
      <c r="BN180" s="63"/>
      <c r="BO180" s="58" t="e">
        <f>(Links!W180^2+'Off-Ramp'!L180^2)/(Links!W180+'Off-Ramp'!L180)</f>
        <v>#DIV/0!</v>
      </c>
      <c r="BP180" s="63"/>
      <c r="BQ180" s="58" t="e">
        <f>(Links!Y180^2+'Off-Ramp'!C180^2)/(Links!Y180+'Off-Ramp'!C180)</f>
        <v>#DIV/0!</v>
      </c>
      <c r="BR180" s="63"/>
      <c r="BS180" s="58" t="e">
        <f>(Links!AA180^2+'Off-Ramp'!N180^2)/(Links!AA180+'Off-Ramp'!N180)</f>
        <v>#DIV/0!</v>
      </c>
      <c r="BT180" s="58" t="e">
        <f>(Links!AD180^2+'Off-Ramp'!O180^2)/(Links!AD180+'Off-Ramp'!O180)</f>
        <v>#DIV/0!</v>
      </c>
      <c r="BU180" s="58" t="e">
        <f>(Links!AE180^2+'Off-Ramp'!V180^2+'Off-Ramp'!W180^2+'Off-Ramp'!X180^2)/(Links!AE180+'Off-Ramp'!V180+'Off-Ramp'!W180+'Off-Ramp'!X180)</f>
        <v>#DIV/0!</v>
      </c>
      <c r="BV180" s="58" t="e">
        <f>(Links!AG180^2+'Off-Ramp'!Y180^2+'Off-Ramp'!Z180^2+'Off-Ramp'!AA180^2)/(Links!AG180+'Off-Ramp'!Y180+'Off-Ramp'!Z180+'Off-Ramp'!AA180)</f>
        <v>#DIV/0!</v>
      </c>
      <c r="BW180" s="58" t="e">
        <f>(Links!AH180^2+'Off-Ramp'!R180^2)/(Links!AH180+'Off-Ramp'!R180)</f>
        <v>#DIV/0!</v>
      </c>
      <c r="BX180" s="58" t="e">
        <f>(Links!AK180^2+'Off-Ramp'!S180^2)/(Links!AK180+'Off-Ramp'!S180)</f>
        <v>#DIV/0!</v>
      </c>
      <c r="BY180" s="58" t="e">
        <f>(Links!AL180^2+'Off-Ramp'!T180^2)/(Links!AL180+'Off-Ramp'!T180)</f>
        <v>#DIV/0!</v>
      </c>
      <c r="BZ180" s="63"/>
      <c r="CA180" s="58" t="e">
        <f>(Links!AN180^2+'Off-Ramp'!U180^2)/(Links!AN180+'Off-Ramp'!U180)</f>
        <v>#DIV/0!</v>
      </c>
    </row>
    <row r="181" spans="1:79" x14ac:dyDescent="0.15">
      <c r="A181" s="56">
        <v>179</v>
      </c>
      <c r="B181" s="57" t="e">
        <f t="shared" si="57"/>
        <v>#DIV/0!</v>
      </c>
      <c r="C181" s="57" t="e">
        <f t="shared" si="58"/>
        <v>#DIV/0!</v>
      </c>
      <c r="D181" s="57" t="e">
        <f t="shared" si="59"/>
        <v>#DIV/0!</v>
      </c>
      <c r="E181" s="57" t="e">
        <f t="shared" si="60"/>
        <v>#DIV/0!</v>
      </c>
      <c r="F181" s="57" t="e">
        <f t="shared" si="61"/>
        <v>#DIV/0!</v>
      </c>
      <c r="G181" s="57" t="e">
        <f t="shared" si="62"/>
        <v>#DIV/0!</v>
      </c>
      <c r="H181" s="57" t="e">
        <f t="shared" si="63"/>
        <v>#DIV/0!</v>
      </c>
      <c r="I181" s="57" t="e">
        <f t="shared" si="64"/>
        <v>#DIV/0!</v>
      </c>
      <c r="J181" s="57" t="e">
        <f t="shared" si="65"/>
        <v>#DIV/0!</v>
      </c>
      <c r="K181" s="57" t="e">
        <f t="shared" si="66"/>
        <v>#DIV/0!</v>
      </c>
      <c r="L181" s="57" t="e">
        <f t="shared" si="67"/>
        <v>#DIV/0!</v>
      </c>
      <c r="M181" s="57" t="e">
        <f t="shared" si="68"/>
        <v>#DIV/0!</v>
      </c>
      <c r="N181" s="57" t="e">
        <f t="shared" si="69"/>
        <v>#DIV/0!</v>
      </c>
      <c r="O181" s="58" t="e">
        <f>Links!B181</f>
        <v>#DIV/0!</v>
      </c>
      <c r="P181" s="58" t="e">
        <f>Links!C181+'On-Ramps'!AC181</f>
        <v>#DIV/0!</v>
      </c>
      <c r="Q181" s="58" t="e">
        <f>Links!D181</f>
        <v>#DIV/0!</v>
      </c>
      <c r="R181" s="58" t="e">
        <f>Links!E181+'On-Ramps'!AD181</f>
        <v>#DIV/0!</v>
      </c>
      <c r="S181" s="58" t="e">
        <f>Links!F181+'On-Ramps'!AE181</f>
        <v>#DIV/0!</v>
      </c>
      <c r="T181" s="58" t="e">
        <f>Links!I181+'On-Ramps'!AF181</f>
        <v>#DIV/0!</v>
      </c>
      <c r="U181" s="58" t="e">
        <f>Links!J181+'On-Ramps'!AG181</f>
        <v>#DIV/0!</v>
      </c>
      <c r="V181" s="58" t="e">
        <f>Links!L181+'On-Ramps'!AH181</f>
        <v>#DIV/0!</v>
      </c>
      <c r="W181" s="58" t="e">
        <f>Links!M181+'On-Ramps'!AI181</f>
        <v>#DIV/0!</v>
      </c>
      <c r="X181" s="58" t="e">
        <f>Links!P181+'On-Ramps'!AJ181</f>
        <v>#DIV/0!</v>
      </c>
      <c r="Y181" s="58" t="e">
        <f>Links!Q181</f>
        <v>#DIV/0!</v>
      </c>
      <c r="Z181" s="58" t="e">
        <f>Links!R181+'On-Ramps'!AK181</f>
        <v>#DIV/0!</v>
      </c>
      <c r="AA181" s="58" t="e">
        <f>Links!S181</f>
        <v>#DIV/0!</v>
      </c>
      <c r="AB181" s="57" t="e">
        <f t="shared" si="70"/>
        <v>#VALUE!</v>
      </c>
      <c r="AC181" s="63"/>
      <c r="AD181" s="57" t="e">
        <f t="shared" si="71"/>
        <v>#DIV/0!</v>
      </c>
      <c r="AE181" s="63"/>
      <c r="AF181" s="57" t="e">
        <f t="shared" si="72"/>
        <v>#DIV/0!</v>
      </c>
      <c r="AG181" s="57" t="e">
        <f t="shared" si="73"/>
        <v>#DIV/0!</v>
      </c>
      <c r="AH181" s="57" t="e">
        <f t="shared" si="74"/>
        <v>#DIV/0!</v>
      </c>
      <c r="AI181" s="57" t="e">
        <f t="shared" si="75"/>
        <v>#DIV/0!</v>
      </c>
      <c r="AJ181" s="57" t="e">
        <f t="shared" si="76"/>
        <v>#DIV/0!</v>
      </c>
      <c r="AK181" s="57" t="e">
        <f t="shared" si="77"/>
        <v>#DIV/0!</v>
      </c>
      <c r="AL181" s="57" t="e">
        <f t="shared" si="78"/>
        <v>#DIV/0!</v>
      </c>
      <c r="AM181" s="63"/>
      <c r="AN181" s="57" t="e">
        <f t="shared" si="80"/>
        <v>#DIV/0!</v>
      </c>
      <c r="AO181" s="58" t="e">
        <f t="shared" si="56"/>
        <v>#VALUE!</v>
      </c>
      <c r="AP181" s="63"/>
      <c r="AQ181" s="58" t="e">
        <f t="shared" si="81"/>
        <v>#DIV/0!</v>
      </c>
      <c r="AR181" s="63"/>
      <c r="AS181" s="58" t="e">
        <f t="shared" si="81"/>
        <v>#DIV/0!</v>
      </c>
      <c r="AT181" s="58" t="e">
        <f t="shared" si="81"/>
        <v>#DIV/0!</v>
      </c>
      <c r="AU181" s="58" t="e">
        <f t="shared" si="81"/>
        <v>#DIV/0!</v>
      </c>
      <c r="AV181" s="58" t="e">
        <f t="shared" si="81"/>
        <v>#DIV/0!</v>
      </c>
      <c r="AW181" s="58" t="e">
        <f t="shared" si="81"/>
        <v>#DIV/0!</v>
      </c>
      <c r="AX181" s="58" t="e">
        <f t="shared" si="81"/>
        <v>#DIV/0!</v>
      </c>
      <c r="AY181" s="58" t="e">
        <f t="shared" si="81"/>
        <v>#DIV/0!</v>
      </c>
      <c r="AZ181" s="63"/>
      <c r="BA181" s="58" t="e">
        <f t="shared" si="81"/>
        <v>#DIV/0!</v>
      </c>
      <c r="BB181" s="63"/>
      <c r="BC181" s="57" t="e">
        <f>(Links!C181*Links!AQ181+'On-Ramps'!AC181*'On-Ramps'!CE181)/('On-Ramps'!AC181+Links!C181)</f>
        <v>#DIV/0!</v>
      </c>
      <c r="BD181" s="63"/>
      <c r="BE181" s="57" t="e">
        <f>(Links!E181*Links!AS181+'On-Ramps'!AD181*'On-Ramps'!CF180)/('On-Ramps'!AD181+Links!E181)</f>
        <v>#DIV/0!</v>
      </c>
      <c r="BF181" s="57" t="e">
        <f>(Links!F181*Links!AT181+'On-Ramps'!AE181*'On-Ramps'!CG181)/('On-Ramps'!AE181+Links!F181)</f>
        <v>#DIV/0!</v>
      </c>
      <c r="BG181" s="57" t="e">
        <f>(Links!I181*Links!AW181+'On-Ramps'!AF181*'On-Ramps'!CH181)/('On-Ramps'!AF181+Links!I181)</f>
        <v>#DIV/0!</v>
      </c>
      <c r="BH181" s="57" t="e">
        <f>(#REF!*#REF!+'On-Ramps'!AG181*'On-Ramps'!CI181)/('On-Ramps'!AG181+#REF!)</f>
        <v>#REF!</v>
      </c>
      <c r="BI181" s="57" t="e">
        <f>(Links!L181*Links!AZ181+'On-Ramps'!AH181*'On-Ramps'!CJ181)/('On-Ramps'!AH181+Links!L181)</f>
        <v>#DIV/0!</v>
      </c>
      <c r="BJ181" s="57" t="e">
        <f>(Links!BA181*Links!M181+'On-Ramps'!AI181*'On-Ramps'!CK181)/('On-Ramps'!AI181+Links!M181)</f>
        <v>#DIV/0!</v>
      </c>
      <c r="BK181" s="57" t="e">
        <f>(Links!S181*Links!BG181+'On-Ramps'!AJ181*'On-Ramps'!CL181)/('On-Ramps'!AJ181+Links!S181)</f>
        <v>#DIV/0!</v>
      </c>
      <c r="BL181" s="63"/>
      <c r="BM181" s="57" t="e">
        <f>(Links!S181*Links!BG181+'On-Ramps'!AL181*'On-Ramps'!CM181)/(Links!S181+'On-Ramps'!AL181)</f>
        <v>#DIV/0!</v>
      </c>
      <c r="BN181" s="63"/>
      <c r="BO181" s="58" t="e">
        <f>(Links!W181^2+'Off-Ramp'!L181^2)/(Links!W181+'Off-Ramp'!L181)</f>
        <v>#DIV/0!</v>
      </c>
      <c r="BP181" s="63"/>
      <c r="BQ181" s="58" t="e">
        <f>(Links!Y181^2+'Off-Ramp'!C181^2)/(Links!Y181+'Off-Ramp'!C181)</f>
        <v>#DIV/0!</v>
      </c>
      <c r="BR181" s="63"/>
      <c r="BS181" s="58" t="e">
        <f>(Links!AA181^2+'Off-Ramp'!N181^2)/(Links!AA181+'Off-Ramp'!N181)</f>
        <v>#DIV/0!</v>
      </c>
      <c r="BT181" s="58" t="e">
        <f>(Links!AD181^2+'Off-Ramp'!O181^2)/(Links!AD181+'Off-Ramp'!O181)</f>
        <v>#DIV/0!</v>
      </c>
      <c r="BU181" s="58" t="e">
        <f>(Links!AE181^2+'Off-Ramp'!V181^2+'Off-Ramp'!W181^2+'Off-Ramp'!X181^2)/(Links!AE181+'Off-Ramp'!V181+'Off-Ramp'!W181+'Off-Ramp'!X181)</f>
        <v>#DIV/0!</v>
      </c>
      <c r="BV181" s="58" t="e">
        <f>(Links!AG181^2+'Off-Ramp'!Y181^2+'Off-Ramp'!Z181^2+'Off-Ramp'!AA181^2)/(Links!AG181+'Off-Ramp'!Y181+'Off-Ramp'!Z181+'Off-Ramp'!AA181)</f>
        <v>#DIV/0!</v>
      </c>
      <c r="BW181" s="58" t="e">
        <f>(Links!AH181^2+'Off-Ramp'!R181^2)/(Links!AH181+'Off-Ramp'!R181)</f>
        <v>#DIV/0!</v>
      </c>
      <c r="BX181" s="58" t="e">
        <f>(Links!AK181^2+'Off-Ramp'!S181^2)/(Links!AK181+'Off-Ramp'!S181)</f>
        <v>#DIV/0!</v>
      </c>
      <c r="BY181" s="58" t="e">
        <f>(Links!AL181^2+'Off-Ramp'!T181^2)/(Links!AL181+'Off-Ramp'!T181)</f>
        <v>#DIV/0!</v>
      </c>
      <c r="BZ181" s="63"/>
      <c r="CA181" s="58" t="e">
        <f>(Links!AN181^2+'Off-Ramp'!U181^2)/(Links!AN181+'Off-Ramp'!U181)</f>
        <v>#DIV/0!</v>
      </c>
    </row>
    <row r="182" spans="1:79" x14ac:dyDescent="0.15">
      <c r="A182" s="56">
        <v>180</v>
      </c>
      <c r="B182" s="57" t="e">
        <f t="shared" si="57"/>
        <v>#DIV/0!</v>
      </c>
      <c r="C182" s="57" t="e">
        <f t="shared" si="58"/>
        <v>#DIV/0!</v>
      </c>
      <c r="D182" s="57" t="e">
        <f t="shared" si="59"/>
        <v>#DIV/0!</v>
      </c>
      <c r="E182" s="57" t="e">
        <f t="shared" si="60"/>
        <v>#DIV/0!</v>
      </c>
      <c r="F182" s="57" t="e">
        <f t="shared" si="61"/>
        <v>#DIV/0!</v>
      </c>
      <c r="G182" s="57" t="e">
        <f t="shared" si="62"/>
        <v>#DIV/0!</v>
      </c>
      <c r="H182" s="57" t="e">
        <f t="shared" si="63"/>
        <v>#DIV/0!</v>
      </c>
      <c r="I182" s="57" t="e">
        <f t="shared" si="64"/>
        <v>#DIV/0!</v>
      </c>
      <c r="J182" s="57" t="e">
        <f t="shared" si="65"/>
        <v>#DIV/0!</v>
      </c>
      <c r="K182" s="57" t="e">
        <f t="shared" si="66"/>
        <v>#DIV/0!</v>
      </c>
      <c r="L182" s="57" t="e">
        <f t="shared" si="67"/>
        <v>#DIV/0!</v>
      </c>
      <c r="M182" s="57" t="e">
        <f t="shared" si="68"/>
        <v>#DIV/0!</v>
      </c>
      <c r="N182" s="57" t="e">
        <f t="shared" si="69"/>
        <v>#DIV/0!</v>
      </c>
      <c r="O182" s="58" t="e">
        <f>Links!B182</f>
        <v>#DIV/0!</v>
      </c>
      <c r="P182" s="58" t="e">
        <f>Links!C182+'On-Ramps'!AC182</f>
        <v>#DIV/0!</v>
      </c>
      <c r="Q182" s="58" t="e">
        <f>Links!D182</f>
        <v>#DIV/0!</v>
      </c>
      <c r="R182" s="58" t="e">
        <f>Links!E182+'On-Ramps'!AD182</f>
        <v>#DIV/0!</v>
      </c>
      <c r="S182" s="58" t="e">
        <f>Links!F182+'On-Ramps'!AE182</f>
        <v>#DIV/0!</v>
      </c>
      <c r="T182" s="58" t="e">
        <f>Links!I182+'On-Ramps'!AF182</f>
        <v>#DIV/0!</v>
      </c>
      <c r="U182" s="58" t="e">
        <f>Links!J182+'On-Ramps'!AG182</f>
        <v>#DIV/0!</v>
      </c>
      <c r="V182" s="58" t="e">
        <f>Links!L182+'On-Ramps'!AH182</f>
        <v>#DIV/0!</v>
      </c>
      <c r="W182" s="58" t="e">
        <f>Links!M182+'On-Ramps'!AI182</f>
        <v>#DIV/0!</v>
      </c>
      <c r="X182" s="58" t="e">
        <f>Links!P182+'On-Ramps'!AJ182</f>
        <v>#DIV/0!</v>
      </c>
      <c r="Y182" s="58" t="e">
        <f>Links!Q182</f>
        <v>#DIV/0!</v>
      </c>
      <c r="Z182" s="58" t="e">
        <f>Links!R182+'On-Ramps'!AK182</f>
        <v>#DIV/0!</v>
      </c>
      <c r="AA182" s="58" t="e">
        <f>Links!S182</f>
        <v>#DIV/0!</v>
      </c>
      <c r="AB182" s="57" t="e">
        <f t="shared" si="70"/>
        <v>#VALUE!</v>
      </c>
      <c r="AC182" s="63"/>
      <c r="AD182" s="57" t="e">
        <f t="shared" si="71"/>
        <v>#DIV/0!</v>
      </c>
      <c r="AE182" s="63"/>
      <c r="AF182" s="57" t="e">
        <f t="shared" si="72"/>
        <v>#DIV/0!</v>
      </c>
      <c r="AG182" s="57" t="e">
        <f t="shared" si="73"/>
        <v>#DIV/0!</v>
      </c>
      <c r="AH182" s="57" t="e">
        <f t="shared" si="74"/>
        <v>#DIV/0!</v>
      </c>
      <c r="AI182" s="57" t="e">
        <f t="shared" si="75"/>
        <v>#DIV/0!</v>
      </c>
      <c r="AJ182" s="57" t="e">
        <f t="shared" si="76"/>
        <v>#DIV/0!</v>
      </c>
      <c r="AK182" s="57" t="e">
        <f t="shared" si="77"/>
        <v>#DIV/0!</v>
      </c>
      <c r="AL182" s="57" t="e">
        <f t="shared" si="78"/>
        <v>#DIV/0!</v>
      </c>
      <c r="AM182" s="63"/>
      <c r="AN182" s="57" t="e">
        <f t="shared" si="80"/>
        <v>#DIV/0!</v>
      </c>
      <c r="AO182" s="58" t="e">
        <f t="shared" si="56"/>
        <v>#VALUE!</v>
      </c>
      <c r="AP182" s="63"/>
      <c r="AQ182" s="58" t="e">
        <f t="shared" si="81"/>
        <v>#DIV/0!</v>
      </c>
      <c r="AR182" s="63"/>
      <c r="AS182" s="58" t="e">
        <f t="shared" si="81"/>
        <v>#DIV/0!</v>
      </c>
      <c r="AT182" s="58" t="e">
        <f t="shared" si="81"/>
        <v>#DIV/0!</v>
      </c>
      <c r="AU182" s="58" t="e">
        <f t="shared" si="81"/>
        <v>#DIV/0!</v>
      </c>
      <c r="AV182" s="58" t="e">
        <f t="shared" si="81"/>
        <v>#DIV/0!</v>
      </c>
      <c r="AW182" s="58" t="e">
        <f t="shared" si="81"/>
        <v>#DIV/0!</v>
      </c>
      <c r="AX182" s="58" t="e">
        <f t="shared" si="81"/>
        <v>#DIV/0!</v>
      </c>
      <c r="AY182" s="58" t="e">
        <f t="shared" si="81"/>
        <v>#DIV/0!</v>
      </c>
      <c r="AZ182" s="63"/>
      <c r="BA182" s="58" t="e">
        <f t="shared" si="81"/>
        <v>#DIV/0!</v>
      </c>
      <c r="BB182" s="63"/>
      <c r="BC182" s="57" t="e">
        <f>(Links!C182*Links!AQ182+'On-Ramps'!AC182*'On-Ramps'!CE182)/('On-Ramps'!AC182+Links!C182)</f>
        <v>#DIV/0!</v>
      </c>
      <c r="BD182" s="63"/>
      <c r="BE182" s="57" t="e">
        <f>(Links!E182*Links!AS182+'On-Ramps'!AD182*'On-Ramps'!CF181)/('On-Ramps'!AD182+Links!E182)</f>
        <v>#DIV/0!</v>
      </c>
      <c r="BF182" s="57" t="e">
        <f>(Links!F182*Links!AT182+'On-Ramps'!AE182*'On-Ramps'!CG182)/('On-Ramps'!AE182+Links!F182)</f>
        <v>#DIV/0!</v>
      </c>
      <c r="BG182" s="57" t="e">
        <f>(Links!I182*Links!AW182+'On-Ramps'!AF182*'On-Ramps'!CH182)/('On-Ramps'!AF182+Links!I182)</f>
        <v>#DIV/0!</v>
      </c>
      <c r="BH182" s="57" t="e">
        <f>(#REF!*#REF!+'On-Ramps'!AG182*'On-Ramps'!CI182)/('On-Ramps'!AG182+#REF!)</f>
        <v>#REF!</v>
      </c>
      <c r="BI182" s="57" t="e">
        <f>(Links!L182*Links!AZ182+'On-Ramps'!AH182*'On-Ramps'!CJ182)/('On-Ramps'!AH182+Links!L182)</f>
        <v>#DIV/0!</v>
      </c>
      <c r="BJ182" s="57" t="e">
        <f>(Links!BA182*Links!M182+'On-Ramps'!AI182*'On-Ramps'!CK182)/('On-Ramps'!AI182+Links!M182)</f>
        <v>#DIV/0!</v>
      </c>
      <c r="BK182" s="57" t="e">
        <f>(Links!S182*Links!BG182+'On-Ramps'!AJ182*'On-Ramps'!CL182)/('On-Ramps'!AJ182+Links!S182)</f>
        <v>#DIV/0!</v>
      </c>
      <c r="BL182" s="63"/>
      <c r="BM182" s="57" t="e">
        <f>(Links!S182*Links!BG182+'On-Ramps'!AL182*'On-Ramps'!CM182)/(Links!S182+'On-Ramps'!AL182)</f>
        <v>#DIV/0!</v>
      </c>
      <c r="BN182" s="63"/>
      <c r="BO182" s="58" t="e">
        <f>(Links!W182^2+'Off-Ramp'!L182^2)/(Links!W182+'Off-Ramp'!L182)</f>
        <v>#DIV/0!</v>
      </c>
      <c r="BP182" s="63"/>
      <c r="BQ182" s="58" t="e">
        <f>(Links!Y182^2+'Off-Ramp'!C182^2)/(Links!Y182+'Off-Ramp'!C182)</f>
        <v>#DIV/0!</v>
      </c>
      <c r="BR182" s="63"/>
      <c r="BS182" s="58" t="e">
        <f>(Links!AA182^2+'Off-Ramp'!N182^2)/(Links!AA182+'Off-Ramp'!N182)</f>
        <v>#DIV/0!</v>
      </c>
      <c r="BT182" s="58" t="e">
        <f>(Links!AD182^2+'Off-Ramp'!O182^2)/(Links!AD182+'Off-Ramp'!O182)</f>
        <v>#DIV/0!</v>
      </c>
      <c r="BU182" s="58" t="e">
        <f>(Links!AE182^2+'Off-Ramp'!V182^2+'Off-Ramp'!W182^2+'Off-Ramp'!X182^2)/(Links!AE182+'Off-Ramp'!V182+'Off-Ramp'!W182+'Off-Ramp'!X182)</f>
        <v>#DIV/0!</v>
      </c>
      <c r="BV182" s="58" t="e">
        <f>(Links!AG182^2+'Off-Ramp'!Y182^2+'Off-Ramp'!Z182^2+'Off-Ramp'!AA182^2)/(Links!AG182+'Off-Ramp'!Y182+'Off-Ramp'!Z182+'Off-Ramp'!AA182)</f>
        <v>#DIV/0!</v>
      </c>
      <c r="BW182" s="58" t="e">
        <f>(Links!AH182^2+'Off-Ramp'!R182^2)/(Links!AH182+'Off-Ramp'!R182)</f>
        <v>#DIV/0!</v>
      </c>
      <c r="BX182" s="58" t="e">
        <f>(Links!AK182^2+'Off-Ramp'!S182^2)/(Links!AK182+'Off-Ramp'!S182)</f>
        <v>#DIV/0!</v>
      </c>
      <c r="BY182" s="58" t="e">
        <f>(Links!AL182^2+'Off-Ramp'!T182^2)/(Links!AL182+'Off-Ramp'!T182)</f>
        <v>#DIV/0!</v>
      </c>
      <c r="BZ182" s="63"/>
      <c r="CA182" s="58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zoomScale="66" zoomScaleNormal="66" workbookViewId="0">
      <selection activeCell="BD4" sqref="BD4:BL182"/>
    </sheetView>
  </sheetViews>
  <sheetFormatPr defaultRowHeight="14.25" x14ac:dyDescent="0.15"/>
  <cols>
    <col min="1" max="1" width="9" style="52"/>
    <col min="2" max="16384" width="9" style="48"/>
  </cols>
  <sheetData>
    <row r="1" spans="1:91" x14ac:dyDescent="0.15">
      <c r="A1" s="126" t="s">
        <v>169</v>
      </c>
      <c r="B1" s="124" t="s">
        <v>170</v>
      </c>
      <c r="C1" s="124"/>
      <c r="D1" s="124"/>
      <c r="E1" s="124"/>
      <c r="F1" s="124"/>
      <c r="G1" s="124"/>
      <c r="H1" s="124"/>
      <c r="I1" s="124"/>
      <c r="J1" s="124"/>
      <c r="K1" s="124" t="s">
        <v>171</v>
      </c>
      <c r="L1" s="124"/>
      <c r="M1" s="124"/>
      <c r="N1" s="124"/>
      <c r="O1" s="124"/>
      <c r="P1" s="124"/>
      <c r="Q1" s="124"/>
      <c r="R1" s="124"/>
      <c r="S1" s="124"/>
      <c r="T1" s="124" t="s">
        <v>172</v>
      </c>
      <c r="U1" s="124"/>
      <c r="V1" s="124"/>
      <c r="W1" s="124"/>
      <c r="X1" s="124"/>
      <c r="Y1" s="124"/>
      <c r="Z1" s="124"/>
      <c r="AA1" s="124"/>
      <c r="AB1" s="124"/>
      <c r="AC1" s="124" t="s">
        <v>168</v>
      </c>
      <c r="AD1" s="124"/>
      <c r="AE1" s="124"/>
      <c r="AF1" s="124"/>
      <c r="AG1" s="124"/>
      <c r="AH1" s="124"/>
      <c r="AI1" s="124"/>
      <c r="AJ1" s="124"/>
      <c r="AK1" s="124"/>
      <c r="AL1" s="124" t="s">
        <v>173</v>
      </c>
      <c r="AM1" s="124"/>
      <c r="AN1" s="124"/>
      <c r="AO1" s="124"/>
      <c r="AP1" s="124"/>
      <c r="AQ1" s="124"/>
      <c r="AR1" s="124"/>
      <c r="AS1" s="124"/>
      <c r="AT1" s="124"/>
      <c r="AU1" s="124" t="s">
        <v>174</v>
      </c>
      <c r="AV1" s="124"/>
      <c r="AW1" s="124"/>
      <c r="AX1" s="124"/>
      <c r="AY1" s="124"/>
      <c r="AZ1" s="124"/>
      <c r="BA1" s="124"/>
      <c r="BB1" s="124"/>
      <c r="BC1" s="124"/>
      <c r="BD1" s="124" t="s">
        <v>198</v>
      </c>
      <c r="BE1" s="124"/>
      <c r="BF1" s="124"/>
      <c r="BG1" s="124"/>
      <c r="BH1" s="124"/>
      <c r="BI1" s="124"/>
      <c r="BJ1" s="124"/>
      <c r="BK1" s="124"/>
      <c r="BL1" s="124"/>
      <c r="BM1" s="125" t="s">
        <v>189</v>
      </c>
      <c r="BN1" s="125"/>
      <c r="BO1" s="125"/>
      <c r="BP1" s="125"/>
      <c r="BQ1" s="125"/>
      <c r="BR1" s="125"/>
      <c r="BS1" s="125"/>
      <c r="BT1" s="125"/>
      <c r="BU1" s="125"/>
      <c r="BV1" s="125" t="s">
        <v>208</v>
      </c>
      <c r="BW1" s="125"/>
      <c r="BX1" s="125"/>
      <c r="BY1" s="125"/>
      <c r="BZ1" s="125"/>
      <c r="CA1" s="125"/>
      <c r="CB1" s="125"/>
      <c r="CC1" s="125"/>
      <c r="CD1" s="125"/>
      <c r="CE1" s="124" t="s">
        <v>199</v>
      </c>
      <c r="CF1" s="124"/>
      <c r="CG1" s="124"/>
      <c r="CH1" s="124"/>
      <c r="CI1" s="124"/>
      <c r="CJ1" s="124"/>
      <c r="CK1" s="124"/>
      <c r="CL1" s="124"/>
      <c r="CM1" s="124"/>
    </row>
    <row r="2" spans="1:91" s="50" customFormat="1" x14ac:dyDescent="0.15">
      <c r="A2" s="127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9">
        <v>1</v>
      </c>
      <c r="BN2" s="49">
        <v>2</v>
      </c>
      <c r="BO2" s="49">
        <v>3</v>
      </c>
      <c r="BP2" s="49">
        <v>4</v>
      </c>
      <c r="BQ2" s="49">
        <v>5</v>
      </c>
      <c r="BR2" s="49">
        <v>6</v>
      </c>
      <c r="BS2" s="49">
        <v>7</v>
      </c>
      <c r="BT2" s="49">
        <v>8</v>
      </c>
      <c r="BU2" s="49">
        <v>9</v>
      </c>
      <c r="BV2" s="49">
        <v>1</v>
      </c>
      <c r="BW2" s="49">
        <v>2</v>
      </c>
      <c r="BX2" s="49">
        <v>3</v>
      </c>
      <c r="BY2" s="49">
        <v>4</v>
      </c>
      <c r="BZ2" s="49">
        <v>5</v>
      </c>
      <c r="CA2" s="49">
        <v>6</v>
      </c>
      <c r="CB2" s="49">
        <v>7</v>
      </c>
      <c r="CC2" s="49">
        <v>8</v>
      </c>
      <c r="CD2" s="49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95">
        <f>OD!C19</f>
        <v>0</v>
      </c>
      <c r="U3" s="95">
        <f>OD!E19</f>
        <v>0</v>
      </c>
      <c r="V3" s="95">
        <f>OD!F19</f>
        <v>0</v>
      </c>
      <c r="W3" s="95">
        <f>OD!G19</f>
        <v>0</v>
      </c>
      <c r="X3" s="95">
        <f>OD!H19</f>
        <v>0</v>
      </c>
      <c r="Y3" s="95">
        <f>OD!I19</f>
        <v>0</v>
      </c>
      <c r="Z3" s="95">
        <f>OD!J19</f>
        <v>0</v>
      </c>
      <c r="AA3" s="95">
        <f>OD!K19</f>
        <v>0</v>
      </c>
      <c r="AB3" s="95">
        <f>OD!M19</f>
        <v>0</v>
      </c>
      <c r="AC3" s="43" t="e">
        <f>B3*MIN(AL3,AU3)</f>
        <v>#DIV/0!</v>
      </c>
      <c r="AD3" s="43" t="e">
        <f t="shared" ref="AD3:AK3" si="0">C3*MIN(AM3,AV3)</f>
        <v>#DIV/0!</v>
      </c>
      <c r="AE3" s="43" t="e">
        <f t="shared" si="0"/>
        <v>#DIV/0!</v>
      </c>
      <c r="AF3" s="43" t="e">
        <f t="shared" si="0"/>
        <v>#DIV/0!</v>
      </c>
      <c r="AG3" s="43" t="e">
        <f t="shared" si="0"/>
        <v>#DIV/0!</v>
      </c>
      <c r="AH3" s="43" t="e">
        <f t="shared" si="0"/>
        <v>#DIV/0!</v>
      </c>
      <c r="AI3" s="43" t="e">
        <f t="shared" si="0"/>
        <v>#DIV/0!</v>
      </c>
      <c r="AJ3" s="43" t="e">
        <f t="shared" si="0"/>
        <v>#DIV/0!</v>
      </c>
      <c r="AK3" s="43" t="e">
        <f t="shared" si="0"/>
        <v>#DIV/0!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 t="e">
        <f>BD$3*MIN(1,(ATM_Conf!$C$6-Links!X3)/(ATM_Conf!$C$6-ATM_Conf!$C$7))</f>
        <v>#DIV/0!</v>
      </c>
      <c r="AV3" s="43" t="e">
        <f>BE$3*MIN(1,(ATM_Conf!$C$6-Links!Z3)/(ATM_Conf!$C$6-ATM_Conf!$C$7))</f>
        <v>#DIV/0!</v>
      </c>
      <c r="AW3" s="43" t="e">
        <f>BF$3*MIN(1,(ATM_Conf!$C$6-Links!AA3)/(ATM_Conf!$C$6-ATM_Conf!$C$7))</f>
        <v>#DIV/0!</v>
      </c>
      <c r="AX3" s="43" t="e">
        <f>BG$3*MIN(1,(ATM_Conf!$C$6-Links!AD3)/(ATM_Conf!$C$6-ATM_Conf!$C$7))</f>
        <v>#DIV/0!</v>
      </c>
      <c r="AY3" s="43" t="e">
        <f>BH$3*MIN(1,(ATM_Conf!$C$6-Links!AE3)/(ATM_Conf!$C$6-ATM_Conf!$C$7))</f>
        <v>#DIV/0!</v>
      </c>
      <c r="AZ3" s="43" t="e">
        <f>BI$3*MIN(1,(ATM_Conf!$C$6-Links!AG3)/(ATM_Conf!$C$6-ATM_Conf!$C$7))</f>
        <v>#DIV/0!</v>
      </c>
      <c r="BA3" s="43" t="e">
        <f>BJ$3*MIN(1,(ATM_Conf!$C$6-Links!AH3)/(ATM_Conf!$C$6-ATM_Conf!$C$7))</f>
        <v>#DIV/0!</v>
      </c>
      <c r="BB3" s="43" t="e">
        <f>BK$3*MIN(1,(ATM_Conf!$C$6-Links!AK3)/(ATM_Conf!$C$6-ATM_Conf!$C$7))</f>
        <v>#DIV/0!</v>
      </c>
      <c r="BC3" s="43" t="e">
        <f>BL$3*MIN(1,(ATM_Conf!$C$6-Links!AM3)/(ATM_Conf!$C$6-ATM_Conf!$C$7))</f>
        <v>#DIV/0!</v>
      </c>
      <c r="BD3" s="44"/>
      <c r="BE3" s="44"/>
      <c r="BF3" s="44"/>
      <c r="BG3" s="44"/>
      <c r="BH3" s="44"/>
      <c r="BI3" s="44"/>
      <c r="BJ3" s="44"/>
      <c r="BK3" s="44"/>
      <c r="BL3" s="44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>
        <f>B$3</f>
        <v>1</v>
      </c>
      <c r="C4" s="43">
        <f t="shared" ref="C4:J14" si="1">C$3</f>
        <v>1</v>
      </c>
      <c r="D4" s="43">
        <f t="shared" si="1"/>
        <v>1</v>
      </c>
      <c r="E4" s="43">
        <f t="shared" si="1"/>
        <v>1</v>
      </c>
      <c r="F4" s="43">
        <f t="shared" si="1"/>
        <v>1</v>
      </c>
      <c r="G4" s="43">
        <f t="shared" si="1"/>
        <v>1</v>
      </c>
      <c r="H4" s="43">
        <f t="shared" si="1"/>
        <v>1</v>
      </c>
      <c r="I4" s="43">
        <f t="shared" si="1"/>
        <v>1</v>
      </c>
      <c r="J4" s="43">
        <f t="shared" si="1"/>
        <v>1</v>
      </c>
      <c r="K4" s="43" t="e">
        <f>K3+ATM_Conf!$C$5*(T3-AC3)</f>
        <v>#DIV/0!</v>
      </c>
      <c r="L4" s="43" t="e">
        <f>L3+ATM_Conf!$C$5*(U3-AD3)</f>
        <v>#DIV/0!</v>
      </c>
      <c r="M4" s="43" t="e">
        <f>M3+ATM_Conf!$C$5*(V3-AE3)</f>
        <v>#DIV/0!</v>
      </c>
      <c r="N4" s="43" t="e">
        <f>N3+ATM_Conf!$C$5*(W3-AF3)</f>
        <v>#DIV/0!</v>
      </c>
      <c r="O4" s="43" t="e">
        <f>O3+ATM_Conf!$C$5*(X3-AG3)</f>
        <v>#DIV/0!</v>
      </c>
      <c r="P4" s="43" t="e">
        <f>P3+ATM_Conf!$C$5*(Y3-AH3)</f>
        <v>#DIV/0!</v>
      </c>
      <c r="Q4" s="43" t="e">
        <f>Q3+ATM_Conf!$C$5*(Z3-AI3)</f>
        <v>#DIV/0!</v>
      </c>
      <c r="R4" s="43" t="e">
        <f>R3+ATM_Conf!$C$5*(AA3-AJ3)</f>
        <v>#DIV/0!</v>
      </c>
      <c r="S4" s="43" t="e">
        <f>S3+ATM_Conf!$C$5*(AB3-AK3)</f>
        <v>#DIV/0!</v>
      </c>
      <c r="T4" s="43">
        <f>T$3</f>
        <v>0</v>
      </c>
      <c r="U4" s="43">
        <f t="shared" ref="U4:AB19" si="2">U$3</f>
        <v>0</v>
      </c>
      <c r="V4" s="43">
        <f t="shared" si="2"/>
        <v>0</v>
      </c>
      <c r="W4" s="43">
        <f t="shared" si="2"/>
        <v>0</v>
      </c>
      <c r="X4" s="43">
        <f t="shared" si="2"/>
        <v>0</v>
      </c>
      <c r="Y4" s="43">
        <f t="shared" si="2"/>
        <v>0</v>
      </c>
      <c r="Z4" s="43">
        <f t="shared" si="2"/>
        <v>0</v>
      </c>
      <c r="AA4" s="43">
        <f t="shared" si="2"/>
        <v>0</v>
      </c>
      <c r="AB4" s="43">
        <f t="shared" si="2"/>
        <v>0</v>
      </c>
      <c r="AC4" s="43" t="e">
        <f t="shared" ref="AC4:AC67" si="3">B4*MIN(AL4,AU4)</f>
        <v>#DIV/0!</v>
      </c>
      <c r="AD4" s="43" t="e">
        <f t="shared" ref="AD4:AD67" si="4">C4*MIN(AM4,AV4)</f>
        <v>#DIV/0!</v>
      </c>
      <c r="AE4" s="43" t="e">
        <f t="shared" ref="AE4:AE67" si="5">D4*MIN(AN4,AW4)</f>
        <v>#DIV/0!</v>
      </c>
      <c r="AF4" s="43" t="e">
        <f t="shared" ref="AF4:AF67" si="6">E4*MIN(AO4,AX4)</f>
        <v>#DIV/0!</v>
      </c>
      <c r="AG4" s="43" t="e">
        <f t="shared" ref="AG4:AG67" si="7">F4*MIN(AP4,AY4)</f>
        <v>#DIV/0!</v>
      </c>
      <c r="AH4" s="43" t="e">
        <f t="shared" ref="AH4:AH67" si="8">G4*MIN(AQ4,AZ4)</f>
        <v>#DIV/0!</v>
      </c>
      <c r="AI4" s="43" t="e">
        <f t="shared" ref="AI4:AI67" si="9">H4*MIN(AR4,BA4)</f>
        <v>#DIV/0!</v>
      </c>
      <c r="AJ4" s="43" t="e">
        <f t="shared" ref="AJ4:AJ67" si="10">I4*MIN(AS4,BB4)</f>
        <v>#DIV/0!</v>
      </c>
      <c r="AK4" s="43" t="e">
        <f t="shared" ref="AK4:AK67" si="11">J4*MIN(AT4,BC4)</f>
        <v>#DIV/0!</v>
      </c>
      <c r="AL4" s="43" t="e">
        <f>T$3+K4/ATM_Conf!$C$5</f>
        <v>#DIV/0!</v>
      </c>
      <c r="AM4" s="43" t="e">
        <f>U$3+L4/ATM_Conf!$C$5</f>
        <v>#DIV/0!</v>
      </c>
      <c r="AN4" s="43" t="e">
        <f>V$3+M4/ATM_Conf!$C$5</f>
        <v>#DIV/0!</v>
      </c>
      <c r="AO4" s="43" t="e">
        <f>W$3+N4/ATM_Conf!$C$5</f>
        <v>#DIV/0!</v>
      </c>
      <c r="AP4" s="43" t="e">
        <f>X$3+O4/ATM_Conf!$C$5</f>
        <v>#DIV/0!</v>
      </c>
      <c r="AQ4" s="43" t="e">
        <f>Y$3+P4/ATM_Conf!$C$5</f>
        <v>#DIV/0!</v>
      </c>
      <c r="AR4" s="43" t="e">
        <f>Z$3+Q4/ATM_Conf!$C$5</f>
        <v>#DIV/0!</v>
      </c>
      <c r="AS4" s="43" t="e">
        <f>AA$3+R4/ATM_Conf!$C$5</f>
        <v>#DIV/0!</v>
      </c>
      <c r="AT4" s="43" t="e">
        <f>AB$3+S4/ATM_Conf!$C$5</f>
        <v>#DIV/0!</v>
      </c>
      <c r="AU4" s="43" t="e">
        <f>BD$3*MIN(1,(ATM_Conf!$C$6-Links!X4)/(ATM_Conf!$C$6-ATM_Conf!$C$7))</f>
        <v>#DIV/0!</v>
      </c>
      <c r="AV4" s="43" t="e">
        <f>BE$3*MIN(1,(ATM_Conf!$C$6-Links!Z4)/(ATM_Conf!$C$6-ATM_Conf!$C$7))</f>
        <v>#DIV/0!</v>
      </c>
      <c r="AW4" s="43" t="e">
        <f>BF$3*MIN(1,(ATM_Conf!$C$6-Links!AA4)/(ATM_Conf!$C$6-ATM_Conf!$C$7))</f>
        <v>#DIV/0!</v>
      </c>
      <c r="AX4" s="43" t="e">
        <f>BG$3*MIN(1,(ATM_Conf!$C$6-Links!AD4)/(ATM_Conf!$C$6-ATM_Conf!$C$7))</f>
        <v>#DIV/0!</v>
      </c>
      <c r="AY4" s="43" t="e">
        <f>BH$3*MIN(1,(ATM_Conf!$C$6-Links!AE4)/(ATM_Conf!$C$6-ATM_Conf!$C$7))</f>
        <v>#DIV/0!</v>
      </c>
      <c r="AZ4" s="43" t="e">
        <f>BI$3*MIN(1,(ATM_Conf!$C$6-Links!AG4)/(ATM_Conf!$C$6-ATM_Conf!$C$7))</f>
        <v>#DIV/0!</v>
      </c>
      <c r="BA4" s="43" t="e">
        <f>BJ$3*MIN(1,(ATM_Conf!$C$6-Links!AH4)/(ATM_Conf!$C$6-ATM_Conf!$C$7))</f>
        <v>#DIV/0!</v>
      </c>
      <c r="BB4" s="43" t="e">
        <f>BK$3*MIN(1,(ATM_Conf!$C$6-Links!AK4)/(ATM_Conf!$C$6-ATM_Conf!$C$7))</f>
        <v>#DIV/0!</v>
      </c>
      <c r="BC4" s="43" t="e">
        <f>BL$3*MIN(1,(ATM_Conf!$C$6-Links!AM4)/(ATM_Conf!$C$6-ATM_Conf!$C$7))</f>
        <v>#DIV/0!</v>
      </c>
      <c r="BD4" s="43">
        <f>BD$3</f>
        <v>0</v>
      </c>
      <c r="BE4" s="43">
        <f t="shared" ref="BE4:BL19" si="12">BE$3</f>
        <v>0</v>
      </c>
      <c r="BF4" s="43">
        <f t="shared" si="12"/>
        <v>0</v>
      </c>
      <c r="BG4" s="43">
        <f t="shared" si="12"/>
        <v>0</v>
      </c>
      <c r="BH4" s="43">
        <f t="shared" si="12"/>
        <v>0</v>
      </c>
      <c r="BI4" s="43">
        <f t="shared" si="12"/>
        <v>0</v>
      </c>
      <c r="BJ4" s="43">
        <f t="shared" si="12"/>
        <v>0</v>
      </c>
      <c r="BK4" s="43">
        <f t="shared" si="12"/>
        <v>0</v>
      </c>
      <c r="BL4" s="43">
        <f t="shared" si="12"/>
        <v>0</v>
      </c>
      <c r="BM4" s="51"/>
      <c r="BN4" s="51"/>
      <c r="BO4" s="51"/>
      <c r="BP4" s="51"/>
      <c r="BQ4" s="51"/>
      <c r="BR4" s="51"/>
      <c r="BS4" s="51"/>
      <c r="BT4" s="51"/>
      <c r="BU4" s="51"/>
      <c r="BV4" s="51" t="e">
        <f t="shared" ref="BV4:BV67" si="13">(MAX(K4-T$190,0))^2</f>
        <v>#DIV/0!</v>
      </c>
      <c r="BW4" s="51" t="e">
        <f t="shared" ref="BW4:BW67" si="14">(MAX(L4-U$190,0))^2</f>
        <v>#DIV/0!</v>
      </c>
      <c r="BX4" s="51" t="e">
        <f t="shared" ref="BX4:BX67" si="15">(MAX(M4-V$190,0))^2</f>
        <v>#DIV/0!</v>
      </c>
      <c r="BY4" s="51" t="e">
        <f t="shared" ref="BY4:BY67" si="16">(MAX(N4-W$190,0))^2</f>
        <v>#DIV/0!</v>
      </c>
      <c r="BZ4" s="51" t="e">
        <f t="shared" ref="BZ4:BZ67" si="17">(MAX(O4-X$190,0))^2</f>
        <v>#DIV/0!</v>
      </c>
      <c r="CA4" s="51" t="e">
        <f t="shared" ref="CA4:CA67" si="18">(MAX(P4-Y$190,0))^2</f>
        <v>#DIV/0!</v>
      </c>
      <c r="CB4" s="51" t="e">
        <f t="shared" ref="CB4:CB67" si="19">(MAX(Q4-Z$190,0))^2</f>
        <v>#DIV/0!</v>
      </c>
      <c r="CC4" s="51" t="e">
        <f t="shared" ref="CC4:CC67" si="20">(MAX(R4-AA$190,0))^2</f>
        <v>#DIV/0!</v>
      </c>
      <c r="CD4" s="51" t="e">
        <f t="shared" ref="CD4:CD67" si="21">(MAX(S4-AB$190,0))^2</f>
        <v>#DIV/0!</v>
      </c>
      <c r="CE4" s="53">
        <f>CE$3</f>
        <v>0</v>
      </c>
      <c r="CF4" s="53">
        <f t="shared" ref="CF4:CM19" si="22">CF$3</f>
        <v>0</v>
      </c>
      <c r="CG4" s="53">
        <f t="shared" si="22"/>
        <v>0</v>
      </c>
      <c r="CH4" s="53">
        <f t="shared" si="22"/>
        <v>0</v>
      </c>
      <c r="CI4" s="53">
        <f t="shared" si="22"/>
        <v>0</v>
      </c>
      <c r="CJ4" s="53">
        <f t="shared" si="22"/>
        <v>0</v>
      </c>
      <c r="CK4" s="53">
        <f t="shared" si="22"/>
        <v>0</v>
      </c>
      <c r="CL4" s="53">
        <f t="shared" si="22"/>
        <v>0</v>
      </c>
      <c r="CM4" s="53">
        <f t="shared" si="22"/>
        <v>0</v>
      </c>
    </row>
    <row r="5" spans="1:91" x14ac:dyDescent="0.15">
      <c r="A5" s="41">
        <v>3</v>
      </c>
      <c r="B5" s="43">
        <f t="shared" ref="B5:B14" si="23">B$3</f>
        <v>1</v>
      </c>
      <c r="C5" s="43">
        <f t="shared" si="1"/>
        <v>1</v>
      </c>
      <c r="D5" s="43">
        <f t="shared" si="1"/>
        <v>1</v>
      </c>
      <c r="E5" s="43">
        <f t="shared" si="1"/>
        <v>1</v>
      </c>
      <c r="F5" s="43">
        <f t="shared" si="1"/>
        <v>1</v>
      </c>
      <c r="G5" s="43">
        <f t="shared" si="1"/>
        <v>1</v>
      </c>
      <c r="H5" s="43">
        <f t="shared" si="1"/>
        <v>1</v>
      </c>
      <c r="I5" s="43">
        <f t="shared" si="1"/>
        <v>1</v>
      </c>
      <c r="J5" s="43">
        <f t="shared" si="1"/>
        <v>1</v>
      </c>
      <c r="K5" s="43" t="e">
        <f>K4+ATM_Conf!$C$5*(T4-AC4)</f>
        <v>#DIV/0!</v>
      </c>
      <c r="L5" s="43" t="e">
        <f>L4+ATM_Conf!$C$5*(U4-AD4)</f>
        <v>#DIV/0!</v>
      </c>
      <c r="M5" s="43" t="e">
        <f>M4+ATM_Conf!$C$5*(V4-AE4)</f>
        <v>#DIV/0!</v>
      </c>
      <c r="N5" s="43" t="e">
        <f>N4+ATM_Conf!$C$5*(W4-AF4)</f>
        <v>#DIV/0!</v>
      </c>
      <c r="O5" s="43" t="e">
        <f>O4+ATM_Conf!$C$5*(X4-AG4)</f>
        <v>#DIV/0!</v>
      </c>
      <c r="P5" s="43" t="e">
        <f>P4+ATM_Conf!$C$5*(Y4-AH4)</f>
        <v>#DIV/0!</v>
      </c>
      <c r="Q5" s="43" t="e">
        <f>Q4+ATM_Conf!$C$5*(Z4-AI4)</f>
        <v>#DIV/0!</v>
      </c>
      <c r="R5" s="43" t="e">
        <f>R4+ATM_Conf!$C$5*(AA4-AJ4)</f>
        <v>#DIV/0!</v>
      </c>
      <c r="S5" s="43" t="e">
        <f>S4+ATM_Conf!$C$5*(AB4-AK4)</f>
        <v>#DIV/0!</v>
      </c>
      <c r="T5" s="43">
        <f t="shared" ref="T5:AB36" si="24">T$3</f>
        <v>0</v>
      </c>
      <c r="U5" s="43">
        <f t="shared" si="2"/>
        <v>0</v>
      </c>
      <c r="V5" s="43">
        <f t="shared" si="2"/>
        <v>0</v>
      </c>
      <c r="W5" s="43">
        <f t="shared" si="2"/>
        <v>0</v>
      </c>
      <c r="X5" s="43">
        <f t="shared" si="2"/>
        <v>0</v>
      </c>
      <c r="Y5" s="43">
        <f t="shared" si="2"/>
        <v>0</v>
      </c>
      <c r="Z5" s="43">
        <f t="shared" si="2"/>
        <v>0</v>
      </c>
      <c r="AA5" s="43">
        <f t="shared" si="2"/>
        <v>0</v>
      </c>
      <c r="AB5" s="43">
        <f t="shared" si="2"/>
        <v>0</v>
      </c>
      <c r="AC5" s="43" t="e">
        <f t="shared" si="3"/>
        <v>#DIV/0!</v>
      </c>
      <c r="AD5" s="43" t="e">
        <f t="shared" si="4"/>
        <v>#DIV/0!</v>
      </c>
      <c r="AE5" s="43" t="e">
        <f t="shared" si="5"/>
        <v>#DIV/0!</v>
      </c>
      <c r="AF5" s="43" t="e">
        <f t="shared" si="6"/>
        <v>#DIV/0!</v>
      </c>
      <c r="AG5" s="43" t="e">
        <f t="shared" si="7"/>
        <v>#DIV/0!</v>
      </c>
      <c r="AH5" s="43" t="e">
        <f t="shared" si="8"/>
        <v>#DIV/0!</v>
      </c>
      <c r="AI5" s="43" t="e">
        <f t="shared" si="9"/>
        <v>#DIV/0!</v>
      </c>
      <c r="AJ5" s="43" t="e">
        <f t="shared" si="10"/>
        <v>#DIV/0!</v>
      </c>
      <c r="AK5" s="43" t="e">
        <f t="shared" si="11"/>
        <v>#DIV/0!</v>
      </c>
      <c r="AL5" s="43" t="e">
        <f>T$3+K5/ATM_Conf!$C$5</f>
        <v>#DIV/0!</v>
      </c>
      <c r="AM5" s="43" t="e">
        <f>U$3+L5/ATM_Conf!$C$5</f>
        <v>#DIV/0!</v>
      </c>
      <c r="AN5" s="43" t="e">
        <f>V$3+M5/ATM_Conf!$C$5</f>
        <v>#DIV/0!</v>
      </c>
      <c r="AO5" s="43" t="e">
        <f>W$3+N5/ATM_Conf!$C$5</f>
        <v>#DIV/0!</v>
      </c>
      <c r="AP5" s="43" t="e">
        <f>X$3+O5/ATM_Conf!$C$5</f>
        <v>#DIV/0!</v>
      </c>
      <c r="AQ5" s="43" t="e">
        <f>Y$3+P5/ATM_Conf!$C$5</f>
        <v>#DIV/0!</v>
      </c>
      <c r="AR5" s="43" t="e">
        <f>Z$3+Q5/ATM_Conf!$C$5</f>
        <v>#DIV/0!</v>
      </c>
      <c r="AS5" s="43" t="e">
        <f>AA$3+R5/ATM_Conf!$C$5</f>
        <v>#DIV/0!</v>
      </c>
      <c r="AT5" s="43" t="e">
        <f>AB$3+S5/ATM_Conf!$C$5</f>
        <v>#DIV/0!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5">BD$3</f>
        <v>0</v>
      </c>
      <c r="BE5" s="43">
        <f t="shared" si="12"/>
        <v>0</v>
      </c>
      <c r="BF5" s="43">
        <f t="shared" si="12"/>
        <v>0</v>
      </c>
      <c r="BG5" s="43">
        <f t="shared" si="12"/>
        <v>0</v>
      </c>
      <c r="BH5" s="43">
        <f t="shared" si="12"/>
        <v>0</v>
      </c>
      <c r="BI5" s="43">
        <f t="shared" si="12"/>
        <v>0</v>
      </c>
      <c r="BJ5" s="43">
        <f t="shared" si="12"/>
        <v>0</v>
      </c>
      <c r="BK5" s="43">
        <f t="shared" si="12"/>
        <v>0</v>
      </c>
      <c r="BL5" s="43">
        <f t="shared" si="12"/>
        <v>0</v>
      </c>
      <c r="BM5" s="51"/>
      <c r="BN5" s="51"/>
      <c r="BO5" s="51"/>
      <c r="BP5" s="51"/>
      <c r="BQ5" s="51"/>
      <c r="BR5" s="51"/>
      <c r="BS5" s="51"/>
      <c r="BT5" s="51"/>
      <c r="BU5" s="51"/>
      <c r="BV5" s="51" t="e">
        <f t="shared" si="13"/>
        <v>#DIV/0!</v>
      </c>
      <c r="BW5" s="51" t="e">
        <f t="shared" si="14"/>
        <v>#DIV/0!</v>
      </c>
      <c r="BX5" s="51" t="e">
        <f t="shared" si="15"/>
        <v>#DIV/0!</v>
      </c>
      <c r="BY5" s="51" t="e">
        <f t="shared" si="16"/>
        <v>#DIV/0!</v>
      </c>
      <c r="BZ5" s="51" t="e">
        <f t="shared" si="17"/>
        <v>#DIV/0!</v>
      </c>
      <c r="CA5" s="51" t="e">
        <f t="shared" si="18"/>
        <v>#DIV/0!</v>
      </c>
      <c r="CB5" s="51" t="e">
        <f t="shared" si="19"/>
        <v>#DIV/0!</v>
      </c>
      <c r="CC5" s="51" t="e">
        <f t="shared" si="20"/>
        <v>#DIV/0!</v>
      </c>
      <c r="CD5" s="51" t="e">
        <f t="shared" si="21"/>
        <v>#DIV/0!</v>
      </c>
      <c r="CE5" s="53">
        <f t="shared" ref="CE5:CM36" si="26">CE$3</f>
        <v>0</v>
      </c>
      <c r="CF5" s="53">
        <f t="shared" si="22"/>
        <v>0</v>
      </c>
      <c r="CG5" s="53">
        <f t="shared" si="22"/>
        <v>0</v>
      </c>
      <c r="CH5" s="53">
        <f t="shared" si="22"/>
        <v>0</v>
      </c>
      <c r="CI5" s="53">
        <f t="shared" si="22"/>
        <v>0</v>
      </c>
      <c r="CJ5" s="53">
        <f t="shared" si="22"/>
        <v>0</v>
      </c>
      <c r="CK5" s="53">
        <f t="shared" si="22"/>
        <v>0</v>
      </c>
      <c r="CL5" s="53">
        <f t="shared" si="22"/>
        <v>0</v>
      </c>
      <c r="CM5" s="53">
        <f t="shared" si="22"/>
        <v>0</v>
      </c>
    </row>
    <row r="6" spans="1:91" x14ac:dyDescent="0.15">
      <c r="A6" s="41">
        <v>4</v>
      </c>
      <c r="B6" s="43">
        <f t="shared" si="23"/>
        <v>1</v>
      </c>
      <c r="C6" s="43">
        <f t="shared" si="1"/>
        <v>1</v>
      </c>
      <c r="D6" s="43">
        <f t="shared" si="1"/>
        <v>1</v>
      </c>
      <c r="E6" s="43">
        <f t="shared" si="1"/>
        <v>1</v>
      </c>
      <c r="F6" s="43">
        <f t="shared" si="1"/>
        <v>1</v>
      </c>
      <c r="G6" s="43">
        <f t="shared" si="1"/>
        <v>1</v>
      </c>
      <c r="H6" s="43">
        <f t="shared" si="1"/>
        <v>1</v>
      </c>
      <c r="I6" s="43">
        <f t="shared" si="1"/>
        <v>1</v>
      </c>
      <c r="J6" s="43">
        <f t="shared" si="1"/>
        <v>1</v>
      </c>
      <c r="K6" s="43" t="e">
        <f>K5+ATM_Conf!$C$5*(T5-AC5)</f>
        <v>#DIV/0!</v>
      </c>
      <c r="L6" s="43" t="e">
        <f>L5+ATM_Conf!$C$5*(U5-AD5)</f>
        <v>#DIV/0!</v>
      </c>
      <c r="M6" s="43" t="e">
        <f>M5+ATM_Conf!$C$5*(V5-AE5)</f>
        <v>#DIV/0!</v>
      </c>
      <c r="N6" s="43" t="e">
        <f>N5+ATM_Conf!$C$5*(W5-AF5)</f>
        <v>#DIV/0!</v>
      </c>
      <c r="O6" s="43" t="e">
        <f>O5+ATM_Conf!$C$5*(X5-AG5)</f>
        <v>#DIV/0!</v>
      </c>
      <c r="P6" s="43" t="e">
        <f>P5+ATM_Conf!$C$5*(Y5-AH5)</f>
        <v>#DIV/0!</v>
      </c>
      <c r="Q6" s="43" t="e">
        <f>Q5+ATM_Conf!$C$5*(Z5-AI5)</f>
        <v>#DIV/0!</v>
      </c>
      <c r="R6" s="43" t="e">
        <f>R5+ATM_Conf!$C$5*(AA5-AJ5)</f>
        <v>#DIV/0!</v>
      </c>
      <c r="S6" s="43" t="e">
        <f>S5+ATM_Conf!$C$5*(AB5-AK5)</f>
        <v>#DIV/0!</v>
      </c>
      <c r="T6" s="43">
        <f t="shared" si="24"/>
        <v>0</v>
      </c>
      <c r="U6" s="43">
        <f t="shared" si="2"/>
        <v>0</v>
      </c>
      <c r="V6" s="43">
        <f t="shared" si="2"/>
        <v>0</v>
      </c>
      <c r="W6" s="43">
        <f t="shared" si="2"/>
        <v>0</v>
      </c>
      <c r="X6" s="43">
        <f t="shared" si="2"/>
        <v>0</v>
      </c>
      <c r="Y6" s="43">
        <f t="shared" si="2"/>
        <v>0</v>
      </c>
      <c r="Z6" s="43">
        <f t="shared" si="2"/>
        <v>0</v>
      </c>
      <c r="AA6" s="43">
        <f t="shared" si="2"/>
        <v>0</v>
      </c>
      <c r="AB6" s="43">
        <f t="shared" si="2"/>
        <v>0</v>
      </c>
      <c r="AC6" s="43" t="e">
        <f t="shared" si="3"/>
        <v>#DIV/0!</v>
      </c>
      <c r="AD6" s="43" t="e">
        <f t="shared" si="4"/>
        <v>#DIV/0!</v>
      </c>
      <c r="AE6" s="43" t="e">
        <f t="shared" si="5"/>
        <v>#DIV/0!</v>
      </c>
      <c r="AF6" s="43" t="e">
        <f t="shared" si="6"/>
        <v>#DIV/0!</v>
      </c>
      <c r="AG6" s="43" t="e">
        <f t="shared" si="7"/>
        <v>#DIV/0!</v>
      </c>
      <c r="AH6" s="43" t="e">
        <f t="shared" si="8"/>
        <v>#DIV/0!</v>
      </c>
      <c r="AI6" s="43" t="e">
        <f t="shared" si="9"/>
        <v>#DIV/0!</v>
      </c>
      <c r="AJ6" s="43" t="e">
        <f t="shared" si="10"/>
        <v>#DIV/0!</v>
      </c>
      <c r="AK6" s="43" t="e">
        <f t="shared" si="11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5"/>
        <v>0</v>
      </c>
      <c r="BE6" s="43">
        <f t="shared" si="12"/>
        <v>0</v>
      </c>
      <c r="BF6" s="43">
        <f t="shared" si="12"/>
        <v>0</v>
      </c>
      <c r="BG6" s="43">
        <f t="shared" si="12"/>
        <v>0</v>
      </c>
      <c r="BH6" s="43">
        <f t="shared" si="12"/>
        <v>0</v>
      </c>
      <c r="BI6" s="43">
        <f t="shared" si="12"/>
        <v>0</v>
      </c>
      <c r="BJ6" s="43">
        <f t="shared" si="12"/>
        <v>0</v>
      </c>
      <c r="BK6" s="43">
        <f t="shared" si="12"/>
        <v>0</v>
      </c>
      <c r="BL6" s="43">
        <f t="shared" si="12"/>
        <v>0</v>
      </c>
      <c r="BM6" s="51"/>
      <c r="BN6" s="51"/>
      <c r="BO6" s="51"/>
      <c r="BP6" s="51"/>
      <c r="BQ6" s="51"/>
      <c r="BR6" s="51"/>
      <c r="BS6" s="51"/>
      <c r="BT6" s="51"/>
      <c r="BU6" s="51"/>
      <c r="BV6" s="51" t="e">
        <f t="shared" si="13"/>
        <v>#DIV/0!</v>
      </c>
      <c r="BW6" s="51" t="e">
        <f t="shared" si="14"/>
        <v>#DIV/0!</v>
      </c>
      <c r="BX6" s="51" t="e">
        <f t="shared" si="15"/>
        <v>#DIV/0!</v>
      </c>
      <c r="BY6" s="51" t="e">
        <f t="shared" si="16"/>
        <v>#DIV/0!</v>
      </c>
      <c r="BZ6" s="51" t="e">
        <f t="shared" si="17"/>
        <v>#DIV/0!</v>
      </c>
      <c r="CA6" s="51" t="e">
        <f t="shared" si="18"/>
        <v>#DIV/0!</v>
      </c>
      <c r="CB6" s="51" t="e">
        <f t="shared" si="19"/>
        <v>#DIV/0!</v>
      </c>
      <c r="CC6" s="51" t="e">
        <f t="shared" si="20"/>
        <v>#DIV/0!</v>
      </c>
      <c r="CD6" s="51" t="e">
        <f t="shared" si="21"/>
        <v>#DIV/0!</v>
      </c>
      <c r="CE6" s="53">
        <f t="shared" si="26"/>
        <v>0</v>
      </c>
      <c r="CF6" s="53">
        <f t="shared" si="22"/>
        <v>0</v>
      </c>
      <c r="CG6" s="53">
        <f t="shared" si="22"/>
        <v>0</v>
      </c>
      <c r="CH6" s="53">
        <f t="shared" si="22"/>
        <v>0</v>
      </c>
      <c r="CI6" s="53">
        <f t="shared" si="22"/>
        <v>0</v>
      </c>
      <c r="CJ6" s="53">
        <f t="shared" si="22"/>
        <v>0</v>
      </c>
      <c r="CK6" s="53">
        <f t="shared" si="22"/>
        <v>0</v>
      </c>
      <c r="CL6" s="53">
        <f t="shared" si="22"/>
        <v>0</v>
      </c>
      <c r="CM6" s="53">
        <f t="shared" si="22"/>
        <v>0</v>
      </c>
    </row>
    <row r="7" spans="1:91" x14ac:dyDescent="0.15">
      <c r="A7" s="41">
        <v>5</v>
      </c>
      <c r="B7" s="43">
        <f t="shared" si="23"/>
        <v>1</v>
      </c>
      <c r="C7" s="43">
        <f t="shared" si="1"/>
        <v>1</v>
      </c>
      <c r="D7" s="43">
        <f t="shared" si="1"/>
        <v>1</v>
      </c>
      <c r="E7" s="43">
        <f t="shared" si="1"/>
        <v>1</v>
      </c>
      <c r="F7" s="43">
        <f t="shared" si="1"/>
        <v>1</v>
      </c>
      <c r="G7" s="43">
        <f t="shared" si="1"/>
        <v>1</v>
      </c>
      <c r="H7" s="43">
        <f t="shared" si="1"/>
        <v>1</v>
      </c>
      <c r="I7" s="43">
        <f t="shared" si="1"/>
        <v>1</v>
      </c>
      <c r="J7" s="43">
        <f t="shared" si="1"/>
        <v>1</v>
      </c>
      <c r="K7" s="43" t="e">
        <f>K6+ATM_Conf!$C$5*(T6-AC6)</f>
        <v>#DIV/0!</v>
      </c>
      <c r="L7" s="43" t="e">
        <f>L6+ATM_Conf!$C$5*(U6-AD6)</f>
        <v>#DIV/0!</v>
      </c>
      <c r="M7" s="43" t="e">
        <f>M6+ATM_Conf!$C$5*(V6-AE6)</f>
        <v>#DIV/0!</v>
      </c>
      <c r="N7" s="43" t="e">
        <f>N6+ATM_Conf!$C$5*(W6-AF6)</f>
        <v>#DIV/0!</v>
      </c>
      <c r="O7" s="43" t="e">
        <f>O6+ATM_Conf!$C$5*(X6-AG6)</f>
        <v>#DIV/0!</v>
      </c>
      <c r="P7" s="43" t="e">
        <f>P6+ATM_Conf!$C$5*(Y6-AH6)</f>
        <v>#DIV/0!</v>
      </c>
      <c r="Q7" s="43" t="e">
        <f>Q6+ATM_Conf!$C$5*(Z6-AI6)</f>
        <v>#DIV/0!</v>
      </c>
      <c r="R7" s="43" t="e">
        <f>R6+ATM_Conf!$C$5*(AA6-AJ6)</f>
        <v>#DIV/0!</v>
      </c>
      <c r="S7" s="43" t="e">
        <f>S6+ATM_Conf!$C$5*(AB6-AK6)</f>
        <v>#DIV/0!</v>
      </c>
      <c r="T7" s="43">
        <f t="shared" si="24"/>
        <v>0</v>
      </c>
      <c r="U7" s="43">
        <f t="shared" si="2"/>
        <v>0</v>
      </c>
      <c r="V7" s="43">
        <f t="shared" si="2"/>
        <v>0</v>
      </c>
      <c r="W7" s="43">
        <f t="shared" si="2"/>
        <v>0</v>
      </c>
      <c r="X7" s="43">
        <f t="shared" si="2"/>
        <v>0</v>
      </c>
      <c r="Y7" s="43">
        <f t="shared" si="2"/>
        <v>0</v>
      </c>
      <c r="Z7" s="43">
        <f t="shared" si="2"/>
        <v>0</v>
      </c>
      <c r="AA7" s="43">
        <f t="shared" si="2"/>
        <v>0</v>
      </c>
      <c r="AB7" s="43">
        <f t="shared" si="2"/>
        <v>0</v>
      </c>
      <c r="AC7" s="43" t="e">
        <f t="shared" si="3"/>
        <v>#DIV/0!</v>
      </c>
      <c r="AD7" s="43" t="e">
        <f t="shared" si="4"/>
        <v>#DIV/0!</v>
      </c>
      <c r="AE7" s="43" t="e">
        <f t="shared" si="5"/>
        <v>#DIV/0!</v>
      </c>
      <c r="AF7" s="43" t="e">
        <f t="shared" si="6"/>
        <v>#DIV/0!</v>
      </c>
      <c r="AG7" s="43" t="e">
        <f t="shared" si="7"/>
        <v>#DIV/0!</v>
      </c>
      <c r="AH7" s="43" t="e">
        <f t="shared" si="8"/>
        <v>#DIV/0!</v>
      </c>
      <c r="AI7" s="43" t="e">
        <f t="shared" si="9"/>
        <v>#DIV/0!</v>
      </c>
      <c r="AJ7" s="43" t="e">
        <f t="shared" si="10"/>
        <v>#DIV/0!</v>
      </c>
      <c r="AK7" s="43" t="e">
        <f t="shared" si="11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5"/>
        <v>0</v>
      </c>
      <c r="BE7" s="43">
        <f t="shared" si="12"/>
        <v>0</v>
      </c>
      <c r="BF7" s="43">
        <f t="shared" si="12"/>
        <v>0</v>
      </c>
      <c r="BG7" s="43">
        <f t="shared" si="12"/>
        <v>0</v>
      </c>
      <c r="BH7" s="43">
        <f t="shared" si="12"/>
        <v>0</v>
      </c>
      <c r="BI7" s="43">
        <f t="shared" si="12"/>
        <v>0</v>
      </c>
      <c r="BJ7" s="43">
        <f t="shared" si="12"/>
        <v>0</v>
      </c>
      <c r="BK7" s="43">
        <f t="shared" si="12"/>
        <v>0</v>
      </c>
      <c r="BL7" s="43">
        <f t="shared" si="12"/>
        <v>0</v>
      </c>
      <c r="BM7" s="51"/>
      <c r="BN7" s="51"/>
      <c r="BO7" s="51"/>
      <c r="BP7" s="51"/>
      <c r="BQ7" s="51"/>
      <c r="BR7" s="51"/>
      <c r="BS7" s="51"/>
      <c r="BT7" s="51"/>
      <c r="BU7" s="51"/>
      <c r="BV7" s="51" t="e">
        <f t="shared" si="13"/>
        <v>#DIV/0!</v>
      </c>
      <c r="BW7" s="51" t="e">
        <f t="shared" si="14"/>
        <v>#DIV/0!</v>
      </c>
      <c r="BX7" s="51" t="e">
        <f t="shared" si="15"/>
        <v>#DIV/0!</v>
      </c>
      <c r="BY7" s="51" t="e">
        <f t="shared" si="16"/>
        <v>#DIV/0!</v>
      </c>
      <c r="BZ7" s="51" t="e">
        <f t="shared" si="17"/>
        <v>#DIV/0!</v>
      </c>
      <c r="CA7" s="51" t="e">
        <f t="shared" si="18"/>
        <v>#DIV/0!</v>
      </c>
      <c r="CB7" s="51" t="e">
        <f t="shared" si="19"/>
        <v>#DIV/0!</v>
      </c>
      <c r="CC7" s="51" t="e">
        <f t="shared" si="20"/>
        <v>#DIV/0!</v>
      </c>
      <c r="CD7" s="51" t="e">
        <f t="shared" si="21"/>
        <v>#DIV/0!</v>
      </c>
      <c r="CE7" s="53">
        <f t="shared" si="26"/>
        <v>0</v>
      </c>
      <c r="CF7" s="53">
        <f t="shared" si="22"/>
        <v>0</v>
      </c>
      <c r="CG7" s="53">
        <f t="shared" si="22"/>
        <v>0</v>
      </c>
      <c r="CH7" s="53">
        <f t="shared" si="22"/>
        <v>0</v>
      </c>
      <c r="CI7" s="53">
        <f t="shared" si="22"/>
        <v>0</v>
      </c>
      <c r="CJ7" s="53">
        <f t="shared" si="22"/>
        <v>0</v>
      </c>
      <c r="CK7" s="53">
        <f t="shared" si="22"/>
        <v>0</v>
      </c>
      <c r="CL7" s="53">
        <f t="shared" si="22"/>
        <v>0</v>
      </c>
      <c r="CM7" s="53">
        <f t="shared" si="22"/>
        <v>0</v>
      </c>
    </row>
    <row r="8" spans="1:91" x14ac:dyDescent="0.15">
      <c r="A8" s="41">
        <v>6</v>
      </c>
      <c r="B8" s="43">
        <f t="shared" si="23"/>
        <v>1</v>
      </c>
      <c r="C8" s="43">
        <f t="shared" si="1"/>
        <v>1</v>
      </c>
      <c r="D8" s="43">
        <f t="shared" si="1"/>
        <v>1</v>
      </c>
      <c r="E8" s="43">
        <f t="shared" si="1"/>
        <v>1</v>
      </c>
      <c r="F8" s="43">
        <f t="shared" si="1"/>
        <v>1</v>
      </c>
      <c r="G8" s="43">
        <f t="shared" si="1"/>
        <v>1</v>
      </c>
      <c r="H8" s="43">
        <f t="shared" si="1"/>
        <v>1</v>
      </c>
      <c r="I8" s="43">
        <f t="shared" si="1"/>
        <v>1</v>
      </c>
      <c r="J8" s="43">
        <f t="shared" si="1"/>
        <v>1</v>
      </c>
      <c r="K8" s="43" t="e">
        <f>K7+ATM_Conf!$C$5*(T7-AC7)</f>
        <v>#DIV/0!</v>
      </c>
      <c r="L8" s="43" t="e">
        <f>L7+ATM_Conf!$C$5*(U7-AD7)</f>
        <v>#DIV/0!</v>
      </c>
      <c r="M8" s="43" t="e">
        <f>M7+ATM_Conf!$C$5*(V7-AE7)</f>
        <v>#DIV/0!</v>
      </c>
      <c r="N8" s="43" t="e">
        <f>N7+ATM_Conf!$C$5*(W7-AF7)</f>
        <v>#DIV/0!</v>
      </c>
      <c r="O8" s="43" t="e">
        <f>O7+ATM_Conf!$C$5*(X7-AG7)</f>
        <v>#DIV/0!</v>
      </c>
      <c r="P8" s="43" t="e">
        <f>P7+ATM_Conf!$C$5*(Y7-AH7)</f>
        <v>#DIV/0!</v>
      </c>
      <c r="Q8" s="43" t="e">
        <f>Q7+ATM_Conf!$C$5*(Z7-AI7)</f>
        <v>#DIV/0!</v>
      </c>
      <c r="R8" s="43" t="e">
        <f>R7+ATM_Conf!$C$5*(AA7-AJ7)</f>
        <v>#DIV/0!</v>
      </c>
      <c r="S8" s="43" t="e">
        <f>S7+ATM_Conf!$C$5*(AB7-AK7)</f>
        <v>#DIV/0!</v>
      </c>
      <c r="T8" s="43">
        <f t="shared" si="24"/>
        <v>0</v>
      </c>
      <c r="U8" s="43">
        <f t="shared" si="2"/>
        <v>0</v>
      </c>
      <c r="V8" s="43">
        <f t="shared" si="2"/>
        <v>0</v>
      </c>
      <c r="W8" s="43">
        <f t="shared" si="2"/>
        <v>0</v>
      </c>
      <c r="X8" s="43">
        <f t="shared" si="2"/>
        <v>0</v>
      </c>
      <c r="Y8" s="43">
        <f t="shared" si="2"/>
        <v>0</v>
      </c>
      <c r="Z8" s="43">
        <f t="shared" si="2"/>
        <v>0</v>
      </c>
      <c r="AA8" s="43">
        <f t="shared" si="2"/>
        <v>0</v>
      </c>
      <c r="AB8" s="43">
        <f t="shared" si="2"/>
        <v>0</v>
      </c>
      <c r="AC8" s="43" t="e">
        <f t="shared" si="3"/>
        <v>#DIV/0!</v>
      </c>
      <c r="AD8" s="43" t="e">
        <f t="shared" si="4"/>
        <v>#DIV/0!</v>
      </c>
      <c r="AE8" s="43" t="e">
        <f t="shared" si="5"/>
        <v>#DIV/0!</v>
      </c>
      <c r="AF8" s="43" t="e">
        <f t="shared" si="6"/>
        <v>#DIV/0!</v>
      </c>
      <c r="AG8" s="43" t="e">
        <f t="shared" si="7"/>
        <v>#DIV/0!</v>
      </c>
      <c r="AH8" s="43" t="e">
        <f t="shared" si="8"/>
        <v>#DIV/0!</v>
      </c>
      <c r="AI8" s="43" t="e">
        <f t="shared" si="9"/>
        <v>#DIV/0!</v>
      </c>
      <c r="AJ8" s="43" t="e">
        <f t="shared" si="10"/>
        <v>#DIV/0!</v>
      </c>
      <c r="AK8" s="43" t="e">
        <f t="shared" si="11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5"/>
        <v>0</v>
      </c>
      <c r="BE8" s="43">
        <f t="shared" si="12"/>
        <v>0</v>
      </c>
      <c r="BF8" s="43">
        <f t="shared" si="12"/>
        <v>0</v>
      </c>
      <c r="BG8" s="43">
        <f t="shared" si="12"/>
        <v>0</v>
      </c>
      <c r="BH8" s="43">
        <f t="shared" si="12"/>
        <v>0</v>
      </c>
      <c r="BI8" s="43">
        <f t="shared" si="12"/>
        <v>0</v>
      </c>
      <c r="BJ8" s="43">
        <f t="shared" si="12"/>
        <v>0</v>
      </c>
      <c r="BK8" s="43">
        <f t="shared" si="12"/>
        <v>0</v>
      </c>
      <c r="BL8" s="43">
        <f t="shared" si="12"/>
        <v>0</v>
      </c>
      <c r="BM8" s="51"/>
      <c r="BN8" s="51"/>
      <c r="BO8" s="51"/>
      <c r="BP8" s="51"/>
      <c r="BQ8" s="51"/>
      <c r="BR8" s="51"/>
      <c r="BS8" s="51"/>
      <c r="BT8" s="51"/>
      <c r="BU8" s="51"/>
      <c r="BV8" s="51" t="e">
        <f t="shared" si="13"/>
        <v>#DIV/0!</v>
      </c>
      <c r="BW8" s="51" t="e">
        <f t="shared" si="14"/>
        <v>#DIV/0!</v>
      </c>
      <c r="BX8" s="51" t="e">
        <f t="shared" si="15"/>
        <v>#DIV/0!</v>
      </c>
      <c r="BY8" s="51" t="e">
        <f t="shared" si="16"/>
        <v>#DIV/0!</v>
      </c>
      <c r="BZ8" s="51" t="e">
        <f t="shared" si="17"/>
        <v>#DIV/0!</v>
      </c>
      <c r="CA8" s="51" t="e">
        <f t="shared" si="18"/>
        <v>#DIV/0!</v>
      </c>
      <c r="CB8" s="51" t="e">
        <f t="shared" si="19"/>
        <v>#DIV/0!</v>
      </c>
      <c r="CC8" s="51" t="e">
        <f t="shared" si="20"/>
        <v>#DIV/0!</v>
      </c>
      <c r="CD8" s="51" t="e">
        <f t="shared" si="21"/>
        <v>#DIV/0!</v>
      </c>
      <c r="CE8" s="53">
        <f t="shared" si="26"/>
        <v>0</v>
      </c>
      <c r="CF8" s="53">
        <f t="shared" si="22"/>
        <v>0</v>
      </c>
      <c r="CG8" s="53">
        <f t="shared" si="22"/>
        <v>0</v>
      </c>
      <c r="CH8" s="53">
        <f t="shared" si="22"/>
        <v>0</v>
      </c>
      <c r="CI8" s="53">
        <f t="shared" si="22"/>
        <v>0</v>
      </c>
      <c r="CJ8" s="53">
        <f t="shared" si="22"/>
        <v>0</v>
      </c>
      <c r="CK8" s="53">
        <f t="shared" si="22"/>
        <v>0</v>
      </c>
      <c r="CL8" s="53">
        <f t="shared" si="22"/>
        <v>0</v>
      </c>
      <c r="CM8" s="53">
        <f t="shared" si="22"/>
        <v>0</v>
      </c>
    </row>
    <row r="9" spans="1:91" x14ac:dyDescent="0.15">
      <c r="A9" s="41">
        <v>7</v>
      </c>
      <c r="B9" s="43">
        <f t="shared" si="23"/>
        <v>1</v>
      </c>
      <c r="C9" s="43">
        <f t="shared" si="1"/>
        <v>1</v>
      </c>
      <c r="D9" s="43">
        <f t="shared" si="1"/>
        <v>1</v>
      </c>
      <c r="E9" s="43">
        <f t="shared" si="1"/>
        <v>1</v>
      </c>
      <c r="F9" s="43">
        <f t="shared" si="1"/>
        <v>1</v>
      </c>
      <c r="G9" s="43">
        <f t="shared" si="1"/>
        <v>1</v>
      </c>
      <c r="H9" s="43">
        <f t="shared" si="1"/>
        <v>1</v>
      </c>
      <c r="I9" s="43">
        <f t="shared" si="1"/>
        <v>1</v>
      </c>
      <c r="J9" s="43">
        <f t="shared" si="1"/>
        <v>1</v>
      </c>
      <c r="K9" s="43" t="e">
        <f>K8+ATM_Conf!$C$5*(T8-AC8)</f>
        <v>#DIV/0!</v>
      </c>
      <c r="L9" s="43" t="e">
        <f>L8+ATM_Conf!$C$5*(U8-AD8)</f>
        <v>#DIV/0!</v>
      </c>
      <c r="M9" s="43" t="e">
        <f>M8+ATM_Conf!$C$5*(V8-AE8)</f>
        <v>#DIV/0!</v>
      </c>
      <c r="N9" s="43" t="e">
        <f>N8+ATM_Conf!$C$5*(W8-AF8)</f>
        <v>#DIV/0!</v>
      </c>
      <c r="O9" s="43" t="e">
        <f>O8+ATM_Conf!$C$5*(X8-AG8)</f>
        <v>#DIV/0!</v>
      </c>
      <c r="P9" s="43" t="e">
        <f>P8+ATM_Conf!$C$5*(Y8-AH8)</f>
        <v>#DIV/0!</v>
      </c>
      <c r="Q9" s="43" t="e">
        <f>Q8+ATM_Conf!$C$5*(Z8-AI8)</f>
        <v>#DIV/0!</v>
      </c>
      <c r="R9" s="43" t="e">
        <f>R8+ATM_Conf!$C$5*(AA8-AJ8)</f>
        <v>#DIV/0!</v>
      </c>
      <c r="S9" s="43" t="e">
        <f>S8+ATM_Conf!$C$5*(AB8-AK8)</f>
        <v>#DIV/0!</v>
      </c>
      <c r="T9" s="43">
        <f t="shared" si="24"/>
        <v>0</v>
      </c>
      <c r="U9" s="43">
        <f t="shared" si="2"/>
        <v>0</v>
      </c>
      <c r="V9" s="43">
        <f t="shared" si="2"/>
        <v>0</v>
      </c>
      <c r="W9" s="43">
        <f t="shared" si="2"/>
        <v>0</v>
      </c>
      <c r="X9" s="43">
        <f t="shared" si="2"/>
        <v>0</v>
      </c>
      <c r="Y9" s="43">
        <f t="shared" si="2"/>
        <v>0</v>
      </c>
      <c r="Z9" s="43">
        <f t="shared" si="2"/>
        <v>0</v>
      </c>
      <c r="AA9" s="43">
        <f t="shared" si="2"/>
        <v>0</v>
      </c>
      <c r="AB9" s="43">
        <f t="shared" si="2"/>
        <v>0</v>
      </c>
      <c r="AC9" s="43" t="e">
        <f t="shared" si="3"/>
        <v>#DIV/0!</v>
      </c>
      <c r="AD9" s="43" t="e">
        <f t="shared" si="4"/>
        <v>#DIV/0!</v>
      </c>
      <c r="AE9" s="43" t="e">
        <f t="shared" si="5"/>
        <v>#DIV/0!</v>
      </c>
      <c r="AF9" s="43" t="e">
        <f t="shared" si="6"/>
        <v>#DIV/0!</v>
      </c>
      <c r="AG9" s="43" t="e">
        <f t="shared" si="7"/>
        <v>#DIV/0!</v>
      </c>
      <c r="AH9" s="43" t="e">
        <f t="shared" si="8"/>
        <v>#DIV/0!</v>
      </c>
      <c r="AI9" s="43" t="e">
        <f t="shared" si="9"/>
        <v>#DIV/0!</v>
      </c>
      <c r="AJ9" s="43" t="e">
        <f t="shared" si="10"/>
        <v>#DIV/0!</v>
      </c>
      <c r="AK9" s="43" t="e">
        <f t="shared" si="11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5"/>
        <v>0</v>
      </c>
      <c r="BE9" s="43">
        <f t="shared" si="12"/>
        <v>0</v>
      </c>
      <c r="BF9" s="43">
        <f t="shared" si="12"/>
        <v>0</v>
      </c>
      <c r="BG9" s="43">
        <f t="shared" si="12"/>
        <v>0</v>
      </c>
      <c r="BH9" s="43">
        <f t="shared" si="12"/>
        <v>0</v>
      </c>
      <c r="BI9" s="43">
        <f t="shared" si="12"/>
        <v>0</v>
      </c>
      <c r="BJ9" s="43">
        <f t="shared" si="12"/>
        <v>0</v>
      </c>
      <c r="BK9" s="43">
        <f t="shared" si="12"/>
        <v>0</v>
      </c>
      <c r="BL9" s="43">
        <f t="shared" si="12"/>
        <v>0</v>
      </c>
      <c r="BM9" s="51"/>
      <c r="BN9" s="51"/>
      <c r="BO9" s="51"/>
      <c r="BP9" s="51"/>
      <c r="BQ9" s="51"/>
      <c r="BR9" s="51"/>
      <c r="BS9" s="51"/>
      <c r="BT9" s="51"/>
      <c r="BU9" s="51"/>
      <c r="BV9" s="51" t="e">
        <f t="shared" si="13"/>
        <v>#DIV/0!</v>
      </c>
      <c r="BW9" s="51" t="e">
        <f t="shared" si="14"/>
        <v>#DIV/0!</v>
      </c>
      <c r="BX9" s="51" t="e">
        <f t="shared" si="15"/>
        <v>#DIV/0!</v>
      </c>
      <c r="BY9" s="51" t="e">
        <f t="shared" si="16"/>
        <v>#DIV/0!</v>
      </c>
      <c r="BZ9" s="51" t="e">
        <f t="shared" si="17"/>
        <v>#DIV/0!</v>
      </c>
      <c r="CA9" s="51" t="e">
        <f t="shared" si="18"/>
        <v>#DIV/0!</v>
      </c>
      <c r="CB9" s="51" t="e">
        <f t="shared" si="19"/>
        <v>#DIV/0!</v>
      </c>
      <c r="CC9" s="51" t="e">
        <f t="shared" si="20"/>
        <v>#DIV/0!</v>
      </c>
      <c r="CD9" s="51" t="e">
        <f t="shared" si="21"/>
        <v>#DIV/0!</v>
      </c>
      <c r="CE9" s="53">
        <f t="shared" si="26"/>
        <v>0</v>
      </c>
      <c r="CF9" s="53">
        <f t="shared" si="22"/>
        <v>0</v>
      </c>
      <c r="CG9" s="53">
        <f t="shared" si="22"/>
        <v>0</v>
      </c>
      <c r="CH9" s="53">
        <f t="shared" si="22"/>
        <v>0</v>
      </c>
      <c r="CI9" s="53">
        <f t="shared" si="22"/>
        <v>0</v>
      </c>
      <c r="CJ9" s="53">
        <f t="shared" si="22"/>
        <v>0</v>
      </c>
      <c r="CK9" s="53">
        <f t="shared" si="22"/>
        <v>0</v>
      </c>
      <c r="CL9" s="53">
        <f t="shared" si="22"/>
        <v>0</v>
      </c>
      <c r="CM9" s="53">
        <f t="shared" si="22"/>
        <v>0</v>
      </c>
    </row>
    <row r="10" spans="1:91" x14ac:dyDescent="0.15">
      <c r="A10" s="41">
        <v>8</v>
      </c>
      <c r="B10" s="43">
        <f t="shared" si="23"/>
        <v>1</v>
      </c>
      <c r="C10" s="43">
        <f t="shared" si="1"/>
        <v>1</v>
      </c>
      <c r="D10" s="43">
        <f t="shared" si="1"/>
        <v>1</v>
      </c>
      <c r="E10" s="43">
        <f t="shared" si="1"/>
        <v>1</v>
      </c>
      <c r="F10" s="43">
        <f t="shared" si="1"/>
        <v>1</v>
      </c>
      <c r="G10" s="43">
        <f t="shared" si="1"/>
        <v>1</v>
      </c>
      <c r="H10" s="43">
        <f t="shared" si="1"/>
        <v>1</v>
      </c>
      <c r="I10" s="43">
        <f t="shared" si="1"/>
        <v>1</v>
      </c>
      <c r="J10" s="43">
        <f t="shared" si="1"/>
        <v>1</v>
      </c>
      <c r="K10" s="43" t="e">
        <f>K9+ATM_Conf!$C$5*(T9-AC9)</f>
        <v>#DIV/0!</v>
      </c>
      <c r="L10" s="43" t="e">
        <f>L9+ATM_Conf!$C$5*(U9-AD9)</f>
        <v>#DIV/0!</v>
      </c>
      <c r="M10" s="43" t="e">
        <f>M9+ATM_Conf!$C$5*(V9-AE9)</f>
        <v>#DIV/0!</v>
      </c>
      <c r="N10" s="43" t="e">
        <f>N9+ATM_Conf!$C$5*(W9-AF9)</f>
        <v>#DIV/0!</v>
      </c>
      <c r="O10" s="43" t="e">
        <f>O9+ATM_Conf!$C$5*(X9-AG9)</f>
        <v>#DIV/0!</v>
      </c>
      <c r="P10" s="43" t="e">
        <f>P9+ATM_Conf!$C$5*(Y9-AH9)</f>
        <v>#DIV/0!</v>
      </c>
      <c r="Q10" s="43" t="e">
        <f>Q9+ATM_Conf!$C$5*(Z9-AI9)</f>
        <v>#DIV/0!</v>
      </c>
      <c r="R10" s="43" t="e">
        <f>R9+ATM_Conf!$C$5*(AA9-AJ9)</f>
        <v>#DIV/0!</v>
      </c>
      <c r="S10" s="43" t="e">
        <f>S9+ATM_Conf!$C$5*(AB9-AK9)</f>
        <v>#DIV/0!</v>
      </c>
      <c r="T10" s="43">
        <f t="shared" si="24"/>
        <v>0</v>
      </c>
      <c r="U10" s="43">
        <f t="shared" si="2"/>
        <v>0</v>
      </c>
      <c r="V10" s="43">
        <f t="shared" si="2"/>
        <v>0</v>
      </c>
      <c r="W10" s="43">
        <f t="shared" si="2"/>
        <v>0</v>
      </c>
      <c r="X10" s="43">
        <f t="shared" si="2"/>
        <v>0</v>
      </c>
      <c r="Y10" s="43">
        <f t="shared" si="2"/>
        <v>0</v>
      </c>
      <c r="Z10" s="43">
        <f t="shared" si="2"/>
        <v>0</v>
      </c>
      <c r="AA10" s="43">
        <f t="shared" si="2"/>
        <v>0</v>
      </c>
      <c r="AB10" s="43">
        <f t="shared" si="2"/>
        <v>0</v>
      </c>
      <c r="AC10" s="43" t="e">
        <f t="shared" si="3"/>
        <v>#DIV/0!</v>
      </c>
      <c r="AD10" s="43" t="e">
        <f t="shared" si="4"/>
        <v>#DIV/0!</v>
      </c>
      <c r="AE10" s="43" t="e">
        <f t="shared" si="5"/>
        <v>#DIV/0!</v>
      </c>
      <c r="AF10" s="43" t="e">
        <f t="shared" si="6"/>
        <v>#DIV/0!</v>
      </c>
      <c r="AG10" s="43" t="e">
        <f t="shared" si="7"/>
        <v>#DIV/0!</v>
      </c>
      <c r="AH10" s="43" t="e">
        <f t="shared" si="8"/>
        <v>#DIV/0!</v>
      </c>
      <c r="AI10" s="43" t="e">
        <f t="shared" si="9"/>
        <v>#DIV/0!</v>
      </c>
      <c r="AJ10" s="43" t="e">
        <f t="shared" si="10"/>
        <v>#DIV/0!</v>
      </c>
      <c r="AK10" s="43" t="e">
        <f t="shared" si="11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5"/>
        <v>0</v>
      </c>
      <c r="BE10" s="43">
        <f t="shared" si="12"/>
        <v>0</v>
      </c>
      <c r="BF10" s="43">
        <f t="shared" si="12"/>
        <v>0</v>
      </c>
      <c r="BG10" s="43">
        <f t="shared" si="12"/>
        <v>0</v>
      </c>
      <c r="BH10" s="43">
        <f t="shared" si="12"/>
        <v>0</v>
      </c>
      <c r="BI10" s="43">
        <f t="shared" si="12"/>
        <v>0</v>
      </c>
      <c r="BJ10" s="43">
        <f t="shared" si="12"/>
        <v>0</v>
      </c>
      <c r="BK10" s="43">
        <f t="shared" si="12"/>
        <v>0</v>
      </c>
      <c r="BL10" s="43">
        <f t="shared" si="12"/>
        <v>0</v>
      </c>
      <c r="BM10" s="51"/>
      <c r="BN10" s="51"/>
      <c r="BO10" s="51"/>
      <c r="BP10" s="51"/>
      <c r="BQ10" s="51"/>
      <c r="BR10" s="51"/>
      <c r="BS10" s="51"/>
      <c r="BT10" s="51"/>
      <c r="BU10" s="51"/>
      <c r="BV10" s="51" t="e">
        <f t="shared" si="13"/>
        <v>#DIV/0!</v>
      </c>
      <c r="BW10" s="51" t="e">
        <f t="shared" si="14"/>
        <v>#DIV/0!</v>
      </c>
      <c r="BX10" s="51" t="e">
        <f t="shared" si="15"/>
        <v>#DIV/0!</v>
      </c>
      <c r="BY10" s="51" t="e">
        <f t="shared" si="16"/>
        <v>#DIV/0!</v>
      </c>
      <c r="BZ10" s="51" t="e">
        <f t="shared" si="17"/>
        <v>#DIV/0!</v>
      </c>
      <c r="CA10" s="51" t="e">
        <f t="shared" si="18"/>
        <v>#DIV/0!</v>
      </c>
      <c r="CB10" s="51" t="e">
        <f t="shared" si="19"/>
        <v>#DIV/0!</v>
      </c>
      <c r="CC10" s="51" t="e">
        <f t="shared" si="20"/>
        <v>#DIV/0!</v>
      </c>
      <c r="CD10" s="51" t="e">
        <f t="shared" si="21"/>
        <v>#DIV/0!</v>
      </c>
      <c r="CE10" s="53">
        <f t="shared" si="26"/>
        <v>0</v>
      </c>
      <c r="CF10" s="53">
        <f t="shared" si="22"/>
        <v>0</v>
      </c>
      <c r="CG10" s="53">
        <f t="shared" si="22"/>
        <v>0</v>
      </c>
      <c r="CH10" s="53">
        <f t="shared" si="22"/>
        <v>0</v>
      </c>
      <c r="CI10" s="53">
        <f t="shared" si="22"/>
        <v>0</v>
      </c>
      <c r="CJ10" s="53">
        <f t="shared" si="22"/>
        <v>0</v>
      </c>
      <c r="CK10" s="53">
        <f t="shared" si="22"/>
        <v>0</v>
      </c>
      <c r="CL10" s="53">
        <f t="shared" si="22"/>
        <v>0</v>
      </c>
      <c r="CM10" s="53">
        <f t="shared" si="22"/>
        <v>0</v>
      </c>
    </row>
    <row r="11" spans="1:91" x14ac:dyDescent="0.15">
      <c r="A11" s="41">
        <v>9</v>
      </c>
      <c r="B11" s="43">
        <f t="shared" si="23"/>
        <v>1</v>
      </c>
      <c r="C11" s="43">
        <f t="shared" si="1"/>
        <v>1</v>
      </c>
      <c r="D11" s="43">
        <f t="shared" si="1"/>
        <v>1</v>
      </c>
      <c r="E11" s="43">
        <f t="shared" si="1"/>
        <v>1</v>
      </c>
      <c r="F11" s="43">
        <f t="shared" si="1"/>
        <v>1</v>
      </c>
      <c r="G11" s="43">
        <f t="shared" si="1"/>
        <v>1</v>
      </c>
      <c r="H11" s="43">
        <f t="shared" si="1"/>
        <v>1</v>
      </c>
      <c r="I11" s="43">
        <f t="shared" si="1"/>
        <v>1</v>
      </c>
      <c r="J11" s="43">
        <f t="shared" si="1"/>
        <v>1</v>
      </c>
      <c r="K11" s="43" t="e">
        <f>K10+ATM_Conf!$C$5*(T10-AC10)</f>
        <v>#DIV/0!</v>
      </c>
      <c r="L11" s="43" t="e">
        <f>L10+ATM_Conf!$C$5*(U10-AD10)</f>
        <v>#DIV/0!</v>
      </c>
      <c r="M11" s="43" t="e">
        <f>M10+ATM_Conf!$C$5*(V10-AE10)</f>
        <v>#DIV/0!</v>
      </c>
      <c r="N11" s="43" t="e">
        <f>N10+ATM_Conf!$C$5*(W10-AF10)</f>
        <v>#DIV/0!</v>
      </c>
      <c r="O11" s="43" t="e">
        <f>O10+ATM_Conf!$C$5*(X10-AG10)</f>
        <v>#DIV/0!</v>
      </c>
      <c r="P11" s="43" t="e">
        <f>P10+ATM_Conf!$C$5*(Y10-AH10)</f>
        <v>#DIV/0!</v>
      </c>
      <c r="Q11" s="43" t="e">
        <f>Q10+ATM_Conf!$C$5*(Z10-AI10)</f>
        <v>#DIV/0!</v>
      </c>
      <c r="R11" s="43" t="e">
        <f>R10+ATM_Conf!$C$5*(AA10-AJ10)</f>
        <v>#DIV/0!</v>
      </c>
      <c r="S11" s="43" t="e">
        <f>S10+ATM_Conf!$C$5*(AB10-AK10)</f>
        <v>#DIV/0!</v>
      </c>
      <c r="T11" s="43">
        <f t="shared" si="24"/>
        <v>0</v>
      </c>
      <c r="U11" s="43">
        <f t="shared" si="2"/>
        <v>0</v>
      </c>
      <c r="V11" s="43">
        <f t="shared" si="2"/>
        <v>0</v>
      </c>
      <c r="W11" s="43">
        <f t="shared" si="2"/>
        <v>0</v>
      </c>
      <c r="X11" s="43">
        <f t="shared" si="2"/>
        <v>0</v>
      </c>
      <c r="Y11" s="43">
        <f t="shared" si="2"/>
        <v>0</v>
      </c>
      <c r="Z11" s="43">
        <f t="shared" si="2"/>
        <v>0</v>
      </c>
      <c r="AA11" s="43">
        <f t="shared" si="2"/>
        <v>0</v>
      </c>
      <c r="AB11" s="43">
        <f t="shared" si="2"/>
        <v>0</v>
      </c>
      <c r="AC11" s="43" t="e">
        <f t="shared" si="3"/>
        <v>#DIV/0!</v>
      </c>
      <c r="AD11" s="43" t="e">
        <f t="shared" si="4"/>
        <v>#DIV/0!</v>
      </c>
      <c r="AE11" s="43" t="e">
        <f t="shared" si="5"/>
        <v>#DIV/0!</v>
      </c>
      <c r="AF11" s="43" t="e">
        <f t="shared" si="6"/>
        <v>#DIV/0!</v>
      </c>
      <c r="AG11" s="43" t="e">
        <f t="shared" si="7"/>
        <v>#DIV/0!</v>
      </c>
      <c r="AH11" s="43" t="e">
        <f t="shared" si="8"/>
        <v>#DIV/0!</v>
      </c>
      <c r="AI11" s="43" t="e">
        <f t="shared" si="9"/>
        <v>#DIV/0!</v>
      </c>
      <c r="AJ11" s="43" t="e">
        <f t="shared" si="10"/>
        <v>#DIV/0!</v>
      </c>
      <c r="AK11" s="43" t="e">
        <f t="shared" si="11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5"/>
        <v>0</v>
      </c>
      <c r="BE11" s="43">
        <f t="shared" si="12"/>
        <v>0</v>
      </c>
      <c r="BF11" s="43">
        <f t="shared" si="12"/>
        <v>0</v>
      </c>
      <c r="BG11" s="43">
        <f t="shared" si="12"/>
        <v>0</v>
      </c>
      <c r="BH11" s="43">
        <f t="shared" si="12"/>
        <v>0</v>
      </c>
      <c r="BI11" s="43">
        <f t="shared" si="12"/>
        <v>0</v>
      </c>
      <c r="BJ11" s="43">
        <f t="shared" si="12"/>
        <v>0</v>
      </c>
      <c r="BK11" s="43">
        <f t="shared" si="12"/>
        <v>0</v>
      </c>
      <c r="BL11" s="43">
        <f t="shared" si="12"/>
        <v>0</v>
      </c>
      <c r="BM11" s="51"/>
      <c r="BN11" s="51"/>
      <c r="BO11" s="51"/>
      <c r="BP11" s="51"/>
      <c r="BQ11" s="51"/>
      <c r="BR11" s="51"/>
      <c r="BS11" s="51"/>
      <c r="BT11" s="51"/>
      <c r="BU11" s="51"/>
      <c r="BV11" s="51" t="e">
        <f t="shared" si="13"/>
        <v>#DIV/0!</v>
      </c>
      <c r="BW11" s="51" t="e">
        <f t="shared" si="14"/>
        <v>#DIV/0!</v>
      </c>
      <c r="BX11" s="51" t="e">
        <f t="shared" si="15"/>
        <v>#DIV/0!</v>
      </c>
      <c r="BY11" s="51" t="e">
        <f t="shared" si="16"/>
        <v>#DIV/0!</v>
      </c>
      <c r="BZ11" s="51" t="e">
        <f t="shared" si="17"/>
        <v>#DIV/0!</v>
      </c>
      <c r="CA11" s="51" t="e">
        <f t="shared" si="18"/>
        <v>#DIV/0!</v>
      </c>
      <c r="CB11" s="51" t="e">
        <f t="shared" si="19"/>
        <v>#DIV/0!</v>
      </c>
      <c r="CC11" s="51" t="e">
        <f t="shared" si="20"/>
        <v>#DIV/0!</v>
      </c>
      <c r="CD11" s="51" t="e">
        <f t="shared" si="21"/>
        <v>#DIV/0!</v>
      </c>
      <c r="CE11" s="53">
        <f t="shared" si="26"/>
        <v>0</v>
      </c>
      <c r="CF11" s="53">
        <f t="shared" si="22"/>
        <v>0</v>
      </c>
      <c r="CG11" s="53">
        <f t="shared" si="22"/>
        <v>0</v>
      </c>
      <c r="CH11" s="53">
        <f t="shared" si="22"/>
        <v>0</v>
      </c>
      <c r="CI11" s="53">
        <f t="shared" si="22"/>
        <v>0</v>
      </c>
      <c r="CJ11" s="53">
        <f t="shared" si="22"/>
        <v>0</v>
      </c>
      <c r="CK11" s="53">
        <f t="shared" si="22"/>
        <v>0</v>
      </c>
      <c r="CL11" s="53">
        <f t="shared" si="22"/>
        <v>0</v>
      </c>
      <c r="CM11" s="53">
        <f t="shared" si="22"/>
        <v>0</v>
      </c>
    </row>
    <row r="12" spans="1:91" x14ac:dyDescent="0.15">
      <c r="A12" s="41">
        <v>10</v>
      </c>
      <c r="B12" s="43">
        <f t="shared" si="23"/>
        <v>1</v>
      </c>
      <c r="C12" s="43">
        <f t="shared" si="1"/>
        <v>1</v>
      </c>
      <c r="D12" s="43">
        <f t="shared" si="1"/>
        <v>1</v>
      </c>
      <c r="E12" s="43">
        <f t="shared" si="1"/>
        <v>1</v>
      </c>
      <c r="F12" s="43">
        <f t="shared" si="1"/>
        <v>1</v>
      </c>
      <c r="G12" s="43">
        <f t="shared" si="1"/>
        <v>1</v>
      </c>
      <c r="H12" s="43">
        <f t="shared" si="1"/>
        <v>1</v>
      </c>
      <c r="I12" s="43">
        <f t="shared" si="1"/>
        <v>1</v>
      </c>
      <c r="J12" s="43">
        <f t="shared" si="1"/>
        <v>1</v>
      </c>
      <c r="K12" s="43" t="e">
        <f>K11+ATM_Conf!$C$5*(T11-AC11)</f>
        <v>#DIV/0!</v>
      </c>
      <c r="L12" s="43" t="e">
        <f>L11+ATM_Conf!$C$5*(U11-AD11)</f>
        <v>#DIV/0!</v>
      </c>
      <c r="M12" s="43" t="e">
        <f>M11+ATM_Conf!$C$5*(V11-AE11)</f>
        <v>#DIV/0!</v>
      </c>
      <c r="N12" s="43" t="e">
        <f>N11+ATM_Conf!$C$5*(W11-AF11)</f>
        <v>#DIV/0!</v>
      </c>
      <c r="O12" s="43" t="e">
        <f>O11+ATM_Conf!$C$5*(X11-AG11)</f>
        <v>#DIV/0!</v>
      </c>
      <c r="P12" s="43" t="e">
        <f>P11+ATM_Conf!$C$5*(Y11-AH11)</f>
        <v>#DIV/0!</v>
      </c>
      <c r="Q12" s="43" t="e">
        <f>Q11+ATM_Conf!$C$5*(Z11-AI11)</f>
        <v>#DIV/0!</v>
      </c>
      <c r="R12" s="43" t="e">
        <f>R11+ATM_Conf!$C$5*(AA11-AJ11)</f>
        <v>#DIV/0!</v>
      </c>
      <c r="S12" s="43" t="e">
        <f>S11+ATM_Conf!$C$5*(AB11-AK11)</f>
        <v>#DIV/0!</v>
      </c>
      <c r="T12" s="43">
        <f t="shared" si="24"/>
        <v>0</v>
      </c>
      <c r="U12" s="43">
        <f t="shared" si="2"/>
        <v>0</v>
      </c>
      <c r="V12" s="43">
        <f t="shared" si="2"/>
        <v>0</v>
      </c>
      <c r="W12" s="43">
        <f t="shared" si="2"/>
        <v>0</v>
      </c>
      <c r="X12" s="43">
        <f t="shared" si="2"/>
        <v>0</v>
      </c>
      <c r="Y12" s="43">
        <f t="shared" si="2"/>
        <v>0</v>
      </c>
      <c r="Z12" s="43">
        <f t="shared" si="2"/>
        <v>0</v>
      </c>
      <c r="AA12" s="43">
        <f t="shared" si="2"/>
        <v>0</v>
      </c>
      <c r="AB12" s="43">
        <f t="shared" si="2"/>
        <v>0</v>
      </c>
      <c r="AC12" s="43" t="e">
        <f t="shared" si="3"/>
        <v>#DIV/0!</v>
      </c>
      <c r="AD12" s="43" t="e">
        <f t="shared" si="4"/>
        <v>#DIV/0!</v>
      </c>
      <c r="AE12" s="43" t="e">
        <f t="shared" si="5"/>
        <v>#DIV/0!</v>
      </c>
      <c r="AF12" s="43" t="e">
        <f t="shared" si="6"/>
        <v>#DIV/0!</v>
      </c>
      <c r="AG12" s="43" t="e">
        <f t="shared" si="7"/>
        <v>#DIV/0!</v>
      </c>
      <c r="AH12" s="43" t="e">
        <f t="shared" si="8"/>
        <v>#DIV/0!</v>
      </c>
      <c r="AI12" s="43" t="e">
        <f t="shared" si="9"/>
        <v>#DIV/0!</v>
      </c>
      <c r="AJ12" s="43" t="e">
        <f t="shared" si="10"/>
        <v>#DIV/0!</v>
      </c>
      <c r="AK12" s="43" t="e">
        <f t="shared" si="11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5"/>
        <v>0</v>
      </c>
      <c r="BE12" s="43">
        <f t="shared" si="12"/>
        <v>0</v>
      </c>
      <c r="BF12" s="43">
        <f t="shared" si="12"/>
        <v>0</v>
      </c>
      <c r="BG12" s="43">
        <f t="shared" si="12"/>
        <v>0</v>
      </c>
      <c r="BH12" s="43">
        <f t="shared" si="12"/>
        <v>0</v>
      </c>
      <c r="BI12" s="43">
        <f t="shared" si="12"/>
        <v>0</v>
      </c>
      <c r="BJ12" s="43">
        <f t="shared" si="12"/>
        <v>0</v>
      </c>
      <c r="BK12" s="43">
        <f t="shared" si="12"/>
        <v>0</v>
      </c>
      <c r="BL12" s="43">
        <f t="shared" si="12"/>
        <v>0</v>
      </c>
      <c r="BM12" s="51"/>
      <c r="BN12" s="51"/>
      <c r="BO12" s="51"/>
      <c r="BP12" s="51"/>
      <c r="BQ12" s="51"/>
      <c r="BR12" s="51"/>
      <c r="BS12" s="51"/>
      <c r="BT12" s="51"/>
      <c r="BU12" s="51"/>
      <c r="BV12" s="51" t="e">
        <f t="shared" si="13"/>
        <v>#DIV/0!</v>
      </c>
      <c r="BW12" s="51" t="e">
        <f t="shared" si="14"/>
        <v>#DIV/0!</v>
      </c>
      <c r="BX12" s="51" t="e">
        <f t="shared" si="15"/>
        <v>#DIV/0!</v>
      </c>
      <c r="BY12" s="51" t="e">
        <f t="shared" si="16"/>
        <v>#DIV/0!</v>
      </c>
      <c r="BZ12" s="51" t="e">
        <f t="shared" si="17"/>
        <v>#DIV/0!</v>
      </c>
      <c r="CA12" s="51" t="e">
        <f t="shared" si="18"/>
        <v>#DIV/0!</v>
      </c>
      <c r="CB12" s="51" t="e">
        <f t="shared" si="19"/>
        <v>#DIV/0!</v>
      </c>
      <c r="CC12" s="51" t="e">
        <f t="shared" si="20"/>
        <v>#DIV/0!</v>
      </c>
      <c r="CD12" s="51" t="e">
        <f t="shared" si="21"/>
        <v>#DIV/0!</v>
      </c>
      <c r="CE12" s="53">
        <f t="shared" si="26"/>
        <v>0</v>
      </c>
      <c r="CF12" s="53">
        <f t="shared" si="22"/>
        <v>0</v>
      </c>
      <c r="CG12" s="53">
        <f t="shared" si="22"/>
        <v>0</v>
      </c>
      <c r="CH12" s="53">
        <f t="shared" si="22"/>
        <v>0</v>
      </c>
      <c r="CI12" s="53">
        <f t="shared" si="22"/>
        <v>0</v>
      </c>
      <c r="CJ12" s="53">
        <f t="shared" si="22"/>
        <v>0</v>
      </c>
      <c r="CK12" s="53">
        <f t="shared" si="22"/>
        <v>0</v>
      </c>
      <c r="CL12" s="53">
        <f t="shared" si="22"/>
        <v>0</v>
      </c>
      <c r="CM12" s="53">
        <f t="shared" si="22"/>
        <v>0</v>
      </c>
    </row>
    <row r="13" spans="1:91" x14ac:dyDescent="0.15">
      <c r="A13" s="41">
        <v>11</v>
      </c>
      <c r="B13" s="43">
        <f t="shared" si="23"/>
        <v>1</v>
      </c>
      <c r="C13" s="43">
        <f t="shared" si="1"/>
        <v>1</v>
      </c>
      <c r="D13" s="43">
        <f t="shared" si="1"/>
        <v>1</v>
      </c>
      <c r="E13" s="43">
        <f t="shared" si="1"/>
        <v>1</v>
      </c>
      <c r="F13" s="43">
        <f t="shared" si="1"/>
        <v>1</v>
      </c>
      <c r="G13" s="43">
        <f t="shared" si="1"/>
        <v>1</v>
      </c>
      <c r="H13" s="43">
        <f t="shared" si="1"/>
        <v>1</v>
      </c>
      <c r="I13" s="43">
        <f t="shared" si="1"/>
        <v>1</v>
      </c>
      <c r="J13" s="43">
        <f t="shared" si="1"/>
        <v>1</v>
      </c>
      <c r="K13" s="43" t="e">
        <f>K12+ATM_Conf!$C$5*(T12-AC12)</f>
        <v>#DIV/0!</v>
      </c>
      <c r="L13" s="43" t="e">
        <f>L12+ATM_Conf!$C$5*(U12-AD12)</f>
        <v>#DIV/0!</v>
      </c>
      <c r="M13" s="43" t="e">
        <f>M12+ATM_Conf!$C$5*(V12-AE12)</f>
        <v>#DIV/0!</v>
      </c>
      <c r="N13" s="43" t="e">
        <f>N12+ATM_Conf!$C$5*(W12-AF12)</f>
        <v>#DIV/0!</v>
      </c>
      <c r="O13" s="43" t="e">
        <f>O12+ATM_Conf!$C$5*(X12-AG12)</f>
        <v>#DIV/0!</v>
      </c>
      <c r="P13" s="43" t="e">
        <f>P12+ATM_Conf!$C$5*(Y12-AH12)</f>
        <v>#DIV/0!</v>
      </c>
      <c r="Q13" s="43" t="e">
        <f>Q12+ATM_Conf!$C$5*(Z12-AI12)</f>
        <v>#DIV/0!</v>
      </c>
      <c r="R13" s="43" t="e">
        <f>R12+ATM_Conf!$C$5*(AA12-AJ12)</f>
        <v>#DIV/0!</v>
      </c>
      <c r="S13" s="43" t="e">
        <f>S12+ATM_Conf!$C$5*(AB12-AK12)</f>
        <v>#DIV/0!</v>
      </c>
      <c r="T13" s="43">
        <f t="shared" si="24"/>
        <v>0</v>
      </c>
      <c r="U13" s="43">
        <f t="shared" si="2"/>
        <v>0</v>
      </c>
      <c r="V13" s="43">
        <f t="shared" si="2"/>
        <v>0</v>
      </c>
      <c r="W13" s="43">
        <f t="shared" si="2"/>
        <v>0</v>
      </c>
      <c r="X13" s="43">
        <f t="shared" si="2"/>
        <v>0</v>
      </c>
      <c r="Y13" s="43">
        <f t="shared" si="2"/>
        <v>0</v>
      </c>
      <c r="Z13" s="43">
        <f t="shared" si="2"/>
        <v>0</v>
      </c>
      <c r="AA13" s="43">
        <f t="shared" si="2"/>
        <v>0</v>
      </c>
      <c r="AB13" s="43">
        <f t="shared" si="2"/>
        <v>0</v>
      </c>
      <c r="AC13" s="43" t="e">
        <f t="shared" si="3"/>
        <v>#DIV/0!</v>
      </c>
      <c r="AD13" s="43" t="e">
        <f t="shared" si="4"/>
        <v>#DIV/0!</v>
      </c>
      <c r="AE13" s="43" t="e">
        <f t="shared" si="5"/>
        <v>#DIV/0!</v>
      </c>
      <c r="AF13" s="43" t="e">
        <f t="shared" si="6"/>
        <v>#DIV/0!</v>
      </c>
      <c r="AG13" s="43" t="e">
        <f t="shared" si="7"/>
        <v>#DIV/0!</v>
      </c>
      <c r="AH13" s="43" t="e">
        <f t="shared" si="8"/>
        <v>#DIV/0!</v>
      </c>
      <c r="AI13" s="43" t="e">
        <f t="shared" si="9"/>
        <v>#DIV/0!</v>
      </c>
      <c r="AJ13" s="43" t="e">
        <f t="shared" si="10"/>
        <v>#DIV/0!</v>
      </c>
      <c r="AK13" s="43" t="e">
        <f t="shared" si="11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5"/>
        <v>0</v>
      </c>
      <c r="BE13" s="43">
        <f t="shared" si="12"/>
        <v>0</v>
      </c>
      <c r="BF13" s="43">
        <f t="shared" si="12"/>
        <v>0</v>
      </c>
      <c r="BG13" s="43">
        <f t="shared" si="12"/>
        <v>0</v>
      </c>
      <c r="BH13" s="43">
        <f t="shared" si="12"/>
        <v>0</v>
      </c>
      <c r="BI13" s="43">
        <f t="shared" si="12"/>
        <v>0</v>
      </c>
      <c r="BJ13" s="43">
        <f t="shared" si="12"/>
        <v>0</v>
      </c>
      <c r="BK13" s="43">
        <f t="shared" si="12"/>
        <v>0</v>
      </c>
      <c r="BL13" s="43">
        <f t="shared" si="12"/>
        <v>0</v>
      </c>
      <c r="BM13" s="51"/>
      <c r="BN13" s="51"/>
      <c r="BO13" s="51"/>
      <c r="BP13" s="51"/>
      <c r="BQ13" s="51"/>
      <c r="BR13" s="51"/>
      <c r="BS13" s="51"/>
      <c r="BT13" s="51"/>
      <c r="BU13" s="51"/>
      <c r="BV13" s="51" t="e">
        <f t="shared" si="13"/>
        <v>#DIV/0!</v>
      </c>
      <c r="BW13" s="51" t="e">
        <f t="shared" si="14"/>
        <v>#DIV/0!</v>
      </c>
      <c r="BX13" s="51" t="e">
        <f t="shared" si="15"/>
        <v>#DIV/0!</v>
      </c>
      <c r="BY13" s="51" t="e">
        <f t="shared" si="16"/>
        <v>#DIV/0!</v>
      </c>
      <c r="BZ13" s="51" t="e">
        <f t="shared" si="17"/>
        <v>#DIV/0!</v>
      </c>
      <c r="CA13" s="51" t="e">
        <f t="shared" si="18"/>
        <v>#DIV/0!</v>
      </c>
      <c r="CB13" s="51" t="e">
        <f t="shared" si="19"/>
        <v>#DIV/0!</v>
      </c>
      <c r="CC13" s="51" t="e">
        <f t="shared" si="20"/>
        <v>#DIV/0!</v>
      </c>
      <c r="CD13" s="51" t="e">
        <f t="shared" si="21"/>
        <v>#DIV/0!</v>
      </c>
      <c r="CE13" s="53">
        <f t="shared" si="26"/>
        <v>0</v>
      </c>
      <c r="CF13" s="53">
        <f t="shared" si="22"/>
        <v>0</v>
      </c>
      <c r="CG13" s="53">
        <f t="shared" si="22"/>
        <v>0</v>
      </c>
      <c r="CH13" s="53">
        <f t="shared" si="22"/>
        <v>0</v>
      </c>
      <c r="CI13" s="53">
        <f t="shared" si="22"/>
        <v>0</v>
      </c>
      <c r="CJ13" s="53">
        <f t="shared" si="22"/>
        <v>0</v>
      </c>
      <c r="CK13" s="53">
        <f t="shared" si="22"/>
        <v>0</v>
      </c>
      <c r="CL13" s="53">
        <f t="shared" si="22"/>
        <v>0</v>
      </c>
      <c r="CM13" s="53">
        <f t="shared" si="22"/>
        <v>0</v>
      </c>
    </row>
    <row r="14" spans="1:91" x14ac:dyDescent="0.15">
      <c r="A14" s="41">
        <v>12</v>
      </c>
      <c r="B14" s="43">
        <f t="shared" si="23"/>
        <v>1</v>
      </c>
      <c r="C14" s="43">
        <f t="shared" si="1"/>
        <v>1</v>
      </c>
      <c r="D14" s="43">
        <f t="shared" si="1"/>
        <v>1</v>
      </c>
      <c r="E14" s="43">
        <f t="shared" si="1"/>
        <v>1</v>
      </c>
      <c r="F14" s="43">
        <f t="shared" si="1"/>
        <v>1</v>
      </c>
      <c r="G14" s="43">
        <f t="shared" si="1"/>
        <v>1</v>
      </c>
      <c r="H14" s="43">
        <f t="shared" si="1"/>
        <v>1</v>
      </c>
      <c r="I14" s="43">
        <f t="shared" si="1"/>
        <v>1</v>
      </c>
      <c r="J14" s="43">
        <f t="shared" si="1"/>
        <v>1</v>
      </c>
      <c r="K14" s="43" t="e">
        <f>K13+ATM_Conf!$C$5*(T13-AC13)</f>
        <v>#DIV/0!</v>
      </c>
      <c r="L14" s="43" t="e">
        <f>L13+ATM_Conf!$C$5*(U13-AD13)</f>
        <v>#DIV/0!</v>
      </c>
      <c r="M14" s="43" t="e">
        <f>M13+ATM_Conf!$C$5*(V13-AE13)</f>
        <v>#DIV/0!</v>
      </c>
      <c r="N14" s="43" t="e">
        <f>N13+ATM_Conf!$C$5*(W13-AF13)</f>
        <v>#DIV/0!</v>
      </c>
      <c r="O14" s="43" t="e">
        <f>O13+ATM_Conf!$C$5*(X13-AG13)</f>
        <v>#DIV/0!</v>
      </c>
      <c r="P14" s="43" t="e">
        <f>P13+ATM_Conf!$C$5*(Y13-AH13)</f>
        <v>#DIV/0!</v>
      </c>
      <c r="Q14" s="43" t="e">
        <f>Q13+ATM_Conf!$C$5*(Z13-AI13)</f>
        <v>#DIV/0!</v>
      </c>
      <c r="R14" s="43" t="e">
        <f>R13+ATM_Conf!$C$5*(AA13-AJ13)</f>
        <v>#DIV/0!</v>
      </c>
      <c r="S14" s="43" t="e">
        <f>S13+ATM_Conf!$C$5*(AB13-AK13)</f>
        <v>#DIV/0!</v>
      </c>
      <c r="T14" s="43">
        <f t="shared" si="24"/>
        <v>0</v>
      </c>
      <c r="U14" s="43">
        <f t="shared" si="2"/>
        <v>0</v>
      </c>
      <c r="V14" s="43">
        <f t="shared" si="2"/>
        <v>0</v>
      </c>
      <c r="W14" s="43">
        <f t="shared" si="2"/>
        <v>0</v>
      </c>
      <c r="X14" s="43">
        <f t="shared" si="2"/>
        <v>0</v>
      </c>
      <c r="Y14" s="43">
        <f t="shared" si="2"/>
        <v>0</v>
      </c>
      <c r="Z14" s="43">
        <f t="shared" si="2"/>
        <v>0</v>
      </c>
      <c r="AA14" s="43">
        <f t="shared" si="2"/>
        <v>0</v>
      </c>
      <c r="AB14" s="43">
        <f t="shared" si="2"/>
        <v>0</v>
      </c>
      <c r="AC14" s="43" t="e">
        <f t="shared" si="3"/>
        <v>#DIV/0!</v>
      </c>
      <c r="AD14" s="43" t="e">
        <f t="shared" si="4"/>
        <v>#DIV/0!</v>
      </c>
      <c r="AE14" s="43" t="e">
        <f t="shared" si="5"/>
        <v>#DIV/0!</v>
      </c>
      <c r="AF14" s="43" t="e">
        <f t="shared" si="6"/>
        <v>#DIV/0!</v>
      </c>
      <c r="AG14" s="43" t="e">
        <f t="shared" si="7"/>
        <v>#DIV/0!</v>
      </c>
      <c r="AH14" s="43" t="e">
        <f t="shared" si="8"/>
        <v>#DIV/0!</v>
      </c>
      <c r="AI14" s="43" t="e">
        <f t="shared" si="9"/>
        <v>#DIV/0!</v>
      </c>
      <c r="AJ14" s="43" t="e">
        <f t="shared" si="10"/>
        <v>#DIV/0!</v>
      </c>
      <c r="AK14" s="43" t="e">
        <f t="shared" si="11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5"/>
        <v>0</v>
      </c>
      <c r="BE14" s="43">
        <f t="shared" si="12"/>
        <v>0</v>
      </c>
      <c r="BF14" s="43">
        <f t="shared" si="12"/>
        <v>0</v>
      </c>
      <c r="BG14" s="43">
        <f t="shared" si="12"/>
        <v>0</v>
      </c>
      <c r="BH14" s="43">
        <f t="shared" si="12"/>
        <v>0</v>
      </c>
      <c r="BI14" s="43">
        <f t="shared" si="12"/>
        <v>0</v>
      </c>
      <c r="BJ14" s="43">
        <f t="shared" si="12"/>
        <v>0</v>
      </c>
      <c r="BK14" s="43">
        <f t="shared" si="12"/>
        <v>0</v>
      </c>
      <c r="BL14" s="43">
        <f t="shared" si="12"/>
        <v>0</v>
      </c>
      <c r="BM14" s="51"/>
      <c r="BN14" s="51"/>
      <c r="BO14" s="51"/>
      <c r="BP14" s="51"/>
      <c r="BQ14" s="51"/>
      <c r="BR14" s="51"/>
      <c r="BS14" s="51"/>
      <c r="BT14" s="51"/>
      <c r="BU14" s="51"/>
      <c r="BV14" s="51" t="e">
        <f t="shared" si="13"/>
        <v>#DIV/0!</v>
      </c>
      <c r="BW14" s="51" t="e">
        <f t="shared" si="14"/>
        <v>#DIV/0!</v>
      </c>
      <c r="BX14" s="51" t="e">
        <f t="shared" si="15"/>
        <v>#DIV/0!</v>
      </c>
      <c r="BY14" s="51" t="e">
        <f t="shared" si="16"/>
        <v>#DIV/0!</v>
      </c>
      <c r="BZ14" s="51" t="e">
        <f t="shared" si="17"/>
        <v>#DIV/0!</v>
      </c>
      <c r="CA14" s="51" t="e">
        <f t="shared" si="18"/>
        <v>#DIV/0!</v>
      </c>
      <c r="CB14" s="51" t="e">
        <f t="shared" si="19"/>
        <v>#DIV/0!</v>
      </c>
      <c r="CC14" s="51" t="e">
        <f t="shared" si="20"/>
        <v>#DIV/0!</v>
      </c>
      <c r="CD14" s="51" t="e">
        <f t="shared" si="21"/>
        <v>#DIV/0!</v>
      </c>
      <c r="CE14" s="53">
        <f t="shared" si="26"/>
        <v>0</v>
      </c>
      <c r="CF14" s="53">
        <f t="shared" si="22"/>
        <v>0</v>
      </c>
      <c r="CG14" s="53">
        <f t="shared" si="22"/>
        <v>0</v>
      </c>
      <c r="CH14" s="53">
        <f t="shared" si="22"/>
        <v>0</v>
      </c>
      <c r="CI14" s="53">
        <f t="shared" si="22"/>
        <v>0</v>
      </c>
      <c r="CJ14" s="53">
        <f t="shared" si="22"/>
        <v>0</v>
      </c>
      <c r="CK14" s="53">
        <f t="shared" si="22"/>
        <v>0</v>
      </c>
      <c r="CL14" s="53">
        <f t="shared" si="22"/>
        <v>0</v>
      </c>
      <c r="CM14" s="53">
        <f t="shared" si="22"/>
        <v>0</v>
      </c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 t="e">
        <f>K14+ATM_Conf!$C$5*(T14-AC14)</f>
        <v>#DIV/0!</v>
      </c>
      <c r="L15" s="43" t="e">
        <f>L14+ATM_Conf!$C$5*(U14-AD14)</f>
        <v>#DIV/0!</v>
      </c>
      <c r="M15" s="43" t="e">
        <f>M14+ATM_Conf!$C$5*(V14-AE14)</f>
        <v>#DIV/0!</v>
      </c>
      <c r="N15" s="43" t="e">
        <f>N14+ATM_Conf!$C$5*(W14-AF14)</f>
        <v>#DIV/0!</v>
      </c>
      <c r="O15" s="43" t="e">
        <f>O14+ATM_Conf!$C$5*(X14-AG14)</f>
        <v>#DIV/0!</v>
      </c>
      <c r="P15" s="43" t="e">
        <f>P14+ATM_Conf!$C$5*(Y14-AH14)</f>
        <v>#DIV/0!</v>
      </c>
      <c r="Q15" s="43" t="e">
        <f>Q14+ATM_Conf!$C$5*(Z14-AI14)</f>
        <v>#DIV/0!</v>
      </c>
      <c r="R15" s="43" t="e">
        <f>R14+ATM_Conf!$C$5*(AA14-AJ14)</f>
        <v>#DIV/0!</v>
      </c>
      <c r="S15" s="43" t="e">
        <f>S14+ATM_Conf!$C$5*(AB14-AK14)</f>
        <v>#DIV/0!</v>
      </c>
      <c r="T15" s="43">
        <f t="shared" si="24"/>
        <v>0</v>
      </c>
      <c r="U15" s="43">
        <f t="shared" si="2"/>
        <v>0</v>
      </c>
      <c r="V15" s="43">
        <f t="shared" si="2"/>
        <v>0</v>
      </c>
      <c r="W15" s="43">
        <f t="shared" si="2"/>
        <v>0</v>
      </c>
      <c r="X15" s="43">
        <f t="shared" si="2"/>
        <v>0</v>
      </c>
      <c r="Y15" s="43">
        <f t="shared" si="2"/>
        <v>0</v>
      </c>
      <c r="Z15" s="43">
        <f t="shared" si="2"/>
        <v>0</v>
      </c>
      <c r="AA15" s="43">
        <f t="shared" si="2"/>
        <v>0</v>
      </c>
      <c r="AB15" s="43">
        <f t="shared" si="2"/>
        <v>0</v>
      </c>
      <c r="AC15" s="43" t="e">
        <f t="shared" si="3"/>
        <v>#DIV/0!</v>
      </c>
      <c r="AD15" s="43" t="e">
        <f t="shared" si="4"/>
        <v>#DIV/0!</v>
      </c>
      <c r="AE15" s="43" t="e">
        <f t="shared" si="5"/>
        <v>#DIV/0!</v>
      </c>
      <c r="AF15" s="43" t="e">
        <f t="shared" si="6"/>
        <v>#DIV/0!</v>
      </c>
      <c r="AG15" s="43" t="e">
        <f t="shared" si="7"/>
        <v>#DIV/0!</v>
      </c>
      <c r="AH15" s="43" t="e">
        <f t="shared" si="8"/>
        <v>#DIV/0!</v>
      </c>
      <c r="AI15" s="43" t="e">
        <f t="shared" si="9"/>
        <v>#DIV/0!</v>
      </c>
      <c r="AJ15" s="43" t="e">
        <f t="shared" si="10"/>
        <v>#DIV/0!</v>
      </c>
      <c r="AK15" s="43" t="e">
        <f t="shared" si="11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5"/>
        <v>0</v>
      </c>
      <c r="BE15" s="43">
        <f t="shared" si="12"/>
        <v>0</v>
      </c>
      <c r="BF15" s="43">
        <f t="shared" si="12"/>
        <v>0</v>
      </c>
      <c r="BG15" s="43">
        <f t="shared" si="12"/>
        <v>0</v>
      </c>
      <c r="BH15" s="43">
        <f t="shared" si="12"/>
        <v>0</v>
      </c>
      <c r="BI15" s="43">
        <f t="shared" si="12"/>
        <v>0</v>
      </c>
      <c r="BJ15" s="43">
        <f t="shared" si="12"/>
        <v>0</v>
      </c>
      <c r="BK15" s="43">
        <f t="shared" si="12"/>
        <v>0</v>
      </c>
      <c r="BL15" s="43">
        <f t="shared" si="12"/>
        <v>0</v>
      </c>
      <c r="BM15" s="51">
        <f>(B15-B3)^2</f>
        <v>0</v>
      </c>
      <c r="BN15" s="51">
        <f t="shared" ref="BN15:BU15" si="27">(C15-C3)^2</f>
        <v>0</v>
      </c>
      <c r="BO15" s="51">
        <f t="shared" si="27"/>
        <v>0</v>
      </c>
      <c r="BP15" s="51">
        <f t="shared" si="27"/>
        <v>0</v>
      </c>
      <c r="BQ15" s="51">
        <f t="shared" si="27"/>
        <v>0</v>
      </c>
      <c r="BR15" s="51">
        <f t="shared" si="27"/>
        <v>0</v>
      </c>
      <c r="BS15" s="51">
        <f t="shared" si="27"/>
        <v>0</v>
      </c>
      <c r="BT15" s="51">
        <f t="shared" si="27"/>
        <v>0</v>
      </c>
      <c r="BU15" s="51">
        <f t="shared" si="27"/>
        <v>0</v>
      </c>
      <c r="BV15" s="51" t="e">
        <f t="shared" si="13"/>
        <v>#DIV/0!</v>
      </c>
      <c r="BW15" s="51" t="e">
        <f t="shared" si="14"/>
        <v>#DIV/0!</v>
      </c>
      <c r="BX15" s="51" t="e">
        <f t="shared" si="15"/>
        <v>#DIV/0!</v>
      </c>
      <c r="BY15" s="51" t="e">
        <f t="shared" si="16"/>
        <v>#DIV/0!</v>
      </c>
      <c r="BZ15" s="51" t="e">
        <f t="shared" si="17"/>
        <v>#DIV/0!</v>
      </c>
      <c r="CA15" s="51" t="e">
        <f t="shared" si="18"/>
        <v>#DIV/0!</v>
      </c>
      <c r="CB15" s="51" t="e">
        <f t="shared" si="19"/>
        <v>#DIV/0!</v>
      </c>
      <c r="CC15" s="51" t="e">
        <f t="shared" si="20"/>
        <v>#DIV/0!</v>
      </c>
      <c r="CD15" s="51" t="e">
        <f t="shared" si="21"/>
        <v>#DIV/0!</v>
      </c>
      <c r="CE15" s="53">
        <f t="shared" si="26"/>
        <v>0</v>
      </c>
      <c r="CF15" s="53">
        <f t="shared" si="22"/>
        <v>0</v>
      </c>
      <c r="CG15" s="53">
        <f t="shared" si="22"/>
        <v>0</v>
      </c>
      <c r="CH15" s="53">
        <f t="shared" si="22"/>
        <v>0</v>
      </c>
      <c r="CI15" s="53">
        <f t="shared" si="22"/>
        <v>0</v>
      </c>
      <c r="CJ15" s="53">
        <f t="shared" si="22"/>
        <v>0</v>
      </c>
      <c r="CK15" s="53">
        <f t="shared" si="22"/>
        <v>0</v>
      </c>
      <c r="CL15" s="53">
        <f t="shared" si="22"/>
        <v>0</v>
      </c>
      <c r="CM15" s="53">
        <f t="shared" si="22"/>
        <v>0</v>
      </c>
    </row>
    <row r="16" spans="1:91" x14ac:dyDescent="0.15">
      <c r="A16" s="41">
        <v>14</v>
      </c>
      <c r="B16" s="43">
        <f>B$15</f>
        <v>1</v>
      </c>
      <c r="C16" s="43">
        <f t="shared" ref="C16:J26" si="28">C$15</f>
        <v>1</v>
      </c>
      <c r="D16" s="43">
        <f t="shared" si="28"/>
        <v>1</v>
      </c>
      <c r="E16" s="43">
        <f t="shared" si="28"/>
        <v>1</v>
      </c>
      <c r="F16" s="43">
        <f t="shared" si="28"/>
        <v>1</v>
      </c>
      <c r="G16" s="43">
        <f t="shared" si="28"/>
        <v>1</v>
      </c>
      <c r="H16" s="43">
        <f t="shared" si="28"/>
        <v>1</v>
      </c>
      <c r="I16" s="43">
        <f t="shared" si="28"/>
        <v>1</v>
      </c>
      <c r="J16" s="43">
        <f t="shared" si="28"/>
        <v>1</v>
      </c>
      <c r="K16" s="43" t="e">
        <f>K15+ATM_Conf!$C$5*(T15-AC15)</f>
        <v>#DIV/0!</v>
      </c>
      <c r="L16" s="43" t="e">
        <f>L15+ATM_Conf!$C$5*(U15-AD15)</f>
        <v>#DIV/0!</v>
      </c>
      <c r="M16" s="43" t="e">
        <f>M15+ATM_Conf!$C$5*(V15-AE15)</f>
        <v>#DIV/0!</v>
      </c>
      <c r="N16" s="43" t="e">
        <f>N15+ATM_Conf!$C$5*(W15-AF15)</f>
        <v>#DIV/0!</v>
      </c>
      <c r="O16" s="43" t="e">
        <f>O15+ATM_Conf!$C$5*(X15-AG15)</f>
        <v>#DIV/0!</v>
      </c>
      <c r="P16" s="43" t="e">
        <f>P15+ATM_Conf!$C$5*(Y15-AH15)</f>
        <v>#DIV/0!</v>
      </c>
      <c r="Q16" s="43" t="e">
        <f>Q15+ATM_Conf!$C$5*(Z15-AI15)</f>
        <v>#DIV/0!</v>
      </c>
      <c r="R16" s="43" t="e">
        <f>R15+ATM_Conf!$C$5*(AA15-AJ15)</f>
        <v>#DIV/0!</v>
      </c>
      <c r="S16" s="43" t="e">
        <f>S15+ATM_Conf!$C$5*(AB15-AK15)</f>
        <v>#DIV/0!</v>
      </c>
      <c r="T16" s="43">
        <f t="shared" si="24"/>
        <v>0</v>
      </c>
      <c r="U16" s="43">
        <f t="shared" si="2"/>
        <v>0</v>
      </c>
      <c r="V16" s="43">
        <f t="shared" si="2"/>
        <v>0</v>
      </c>
      <c r="W16" s="43">
        <f t="shared" si="2"/>
        <v>0</v>
      </c>
      <c r="X16" s="43">
        <f t="shared" si="2"/>
        <v>0</v>
      </c>
      <c r="Y16" s="43">
        <f t="shared" si="2"/>
        <v>0</v>
      </c>
      <c r="Z16" s="43">
        <f t="shared" si="2"/>
        <v>0</v>
      </c>
      <c r="AA16" s="43">
        <f t="shared" si="2"/>
        <v>0</v>
      </c>
      <c r="AB16" s="43">
        <f t="shared" si="2"/>
        <v>0</v>
      </c>
      <c r="AC16" s="43" t="e">
        <f t="shared" si="3"/>
        <v>#DIV/0!</v>
      </c>
      <c r="AD16" s="43" t="e">
        <f t="shared" si="4"/>
        <v>#DIV/0!</v>
      </c>
      <c r="AE16" s="43" t="e">
        <f t="shared" si="5"/>
        <v>#DIV/0!</v>
      </c>
      <c r="AF16" s="43" t="e">
        <f t="shared" si="6"/>
        <v>#DIV/0!</v>
      </c>
      <c r="AG16" s="43" t="e">
        <f t="shared" si="7"/>
        <v>#DIV/0!</v>
      </c>
      <c r="AH16" s="43" t="e">
        <f t="shared" si="8"/>
        <v>#DIV/0!</v>
      </c>
      <c r="AI16" s="43" t="e">
        <f t="shared" si="9"/>
        <v>#DIV/0!</v>
      </c>
      <c r="AJ16" s="43" t="e">
        <f t="shared" si="10"/>
        <v>#DIV/0!</v>
      </c>
      <c r="AK16" s="43" t="e">
        <f t="shared" si="11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5"/>
        <v>0</v>
      </c>
      <c r="BE16" s="43">
        <f t="shared" si="12"/>
        <v>0</v>
      </c>
      <c r="BF16" s="43">
        <f t="shared" si="12"/>
        <v>0</v>
      </c>
      <c r="BG16" s="43">
        <f t="shared" si="12"/>
        <v>0</v>
      </c>
      <c r="BH16" s="43">
        <f t="shared" si="12"/>
        <v>0</v>
      </c>
      <c r="BI16" s="43">
        <f t="shared" si="12"/>
        <v>0</v>
      </c>
      <c r="BJ16" s="43">
        <f t="shared" si="12"/>
        <v>0</v>
      </c>
      <c r="BK16" s="43">
        <f t="shared" si="12"/>
        <v>0</v>
      </c>
      <c r="BL16" s="43">
        <f t="shared" si="12"/>
        <v>0</v>
      </c>
      <c r="BM16" s="51"/>
      <c r="BN16" s="51"/>
      <c r="BO16" s="51"/>
      <c r="BP16" s="51"/>
      <c r="BQ16" s="51"/>
      <c r="BR16" s="51"/>
      <c r="BS16" s="51"/>
      <c r="BT16" s="51"/>
      <c r="BU16" s="51"/>
      <c r="BV16" s="51" t="e">
        <f t="shared" si="13"/>
        <v>#DIV/0!</v>
      </c>
      <c r="BW16" s="51" t="e">
        <f t="shared" si="14"/>
        <v>#DIV/0!</v>
      </c>
      <c r="BX16" s="51" t="e">
        <f t="shared" si="15"/>
        <v>#DIV/0!</v>
      </c>
      <c r="BY16" s="51" t="e">
        <f t="shared" si="16"/>
        <v>#DIV/0!</v>
      </c>
      <c r="BZ16" s="51" t="e">
        <f t="shared" si="17"/>
        <v>#DIV/0!</v>
      </c>
      <c r="CA16" s="51" t="e">
        <f t="shared" si="18"/>
        <v>#DIV/0!</v>
      </c>
      <c r="CB16" s="51" t="e">
        <f t="shared" si="19"/>
        <v>#DIV/0!</v>
      </c>
      <c r="CC16" s="51" t="e">
        <f t="shared" si="20"/>
        <v>#DIV/0!</v>
      </c>
      <c r="CD16" s="51" t="e">
        <f t="shared" si="21"/>
        <v>#DIV/0!</v>
      </c>
      <c r="CE16" s="53">
        <f t="shared" si="26"/>
        <v>0</v>
      </c>
      <c r="CF16" s="53">
        <f t="shared" si="22"/>
        <v>0</v>
      </c>
      <c r="CG16" s="53">
        <f t="shared" si="22"/>
        <v>0</v>
      </c>
      <c r="CH16" s="53">
        <f t="shared" si="22"/>
        <v>0</v>
      </c>
      <c r="CI16" s="53">
        <f t="shared" si="22"/>
        <v>0</v>
      </c>
      <c r="CJ16" s="53">
        <f t="shared" si="22"/>
        <v>0</v>
      </c>
      <c r="CK16" s="53">
        <f t="shared" si="22"/>
        <v>0</v>
      </c>
      <c r="CL16" s="53">
        <f t="shared" si="22"/>
        <v>0</v>
      </c>
      <c r="CM16" s="53">
        <f t="shared" si="22"/>
        <v>0</v>
      </c>
    </row>
    <row r="17" spans="1:91" x14ac:dyDescent="0.15">
      <c r="A17" s="41">
        <v>15</v>
      </c>
      <c r="B17" s="43">
        <f t="shared" ref="B17:B26" si="29">B$15</f>
        <v>1</v>
      </c>
      <c r="C17" s="43">
        <f t="shared" si="28"/>
        <v>1</v>
      </c>
      <c r="D17" s="43">
        <f t="shared" si="28"/>
        <v>1</v>
      </c>
      <c r="E17" s="43">
        <f t="shared" si="28"/>
        <v>1</v>
      </c>
      <c r="F17" s="43">
        <f t="shared" si="28"/>
        <v>1</v>
      </c>
      <c r="G17" s="43">
        <f t="shared" si="28"/>
        <v>1</v>
      </c>
      <c r="H17" s="43">
        <f t="shared" si="28"/>
        <v>1</v>
      </c>
      <c r="I17" s="43">
        <f t="shared" si="28"/>
        <v>1</v>
      </c>
      <c r="J17" s="43">
        <f t="shared" si="28"/>
        <v>1</v>
      </c>
      <c r="K17" s="43" t="e">
        <f>K16+ATM_Conf!$C$5*(T16-AC16)</f>
        <v>#DIV/0!</v>
      </c>
      <c r="L17" s="43" t="e">
        <f>L16+ATM_Conf!$C$5*(U16-AD16)</f>
        <v>#DIV/0!</v>
      </c>
      <c r="M17" s="43" t="e">
        <f>M16+ATM_Conf!$C$5*(V16-AE16)</f>
        <v>#DIV/0!</v>
      </c>
      <c r="N17" s="43" t="e">
        <f>N16+ATM_Conf!$C$5*(W16-AF16)</f>
        <v>#DIV/0!</v>
      </c>
      <c r="O17" s="43" t="e">
        <f>O16+ATM_Conf!$C$5*(X16-AG16)</f>
        <v>#DIV/0!</v>
      </c>
      <c r="P17" s="43" t="e">
        <f>P16+ATM_Conf!$C$5*(Y16-AH16)</f>
        <v>#DIV/0!</v>
      </c>
      <c r="Q17" s="43" t="e">
        <f>Q16+ATM_Conf!$C$5*(Z16-AI16)</f>
        <v>#DIV/0!</v>
      </c>
      <c r="R17" s="43" t="e">
        <f>R16+ATM_Conf!$C$5*(AA16-AJ16)</f>
        <v>#DIV/0!</v>
      </c>
      <c r="S17" s="43" t="e">
        <f>S16+ATM_Conf!$C$5*(AB16-AK16)</f>
        <v>#DIV/0!</v>
      </c>
      <c r="T17" s="43">
        <f t="shared" si="24"/>
        <v>0</v>
      </c>
      <c r="U17" s="43">
        <f t="shared" si="2"/>
        <v>0</v>
      </c>
      <c r="V17" s="43">
        <f t="shared" si="2"/>
        <v>0</v>
      </c>
      <c r="W17" s="43">
        <f t="shared" si="2"/>
        <v>0</v>
      </c>
      <c r="X17" s="43">
        <f t="shared" si="2"/>
        <v>0</v>
      </c>
      <c r="Y17" s="43">
        <f t="shared" si="2"/>
        <v>0</v>
      </c>
      <c r="Z17" s="43">
        <f t="shared" si="2"/>
        <v>0</v>
      </c>
      <c r="AA17" s="43">
        <f t="shared" si="2"/>
        <v>0</v>
      </c>
      <c r="AB17" s="43">
        <f t="shared" si="2"/>
        <v>0</v>
      </c>
      <c r="AC17" s="43" t="e">
        <f t="shared" si="3"/>
        <v>#DIV/0!</v>
      </c>
      <c r="AD17" s="43" t="e">
        <f t="shared" si="4"/>
        <v>#DIV/0!</v>
      </c>
      <c r="AE17" s="43" t="e">
        <f t="shared" si="5"/>
        <v>#DIV/0!</v>
      </c>
      <c r="AF17" s="43" t="e">
        <f t="shared" si="6"/>
        <v>#DIV/0!</v>
      </c>
      <c r="AG17" s="43" t="e">
        <f t="shared" si="7"/>
        <v>#DIV/0!</v>
      </c>
      <c r="AH17" s="43" t="e">
        <f t="shared" si="8"/>
        <v>#DIV/0!</v>
      </c>
      <c r="AI17" s="43" t="e">
        <f t="shared" si="9"/>
        <v>#DIV/0!</v>
      </c>
      <c r="AJ17" s="43" t="e">
        <f t="shared" si="10"/>
        <v>#DIV/0!</v>
      </c>
      <c r="AK17" s="43" t="e">
        <f t="shared" si="11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5"/>
        <v>0</v>
      </c>
      <c r="BE17" s="43">
        <f t="shared" si="12"/>
        <v>0</v>
      </c>
      <c r="BF17" s="43">
        <f t="shared" si="12"/>
        <v>0</v>
      </c>
      <c r="BG17" s="43">
        <f t="shared" si="12"/>
        <v>0</v>
      </c>
      <c r="BH17" s="43">
        <f t="shared" si="12"/>
        <v>0</v>
      </c>
      <c r="BI17" s="43">
        <f t="shared" si="12"/>
        <v>0</v>
      </c>
      <c r="BJ17" s="43">
        <f t="shared" si="12"/>
        <v>0</v>
      </c>
      <c r="BK17" s="43">
        <f t="shared" si="12"/>
        <v>0</v>
      </c>
      <c r="BL17" s="43">
        <f t="shared" si="12"/>
        <v>0</v>
      </c>
      <c r="BM17" s="51"/>
      <c r="BN17" s="51"/>
      <c r="BO17" s="51"/>
      <c r="BP17" s="51"/>
      <c r="BQ17" s="51"/>
      <c r="BR17" s="51"/>
      <c r="BS17" s="51"/>
      <c r="BT17" s="51"/>
      <c r="BU17" s="51"/>
      <c r="BV17" s="51" t="e">
        <f t="shared" si="13"/>
        <v>#DIV/0!</v>
      </c>
      <c r="BW17" s="51" t="e">
        <f t="shared" si="14"/>
        <v>#DIV/0!</v>
      </c>
      <c r="BX17" s="51" t="e">
        <f t="shared" si="15"/>
        <v>#DIV/0!</v>
      </c>
      <c r="BY17" s="51" t="e">
        <f t="shared" si="16"/>
        <v>#DIV/0!</v>
      </c>
      <c r="BZ17" s="51" t="e">
        <f t="shared" si="17"/>
        <v>#DIV/0!</v>
      </c>
      <c r="CA17" s="51" t="e">
        <f t="shared" si="18"/>
        <v>#DIV/0!</v>
      </c>
      <c r="CB17" s="51" t="e">
        <f t="shared" si="19"/>
        <v>#DIV/0!</v>
      </c>
      <c r="CC17" s="51" t="e">
        <f t="shared" si="20"/>
        <v>#DIV/0!</v>
      </c>
      <c r="CD17" s="51" t="e">
        <f t="shared" si="21"/>
        <v>#DIV/0!</v>
      </c>
      <c r="CE17" s="53">
        <f t="shared" si="26"/>
        <v>0</v>
      </c>
      <c r="CF17" s="53">
        <f t="shared" si="22"/>
        <v>0</v>
      </c>
      <c r="CG17" s="53">
        <f t="shared" si="22"/>
        <v>0</v>
      </c>
      <c r="CH17" s="53">
        <f t="shared" si="22"/>
        <v>0</v>
      </c>
      <c r="CI17" s="53">
        <f t="shared" si="22"/>
        <v>0</v>
      </c>
      <c r="CJ17" s="53">
        <f t="shared" si="22"/>
        <v>0</v>
      </c>
      <c r="CK17" s="53">
        <f t="shared" si="22"/>
        <v>0</v>
      </c>
      <c r="CL17" s="53">
        <f t="shared" si="22"/>
        <v>0</v>
      </c>
      <c r="CM17" s="53">
        <f t="shared" si="22"/>
        <v>0</v>
      </c>
    </row>
    <row r="18" spans="1:91" x14ac:dyDescent="0.15">
      <c r="A18" s="41">
        <v>16</v>
      </c>
      <c r="B18" s="43">
        <f t="shared" si="29"/>
        <v>1</v>
      </c>
      <c r="C18" s="43">
        <f t="shared" si="28"/>
        <v>1</v>
      </c>
      <c r="D18" s="43">
        <f t="shared" si="28"/>
        <v>1</v>
      </c>
      <c r="E18" s="43">
        <f t="shared" si="28"/>
        <v>1</v>
      </c>
      <c r="F18" s="43">
        <f t="shared" si="28"/>
        <v>1</v>
      </c>
      <c r="G18" s="43">
        <f t="shared" si="28"/>
        <v>1</v>
      </c>
      <c r="H18" s="43">
        <f t="shared" si="28"/>
        <v>1</v>
      </c>
      <c r="I18" s="43">
        <f t="shared" si="28"/>
        <v>1</v>
      </c>
      <c r="J18" s="43">
        <f t="shared" si="28"/>
        <v>1</v>
      </c>
      <c r="K18" s="43" t="e">
        <f>K17+ATM_Conf!$C$5*(T17-AC17)</f>
        <v>#DIV/0!</v>
      </c>
      <c r="L18" s="43" t="e">
        <f>L17+ATM_Conf!$C$5*(U17-AD17)</f>
        <v>#DIV/0!</v>
      </c>
      <c r="M18" s="43" t="e">
        <f>M17+ATM_Conf!$C$5*(V17-AE17)</f>
        <v>#DIV/0!</v>
      </c>
      <c r="N18" s="43" t="e">
        <f>N17+ATM_Conf!$C$5*(W17-AF17)</f>
        <v>#DIV/0!</v>
      </c>
      <c r="O18" s="43" t="e">
        <f>O17+ATM_Conf!$C$5*(X17-AG17)</f>
        <v>#DIV/0!</v>
      </c>
      <c r="P18" s="43" t="e">
        <f>P17+ATM_Conf!$C$5*(Y17-AH17)</f>
        <v>#DIV/0!</v>
      </c>
      <c r="Q18" s="43" t="e">
        <f>Q17+ATM_Conf!$C$5*(Z17-AI17)</f>
        <v>#DIV/0!</v>
      </c>
      <c r="R18" s="43" t="e">
        <f>R17+ATM_Conf!$C$5*(AA17-AJ17)</f>
        <v>#DIV/0!</v>
      </c>
      <c r="S18" s="43" t="e">
        <f>S17+ATM_Conf!$C$5*(AB17-AK17)</f>
        <v>#DIV/0!</v>
      </c>
      <c r="T18" s="43">
        <f t="shared" si="24"/>
        <v>0</v>
      </c>
      <c r="U18" s="43">
        <f t="shared" si="2"/>
        <v>0</v>
      </c>
      <c r="V18" s="43">
        <f t="shared" si="2"/>
        <v>0</v>
      </c>
      <c r="W18" s="43">
        <f t="shared" si="2"/>
        <v>0</v>
      </c>
      <c r="X18" s="43">
        <f t="shared" si="2"/>
        <v>0</v>
      </c>
      <c r="Y18" s="43">
        <f t="shared" si="2"/>
        <v>0</v>
      </c>
      <c r="Z18" s="43">
        <f t="shared" si="2"/>
        <v>0</v>
      </c>
      <c r="AA18" s="43">
        <f t="shared" si="2"/>
        <v>0</v>
      </c>
      <c r="AB18" s="43">
        <f t="shared" si="2"/>
        <v>0</v>
      </c>
      <c r="AC18" s="43" t="e">
        <f t="shared" si="3"/>
        <v>#DIV/0!</v>
      </c>
      <c r="AD18" s="43" t="e">
        <f t="shared" si="4"/>
        <v>#DIV/0!</v>
      </c>
      <c r="AE18" s="43" t="e">
        <f t="shared" si="5"/>
        <v>#DIV/0!</v>
      </c>
      <c r="AF18" s="43" t="e">
        <f t="shared" si="6"/>
        <v>#DIV/0!</v>
      </c>
      <c r="AG18" s="43" t="e">
        <f t="shared" si="7"/>
        <v>#DIV/0!</v>
      </c>
      <c r="AH18" s="43" t="e">
        <f t="shared" si="8"/>
        <v>#DIV/0!</v>
      </c>
      <c r="AI18" s="43" t="e">
        <f t="shared" si="9"/>
        <v>#DIV/0!</v>
      </c>
      <c r="AJ18" s="43" t="e">
        <f t="shared" si="10"/>
        <v>#DIV/0!</v>
      </c>
      <c r="AK18" s="43" t="e">
        <f t="shared" si="11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5"/>
        <v>0</v>
      </c>
      <c r="BE18" s="43">
        <f t="shared" si="12"/>
        <v>0</v>
      </c>
      <c r="BF18" s="43">
        <f t="shared" si="12"/>
        <v>0</v>
      </c>
      <c r="BG18" s="43">
        <f t="shared" si="12"/>
        <v>0</v>
      </c>
      <c r="BH18" s="43">
        <f t="shared" si="12"/>
        <v>0</v>
      </c>
      <c r="BI18" s="43">
        <f t="shared" si="12"/>
        <v>0</v>
      </c>
      <c r="BJ18" s="43">
        <f t="shared" si="12"/>
        <v>0</v>
      </c>
      <c r="BK18" s="43">
        <f t="shared" si="12"/>
        <v>0</v>
      </c>
      <c r="BL18" s="43">
        <f t="shared" si="12"/>
        <v>0</v>
      </c>
      <c r="BM18" s="51"/>
      <c r="BN18" s="51"/>
      <c r="BO18" s="51"/>
      <c r="BP18" s="51"/>
      <c r="BQ18" s="51"/>
      <c r="BR18" s="51"/>
      <c r="BS18" s="51"/>
      <c r="BT18" s="51"/>
      <c r="BU18" s="51"/>
      <c r="BV18" s="51" t="e">
        <f t="shared" si="13"/>
        <v>#DIV/0!</v>
      </c>
      <c r="BW18" s="51" t="e">
        <f t="shared" si="14"/>
        <v>#DIV/0!</v>
      </c>
      <c r="BX18" s="51" t="e">
        <f t="shared" si="15"/>
        <v>#DIV/0!</v>
      </c>
      <c r="BY18" s="51" t="e">
        <f t="shared" si="16"/>
        <v>#DIV/0!</v>
      </c>
      <c r="BZ18" s="51" t="e">
        <f t="shared" si="17"/>
        <v>#DIV/0!</v>
      </c>
      <c r="CA18" s="51" t="e">
        <f t="shared" si="18"/>
        <v>#DIV/0!</v>
      </c>
      <c r="CB18" s="51" t="e">
        <f t="shared" si="19"/>
        <v>#DIV/0!</v>
      </c>
      <c r="CC18" s="51" t="e">
        <f t="shared" si="20"/>
        <v>#DIV/0!</v>
      </c>
      <c r="CD18" s="51" t="e">
        <f t="shared" si="21"/>
        <v>#DIV/0!</v>
      </c>
      <c r="CE18" s="53">
        <f t="shared" si="26"/>
        <v>0</v>
      </c>
      <c r="CF18" s="53">
        <f t="shared" si="22"/>
        <v>0</v>
      </c>
      <c r="CG18" s="53">
        <f t="shared" si="22"/>
        <v>0</v>
      </c>
      <c r="CH18" s="53">
        <f t="shared" si="22"/>
        <v>0</v>
      </c>
      <c r="CI18" s="53">
        <f t="shared" si="22"/>
        <v>0</v>
      </c>
      <c r="CJ18" s="53">
        <f t="shared" si="22"/>
        <v>0</v>
      </c>
      <c r="CK18" s="53">
        <f t="shared" si="22"/>
        <v>0</v>
      </c>
      <c r="CL18" s="53">
        <f t="shared" si="22"/>
        <v>0</v>
      </c>
      <c r="CM18" s="53">
        <f t="shared" si="22"/>
        <v>0</v>
      </c>
    </row>
    <row r="19" spans="1:91" x14ac:dyDescent="0.15">
      <c r="A19" s="41">
        <v>17</v>
      </c>
      <c r="B19" s="43">
        <f t="shared" si="29"/>
        <v>1</v>
      </c>
      <c r="C19" s="43">
        <f t="shared" si="28"/>
        <v>1</v>
      </c>
      <c r="D19" s="43">
        <f t="shared" si="28"/>
        <v>1</v>
      </c>
      <c r="E19" s="43">
        <f t="shared" si="28"/>
        <v>1</v>
      </c>
      <c r="F19" s="43">
        <f t="shared" si="28"/>
        <v>1</v>
      </c>
      <c r="G19" s="43">
        <f t="shared" si="28"/>
        <v>1</v>
      </c>
      <c r="H19" s="43">
        <f t="shared" si="28"/>
        <v>1</v>
      </c>
      <c r="I19" s="43">
        <f t="shared" si="28"/>
        <v>1</v>
      </c>
      <c r="J19" s="43">
        <f t="shared" si="28"/>
        <v>1</v>
      </c>
      <c r="K19" s="43" t="e">
        <f>K18+ATM_Conf!$C$5*(T18-AC18)</f>
        <v>#DIV/0!</v>
      </c>
      <c r="L19" s="43" t="e">
        <f>L18+ATM_Conf!$C$5*(U18-AD18)</f>
        <v>#DIV/0!</v>
      </c>
      <c r="M19" s="43" t="e">
        <f>M18+ATM_Conf!$C$5*(V18-AE18)</f>
        <v>#DIV/0!</v>
      </c>
      <c r="N19" s="43" t="e">
        <f>N18+ATM_Conf!$C$5*(W18-AF18)</f>
        <v>#DIV/0!</v>
      </c>
      <c r="O19" s="43" t="e">
        <f>O18+ATM_Conf!$C$5*(X18-AG18)</f>
        <v>#DIV/0!</v>
      </c>
      <c r="P19" s="43" t="e">
        <f>P18+ATM_Conf!$C$5*(Y18-AH18)</f>
        <v>#DIV/0!</v>
      </c>
      <c r="Q19" s="43" t="e">
        <f>Q18+ATM_Conf!$C$5*(Z18-AI18)</f>
        <v>#DIV/0!</v>
      </c>
      <c r="R19" s="43" t="e">
        <f>R18+ATM_Conf!$C$5*(AA18-AJ18)</f>
        <v>#DIV/0!</v>
      </c>
      <c r="S19" s="43" t="e">
        <f>S18+ATM_Conf!$C$5*(AB18-AK18)</f>
        <v>#DIV/0!</v>
      </c>
      <c r="T19" s="43">
        <f t="shared" si="24"/>
        <v>0</v>
      </c>
      <c r="U19" s="43">
        <f t="shared" si="2"/>
        <v>0</v>
      </c>
      <c r="V19" s="43">
        <f t="shared" si="2"/>
        <v>0</v>
      </c>
      <c r="W19" s="43">
        <f t="shared" si="2"/>
        <v>0</v>
      </c>
      <c r="X19" s="43">
        <f t="shared" si="2"/>
        <v>0</v>
      </c>
      <c r="Y19" s="43">
        <f t="shared" si="2"/>
        <v>0</v>
      </c>
      <c r="Z19" s="43">
        <f t="shared" si="2"/>
        <v>0</v>
      </c>
      <c r="AA19" s="43">
        <f t="shared" si="2"/>
        <v>0</v>
      </c>
      <c r="AB19" s="43">
        <f t="shared" si="2"/>
        <v>0</v>
      </c>
      <c r="AC19" s="43" t="e">
        <f t="shared" si="3"/>
        <v>#DIV/0!</v>
      </c>
      <c r="AD19" s="43" t="e">
        <f t="shared" si="4"/>
        <v>#DIV/0!</v>
      </c>
      <c r="AE19" s="43" t="e">
        <f t="shared" si="5"/>
        <v>#DIV/0!</v>
      </c>
      <c r="AF19" s="43" t="e">
        <f t="shared" si="6"/>
        <v>#DIV/0!</v>
      </c>
      <c r="AG19" s="43" t="e">
        <f t="shared" si="7"/>
        <v>#DIV/0!</v>
      </c>
      <c r="AH19" s="43" t="e">
        <f t="shared" si="8"/>
        <v>#DIV/0!</v>
      </c>
      <c r="AI19" s="43" t="e">
        <f t="shared" si="9"/>
        <v>#DIV/0!</v>
      </c>
      <c r="AJ19" s="43" t="e">
        <f t="shared" si="10"/>
        <v>#DIV/0!</v>
      </c>
      <c r="AK19" s="43" t="e">
        <f t="shared" si="11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5"/>
        <v>0</v>
      </c>
      <c r="BE19" s="43">
        <f t="shared" si="12"/>
        <v>0</v>
      </c>
      <c r="BF19" s="43">
        <f t="shared" si="12"/>
        <v>0</v>
      </c>
      <c r="BG19" s="43">
        <f t="shared" si="12"/>
        <v>0</v>
      </c>
      <c r="BH19" s="43">
        <f t="shared" si="12"/>
        <v>0</v>
      </c>
      <c r="BI19" s="43">
        <f t="shared" si="12"/>
        <v>0</v>
      </c>
      <c r="BJ19" s="43">
        <f t="shared" si="12"/>
        <v>0</v>
      </c>
      <c r="BK19" s="43">
        <f t="shared" si="12"/>
        <v>0</v>
      </c>
      <c r="BL19" s="43">
        <f t="shared" si="12"/>
        <v>0</v>
      </c>
      <c r="BM19" s="51"/>
      <c r="BN19" s="51"/>
      <c r="BO19" s="51"/>
      <c r="BP19" s="51"/>
      <c r="BQ19" s="51"/>
      <c r="BR19" s="51"/>
      <c r="BS19" s="51"/>
      <c r="BT19" s="51"/>
      <c r="BU19" s="51"/>
      <c r="BV19" s="51" t="e">
        <f t="shared" si="13"/>
        <v>#DIV/0!</v>
      </c>
      <c r="BW19" s="51" t="e">
        <f t="shared" si="14"/>
        <v>#DIV/0!</v>
      </c>
      <c r="BX19" s="51" t="e">
        <f t="shared" si="15"/>
        <v>#DIV/0!</v>
      </c>
      <c r="BY19" s="51" t="e">
        <f t="shared" si="16"/>
        <v>#DIV/0!</v>
      </c>
      <c r="BZ19" s="51" t="e">
        <f t="shared" si="17"/>
        <v>#DIV/0!</v>
      </c>
      <c r="CA19" s="51" t="e">
        <f t="shared" si="18"/>
        <v>#DIV/0!</v>
      </c>
      <c r="CB19" s="51" t="e">
        <f t="shared" si="19"/>
        <v>#DIV/0!</v>
      </c>
      <c r="CC19" s="51" t="e">
        <f t="shared" si="20"/>
        <v>#DIV/0!</v>
      </c>
      <c r="CD19" s="51" t="e">
        <f t="shared" si="21"/>
        <v>#DIV/0!</v>
      </c>
      <c r="CE19" s="53">
        <f t="shared" si="26"/>
        <v>0</v>
      </c>
      <c r="CF19" s="53">
        <f t="shared" si="22"/>
        <v>0</v>
      </c>
      <c r="CG19" s="53">
        <f t="shared" si="22"/>
        <v>0</v>
      </c>
      <c r="CH19" s="53">
        <f t="shared" si="22"/>
        <v>0</v>
      </c>
      <c r="CI19" s="53">
        <f t="shared" si="22"/>
        <v>0</v>
      </c>
      <c r="CJ19" s="53">
        <f t="shared" si="22"/>
        <v>0</v>
      </c>
      <c r="CK19" s="53">
        <f t="shared" si="22"/>
        <v>0</v>
      </c>
      <c r="CL19" s="53">
        <f t="shared" si="22"/>
        <v>0</v>
      </c>
      <c r="CM19" s="53">
        <f t="shared" si="22"/>
        <v>0</v>
      </c>
    </row>
    <row r="20" spans="1:91" x14ac:dyDescent="0.15">
      <c r="A20" s="41">
        <v>18</v>
      </c>
      <c r="B20" s="43">
        <f t="shared" si="29"/>
        <v>1</v>
      </c>
      <c r="C20" s="43">
        <f t="shared" si="28"/>
        <v>1</v>
      </c>
      <c r="D20" s="43">
        <f t="shared" si="28"/>
        <v>1</v>
      </c>
      <c r="E20" s="43">
        <f t="shared" si="28"/>
        <v>1</v>
      </c>
      <c r="F20" s="43">
        <f t="shared" si="28"/>
        <v>1</v>
      </c>
      <c r="G20" s="43">
        <f t="shared" si="28"/>
        <v>1</v>
      </c>
      <c r="H20" s="43">
        <f t="shared" si="28"/>
        <v>1</v>
      </c>
      <c r="I20" s="43">
        <f t="shared" si="28"/>
        <v>1</v>
      </c>
      <c r="J20" s="43">
        <f t="shared" si="28"/>
        <v>1</v>
      </c>
      <c r="K20" s="43" t="e">
        <f>K19+ATM_Conf!$C$5*(T19-AC19)</f>
        <v>#DIV/0!</v>
      </c>
      <c r="L20" s="43" t="e">
        <f>L19+ATM_Conf!$C$5*(U19-AD19)</f>
        <v>#DIV/0!</v>
      </c>
      <c r="M20" s="43" t="e">
        <f>M19+ATM_Conf!$C$5*(V19-AE19)</f>
        <v>#DIV/0!</v>
      </c>
      <c r="N20" s="43" t="e">
        <f>N19+ATM_Conf!$C$5*(W19-AF19)</f>
        <v>#DIV/0!</v>
      </c>
      <c r="O20" s="43" t="e">
        <f>O19+ATM_Conf!$C$5*(X19-AG19)</f>
        <v>#DIV/0!</v>
      </c>
      <c r="P20" s="43" t="e">
        <f>P19+ATM_Conf!$C$5*(Y19-AH19)</f>
        <v>#DIV/0!</v>
      </c>
      <c r="Q20" s="43" t="e">
        <f>Q19+ATM_Conf!$C$5*(Z19-AI19)</f>
        <v>#DIV/0!</v>
      </c>
      <c r="R20" s="43" t="e">
        <f>R19+ATM_Conf!$C$5*(AA19-AJ19)</f>
        <v>#DIV/0!</v>
      </c>
      <c r="S20" s="43" t="e">
        <f>S19+ATM_Conf!$C$5*(AB19-AK19)</f>
        <v>#DIV/0!</v>
      </c>
      <c r="T20" s="43">
        <f t="shared" si="24"/>
        <v>0</v>
      </c>
      <c r="U20" s="43">
        <f t="shared" si="24"/>
        <v>0</v>
      </c>
      <c r="V20" s="43">
        <f t="shared" si="24"/>
        <v>0</v>
      </c>
      <c r="W20" s="43">
        <f t="shared" si="24"/>
        <v>0</v>
      </c>
      <c r="X20" s="43">
        <f t="shared" si="24"/>
        <v>0</v>
      </c>
      <c r="Y20" s="43">
        <f t="shared" si="24"/>
        <v>0</v>
      </c>
      <c r="Z20" s="43">
        <f t="shared" si="24"/>
        <v>0</v>
      </c>
      <c r="AA20" s="43">
        <f t="shared" si="24"/>
        <v>0</v>
      </c>
      <c r="AB20" s="43">
        <f t="shared" si="24"/>
        <v>0</v>
      </c>
      <c r="AC20" s="43" t="e">
        <f t="shared" si="3"/>
        <v>#DIV/0!</v>
      </c>
      <c r="AD20" s="43" t="e">
        <f t="shared" si="4"/>
        <v>#DIV/0!</v>
      </c>
      <c r="AE20" s="43" t="e">
        <f t="shared" si="5"/>
        <v>#DIV/0!</v>
      </c>
      <c r="AF20" s="43" t="e">
        <f t="shared" si="6"/>
        <v>#DIV/0!</v>
      </c>
      <c r="AG20" s="43" t="e">
        <f t="shared" si="7"/>
        <v>#DIV/0!</v>
      </c>
      <c r="AH20" s="43" t="e">
        <f t="shared" si="8"/>
        <v>#DIV/0!</v>
      </c>
      <c r="AI20" s="43" t="e">
        <f t="shared" si="9"/>
        <v>#DIV/0!</v>
      </c>
      <c r="AJ20" s="43" t="e">
        <f t="shared" si="10"/>
        <v>#DIV/0!</v>
      </c>
      <c r="AK20" s="43" t="e">
        <f t="shared" si="11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5"/>
        <v>0</v>
      </c>
      <c r="BE20" s="43">
        <f t="shared" si="25"/>
        <v>0</v>
      </c>
      <c r="BF20" s="43">
        <f t="shared" si="25"/>
        <v>0</v>
      </c>
      <c r="BG20" s="43">
        <f t="shared" si="25"/>
        <v>0</v>
      </c>
      <c r="BH20" s="43">
        <f t="shared" si="25"/>
        <v>0</v>
      </c>
      <c r="BI20" s="43">
        <f t="shared" si="25"/>
        <v>0</v>
      </c>
      <c r="BJ20" s="43">
        <f t="shared" si="25"/>
        <v>0</v>
      </c>
      <c r="BK20" s="43">
        <f t="shared" si="25"/>
        <v>0</v>
      </c>
      <c r="BL20" s="43">
        <f t="shared" si="25"/>
        <v>0</v>
      </c>
      <c r="BM20" s="51"/>
      <c r="BN20" s="51"/>
      <c r="BO20" s="51"/>
      <c r="BP20" s="51"/>
      <c r="BQ20" s="51"/>
      <c r="BR20" s="51"/>
      <c r="BS20" s="51"/>
      <c r="BT20" s="51"/>
      <c r="BU20" s="51"/>
      <c r="BV20" s="51" t="e">
        <f t="shared" si="13"/>
        <v>#DIV/0!</v>
      </c>
      <c r="BW20" s="51" t="e">
        <f t="shared" si="14"/>
        <v>#DIV/0!</v>
      </c>
      <c r="BX20" s="51" t="e">
        <f t="shared" si="15"/>
        <v>#DIV/0!</v>
      </c>
      <c r="BY20" s="51" t="e">
        <f t="shared" si="16"/>
        <v>#DIV/0!</v>
      </c>
      <c r="BZ20" s="51" t="e">
        <f t="shared" si="17"/>
        <v>#DIV/0!</v>
      </c>
      <c r="CA20" s="51" t="e">
        <f t="shared" si="18"/>
        <v>#DIV/0!</v>
      </c>
      <c r="CB20" s="51" t="e">
        <f t="shared" si="19"/>
        <v>#DIV/0!</v>
      </c>
      <c r="CC20" s="51" t="e">
        <f t="shared" si="20"/>
        <v>#DIV/0!</v>
      </c>
      <c r="CD20" s="51" t="e">
        <f t="shared" si="21"/>
        <v>#DIV/0!</v>
      </c>
      <c r="CE20" s="53">
        <f t="shared" si="26"/>
        <v>0</v>
      </c>
      <c r="CF20" s="53">
        <f t="shared" si="26"/>
        <v>0</v>
      </c>
      <c r="CG20" s="53">
        <f t="shared" si="26"/>
        <v>0</v>
      </c>
      <c r="CH20" s="53">
        <f t="shared" si="26"/>
        <v>0</v>
      </c>
      <c r="CI20" s="53">
        <f t="shared" si="26"/>
        <v>0</v>
      </c>
      <c r="CJ20" s="53">
        <f t="shared" si="26"/>
        <v>0</v>
      </c>
      <c r="CK20" s="53">
        <f t="shared" si="26"/>
        <v>0</v>
      </c>
      <c r="CL20" s="53">
        <f t="shared" si="26"/>
        <v>0</v>
      </c>
      <c r="CM20" s="53">
        <f t="shared" si="26"/>
        <v>0</v>
      </c>
    </row>
    <row r="21" spans="1:91" x14ac:dyDescent="0.15">
      <c r="A21" s="41">
        <v>19</v>
      </c>
      <c r="B21" s="43">
        <f t="shared" si="29"/>
        <v>1</v>
      </c>
      <c r="C21" s="43">
        <f t="shared" si="28"/>
        <v>1</v>
      </c>
      <c r="D21" s="43">
        <f t="shared" si="28"/>
        <v>1</v>
      </c>
      <c r="E21" s="43">
        <f t="shared" si="28"/>
        <v>1</v>
      </c>
      <c r="F21" s="43">
        <f t="shared" si="28"/>
        <v>1</v>
      </c>
      <c r="G21" s="43">
        <f t="shared" si="28"/>
        <v>1</v>
      </c>
      <c r="H21" s="43">
        <f t="shared" si="28"/>
        <v>1</v>
      </c>
      <c r="I21" s="43">
        <f t="shared" si="28"/>
        <v>1</v>
      </c>
      <c r="J21" s="43">
        <f t="shared" si="28"/>
        <v>1</v>
      </c>
      <c r="K21" s="43" t="e">
        <f>K20+ATM_Conf!$C$5*(T20-AC20)</f>
        <v>#DIV/0!</v>
      </c>
      <c r="L21" s="43" t="e">
        <f>L20+ATM_Conf!$C$5*(U20-AD20)</f>
        <v>#DIV/0!</v>
      </c>
      <c r="M21" s="43" t="e">
        <f>M20+ATM_Conf!$C$5*(V20-AE20)</f>
        <v>#DIV/0!</v>
      </c>
      <c r="N21" s="43" t="e">
        <f>N20+ATM_Conf!$C$5*(W20-AF20)</f>
        <v>#DIV/0!</v>
      </c>
      <c r="O21" s="43" t="e">
        <f>O20+ATM_Conf!$C$5*(X20-AG20)</f>
        <v>#DIV/0!</v>
      </c>
      <c r="P21" s="43" t="e">
        <f>P20+ATM_Conf!$C$5*(Y20-AH20)</f>
        <v>#DIV/0!</v>
      </c>
      <c r="Q21" s="43" t="e">
        <f>Q20+ATM_Conf!$C$5*(Z20-AI20)</f>
        <v>#DIV/0!</v>
      </c>
      <c r="R21" s="43" t="e">
        <f>R20+ATM_Conf!$C$5*(AA20-AJ20)</f>
        <v>#DIV/0!</v>
      </c>
      <c r="S21" s="43" t="e">
        <f>S20+ATM_Conf!$C$5*(AB20-AK20)</f>
        <v>#DIV/0!</v>
      </c>
      <c r="T21" s="43">
        <f t="shared" si="24"/>
        <v>0</v>
      </c>
      <c r="U21" s="43">
        <f t="shared" si="24"/>
        <v>0</v>
      </c>
      <c r="V21" s="43">
        <f t="shared" si="24"/>
        <v>0</v>
      </c>
      <c r="W21" s="43">
        <f t="shared" si="24"/>
        <v>0</v>
      </c>
      <c r="X21" s="43">
        <f t="shared" si="24"/>
        <v>0</v>
      </c>
      <c r="Y21" s="43">
        <f t="shared" si="24"/>
        <v>0</v>
      </c>
      <c r="Z21" s="43">
        <f t="shared" si="24"/>
        <v>0</v>
      </c>
      <c r="AA21" s="43">
        <f t="shared" si="24"/>
        <v>0</v>
      </c>
      <c r="AB21" s="43">
        <f t="shared" si="24"/>
        <v>0</v>
      </c>
      <c r="AC21" s="43" t="e">
        <f t="shared" si="3"/>
        <v>#DIV/0!</v>
      </c>
      <c r="AD21" s="43" t="e">
        <f t="shared" si="4"/>
        <v>#DIV/0!</v>
      </c>
      <c r="AE21" s="43" t="e">
        <f t="shared" si="5"/>
        <v>#DIV/0!</v>
      </c>
      <c r="AF21" s="43" t="e">
        <f t="shared" si="6"/>
        <v>#DIV/0!</v>
      </c>
      <c r="AG21" s="43" t="e">
        <f t="shared" si="7"/>
        <v>#DIV/0!</v>
      </c>
      <c r="AH21" s="43" t="e">
        <f t="shared" si="8"/>
        <v>#DIV/0!</v>
      </c>
      <c r="AI21" s="43" t="e">
        <f t="shared" si="9"/>
        <v>#DIV/0!</v>
      </c>
      <c r="AJ21" s="43" t="e">
        <f t="shared" si="10"/>
        <v>#DIV/0!</v>
      </c>
      <c r="AK21" s="43" t="e">
        <f t="shared" si="11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5"/>
        <v>0</v>
      </c>
      <c r="BE21" s="43">
        <f t="shared" si="25"/>
        <v>0</v>
      </c>
      <c r="BF21" s="43">
        <f t="shared" si="25"/>
        <v>0</v>
      </c>
      <c r="BG21" s="43">
        <f t="shared" si="25"/>
        <v>0</v>
      </c>
      <c r="BH21" s="43">
        <f t="shared" si="25"/>
        <v>0</v>
      </c>
      <c r="BI21" s="43">
        <f t="shared" si="25"/>
        <v>0</v>
      </c>
      <c r="BJ21" s="43">
        <f t="shared" si="25"/>
        <v>0</v>
      </c>
      <c r="BK21" s="43">
        <f t="shared" si="25"/>
        <v>0</v>
      </c>
      <c r="BL21" s="43">
        <f t="shared" si="25"/>
        <v>0</v>
      </c>
      <c r="BM21" s="51"/>
      <c r="BN21" s="51"/>
      <c r="BO21" s="51"/>
      <c r="BP21" s="51"/>
      <c r="BQ21" s="51"/>
      <c r="BR21" s="51"/>
      <c r="BS21" s="51"/>
      <c r="BT21" s="51"/>
      <c r="BU21" s="51"/>
      <c r="BV21" s="51" t="e">
        <f t="shared" si="13"/>
        <v>#DIV/0!</v>
      </c>
      <c r="BW21" s="51" t="e">
        <f t="shared" si="14"/>
        <v>#DIV/0!</v>
      </c>
      <c r="BX21" s="51" t="e">
        <f t="shared" si="15"/>
        <v>#DIV/0!</v>
      </c>
      <c r="BY21" s="51" t="e">
        <f t="shared" si="16"/>
        <v>#DIV/0!</v>
      </c>
      <c r="BZ21" s="51" t="e">
        <f t="shared" si="17"/>
        <v>#DIV/0!</v>
      </c>
      <c r="CA21" s="51" t="e">
        <f t="shared" si="18"/>
        <v>#DIV/0!</v>
      </c>
      <c r="CB21" s="51" t="e">
        <f t="shared" si="19"/>
        <v>#DIV/0!</v>
      </c>
      <c r="CC21" s="51" t="e">
        <f t="shared" si="20"/>
        <v>#DIV/0!</v>
      </c>
      <c r="CD21" s="51" t="e">
        <f t="shared" si="21"/>
        <v>#DIV/0!</v>
      </c>
      <c r="CE21" s="53">
        <f t="shared" si="26"/>
        <v>0</v>
      </c>
      <c r="CF21" s="53">
        <f t="shared" si="26"/>
        <v>0</v>
      </c>
      <c r="CG21" s="53">
        <f t="shared" si="26"/>
        <v>0</v>
      </c>
      <c r="CH21" s="53">
        <f t="shared" si="26"/>
        <v>0</v>
      </c>
      <c r="CI21" s="53">
        <f t="shared" si="26"/>
        <v>0</v>
      </c>
      <c r="CJ21" s="53">
        <f t="shared" si="26"/>
        <v>0</v>
      </c>
      <c r="CK21" s="53">
        <f t="shared" si="26"/>
        <v>0</v>
      </c>
      <c r="CL21" s="53">
        <f t="shared" si="26"/>
        <v>0</v>
      </c>
      <c r="CM21" s="53">
        <f t="shared" si="26"/>
        <v>0</v>
      </c>
    </row>
    <row r="22" spans="1:91" x14ac:dyDescent="0.15">
      <c r="A22" s="41">
        <v>20</v>
      </c>
      <c r="B22" s="43">
        <f t="shared" si="29"/>
        <v>1</v>
      </c>
      <c r="C22" s="43">
        <f t="shared" si="28"/>
        <v>1</v>
      </c>
      <c r="D22" s="43">
        <f t="shared" si="28"/>
        <v>1</v>
      </c>
      <c r="E22" s="43">
        <f t="shared" si="28"/>
        <v>1</v>
      </c>
      <c r="F22" s="43">
        <f t="shared" si="28"/>
        <v>1</v>
      </c>
      <c r="G22" s="43">
        <f t="shared" si="28"/>
        <v>1</v>
      </c>
      <c r="H22" s="43">
        <f t="shared" si="28"/>
        <v>1</v>
      </c>
      <c r="I22" s="43">
        <f t="shared" si="28"/>
        <v>1</v>
      </c>
      <c r="J22" s="43">
        <f t="shared" si="28"/>
        <v>1</v>
      </c>
      <c r="K22" s="43" t="e">
        <f>K21+ATM_Conf!$C$5*(T21-AC21)</f>
        <v>#DIV/0!</v>
      </c>
      <c r="L22" s="43" t="e">
        <f>L21+ATM_Conf!$C$5*(U21-AD21)</f>
        <v>#DIV/0!</v>
      </c>
      <c r="M22" s="43" t="e">
        <f>M21+ATM_Conf!$C$5*(V21-AE21)</f>
        <v>#DIV/0!</v>
      </c>
      <c r="N22" s="43" t="e">
        <f>N21+ATM_Conf!$C$5*(W21-AF21)</f>
        <v>#DIV/0!</v>
      </c>
      <c r="O22" s="43" t="e">
        <f>O21+ATM_Conf!$C$5*(X21-AG21)</f>
        <v>#DIV/0!</v>
      </c>
      <c r="P22" s="43" t="e">
        <f>P21+ATM_Conf!$C$5*(Y21-AH21)</f>
        <v>#DIV/0!</v>
      </c>
      <c r="Q22" s="43" t="e">
        <f>Q21+ATM_Conf!$C$5*(Z21-AI21)</f>
        <v>#DIV/0!</v>
      </c>
      <c r="R22" s="43" t="e">
        <f>R21+ATM_Conf!$C$5*(AA21-AJ21)</f>
        <v>#DIV/0!</v>
      </c>
      <c r="S22" s="43" t="e">
        <f>S21+ATM_Conf!$C$5*(AB21-AK21)</f>
        <v>#DIV/0!</v>
      </c>
      <c r="T22" s="43">
        <f t="shared" si="24"/>
        <v>0</v>
      </c>
      <c r="U22" s="43">
        <f t="shared" si="24"/>
        <v>0</v>
      </c>
      <c r="V22" s="43">
        <f t="shared" si="24"/>
        <v>0</v>
      </c>
      <c r="W22" s="43">
        <f t="shared" si="24"/>
        <v>0</v>
      </c>
      <c r="X22" s="43">
        <f t="shared" si="24"/>
        <v>0</v>
      </c>
      <c r="Y22" s="43">
        <f t="shared" si="24"/>
        <v>0</v>
      </c>
      <c r="Z22" s="43">
        <f t="shared" si="24"/>
        <v>0</v>
      </c>
      <c r="AA22" s="43">
        <f t="shared" si="24"/>
        <v>0</v>
      </c>
      <c r="AB22" s="43">
        <f t="shared" si="24"/>
        <v>0</v>
      </c>
      <c r="AC22" s="43" t="e">
        <f t="shared" si="3"/>
        <v>#DIV/0!</v>
      </c>
      <c r="AD22" s="43" t="e">
        <f t="shared" si="4"/>
        <v>#DIV/0!</v>
      </c>
      <c r="AE22" s="43" t="e">
        <f t="shared" si="5"/>
        <v>#DIV/0!</v>
      </c>
      <c r="AF22" s="43" t="e">
        <f t="shared" si="6"/>
        <v>#DIV/0!</v>
      </c>
      <c r="AG22" s="43" t="e">
        <f t="shared" si="7"/>
        <v>#DIV/0!</v>
      </c>
      <c r="AH22" s="43" t="e">
        <f t="shared" si="8"/>
        <v>#DIV/0!</v>
      </c>
      <c r="AI22" s="43" t="e">
        <f t="shared" si="9"/>
        <v>#DIV/0!</v>
      </c>
      <c r="AJ22" s="43" t="e">
        <f t="shared" si="10"/>
        <v>#DIV/0!</v>
      </c>
      <c r="AK22" s="43" t="e">
        <f t="shared" si="11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5"/>
        <v>0</v>
      </c>
      <c r="BE22" s="43">
        <f t="shared" si="25"/>
        <v>0</v>
      </c>
      <c r="BF22" s="43">
        <f t="shared" si="25"/>
        <v>0</v>
      </c>
      <c r="BG22" s="43">
        <f t="shared" si="25"/>
        <v>0</v>
      </c>
      <c r="BH22" s="43">
        <f t="shared" si="25"/>
        <v>0</v>
      </c>
      <c r="BI22" s="43">
        <f t="shared" si="25"/>
        <v>0</v>
      </c>
      <c r="BJ22" s="43">
        <f t="shared" si="25"/>
        <v>0</v>
      </c>
      <c r="BK22" s="43">
        <f t="shared" si="25"/>
        <v>0</v>
      </c>
      <c r="BL22" s="43">
        <f t="shared" si="25"/>
        <v>0</v>
      </c>
      <c r="BM22" s="51"/>
      <c r="BN22" s="51"/>
      <c r="BO22" s="51"/>
      <c r="BP22" s="51"/>
      <c r="BQ22" s="51"/>
      <c r="BR22" s="51"/>
      <c r="BS22" s="51"/>
      <c r="BT22" s="51"/>
      <c r="BU22" s="51"/>
      <c r="BV22" s="51" t="e">
        <f t="shared" si="13"/>
        <v>#DIV/0!</v>
      </c>
      <c r="BW22" s="51" t="e">
        <f t="shared" si="14"/>
        <v>#DIV/0!</v>
      </c>
      <c r="BX22" s="51" t="e">
        <f t="shared" si="15"/>
        <v>#DIV/0!</v>
      </c>
      <c r="BY22" s="51" t="e">
        <f t="shared" si="16"/>
        <v>#DIV/0!</v>
      </c>
      <c r="BZ22" s="51" t="e">
        <f t="shared" si="17"/>
        <v>#DIV/0!</v>
      </c>
      <c r="CA22" s="51" t="e">
        <f t="shared" si="18"/>
        <v>#DIV/0!</v>
      </c>
      <c r="CB22" s="51" t="e">
        <f t="shared" si="19"/>
        <v>#DIV/0!</v>
      </c>
      <c r="CC22" s="51" t="e">
        <f t="shared" si="20"/>
        <v>#DIV/0!</v>
      </c>
      <c r="CD22" s="51" t="e">
        <f t="shared" si="21"/>
        <v>#DIV/0!</v>
      </c>
      <c r="CE22" s="53">
        <f t="shared" si="26"/>
        <v>0</v>
      </c>
      <c r="CF22" s="53">
        <f t="shared" si="26"/>
        <v>0</v>
      </c>
      <c r="CG22" s="53">
        <f t="shared" si="26"/>
        <v>0</v>
      </c>
      <c r="CH22" s="53">
        <f t="shared" si="26"/>
        <v>0</v>
      </c>
      <c r="CI22" s="53">
        <f t="shared" si="26"/>
        <v>0</v>
      </c>
      <c r="CJ22" s="53">
        <f t="shared" si="26"/>
        <v>0</v>
      </c>
      <c r="CK22" s="53">
        <f t="shared" si="26"/>
        <v>0</v>
      </c>
      <c r="CL22" s="53">
        <f t="shared" si="26"/>
        <v>0</v>
      </c>
      <c r="CM22" s="53">
        <f t="shared" si="26"/>
        <v>0</v>
      </c>
    </row>
    <row r="23" spans="1:91" x14ac:dyDescent="0.15">
      <c r="A23" s="41">
        <v>21</v>
      </c>
      <c r="B23" s="43">
        <f t="shared" si="29"/>
        <v>1</v>
      </c>
      <c r="C23" s="43">
        <f t="shared" si="28"/>
        <v>1</v>
      </c>
      <c r="D23" s="43">
        <f t="shared" si="28"/>
        <v>1</v>
      </c>
      <c r="E23" s="43">
        <f t="shared" si="28"/>
        <v>1</v>
      </c>
      <c r="F23" s="43">
        <f t="shared" si="28"/>
        <v>1</v>
      </c>
      <c r="G23" s="43">
        <f t="shared" si="28"/>
        <v>1</v>
      </c>
      <c r="H23" s="43">
        <f t="shared" si="28"/>
        <v>1</v>
      </c>
      <c r="I23" s="43">
        <f t="shared" si="28"/>
        <v>1</v>
      </c>
      <c r="J23" s="43">
        <f t="shared" si="28"/>
        <v>1</v>
      </c>
      <c r="K23" s="43" t="e">
        <f>K22+ATM_Conf!$C$5*(T22-AC22)</f>
        <v>#DIV/0!</v>
      </c>
      <c r="L23" s="43" t="e">
        <f>L22+ATM_Conf!$C$5*(U22-AD22)</f>
        <v>#DIV/0!</v>
      </c>
      <c r="M23" s="43" t="e">
        <f>M22+ATM_Conf!$C$5*(V22-AE22)</f>
        <v>#DIV/0!</v>
      </c>
      <c r="N23" s="43" t="e">
        <f>N22+ATM_Conf!$C$5*(W22-AF22)</f>
        <v>#DIV/0!</v>
      </c>
      <c r="O23" s="43" t="e">
        <f>O22+ATM_Conf!$C$5*(X22-AG22)</f>
        <v>#DIV/0!</v>
      </c>
      <c r="P23" s="43" t="e">
        <f>P22+ATM_Conf!$C$5*(Y22-AH22)</f>
        <v>#DIV/0!</v>
      </c>
      <c r="Q23" s="43" t="e">
        <f>Q22+ATM_Conf!$C$5*(Z22-AI22)</f>
        <v>#DIV/0!</v>
      </c>
      <c r="R23" s="43" t="e">
        <f>R22+ATM_Conf!$C$5*(AA22-AJ22)</f>
        <v>#DIV/0!</v>
      </c>
      <c r="S23" s="43" t="e">
        <f>S22+ATM_Conf!$C$5*(AB22-AK22)</f>
        <v>#DIV/0!</v>
      </c>
      <c r="T23" s="43">
        <f t="shared" si="24"/>
        <v>0</v>
      </c>
      <c r="U23" s="43">
        <f t="shared" si="24"/>
        <v>0</v>
      </c>
      <c r="V23" s="43">
        <f t="shared" si="24"/>
        <v>0</v>
      </c>
      <c r="W23" s="43">
        <f t="shared" si="24"/>
        <v>0</v>
      </c>
      <c r="X23" s="43">
        <f t="shared" si="24"/>
        <v>0</v>
      </c>
      <c r="Y23" s="43">
        <f t="shared" si="24"/>
        <v>0</v>
      </c>
      <c r="Z23" s="43">
        <f t="shared" si="24"/>
        <v>0</v>
      </c>
      <c r="AA23" s="43">
        <f t="shared" si="24"/>
        <v>0</v>
      </c>
      <c r="AB23" s="43">
        <f t="shared" si="24"/>
        <v>0</v>
      </c>
      <c r="AC23" s="43" t="e">
        <f t="shared" si="3"/>
        <v>#DIV/0!</v>
      </c>
      <c r="AD23" s="43" t="e">
        <f t="shared" si="4"/>
        <v>#DIV/0!</v>
      </c>
      <c r="AE23" s="43" t="e">
        <f t="shared" si="5"/>
        <v>#DIV/0!</v>
      </c>
      <c r="AF23" s="43" t="e">
        <f t="shared" si="6"/>
        <v>#DIV/0!</v>
      </c>
      <c r="AG23" s="43" t="e">
        <f t="shared" si="7"/>
        <v>#DIV/0!</v>
      </c>
      <c r="AH23" s="43" t="e">
        <f t="shared" si="8"/>
        <v>#DIV/0!</v>
      </c>
      <c r="AI23" s="43" t="e">
        <f t="shared" si="9"/>
        <v>#DIV/0!</v>
      </c>
      <c r="AJ23" s="43" t="e">
        <f t="shared" si="10"/>
        <v>#DIV/0!</v>
      </c>
      <c r="AK23" s="43" t="e">
        <f t="shared" si="11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5"/>
        <v>0</v>
      </c>
      <c r="BE23" s="43">
        <f t="shared" si="25"/>
        <v>0</v>
      </c>
      <c r="BF23" s="43">
        <f t="shared" si="25"/>
        <v>0</v>
      </c>
      <c r="BG23" s="43">
        <f t="shared" si="25"/>
        <v>0</v>
      </c>
      <c r="BH23" s="43">
        <f t="shared" si="25"/>
        <v>0</v>
      </c>
      <c r="BI23" s="43">
        <f t="shared" si="25"/>
        <v>0</v>
      </c>
      <c r="BJ23" s="43">
        <f t="shared" si="25"/>
        <v>0</v>
      </c>
      <c r="BK23" s="43">
        <f t="shared" si="25"/>
        <v>0</v>
      </c>
      <c r="BL23" s="43">
        <f t="shared" si="25"/>
        <v>0</v>
      </c>
      <c r="BM23" s="51"/>
      <c r="BN23" s="51"/>
      <c r="BO23" s="51"/>
      <c r="BP23" s="51"/>
      <c r="BQ23" s="51"/>
      <c r="BR23" s="51"/>
      <c r="BS23" s="51"/>
      <c r="BT23" s="51"/>
      <c r="BU23" s="51"/>
      <c r="BV23" s="51" t="e">
        <f t="shared" si="13"/>
        <v>#DIV/0!</v>
      </c>
      <c r="BW23" s="51" t="e">
        <f t="shared" si="14"/>
        <v>#DIV/0!</v>
      </c>
      <c r="BX23" s="51" t="e">
        <f t="shared" si="15"/>
        <v>#DIV/0!</v>
      </c>
      <c r="BY23" s="51" t="e">
        <f t="shared" si="16"/>
        <v>#DIV/0!</v>
      </c>
      <c r="BZ23" s="51" t="e">
        <f t="shared" si="17"/>
        <v>#DIV/0!</v>
      </c>
      <c r="CA23" s="51" t="e">
        <f t="shared" si="18"/>
        <v>#DIV/0!</v>
      </c>
      <c r="CB23" s="51" t="e">
        <f t="shared" si="19"/>
        <v>#DIV/0!</v>
      </c>
      <c r="CC23" s="51" t="e">
        <f t="shared" si="20"/>
        <v>#DIV/0!</v>
      </c>
      <c r="CD23" s="51" t="e">
        <f t="shared" si="21"/>
        <v>#DIV/0!</v>
      </c>
      <c r="CE23" s="53">
        <f t="shared" si="26"/>
        <v>0</v>
      </c>
      <c r="CF23" s="53">
        <f t="shared" si="26"/>
        <v>0</v>
      </c>
      <c r="CG23" s="53">
        <f t="shared" si="26"/>
        <v>0</v>
      </c>
      <c r="CH23" s="53">
        <f t="shared" si="26"/>
        <v>0</v>
      </c>
      <c r="CI23" s="53">
        <f t="shared" si="26"/>
        <v>0</v>
      </c>
      <c r="CJ23" s="53">
        <f t="shared" si="26"/>
        <v>0</v>
      </c>
      <c r="CK23" s="53">
        <f t="shared" si="26"/>
        <v>0</v>
      </c>
      <c r="CL23" s="53">
        <f t="shared" si="26"/>
        <v>0</v>
      </c>
      <c r="CM23" s="53">
        <f t="shared" si="26"/>
        <v>0</v>
      </c>
    </row>
    <row r="24" spans="1:91" x14ac:dyDescent="0.15">
      <c r="A24" s="41">
        <v>22</v>
      </c>
      <c r="B24" s="43">
        <f t="shared" si="29"/>
        <v>1</v>
      </c>
      <c r="C24" s="43">
        <f t="shared" si="28"/>
        <v>1</v>
      </c>
      <c r="D24" s="43">
        <f t="shared" si="28"/>
        <v>1</v>
      </c>
      <c r="E24" s="43">
        <f t="shared" si="28"/>
        <v>1</v>
      </c>
      <c r="F24" s="43">
        <f t="shared" si="28"/>
        <v>1</v>
      </c>
      <c r="G24" s="43">
        <f t="shared" si="28"/>
        <v>1</v>
      </c>
      <c r="H24" s="43">
        <f t="shared" si="28"/>
        <v>1</v>
      </c>
      <c r="I24" s="43">
        <f t="shared" si="28"/>
        <v>1</v>
      </c>
      <c r="J24" s="43">
        <f t="shared" si="28"/>
        <v>1</v>
      </c>
      <c r="K24" s="43" t="e">
        <f>K23+ATM_Conf!$C$5*(T23-AC23)</f>
        <v>#DIV/0!</v>
      </c>
      <c r="L24" s="43" t="e">
        <f>L23+ATM_Conf!$C$5*(U23-AD23)</f>
        <v>#DIV/0!</v>
      </c>
      <c r="M24" s="43" t="e">
        <f>M23+ATM_Conf!$C$5*(V23-AE23)</f>
        <v>#DIV/0!</v>
      </c>
      <c r="N24" s="43" t="e">
        <f>N23+ATM_Conf!$C$5*(W23-AF23)</f>
        <v>#DIV/0!</v>
      </c>
      <c r="O24" s="43" t="e">
        <f>O23+ATM_Conf!$C$5*(X23-AG23)</f>
        <v>#DIV/0!</v>
      </c>
      <c r="P24" s="43" t="e">
        <f>P23+ATM_Conf!$C$5*(Y23-AH23)</f>
        <v>#DIV/0!</v>
      </c>
      <c r="Q24" s="43" t="e">
        <f>Q23+ATM_Conf!$C$5*(Z23-AI23)</f>
        <v>#DIV/0!</v>
      </c>
      <c r="R24" s="43" t="e">
        <f>R23+ATM_Conf!$C$5*(AA23-AJ23)</f>
        <v>#DIV/0!</v>
      </c>
      <c r="S24" s="43" t="e">
        <f>S23+ATM_Conf!$C$5*(AB23-AK23)</f>
        <v>#DIV/0!</v>
      </c>
      <c r="T24" s="43">
        <f t="shared" si="24"/>
        <v>0</v>
      </c>
      <c r="U24" s="43">
        <f t="shared" si="24"/>
        <v>0</v>
      </c>
      <c r="V24" s="43">
        <f t="shared" si="24"/>
        <v>0</v>
      </c>
      <c r="W24" s="43">
        <f t="shared" si="24"/>
        <v>0</v>
      </c>
      <c r="X24" s="43">
        <f t="shared" si="24"/>
        <v>0</v>
      </c>
      <c r="Y24" s="43">
        <f t="shared" si="24"/>
        <v>0</v>
      </c>
      <c r="Z24" s="43">
        <f t="shared" si="24"/>
        <v>0</v>
      </c>
      <c r="AA24" s="43">
        <f t="shared" si="24"/>
        <v>0</v>
      </c>
      <c r="AB24" s="43">
        <f t="shared" si="24"/>
        <v>0</v>
      </c>
      <c r="AC24" s="43" t="e">
        <f t="shared" si="3"/>
        <v>#DIV/0!</v>
      </c>
      <c r="AD24" s="43" t="e">
        <f t="shared" si="4"/>
        <v>#DIV/0!</v>
      </c>
      <c r="AE24" s="43" t="e">
        <f t="shared" si="5"/>
        <v>#DIV/0!</v>
      </c>
      <c r="AF24" s="43" t="e">
        <f t="shared" si="6"/>
        <v>#DIV/0!</v>
      </c>
      <c r="AG24" s="43" t="e">
        <f t="shared" si="7"/>
        <v>#DIV/0!</v>
      </c>
      <c r="AH24" s="43" t="e">
        <f t="shared" si="8"/>
        <v>#DIV/0!</v>
      </c>
      <c r="AI24" s="43" t="e">
        <f t="shared" si="9"/>
        <v>#DIV/0!</v>
      </c>
      <c r="AJ24" s="43" t="e">
        <f t="shared" si="10"/>
        <v>#DIV/0!</v>
      </c>
      <c r="AK24" s="43" t="e">
        <f t="shared" si="11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5"/>
        <v>0</v>
      </c>
      <c r="BE24" s="43">
        <f t="shared" si="25"/>
        <v>0</v>
      </c>
      <c r="BF24" s="43">
        <f t="shared" si="25"/>
        <v>0</v>
      </c>
      <c r="BG24" s="43">
        <f t="shared" si="25"/>
        <v>0</v>
      </c>
      <c r="BH24" s="43">
        <f t="shared" si="25"/>
        <v>0</v>
      </c>
      <c r="BI24" s="43">
        <f t="shared" si="25"/>
        <v>0</v>
      </c>
      <c r="BJ24" s="43">
        <f t="shared" si="25"/>
        <v>0</v>
      </c>
      <c r="BK24" s="43">
        <f t="shared" si="25"/>
        <v>0</v>
      </c>
      <c r="BL24" s="43">
        <f t="shared" si="25"/>
        <v>0</v>
      </c>
      <c r="BM24" s="51"/>
      <c r="BN24" s="51"/>
      <c r="BO24" s="51"/>
      <c r="BP24" s="51"/>
      <c r="BQ24" s="51"/>
      <c r="BR24" s="51"/>
      <c r="BS24" s="51"/>
      <c r="BT24" s="51"/>
      <c r="BU24" s="51"/>
      <c r="BV24" s="51" t="e">
        <f t="shared" si="13"/>
        <v>#DIV/0!</v>
      </c>
      <c r="BW24" s="51" t="e">
        <f t="shared" si="14"/>
        <v>#DIV/0!</v>
      </c>
      <c r="BX24" s="51" t="e">
        <f t="shared" si="15"/>
        <v>#DIV/0!</v>
      </c>
      <c r="BY24" s="51" t="e">
        <f t="shared" si="16"/>
        <v>#DIV/0!</v>
      </c>
      <c r="BZ24" s="51" t="e">
        <f t="shared" si="17"/>
        <v>#DIV/0!</v>
      </c>
      <c r="CA24" s="51" t="e">
        <f t="shared" si="18"/>
        <v>#DIV/0!</v>
      </c>
      <c r="CB24" s="51" t="e">
        <f t="shared" si="19"/>
        <v>#DIV/0!</v>
      </c>
      <c r="CC24" s="51" t="e">
        <f t="shared" si="20"/>
        <v>#DIV/0!</v>
      </c>
      <c r="CD24" s="51" t="e">
        <f t="shared" si="21"/>
        <v>#DIV/0!</v>
      </c>
      <c r="CE24" s="53">
        <f t="shared" si="26"/>
        <v>0</v>
      </c>
      <c r="CF24" s="53">
        <f t="shared" si="26"/>
        <v>0</v>
      </c>
      <c r="CG24" s="53">
        <f t="shared" si="26"/>
        <v>0</v>
      </c>
      <c r="CH24" s="53">
        <f t="shared" si="26"/>
        <v>0</v>
      </c>
      <c r="CI24" s="53">
        <f t="shared" si="26"/>
        <v>0</v>
      </c>
      <c r="CJ24" s="53">
        <f t="shared" si="26"/>
        <v>0</v>
      </c>
      <c r="CK24" s="53">
        <f t="shared" si="26"/>
        <v>0</v>
      </c>
      <c r="CL24" s="53">
        <f t="shared" si="26"/>
        <v>0</v>
      </c>
      <c r="CM24" s="53">
        <f t="shared" si="26"/>
        <v>0</v>
      </c>
    </row>
    <row r="25" spans="1:91" x14ac:dyDescent="0.15">
      <c r="A25" s="41">
        <v>23</v>
      </c>
      <c r="B25" s="43">
        <f t="shared" si="29"/>
        <v>1</v>
      </c>
      <c r="C25" s="43">
        <f t="shared" si="28"/>
        <v>1</v>
      </c>
      <c r="D25" s="43">
        <f t="shared" si="28"/>
        <v>1</v>
      </c>
      <c r="E25" s="43">
        <f t="shared" si="28"/>
        <v>1</v>
      </c>
      <c r="F25" s="43">
        <f t="shared" si="28"/>
        <v>1</v>
      </c>
      <c r="G25" s="43">
        <f t="shared" si="28"/>
        <v>1</v>
      </c>
      <c r="H25" s="43">
        <f t="shared" si="28"/>
        <v>1</v>
      </c>
      <c r="I25" s="43">
        <f t="shared" si="28"/>
        <v>1</v>
      </c>
      <c r="J25" s="43">
        <f t="shared" si="28"/>
        <v>1</v>
      </c>
      <c r="K25" s="43" t="e">
        <f>K24+ATM_Conf!$C$5*(T24-AC24)</f>
        <v>#DIV/0!</v>
      </c>
      <c r="L25" s="43" t="e">
        <f>L24+ATM_Conf!$C$5*(U24-AD24)</f>
        <v>#DIV/0!</v>
      </c>
      <c r="M25" s="43" t="e">
        <f>M24+ATM_Conf!$C$5*(V24-AE24)</f>
        <v>#DIV/0!</v>
      </c>
      <c r="N25" s="43" t="e">
        <f>N24+ATM_Conf!$C$5*(W24-AF24)</f>
        <v>#DIV/0!</v>
      </c>
      <c r="O25" s="43" t="e">
        <f>O24+ATM_Conf!$C$5*(X24-AG24)</f>
        <v>#DIV/0!</v>
      </c>
      <c r="P25" s="43" t="e">
        <f>P24+ATM_Conf!$C$5*(Y24-AH24)</f>
        <v>#DIV/0!</v>
      </c>
      <c r="Q25" s="43" t="e">
        <f>Q24+ATM_Conf!$C$5*(Z24-AI24)</f>
        <v>#DIV/0!</v>
      </c>
      <c r="R25" s="43" t="e">
        <f>R24+ATM_Conf!$C$5*(AA24-AJ24)</f>
        <v>#DIV/0!</v>
      </c>
      <c r="S25" s="43" t="e">
        <f>S24+ATM_Conf!$C$5*(AB24-AK24)</f>
        <v>#DIV/0!</v>
      </c>
      <c r="T25" s="43">
        <f t="shared" si="24"/>
        <v>0</v>
      </c>
      <c r="U25" s="43">
        <f t="shared" si="24"/>
        <v>0</v>
      </c>
      <c r="V25" s="43">
        <f t="shared" si="24"/>
        <v>0</v>
      </c>
      <c r="W25" s="43">
        <f t="shared" si="24"/>
        <v>0</v>
      </c>
      <c r="X25" s="43">
        <f t="shared" si="24"/>
        <v>0</v>
      </c>
      <c r="Y25" s="43">
        <f t="shared" si="24"/>
        <v>0</v>
      </c>
      <c r="Z25" s="43">
        <f t="shared" si="24"/>
        <v>0</v>
      </c>
      <c r="AA25" s="43">
        <f t="shared" si="24"/>
        <v>0</v>
      </c>
      <c r="AB25" s="43">
        <f t="shared" si="24"/>
        <v>0</v>
      </c>
      <c r="AC25" s="43" t="e">
        <f t="shared" si="3"/>
        <v>#DIV/0!</v>
      </c>
      <c r="AD25" s="43" t="e">
        <f t="shared" si="4"/>
        <v>#DIV/0!</v>
      </c>
      <c r="AE25" s="43" t="e">
        <f t="shared" si="5"/>
        <v>#DIV/0!</v>
      </c>
      <c r="AF25" s="43" t="e">
        <f t="shared" si="6"/>
        <v>#DIV/0!</v>
      </c>
      <c r="AG25" s="43" t="e">
        <f t="shared" si="7"/>
        <v>#DIV/0!</v>
      </c>
      <c r="AH25" s="43" t="e">
        <f t="shared" si="8"/>
        <v>#DIV/0!</v>
      </c>
      <c r="AI25" s="43" t="e">
        <f t="shared" si="9"/>
        <v>#DIV/0!</v>
      </c>
      <c r="AJ25" s="43" t="e">
        <f t="shared" si="10"/>
        <v>#DIV/0!</v>
      </c>
      <c r="AK25" s="43" t="e">
        <f t="shared" si="11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5"/>
        <v>0</v>
      </c>
      <c r="BE25" s="43">
        <f t="shared" si="25"/>
        <v>0</v>
      </c>
      <c r="BF25" s="43">
        <f t="shared" si="25"/>
        <v>0</v>
      </c>
      <c r="BG25" s="43">
        <f t="shared" si="25"/>
        <v>0</v>
      </c>
      <c r="BH25" s="43">
        <f t="shared" si="25"/>
        <v>0</v>
      </c>
      <c r="BI25" s="43">
        <f t="shared" si="25"/>
        <v>0</v>
      </c>
      <c r="BJ25" s="43">
        <f t="shared" si="25"/>
        <v>0</v>
      </c>
      <c r="BK25" s="43">
        <f t="shared" si="25"/>
        <v>0</v>
      </c>
      <c r="BL25" s="43">
        <f t="shared" si="25"/>
        <v>0</v>
      </c>
      <c r="BM25" s="51"/>
      <c r="BN25" s="51"/>
      <c r="BO25" s="51"/>
      <c r="BP25" s="51"/>
      <c r="BQ25" s="51"/>
      <c r="BR25" s="51"/>
      <c r="BS25" s="51"/>
      <c r="BT25" s="51"/>
      <c r="BU25" s="51"/>
      <c r="BV25" s="51" t="e">
        <f t="shared" si="13"/>
        <v>#DIV/0!</v>
      </c>
      <c r="BW25" s="51" t="e">
        <f t="shared" si="14"/>
        <v>#DIV/0!</v>
      </c>
      <c r="BX25" s="51" t="e">
        <f t="shared" si="15"/>
        <v>#DIV/0!</v>
      </c>
      <c r="BY25" s="51" t="e">
        <f t="shared" si="16"/>
        <v>#DIV/0!</v>
      </c>
      <c r="BZ25" s="51" t="e">
        <f t="shared" si="17"/>
        <v>#DIV/0!</v>
      </c>
      <c r="CA25" s="51" t="e">
        <f t="shared" si="18"/>
        <v>#DIV/0!</v>
      </c>
      <c r="CB25" s="51" t="e">
        <f t="shared" si="19"/>
        <v>#DIV/0!</v>
      </c>
      <c r="CC25" s="51" t="e">
        <f t="shared" si="20"/>
        <v>#DIV/0!</v>
      </c>
      <c r="CD25" s="51" t="e">
        <f t="shared" si="21"/>
        <v>#DIV/0!</v>
      </c>
      <c r="CE25" s="53">
        <f t="shared" si="26"/>
        <v>0</v>
      </c>
      <c r="CF25" s="53">
        <f t="shared" si="26"/>
        <v>0</v>
      </c>
      <c r="CG25" s="53">
        <f t="shared" si="26"/>
        <v>0</v>
      </c>
      <c r="CH25" s="53">
        <f t="shared" si="26"/>
        <v>0</v>
      </c>
      <c r="CI25" s="53">
        <f t="shared" si="26"/>
        <v>0</v>
      </c>
      <c r="CJ25" s="53">
        <f t="shared" si="26"/>
        <v>0</v>
      </c>
      <c r="CK25" s="53">
        <f t="shared" si="26"/>
        <v>0</v>
      </c>
      <c r="CL25" s="53">
        <f t="shared" si="26"/>
        <v>0</v>
      </c>
      <c r="CM25" s="53">
        <f t="shared" si="26"/>
        <v>0</v>
      </c>
    </row>
    <row r="26" spans="1:91" x14ac:dyDescent="0.15">
      <c r="A26" s="41">
        <v>24</v>
      </c>
      <c r="B26" s="43">
        <f t="shared" si="29"/>
        <v>1</v>
      </c>
      <c r="C26" s="43">
        <f t="shared" si="28"/>
        <v>1</v>
      </c>
      <c r="D26" s="43">
        <f t="shared" si="28"/>
        <v>1</v>
      </c>
      <c r="E26" s="43">
        <f t="shared" si="28"/>
        <v>1</v>
      </c>
      <c r="F26" s="43">
        <f t="shared" si="28"/>
        <v>1</v>
      </c>
      <c r="G26" s="43">
        <f t="shared" si="28"/>
        <v>1</v>
      </c>
      <c r="H26" s="43">
        <f t="shared" si="28"/>
        <v>1</v>
      </c>
      <c r="I26" s="43">
        <f t="shared" si="28"/>
        <v>1</v>
      </c>
      <c r="J26" s="43">
        <f t="shared" si="28"/>
        <v>1</v>
      </c>
      <c r="K26" s="43" t="e">
        <f>K25+ATM_Conf!$C$5*(T25-AC25)</f>
        <v>#DIV/0!</v>
      </c>
      <c r="L26" s="43" t="e">
        <f>L25+ATM_Conf!$C$5*(U25-AD25)</f>
        <v>#DIV/0!</v>
      </c>
      <c r="M26" s="43" t="e">
        <f>M25+ATM_Conf!$C$5*(V25-AE25)</f>
        <v>#DIV/0!</v>
      </c>
      <c r="N26" s="43" t="e">
        <f>N25+ATM_Conf!$C$5*(W25-AF25)</f>
        <v>#DIV/0!</v>
      </c>
      <c r="O26" s="43" t="e">
        <f>O25+ATM_Conf!$C$5*(X25-AG25)</f>
        <v>#DIV/0!</v>
      </c>
      <c r="P26" s="43" t="e">
        <f>P25+ATM_Conf!$C$5*(Y25-AH25)</f>
        <v>#DIV/0!</v>
      </c>
      <c r="Q26" s="43" t="e">
        <f>Q25+ATM_Conf!$C$5*(Z25-AI25)</f>
        <v>#DIV/0!</v>
      </c>
      <c r="R26" s="43" t="e">
        <f>R25+ATM_Conf!$C$5*(AA25-AJ25)</f>
        <v>#DIV/0!</v>
      </c>
      <c r="S26" s="43" t="e">
        <f>S25+ATM_Conf!$C$5*(AB25-AK25)</f>
        <v>#DIV/0!</v>
      </c>
      <c r="T26" s="43">
        <f t="shared" si="24"/>
        <v>0</v>
      </c>
      <c r="U26" s="43">
        <f t="shared" si="24"/>
        <v>0</v>
      </c>
      <c r="V26" s="43">
        <f t="shared" si="24"/>
        <v>0</v>
      </c>
      <c r="W26" s="43">
        <f t="shared" si="24"/>
        <v>0</v>
      </c>
      <c r="X26" s="43">
        <f t="shared" si="24"/>
        <v>0</v>
      </c>
      <c r="Y26" s="43">
        <f t="shared" si="24"/>
        <v>0</v>
      </c>
      <c r="Z26" s="43">
        <f t="shared" si="24"/>
        <v>0</v>
      </c>
      <c r="AA26" s="43">
        <f t="shared" si="24"/>
        <v>0</v>
      </c>
      <c r="AB26" s="43">
        <f t="shared" si="24"/>
        <v>0</v>
      </c>
      <c r="AC26" s="43" t="e">
        <f t="shared" si="3"/>
        <v>#DIV/0!</v>
      </c>
      <c r="AD26" s="43" t="e">
        <f t="shared" si="4"/>
        <v>#DIV/0!</v>
      </c>
      <c r="AE26" s="43" t="e">
        <f t="shared" si="5"/>
        <v>#DIV/0!</v>
      </c>
      <c r="AF26" s="43" t="e">
        <f t="shared" si="6"/>
        <v>#DIV/0!</v>
      </c>
      <c r="AG26" s="43" t="e">
        <f t="shared" si="7"/>
        <v>#DIV/0!</v>
      </c>
      <c r="AH26" s="43" t="e">
        <f t="shared" si="8"/>
        <v>#DIV/0!</v>
      </c>
      <c r="AI26" s="43" t="e">
        <f t="shared" si="9"/>
        <v>#DIV/0!</v>
      </c>
      <c r="AJ26" s="43" t="e">
        <f t="shared" si="10"/>
        <v>#DIV/0!</v>
      </c>
      <c r="AK26" s="43" t="e">
        <f t="shared" si="11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5"/>
        <v>0</v>
      </c>
      <c r="BE26" s="43">
        <f t="shared" si="25"/>
        <v>0</v>
      </c>
      <c r="BF26" s="43">
        <f t="shared" si="25"/>
        <v>0</v>
      </c>
      <c r="BG26" s="43">
        <f t="shared" si="25"/>
        <v>0</v>
      </c>
      <c r="BH26" s="43">
        <f t="shared" si="25"/>
        <v>0</v>
      </c>
      <c r="BI26" s="43">
        <f t="shared" si="25"/>
        <v>0</v>
      </c>
      <c r="BJ26" s="43">
        <f t="shared" si="25"/>
        <v>0</v>
      </c>
      <c r="BK26" s="43">
        <f t="shared" si="25"/>
        <v>0</v>
      </c>
      <c r="BL26" s="43">
        <f t="shared" si="25"/>
        <v>0</v>
      </c>
      <c r="BM26" s="51"/>
      <c r="BN26" s="51"/>
      <c r="BO26" s="51"/>
      <c r="BP26" s="51"/>
      <c r="BQ26" s="51"/>
      <c r="BR26" s="51"/>
      <c r="BS26" s="51"/>
      <c r="BT26" s="51"/>
      <c r="BU26" s="51"/>
      <c r="BV26" s="51" t="e">
        <f t="shared" si="13"/>
        <v>#DIV/0!</v>
      </c>
      <c r="BW26" s="51" t="e">
        <f t="shared" si="14"/>
        <v>#DIV/0!</v>
      </c>
      <c r="BX26" s="51" t="e">
        <f t="shared" si="15"/>
        <v>#DIV/0!</v>
      </c>
      <c r="BY26" s="51" t="e">
        <f t="shared" si="16"/>
        <v>#DIV/0!</v>
      </c>
      <c r="BZ26" s="51" t="e">
        <f t="shared" si="17"/>
        <v>#DIV/0!</v>
      </c>
      <c r="CA26" s="51" t="e">
        <f t="shared" si="18"/>
        <v>#DIV/0!</v>
      </c>
      <c r="CB26" s="51" t="e">
        <f t="shared" si="19"/>
        <v>#DIV/0!</v>
      </c>
      <c r="CC26" s="51" t="e">
        <f t="shared" si="20"/>
        <v>#DIV/0!</v>
      </c>
      <c r="CD26" s="51" t="e">
        <f t="shared" si="21"/>
        <v>#DIV/0!</v>
      </c>
      <c r="CE26" s="53">
        <f t="shared" si="26"/>
        <v>0</v>
      </c>
      <c r="CF26" s="53">
        <f t="shared" si="26"/>
        <v>0</v>
      </c>
      <c r="CG26" s="53">
        <f t="shared" si="26"/>
        <v>0</v>
      </c>
      <c r="CH26" s="53">
        <f t="shared" si="26"/>
        <v>0</v>
      </c>
      <c r="CI26" s="53">
        <f t="shared" si="26"/>
        <v>0</v>
      </c>
      <c r="CJ26" s="53">
        <f t="shared" si="26"/>
        <v>0</v>
      </c>
      <c r="CK26" s="53">
        <f t="shared" si="26"/>
        <v>0</v>
      </c>
      <c r="CL26" s="53">
        <f t="shared" si="26"/>
        <v>0</v>
      </c>
      <c r="CM26" s="53">
        <f t="shared" si="26"/>
        <v>0</v>
      </c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 t="e">
        <f>K26+ATM_Conf!$C$5*(T26-AC26)</f>
        <v>#DIV/0!</v>
      </c>
      <c r="L27" s="43" t="e">
        <f>L26+ATM_Conf!$C$5*(U26-AD26)</f>
        <v>#DIV/0!</v>
      </c>
      <c r="M27" s="43" t="e">
        <f>M26+ATM_Conf!$C$5*(V26-AE26)</f>
        <v>#DIV/0!</v>
      </c>
      <c r="N27" s="43" t="e">
        <f>N26+ATM_Conf!$C$5*(W26-AF26)</f>
        <v>#DIV/0!</v>
      </c>
      <c r="O27" s="43" t="e">
        <f>O26+ATM_Conf!$C$5*(X26-AG26)</f>
        <v>#DIV/0!</v>
      </c>
      <c r="P27" s="43" t="e">
        <f>P26+ATM_Conf!$C$5*(Y26-AH26)</f>
        <v>#DIV/0!</v>
      </c>
      <c r="Q27" s="43" t="e">
        <f>Q26+ATM_Conf!$C$5*(Z26-AI26)</f>
        <v>#DIV/0!</v>
      </c>
      <c r="R27" s="43" t="e">
        <f>R26+ATM_Conf!$C$5*(AA26-AJ26)</f>
        <v>#DIV/0!</v>
      </c>
      <c r="S27" s="43" t="e">
        <f>S26+ATM_Conf!$C$5*(AB26-AK26)</f>
        <v>#DIV/0!</v>
      </c>
      <c r="T27" s="43">
        <f t="shared" si="24"/>
        <v>0</v>
      </c>
      <c r="U27" s="43">
        <f t="shared" si="24"/>
        <v>0</v>
      </c>
      <c r="V27" s="43">
        <f t="shared" si="24"/>
        <v>0</v>
      </c>
      <c r="W27" s="43">
        <f t="shared" si="24"/>
        <v>0</v>
      </c>
      <c r="X27" s="43">
        <f t="shared" si="24"/>
        <v>0</v>
      </c>
      <c r="Y27" s="43">
        <f t="shared" si="24"/>
        <v>0</v>
      </c>
      <c r="Z27" s="43">
        <f t="shared" si="24"/>
        <v>0</v>
      </c>
      <c r="AA27" s="43">
        <f t="shared" si="24"/>
        <v>0</v>
      </c>
      <c r="AB27" s="43">
        <f t="shared" si="24"/>
        <v>0</v>
      </c>
      <c r="AC27" s="43" t="e">
        <f t="shared" si="3"/>
        <v>#DIV/0!</v>
      </c>
      <c r="AD27" s="43" t="e">
        <f t="shared" si="4"/>
        <v>#DIV/0!</v>
      </c>
      <c r="AE27" s="43" t="e">
        <f t="shared" si="5"/>
        <v>#DIV/0!</v>
      </c>
      <c r="AF27" s="43" t="e">
        <f t="shared" si="6"/>
        <v>#DIV/0!</v>
      </c>
      <c r="AG27" s="43" t="e">
        <f t="shared" si="7"/>
        <v>#DIV/0!</v>
      </c>
      <c r="AH27" s="43" t="e">
        <f t="shared" si="8"/>
        <v>#DIV/0!</v>
      </c>
      <c r="AI27" s="43" t="e">
        <f t="shared" si="9"/>
        <v>#DIV/0!</v>
      </c>
      <c r="AJ27" s="43" t="e">
        <f t="shared" si="10"/>
        <v>#DIV/0!</v>
      </c>
      <c r="AK27" s="43" t="e">
        <f t="shared" si="11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5"/>
        <v>0</v>
      </c>
      <c r="BE27" s="43">
        <f t="shared" si="25"/>
        <v>0</v>
      </c>
      <c r="BF27" s="43">
        <f t="shared" si="25"/>
        <v>0</v>
      </c>
      <c r="BG27" s="43">
        <f t="shared" si="25"/>
        <v>0</v>
      </c>
      <c r="BH27" s="43">
        <f t="shared" si="25"/>
        <v>0</v>
      </c>
      <c r="BI27" s="43">
        <f t="shared" si="25"/>
        <v>0</v>
      </c>
      <c r="BJ27" s="43">
        <f t="shared" si="25"/>
        <v>0</v>
      </c>
      <c r="BK27" s="43">
        <f t="shared" si="25"/>
        <v>0</v>
      </c>
      <c r="BL27" s="43">
        <f t="shared" si="25"/>
        <v>0</v>
      </c>
      <c r="BM27" s="51">
        <f>(B27-B15)^2</f>
        <v>0</v>
      </c>
      <c r="BN27" s="51">
        <f t="shared" ref="BN27:BU27" si="30">(C27-C15)^2</f>
        <v>0</v>
      </c>
      <c r="BO27" s="51">
        <f t="shared" si="30"/>
        <v>0</v>
      </c>
      <c r="BP27" s="51">
        <f t="shared" si="30"/>
        <v>0</v>
      </c>
      <c r="BQ27" s="51">
        <f t="shared" si="30"/>
        <v>0</v>
      </c>
      <c r="BR27" s="51">
        <f t="shared" si="30"/>
        <v>0</v>
      </c>
      <c r="BS27" s="51">
        <f t="shared" si="30"/>
        <v>0</v>
      </c>
      <c r="BT27" s="51">
        <f t="shared" si="30"/>
        <v>0</v>
      </c>
      <c r="BU27" s="51">
        <f t="shared" si="30"/>
        <v>0</v>
      </c>
      <c r="BV27" s="51" t="e">
        <f t="shared" si="13"/>
        <v>#DIV/0!</v>
      </c>
      <c r="BW27" s="51" t="e">
        <f t="shared" si="14"/>
        <v>#DIV/0!</v>
      </c>
      <c r="BX27" s="51" t="e">
        <f t="shared" si="15"/>
        <v>#DIV/0!</v>
      </c>
      <c r="BY27" s="51" t="e">
        <f t="shared" si="16"/>
        <v>#DIV/0!</v>
      </c>
      <c r="BZ27" s="51" t="e">
        <f t="shared" si="17"/>
        <v>#DIV/0!</v>
      </c>
      <c r="CA27" s="51" t="e">
        <f t="shared" si="18"/>
        <v>#DIV/0!</v>
      </c>
      <c r="CB27" s="51" t="e">
        <f t="shared" si="19"/>
        <v>#DIV/0!</v>
      </c>
      <c r="CC27" s="51" t="e">
        <f t="shared" si="20"/>
        <v>#DIV/0!</v>
      </c>
      <c r="CD27" s="51" t="e">
        <f t="shared" si="21"/>
        <v>#DIV/0!</v>
      </c>
      <c r="CE27" s="53">
        <f t="shared" si="26"/>
        <v>0</v>
      </c>
      <c r="CF27" s="53">
        <f t="shared" si="26"/>
        <v>0</v>
      </c>
      <c r="CG27" s="53">
        <f t="shared" si="26"/>
        <v>0</v>
      </c>
      <c r="CH27" s="53">
        <f t="shared" si="26"/>
        <v>0</v>
      </c>
      <c r="CI27" s="53">
        <f t="shared" si="26"/>
        <v>0</v>
      </c>
      <c r="CJ27" s="53">
        <f t="shared" si="26"/>
        <v>0</v>
      </c>
      <c r="CK27" s="53">
        <f t="shared" si="26"/>
        <v>0</v>
      </c>
      <c r="CL27" s="53">
        <f t="shared" si="26"/>
        <v>0</v>
      </c>
      <c r="CM27" s="53">
        <f t="shared" si="26"/>
        <v>0</v>
      </c>
    </row>
    <row r="28" spans="1:91" x14ac:dyDescent="0.15">
      <c r="A28" s="41">
        <v>26</v>
      </c>
      <c r="B28" s="43">
        <f>B$27</f>
        <v>1</v>
      </c>
      <c r="C28" s="43">
        <f t="shared" ref="C28:J28" si="31">C$27</f>
        <v>1</v>
      </c>
      <c r="D28" s="43">
        <f t="shared" si="31"/>
        <v>1</v>
      </c>
      <c r="E28" s="43">
        <f t="shared" si="31"/>
        <v>1</v>
      </c>
      <c r="F28" s="43">
        <f t="shared" si="31"/>
        <v>1</v>
      </c>
      <c r="G28" s="43">
        <f t="shared" si="31"/>
        <v>1</v>
      </c>
      <c r="H28" s="43">
        <f t="shared" si="31"/>
        <v>1</v>
      </c>
      <c r="I28" s="43">
        <f t="shared" si="31"/>
        <v>1</v>
      </c>
      <c r="J28" s="43">
        <f t="shared" si="31"/>
        <v>1</v>
      </c>
      <c r="K28" s="43" t="e">
        <f>K27+ATM_Conf!$C$5*(T27-AC27)</f>
        <v>#DIV/0!</v>
      </c>
      <c r="L28" s="43" t="e">
        <f>L27+ATM_Conf!$C$5*(U27-AD27)</f>
        <v>#DIV/0!</v>
      </c>
      <c r="M28" s="43" t="e">
        <f>M27+ATM_Conf!$C$5*(V27-AE27)</f>
        <v>#DIV/0!</v>
      </c>
      <c r="N28" s="43" t="e">
        <f>N27+ATM_Conf!$C$5*(W27-AF27)</f>
        <v>#DIV/0!</v>
      </c>
      <c r="O28" s="43" t="e">
        <f>O27+ATM_Conf!$C$5*(X27-AG27)</f>
        <v>#DIV/0!</v>
      </c>
      <c r="P28" s="43" t="e">
        <f>P27+ATM_Conf!$C$5*(Y27-AH27)</f>
        <v>#DIV/0!</v>
      </c>
      <c r="Q28" s="43" t="e">
        <f>Q27+ATM_Conf!$C$5*(Z27-AI27)</f>
        <v>#DIV/0!</v>
      </c>
      <c r="R28" s="43" t="e">
        <f>R27+ATM_Conf!$C$5*(AA27-AJ27)</f>
        <v>#DIV/0!</v>
      </c>
      <c r="S28" s="43" t="e">
        <f>S27+ATM_Conf!$C$5*(AB27-AK27)</f>
        <v>#DIV/0!</v>
      </c>
      <c r="T28" s="43">
        <f t="shared" si="24"/>
        <v>0</v>
      </c>
      <c r="U28" s="43">
        <f t="shared" si="24"/>
        <v>0</v>
      </c>
      <c r="V28" s="43">
        <f t="shared" si="24"/>
        <v>0</v>
      </c>
      <c r="W28" s="43">
        <f t="shared" si="24"/>
        <v>0</v>
      </c>
      <c r="X28" s="43">
        <f t="shared" si="24"/>
        <v>0</v>
      </c>
      <c r="Y28" s="43">
        <f t="shared" si="24"/>
        <v>0</v>
      </c>
      <c r="Z28" s="43">
        <f t="shared" si="24"/>
        <v>0</v>
      </c>
      <c r="AA28" s="43">
        <f t="shared" si="24"/>
        <v>0</v>
      </c>
      <c r="AB28" s="43">
        <f t="shared" si="24"/>
        <v>0</v>
      </c>
      <c r="AC28" s="43" t="e">
        <f t="shared" si="3"/>
        <v>#DIV/0!</v>
      </c>
      <c r="AD28" s="43" t="e">
        <f t="shared" si="4"/>
        <v>#DIV/0!</v>
      </c>
      <c r="AE28" s="43" t="e">
        <f t="shared" si="5"/>
        <v>#DIV/0!</v>
      </c>
      <c r="AF28" s="43" t="e">
        <f t="shared" si="6"/>
        <v>#DIV/0!</v>
      </c>
      <c r="AG28" s="43" t="e">
        <f t="shared" si="7"/>
        <v>#DIV/0!</v>
      </c>
      <c r="AH28" s="43" t="e">
        <f t="shared" si="8"/>
        <v>#DIV/0!</v>
      </c>
      <c r="AI28" s="43" t="e">
        <f t="shared" si="9"/>
        <v>#DIV/0!</v>
      </c>
      <c r="AJ28" s="43" t="e">
        <f t="shared" si="10"/>
        <v>#DIV/0!</v>
      </c>
      <c r="AK28" s="43" t="e">
        <f t="shared" si="11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5"/>
        <v>0</v>
      </c>
      <c r="BE28" s="43">
        <f t="shared" si="25"/>
        <v>0</v>
      </c>
      <c r="BF28" s="43">
        <f t="shared" si="25"/>
        <v>0</v>
      </c>
      <c r="BG28" s="43">
        <f t="shared" si="25"/>
        <v>0</v>
      </c>
      <c r="BH28" s="43">
        <f t="shared" si="25"/>
        <v>0</v>
      </c>
      <c r="BI28" s="43">
        <f t="shared" si="25"/>
        <v>0</v>
      </c>
      <c r="BJ28" s="43">
        <f t="shared" si="25"/>
        <v>0</v>
      </c>
      <c r="BK28" s="43">
        <f t="shared" si="25"/>
        <v>0</v>
      </c>
      <c r="BL28" s="43">
        <f t="shared" si="25"/>
        <v>0</v>
      </c>
      <c r="BM28" s="51"/>
      <c r="BN28" s="51"/>
      <c r="BO28" s="51"/>
      <c r="BP28" s="51"/>
      <c r="BQ28" s="51"/>
      <c r="BR28" s="51"/>
      <c r="BS28" s="51"/>
      <c r="BT28" s="51"/>
      <c r="BU28" s="51"/>
      <c r="BV28" s="51" t="e">
        <f t="shared" si="13"/>
        <v>#DIV/0!</v>
      </c>
      <c r="BW28" s="51" t="e">
        <f t="shared" si="14"/>
        <v>#DIV/0!</v>
      </c>
      <c r="BX28" s="51" t="e">
        <f t="shared" si="15"/>
        <v>#DIV/0!</v>
      </c>
      <c r="BY28" s="51" t="e">
        <f t="shared" si="16"/>
        <v>#DIV/0!</v>
      </c>
      <c r="BZ28" s="51" t="e">
        <f t="shared" si="17"/>
        <v>#DIV/0!</v>
      </c>
      <c r="CA28" s="51" t="e">
        <f t="shared" si="18"/>
        <v>#DIV/0!</v>
      </c>
      <c r="CB28" s="51" t="e">
        <f t="shared" si="19"/>
        <v>#DIV/0!</v>
      </c>
      <c r="CC28" s="51" t="e">
        <f t="shared" si="20"/>
        <v>#DIV/0!</v>
      </c>
      <c r="CD28" s="51" t="e">
        <f t="shared" si="21"/>
        <v>#DIV/0!</v>
      </c>
      <c r="CE28" s="53">
        <f t="shared" si="26"/>
        <v>0</v>
      </c>
      <c r="CF28" s="53">
        <f t="shared" si="26"/>
        <v>0</v>
      </c>
      <c r="CG28" s="53">
        <f t="shared" si="26"/>
        <v>0</v>
      </c>
      <c r="CH28" s="53">
        <f t="shared" si="26"/>
        <v>0</v>
      </c>
      <c r="CI28" s="53">
        <f t="shared" si="26"/>
        <v>0</v>
      </c>
      <c r="CJ28" s="53">
        <f t="shared" si="26"/>
        <v>0</v>
      </c>
      <c r="CK28" s="53">
        <f t="shared" si="26"/>
        <v>0</v>
      </c>
      <c r="CL28" s="53">
        <f t="shared" si="26"/>
        <v>0</v>
      </c>
      <c r="CM28" s="53">
        <f t="shared" si="26"/>
        <v>0</v>
      </c>
    </row>
    <row r="29" spans="1:91" x14ac:dyDescent="0.15">
      <c r="A29" s="41">
        <v>27</v>
      </c>
      <c r="B29" s="43">
        <f t="shared" ref="B29:J38" si="32">B$27</f>
        <v>1</v>
      </c>
      <c r="C29" s="43">
        <f t="shared" si="32"/>
        <v>1</v>
      </c>
      <c r="D29" s="43">
        <f t="shared" si="32"/>
        <v>1</v>
      </c>
      <c r="E29" s="43">
        <f t="shared" si="32"/>
        <v>1</v>
      </c>
      <c r="F29" s="43">
        <f t="shared" si="32"/>
        <v>1</v>
      </c>
      <c r="G29" s="43">
        <f t="shared" si="32"/>
        <v>1</v>
      </c>
      <c r="H29" s="43">
        <f t="shared" si="32"/>
        <v>1</v>
      </c>
      <c r="I29" s="43">
        <f t="shared" si="32"/>
        <v>1</v>
      </c>
      <c r="J29" s="43">
        <f t="shared" si="32"/>
        <v>1</v>
      </c>
      <c r="K29" s="43" t="e">
        <f>K28+ATM_Conf!$C$5*(T28-AC28)</f>
        <v>#DIV/0!</v>
      </c>
      <c r="L29" s="43" t="e">
        <f>L28+ATM_Conf!$C$5*(U28-AD28)</f>
        <v>#DIV/0!</v>
      </c>
      <c r="M29" s="43" t="e">
        <f>M28+ATM_Conf!$C$5*(V28-AE28)</f>
        <v>#DIV/0!</v>
      </c>
      <c r="N29" s="43" t="e">
        <f>N28+ATM_Conf!$C$5*(W28-AF28)</f>
        <v>#DIV/0!</v>
      </c>
      <c r="O29" s="43" t="e">
        <f>O28+ATM_Conf!$C$5*(X28-AG28)</f>
        <v>#DIV/0!</v>
      </c>
      <c r="P29" s="43" t="e">
        <f>P28+ATM_Conf!$C$5*(Y28-AH28)</f>
        <v>#DIV/0!</v>
      </c>
      <c r="Q29" s="43" t="e">
        <f>Q28+ATM_Conf!$C$5*(Z28-AI28)</f>
        <v>#DIV/0!</v>
      </c>
      <c r="R29" s="43" t="e">
        <f>R28+ATM_Conf!$C$5*(AA28-AJ28)</f>
        <v>#DIV/0!</v>
      </c>
      <c r="S29" s="43" t="e">
        <f>S28+ATM_Conf!$C$5*(AB28-AK28)</f>
        <v>#DIV/0!</v>
      </c>
      <c r="T29" s="43">
        <f t="shared" si="24"/>
        <v>0</v>
      </c>
      <c r="U29" s="43">
        <f t="shared" si="24"/>
        <v>0</v>
      </c>
      <c r="V29" s="43">
        <f t="shared" si="24"/>
        <v>0</v>
      </c>
      <c r="W29" s="43">
        <f t="shared" si="24"/>
        <v>0</v>
      </c>
      <c r="X29" s="43">
        <f t="shared" si="24"/>
        <v>0</v>
      </c>
      <c r="Y29" s="43">
        <f t="shared" si="24"/>
        <v>0</v>
      </c>
      <c r="Z29" s="43">
        <f t="shared" si="24"/>
        <v>0</v>
      </c>
      <c r="AA29" s="43">
        <f t="shared" si="24"/>
        <v>0</v>
      </c>
      <c r="AB29" s="43">
        <f t="shared" si="24"/>
        <v>0</v>
      </c>
      <c r="AC29" s="43" t="e">
        <f t="shared" si="3"/>
        <v>#DIV/0!</v>
      </c>
      <c r="AD29" s="43" t="e">
        <f t="shared" si="4"/>
        <v>#DIV/0!</v>
      </c>
      <c r="AE29" s="43" t="e">
        <f t="shared" si="5"/>
        <v>#DIV/0!</v>
      </c>
      <c r="AF29" s="43" t="e">
        <f t="shared" si="6"/>
        <v>#DIV/0!</v>
      </c>
      <c r="AG29" s="43" t="e">
        <f t="shared" si="7"/>
        <v>#DIV/0!</v>
      </c>
      <c r="AH29" s="43" t="e">
        <f t="shared" si="8"/>
        <v>#DIV/0!</v>
      </c>
      <c r="AI29" s="43" t="e">
        <f t="shared" si="9"/>
        <v>#DIV/0!</v>
      </c>
      <c r="AJ29" s="43" t="e">
        <f t="shared" si="10"/>
        <v>#DIV/0!</v>
      </c>
      <c r="AK29" s="43" t="e">
        <f t="shared" si="11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5"/>
        <v>0</v>
      </c>
      <c r="BE29" s="43">
        <f t="shared" si="25"/>
        <v>0</v>
      </c>
      <c r="BF29" s="43">
        <f t="shared" si="25"/>
        <v>0</v>
      </c>
      <c r="BG29" s="43">
        <f t="shared" si="25"/>
        <v>0</v>
      </c>
      <c r="BH29" s="43">
        <f t="shared" si="25"/>
        <v>0</v>
      </c>
      <c r="BI29" s="43">
        <f t="shared" si="25"/>
        <v>0</v>
      </c>
      <c r="BJ29" s="43">
        <f t="shared" si="25"/>
        <v>0</v>
      </c>
      <c r="BK29" s="43">
        <f t="shared" si="25"/>
        <v>0</v>
      </c>
      <c r="BL29" s="43">
        <f t="shared" si="25"/>
        <v>0</v>
      </c>
      <c r="BM29" s="51"/>
      <c r="BN29" s="51"/>
      <c r="BO29" s="51"/>
      <c r="BP29" s="51"/>
      <c r="BQ29" s="51"/>
      <c r="BR29" s="51"/>
      <c r="BS29" s="51"/>
      <c r="BT29" s="51"/>
      <c r="BU29" s="51"/>
      <c r="BV29" s="51" t="e">
        <f t="shared" si="13"/>
        <v>#DIV/0!</v>
      </c>
      <c r="BW29" s="51" t="e">
        <f t="shared" si="14"/>
        <v>#DIV/0!</v>
      </c>
      <c r="BX29" s="51" t="e">
        <f t="shared" si="15"/>
        <v>#DIV/0!</v>
      </c>
      <c r="BY29" s="51" t="e">
        <f t="shared" si="16"/>
        <v>#DIV/0!</v>
      </c>
      <c r="BZ29" s="51" t="e">
        <f t="shared" si="17"/>
        <v>#DIV/0!</v>
      </c>
      <c r="CA29" s="51" t="e">
        <f t="shared" si="18"/>
        <v>#DIV/0!</v>
      </c>
      <c r="CB29" s="51" t="e">
        <f t="shared" si="19"/>
        <v>#DIV/0!</v>
      </c>
      <c r="CC29" s="51" t="e">
        <f t="shared" si="20"/>
        <v>#DIV/0!</v>
      </c>
      <c r="CD29" s="51" t="e">
        <f t="shared" si="21"/>
        <v>#DIV/0!</v>
      </c>
      <c r="CE29" s="53">
        <f t="shared" si="26"/>
        <v>0</v>
      </c>
      <c r="CF29" s="53">
        <f t="shared" si="26"/>
        <v>0</v>
      </c>
      <c r="CG29" s="53">
        <f t="shared" si="26"/>
        <v>0</v>
      </c>
      <c r="CH29" s="53">
        <f t="shared" si="26"/>
        <v>0</v>
      </c>
      <c r="CI29" s="53">
        <f t="shared" si="26"/>
        <v>0</v>
      </c>
      <c r="CJ29" s="53">
        <f t="shared" si="26"/>
        <v>0</v>
      </c>
      <c r="CK29" s="53">
        <f t="shared" si="26"/>
        <v>0</v>
      </c>
      <c r="CL29" s="53">
        <f t="shared" si="26"/>
        <v>0</v>
      </c>
      <c r="CM29" s="53">
        <f t="shared" si="26"/>
        <v>0</v>
      </c>
    </row>
    <row r="30" spans="1:91" x14ac:dyDescent="0.15">
      <c r="A30" s="41">
        <v>28</v>
      </c>
      <c r="B30" s="43">
        <f t="shared" si="32"/>
        <v>1</v>
      </c>
      <c r="C30" s="43">
        <f t="shared" si="32"/>
        <v>1</v>
      </c>
      <c r="D30" s="43">
        <f t="shared" si="32"/>
        <v>1</v>
      </c>
      <c r="E30" s="43">
        <f t="shared" si="32"/>
        <v>1</v>
      </c>
      <c r="F30" s="43">
        <f t="shared" si="32"/>
        <v>1</v>
      </c>
      <c r="G30" s="43">
        <f t="shared" si="32"/>
        <v>1</v>
      </c>
      <c r="H30" s="43">
        <f t="shared" si="32"/>
        <v>1</v>
      </c>
      <c r="I30" s="43">
        <f t="shared" si="32"/>
        <v>1</v>
      </c>
      <c r="J30" s="43">
        <f t="shared" si="32"/>
        <v>1</v>
      </c>
      <c r="K30" s="43" t="e">
        <f>K29+ATM_Conf!$C$5*(T29-AC29)</f>
        <v>#DIV/0!</v>
      </c>
      <c r="L30" s="43" t="e">
        <f>L29+ATM_Conf!$C$5*(U29-AD29)</f>
        <v>#DIV/0!</v>
      </c>
      <c r="M30" s="43" t="e">
        <f>M29+ATM_Conf!$C$5*(V29-AE29)</f>
        <v>#DIV/0!</v>
      </c>
      <c r="N30" s="43" t="e">
        <f>N29+ATM_Conf!$C$5*(W29-AF29)</f>
        <v>#DIV/0!</v>
      </c>
      <c r="O30" s="43" t="e">
        <f>O29+ATM_Conf!$C$5*(X29-AG29)</f>
        <v>#DIV/0!</v>
      </c>
      <c r="P30" s="43" t="e">
        <f>P29+ATM_Conf!$C$5*(Y29-AH29)</f>
        <v>#DIV/0!</v>
      </c>
      <c r="Q30" s="43" t="e">
        <f>Q29+ATM_Conf!$C$5*(Z29-AI29)</f>
        <v>#DIV/0!</v>
      </c>
      <c r="R30" s="43" t="e">
        <f>R29+ATM_Conf!$C$5*(AA29-AJ29)</f>
        <v>#DIV/0!</v>
      </c>
      <c r="S30" s="43" t="e">
        <f>S29+ATM_Conf!$C$5*(AB29-AK29)</f>
        <v>#DIV/0!</v>
      </c>
      <c r="T30" s="43">
        <f t="shared" si="24"/>
        <v>0</v>
      </c>
      <c r="U30" s="43">
        <f t="shared" si="24"/>
        <v>0</v>
      </c>
      <c r="V30" s="43">
        <f t="shared" si="24"/>
        <v>0</v>
      </c>
      <c r="W30" s="43">
        <f t="shared" si="24"/>
        <v>0</v>
      </c>
      <c r="X30" s="43">
        <f t="shared" si="24"/>
        <v>0</v>
      </c>
      <c r="Y30" s="43">
        <f t="shared" si="24"/>
        <v>0</v>
      </c>
      <c r="Z30" s="43">
        <f t="shared" si="24"/>
        <v>0</v>
      </c>
      <c r="AA30" s="43">
        <f t="shared" si="24"/>
        <v>0</v>
      </c>
      <c r="AB30" s="43">
        <f t="shared" si="24"/>
        <v>0</v>
      </c>
      <c r="AC30" s="43" t="e">
        <f t="shared" si="3"/>
        <v>#DIV/0!</v>
      </c>
      <c r="AD30" s="43" t="e">
        <f t="shared" si="4"/>
        <v>#DIV/0!</v>
      </c>
      <c r="AE30" s="43" t="e">
        <f t="shared" si="5"/>
        <v>#DIV/0!</v>
      </c>
      <c r="AF30" s="43" t="e">
        <f t="shared" si="6"/>
        <v>#DIV/0!</v>
      </c>
      <c r="AG30" s="43" t="e">
        <f t="shared" si="7"/>
        <v>#DIV/0!</v>
      </c>
      <c r="AH30" s="43" t="e">
        <f t="shared" si="8"/>
        <v>#DIV/0!</v>
      </c>
      <c r="AI30" s="43" t="e">
        <f t="shared" si="9"/>
        <v>#DIV/0!</v>
      </c>
      <c r="AJ30" s="43" t="e">
        <f t="shared" si="10"/>
        <v>#DIV/0!</v>
      </c>
      <c r="AK30" s="43" t="e">
        <f t="shared" si="11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5"/>
        <v>0</v>
      </c>
      <c r="BE30" s="43">
        <f t="shared" si="25"/>
        <v>0</v>
      </c>
      <c r="BF30" s="43">
        <f t="shared" si="25"/>
        <v>0</v>
      </c>
      <c r="BG30" s="43">
        <f t="shared" si="25"/>
        <v>0</v>
      </c>
      <c r="BH30" s="43">
        <f t="shared" si="25"/>
        <v>0</v>
      </c>
      <c r="BI30" s="43">
        <f t="shared" si="25"/>
        <v>0</v>
      </c>
      <c r="BJ30" s="43">
        <f t="shared" si="25"/>
        <v>0</v>
      </c>
      <c r="BK30" s="43">
        <f t="shared" si="25"/>
        <v>0</v>
      </c>
      <c r="BL30" s="43">
        <f t="shared" si="25"/>
        <v>0</v>
      </c>
      <c r="BM30" s="51"/>
      <c r="BN30" s="51"/>
      <c r="BO30" s="51"/>
      <c r="BP30" s="51"/>
      <c r="BQ30" s="51"/>
      <c r="BR30" s="51"/>
      <c r="BS30" s="51"/>
      <c r="BT30" s="51"/>
      <c r="BU30" s="51"/>
      <c r="BV30" s="51" t="e">
        <f t="shared" si="13"/>
        <v>#DIV/0!</v>
      </c>
      <c r="BW30" s="51" t="e">
        <f t="shared" si="14"/>
        <v>#DIV/0!</v>
      </c>
      <c r="BX30" s="51" t="e">
        <f t="shared" si="15"/>
        <v>#DIV/0!</v>
      </c>
      <c r="BY30" s="51" t="e">
        <f t="shared" si="16"/>
        <v>#DIV/0!</v>
      </c>
      <c r="BZ30" s="51" t="e">
        <f t="shared" si="17"/>
        <v>#DIV/0!</v>
      </c>
      <c r="CA30" s="51" t="e">
        <f t="shared" si="18"/>
        <v>#DIV/0!</v>
      </c>
      <c r="CB30" s="51" t="e">
        <f t="shared" si="19"/>
        <v>#DIV/0!</v>
      </c>
      <c r="CC30" s="51" t="e">
        <f t="shared" si="20"/>
        <v>#DIV/0!</v>
      </c>
      <c r="CD30" s="51" t="e">
        <f t="shared" si="21"/>
        <v>#DIV/0!</v>
      </c>
      <c r="CE30" s="53">
        <f t="shared" si="26"/>
        <v>0</v>
      </c>
      <c r="CF30" s="53">
        <f t="shared" si="26"/>
        <v>0</v>
      </c>
      <c r="CG30" s="53">
        <f t="shared" si="26"/>
        <v>0</v>
      </c>
      <c r="CH30" s="53">
        <f t="shared" si="26"/>
        <v>0</v>
      </c>
      <c r="CI30" s="53">
        <f t="shared" si="26"/>
        <v>0</v>
      </c>
      <c r="CJ30" s="53">
        <f t="shared" si="26"/>
        <v>0</v>
      </c>
      <c r="CK30" s="53">
        <f t="shared" si="26"/>
        <v>0</v>
      </c>
      <c r="CL30" s="53">
        <f t="shared" si="26"/>
        <v>0</v>
      </c>
      <c r="CM30" s="53">
        <f t="shared" si="26"/>
        <v>0</v>
      </c>
    </row>
    <row r="31" spans="1:91" x14ac:dyDescent="0.15">
      <c r="A31" s="41">
        <v>29</v>
      </c>
      <c r="B31" s="43">
        <f t="shared" si="32"/>
        <v>1</v>
      </c>
      <c r="C31" s="43">
        <f t="shared" si="32"/>
        <v>1</v>
      </c>
      <c r="D31" s="43">
        <f t="shared" si="32"/>
        <v>1</v>
      </c>
      <c r="E31" s="43">
        <f t="shared" si="32"/>
        <v>1</v>
      </c>
      <c r="F31" s="43">
        <f t="shared" si="32"/>
        <v>1</v>
      </c>
      <c r="G31" s="43">
        <f t="shared" si="32"/>
        <v>1</v>
      </c>
      <c r="H31" s="43">
        <f t="shared" si="32"/>
        <v>1</v>
      </c>
      <c r="I31" s="43">
        <f t="shared" si="32"/>
        <v>1</v>
      </c>
      <c r="J31" s="43">
        <f t="shared" si="32"/>
        <v>1</v>
      </c>
      <c r="K31" s="43" t="e">
        <f>K30+ATM_Conf!$C$5*(T30-AC30)</f>
        <v>#DIV/0!</v>
      </c>
      <c r="L31" s="43" t="e">
        <f>L30+ATM_Conf!$C$5*(U30-AD30)</f>
        <v>#DIV/0!</v>
      </c>
      <c r="M31" s="43" t="e">
        <f>M30+ATM_Conf!$C$5*(V30-AE30)</f>
        <v>#DIV/0!</v>
      </c>
      <c r="N31" s="43" t="e">
        <f>N30+ATM_Conf!$C$5*(W30-AF30)</f>
        <v>#DIV/0!</v>
      </c>
      <c r="O31" s="43" t="e">
        <f>O30+ATM_Conf!$C$5*(X30-AG30)</f>
        <v>#DIV/0!</v>
      </c>
      <c r="P31" s="43" t="e">
        <f>P30+ATM_Conf!$C$5*(Y30-AH30)</f>
        <v>#DIV/0!</v>
      </c>
      <c r="Q31" s="43" t="e">
        <f>Q30+ATM_Conf!$C$5*(Z30-AI30)</f>
        <v>#DIV/0!</v>
      </c>
      <c r="R31" s="43" t="e">
        <f>R30+ATM_Conf!$C$5*(AA30-AJ30)</f>
        <v>#DIV/0!</v>
      </c>
      <c r="S31" s="43" t="e">
        <f>S30+ATM_Conf!$C$5*(AB30-AK30)</f>
        <v>#DIV/0!</v>
      </c>
      <c r="T31" s="43">
        <f t="shared" si="24"/>
        <v>0</v>
      </c>
      <c r="U31" s="43">
        <f t="shared" si="24"/>
        <v>0</v>
      </c>
      <c r="V31" s="43">
        <f t="shared" si="24"/>
        <v>0</v>
      </c>
      <c r="W31" s="43">
        <f t="shared" si="24"/>
        <v>0</v>
      </c>
      <c r="X31" s="43">
        <f t="shared" si="24"/>
        <v>0</v>
      </c>
      <c r="Y31" s="43">
        <f t="shared" si="24"/>
        <v>0</v>
      </c>
      <c r="Z31" s="43">
        <f t="shared" si="24"/>
        <v>0</v>
      </c>
      <c r="AA31" s="43">
        <f t="shared" si="24"/>
        <v>0</v>
      </c>
      <c r="AB31" s="43">
        <f t="shared" si="24"/>
        <v>0</v>
      </c>
      <c r="AC31" s="43" t="e">
        <f t="shared" si="3"/>
        <v>#DIV/0!</v>
      </c>
      <c r="AD31" s="43" t="e">
        <f t="shared" si="4"/>
        <v>#DIV/0!</v>
      </c>
      <c r="AE31" s="43" t="e">
        <f t="shared" si="5"/>
        <v>#DIV/0!</v>
      </c>
      <c r="AF31" s="43" t="e">
        <f t="shared" si="6"/>
        <v>#DIV/0!</v>
      </c>
      <c r="AG31" s="43" t="e">
        <f t="shared" si="7"/>
        <v>#DIV/0!</v>
      </c>
      <c r="AH31" s="43" t="e">
        <f t="shared" si="8"/>
        <v>#DIV/0!</v>
      </c>
      <c r="AI31" s="43" t="e">
        <f t="shared" si="9"/>
        <v>#DIV/0!</v>
      </c>
      <c r="AJ31" s="43" t="e">
        <f t="shared" si="10"/>
        <v>#DIV/0!</v>
      </c>
      <c r="AK31" s="43" t="e">
        <f t="shared" si="11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5"/>
        <v>0</v>
      </c>
      <c r="BE31" s="43">
        <f t="shared" si="25"/>
        <v>0</v>
      </c>
      <c r="BF31" s="43">
        <f t="shared" si="25"/>
        <v>0</v>
      </c>
      <c r="BG31" s="43">
        <f t="shared" si="25"/>
        <v>0</v>
      </c>
      <c r="BH31" s="43">
        <f t="shared" si="25"/>
        <v>0</v>
      </c>
      <c r="BI31" s="43">
        <f t="shared" si="25"/>
        <v>0</v>
      </c>
      <c r="BJ31" s="43">
        <f t="shared" si="25"/>
        <v>0</v>
      </c>
      <c r="BK31" s="43">
        <f t="shared" si="25"/>
        <v>0</v>
      </c>
      <c r="BL31" s="43">
        <f t="shared" si="25"/>
        <v>0</v>
      </c>
      <c r="BM31" s="51"/>
      <c r="BN31" s="51"/>
      <c r="BO31" s="51"/>
      <c r="BP31" s="51"/>
      <c r="BQ31" s="51"/>
      <c r="BR31" s="51"/>
      <c r="BS31" s="51"/>
      <c r="BT31" s="51"/>
      <c r="BU31" s="51"/>
      <c r="BV31" s="51" t="e">
        <f t="shared" si="13"/>
        <v>#DIV/0!</v>
      </c>
      <c r="BW31" s="51" t="e">
        <f t="shared" si="14"/>
        <v>#DIV/0!</v>
      </c>
      <c r="BX31" s="51" t="e">
        <f t="shared" si="15"/>
        <v>#DIV/0!</v>
      </c>
      <c r="BY31" s="51" t="e">
        <f t="shared" si="16"/>
        <v>#DIV/0!</v>
      </c>
      <c r="BZ31" s="51" t="e">
        <f t="shared" si="17"/>
        <v>#DIV/0!</v>
      </c>
      <c r="CA31" s="51" t="e">
        <f t="shared" si="18"/>
        <v>#DIV/0!</v>
      </c>
      <c r="CB31" s="51" t="e">
        <f t="shared" si="19"/>
        <v>#DIV/0!</v>
      </c>
      <c r="CC31" s="51" t="e">
        <f t="shared" si="20"/>
        <v>#DIV/0!</v>
      </c>
      <c r="CD31" s="51" t="e">
        <f t="shared" si="21"/>
        <v>#DIV/0!</v>
      </c>
      <c r="CE31" s="53">
        <f t="shared" si="26"/>
        <v>0</v>
      </c>
      <c r="CF31" s="53">
        <f t="shared" si="26"/>
        <v>0</v>
      </c>
      <c r="CG31" s="53">
        <f t="shared" si="26"/>
        <v>0</v>
      </c>
      <c r="CH31" s="53">
        <f t="shared" si="26"/>
        <v>0</v>
      </c>
      <c r="CI31" s="53">
        <f t="shared" si="26"/>
        <v>0</v>
      </c>
      <c r="CJ31" s="53">
        <f t="shared" si="26"/>
        <v>0</v>
      </c>
      <c r="CK31" s="53">
        <f t="shared" si="26"/>
        <v>0</v>
      </c>
      <c r="CL31" s="53">
        <f t="shared" si="26"/>
        <v>0</v>
      </c>
      <c r="CM31" s="53">
        <f t="shared" si="26"/>
        <v>0</v>
      </c>
    </row>
    <row r="32" spans="1:91" x14ac:dyDescent="0.15">
      <c r="A32" s="41">
        <v>30</v>
      </c>
      <c r="B32" s="43">
        <f t="shared" si="32"/>
        <v>1</v>
      </c>
      <c r="C32" s="43">
        <f t="shared" si="32"/>
        <v>1</v>
      </c>
      <c r="D32" s="43">
        <f t="shared" si="32"/>
        <v>1</v>
      </c>
      <c r="E32" s="43">
        <f t="shared" si="32"/>
        <v>1</v>
      </c>
      <c r="F32" s="43">
        <f t="shared" si="32"/>
        <v>1</v>
      </c>
      <c r="G32" s="43">
        <f t="shared" si="32"/>
        <v>1</v>
      </c>
      <c r="H32" s="43">
        <f t="shared" si="32"/>
        <v>1</v>
      </c>
      <c r="I32" s="43">
        <f t="shared" si="32"/>
        <v>1</v>
      </c>
      <c r="J32" s="43">
        <f t="shared" si="32"/>
        <v>1</v>
      </c>
      <c r="K32" s="43" t="e">
        <f>K31+ATM_Conf!$C$5*(T31-AC31)</f>
        <v>#DIV/0!</v>
      </c>
      <c r="L32" s="43" t="e">
        <f>L31+ATM_Conf!$C$5*(U31-AD31)</f>
        <v>#DIV/0!</v>
      </c>
      <c r="M32" s="43" t="e">
        <f>M31+ATM_Conf!$C$5*(V31-AE31)</f>
        <v>#DIV/0!</v>
      </c>
      <c r="N32" s="43" t="e">
        <f>N31+ATM_Conf!$C$5*(W31-AF31)</f>
        <v>#DIV/0!</v>
      </c>
      <c r="O32" s="43" t="e">
        <f>O31+ATM_Conf!$C$5*(X31-AG31)</f>
        <v>#DIV/0!</v>
      </c>
      <c r="P32" s="43" t="e">
        <f>P31+ATM_Conf!$C$5*(Y31-AH31)</f>
        <v>#DIV/0!</v>
      </c>
      <c r="Q32" s="43" t="e">
        <f>Q31+ATM_Conf!$C$5*(Z31-AI31)</f>
        <v>#DIV/0!</v>
      </c>
      <c r="R32" s="43" t="e">
        <f>R31+ATM_Conf!$C$5*(AA31-AJ31)</f>
        <v>#DIV/0!</v>
      </c>
      <c r="S32" s="43" t="e">
        <f>S31+ATM_Conf!$C$5*(AB31-AK31)</f>
        <v>#DIV/0!</v>
      </c>
      <c r="T32" s="43">
        <f t="shared" si="24"/>
        <v>0</v>
      </c>
      <c r="U32" s="43">
        <f t="shared" si="24"/>
        <v>0</v>
      </c>
      <c r="V32" s="43">
        <f t="shared" si="24"/>
        <v>0</v>
      </c>
      <c r="W32" s="43">
        <f t="shared" si="24"/>
        <v>0</v>
      </c>
      <c r="X32" s="43">
        <f t="shared" si="24"/>
        <v>0</v>
      </c>
      <c r="Y32" s="43">
        <f t="shared" si="24"/>
        <v>0</v>
      </c>
      <c r="Z32" s="43">
        <f t="shared" si="24"/>
        <v>0</v>
      </c>
      <c r="AA32" s="43">
        <f t="shared" si="24"/>
        <v>0</v>
      </c>
      <c r="AB32" s="43">
        <f t="shared" si="24"/>
        <v>0</v>
      </c>
      <c r="AC32" s="43" t="e">
        <f t="shared" si="3"/>
        <v>#DIV/0!</v>
      </c>
      <c r="AD32" s="43" t="e">
        <f t="shared" si="4"/>
        <v>#DIV/0!</v>
      </c>
      <c r="AE32" s="43" t="e">
        <f t="shared" si="5"/>
        <v>#DIV/0!</v>
      </c>
      <c r="AF32" s="43" t="e">
        <f t="shared" si="6"/>
        <v>#DIV/0!</v>
      </c>
      <c r="AG32" s="43" t="e">
        <f t="shared" si="7"/>
        <v>#DIV/0!</v>
      </c>
      <c r="AH32" s="43" t="e">
        <f t="shared" si="8"/>
        <v>#DIV/0!</v>
      </c>
      <c r="AI32" s="43" t="e">
        <f t="shared" si="9"/>
        <v>#DIV/0!</v>
      </c>
      <c r="AJ32" s="43" t="e">
        <f t="shared" si="10"/>
        <v>#DIV/0!</v>
      </c>
      <c r="AK32" s="43" t="e">
        <f t="shared" si="11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5"/>
        <v>0</v>
      </c>
      <c r="BE32" s="43">
        <f t="shared" si="25"/>
        <v>0</v>
      </c>
      <c r="BF32" s="43">
        <f t="shared" si="25"/>
        <v>0</v>
      </c>
      <c r="BG32" s="43">
        <f t="shared" si="25"/>
        <v>0</v>
      </c>
      <c r="BH32" s="43">
        <f t="shared" si="25"/>
        <v>0</v>
      </c>
      <c r="BI32" s="43">
        <f t="shared" si="25"/>
        <v>0</v>
      </c>
      <c r="BJ32" s="43">
        <f t="shared" si="25"/>
        <v>0</v>
      </c>
      <c r="BK32" s="43">
        <f t="shared" si="25"/>
        <v>0</v>
      </c>
      <c r="BL32" s="43">
        <f t="shared" si="25"/>
        <v>0</v>
      </c>
      <c r="BM32" s="51"/>
      <c r="BN32" s="51"/>
      <c r="BO32" s="51"/>
      <c r="BP32" s="51"/>
      <c r="BQ32" s="51"/>
      <c r="BR32" s="51"/>
      <c r="BS32" s="51"/>
      <c r="BT32" s="51"/>
      <c r="BU32" s="51"/>
      <c r="BV32" s="51" t="e">
        <f t="shared" si="13"/>
        <v>#DIV/0!</v>
      </c>
      <c r="BW32" s="51" t="e">
        <f t="shared" si="14"/>
        <v>#DIV/0!</v>
      </c>
      <c r="BX32" s="51" t="e">
        <f t="shared" si="15"/>
        <v>#DIV/0!</v>
      </c>
      <c r="BY32" s="51" t="e">
        <f t="shared" si="16"/>
        <v>#DIV/0!</v>
      </c>
      <c r="BZ32" s="51" t="e">
        <f t="shared" si="17"/>
        <v>#DIV/0!</v>
      </c>
      <c r="CA32" s="51" t="e">
        <f t="shared" si="18"/>
        <v>#DIV/0!</v>
      </c>
      <c r="CB32" s="51" t="e">
        <f t="shared" si="19"/>
        <v>#DIV/0!</v>
      </c>
      <c r="CC32" s="51" t="e">
        <f t="shared" si="20"/>
        <v>#DIV/0!</v>
      </c>
      <c r="CD32" s="51" t="e">
        <f t="shared" si="21"/>
        <v>#DIV/0!</v>
      </c>
      <c r="CE32" s="53">
        <f t="shared" si="26"/>
        <v>0</v>
      </c>
      <c r="CF32" s="53">
        <f t="shared" si="26"/>
        <v>0</v>
      </c>
      <c r="CG32" s="53">
        <f t="shared" si="26"/>
        <v>0</v>
      </c>
      <c r="CH32" s="53">
        <f t="shared" si="26"/>
        <v>0</v>
      </c>
      <c r="CI32" s="53">
        <f t="shared" si="26"/>
        <v>0</v>
      </c>
      <c r="CJ32" s="53">
        <f t="shared" si="26"/>
        <v>0</v>
      </c>
      <c r="CK32" s="53">
        <f t="shared" si="26"/>
        <v>0</v>
      </c>
      <c r="CL32" s="53">
        <f t="shared" si="26"/>
        <v>0</v>
      </c>
      <c r="CM32" s="53">
        <f t="shared" si="26"/>
        <v>0</v>
      </c>
    </row>
    <row r="33" spans="1:91" x14ac:dyDescent="0.15">
      <c r="A33" s="41">
        <v>31</v>
      </c>
      <c r="B33" s="43">
        <f t="shared" si="32"/>
        <v>1</v>
      </c>
      <c r="C33" s="43">
        <f t="shared" si="32"/>
        <v>1</v>
      </c>
      <c r="D33" s="43">
        <f t="shared" si="32"/>
        <v>1</v>
      </c>
      <c r="E33" s="43">
        <f t="shared" si="32"/>
        <v>1</v>
      </c>
      <c r="F33" s="43">
        <f t="shared" si="32"/>
        <v>1</v>
      </c>
      <c r="G33" s="43">
        <f t="shared" si="32"/>
        <v>1</v>
      </c>
      <c r="H33" s="43">
        <f t="shared" si="32"/>
        <v>1</v>
      </c>
      <c r="I33" s="43">
        <f t="shared" si="32"/>
        <v>1</v>
      </c>
      <c r="J33" s="43">
        <f t="shared" si="32"/>
        <v>1</v>
      </c>
      <c r="K33" s="43" t="e">
        <f>K32+ATM_Conf!$C$5*(T32-AC32)</f>
        <v>#DIV/0!</v>
      </c>
      <c r="L33" s="43" t="e">
        <f>L32+ATM_Conf!$C$5*(U32-AD32)</f>
        <v>#DIV/0!</v>
      </c>
      <c r="M33" s="43" t="e">
        <f>M32+ATM_Conf!$C$5*(V32-AE32)</f>
        <v>#DIV/0!</v>
      </c>
      <c r="N33" s="43" t="e">
        <f>N32+ATM_Conf!$C$5*(W32-AF32)</f>
        <v>#DIV/0!</v>
      </c>
      <c r="O33" s="43" t="e">
        <f>O32+ATM_Conf!$C$5*(X32-AG32)</f>
        <v>#DIV/0!</v>
      </c>
      <c r="P33" s="43" t="e">
        <f>P32+ATM_Conf!$C$5*(Y32-AH32)</f>
        <v>#DIV/0!</v>
      </c>
      <c r="Q33" s="43" t="e">
        <f>Q32+ATM_Conf!$C$5*(Z32-AI32)</f>
        <v>#DIV/0!</v>
      </c>
      <c r="R33" s="43" t="e">
        <f>R32+ATM_Conf!$C$5*(AA32-AJ32)</f>
        <v>#DIV/0!</v>
      </c>
      <c r="S33" s="43" t="e">
        <f>S32+ATM_Conf!$C$5*(AB32-AK32)</f>
        <v>#DIV/0!</v>
      </c>
      <c r="T33" s="43">
        <f t="shared" si="24"/>
        <v>0</v>
      </c>
      <c r="U33" s="43">
        <f t="shared" si="24"/>
        <v>0</v>
      </c>
      <c r="V33" s="43">
        <f t="shared" si="24"/>
        <v>0</v>
      </c>
      <c r="W33" s="43">
        <f t="shared" si="24"/>
        <v>0</v>
      </c>
      <c r="X33" s="43">
        <f t="shared" si="24"/>
        <v>0</v>
      </c>
      <c r="Y33" s="43">
        <f t="shared" si="24"/>
        <v>0</v>
      </c>
      <c r="Z33" s="43">
        <f t="shared" si="24"/>
        <v>0</v>
      </c>
      <c r="AA33" s="43">
        <f t="shared" si="24"/>
        <v>0</v>
      </c>
      <c r="AB33" s="43">
        <f t="shared" si="24"/>
        <v>0</v>
      </c>
      <c r="AC33" s="43" t="e">
        <f t="shared" si="3"/>
        <v>#DIV/0!</v>
      </c>
      <c r="AD33" s="43" t="e">
        <f t="shared" si="4"/>
        <v>#DIV/0!</v>
      </c>
      <c r="AE33" s="43" t="e">
        <f t="shared" si="5"/>
        <v>#DIV/0!</v>
      </c>
      <c r="AF33" s="43" t="e">
        <f t="shared" si="6"/>
        <v>#DIV/0!</v>
      </c>
      <c r="AG33" s="43" t="e">
        <f t="shared" si="7"/>
        <v>#DIV/0!</v>
      </c>
      <c r="AH33" s="43" t="e">
        <f t="shared" si="8"/>
        <v>#DIV/0!</v>
      </c>
      <c r="AI33" s="43" t="e">
        <f t="shared" si="9"/>
        <v>#DIV/0!</v>
      </c>
      <c r="AJ33" s="43" t="e">
        <f t="shared" si="10"/>
        <v>#DIV/0!</v>
      </c>
      <c r="AK33" s="43" t="e">
        <f t="shared" si="11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5"/>
        <v>0</v>
      </c>
      <c r="BE33" s="43">
        <f t="shared" si="25"/>
        <v>0</v>
      </c>
      <c r="BF33" s="43">
        <f t="shared" si="25"/>
        <v>0</v>
      </c>
      <c r="BG33" s="43">
        <f t="shared" si="25"/>
        <v>0</v>
      </c>
      <c r="BH33" s="43">
        <f t="shared" si="25"/>
        <v>0</v>
      </c>
      <c r="BI33" s="43">
        <f t="shared" si="25"/>
        <v>0</v>
      </c>
      <c r="BJ33" s="43">
        <f t="shared" si="25"/>
        <v>0</v>
      </c>
      <c r="BK33" s="43">
        <f t="shared" si="25"/>
        <v>0</v>
      </c>
      <c r="BL33" s="43">
        <f t="shared" si="25"/>
        <v>0</v>
      </c>
      <c r="BM33" s="51"/>
      <c r="BN33" s="51"/>
      <c r="BO33" s="51"/>
      <c r="BP33" s="51"/>
      <c r="BQ33" s="51"/>
      <c r="BR33" s="51"/>
      <c r="BS33" s="51"/>
      <c r="BT33" s="51"/>
      <c r="BU33" s="51"/>
      <c r="BV33" s="51" t="e">
        <f t="shared" si="13"/>
        <v>#DIV/0!</v>
      </c>
      <c r="BW33" s="51" t="e">
        <f t="shared" si="14"/>
        <v>#DIV/0!</v>
      </c>
      <c r="BX33" s="51" t="e">
        <f t="shared" si="15"/>
        <v>#DIV/0!</v>
      </c>
      <c r="BY33" s="51" t="e">
        <f t="shared" si="16"/>
        <v>#DIV/0!</v>
      </c>
      <c r="BZ33" s="51" t="e">
        <f t="shared" si="17"/>
        <v>#DIV/0!</v>
      </c>
      <c r="CA33" s="51" t="e">
        <f t="shared" si="18"/>
        <v>#DIV/0!</v>
      </c>
      <c r="CB33" s="51" t="e">
        <f t="shared" si="19"/>
        <v>#DIV/0!</v>
      </c>
      <c r="CC33" s="51" t="e">
        <f t="shared" si="20"/>
        <v>#DIV/0!</v>
      </c>
      <c r="CD33" s="51" t="e">
        <f t="shared" si="21"/>
        <v>#DIV/0!</v>
      </c>
      <c r="CE33" s="53">
        <f t="shared" si="26"/>
        <v>0</v>
      </c>
      <c r="CF33" s="53">
        <f t="shared" si="26"/>
        <v>0</v>
      </c>
      <c r="CG33" s="53">
        <f t="shared" si="26"/>
        <v>0</v>
      </c>
      <c r="CH33" s="53">
        <f t="shared" si="26"/>
        <v>0</v>
      </c>
      <c r="CI33" s="53">
        <f t="shared" si="26"/>
        <v>0</v>
      </c>
      <c r="CJ33" s="53">
        <f t="shared" si="26"/>
        <v>0</v>
      </c>
      <c r="CK33" s="53">
        <f t="shared" si="26"/>
        <v>0</v>
      </c>
      <c r="CL33" s="53">
        <f t="shared" si="26"/>
        <v>0</v>
      </c>
      <c r="CM33" s="53">
        <f t="shared" si="26"/>
        <v>0</v>
      </c>
    </row>
    <row r="34" spans="1:91" x14ac:dyDescent="0.15">
      <c r="A34" s="41">
        <v>32</v>
      </c>
      <c r="B34" s="43">
        <f t="shared" si="32"/>
        <v>1</v>
      </c>
      <c r="C34" s="43">
        <f t="shared" si="32"/>
        <v>1</v>
      </c>
      <c r="D34" s="43">
        <f t="shared" si="32"/>
        <v>1</v>
      </c>
      <c r="E34" s="43">
        <f t="shared" si="32"/>
        <v>1</v>
      </c>
      <c r="F34" s="43">
        <f t="shared" si="32"/>
        <v>1</v>
      </c>
      <c r="G34" s="43">
        <f t="shared" si="32"/>
        <v>1</v>
      </c>
      <c r="H34" s="43">
        <f t="shared" si="32"/>
        <v>1</v>
      </c>
      <c r="I34" s="43">
        <f t="shared" si="32"/>
        <v>1</v>
      </c>
      <c r="J34" s="43">
        <f t="shared" si="32"/>
        <v>1</v>
      </c>
      <c r="K34" s="43" t="e">
        <f>K33+ATM_Conf!$C$5*(T33-AC33)</f>
        <v>#DIV/0!</v>
      </c>
      <c r="L34" s="43" t="e">
        <f>L33+ATM_Conf!$C$5*(U33-AD33)</f>
        <v>#DIV/0!</v>
      </c>
      <c r="M34" s="43" t="e">
        <f>M33+ATM_Conf!$C$5*(V33-AE33)</f>
        <v>#DIV/0!</v>
      </c>
      <c r="N34" s="43" t="e">
        <f>N33+ATM_Conf!$C$5*(W33-AF33)</f>
        <v>#DIV/0!</v>
      </c>
      <c r="O34" s="43" t="e">
        <f>O33+ATM_Conf!$C$5*(X33-AG33)</f>
        <v>#DIV/0!</v>
      </c>
      <c r="P34" s="43" t="e">
        <f>P33+ATM_Conf!$C$5*(Y33-AH33)</f>
        <v>#DIV/0!</v>
      </c>
      <c r="Q34" s="43" t="e">
        <f>Q33+ATM_Conf!$C$5*(Z33-AI33)</f>
        <v>#DIV/0!</v>
      </c>
      <c r="R34" s="43" t="e">
        <f>R33+ATM_Conf!$C$5*(AA33-AJ33)</f>
        <v>#DIV/0!</v>
      </c>
      <c r="S34" s="43" t="e">
        <f>S33+ATM_Conf!$C$5*(AB33-AK33)</f>
        <v>#DIV/0!</v>
      </c>
      <c r="T34" s="43">
        <f t="shared" si="24"/>
        <v>0</v>
      </c>
      <c r="U34" s="43">
        <f t="shared" si="24"/>
        <v>0</v>
      </c>
      <c r="V34" s="43">
        <f t="shared" si="24"/>
        <v>0</v>
      </c>
      <c r="W34" s="43">
        <f t="shared" si="24"/>
        <v>0</v>
      </c>
      <c r="X34" s="43">
        <f t="shared" si="24"/>
        <v>0</v>
      </c>
      <c r="Y34" s="43">
        <f t="shared" si="24"/>
        <v>0</v>
      </c>
      <c r="Z34" s="43">
        <f t="shared" si="24"/>
        <v>0</v>
      </c>
      <c r="AA34" s="43">
        <f t="shared" si="24"/>
        <v>0</v>
      </c>
      <c r="AB34" s="43">
        <f t="shared" si="24"/>
        <v>0</v>
      </c>
      <c r="AC34" s="43" t="e">
        <f t="shared" si="3"/>
        <v>#DIV/0!</v>
      </c>
      <c r="AD34" s="43" t="e">
        <f t="shared" si="4"/>
        <v>#DIV/0!</v>
      </c>
      <c r="AE34" s="43" t="e">
        <f t="shared" si="5"/>
        <v>#DIV/0!</v>
      </c>
      <c r="AF34" s="43" t="e">
        <f t="shared" si="6"/>
        <v>#DIV/0!</v>
      </c>
      <c r="AG34" s="43" t="e">
        <f t="shared" si="7"/>
        <v>#DIV/0!</v>
      </c>
      <c r="AH34" s="43" t="e">
        <f t="shared" si="8"/>
        <v>#DIV/0!</v>
      </c>
      <c r="AI34" s="43" t="e">
        <f t="shared" si="9"/>
        <v>#DIV/0!</v>
      </c>
      <c r="AJ34" s="43" t="e">
        <f t="shared" si="10"/>
        <v>#DIV/0!</v>
      </c>
      <c r="AK34" s="43" t="e">
        <f t="shared" si="11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5"/>
        <v>0</v>
      </c>
      <c r="BE34" s="43">
        <f t="shared" si="25"/>
        <v>0</v>
      </c>
      <c r="BF34" s="43">
        <f t="shared" si="25"/>
        <v>0</v>
      </c>
      <c r="BG34" s="43">
        <f t="shared" si="25"/>
        <v>0</v>
      </c>
      <c r="BH34" s="43">
        <f t="shared" si="25"/>
        <v>0</v>
      </c>
      <c r="BI34" s="43">
        <f t="shared" si="25"/>
        <v>0</v>
      </c>
      <c r="BJ34" s="43">
        <f t="shared" si="25"/>
        <v>0</v>
      </c>
      <c r="BK34" s="43">
        <f t="shared" si="25"/>
        <v>0</v>
      </c>
      <c r="BL34" s="43">
        <f t="shared" si="25"/>
        <v>0</v>
      </c>
      <c r="BM34" s="51"/>
      <c r="BN34" s="51"/>
      <c r="BO34" s="51"/>
      <c r="BP34" s="51"/>
      <c r="BQ34" s="51"/>
      <c r="BR34" s="51"/>
      <c r="BS34" s="51"/>
      <c r="BT34" s="51"/>
      <c r="BU34" s="51"/>
      <c r="BV34" s="51" t="e">
        <f t="shared" si="13"/>
        <v>#DIV/0!</v>
      </c>
      <c r="BW34" s="51" t="e">
        <f t="shared" si="14"/>
        <v>#DIV/0!</v>
      </c>
      <c r="BX34" s="51" t="e">
        <f t="shared" si="15"/>
        <v>#DIV/0!</v>
      </c>
      <c r="BY34" s="51" t="e">
        <f t="shared" si="16"/>
        <v>#DIV/0!</v>
      </c>
      <c r="BZ34" s="51" t="e">
        <f t="shared" si="17"/>
        <v>#DIV/0!</v>
      </c>
      <c r="CA34" s="51" t="e">
        <f t="shared" si="18"/>
        <v>#DIV/0!</v>
      </c>
      <c r="CB34" s="51" t="e">
        <f t="shared" si="19"/>
        <v>#DIV/0!</v>
      </c>
      <c r="CC34" s="51" t="e">
        <f t="shared" si="20"/>
        <v>#DIV/0!</v>
      </c>
      <c r="CD34" s="51" t="e">
        <f t="shared" si="21"/>
        <v>#DIV/0!</v>
      </c>
      <c r="CE34" s="53">
        <f t="shared" si="26"/>
        <v>0</v>
      </c>
      <c r="CF34" s="53">
        <f t="shared" si="26"/>
        <v>0</v>
      </c>
      <c r="CG34" s="53">
        <f t="shared" si="26"/>
        <v>0</v>
      </c>
      <c r="CH34" s="53">
        <f t="shared" si="26"/>
        <v>0</v>
      </c>
      <c r="CI34" s="53">
        <f t="shared" si="26"/>
        <v>0</v>
      </c>
      <c r="CJ34" s="53">
        <f t="shared" si="26"/>
        <v>0</v>
      </c>
      <c r="CK34" s="53">
        <f t="shared" si="26"/>
        <v>0</v>
      </c>
      <c r="CL34" s="53">
        <f t="shared" si="26"/>
        <v>0</v>
      </c>
      <c r="CM34" s="53">
        <f t="shared" si="26"/>
        <v>0</v>
      </c>
    </row>
    <row r="35" spans="1:91" x14ac:dyDescent="0.15">
      <c r="A35" s="41">
        <v>33</v>
      </c>
      <c r="B35" s="43">
        <f t="shared" si="32"/>
        <v>1</v>
      </c>
      <c r="C35" s="43">
        <f t="shared" si="32"/>
        <v>1</v>
      </c>
      <c r="D35" s="43">
        <f t="shared" si="32"/>
        <v>1</v>
      </c>
      <c r="E35" s="43">
        <f t="shared" si="32"/>
        <v>1</v>
      </c>
      <c r="F35" s="43">
        <f t="shared" si="32"/>
        <v>1</v>
      </c>
      <c r="G35" s="43">
        <f t="shared" si="32"/>
        <v>1</v>
      </c>
      <c r="H35" s="43">
        <f t="shared" si="32"/>
        <v>1</v>
      </c>
      <c r="I35" s="43">
        <f t="shared" si="32"/>
        <v>1</v>
      </c>
      <c r="J35" s="43">
        <f t="shared" si="32"/>
        <v>1</v>
      </c>
      <c r="K35" s="43" t="e">
        <f>K34+ATM_Conf!$C$5*(T34-AC34)</f>
        <v>#DIV/0!</v>
      </c>
      <c r="L35" s="43" t="e">
        <f>L34+ATM_Conf!$C$5*(U34-AD34)</f>
        <v>#DIV/0!</v>
      </c>
      <c r="M35" s="43" t="e">
        <f>M34+ATM_Conf!$C$5*(V34-AE34)</f>
        <v>#DIV/0!</v>
      </c>
      <c r="N35" s="43" t="e">
        <f>N34+ATM_Conf!$C$5*(W34-AF34)</f>
        <v>#DIV/0!</v>
      </c>
      <c r="O35" s="43" t="e">
        <f>O34+ATM_Conf!$C$5*(X34-AG34)</f>
        <v>#DIV/0!</v>
      </c>
      <c r="P35" s="43" t="e">
        <f>P34+ATM_Conf!$C$5*(Y34-AH34)</f>
        <v>#DIV/0!</v>
      </c>
      <c r="Q35" s="43" t="e">
        <f>Q34+ATM_Conf!$C$5*(Z34-AI34)</f>
        <v>#DIV/0!</v>
      </c>
      <c r="R35" s="43" t="e">
        <f>R34+ATM_Conf!$C$5*(AA34-AJ34)</f>
        <v>#DIV/0!</v>
      </c>
      <c r="S35" s="43" t="e">
        <f>S34+ATM_Conf!$C$5*(AB34-AK34)</f>
        <v>#DIV/0!</v>
      </c>
      <c r="T35" s="43">
        <f t="shared" si="24"/>
        <v>0</v>
      </c>
      <c r="U35" s="43">
        <f t="shared" si="24"/>
        <v>0</v>
      </c>
      <c r="V35" s="43">
        <f t="shared" si="24"/>
        <v>0</v>
      </c>
      <c r="W35" s="43">
        <f t="shared" si="24"/>
        <v>0</v>
      </c>
      <c r="X35" s="43">
        <f t="shared" si="24"/>
        <v>0</v>
      </c>
      <c r="Y35" s="43">
        <f t="shared" si="24"/>
        <v>0</v>
      </c>
      <c r="Z35" s="43">
        <f t="shared" si="24"/>
        <v>0</v>
      </c>
      <c r="AA35" s="43">
        <f t="shared" si="24"/>
        <v>0</v>
      </c>
      <c r="AB35" s="43">
        <f t="shared" si="24"/>
        <v>0</v>
      </c>
      <c r="AC35" s="43" t="e">
        <f t="shared" si="3"/>
        <v>#DIV/0!</v>
      </c>
      <c r="AD35" s="43" t="e">
        <f t="shared" si="4"/>
        <v>#DIV/0!</v>
      </c>
      <c r="AE35" s="43" t="e">
        <f t="shared" si="5"/>
        <v>#DIV/0!</v>
      </c>
      <c r="AF35" s="43" t="e">
        <f t="shared" si="6"/>
        <v>#DIV/0!</v>
      </c>
      <c r="AG35" s="43" t="e">
        <f t="shared" si="7"/>
        <v>#DIV/0!</v>
      </c>
      <c r="AH35" s="43" t="e">
        <f t="shared" si="8"/>
        <v>#DIV/0!</v>
      </c>
      <c r="AI35" s="43" t="e">
        <f t="shared" si="9"/>
        <v>#DIV/0!</v>
      </c>
      <c r="AJ35" s="43" t="e">
        <f t="shared" si="10"/>
        <v>#DIV/0!</v>
      </c>
      <c r="AK35" s="43" t="e">
        <f t="shared" si="11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5"/>
        <v>0</v>
      </c>
      <c r="BE35" s="43">
        <f t="shared" si="25"/>
        <v>0</v>
      </c>
      <c r="BF35" s="43">
        <f t="shared" si="25"/>
        <v>0</v>
      </c>
      <c r="BG35" s="43">
        <f t="shared" si="25"/>
        <v>0</v>
      </c>
      <c r="BH35" s="43">
        <f t="shared" si="25"/>
        <v>0</v>
      </c>
      <c r="BI35" s="43">
        <f t="shared" si="25"/>
        <v>0</v>
      </c>
      <c r="BJ35" s="43">
        <f t="shared" si="25"/>
        <v>0</v>
      </c>
      <c r="BK35" s="43">
        <f t="shared" si="25"/>
        <v>0</v>
      </c>
      <c r="BL35" s="43">
        <f t="shared" si="25"/>
        <v>0</v>
      </c>
      <c r="BM35" s="51"/>
      <c r="BN35" s="51"/>
      <c r="BO35" s="51"/>
      <c r="BP35" s="51"/>
      <c r="BQ35" s="51"/>
      <c r="BR35" s="51"/>
      <c r="BS35" s="51"/>
      <c r="BT35" s="51"/>
      <c r="BU35" s="51"/>
      <c r="BV35" s="51" t="e">
        <f t="shared" si="13"/>
        <v>#DIV/0!</v>
      </c>
      <c r="BW35" s="51" t="e">
        <f t="shared" si="14"/>
        <v>#DIV/0!</v>
      </c>
      <c r="BX35" s="51" t="e">
        <f t="shared" si="15"/>
        <v>#DIV/0!</v>
      </c>
      <c r="BY35" s="51" t="e">
        <f t="shared" si="16"/>
        <v>#DIV/0!</v>
      </c>
      <c r="BZ35" s="51" t="e">
        <f t="shared" si="17"/>
        <v>#DIV/0!</v>
      </c>
      <c r="CA35" s="51" t="e">
        <f t="shared" si="18"/>
        <v>#DIV/0!</v>
      </c>
      <c r="CB35" s="51" t="e">
        <f t="shared" si="19"/>
        <v>#DIV/0!</v>
      </c>
      <c r="CC35" s="51" t="e">
        <f t="shared" si="20"/>
        <v>#DIV/0!</v>
      </c>
      <c r="CD35" s="51" t="e">
        <f t="shared" si="21"/>
        <v>#DIV/0!</v>
      </c>
      <c r="CE35" s="53">
        <f t="shared" si="26"/>
        <v>0</v>
      </c>
      <c r="CF35" s="53">
        <f t="shared" si="26"/>
        <v>0</v>
      </c>
      <c r="CG35" s="53">
        <f t="shared" si="26"/>
        <v>0</v>
      </c>
      <c r="CH35" s="53">
        <f t="shared" si="26"/>
        <v>0</v>
      </c>
      <c r="CI35" s="53">
        <f t="shared" si="26"/>
        <v>0</v>
      </c>
      <c r="CJ35" s="53">
        <f t="shared" si="26"/>
        <v>0</v>
      </c>
      <c r="CK35" s="53">
        <f t="shared" si="26"/>
        <v>0</v>
      </c>
      <c r="CL35" s="53">
        <f t="shared" si="26"/>
        <v>0</v>
      </c>
      <c r="CM35" s="53">
        <f t="shared" si="26"/>
        <v>0</v>
      </c>
    </row>
    <row r="36" spans="1:91" x14ac:dyDescent="0.15">
      <c r="A36" s="41">
        <v>34</v>
      </c>
      <c r="B36" s="43">
        <f t="shared" si="32"/>
        <v>1</v>
      </c>
      <c r="C36" s="43">
        <f t="shared" si="32"/>
        <v>1</v>
      </c>
      <c r="D36" s="43">
        <f t="shared" si="32"/>
        <v>1</v>
      </c>
      <c r="E36" s="43">
        <f t="shared" si="32"/>
        <v>1</v>
      </c>
      <c r="F36" s="43">
        <f t="shared" si="32"/>
        <v>1</v>
      </c>
      <c r="G36" s="43">
        <f t="shared" si="32"/>
        <v>1</v>
      </c>
      <c r="H36" s="43">
        <f t="shared" si="32"/>
        <v>1</v>
      </c>
      <c r="I36" s="43">
        <f t="shared" si="32"/>
        <v>1</v>
      </c>
      <c r="J36" s="43">
        <f t="shared" si="32"/>
        <v>1</v>
      </c>
      <c r="K36" s="43" t="e">
        <f>K35+ATM_Conf!$C$5*(T35-AC35)</f>
        <v>#DIV/0!</v>
      </c>
      <c r="L36" s="43" t="e">
        <f>L35+ATM_Conf!$C$5*(U35-AD35)</f>
        <v>#DIV/0!</v>
      </c>
      <c r="M36" s="43" t="e">
        <f>M35+ATM_Conf!$C$5*(V35-AE35)</f>
        <v>#DIV/0!</v>
      </c>
      <c r="N36" s="43" t="e">
        <f>N35+ATM_Conf!$C$5*(W35-AF35)</f>
        <v>#DIV/0!</v>
      </c>
      <c r="O36" s="43" t="e">
        <f>O35+ATM_Conf!$C$5*(X35-AG35)</f>
        <v>#DIV/0!</v>
      </c>
      <c r="P36" s="43" t="e">
        <f>P35+ATM_Conf!$C$5*(Y35-AH35)</f>
        <v>#DIV/0!</v>
      </c>
      <c r="Q36" s="43" t="e">
        <f>Q35+ATM_Conf!$C$5*(Z35-AI35)</f>
        <v>#DIV/0!</v>
      </c>
      <c r="R36" s="43" t="e">
        <f>R35+ATM_Conf!$C$5*(AA35-AJ35)</f>
        <v>#DIV/0!</v>
      </c>
      <c r="S36" s="43" t="e">
        <f>S35+ATM_Conf!$C$5*(AB35-AK35)</f>
        <v>#DIV/0!</v>
      </c>
      <c r="T36" s="43">
        <f t="shared" si="24"/>
        <v>0</v>
      </c>
      <c r="U36" s="43">
        <f t="shared" si="24"/>
        <v>0</v>
      </c>
      <c r="V36" s="43">
        <f t="shared" si="24"/>
        <v>0</v>
      </c>
      <c r="W36" s="43">
        <f t="shared" si="24"/>
        <v>0</v>
      </c>
      <c r="X36" s="43">
        <f t="shared" si="24"/>
        <v>0</v>
      </c>
      <c r="Y36" s="43">
        <f t="shared" si="24"/>
        <v>0</v>
      </c>
      <c r="Z36" s="43">
        <f t="shared" si="24"/>
        <v>0</v>
      </c>
      <c r="AA36" s="43">
        <f t="shared" si="24"/>
        <v>0</v>
      </c>
      <c r="AB36" s="43">
        <f t="shared" si="24"/>
        <v>0</v>
      </c>
      <c r="AC36" s="43" t="e">
        <f t="shared" si="3"/>
        <v>#DIV/0!</v>
      </c>
      <c r="AD36" s="43" t="e">
        <f t="shared" si="4"/>
        <v>#DIV/0!</v>
      </c>
      <c r="AE36" s="43" t="e">
        <f t="shared" si="5"/>
        <v>#DIV/0!</v>
      </c>
      <c r="AF36" s="43" t="e">
        <f t="shared" si="6"/>
        <v>#DIV/0!</v>
      </c>
      <c r="AG36" s="43" t="e">
        <f t="shared" si="7"/>
        <v>#DIV/0!</v>
      </c>
      <c r="AH36" s="43" t="e">
        <f t="shared" si="8"/>
        <v>#DIV/0!</v>
      </c>
      <c r="AI36" s="43" t="e">
        <f t="shared" si="9"/>
        <v>#DIV/0!</v>
      </c>
      <c r="AJ36" s="43" t="e">
        <f t="shared" si="10"/>
        <v>#DIV/0!</v>
      </c>
      <c r="AK36" s="43" t="e">
        <f t="shared" si="11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5"/>
        <v>0</v>
      </c>
      <c r="BE36" s="43">
        <f t="shared" si="25"/>
        <v>0</v>
      </c>
      <c r="BF36" s="43">
        <f t="shared" si="25"/>
        <v>0</v>
      </c>
      <c r="BG36" s="43">
        <f t="shared" si="25"/>
        <v>0</v>
      </c>
      <c r="BH36" s="43">
        <f t="shared" si="25"/>
        <v>0</v>
      </c>
      <c r="BI36" s="43">
        <f t="shared" si="25"/>
        <v>0</v>
      </c>
      <c r="BJ36" s="43">
        <f t="shared" si="25"/>
        <v>0</v>
      </c>
      <c r="BK36" s="43">
        <f t="shared" si="25"/>
        <v>0</v>
      </c>
      <c r="BL36" s="43">
        <f t="shared" si="25"/>
        <v>0</v>
      </c>
      <c r="BM36" s="51"/>
      <c r="BN36" s="51"/>
      <c r="BO36" s="51"/>
      <c r="BP36" s="51"/>
      <c r="BQ36" s="51"/>
      <c r="BR36" s="51"/>
      <c r="BS36" s="51"/>
      <c r="BT36" s="51"/>
      <c r="BU36" s="51"/>
      <c r="BV36" s="51" t="e">
        <f t="shared" si="13"/>
        <v>#DIV/0!</v>
      </c>
      <c r="BW36" s="51" t="e">
        <f t="shared" si="14"/>
        <v>#DIV/0!</v>
      </c>
      <c r="BX36" s="51" t="e">
        <f t="shared" si="15"/>
        <v>#DIV/0!</v>
      </c>
      <c r="BY36" s="51" t="e">
        <f t="shared" si="16"/>
        <v>#DIV/0!</v>
      </c>
      <c r="BZ36" s="51" t="e">
        <f t="shared" si="17"/>
        <v>#DIV/0!</v>
      </c>
      <c r="CA36" s="51" t="e">
        <f t="shared" si="18"/>
        <v>#DIV/0!</v>
      </c>
      <c r="CB36" s="51" t="e">
        <f t="shared" si="19"/>
        <v>#DIV/0!</v>
      </c>
      <c r="CC36" s="51" t="e">
        <f t="shared" si="20"/>
        <v>#DIV/0!</v>
      </c>
      <c r="CD36" s="51" t="e">
        <f t="shared" si="21"/>
        <v>#DIV/0!</v>
      </c>
      <c r="CE36" s="53">
        <f t="shared" si="26"/>
        <v>0</v>
      </c>
      <c r="CF36" s="53">
        <f t="shared" si="26"/>
        <v>0</v>
      </c>
      <c r="CG36" s="53">
        <f t="shared" si="26"/>
        <v>0</v>
      </c>
      <c r="CH36" s="53">
        <f t="shared" si="26"/>
        <v>0</v>
      </c>
      <c r="CI36" s="53">
        <f t="shared" si="26"/>
        <v>0</v>
      </c>
      <c r="CJ36" s="53">
        <f t="shared" si="26"/>
        <v>0</v>
      </c>
      <c r="CK36" s="53">
        <f t="shared" si="26"/>
        <v>0</v>
      </c>
      <c r="CL36" s="53">
        <f t="shared" si="26"/>
        <v>0</v>
      </c>
      <c r="CM36" s="53">
        <f t="shared" si="26"/>
        <v>0</v>
      </c>
    </row>
    <row r="37" spans="1:91" x14ac:dyDescent="0.15">
      <c r="A37" s="41">
        <v>35</v>
      </c>
      <c r="B37" s="43">
        <f t="shared" si="32"/>
        <v>1</v>
      </c>
      <c r="C37" s="43">
        <f t="shared" si="32"/>
        <v>1</v>
      </c>
      <c r="D37" s="43">
        <f t="shared" si="32"/>
        <v>1</v>
      </c>
      <c r="E37" s="43">
        <f t="shared" si="32"/>
        <v>1</v>
      </c>
      <c r="F37" s="43">
        <f t="shared" si="32"/>
        <v>1</v>
      </c>
      <c r="G37" s="43">
        <f t="shared" si="32"/>
        <v>1</v>
      </c>
      <c r="H37" s="43">
        <f t="shared" si="32"/>
        <v>1</v>
      </c>
      <c r="I37" s="43">
        <f t="shared" si="32"/>
        <v>1</v>
      </c>
      <c r="J37" s="43">
        <f t="shared" si="32"/>
        <v>1</v>
      </c>
      <c r="K37" s="43" t="e">
        <f>K36+ATM_Conf!$C$5*(T36-AC36)</f>
        <v>#DIV/0!</v>
      </c>
      <c r="L37" s="43" t="e">
        <f>L36+ATM_Conf!$C$5*(U36-AD36)</f>
        <v>#DIV/0!</v>
      </c>
      <c r="M37" s="43" t="e">
        <f>M36+ATM_Conf!$C$5*(V36-AE36)</f>
        <v>#DIV/0!</v>
      </c>
      <c r="N37" s="43" t="e">
        <f>N36+ATM_Conf!$C$5*(W36-AF36)</f>
        <v>#DIV/0!</v>
      </c>
      <c r="O37" s="43" t="e">
        <f>O36+ATM_Conf!$C$5*(X36-AG36)</f>
        <v>#DIV/0!</v>
      </c>
      <c r="P37" s="43" t="e">
        <f>P36+ATM_Conf!$C$5*(Y36-AH36)</f>
        <v>#DIV/0!</v>
      </c>
      <c r="Q37" s="43" t="e">
        <f>Q36+ATM_Conf!$C$5*(Z36-AI36)</f>
        <v>#DIV/0!</v>
      </c>
      <c r="R37" s="43" t="e">
        <f>R36+ATM_Conf!$C$5*(AA36-AJ36)</f>
        <v>#DIV/0!</v>
      </c>
      <c r="S37" s="43" t="e">
        <f>S36+ATM_Conf!$C$5*(AB36-AK36)</f>
        <v>#DIV/0!</v>
      </c>
      <c r="T37" s="43">
        <f t="shared" ref="T37:AB65" si="33">T$3</f>
        <v>0</v>
      </c>
      <c r="U37" s="43">
        <f t="shared" si="33"/>
        <v>0</v>
      </c>
      <c r="V37" s="43">
        <f t="shared" si="33"/>
        <v>0</v>
      </c>
      <c r="W37" s="43">
        <f t="shared" si="33"/>
        <v>0</v>
      </c>
      <c r="X37" s="43">
        <f t="shared" si="33"/>
        <v>0</v>
      </c>
      <c r="Y37" s="43">
        <f t="shared" si="33"/>
        <v>0</v>
      </c>
      <c r="Z37" s="43">
        <f t="shared" si="33"/>
        <v>0</v>
      </c>
      <c r="AA37" s="43">
        <f t="shared" si="33"/>
        <v>0</v>
      </c>
      <c r="AB37" s="43">
        <f t="shared" si="33"/>
        <v>0</v>
      </c>
      <c r="AC37" s="43" t="e">
        <f t="shared" si="3"/>
        <v>#DIV/0!</v>
      </c>
      <c r="AD37" s="43" t="e">
        <f t="shared" si="4"/>
        <v>#DIV/0!</v>
      </c>
      <c r="AE37" s="43" t="e">
        <f t="shared" si="5"/>
        <v>#DIV/0!</v>
      </c>
      <c r="AF37" s="43" t="e">
        <f t="shared" si="6"/>
        <v>#DIV/0!</v>
      </c>
      <c r="AG37" s="43" t="e">
        <f t="shared" si="7"/>
        <v>#DIV/0!</v>
      </c>
      <c r="AH37" s="43" t="e">
        <f t="shared" si="8"/>
        <v>#DIV/0!</v>
      </c>
      <c r="AI37" s="43" t="e">
        <f t="shared" si="9"/>
        <v>#DIV/0!</v>
      </c>
      <c r="AJ37" s="43" t="e">
        <f t="shared" si="10"/>
        <v>#DIV/0!</v>
      </c>
      <c r="AK37" s="43" t="e">
        <f t="shared" si="11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34">BD$3</f>
        <v>0</v>
      </c>
      <c r="BE37" s="43">
        <f t="shared" si="34"/>
        <v>0</v>
      </c>
      <c r="BF37" s="43">
        <f t="shared" si="34"/>
        <v>0</v>
      </c>
      <c r="BG37" s="43">
        <f t="shared" si="34"/>
        <v>0</v>
      </c>
      <c r="BH37" s="43">
        <f t="shared" si="34"/>
        <v>0</v>
      </c>
      <c r="BI37" s="43">
        <f t="shared" si="34"/>
        <v>0</v>
      </c>
      <c r="BJ37" s="43">
        <f t="shared" si="34"/>
        <v>0</v>
      </c>
      <c r="BK37" s="43">
        <f t="shared" si="34"/>
        <v>0</v>
      </c>
      <c r="BL37" s="43">
        <f t="shared" si="34"/>
        <v>0</v>
      </c>
      <c r="BM37" s="51"/>
      <c r="BN37" s="51"/>
      <c r="BO37" s="51"/>
      <c r="BP37" s="51"/>
      <c r="BQ37" s="51"/>
      <c r="BR37" s="51"/>
      <c r="BS37" s="51"/>
      <c r="BT37" s="51"/>
      <c r="BU37" s="51"/>
      <c r="BV37" s="51" t="e">
        <f t="shared" si="13"/>
        <v>#DIV/0!</v>
      </c>
      <c r="BW37" s="51" t="e">
        <f t="shared" si="14"/>
        <v>#DIV/0!</v>
      </c>
      <c r="BX37" s="51" t="e">
        <f t="shared" si="15"/>
        <v>#DIV/0!</v>
      </c>
      <c r="BY37" s="51" t="e">
        <f t="shared" si="16"/>
        <v>#DIV/0!</v>
      </c>
      <c r="BZ37" s="51" t="e">
        <f t="shared" si="17"/>
        <v>#DIV/0!</v>
      </c>
      <c r="CA37" s="51" t="e">
        <f t="shared" si="18"/>
        <v>#DIV/0!</v>
      </c>
      <c r="CB37" s="51" t="e">
        <f t="shared" si="19"/>
        <v>#DIV/0!</v>
      </c>
      <c r="CC37" s="51" t="e">
        <f t="shared" si="20"/>
        <v>#DIV/0!</v>
      </c>
      <c r="CD37" s="51" t="e">
        <f t="shared" si="21"/>
        <v>#DIV/0!</v>
      </c>
      <c r="CE37" s="53">
        <f t="shared" ref="CE37:CM65" si="35">CE$3</f>
        <v>0</v>
      </c>
      <c r="CF37" s="53">
        <f t="shared" si="35"/>
        <v>0</v>
      </c>
      <c r="CG37" s="53">
        <f t="shared" si="35"/>
        <v>0</v>
      </c>
      <c r="CH37" s="53">
        <f t="shared" si="35"/>
        <v>0</v>
      </c>
      <c r="CI37" s="53">
        <f t="shared" si="35"/>
        <v>0</v>
      </c>
      <c r="CJ37" s="53">
        <f t="shared" si="35"/>
        <v>0</v>
      </c>
      <c r="CK37" s="53">
        <f t="shared" si="35"/>
        <v>0</v>
      </c>
      <c r="CL37" s="53">
        <f t="shared" si="35"/>
        <v>0</v>
      </c>
      <c r="CM37" s="53">
        <f t="shared" si="35"/>
        <v>0</v>
      </c>
    </row>
    <row r="38" spans="1:91" x14ac:dyDescent="0.15">
      <c r="A38" s="41">
        <v>36</v>
      </c>
      <c r="B38" s="43">
        <f t="shared" si="32"/>
        <v>1</v>
      </c>
      <c r="C38" s="43">
        <f t="shared" si="32"/>
        <v>1</v>
      </c>
      <c r="D38" s="43">
        <f t="shared" si="32"/>
        <v>1</v>
      </c>
      <c r="E38" s="43">
        <f t="shared" si="32"/>
        <v>1</v>
      </c>
      <c r="F38" s="43">
        <f t="shared" si="32"/>
        <v>1</v>
      </c>
      <c r="G38" s="43">
        <f t="shared" si="32"/>
        <v>1</v>
      </c>
      <c r="H38" s="43">
        <f t="shared" si="32"/>
        <v>1</v>
      </c>
      <c r="I38" s="43">
        <f t="shared" si="32"/>
        <v>1</v>
      </c>
      <c r="J38" s="43">
        <f t="shared" si="32"/>
        <v>1</v>
      </c>
      <c r="K38" s="43" t="e">
        <f>K37+ATM_Conf!$C$5*(T37-AC37)</f>
        <v>#DIV/0!</v>
      </c>
      <c r="L38" s="43" t="e">
        <f>L37+ATM_Conf!$C$5*(U37-AD37)</f>
        <v>#DIV/0!</v>
      </c>
      <c r="M38" s="43" t="e">
        <f>M37+ATM_Conf!$C$5*(V37-AE37)</f>
        <v>#DIV/0!</v>
      </c>
      <c r="N38" s="43" t="e">
        <f>N37+ATM_Conf!$C$5*(W37-AF37)</f>
        <v>#DIV/0!</v>
      </c>
      <c r="O38" s="43" t="e">
        <f>O37+ATM_Conf!$C$5*(X37-AG37)</f>
        <v>#DIV/0!</v>
      </c>
      <c r="P38" s="43" t="e">
        <f>P37+ATM_Conf!$C$5*(Y37-AH37)</f>
        <v>#DIV/0!</v>
      </c>
      <c r="Q38" s="43" t="e">
        <f>Q37+ATM_Conf!$C$5*(Z37-AI37)</f>
        <v>#DIV/0!</v>
      </c>
      <c r="R38" s="43" t="e">
        <f>R37+ATM_Conf!$C$5*(AA37-AJ37)</f>
        <v>#DIV/0!</v>
      </c>
      <c r="S38" s="43" t="e">
        <f>S37+ATM_Conf!$C$5*(AB37-AK37)</f>
        <v>#DIV/0!</v>
      </c>
      <c r="T38" s="43">
        <f t="shared" si="33"/>
        <v>0</v>
      </c>
      <c r="U38" s="43">
        <f t="shared" si="33"/>
        <v>0</v>
      </c>
      <c r="V38" s="43">
        <f t="shared" si="33"/>
        <v>0</v>
      </c>
      <c r="W38" s="43">
        <f t="shared" si="33"/>
        <v>0</v>
      </c>
      <c r="X38" s="43">
        <f t="shared" si="33"/>
        <v>0</v>
      </c>
      <c r="Y38" s="43">
        <f t="shared" si="33"/>
        <v>0</v>
      </c>
      <c r="Z38" s="43">
        <f t="shared" si="33"/>
        <v>0</v>
      </c>
      <c r="AA38" s="43">
        <f t="shared" si="33"/>
        <v>0</v>
      </c>
      <c r="AB38" s="43">
        <f t="shared" si="33"/>
        <v>0</v>
      </c>
      <c r="AC38" s="43" t="e">
        <f t="shared" si="3"/>
        <v>#DIV/0!</v>
      </c>
      <c r="AD38" s="43" t="e">
        <f t="shared" si="4"/>
        <v>#DIV/0!</v>
      </c>
      <c r="AE38" s="43" t="e">
        <f t="shared" si="5"/>
        <v>#DIV/0!</v>
      </c>
      <c r="AF38" s="43" t="e">
        <f t="shared" si="6"/>
        <v>#DIV/0!</v>
      </c>
      <c r="AG38" s="43" t="e">
        <f t="shared" si="7"/>
        <v>#DIV/0!</v>
      </c>
      <c r="AH38" s="43" t="e">
        <f t="shared" si="8"/>
        <v>#DIV/0!</v>
      </c>
      <c r="AI38" s="43" t="e">
        <f t="shared" si="9"/>
        <v>#DIV/0!</v>
      </c>
      <c r="AJ38" s="43" t="e">
        <f t="shared" si="10"/>
        <v>#DIV/0!</v>
      </c>
      <c r="AK38" s="43" t="e">
        <f t="shared" si="11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34"/>
        <v>0</v>
      </c>
      <c r="BE38" s="43">
        <f t="shared" si="34"/>
        <v>0</v>
      </c>
      <c r="BF38" s="43">
        <f t="shared" si="34"/>
        <v>0</v>
      </c>
      <c r="BG38" s="43">
        <f t="shared" si="34"/>
        <v>0</v>
      </c>
      <c r="BH38" s="43">
        <f t="shared" si="34"/>
        <v>0</v>
      </c>
      <c r="BI38" s="43">
        <f t="shared" si="34"/>
        <v>0</v>
      </c>
      <c r="BJ38" s="43">
        <f t="shared" si="34"/>
        <v>0</v>
      </c>
      <c r="BK38" s="43">
        <f t="shared" si="34"/>
        <v>0</v>
      </c>
      <c r="BL38" s="43">
        <f t="shared" si="34"/>
        <v>0</v>
      </c>
      <c r="BM38" s="51"/>
      <c r="BN38" s="51"/>
      <c r="BO38" s="51"/>
      <c r="BP38" s="51"/>
      <c r="BQ38" s="51"/>
      <c r="BR38" s="51"/>
      <c r="BS38" s="51"/>
      <c r="BT38" s="51"/>
      <c r="BU38" s="51"/>
      <c r="BV38" s="51" t="e">
        <f t="shared" si="13"/>
        <v>#DIV/0!</v>
      </c>
      <c r="BW38" s="51" t="e">
        <f t="shared" si="14"/>
        <v>#DIV/0!</v>
      </c>
      <c r="BX38" s="51" t="e">
        <f t="shared" si="15"/>
        <v>#DIV/0!</v>
      </c>
      <c r="BY38" s="51" t="e">
        <f t="shared" si="16"/>
        <v>#DIV/0!</v>
      </c>
      <c r="BZ38" s="51" t="e">
        <f t="shared" si="17"/>
        <v>#DIV/0!</v>
      </c>
      <c r="CA38" s="51" t="e">
        <f t="shared" si="18"/>
        <v>#DIV/0!</v>
      </c>
      <c r="CB38" s="51" t="e">
        <f t="shared" si="19"/>
        <v>#DIV/0!</v>
      </c>
      <c r="CC38" s="51" t="e">
        <f t="shared" si="20"/>
        <v>#DIV/0!</v>
      </c>
      <c r="CD38" s="51" t="e">
        <f t="shared" si="21"/>
        <v>#DIV/0!</v>
      </c>
      <c r="CE38" s="53">
        <f t="shared" si="35"/>
        <v>0</v>
      </c>
      <c r="CF38" s="53">
        <f t="shared" si="35"/>
        <v>0</v>
      </c>
      <c r="CG38" s="53">
        <f t="shared" si="35"/>
        <v>0</v>
      </c>
      <c r="CH38" s="53">
        <f t="shared" si="35"/>
        <v>0</v>
      </c>
      <c r="CI38" s="53">
        <f t="shared" si="35"/>
        <v>0</v>
      </c>
      <c r="CJ38" s="53">
        <f t="shared" si="35"/>
        <v>0</v>
      </c>
      <c r="CK38" s="53">
        <f t="shared" si="35"/>
        <v>0</v>
      </c>
      <c r="CL38" s="53">
        <f t="shared" si="35"/>
        <v>0</v>
      </c>
      <c r="CM38" s="53">
        <f t="shared" si="35"/>
        <v>0</v>
      </c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 t="e">
        <f>K38+ATM_Conf!$C$5*(T38-AC38)</f>
        <v>#DIV/0!</v>
      </c>
      <c r="L39" s="43" t="e">
        <f>L38+ATM_Conf!$C$5*(U38-AD38)</f>
        <v>#DIV/0!</v>
      </c>
      <c r="M39" s="43" t="e">
        <f>M38+ATM_Conf!$C$5*(V38-AE38)</f>
        <v>#DIV/0!</v>
      </c>
      <c r="N39" s="43" t="e">
        <f>N38+ATM_Conf!$C$5*(W38-AF38)</f>
        <v>#DIV/0!</v>
      </c>
      <c r="O39" s="43" t="e">
        <f>O38+ATM_Conf!$C$5*(X38-AG38)</f>
        <v>#DIV/0!</v>
      </c>
      <c r="P39" s="43" t="e">
        <f>P38+ATM_Conf!$C$5*(Y38-AH38)</f>
        <v>#DIV/0!</v>
      </c>
      <c r="Q39" s="43" t="e">
        <f>Q38+ATM_Conf!$C$5*(Z38-AI38)</f>
        <v>#DIV/0!</v>
      </c>
      <c r="R39" s="43" t="e">
        <f>R38+ATM_Conf!$C$5*(AA38-AJ38)</f>
        <v>#DIV/0!</v>
      </c>
      <c r="S39" s="43" t="e">
        <f>S38+ATM_Conf!$C$5*(AB38-AK38)</f>
        <v>#DIV/0!</v>
      </c>
      <c r="T39" s="43">
        <f t="shared" si="33"/>
        <v>0</v>
      </c>
      <c r="U39" s="43">
        <f t="shared" si="33"/>
        <v>0</v>
      </c>
      <c r="V39" s="43">
        <f t="shared" si="33"/>
        <v>0</v>
      </c>
      <c r="W39" s="43">
        <f t="shared" si="33"/>
        <v>0</v>
      </c>
      <c r="X39" s="43">
        <f t="shared" si="33"/>
        <v>0</v>
      </c>
      <c r="Y39" s="43">
        <f t="shared" si="33"/>
        <v>0</v>
      </c>
      <c r="Z39" s="43">
        <f t="shared" si="33"/>
        <v>0</v>
      </c>
      <c r="AA39" s="43">
        <f t="shared" si="33"/>
        <v>0</v>
      </c>
      <c r="AB39" s="43">
        <f t="shared" si="33"/>
        <v>0</v>
      </c>
      <c r="AC39" s="43" t="e">
        <f t="shared" si="3"/>
        <v>#DIV/0!</v>
      </c>
      <c r="AD39" s="43" t="e">
        <f t="shared" si="4"/>
        <v>#DIV/0!</v>
      </c>
      <c r="AE39" s="43" t="e">
        <f t="shared" si="5"/>
        <v>#DIV/0!</v>
      </c>
      <c r="AF39" s="43" t="e">
        <f t="shared" si="6"/>
        <v>#DIV/0!</v>
      </c>
      <c r="AG39" s="43" t="e">
        <f t="shared" si="7"/>
        <v>#DIV/0!</v>
      </c>
      <c r="AH39" s="43" t="e">
        <f t="shared" si="8"/>
        <v>#DIV/0!</v>
      </c>
      <c r="AI39" s="43" t="e">
        <f t="shared" si="9"/>
        <v>#DIV/0!</v>
      </c>
      <c r="AJ39" s="43" t="e">
        <f t="shared" si="10"/>
        <v>#DIV/0!</v>
      </c>
      <c r="AK39" s="43" t="e">
        <f t="shared" si="11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34"/>
        <v>0</v>
      </c>
      <c r="BE39" s="43">
        <f t="shared" si="34"/>
        <v>0</v>
      </c>
      <c r="BF39" s="43">
        <f t="shared" si="34"/>
        <v>0</v>
      </c>
      <c r="BG39" s="43">
        <f t="shared" si="34"/>
        <v>0</v>
      </c>
      <c r="BH39" s="43">
        <f t="shared" si="34"/>
        <v>0</v>
      </c>
      <c r="BI39" s="43">
        <f t="shared" si="34"/>
        <v>0</v>
      </c>
      <c r="BJ39" s="43">
        <f t="shared" si="34"/>
        <v>0</v>
      </c>
      <c r="BK39" s="43">
        <f t="shared" si="34"/>
        <v>0</v>
      </c>
      <c r="BL39" s="43">
        <f t="shared" si="34"/>
        <v>0</v>
      </c>
      <c r="BM39" s="51">
        <f>(B39-B27)^2</f>
        <v>0</v>
      </c>
      <c r="BN39" s="51">
        <f t="shared" ref="BN39:BU39" si="36">(C39-C27)^2</f>
        <v>0</v>
      </c>
      <c r="BO39" s="51">
        <f t="shared" si="36"/>
        <v>0</v>
      </c>
      <c r="BP39" s="51">
        <f t="shared" si="36"/>
        <v>0</v>
      </c>
      <c r="BQ39" s="51">
        <f t="shared" si="36"/>
        <v>0</v>
      </c>
      <c r="BR39" s="51">
        <f t="shared" si="36"/>
        <v>0</v>
      </c>
      <c r="BS39" s="51">
        <f t="shared" si="36"/>
        <v>0</v>
      </c>
      <c r="BT39" s="51">
        <f t="shared" si="36"/>
        <v>0</v>
      </c>
      <c r="BU39" s="51">
        <f t="shared" si="36"/>
        <v>0</v>
      </c>
      <c r="BV39" s="51" t="e">
        <f t="shared" si="13"/>
        <v>#DIV/0!</v>
      </c>
      <c r="BW39" s="51" t="e">
        <f t="shared" si="14"/>
        <v>#DIV/0!</v>
      </c>
      <c r="BX39" s="51" t="e">
        <f t="shared" si="15"/>
        <v>#DIV/0!</v>
      </c>
      <c r="BY39" s="51" t="e">
        <f t="shared" si="16"/>
        <v>#DIV/0!</v>
      </c>
      <c r="BZ39" s="51" t="e">
        <f t="shared" si="17"/>
        <v>#DIV/0!</v>
      </c>
      <c r="CA39" s="51" t="e">
        <f t="shared" si="18"/>
        <v>#DIV/0!</v>
      </c>
      <c r="CB39" s="51" t="e">
        <f t="shared" si="19"/>
        <v>#DIV/0!</v>
      </c>
      <c r="CC39" s="51" t="e">
        <f t="shared" si="20"/>
        <v>#DIV/0!</v>
      </c>
      <c r="CD39" s="51" t="e">
        <f t="shared" si="21"/>
        <v>#DIV/0!</v>
      </c>
      <c r="CE39" s="53">
        <f t="shared" si="35"/>
        <v>0</v>
      </c>
      <c r="CF39" s="53">
        <f t="shared" si="35"/>
        <v>0</v>
      </c>
      <c r="CG39" s="53">
        <f t="shared" si="35"/>
        <v>0</v>
      </c>
      <c r="CH39" s="53">
        <f t="shared" si="35"/>
        <v>0</v>
      </c>
      <c r="CI39" s="53">
        <f t="shared" si="35"/>
        <v>0</v>
      </c>
      <c r="CJ39" s="53">
        <f t="shared" si="35"/>
        <v>0</v>
      </c>
      <c r="CK39" s="53">
        <f t="shared" si="35"/>
        <v>0</v>
      </c>
      <c r="CL39" s="53">
        <f t="shared" si="35"/>
        <v>0</v>
      </c>
      <c r="CM39" s="53">
        <f t="shared" si="35"/>
        <v>0</v>
      </c>
    </row>
    <row r="40" spans="1:91" x14ac:dyDescent="0.15">
      <c r="A40" s="41">
        <v>38</v>
      </c>
      <c r="B40" s="43">
        <f>B$39</f>
        <v>1</v>
      </c>
      <c r="C40" s="43">
        <f t="shared" ref="C40:J50" si="37">C$39</f>
        <v>1</v>
      </c>
      <c r="D40" s="43">
        <f t="shared" si="37"/>
        <v>1</v>
      </c>
      <c r="E40" s="43">
        <f t="shared" si="37"/>
        <v>1</v>
      </c>
      <c r="F40" s="43">
        <f t="shared" si="37"/>
        <v>1</v>
      </c>
      <c r="G40" s="43">
        <f t="shared" si="37"/>
        <v>1</v>
      </c>
      <c r="H40" s="43">
        <f t="shared" si="37"/>
        <v>1</v>
      </c>
      <c r="I40" s="43">
        <f t="shared" si="37"/>
        <v>1</v>
      </c>
      <c r="J40" s="43">
        <f t="shared" si="37"/>
        <v>1</v>
      </c>
      <c r="K40" s="43" t="e">
        <f>K39+ATM_Conf!$C$5*(T39-AC39)</f>
        <v>#DIV/0!</v>
      </c>
      <c r="L40" s="43" t="e">
        <f>L39+ATM_Conf!$C$5*(U39-AD39)</f>
        <v>#DIV/0!</v>
      </c>
      <c r="M40" s="43" t="e">
        <f>M39+ATM_Conf!$C$5*(V39-AE39)</f>
        <v>#DIV/0!</v>
      </c>
      <c r="N40" s="43" t="e">
        <f>N39+ATM_Conf!$C$5*(W39-AF39)</f>
        <v>#DIV/0!</v>
      </c>
      <c r="O40" s="43" t="e">
        <f>O39+ATM_Conf!$C$5*(X39-AG39)</f>
        <v>#DIV/0!</v>
      </c>
      <c r="P40" s="43" t="e">
        <f>P39+ATM_Conf!$C$5*(Y39-AH39)</f>
        <v>#DIV/0!</v>
      </c>
      <c r="Q40" s="43" t="e">
        <f>Q39+ATM_Conf!$C$5*(Z39-AI39)</f>
        <v>#DIV/0!</v>
      </c>
      <c r="R40" s="43" t="e">
        <f>R39+ATM_Conf!$C$5*(AA39-AJ39)</f>
        <v>#DIV/0!</v>
      </c>
      <c r="S40" s="43" t="e">
        <f>S39+ATM_Conf!$C$5*(AB39-AK39)</f>
        <v>#DIV/0!</v>
      </c>
      <c r="T40" s="43">
        <f t="shared" si="33"/>
        <v>0</v>
      </c>
      <c r="U40" s="43">
        <f t="shared" si="33"/>
        <v>0</v>
      </c>
      <c r="V40" s="43">
        <f t="shared" si="33"/>
        <v>0</v>
      </c>
      <c r="W40" s="43">
        <f t="shared" si="33"/>
        <v>0</v>
      </c>
      <c r="X40" s="43">
        <f t="shared" si="33"/>
        <v>0</v>
      </c>
      <c r="Y40" s="43">
        <f t="shared" si="33"/>
        <v>0</v>
      </c>
      <c r="Z40" s="43">
        <f t="shared" si="33"/>
        <v>0</v>
      </c>
      <c r="AA40" s="43">
        <f t="shared" si="33"/>
        <v>0</v>
      </c>
      <c r="AB40" s="43">
        <f t="shared" si="33"/>
        <v>0</v>
      </c>
      <c r="AC40" s="43" t="e">
        <f t="shared" si="3"/>
        <v>#DIV/0!</v>
      </c>
      <c r="AD40" s="43" t="e">
        <f t="shared" si="4"/>
        <v>#DIV/0!</v>
      </c>
      <c r="AE40" s="43" t="e">
        <f t="shared" si="5"/>
        <v>#DIV/0!</v>
      </c>
      <c r="AF40" s="43" t="e">
        <f t="shared" si="6"/>
        <v>#DIV/0!</v>
      </c>
      <c r="AG40" s="43" t="e">
        <f t="shared" si="7"/>
        <v>#DIV/0!</v>
      </c>
      <c r="AH40" s="43" t="e">
        <f t="shared" si="8"/>
        <v>#DIV/0!</v>
      </c>
      <c r="AI40" s="43" t="e">
        <f t="shared" si="9"/>
        <v>#DIV/0!</v>
      </c>
      <c r="AJ40" s="43" t="e">
        <f t="shared" si="10"/>
        <v>#DIV/0!</v>
      </c>
      <c r="AK40" s="43" t="e">
        <f t="shared" si="11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34"/>
        <v>0</v>
      </c>
      <c r="BE40" s="43">
        <f t="shared" si="34"/>
        <v>0</v>
      </c>
      <c r="BF40" s="43">
        <f t="shared" si="34"/>
        <v>0</v>
      </c>
      <c r="BG40" s="43">
        <f t="shared" si="34"/>
        <v>0</v>
      </c>
      <c r="BH40" s="43">
        <f t="shared" si="34"/>
        <v>0</v>
      </c>
      <c r="BI40" s="43">
        <f t="shared" si="34"/>
        <v>0</v>
      </c>
      <c r="BJ40" s="43">
        <f t="shared" si="34"/>
        <v>0</v>
      </c>
      <c r="BK40" s="43">
        <f t="shared" si="34"/>
        <v>0</v>
      </c>
      <c r="BL40" s="43">
        <f t="shared" si="34"/>
        <v>0</v>
      </c>
      <c r="BM40" s="51"/>
      <c r="BN40" s="51"/>
      <c r="BO40" s="51"/>
      <c r="BP40" s="51"/>
      <c r="BQ40" s="51"/>
      <c r="BR40" s="51"/>
      <c r="BS40" s="51"/>
      <c r="BT40" s="51"/>
      <c r="BU40" s="51"/>
      <c r="BV40" s="51" t="e">
        <f t="shared" si="13"/>
        <v>#DIV/0!</v>
      </c>
      <c r="BW40" s="51" t="e">
        <f t="shared" si="14"/>
        <v>#DIV/0!</v>
      </c>
      <c r="BX40" s="51" t="e">
        <f t="shared" si="15"/>
        <v>#DIV/0!</v>
      </c>
      <c r="BY40" s="51" t="e">
        <f t="shared" si="16"/>
        <v>#DIV/0!</v>
      </c>
      <c r="BZ40" s="51" t="e">
        <f t="shared" si="17"/>
        <v>#DIV/0!</v>
      </c>
      <c r="CA40" s="51" t="e">
        <f t="shared" si="18"/>
        <v>#DIV/0!</v>
      </c>
      <c r="CB40" s="51" t="e">
        <f t="shared" si="19"/>
        <v>#DIV/0!</v>
      </c>
      <c r="CC40" s="51" t="e">
        <f t="shared" si="20"/>
        <v>#DIV/0!</v>
      </c>
      <c r="CD40" s="51" t="e">
        <f t="shared" si="21"/>
        <v>#DIV/0!</v>
      </c>
      <c r="CE40" s="53">
        <f t="shared" si="35"/>
        <v>0</v>
      </c>
      <c r="CF40" s="53">
        <f t="shared" si="35"/>
        <v>0</v>
      </c>
      <c r="CG40" s="53">
        <f t="shared" si="35"/>
        <v>0</v>
      </c>
      <c r="CH40" s="53">
        <f t="shared" si="35"/>
        <v>0</v>
      </c>
      <c r="CI40" s="53">
        <f t="shared" si="35"/>
        <v>0</v>
      </c>
      <c r="CJ40" s="53">
        <f t="shared" si="35"/>
        <v>0</v>
      </c>
      <c r="CK40" s="53">
        <f t="shared" si="35"/>
        <v>0</v>
      </c>
      <c r="CL40" s="53">
        <f t="shared" si="35"/>
        <v>0</v>
      </c>
      <c r="CM40" s="53">
        <f t="shared" si="35"/>
        <v>0</v>
      </c>
    </row>
    <row r="41" spans="1:91" x14ac:dyDescent="0.15">
      <c r="A41" s="41">
        <v>39</v>
      </c>
      <c r="B41" s="43">
        <f t="shared" ref="B41:B50" si="38">B$39</f>
        <v>1</v>
      </c>
      <c r="C41" s="43">
        <f t="shared" si="37"/>
        <v>1</v>
      </c>
      <c r="D41" s="43">
        <f t="shared" si="37"/>
        <v>1</v>
      </c>
      <c r="E41" s="43">
        <f t="shared" si="37"/>
        <v>1</v>
      </c>
      <c r="F41" s="43">
        <f t="shared" si="37"/>
        <v>1</v>
      </c>
      <c r="G41" s="43">
        <f t="shared" si="37"/>
        <v>1</v>
      </c>
      <c r="H41" s="43">
        <f t="shared" si="37"/>
        <v>1</v>
      </c>
      <c r="I41" s="43">
        <f t="shared" si="37"/>
        <v>1</v>
      </c>
      <c r="J41" s="43">
        <f t="shared" si="37"/>
        <v>1</v>
      </c>
      <c r="K41" s="43" t="e">
        <f>K40+ATM_Conf!$C$5*(T40-AC40)</f>
        <v>#DIV/0!</v>
      </c>
      <c r="L41" s="43" t="e">
        <f>L40+ATM_Conf!$C$5*(U40-AD40)</f>
        <v>#DIV/0!</v>
      </c>
      <c r="M41" s="43" t="e">
        <f>M40+ATM_Conf!$C$5*(V40-AE40)</f>
        <v>#DIV/0!</v>
      </c>
      <c r="N41" s="43" t="e">
        <f>N40+ATM_Conf!$C$5*(W40-AF40)</f>
        <v>#DIV/0!</v>
      </c>
      <c r="O41" s="43" t="e">
        <f>O40+ATM_Conf!$C$5*(X40-AG40)</f>
        <v>#DIV/0!</v>
      </c>
      <c r="P41" s="43" t="e">
        <f>P40+ATM_Conf!$C$5*(Y40-AH40)</f>
        <v>#DIV/0!</v>
      </c>
      <c r="Q41" s="43" t="e">
        <f>Q40+ATM_Conf!$C$5*(Z40-AI40)</f>
        <v>#DIV/0!</v>
      </c>
      <c r="R41" s="43" t="e">
        <f>R40+ATM_Conf!$C$5*(AA40-AJ40)</f>
        <v>#DIV/0!</v>
      </c>
      <c r="S41" s="43" t="e">
        <f>S40+ATM_Conf!$C$5*(AB40-AK40)</f>
        <v>#DIV/0!</v>
      </c>
      <c r="T41" s="43">
        <f t="shared" si="33"/>
        <v>0</v>
      </c>
      <c r="U41" s="43">
        <f t="shared" si="33"/>
        <v>0</v>
      </c>
      <c r="V41" s="43">
        <f t="shared" si="33"/>
        <v>0</v>
      </c>
      <c r="W41" s="43">
        <f t="shared" si="33"/>
        <v>0</v>
      </c>
      <c r="X41" s="43">
        <f t="shared" si="33"/>
        <v>0</v>
      </c>
      <c r="Y41" s="43">
        <f t="shared" si="33"/>
        <v>0</v>
      </c>
      <c r="Z41" s="43">
        <f t="shared" si="33"/>
        <v>0</v>
      </c>
      <c r="AA41" s="43">
        <f t="shared" si="33"/>
        <v>0</v>
      </c>
      <c r="AB41" s="43">
        <f t="shared" si="33"/>
        <v>0</v>
      </c>
      <c r="AC41" s="43" t="e">
        <f t="shared" si="3"/>
        <v>#DIV/0!</v>
      </c>
      <c r="AD41" s="43" t="e">
        <f t="shared" si="4"/>
        <v>#DIV/0!</v>
      </c>
      <c r="AE41" s="43" t="e">
        <f t="shared" si="5"/>
        <v>#DIV/0!</v>
      </c>
      <c r="AF41" s="43" t="e">
        <f t="shared" si="6"/>
        <v>#DIV/0!</v>
      </c>
      <c r="AG41" s="43" t="e">
        <f t="shared" si="7"/>
        <v>#DIV/0!</v>
      </c>
      <c r="AH41" s="43" t="e">
        <f t="shared" si="8"/>
        <v>#DIV/0!</v>
      </c>
      <c r="AI41" s="43" t="e">
        <f t="shared" si="9"/>
        <v>#DIV/0!</v>
      </c>
      <c r="AJ41" s="43" t="e">
        <f t="shared" si="10"/>
        <v>#DIV/0!</v>
      </c>
      <c r="AK41" s="43" t="e">
        <f t="shared" si="11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34"/>
        <v>0</v>
      </c>
      <c r="BE41" s="43">
        <f t="shared" si="34"/>
        <v>0</v>
      </c>
      <c r="BF41" s="43">
        <f t="shared" si="34"/>
        <v>0</v>
      </c>
      <c r="BG41" s="43">
        <f t="shared" si="34"/>
        <v>0</v>
      </c>
      <c r="BH41" s="43">
        <f t="shared" si="34"/>
        <v>0</v>
      </c>
      <c r="BI41" s="43">
        <f t="shared" si="34"/>
        <v>0</v>
      </c>
      <c r="BJ41" s="43">
        <f t="shared" si="34"/>
        <v>0</v>
      </c>
      <c r="BK41" s="43">
        <f t="shared" si="34"/>
        <v>0</v>
      </c>
      <c r="BL41" s="43">
        <f t="shared" si="34"/>
        <v>0</v>
      </c>
      <c r="BM41" s="51"/>
      <c r="BN41" s="51"/>
      <c r="BO41" s="51"/>
      <c r="BP41" s="51"/>
      <c r="BQ41" s="51"/>
      <c r="BR41" s="51"/>
      <c r="BS41" s="51"/>
      <c r="BT41" s="51"/>
      <c r="BU41" s="51"/>
      <c r="BV41" s="51" t="e">
        <f t="shared" si="13"/>
        <v>#DIV/0!</v>
      </c>
      <c r="BW41" s="51" t="e">
        <f t="shared" si="14"/>
        <v>#DIV/0!</v>
      </c>
      <c r="BX41" s="51" t="e">
        <f t="shared" si="15"/>
        <v>#DIV/0!</v>
      </c>
      <c r="BY41" s="51" t="e">
        <f t="shared" si="16"/>
        <v>#DIV/0!</v>
      </c>
      <c r="BZ41" s="51" t="e">
        <f t="shared" si="17"/>
        <v>#DIV/0!</v>
      </c>
      <c r="CA41" s="51" t="e">
        <f t="shared" si="18"/>
        <v>#DIV/0!</v>
      </c>
      <c r="CB41" s="51" t="e">
        <f t="shared" si="19"/>
        <v>#DIV/0!</v>
      </c>
      <c r="CC41" s="51" t="e">
        <f t="shared" si="20"/>
        <v>#DIV/0!</v>
      </c>
      <c r="CD41" s="51" t="e">
        <f t="shared" si="21"/>
        <v>#DIV/0!</v>
      </c>
      <c r="CE41" s="53">
        <f t="shared" si="35"/>
        <v>0</v>
      </c>
      <c r="CF41" s="53">
        <f t="shared" si="35"/>
        <v>0</v>
      </c>
      <c r="CG41" s="53">
        <f t="shared" si="35"/>
        <v>0</v>
      </c>
      <c r="CH41" s="53">
        <f t="shared" si="35"/>
        <v>0</v>
      </c>
      <c r="CI41" s="53">
        <f t="shared" si="35"/>
        <v>0</v>
      </c>
      <c r="CJ41" s="53">
        <f t="shared" si="35"/>
        <v>0</v>
      </c>
      <c r="CK41" s="53">
        <f t="shared" si="35"/>
        <v>0</v>
      </c>
      <c r="CL41" s="53">
        <f t="shared" si="35"/>
        <v>0</v>
      </c>
      <c r="CM41" s="53">
        <f t="shared" si="35"/>
        <v>0</v>
      </c>
    </row>
    <row r="42" spans="1:91" x14ac:dyDescent="0.15">
      <c r="A42" s="41">
        <v>40</v>
      </c>
      <c r="B42" s="43">
        <f t="shared" si="38"/>
        <v>1</v>
      </c>
      <c r="C42" s="43">
        <f t="shared" si="37"/>
        <v>1</v>
      </c>
      <c r="D42" s="43">
        <f t="shared" si="37"/>
        <v>1</v>
      </c>
      <c r="E42" s="43">
        <f t="shared" si="37"/>
        <v>1</v>
      </c>
      <c r="F42" s="43">
        <f t="shared" si="37"/>
        <v>1</v>
      </c>
      <c r="G42" s="43">
        <f t="shared" si="37"/>
        <v>1</v>
      </c>
      <c r="H42" s="43">
        <f t="shared" si="37"/>
        <v>1</v>
      </c>
      <c r="I42" s="43">
        <f t="shared" si="37"/>
        <v>1</v>
      </c>
      <c r="J42" s="43">
        <f t="shared" si="37"/>
        <v>1</v>
      </c>
      <c r="K42" s="43" t="e">
        <f>K41+ATM_Conf!$C$5*(T41-AC41)</f>
        <v>#DIV/0!</v>
      </c>
      <c r="L42" s="43" t="e">
        <f>L41+ATM_Conf!$C$5*(U41-AD41)</f>
        <v>#DIV/0!</v>
      </c>
      <c r="M42" s="43" t="e">
        <f>M41+ATM_Conf!$C$5*(V41-AE41)</f>
        <v>#DIV/0!</v>
      </c>
      <c r="N42" s="43" t="e">
        <f>N41+ATM_Conf!$C$5*(W41-AF41)</f>
        <v>#DIV/0!</v>
      </c>
      <c r="O42" s="43" t="e">
        <f>O41+ATM_Conf!$C$5*(X41-AG41)</f>
        <v>#DIV/0!</v>
      </c>
      <c r="P42" s="43" t="e">
        <f>P41+ATM_Conf!$C$5*(Y41-AH41)</f>
        <v>#DIV/0!</v>
      </c>
      <c r="Q42" s="43" t="e">
        <f>Q41+ATM_Conf!$C$5*(Z41-AI41)</f>
        <v>#DIV/0!</v>
      </c>
      <c r="R42" s="43" t="e">
        <f>R41+ATM_Conf!$C$5*(AA41-AJ41)</f>
        <v>#DIV/0!</v>
      </c>
      <c r="S42" s="43" t="e">
        <f>S41+ATM_Conf!$C$5*(AB41-AK41)</f>
        <v>#DIV/0!</v>
      </c>
      <c r="T42" s="43">
        <f t="shared" si="33"/>
        <v>0</v>
      </c>
      <c r="U42" s="43">
        <f t="shared" si="33"/>
        <v>0</v>
      </c>
      <c r="V42" s="43">
        <f t="shared" si="33"/>
        <v>0</v>
      </c>
      <c r="W42" s="43">
        <f t="shared" si="33"/>
        <v>0</v>
      </c>
      <c r="X42" s="43">
        <f t="shared" si="33"/>
        <v>0</v>
      </c>
      <c r="Y42" s="43">
        <f t="shared" si="33"/>
        <v>0</v>
      </c>
      <c r="Z42" s="43">
        <f t="shared" si="33"/>
        <v>0</v>
      </c>
      <c r="AA42" s="43">
        <f t="shared" si="33"/>
        <v>0</v>
      </c>
      <c r="AB42" s="43">
        <f t="shared" si="33"/>
        <v>0</v>
      </c>
      <c r="AC42" s="43" t="e">
        <f t="shared" si="3"/>
        <v>#DIV/0!</v>
      </c>
      <c r="AD42" s="43" t="e">
        <f t="shared" si="4"/>
        <v>#DIV/0!</v>
      </c>
      <c r="AE42" s="43" t="e">
        <f t="shared" si="5"/>
        <v>#DIV/0!</v>
      </c>
      <c r="AF42" s="43" t="e">
        <f t="shared" si="6"/>
        <v>#DIV/0!</v>
      </c>
      <c r="AG42" s="43" t="e">
        <f t="shared" si="7"/>
        <v>#DIV/0!</v>
      </c>
      <c r="AH42" s="43" t="e">
        <f t="shared" si="8"/>
        <v>#DIV/0!</v>
      </c>
      <c r="AI42" s="43" t="e">
        <f t="shared" si="9"/>
        <v>#DIV/0!</v>
      </c>
      <c r="AJ42" s="43" t="e">
        <f t="shared" si="10"/>
        <v>#DIV/0!</v>
      </c>
      <c r="AK42" s="43" t="e">
        <f t="shared" si="11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34"/>
        <v>0</v>
      </c>
      <c r="BE42" s="43">
        <f t="shared" si="34"/>
        <v>0</v>
      </c>
      <c r="BF42" s="43">
        <f t="shared" si="34"/>
        <v>0</v>
      </c>
      <c r="BG42" s="43">
        <f t="shared" si="34"/>
        <v>0</v>
      </c>
      <c r="BH42" s="43">
        <f t="shared" si="34"/>
        <v>0</v>
      </c>
      <c r="BI42" s="43">
        <f t="shared" si="34"/>
        <v>0</v>
      </c>
      <c r="BJ42" s="43">
        <f t="shared" si="34"/>
        <v>0</v>
      </c>
      <c r="BK42" s="43">
        <f t="shared" si="34"/>
        <v>0</v>
      </c>
      <c r="BL42" s="43">
        <f t="shared" si="34"/>
        <v>0</v>
      </c>
      <c r="BM42" s="51"/>
      <c r="BN42" s="51"/>
      <c r="BO42" s="51"/>
      <c r="BP42" s="51"/>
      <c r="BQ42" s="51"/>
      <c r="BR42" s="51"/>
      <c r="BS42" s="51"/>
      <c r="BT42" s="51"/>
      <c r="BU42" s="51"/>
      <c r="BV42" s="51" t="e">
        <f t="shared" si="13"/>
        <v>#DIV/0!</v>
      </c>
      <c r="BW42" s="51" t="e">
        <f t="shared" si="14"/>
        <v>#DIV/0!</v>
      </c>
      <c r="BX42" s="51" t="e">
        <f t="shared" si="15"/>
        <v>#DIV/0!</v>
      </c>
      <c r="BY42" s="51" t="e">
        <f t="shared" si="16"/>
        <v>#DIV/0!</v>
      </c>
      <c r="BZ42" s="51" t="e">
        <f t="shared" si="17"/>
        <v>#DIV/0!</v>
      </c>
      <c r="CA42" s="51" t="e">
        <f t="shared" si="18"/>
        <v>#DIV/0!</v>
      </c>
      <c r="CB42" s="51" t="e">
        <f t="shared" si="19"/>
        <v>#DIV/0!</v>
      </c>
      <c r="CC42" s="51" t="e">
        <f t="shared" si="20"/>
        <v>#DIV/0!</v>
      </c>
      <c r="CD42" s="51" t="e">
        <f t="shared" si="21"/>
        <v>#DIV/0!</v>
      </c>
      <c r="CE42" s="53">
        <f t="shared" si="35"/>
        <v>0</v>
      </c>
      <c r="CF42" s="53">
        <f t="shared" si="35"/>
        <v>0</v>
      </c>
      <c r="CG42" s="53">
        <f t="shared" si="35"/>
        <v>0</v>
      </c>
      <c r="CH42" s="53">
        <f t="shared" si="35"/>
        <v>0</v>
      </c>
      <c r="CI42" s="53">
        <f t="shared" si="35"/>
        <v>0</v>
      </c>
      <c r="CJ42" s="53">
        <f t="shared" si="35"/>
        <v>0</v>
      </c>
      <c r="CK42" s="53">
        <f t="shared" si="35"/>
        <v>0</v>
      </c>
      <c r="CL42" s="53">
        <f t="shared" si="35"/>
        <v>0</v>
      </c>
      <c r="CM42" s="53">
        <f t="shared" si="35"/>
        <v>0</v>
      </c>
    </row>
    <row r="43" spans="1:91" x14ac:dyDescent="0.15">
      <c r="A43" s="41">
        <v>41</v>
      </c>
      <c r="B43" s="43">
        <f t="shared" si="38"/>
        <v>1</v>
      </c>
      <c r="C43" s="43">
        <f t="shared" si="37"/>
        <v>1</v>
      </c>
      <c r="D43" s="43">
        <f t="shared" si="37"/>
        <v>1</v>
      </c>
      <c r="E43" s="43">
        <f t="shared" si="37"/>
        <v>1</v>
      </c>
      <c r="F43" s="43">
        <f t="shared" si="37"/>
        <v>1</v>
      </c>
      <c r="G43" s="43">
        <f t="shared" si="37"/>
        <v>1</v>
      </c>
      <c r="H43" s="43">
        <f t="shared" si="37"/>
        <v>1</v>
      </c>
      <c r="I43" s="43">
        <f t="shared" si="37"/>
        <v>1</v>
      </c>
      <c r="J43" s="43">
        <f t="shared" si="37"/>
        <v>1</v>
      </c>
      <c r="K43" s="43" t="e">
        <f>K42+ATM_Conf!$C$5*(T42-AC42)</f>
        <v>#DIV/0!</v>
      </c>
      <c r="L43" s="43" t="e">
        <f>L42+ATM_Conf!$C$5*(U42-AD42)</f>
        <v>#DIV/0!</v>
      </c>
      <c r="M43" s="43" t="e">
        <f>M42+ATM_Conf!$C$5*(V42-AE42)</f>
        <v>#DIV/0!</v>
      </c>
      <c r="N43" s="43" t="e">
        <f>N42+ATM_Conf!$C$5*(W42-AF42)</f>
        <v>#DIV/0!</v>
      </c>
      <c r="O43" s="43" t="e">
        <f>O42+ATM_Conf!$C$5*(X42-AG42)</f>
        <v>#DIV/0!</v>
      </c>
      <c r="P43" s="43" t="e">
        <f>P42+ATM_Conf!$C$5*(Y42-AH42)</f>
        <v>#DIV/0!</v>
      </c>
      <c r="Q43" s="43" t="e">
        <f>Q42+ATM_Conf!$C$5*(Z42-AI42)</f>
        <v>#DIV/0!</v>
      </c>
      <c r="R43" s="43" t="e">
        <f>R42+ATM_Conf!$C$5*(AA42-AJ42)</f>
        <v>#DIV/0!</v>
      </c>
      <c r="S43" s="43" t="e">
        <f>S42+ATM_Conf!$C$5*(AB42-AK42)</f>
        <v>#DIV/0!</v>
      </c>
      <c r="T43" s="43">
        <f t="shared" si="33"/>
        <v>0</v>
      </c>
      <c r="U43" s="43">
        <f t="shared" si="33"/>
        <v>0</v>
      </c>
      <c r="V43" s="43">
        <f t="shared" si="33"/>
        <v>0</v>
      </c>
      <c r="W43" s="43">
        <f t="shared" si="33"/>
        <v>0</v>
      </c>
      <c r="X43" s="43">
        <f t="shared" si="33"/>
        <v>0</v>
      </c>
      <c r="Y43" s="43">
        <f t="shared" si="33"/>
        <v>0</v>
      </c>
      <c r="Z43" s="43">
        <f t="shared" si="33"/>
        <v>0</v>
      </c>
      <c r="AA43" s="43">
        <f t="shared" si="33"/>
        <v>0</v>
      </c>
      <c r="AB43" s="43">
        <f t="shared" si="33"/>
        <v>0</v>
      </c>
      <c r="AC43" s="43" t="e">
        <f t="shared" si="3"/>
        <v>#DIV/0!</v>
      </c>
      <c r="AD43" s="43" t="e">
        <f t="shared" si="4"/>
        <v>#DIV/0!</v>
      </c>
      <c r="AE43" s="43" t="e">
        <f t="shared" si="5"/>
        <v>#DIV/0!</v>
      </c>
      <c r="AF43" s="43" t="e">
        <f t="shared" si="6"/>
        <v>#DIV/0!</v>
      </c>
      <c r="AG43" s="43" t="e">
        <f t="shared" si="7"/>
        <v>#DIV/0!</v>
      </c>
      <c r="AH43" s="43" t="e">
        <f t="shared" si="8"/>
        <v>#DIV/0!</v>
      </c>
      <c r="AI43" s="43" t="e">
        <f t="shared" si="9"/>
        <v>#DIV/0!</v>
      </c>
      <c r="AJ43" s="43" t="e">
        <f t="shared" si="10"/>
        <v>#DIV/0!</v>
      </c>
      <c r="AK43" s="43" t="e">
        <f t="shared" si="11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34"/>
        <v>0</v>
      </c>
      <c r="BE43" s="43">
        <f t="shared" si="34"/>
        <v>0</v>
      </c>
      <c r="BF43" s="43">
        <f t="shared" si="34"/>
        <v>0</v>
      </c>
      <c r="BG43" s="43">
        <f t="shared" si="34"/>
        <v>0</v>
      </c>
      <c r="BH43" s="43">
        <f t="shared" si="34"/>
        <v>0</v>
      </c>
      <c r="BI43" s="43">
        <f t="shared" si="34"/>
        <v>0</v>
      </c>
      <c r="BJ43" s="43">
        <f t="shared" si="34"/>
        <v>0</v>
      </c>
      <c r="BK43" s="43">
        <f t="shared" si="34"/>
        <v>0</v>
      </c>
      <c r="BL43" s="43">
        <f t="shared" si="34"/>
        <v>0</v>
      </c>
      <c r="BM43" s="51"/>
      <c r="BN43" s="51"/>
      <c r="BO43" s="51"/>
      <c r="BP43" s="51"/>
      <c r="BQ43" s="51"/>
      <c r="BR43" s="51"/>
      <c r="BS43" s="51"/>
      <c r="BT43" s="51"/>
      <c r="BU43" s="51"/>
      <c r="BV43" s="51" t="e">
        <f t="shared" si="13"/>
        <v>#DIV/0!</v>
      </c>
      <c r="BW43" s="51" t="e">
        <f t="shared" si="14"/>
        <v>#DIV/0!</v>
      </c>
      <c r="BX43" s="51" t="e">
        <f t="shared" si="15"/>
        <v>#DIV/0!</v>
      </c>
      <c r="BY43" s="51" t="e">
        <f t="shared" si="16"/>
        <v>#DIV/0!</v>
      </c>
      <c r="BZ43" s="51" t="e">
        <f t="shared" si="17"/>
        <v>#DIV/0!</v>
      </c>
      <c r="CA43" s="51" t="e">
        <f t="shared" si="18"/>
        <v>#DIV/0!</v>
      </c>
      <c r="CB43" s="51" t="e">
        <f t="shared" si="19"/>
        <v>#DIV/0!</v>
      </c>
      <c r="CC43" s="51" t="e">
        <f t="shared" si="20"/>
        <v>#DIV/0!</v>
      </c>
      <c r="CD43" s="51" t="e">
        <f t="shared" si="21"/>
        <v>#DIV/0!</v>
      </c>
      <c r="CE43" s="53">
        <f t="shared" si="35"/>
        <v>0</v>
      </c>
      <c r="CF43" s="53">
        <f t="shared" si="35"/>
        <v>0</v>
      </c>
      <c r="CG43" s="53">
        <f t="shared" si="35"/>
        <v>0</v>
      </c>
      <c r="CH43" s="53">
        <f t="shared" si="35"/>
        <v>0</v>
      </c>
      <c r="CI43" s="53">
        <f t="shared" si="35"/>
        <v>0</v>
      </c>
      <c r="CJ43" s="53">
        <f t="shared" si="35"/>
        <v>0</v>
      </c>
      <c r="CK43" s="53">
        <f t="shared" si="35"/>
        <v>0</v>
      </c>
      <c r="CL43" s="53">
        <f t="shared" si="35"/>
        <v>0</v>
      </c>
      <c r="CM43" s="53">
        <f t="shared" si="35"/>
        <v>0</v>
      </c>
    </row>
    <row r="44" spans="1:91" x14ac:dyDescent="0.15">
      <c r="A44" s="41">
        <v>42</v>
      </c>
      <c r="B44" s="43">
        <f t="shared" si="38"/>
        <v>1</v>
      </c>
      <c r="C44" s="43">
        <f t="shared" si="37"/>
        <v>1</v>
      </c>
      <c r="D44" s="43">
        <f t="shared" si="37"/>
        <v>1</v>
      </c>
      <c r="E44" s="43">
        <f t="shared" si="37"/>
        <v>1</v>
      </c>
      <c r="F44" s="43">
        <f t="shared" si="37"/>
        <v>1</v>
      </c>
      <c r="G44" s="43">
        <f t="shared" si="37"/>
        <v>1</v>
      </c>
      <c r="H44" s="43">
        <f t="shared" si="37"/>
        <v>1</v>
      </c>
      <c r="I44" s="43">
        <f t="shared" si="37"/>
        <v>1</v>
      </c>
      <c r="J44" s="43">
        <f t="shared" si="37"/>
        <v>1</v>
      </c>
      <c r="K44" s="43" t="e">
        <f>K43+ATM_Conf!$C$5*(T43-AC43)</f>
        <v>#DIV/0!</v>
      </c>
      <c r="L44" s="43" t="e">
        <f>L43+ATM_Conf!$C$5*(U43-AD43)</f>
        <v>#DIV/0!</v>
      </c>
      <c r="M44" s="43" t="e">
        <f>M43+ATM_Conf!$C$5*(V43-AE43)</f>
        <v>#DIV/0!</v>
      </c>
      <c r="N44" s="43" t="e">
        <f>N43+ATM_Conf!$C$5*(W43-AF43)</f>
        <v>#DIV/0!</v>
      </c>
      <c r="O44" s="43" t="e">
        <f>O43+ATM_Conf!$C$5*(X43-AG43)</f>
        <v>#DIV/0!</v>
      </c>
      <c r="P44" s="43" t="e">
        <f>P43+ATM_Conf!$C$5*(Y43-AH43)</f>
        <v>#DIV/0!</v>
      </c>
      <c r="Q44" s="43" t="e">
        <f>Q43+ATM_Conf!$C$5*(Z43-AI43)</f>
        <v>#DIV/0!</v>
      </c>
      <c r="R44" s="43" t="e">
        <f>R43+ATM_Conf!$C$5*(AA43-AJ43)</f>
        <v>#DIV/0!</v>
      </c>
      <c r="S44" s="43" t="e">
        <f>S43+ATM_Conf!$C$5*(AB43-AK43)</f>
        <v>#DIV/0!</v>
      </c>
      <c r="T44" s="43">
        <f t="shared" si="33"/>
        <v>0</v>
      </c>
      <c r="U44" s="43">
        <f t="shared" si="33"/>
        <v>0</v>
      </c>
      <c r="V44" s="43">
        <f t="shared" si="33"/>
        <v>0</v>
      </c>
      <c r="W44" s="43">
        <f t="shared" si="33"/>
        <v>0</v>
      </c>
      <c r="X44" s="43">
        <f t="shared" si="33"/>
        <v>0</v>
      </c>
      <c r="Y44" s="43">
        <f t="shared" si="33"/>
        <v>0</v>
      </c>
      <c r="Z44" s="43">
        <f t="shared" si="33"/>
        <v>0</v>
      </c>
      <c r="AA44" s="43">
        <f t="shared" si="33"/>
        <v>0</v>
      </c>
      <c r="AB44" s="43">
        <f t="shared" si="33"/>
        <v>0</v>
      </c>
      <c r="AC44" s="43" t="e">
        <f t="shared" si="3"/>
        <v>#DIV/0!</v>
      </c>
      <c r="AD44" s="43" t="e">
        <f t="shared" si="4"/>
        <v>#DIV/0!</v>
      </c>
      <c r="AE44" s="43" t="e">
        <f t="shared" si="5"/>
        <v>#DIV/0!</v>
      </c>
      <c r="AF44" s="43" t="e">
        <f t="shared" si="6"/>
        <v>#DIV/0!</v>
      </c>
      <c r="AG44" s="43" t="e">
        <f t="shared" si="7"/>
        <v>#DIV/0!</v>
      </c>
      <c r="AH44" s="43" t="e">
        <f t="shared" si="8"/>
        <v>#DIV/0!</v>
      </c>
      <c r="AI44" s="43" t="e">
        <f t="shared" si="9"/>
        <v>#DIV/0!</v>
      </c>
      <c r="AJ44" s="43" t="e">
        <f t="shared" si="10"/>
        <v>#DIV/0!</v>
      </c>
      <c r="AK44" s="43" t="e">
        <f t="shared" si="11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34"/>
        <v>0</v>
      </c>
      <c r="BE44" s="43">
        <f t="shared" si="34"/>
        <v>0</v>
      </c>
      <c r="BF44" s="43">
        <f t="shared" si="34"/>
        <v>0</v>
      </c>
      <c r="BG44" s="43">
        <f t="shared" si="34"/>
        <v>0</v>
      </c>
      <c r="BH44" s="43">
        <f t="shared" si="34"/>
        <v>0</v>
      </c>
      <c r="BI44" s="43">
        <f t="shared" si="34"/>
        <v>0</v>
      </c>
      <c r="BJ44" s="43">
        <f t="shared" si="34"/>
        <v>0</v>
      </c>
      <c r="BK44" s="43">
        <f t="shared" si="34"/>
        <v>0</v>
      </c>
      <c r="BL44" s="43">
        <f t="shared" si="34"/>
        <v>0</v>
      </c>
      <c r="BM44" s="51"/>
      <c r="BN44" s="51"/>
      <c r="BO44" s="51"/>
      <c r="BP44" s="51"/>
      <c r="BQ44" s="51"/>
      <c r="BR44" s="51"/>
      <c r="BS44" s="51"/>
      <c r="BT44" s="51"/>
      <c r="BU44" s="51"/>
      <c r="BV44" s="51" t="e">
        <f t="shared" si="13"/>
        <v>#DIV/0!</v>
      </c>
      <c r="BW44" s="51" t="e">
        <f t="shared" si="14"/>
        <v>#DIV/0!</v>
      </c>
      <c r="BX44" s="51" t="e">
        <f t="shared" si="15"/>
        <v>#DIV/0!</v>
      </c>
      <c r="BY44" s="51" t="e">
        <f t="shared" si="16"/>
        <v>#DIV/0!</v>
      </c>
      <c r="BZ44" s="51" t="e">
        <f t="shared" si="17"/>
        <v>#DIV/0!</v>
      </c>
      <c r="CA44" s="51" t="e">
        <f t="shared" si="18"/>
        <v>#DIV/0!</v>
      </c>
      <c r="CB44" s="51" t="e">
        <f t="shared" si="19"/>
        <v>#DIV/0!</v>
      </c>
      <c r="CC44" s="51" t="e">
        <f t="shared" si="20"/>
        <v>#DIV/0!</v>
      </c>
      <c r="CD44" s="51" t="e">
        <f t="shared" si="21"/>
        <v>#DIV/0!</v>
      </c>
      <c r="CE44" s="53">
        <f t="shared" si="35"/>
        <v>0</v>
      </c>
      <c r="CF44" s="53">
        <f t="shared" si="35"/>
        <v>0</v>
      </c>
      <c r="CG44" s="53">
        <f t="shared" si="35"/>
        <v>0</v>
      </c>
      <c r="CH44" s="53">
        <f t="shared" si="35"/>
        <v>0</v>
      </c>
      <c r="CI44" s="53">
        <f t="shared" si="35"/>
        <v>0</v>
      </c>
      <c r="CJ44" s="53">
        <f t="shared" si="35"/>
        <v>0</v>
      </c>
      <c r="CK44" s="53">
        <f t="shared" si="35"/>
        <v>0</v>
      </c>
      <c r="CL44" s="53">
        <f t="shared" si="35"/>
        <v>0</v>
      </c>
      <c r="CM44" s="53">
        <f t="shared" si="35"/>
        <v>0</v>
      </c>
    </row>
    <row r="45" spans="1:91" x14ac:dyDescent="0.15">
      <c r="A45" s="41">
        <v>43</v>
      </c>
      <c r="B45" s="43">
        <f t="shared" si="38"/>
        <v>1</v>
      </c>
      <c r="C45" s="43">
        <f t="shared" si="37"/>
        <v>1</v>
      </c>
      <c r="D45" s="43">
        <f t="shared" si="37"/>
        <v>1</v>
      </c>
      <c r="E45" s="43">
        <f t="shared" si="37"/>
        <v>1</v>
      </c>
      <c r="F45" s="43">
        <f t="shared" si="37"/>
        <v>1</v>
      </c>
      <c r="G45" s="43">
        <f t="shared" si="37"/>
        <v>1</v>
      </c>
      <c r="H45" s="43">
        <f t="shared" si="37"/>
        <v>1</v>
      </c>
      <c r="I45" s="43">
        <f t="shared" si="37"/>
        <v>1</v>
      </c>
      <c r="J45" s="43">
        <f t="shared" si="37"/>
        <v>1</v>
      </c>
      <c r="K45" s="43" t="e">
        <f>K44+ATM_Conf!$C$5*(T44-AC44)</f>
        <v>#DIV/0!</v>
      </c>
      <c r="L45" s="43" t="e">
        <f>L44+ATM_Conf!$C$5*(U44-AD44)</f>
        <v>#DIV/0!</v>
      </c>
      <c r="M45" s="43" t="e">
        <f>M44+ATM_Conf!$C$5*(V44-AE44)</f>
        <v>#DIV/0!</v>
      </c>
      <c r="N45" s="43" t="e">
        <f>N44+ATM_Conf!$C$5*(W44-AF44)</f>
        <v>#DIV/0!</v>
      </c>
      <c r="O45" s="43" t="e">
        <f>O44+ATM_Conf!$C$5*(X44-AG44)</f>
        <v>#DIV/0!</v>
      </c>
      <c r="P45" s="43" t="e">
        <f>P44+ATM_Conf!$C$5*(Y44-AH44)</f>
        <v>#DIV/0!</v>
      </c>
      <c r="Q45" s="43" t="e">
        <f>Q44+ATM_Conf!$C$5*(Z44-AI44)</f>
        <v>#DIV/0!</v>
      </c>
      <c r="R45" s="43" t="e">
        <f>R44+ATM_Conf!$C$5*(AA44-AJ44)</f>
        <v>#DIV/0!</v>
      </c>
      <c r="S45" s="43" t="e">
        <f>S44+ATM_Conf!$C$5*(AB44-AK44)</f>
        <v>#DIV/0!</v>
      </c>
      <c r="T45" s="43">
        <f t="shared" si="33"/>
        <v>0</v>
      </c>
      <c r="U45" s="43">
        <f t="shared" si="33"/>
        <v>0</v>
      </c>
      <c r="V45" s="43">
        <f t="shared" si="33"/>
        <v>0</v>
      </c>
      <c r="W45" s="43">
        <f t="shared" si="33"/>
        <v>0</v>
      </c>
      <c r="X45" s="43">
        <f t="shared" si="33"/>
        <v>0</v>
      </c>
      <c r="Y45" s="43">
        <f t="shared" si="33"/>
        <v>0</v>
      </c>
      <c r="Z45" s="43">
        <f t="shared" si="33"/>
        <v>0</v>
      </c>
      <c r="AA45" s="43">
        <f t="shared" si="33"/>
        <v>0</v>
      </c>
      <c r="AB45" s="43">
        <f t="shared" si="33"/>
        <v>0</v>
      </c>
      <c r="AC45" s="43" t="e">
        <f t="shared" si="3"/>
        <v>#DIV/0!</v>
      </c>
      <c r="AD45" s="43" t="e">
        <f t="shared" si="4"/>
        <v>#DIV/0!</v>
      </c>
      <c r="AE45" s="43" t="e">
        <f t="shared" si="5"/>
        <v>#DIV/0!</v>
      </c>
      <c r="AF45" s="43" t="e">
        <f t="shared" si="6"/>
        <v>#DIV/0!</v>
      </c>
      <c r="AG45" s="43" t="e">
        <f t="shared" si="7"/>
        <v>#DIV/0!</v>
      </c>
      <c r="AH45" s="43" t="e">
        <f t="shared" si="8"/>
        <v>#DIV/0!</v>
      </c>
      <c r="AI45" s="43" t="e">
        <f t="shared" si="9"/>
        <v>#DIV/0!</v>
      </c>
      <c r="AJ45" s="43" t="e">
        <f t="shared" si="10"/>
        <v>#DIV/0!</v>
      </c>
      <c r="AK45" s="43" t="e">
        <f t="shared" si="11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34"/>
        <v>0</v>
      </c>
      <c r="BE45" s="43">
        <f t="shared" si="34"/>
        <v>0</v>
      </c>
      <c r="BF45" s="43">
        <f t="shared" si="34"/>
        <v>0</v>
      </c>
      <c r="BG45" s="43">
        <f t="shared" si="34"/>
        <v>0</v>
      </c>
      <c r="BH45" s="43">
        <f t="shared" si="34"/>
        <v>0</v>
      </c>
      <c r="BI45" s="43">
        <f t="shared" si="34"/>
        <v>0</v>
      </c>
      <c r="BJ45" s="43">
        <f t="shared" si="34"/>
        <v>0</v>
      </c>
      <c r="BK45" s="43">
        <f t="shared" si="34"/>
        <v>0</v>
      </c>
      <c r="BL45" s="43">
        <f t="shared" si="34"/>
        <v>0</v>
      </c>
      <c r="BM45" s="51"/>
      <c r="BN45" s="51"/>
      <c r="BO45" s="51"/>
      <c r="BP45" s="51"/>
      <c r="BQ45" s="51"/>
      <c r="BR45" s="51"/>
      <c r="BS45" s="51"/>
      <c r="BT45" s="51"/>
      <c r="BU45" s="51"/>
      <c r="BV45" s="51" t="e">
        <f t="shared" si="13"/>
        <v>#DIV/0!</v>
      </c>
      <c r="BW45" s="51" t="e">
        <f t="shared" si="14"/>
        <v>#DIV/0!</v>
      </c>
      <c r="BX45" s="51" t="e">
        <f t="shared" si="15"/>
        <v>#DIV/0!</v>
      </c>
      <c r="BY45" s="51" t="e">
        <f t="shared" si="16"/>
        <v>#DIV/0!</v>
      </c>
      <c r="BZ45" s="51" t="e">
        <f t="shared" si="17"/>
        <v>#DIV/0!</v>
      </c>
      <c r="CA45" s="51" t="e">
        <f t="shared" si="18"/>
        <v>#DIV/0!</v>
      </c>
      <c r="CB45" s="51" t="e">
        <f t="shared" si="19"/>
        <v>#DIV/0!</v>
      </c>
      <c r="CC45" s="51" t="e">
        <f t="shared" si="20"/>
        <v>#DIV/0!</v>
      </c>
      <c r="CD45" s="51" t="e">
        <f t="shared" si="21"/>
        <v>#DIV/0!</v>
      </c>
      <c r="CE45" s="53">
        <f t="shared" si="35"/>
        <v>0</v>
      </c>
      <c r="CF45" s="53">
        <f t="shared" si="35"/>
        <v>0</v>
      </c>
      <c r="CG45" s="53">
        <f t="shared" si="35"/>
        <v>0</v>
      </c>
      <c r="CH45" s="53">
        <f t="shared" si="35"/>
        <v>0</v>
      </c>
      <c r="CI45" s="53">
        <f t="shared" si="35"/>
        <v>0</v>
      </c>
      <c r="CJ45" s="53">
        <f t="shared" si="35"/>
        <v>0</v>
      </c>
      <c r="CK45" s="53">
        <f t="shared" si="35"/>
        <v>0</v>
      </c>
      <c r="CL45" s="53">
        <f t="shared" si="35"/>
        <v>0</v>
      </c>
      <c r="CM45" s="53">
        <f t="shared" si="35"/>
        <v>0</v>
      </c>
    </row>
    <row r="46" spans="1:91" x14ac:dyDescent="0.15">
      <c r="A46" s="41">
        <v>44</v>
      </c>
      <c r="B46" s="43">
        <f t="shared" si="38"/>
        <v>1</v>
      </c>
      <c r="C46" s="43">
        <f t="shared" si="37"/>
        <v>1</v>
      </c>
      <c r="D46" s="43">
        <f t="shared" si="37"/>
        <v>1</v>
      </c>
      <c r="E46" s="43">
        <f t="shared" si="37"/>
        <v>1</v>
      </c>
      <c r="F46" s="43">
        <f t="shared" si="37"/>
        <v>1</v>
      </c>
      <c r="G46" s="43">
        <f t="shared" si="37"/>
        <v>1</v>
      </c>
      <c r="H46" s="43">
        <f t="shared" si="37"/>
        <v>1</v>
      </c>
      <c r="I46" s="43">
        <f t="shared" si="37"/>
        <v>1</v>
      </c>
      <c r="J46" s="43">
        <f t="shared" si="37"/>
        <v>1</v>
      </c>
      <c r="K46" s="43" t="e">
        <f>K45+ATM_Conf!$C$5*(T45-AC45)</f>
        <v>#DIV/0!</v>
      </c>
      <c r="L46" s="43" t="e">
        <f>L45+ATM_Conf!$C$5*(U45-AD45)</f>
        <v>#DIV/0!</v>
      </c>
      <c r="M46" s="43" t="e">
        <f>M45+ATM_Conf!$C$5*(V45-AE45)</f>
        <v>#DIV/0!</v>
      </c>
      <c r="N46" s="43" t="e">
        <f>N45+ATM_Conf!$C$5*(W45-AF45)</f>
        <v>#DIV/0!</v>
      </c>
      <c r="O46" s="43" t="e">
        <f>O45+ATM_Conf!$C$5*(X45-AG45)</f>
        <v>#DIV/0!</v>
      </c>
      <c r="P46" s="43" t="e">
        <f>P45+ATM_Conf!$C$5*(Y45-AH45)</f>
        <v>#DIV/0!</v>
      </c>
      <c r="Q46" s="43" t="e">
        <f>Q45+ATM_Conf!$C$5*(Z45-AI45)</f>
        <v>#DIV/0!</v>
      </c>
      <c r="R46" s="43" t="e">
        <f>R45+ATM_Conf!$C$5*(AA45-AJ45)</f>
        <v>#DIV/0!</v>
      </c>
      <c r="S46" s="43" t="e">
        <f>S45+ATM_Conf!$C$5*(AB45-AK45)</f>
        <v>#DIV/0!</v>
      </c>
      <c r="T46" s="43">
        <f t="shared" si="33"/>
        <v>0</v>
      </c>
      <c r="U46" s="43">
        <f t="shared" si="33"/>
        <v>0</v>
      </c>
      <c r="V46" s="43">
        <f t="shared" si="33"/>
        <v>0</v>
      </c>
      <c r="W46" s="43">
        <f t="shared" si="33"/>
        <v>0</v>
      </c>
      <c r="X46" s="43">
        <f t="shared" si="33"/>
        <v>0</v>
      </c>
      <c r="Y46" s="43">
        <f t="shared" si="33"/>
        <v>0</v>
      </c>
      <c r="Z46" s="43">
        <f t="shared" si="33"/>
        <v>0</v>
      </c>
      <c r="AA46" s="43">
        <f t="shared" si="33"/>
        <v>0</v>
      </c>
      <c r="AB46" s="43">
        <f t="shared" si="33"/>
        <v>0</v>
      </c>
      <c r="AC46" s="43" t="e">
        <f t="shared" si="3"/>
        <v>#DIV/0!</v>
      </c>
      <c r="AD46" s="43" t="e">
        <f t="shared" si="4"/>
        <v>#DIV/0!</v>
      </c>
      <c r="AE46" s="43" t="e">
        <f t="shared" si="5"/>
        <v>#DIV/0!</v>
      </c>
      <c r="AF46" s="43" t="e">
        <f t="shared" si="6"/>
        <v>#DIV/0!</v>
      </c>
      <c r="AG46" s="43" t="e">
        <f t="shared" si="7"/>
        <v>#DIV/0!</v>
      </c>
      <c r="AH46" s="43" t="e">
        <f t="shared" si="8"/>
        <v>#DIV/0!</v>
      </c>
      <c r="AI46" s="43" t="e">
        <f t="shared" si="9"/>
        <v>#DIV/0!</v>
      </c>
      <c r="AJ46" s="43" t="e">
        <f t="shared" si="10"/>
        <v>#DIV/0!</v>
      </c>
      <c r="AK46" s="43" t="e">
        <f t="shared" si="11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34"/>
        <v>0</v>
      </c>
      <c r="BE46" s="43">
        <f t="shared" si="34"/>
        <v>0</v>
      </c>
      <c r="BF46" s="43">
        <f t="shared" si="34"/>
        <v>0</v>
      </c>
      <c r="BG46" s="43">
        <f t="shared" si="34"/>
        <v>0</v>
      </c>
      <c r="BH46" s="43">
        <f t="shared" si="34"/>
        <v>0</v>
      </c>
      <c r="BI46" s="43">
        <f t="shared" si="34"/>
        <v>0</v>
      </c>
      <c r="BJ46" s="43">
        <f t="shared" si="34"/>
        <v>0</v>
      </c>
      <c r="BK46" s="43">
        <f t="shared" si="34"/>
        <v>0</v>
      </c>
      <c r="BL46" s="43">
        <f t="shared" si="34"/>
        <v>0</v>
      </c>
      <c r="BM46" s="51"/>
      <c r="BN46" s="51"/>
      <c r="BO46" s="51"/>
      <c r="BP46" s="51"/>
      <c r="BQ46" s="51"/>
      <c r="BR46" s="51"/>
      <c r="BS46" s="51"/>
      <c r="BT46" s="51"/>
      <c r="BU46" s="51"/>
      <c r="BV46" s="51" t="e">
        <f t="shared" si="13"/>
        <v>#DIV/0!</v>
      </c>
      <c r="BW46" s="51" t="e">
        <f t="shared" si="14"/>
        <v>#DIV/0!</v>
      </c>
      <c r="BX46" s="51" t="e">
        <f t="shared" si="15"/>
        <v>#DIV/0!</v>
      </c>
      <c r="BY46" s="51" t="e">
        <f t="shared" si="16"/>
        <v>#DIV/0!</v>
      </c>
      <c r="BZ46" s="51" t="e">
        <f t="shared" si="17"/>
        <v>#DIV/0!</v>
      </c>
      <c r="CA46" s="51" t="e">
        <f t="shared" si="18"/>
        <v>#DIV/0!</v>
      </c>
      <c r="CB46" s="51" t="e">
        <f t="shared" si="19"/>
        <v>#DIV/0!</v>
      </c>
      <c r="CC46" s="51" t="e">
        <f t="shared" si="20"/>
        <v>#DIV/0!</v>
      </c>
      <c r="CD46" s="51" t="e">
        <f t="shared" si="21"/>
        <v>#DIV/0!</v>
      </c>
      <c r="CE46" s="53">
        <f t="shared" si="35"/>
        <v>0</v>
      </c>
      <c r="CF46" s="53">
        <f t="shared" si="35"/>
        <v>0</v>
      </c>
      <c r="CG46" s="53">
        <f t="shared" si="35"/>
        <v>0</v>
      </c>
      <c r="CH46" s="53">
        <f t="shared" si="35"/>
        <v>0</v>
      </c>
      <c r="CI46" s="53">
        <f t="shared" si="35"/>
        <v>0</v>
      </c>
      <c r="CJ46" s="53">
        <f t="shared" si="35"/>
        <v>0</v>
      </c>
      <c r="CK46" s="53">
        <f t="shared" si="35"/>
        <v>0</v>
      </c>
      <c r="CL46" s="53">
        <f t="shared" si="35"/>
        <v>0</v>
      </c>
      <c r="CM46" s="53">
        <f t="shared" si="35"/>
        <v>0</v>
      </c>
    </row>
    <row r="47" spans="1:91" x14ac:dyDescent="0.15">
      <c r="A47" s="41">
        <v>45</v>
      </c>
      <c r="B47" s="43">
        <f t="shared" si="38"/>
        <v>1</v>
      </c>
      <c r="C47" s="43">
        <f t="shared" si="37"/>
        <v>1</v>
      </c>
      <c r="D47" s="43">
        <f t="shared" si="37"/>
        <v>1</v>
      </c>
      <c r="E47" s="43">
        <f t="shared" si="37"/>
        <v>1</v>
      </c>
      <c r="F47" s="43">
        <f t="shared" si="37"/>
        <v>1</v>
      </c>
      <c r="G47" s="43">
        <f t="shared" si="37"/>
        <v>1</v>
      </c>
      <c r="H47" s="43">
        <f t="shared" si="37"/>
        <v>1</v>
      </c>
      <c r="I47" s="43">
        <f t="shared" si="37"/>
        <v>1</v>
      </c>
      <c r="J47" s="43">
        <f t="shared" si="37"/>
        <v>1</v>
      </c>
      <c r="K47" s="43" t="e">
        <f>K46+ATM_Conf!$C$5*(T46-AC46)</f>
        <v>#DIV/0!</v>
      </c>
      <c r="L47" s="43" t="e">
        <f>L46+ATM_Conf!$C$5*(U46-AD46)</f>
        <v>#DIV/0!</v>
      </c>
      <c r="M47" s="43" t="e">
        <f>M46+ATM_Conf!$C$5*(V46-AE46)</f>
        <v>#DIV/0!</v>
      </c>
      <c r="N47" s="43" t="e">
        <f>N46+ATM_Conf!$C$5*(W46-AF46)</f>
        <v>#DIV/0!</v>
      </c>
      <c r="O47" s="43" t="e">
        <f>O46+ATM_Conf!$C$5*(X46-AG46)</f>
        <v>#DIV/0!</v>
      </c>
      <c r="P47" s="43" t="e">
        <f>P46+ATM_Conf!$C$5*(Y46-AH46)</f>
        <v>#DIV/0!</v>
      </c>
      <c r="Q47" s="43" t="e">
        <f>Q46+ATM_Conf!$C$5*(Z46-AI46)</f>
        <v>#DIV/0!</v>
      </c>
      <c r="R47" s="43" t="e">
        <f>R46+ATM_Conf!$C$5*(AA46-AJ46)</f>
        <v>#DIV/0!</v>
      </c>
      <c r="S47" s="43" t="e">
        <f>S46+ATM_Conf!$C$5*(AB46-AK46)</f>
        <v>#DIV/0!</v>
      </c>
      <c r="T47" s="43">
        <f t="shared" si="33"/>
        <v>0</v>
      </c>
      <c r="U47" s="43">
        <f t="shared" si="33"/>
        <v>0</v>
      </c>
      <c r="V47" s="43">
        <f t="shared" si="33"/>
        <v>0</v>
      </c>
      <c r="W47" s="43">
        <f t="shared" si="33"/>
        <v>0</v>
      </c>
      <c r="X47" s="43">
        <f t="shared" si="33"/>
        <v>0</v>
      </c>
      <c r="Y47" s="43">
        <f t="shared" si="33"/>
        <v>0</v>
      </c>
      <c r="Z47" s="43">
        <f t="shared" si="33"/>
        <v>0</v>
      </c>
      <c r="AA47" s="43">
        <f t="shared" si="33"/>
        <v>0</v>
      </c>
      <c r="AB47" s="43">
        <f t="shared" si="33"/>
        <v>0</v>
      </c>
      <c r="AC47" s="43" t="e">
        <f t="shared" si="3"/>
        <v>#DIV/0!</v>
      </c>
      <c r="AD47" s="43" t="e">
        <f t="shared" si="4"/>
        <v>#DIV/0!</v>
      </c>
      <c r="AE47" s="43" t="e">
        <f t="shared" si="5"/>
        <v>#DIV/0!</v>
      </c>
      <c r="AF47" s="43" t="e">
        <f t="shared" si="6"/>
        <v>#DIV/0!</v>
      </c>
      <c r="AG47" s="43" t="e">
        <f t="shared" si="7"/>
        <v>#DIV/0!</v>
      </c>
      <c r="AH47" s="43" t="e">
        <f t="shared" si="8"/>
        <v>#DIV/0!</v>
      </c>
      <c r="AI47" s="43" t="e">
        <f t="shared" si="9"/>
        <v>#DIV/0!</v>
      </c>
      <c r="AJ47" s="43" t="e">
        <f t="shared" si="10"/>
        <v>#DIV/0!</v>
      </c>
      <c r="AK47" s="43" t="e">
        <f t="shared" si="11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34"/>
        <v>0</v>
      </c>
      <c r="BE47" s="43">
        <f t="shared" si="34"/>
        <v>0</v>
      </c>
      <c r="BF47" s="43">
        <f t="shared" si="34"/>
        <v>0</v>
      </c>
      <c r="BG47" s="43">
        <f t="shared" si="34"/>
        <v>0</v>
      </c>
      <c r="BH47" s="43">
        <f t="shared" si="34"/>
        <v>0</v>
      </c>
      <c r="BI47" s="43">
        <f t="shared" si="34"/>
        <v>0</v>
      </c>
      <c r="BJ47" s="43">
        <f t="shared" si="34"/>
        <v>0</v>
      </c>
      <c r="BK47" s="43">
        <f t="shared" si="34"/>
        <v>0</v>
      </c>
      <c r="BL47" s="43">
        <f t="shared" si="34"/>
        <v>0</v>
      </c>
      <c r="BM47" s="51"/>
      <c r="BN47" s="51"/>
      <c r="BO47" s="51"/>
      <c r="BP47" s="51"/>
      <c r="BQ47" s="51"/>
      <c r="BR47" s="51"/>
      <c r="BS47" s="51"/>
      <c r="BT47" s="51"/>
      <c r="BU47" s="51"/>
      <c r="BV47" s="51" t="e">
        <f t="shared" si="13"/>
        <v>#DIV/0!</v>
      </c>
      <c r="BW47" s="51" t="e">
        <f t="shared" si="14"/>
        <v>#DIV/0!</v>
      </c>
      <c r="BX47" s="51" t="e">
        <f t="shared" si="15"/>
        <v>#DIV/0!</v>
      </c>
      <c r="BY47" s="51" t="e">
        <f t="shared" si="16"/>
        <v>#DIV/0!</v>
      </c>
      <c r="BZ47" s="51" t="e">
        <f t="shared" si="17"/>
        <v>#DIV/0!</v>
      </c>
      <c r="CA47" s="51" t="e">
        <f t="shared" si="18"/>
        <v>#DIV/0!</v>
      </c>
      <c r="CB47" s="51" t="e">
        <f t="shared" si="19"/>
        <v>#DIV/0!</v>
      </c>
      <c r="CC47" s="51" t="e">
        <f t="shared" si="20"/>
        <v>#DIV/0!</v>
      </c>
      <c r="CD47" s="51" t="e">
        <f t="shared" si="21"/>
        <v>#DIV/0!</v>
      </c>
      <c r="CE47" s="53">
        <f t="shared" si="35"/>
        <v>0</v>
      </c>
      <c r="CF47" s="53">
        <f t="shared" si="35"/>
        <v>0</v>
      </c>
      <c r="CG47" s="53">
        <f t="shared" si="35"/>
        <v>0</v>
      </c>
      <c r="CH47" s="53">
        <f t="shared" si="35"/>
        <v>0</v>
      </c>
      <c r="CI47" s="53">
        <f t="shared" si="35"/>
        <v>0</v>
      </c>
      <c r="CJ47" s="53">
        <f t="shared" si="35"/>
        <v>0</v>
      </c>
      <c r="CK47" s="53">
        <f t="shared" si="35"/>
        <v>0</v>
      </c>
      <c r="CL47" s="53">
        <f t="shared" si="35"/>
        <v>0</v>
      </c>
      <c r="CM47" s="53">
        <f t="shared" si="35"/>
        <v>0</v>
      </c>
    </row>
    <row r="48" spans="1:91" x14ac:dyDescent="0.15">
      <c r="A48" s="41">
        <v>46</v>
      </c>
      <c r="B48" s="43">
        <f t="shared" si="38"/>
        <v>1</v>
      </c>
      <c r="C48" s="43">
        <f t="shared" si="37"/>
        <v>1</v>
      </c>
      <c r="D48" s="43">
        <f t="shared" si="37"/>
        <v>1</v>
      </c>
      <c r="E48" s="43">
        <f t="shared" si="37"/>
        <v>1</v>
      </c>
      <c r="F48" s="43">
        <f t="shared" si="37"/>
        <v>1</v>
      </c>
      <c r="G48" s="43">
        <f t="shared" si="37"/>
        <v>1</v>
      </c>
      <c r="H48" s="43">
        <f t="shared" si="37"/>
        <v>1</v>
      </c>
      <c r="I48" s="43">
        <f t="shared" si="37"/>
        <v>1</v>
      </c>
      <c r="J48" s="43">
        <f t="shared" si="37"/>
        <v>1</v>
      </c>
      <c r="K48" s="43" t="e">
        <f>K47+ATM_Conf!$C$5*(T47-AC47)</f>
        <v>#DIV/0!</v>
      </c>
      <c r="L48" s="43" t="e">
        <f>L47+ATM_Conf!$C$5*(U47-AD47)</f>
        <v>#DIV/0!</v>
      </c>
      <c r="M48" s="43" t="e">
        <f>M47+ATM_Conf!$C$5*(V47-AE47)</f>
        <v>#DIV/0!</v>
      </c>
      <c r="N48" s="43" t="e">
        <f>N47+ATM_Conf!$C$5*(W47-AF47)</f>
        <v>#DIV/0!</v>
      </c>
      <c r="O48" s="43" t="e">
        <f>O47+ATM_Conf!$C$5*(X47-AG47)</f>
        <v>#DIV/0!</v>
      </c>
      <c r="P48" s="43" t="e">
        <f>P47+ATM_Conf!$C$5*(Y47-AH47)</f>
        <v>#DIV/0!</v>
      </c>
      <c r="Q48" s="43" t="e">
        <f>Q47+ATM_Conf!$C$5*(Z47-AI47)</f>
        <v>#DIV/0!</v>
      </c>
      <c r="R48" s="43" t="e">
        <f>R47+ATM_Conf!$C$5*(AA47-AJ47)</f>
        <v>#DIV/0!</v>
      </c>
      <c r="S48" s="43" t="e">
        <f>S47+ATM_Conf!$C$5*(AB47-AK47)</f>
        <v>#DIV/0!</v>
      </c>
      <c r="T48" s="43">
        <f t="shared" si="33"/>
        <v>0</v>
      </c>
      <c r="U48" s="43">
        <f t="shared" si="33"/>
        <v>0</v>
      </c>
      <c r="V48" s="43">
        <f t="shared" si="33"/>
        <v>0</v>
      </c>
      <c r="W48" s="43">
        <f t="shared" si="33"/>
        <v>0</v>
      </c>
      <c r="X48" s="43">
        <f t="shared" si="33"/>
        <v>0</v>
      </c>
      <c r="Y48" s="43">
        <f t="shared" si="33"/>
        <v>0</v>
      </c>
      <c r="Z48" s="43">
        <f t="shared" si="33"/>
        <v>0</v>
      </c>
      <c r="AA48" s="43">
        <f t="shared" si="33"/>
        <v>0</v>
      </c>
      <c r="AB48" s="43">
        <f t="shared" si="33"/>
        <v>0</v>
      </c>
      <c r="AC48" s="43" t="e">
        <f t="shared" si="3"/>
        <v>#DIV/0!</v>
      </c>
      <c r="AD48" s="43" t="e">
        <f t="shared" si="4"/>
        <v>#DIV/0!</v>
      </c>
      <c r="AE48" s="43" t="e">
        <f t="shared" si="5"/>
        <v>#DIV/0!</v>
      </c>
      <c r="AF48" s="43" t="e">
        <f t="shared" si="6"/>
        <v>#DIV/0!</v>
      </c>
      <c r="AG48" s="43" t="e">
        <f t="shared" si="7"/>
        <v>#DIV/0!</v>
      </c>
      <c r="AH48" s="43" t="e">
        <f t="shared" si="8"/>
        <v>#DIV/0!</v>
      </c>
      <c r="AI48" s="43" t="e">
        <f t="shared" si="9"/>
        <v>#DIV/0!</v>
      </c>
      <c r="AJ48" s="43" t="e">
        <f t="shared" si="10"/>
        <v>#DIV/0!</v>
      </c>
      <c r="AK48" s="43" t="e">
        <f t="shared" si="11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34"/>
        <v>0</v>
      </c>
      <c r="BE48" s="43">
        <f t="shared" si="34"/>
        <v>0</v>
      </c>
      <c r="BF48" s="43">
        <f t="shared" si="34"/>
        <v>0</v>
      </c>
      <c r="BG48" s="43">
        <f t="shared" si="34"/>
        <v>0</v>
      </c>
      <c r="BH48" s="43">
        <f t="shared" si="34"/>
        <v>0</v>
      </c>
      <c r="BI48" s="43">
        <f t="shared" si="34"/>
        <v>0</v>
      </c>
      <c r="BJ48" s="43">
        <f t="shared" si="34"/>
        <v>0</v>
      </c>
      <c r="BK48" s="43">
        <f t="shared" si="34"/>
        <v>0</v>
      </c>
      <c r="BL48" s="43">
        <f t="shared" si="34"/>
        <v>0</v>
      </c>
      <c r="BM48" s="51"/>
      <c r="BN48" s="51"/>
      <c r="BO48" s="51"/>
      <c r="BP48" s="51"/>
      <c r="BQ48" s="51"/>
      <c r="BR48" s="51"/>
      <c r="BS48" s="51"/>
      <c r="BT48" s="51"/>
      <c r="BU48" s="51"/>
      <c r="BV48" s="51" t="e">
        <f t="shared" si="13"/>
        <v>#DIV/0!</v>
      </c>
      <c r="BW48" s="51" t="e">
        <f t="shared" si="14"/>
        <v>#DIV/0!</v>
      </c>
      <c r="BX48" s="51" t="e">
        <f t="shared" si="15"/>
        <v>#DIV/0!</v>
      </c>
      <c r="BY48" s="51" t="e">
        <f t="shared" si="16"/>
        <v>#DIV/0!</v>
      </c>
      <c r="BZ48" s="51" t="e">
        <f t="shared" si="17"/>
        <v>#DIV/0!</v>
      </c>
      <c r="CA48" s="51" t="e">
        <f t="shared" si="18"/>
        <v>#DIV/0!</v>
      </c>
      <c r="CB48" s="51" t="e">
        <f t="shared" si="19"/>
        <v>#DIV/0!</v>
      </c>
      <c r="CC48" s="51" t="e">
        <f t="shared" si="20"/>
        <v>#DIV/0!</v>
      </c>
      <c r="CD48" s="51" t="e">
        <f t="shared" si="21"/>
        <v>#DIV/0!</v>
      </c>
      <c r="CE48" s="53">
        <f t="shared" si="35"/>
        <v>0</v>
      </c>
      <c r="CF48" s="53">
        <f t="shared" si="35"/>
        <v>0</v>
      </c>
      <c r="CG48" s="53">
        <f t="shared" si="35"/>
        <v>0</v>
      </c>
      <c r="CH48" s="53">
        <f t="shared" si="35"/>
        <v>0</v>
      </c>
      <c r="CI48" s="53">
        <f t="shared" si="35"/>
        <v>0</v>
      </c>
      <c r="CJ48" s="53">
        <f t="shared" si="35"/>
        <v>0</v>
      </c>
      <c r="CK48" s="53">
        <f t="shared" si="35"/>
        <v>0</v>
      </c>
      <c r="CL48" s="53">
        <f t="shared" si="35"/>
        <v>0</v>
      </c>
      <c r="CM48" s="53">
        <f t="shared" si="35"/>
        <v>0</v>
      </c>
    </row>
    <row r="49" spans="1:91" x14ac:dyDescent="0.15">
      <c r="A49" s="41">
        <v>47</v>
      </c>
      <c r="B49" s="43">
        <f t="shared" si="38"/>
        <v>1</v>
      </c>
      <c r="C49" s="43">
        <f t="shared" si="37"/>
        <v>1</v>
      </c>
      <c r="D49" s="43">
        <f t="shared" si="37"/>
        <v>1</v>
      </c>
      <c r="E49" s="43">
        <f t="shared" si="37"/>
        <v>1</v>
      </c>
      <c r="F49" s="43">
        <f t="shared" si="37"/>
        <v>1</v>
      </c>
      <c r="G49" s="43">
        <f t="shared" si="37"/>
        <v>1</v>
      </c>
      <c r="H49" s="43">
        <f t="shared" si="37"/>
        <v>1</v>
      </c>
      <c r="I49" s="43">
        <f t="shared" si="37"/>
        <v>1</v>
      </c>
      <c r="J49" s="43">
        <f t="shared" si="37"/>
        <v>1</v>
      </c>
      <c r="K49" s="43" t="e">
        <f>K48+ATM_Conf!$C$5*(T48-AC48)</f>
        <v>#DIV/0!</v>
      </c>
      <c r="L49" s="43" t="e">
        <f>L48+ATM_Conf!$C$5*(U48-AD48)</f>
        <v>#DIV/0!</v>
      </c>
      <c r="M49" s="43" t="e">
        <f>M48+ATM_Conf!$C$5*(V48-AE48)</f>
        <v>#DIV/0!</v>
      </c>
      <c r="N49" s="43" t="e">
        <f>N48+ATM_Conf!$C$5*(W48-AF48)</f>
        <v>#DIV/0!</v>
      </c>
      <c r="O49" s="43" t="e">
        <f>O48+ATM_Conf!$C$5*(X48-AG48)</f>
        <v>#DIV/0!</v>
      </c>
      <c r="P49" s="43" t="e">
        <f>P48+ATM_Conf!$C$5*(Y48-AH48)</f>
        <v>#DIV/0!</v>
      </c>
      <c r="Q49" s="43" t="e">
        <f>Q48+ATM_Conf!$C$5*(Z48-AI48)</f>
        <v>#DIV/0!</v>
      </c>
      <c r="R49" s="43" t="e">
        <f>R48+ATM_Conf!$C$5*(AA48-AJ48)</f>
        <v>#DIV/0!</v>
      </c>
      <c r="S49" s="43" t="e">
        <f>S48+ATM_Conf!$C$5*(AB48-AK48)</f>
        <v>#DIV/0!</v>
      </c>
      <c r="T49" s="43">
        <f t="shared" si="33"/>
        <v>0</v>
      </c>
      <c r="U49" s="43">
        <f t="shared" si="33"/>
        <v>0</v>
      </c>
      <c r="V49" s="43">
        <f t="shared" si="33"/>
        <v>0</v>
      </c>
      <c r="W49" s="43">
        <f t="shared" si="33"/>
        <v>0</v>
      </c>
      <c r="X49" s="43">
        <f t="shared" si="33"/>
        <v>0</v>
      </c>
      <c r="Y49" s="43">
        <f t="shared" si="33"/>
        <v>0</v>
      </c>
      <c r="Z49" s="43">
        <f t="shared" si="33"/>
        <v>0</v>
      </c>
      <c r="AA49" s="43">
        <f t="shared" si="33"/>
        <v>0</v>
      </c>
      <c r="AB49" s="43">
        <f t="shared" si="33"/>
        <v>0</v>
      </c>
      <c r="AC49" s="43" t="e">
        <f t="shared" si="3"/>
        <v>#DIV/0!</v>
      </c>
      <c r="AD49" s="43" t="e">
        <f t="shared" si="4"/>
        <v>#DIV/0!</v>
      </c>
      <c r="AE49" s="43" t="e">
        <f t="shared" si="5"/>
        <v>#DIV/0!</v>
      </c>
      <c r="AF49" s="43" t="e">
        <f t="shared" si="6"/>
        <v>#DIV/0!</v>
      </c>
      <c r="AG49" s="43" t="e">
        <f t="shared" si="7"/>
        <v>#DIV/0!</v>
      </c>
      <c r="AH49" s="43" t="e">
        <f t="shared" si="8"/>
        <v>#DIV/0!</v>
      </c>
      <c r="AI49" s="43" t="e">
        <f t="shared" si="9"/>
        <v>#DIV/0!</v>
      </c>
      <c r="AJ49" s="43" t="e">
        <f t="shared" si="10"/>
        <v>#DIV/0!</v>
      </c>
      <c r="AK49" s="43" t="e">
        <f t="shared" si="11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34"/>
        <v>0</v>
      </c>
      <c r="BE49" s="43">
        <f t="shared" si="34"/>
        <v>0</v>
      </c>
      <c r="BF49" s="43">
        <f t="shared" si="34"/>
        <v>0</v>
      </c>
      <c r="BG49" s="43">
        <f t="shared" si="34"/>
        <v>0</v>
      </c>
      <c r="BH49" s="43">
        <f t="shared" si="34"/>
        <v>0</v>
      </c>
      <c r="BI49" s="43">
        <f t="shared" si="34"/>
        <v>0</v>
      </c>
      <c r="BJ49" s="43">
        <f t="shared" si="34"/>
        <v>0</v>
      </c>
      <c r="BK49" s="43">
        <f t="shared" si="34"/>
        <v>0</v>
      </c>
      <c r="BL49" s="43">
        <f t="shared" si="34"/>
        <v>0</v>
      </c>
      <c r="BM49" s="51"/>
      <c r="BN49" s="51"/>
      <c r="BO49" s="51"/>
      <c r="BP49" s="51"/>
      <c r="BQ49" s="51"/>
      <c r="BR49" s="51"/>
      <c r="BS49" s="51"/>
      <c r="BT49" s="51"/>
      <c r="BU49" s="51"/>
      <c r="BV49" s="51" t="e">
        <f t="shared" si="13"/>
        <v>#DIV/0!</v>
      </c>
      <c r="BW49" s="51" t="e">
        <f t="shared" si="14"/>
        <v>#DIV/0!</v>
      </c>
      <c r="BX49" s="51" t="e">
        <f t="shared" si="15"/>
        <v>#DIV/0!</v>
      </c>
      <c r="BY49" s="51" t="e">
        <f t="shared" si="16"/>
        <v>#DIV/0!</v>
      </c>
      <c r="BZ49" s="51" t="e">
        <f t="shared" si="17"/>
        <v>#DIV/0!</v>
      </c>
      <c r="CA49" s="51" t="e">
        <f t="shared" si="18"/>
        <v>#DIV/0!</v>
      </c>
      <c r="CB49" s="51" t="e">
        <f t="shared" si="19"/>
        <v>#DIV/0!</v>
      </c>
      <c r="CC49" s="51" t="e">
        <f t="shared" si="20"/>
        <v>#DIV/0!</v>
      </c>
      <c r="CD49" s="51" t="e">
        <f t="shared" si="21"/>
        <v>#DIV/0!</v>
      </c>
      <c r="CE49" s="53">
        <f t="shared" si="35"/>
        <v>0</v>
      </c>
      <c r="CF49" s="53">
        <f t="shared" si="35"/>
        <v>0</v>
      </c>
      <c r="CG49" s="53">
        <f t="shared" si="35"/>
        <v>0</v>
      </c>
      <c r="CH49" s="53">
        <f t="shared" si="35"/>
        <v>0</v>
      </c>
      <c r="CI49" s="53">
        <f t="shared" si="35"/>
        <v>0</v>
      </c>
      <c r="CJ49" s="53">
        <f t="shared" si="35"/>
        <v>0</v>
      </c>
      <c r="CK49" s="53">
        <f t="shared" si="35"/>
        <v>0</v>
      </c>
      <c r="CL49" s="53">
        <f t="shared" si="35"/>
        <v>0</v>
      </c>
      <c r="CM49" s="53">
        <f t="shared" si="35"/>
        <v>0</v>
      </c>
    </row>
    <row r="50" spans="1:91" x14ac:dyDescent="0.15">
      <c r="A50" s="41">
        <v>48</v>
      </c>
      <c r="B50" s="43">
        <f t="shared" si="38"/>
        <v>1</v>
      </c>
      <c r="C50" s="43">
        <f t="shared" si="37"/>
        <v>1</v>
      </c>
      <c r="D50" s="43">
        <f t="shared" si="37"/>
        <v>1</v>
      </c>
      <c r="E50" s="43">
        <f t="shared" si="37"/>
        <v>1</v>
      </c>
      <c r="F50" s="43">
        <f t="shared" si="37"/>
        <v>1</v>
      </c>
      <c r="G50" s="43">
        <f t="shared" si="37"/>
        <v>1</v>
      </c>
      <c r="H50" s="43">
        <f t="shared" si="37"/>
        <v>1</v>
      </c>
      <c r="I50" s="43">
        <f t="shared" si="37"/>
        <v>1</v>
      </c>
      <c r="J50" s="43">
        <f t="shared" si="37"/>
        <v>1</v>
      </c>
      <c r="K50" s="43" t="e">
        <f>K49+ATM_Conf!$C$5*(T49-AC49)</f>
        <v>#DIV/0!</v>
      </c>
      <c r="L50" s="43" t="e">
        <f>L49+ATM_Conf!$C$5*(U49-AD49)</f>
        <v>#DIV/0!</v>
      </c>
      <c r="M50" s="43" t="e">
        <f>M49+ATM_Conf!$C$5*(V49-AE49)</f>
        <v>#DIV/0!</v>
      </c>
      <c r="N50" s="43" t="e">
        <f>N49+ATM_Conf!$C$5*(W49-AF49)</f>
        <v>#DIV/0!</v>
      </c>
      <c r="O50" s="43" t="e">
        <f>O49+ATM_Conf!$C$5*(X49-AG49)</f>
        <v>#DIV/0!</v>
      </c>
      <c r="P50" s="43" t="e">
        <f>P49+ATM_Conf!$C$5*(Y49-AH49)</f>
        <v>#DIV/0!</v>
      </c>
      <c r="Q50" s="43" t="e">
        <f>Q49+ATM_Conf!$C$5*(Z49-AI49)</f>
        <v>#DIV/0!</v>
      </c>
      <c r="R50" s="43" t="e">
        <f>R49+ATM_Conf!$C$5*(AA49-AJ49)</f>
        <v>#DIV/0!</v>
      </c>
      <c r="S50" s="43" t="e">
        <f>S49+ATM_Conf!$C$5*(AB49-AK49)</f>
        <v>#DIV/0!</v>
      </c>
      <c r="T50" s="43">
        <f t="shared" si="33"/>
        <v>0</v>
      </c>
      <c r="U50" s="43">
        <f t="shared" si="33"/>
        <v>0</v>
      </c>
      <c r="V50" s="43">
        <f t="shared" si="33"/>
        <v>0</v>
      </c>
      <c r="W50" s="43">
        <f t="shared" si="33"/>
        <v>0</v>
      </c>
      <c r="X50" s="43">
        <f t="shared" si="33"/>
        <v>0</v>
      </c>
      <c r="Y50" s="43">
        <f t="shared" si="33"/>
        <v>0</v>
      </c>
      <c r="Z50" s="43">
        <f t="shared" si="33"/>
        <v>0</v>
      </c>
      <c r="AA50" s="43">
        <f t="shared" si="33"/>
        <v>0</v>
      </c>
      <c r="AB50" s="43">
        <f t="shared" si="33"/>
        <v>0</v>
      </c>
      <c r="AC50" s="43" t="e">
        <f t="shared" si="3"/>
        <v>#DIV/0!</v>
      </c>
      <c r="AD50" s="43" t="e">
        <f t="shared" si="4"/>
        <v>#DIV/0!</v>
      </c>
      <c r="AE50" s="43" t="e">
        <f t="shared" si="5"/>
        <v>#DIV/0!</v>
      </c>
      <c r="AF50" s="43" t="e">
        <f t="shared" si="6"/>
        <v>#DIV/0!</v>
      </c>
      <c r="AG50" s="43" t="e">
        <f t="shared" si="7"/>
        <v>#DIV/0!</v>
      </c>
      <c r="AH50" s="43" t="e">
        <f t="shared" si="8"/>
        <v>#DIV/0!</v>
      </c>
      <c r="AI50" s="43" t="e">
        <f t="shared" si="9"/>
        <v>#DIV/0!</v>
      </c>
      <c r="AJ50" s="43" t="e">
        <f t="shared" si="10"/>
        <v>#DIV/0!</v>
      </c>
      <c r="AK50" s="43" t="e">
        <f t="shared" si="11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34"/>
        <v>0</v>
      </c>
      <c r="BE50" s="43">
        <f t="shared" si="34"/>
        <v>0</v>
      </c>
      <c r="BF50" s="43">
        <f t="shared" si="34"/>
        <v>0</v>
      </c>
      <c r="BG50" s="43">
        <f t="shared" si="34"/>
        <v>0</v>
      </c>
      <c r="BH50" s="43">
        <f t="shared" si="34"/>
        <v>0</v>
      </c>
      <c r="BI50" s="43">
        <f t="shared" si="34"/>
        <v>0</v>
      </c>
      <c r="BJ50" s="43">
        <f t="shared" si="34"/>
        <v>0</v>
      </c>
      <c r="BK50" s="43">
        <f t="shared" si="34"/>
        <v>0</v>
      </c>
      <c r="BL50" s="43">
        <f t="shared" si="34"/>
        <v>0</v>
      </c>
      <c r="BM50" s="51"/>
      <c r="BN50" s="51"/>
      <c r="BO50" s="51"/>
      <c r="BP50" s="51"/>
      <c r="BQ50" s="51"/>
      <c r="BR50" s="51"/>
      <c r="BS50" s="51"/>
      <c r="BT50" s="51"/>
      <c r="BU50" s="51"/>
      <c r="BV50" s="51" t="e">
        <f t="shared" si="13"/>
        <v>#DIV/0!</v>
      </c>
      <c r="BW50" s="51" t="e">
        <f t="shared" si="14"/>
        <v>#DIV/0!</v>
      </c>
      <c r="BX50" s="51" t="e">
        <f t="shared" si="15"/>
        <v>#DIV/0!</v>
      </c>
      <c r="BY50" s="51" t="e">
        <f t="shared" si="16"/>
        <v>#DIV/0!</v>
      </c>
      <c r="BZ50" s="51" t="e">
        <f t="shared" si="17"/>
        <v>#DIV/0!</v>
      </c>
      <c r="CA50" s="51" t="e">
        <f t="shared" si="18"/>
        <v>#DIV/0!</v>
      </c>
      <c r="CB50" s="51" t="e">
        <f t="shared" si="19"/>
        <v>#DIV/0!</v>
      </c>
      <c r="CC50" s="51" t="e">
        <f t="shared" si="20"/>
        <v>#DIV/0!</v>
      </c>
      <c r="CD50" s="51" t="e">
        <f t="shared" si="21"/>
        <v>#DIV/0!</v>
      </c>
      <c r="CE50" s="53">
        <f t="shared" si="35"/>
        <v>0</v>
      </c>
      <c r="CF50" s="53">
        <f t="shared" si="35"/>
        <v>0</v>
      </c>
      <c r="CG50" s="53">
        <f t="shared" si="35"/>
        <v>0</v>
      </c>
      <c r="CH50" s="53">
        <f t="shared" si="35"/>
        <v>0</v>
      </c>
      <c r="CI50" s="53">
        <f t="shared" si="35"/>
        <v>0</v>
      </c>
      <c r="CJ50" s="53">
        <f t="shared" si="35"/>
        <v>0</v>
      </c>
      <c r="CK50" s="53">
        <f t="shared" si="35"/>
        <v>0</v>
      </c>
      <c r="CL50" s="53">
        <f t="shared" si="35"/>
        <v>0</v>
      </c>
      <c r="CM50" s="53">
        <f t="shared" si="35"/>
        <v>0</v>
      </c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 t="e">
        <f>K50+ATM_Conf!$C$5*(T50-AC50)</f>
        <v>#DIV/0!</v>
      </c>
      <c r="L51" s="43" t="e">
        <f>L50+ATM_Conf!$C$5*(U50-AD50)</f>
        <v>#DIV/0!</v>
      </c>
      <c r="M51" s="43" t="e">
        <f>M50+ATM_Conf!$C$5*(V50-AE50)</f>
        <v>#DIV/0!</v>
      </c>
      <c r="N51" s="43" t="e">
        <f>N50+ATM_Conf!$C$5*(W50-AF50)</f>
        <v>#DIV/0!</v>
      </c>
      <c r="O51" s="43" t="e">
        <f>O50+ATM_Conf!$C$5*(X50-AG50)</f>
        <v>#DIV/0!</v>
      </c>
      <c r="P51" s="43" t="e">
        <f>P50+ATM_Conf!$C$5*(Y50-AH50)</f>
        <v>#DIV/0!</v>
      </c>
      <c r="Q51" s="43" t="e">
        <f>Q50+ATM_Conf!$C$5*(Z50-AI50)</f>
        <v>#DIV/0!</v>
      </c>
      <c r="R51" s="43" t="e">
        <f>R50+ATM_Conf!$C$5*(AA50-AJ50)</f>
        <v>#DIV/0!</v>
      </c>
      <c r="S51" s="43" t="e">
        <f>S50+ATM_Conf!$C$5*(AB50-AK50)</f>
        <v>#DIV/0!</v>
      </c>
      <c r="T51" s="43">
        <f t="shared" si="33"/>
        <v>0</v>
      </c>
      <c r="U51" s="43">
        <f t="shared" si="33"/>
        <v>0</v>
      </c>
      <c r="V51" s="43">
        <f t="shared" si="33"/>
        <v>0</v>
      </c>
      <c r="W51" s="43">
        <f t="shared" si="33"/>
        <v>0</v>
      </c>
      <c r="X51" s="43">
        <f t="shared" si="33"/>
        <v>0</v>
      </c>
      <c r="Y51" s="43">
        <f t="shared" si="33"/>
        <v>0</v>
      </c>
      <c r="Z51" s="43">
        <f t="shared" si="33"/>
        <v>0</v>
      </c>
      <c r="AA51" s="43">
        <f t="shared" si="33"/>
        <v>0</v>
      </c>
      <c r="AB51" s="43">
        <f t="shared" si="33"/>
        <v>0</v>
      </c>
      <c r="AC51" s="43" t="e">
        <f t="shared" si="3"/>
        <v>#DIV/0!</v>
      </c>
      <c r="AD51" s="43" t="e">
        <f t="shared" si="4"/>
        <v>#DIV/0!</v>
      </c>
      <c r="AE51" s="43" t="e">
        <f t="shared" si="5"/>
        <v>#DIV/0!</v>
      </c>
      <c r="AF51" s="43" t="e">
        <f t="shared" si="6"/>
        <v>#DIV/0!</v>
      </c>
      <c r="AG51" s="43" t="e">
        <f t="shared" si="7"/>
        <v>#DIV/0!</v>
      </c>
      <c r="AH51" s="43" t="e">
        <f t="shared" si="8"/>
        <v>#DIV/0!</v>
      </c>
      <c r="AI51" s="43" t="e">
        <f t="shared" si="9"/>
        <v>#DIV/0!</v>
      </c>
      <c r="AJ51" s="43" t="e">
        <f t="shared" si="10"/>
        <v>#DIV/0!</v>
      </c>
      <c r="AK51" s="43" t="e">
        <f t="shared" si="11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34"/>
        <v>0</v>
      </c>
      <c r="BE51" s="43">
        <f t="shared" si="34"/>
        <v>0</v>
      </c>
      <c r="BF51" s="43">
        <f t="shared" si="34"/>
        <v>0</v>
      </c>
      <c r="BG51" s="43">
        <f t="shared" si="34"/>
        <v>0</v>
      </c>
      <c r="BH51" s="43">
        <f t="shared" si="34"/>
        <v>0</v>
      </c>
      <c r="BI51" s="43">
        <f t="shared" si="34"/>
        <v>0</v>
      </c>
      <c r="BJ51" s="43">
        <f t="shared" si="34"/>
        <v>0</v>
      </c>
      <c r="BK51" s="43">
        <f t="shared" si="34"/>
        <v>0</v>
      </c>
      <c r="BL51" s="43">
        <f t="shared" si="34"/>
        <v>0</v>
      </c>
      <c r="BM51" s="51">
        <f>(B51-B39)^2</f>
        <v>0</v>
      </c>
      <c r="BN51" s="51">
        <f t="shared" ref="BN51:BU51" si="39">(C51-C39)^2</f>
        <v>0</v>
      </c>
      <c r="BO51" s="51">
        <f t="shared" si="39"/>
        <v>0</v>
      </c>
      <c r="BP51" s="51">
        <f t="shared" si="39"/>
        <v>0</v>
      </c>
      <c r="BQ51" s="51">
        <f t="shared" si="39"/>
        <v>0</v>
      </c>
      <c r="BR51" s="51">
        <f t="shared" si="39"/>
        <v>0</v>
      </c>
      <c r="BS51" s="51">
        <f t="shared" si="39"/>
        <v>0</v>
      </c>
      <c r="BT51" s="51">
        <f t="shared" si="39"/>
        <v>0</v>
      </c>
      <c r="BU51" s="51">
        <f t="shared" si="39"/>
        <v>0</v>
      </c>
      <c r="BV51" s="51" t="e">
        <f t="shared" si="13"/>
        <v>#DIV/0!</v>
      </c>
      <c r="BW51" s="51" t="e">
        <f t="shared" si="14"/>
        <v>#DIV/0!</v>
      </c>
      <c r="BX51" s="51" t="e">
        <f t="shared" si="15"/>
        <v>#DIV/0!</v>
      </c>
      <c r="BY51" s="51" t="e">
        <f t="shared" si="16"/>
        <v>#DIV/0!</v>
      </c>
      <c r="BZ51" s="51" t="e">
        <f t="shared" si="17"/>
        <v>#DIV/0!</v>
      </c>
      <c r="CA51" s="51" t="e">
        <f t="shared" si="18"/>
        <v>#DIV/0!</v>
      </c>
      <c r="CB51" s="51" t="e">
        <f t="shared" si="19"/>
        <v>#DIV/0!</v>
      </c>
      <c r="CC51" s="51" t="e">
        <f t="shared" si="20"/>
        <v>#DIV/0!</v>
      </c>
      <c r="CD51" s="51" t="e">
        <f t="shared" si="21"/>
        <v>#DIV/0!</v>
      </c>
      <c r="CE51" s="53">
        <f t="shared" si="35"/>
        <v>0</v>
      </c>
      <c r="CF51" s="53">
        <f t="shared" si="35"/>
        <v>0</v>
      </c>
      <c r="CG51" s="53">
        <f t="shared" si="35"/>
        <v>0</v>
      </c>
      <c r="CH51" s="53">
        <f t="shared" si="35"/>
        <v>0</v>
      </c>
      <c r="CI51" s="53">
        <f t="shared" si="35"/>
        <v>0</v>
      </c>
      <c r="CJ51" s="53">
        <f t="shared" si="35"/>
        <v>0</v>
      </c>
      <c r="CK51" s="53">
        <f t="shared" si="35"/>
        <v>0</v>
      </c>
      <c r="CL51" s="53">
        <f t="shared" si="35"/>
        <v>0</v>
      </c>
      <c r="CM51" s="53">
        <f t="shared" si="35"/>
        <v>0</v>
      </c>
    </row>
    <row r="52" spans="1:91" x14ac:dyDescent="0.15">
      <c r="A52" s="41">
        <v>50</v>
      </c>
      <c r="B52" s="43">
        <f>B$51</f>
        <v>1</v>
      </c>
      <c r="C52" s="43">
        <f t="shared" ref="C52:J62" si="40">C$51</f>
        <v>1</v>
      </c>
      <c r="D52" s="43">
        <f t="shared" si="40"/>
        <v>1</v>
      </c>
      <c r="E52" s="43">
        <f t="shared" si="40"/>
        <v>1</v>
      </c>
      <c r="F52" s="43">
        <f t="shared" si="40"/>
        <v>1</v>
      </c>
      <c r="G52" s="43">
        <f t="shared" si="40"/>
        <v>1</v>
      </c>
      <c r="H52" s="43">
        <f t="shared" si="40"/>
        <v>1</v>
      </c>
      <c r="I52" s="43">
        <f t="shared" si="40"/>
        <v>1</v>
      </c>
      <c r="J52" s="43">
        <f t="shared" si="40"/>
        <v>1</v>
      </c>
      <c r="K52" s="43" t="e">
        <f>K51+ATM_Conf!$C$5*(T51-AC51)</f>
        <v>#DIV/0!</v>
      </c>
      <c r="L52" s="43" t="e">
        <f>L51+ATM_Conf!$C$5*(U51-AD51)</f>
        <v>#DIV/0!</v>
      </c>
      <c r="M52" s="43" t="e">
        <f>M51+ATM_Conf!$C$5*(V51-AE51)</f>
        <v>#DIV/0!</v>
      </c>
      <c r="N52" s="43" t="e">
        <f>N51+ATM_Conf!$C$5*(W51-AF51)</f>
        <v>#DIV/0!</v>
      </c>
      <c r="O52" s="43" t="e">
        <f>O51+ATM_Conf!$C$5*(X51-AG51)</f>
        <v>#DIV/0!</v>
      </c>
      <c r="P52" s="43" t="e">
        <f>P51+ATM_Conf!$C$5*(Y51-AH51)</f>
        <v>#DIV/0!</v>
      </c>
      <c r="Q52" s="43" t="e">
        <f>Q51+ATM_Conf!$C$5*(Z51-AI51)</f>
        <v>#DIV/0!</v>
      </c>
      <c r="R52" s="43" t="e">
        <f>R51+ATM_Conf!$C$5*(AA51-AJ51)</f>
        <v>#DIV/0!</v>
      </c>
      <c r="S52" s="43" t="e">
        <f>S51+ATM_Conf!$C$5*(AB51-AK51)</f>
        <v>#DIV/0!</v>
      </c>
      <c r="T52" s="43">
        <f t="shared" si="33"/>
        <v>0</v>
      </c>
      <c r="U52" s="43">
        <f t="shared" si="33"/>
        <v>0</v>
      </c>
      <c r="V52" s="43">
        <f t="shared" si="33"/>
        <v>0</v>
      </c>
      <c r="W52" s="43">
        <f t="shared" si="33"/>
        <v>0</v>
      </c>
      <c r="X52" s="43">
        <f t="shared" si="33"/>
        <v>0</v>
      </c>
      <c r="Y52" s="43">
        <f t="shared" si="33"/>
        <v>0</v>
      </c>
      <c r="Z52" s="43">
        <f t="shared" si="33"/>
        <v>0</v>
      </c>
      <c r="AA52" s="43">
        <f t="shared" si="33"/>
        <v>0</v>
      </c>
      <c r="AB52" s="43">
        <f t="shared" si="33"/>
        <v>0</v>
      </c>
      <c r="AC52" s="43" t="e">
        <f t="shared" si="3"/>
        <v>#DIV/0!</v>
      </c>
      <c r="AD52" s="43" t="e">
        <f t="shared" si="4"/>
        <v>#DIV/0!</v>
      </c>
      <c r="AE52" s="43" t="e">
        <f t="shared" si="5"/>
        <v>#DIV/0!</v>
      </c>
      <c r="AF52" s="43" t="e">
        <f t="shared" si="6"/>
        <v>#DIV/0!</v>
      </c>
      <c r="AG52" s="43" t="e">
        <f t="shared" si="7"/>
        <v>#DIV/0!</v>
      </c>
      <c r="AH52" s="43" t="e">
        <f t="shared" si="8"/>
        <v>#DIV/0!</v>
      </c>
      <c r="AI52" s="43" t="e">
        <f t="shared" si="9"/>
        <v>#DIV/0!</v>
      </c>
      <c r="AJ52" s="43" t="e">
        <f t="shared" si="10"/>
        <v>#DIV/0!</v>
      </c>
      <c r="AK52" s="43" t="e">
        <f t="shared" si="11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34"/>
        <v>0</v>
      </c>
      <c r="BE52" s="43">
        <f t="shared" si="34"/>
        <v>0</v>
      </c>
      <c r="BF52" s="43">
        <f t="shared" si="34"/>
        <v>0</v>
      </c>
      <c r="BG52" s="43">
        <f t="shared" si="34"/>
        <v>0</v>
      </c>
      <c r="BH52" s="43">
        <f t="shared" si="34"/>
        <v>0</v>
      </c>
      <c r="BI52" s="43">
        <f t="shared" si="34"/>
        <v>0</v>
      </c>
      <c r="BJ52" s="43">
        <f t="shared" si="34"/>
        <v>0</v>
      </c>
      <c r="BK52" s="43">
        <f t="shared" si="34"/>
        <v>0</v>
      </c>
      <c r="BL52" s="43">
        <f t="shared" si="34"/>
        <v>0</v>
      </c>
      <c r="BM52" s="51"/>
      <c r="BN52" s="51"/>
      <c r="BO52" s="51"/>
      <c r="BP52" s="51"/>
      <c r="BQ52" s="51"/>
      <c r="BR52" s="51"/>
      <c r="BS52" s="51"/>
      <c r="BT52" s="51"/>
      <c r="BU52" s="51"/>
      <c r="BV52" s="51" t="e">
        <f t="shared" si="13"/>
        <v>#DIV/0!</v>
      </c>
      <c r="BW52" s="51" t="e">
        <f t="shared" si="14"/>
        <v>#DIV/0!</v>
      </c>
      <c r="BX52" s="51" t="e">
        <f t="shared" si="15"/>
        <v>#DIV/0!</v>
      </c>
      <c r="BY52" s="51" t="e">
        <f t="shared" si="16"/>
        <v>#DIV/0!</v>
      </c>
      <c r="BZ52" s="51" t="e">
        <f t="shared" si="17"/>
        <v>#DIV/0!</v>
      </c>
      <c r="CA52" s="51" t="e">
        <f t="shared" si="18"/>
        <v>#DIV/0!</v>
      </c>
      <c r="CB52" s="51" t="e">
        <f t="shared" si="19"/>
        <v>#DIV/0!</v>
      </c>
      <c r="CC52" s="51" t="e">
        <f t="shared" si="20"/>
        <v>#DIV/0!</v>
      </c>
      <c r="CD52" s="51" t="e">
        <f t="shared" si="21"/>
        <v>#DIV/0!</v>
      </c>
      <c r="CE52" s="53">
        <f t="shared" si="35"/>
        <v>0</v>
      </c>
      <c r="CF52" s="53">
        <f t="shared" si="35"/>
        <v>0</v>
      </c>
      <c r="CG52" s="53">
        <f t="shared" si="35"/>
        <v>0</v>
      </c>
      <c r="CH52" s="53">
        <f t="shared" si="35"/>
        <v>0</v>
      </c>
      <c r="CI52" s="53">
        <f t="shared" si="35"/>
        <v>0</v>
      </c>
      <c r="CJ52" s="53">
        <f t="shared" si="35"/>
        <v>0</v>
      </c>
      <c r="CK52" s="53">
        <f t="shared" si="35"/>
        <v>0</v>
      </c>
      <c r="CL52" s="53">
        <f t="shared" si="35"/>
        <v>0</v>
      </c>
      <c r="CM52" s="53">
        <f t="shared" si="35"/>
        <v>0</v>
      </c>
    </row>
    <row r="53" spans="1:91" x14ac:dyDescent="0.15">
      <c r="A53" s="41">
        <v>51</v>
      </c>
      <c r="B53" s="43">
        <f t="shared" ref="B53:B62" si="41">B$51</f>
        <v>1</v>
      </c>
      <c r="C53" s="43">
        <f t="shared" si="40"/>
        <v>1</v>
      </c>
      <c r="D53" s="43">
        <f t="shared" si="40"/>
        <v>1</v>
      </c>
      <c r="E53" s="43">
        <f t="shared" si="40"/>
        <v>1</v>
      </c>
      <c r="F53" s="43">
        <f t="shared" si="40"/>
        <v>1</v>
      </c>
      <c r="G53" s="43">
        <f t="shared" si="40"/>
        <v>1</v>
      </c>
      <c r="H53" s="43">
        <f t="shared" si="40"/>
        <v>1</v>
      </c>
      <c r="I53" s="43">
        <f t="shared" si="40"/>
        <v>1</v>
      </c>
      <c r="J53" s="43">
        <f t="shared" si="40"/>
        <v>1</v>
      </c>
      <c r="K53" s="43" t="e">
        <f>K52+ATM_Conf!$C$5*(T52-AC52)</f>
        <v>#DIV/0!</v>
      </c>
      <c r="L53" s="43" t="e">
        <f>L52+ATM_Conf!$C$5*(U52-AD52)</f>
        <v>#DIV/0!</v>
      </c>
      <c r="M53" s="43" t="e">
        <f>M52+ATM_Conf!$C$5*(V52-AE52)</f>
        <v>#DIV/0!</v>
      </c>
      <c r="N53" s="43" t="e">
        <f>N52+ATM_Conf!$C$5*(W52-AF52)</f>
        <v>#DIV/0!</v>
      </c>
      <c r="O53" s="43" t="e">
        <f>O52+ATM_Conf!$C$5*(X52-AG52)</f>
        <v>#DIV/0!</v>
      </c>
      <c r="P53" s="43" t="e">
        <f>P52+ATM_Conf!$C$5*(Y52-AH52)</f>
        <v>#DIV/0!</v>
      </c>
      <c r="Q53" s="43" t="e">
        <f>Q52+ATM_Conf!$C$5*(Z52-AI52)</f>
        <v>#DIV/0!</v>
      </c>
      <c r="R53" s="43" t="e">
        <f>R52+ATM_Conf!$C$5*(AA52-AJ52)</f>
        <v>#DIV/0!</v>
      </c>
      <c r="S53" s="43" t="e">
        <f>S52+ATM_Conf!$C$5*(AB52-AK52)</f>
        <v>#DIV/0!</v>
      </c>
      <c r="T53" s="43">
        <f t="shared" si="33"/>
        <v>0</v>
      </c>
      <c r="U53" s="43">
        <f t="shared" si="33"/>
        <v>0</v>
      </c>
      <c r="V53" s="43">
        <f t="shared" si="33"/>
        <v>0</v>
      </c>
      <c r="W53" s="43">
        <f t="shared" si="33"/>
        <v>0</v>
      </c>
      <c r="X53" s="43">
        <f t="shared" si="33"/>
        <v>0</v>
      </c>
      <c r="Y53" s="43">
        <f t="shared" si="33"/>
        <v>0</v>
      </c>
      <c r="Z53" s="43">
        <f t="shared" si="33"/>
        <v>0</v>
      </c>
      <c r="AA53" s="43">
        <f t="shared" si="33"/>
        <v>0</v>
      </c>
      <c r="AB53" s="43">
        <f t="shared" si="33"/>
        <v>0</v>
      </c>
      <c r="AC53" s="43" t="e">
        <f t="shared" si="3"/>
        <v>#DIV/0!</v>
      </c>
      <c r="AD53" s="43" t="e">
        <f t="shared" si="4"/>
        <v>#DIV/0!</v>
      </c>
      <c r="AE53" s="43" t="e">
        <f t="shared" si="5"/>
        <v>#DIV/0!</v>
      </c>
      <c r="AF53" s="43" t="e">
        <f t="shared" si="6"/>
        <v>#DIV/0!</v>
      </c>
      <c r="AG53" s="43" t="e">
        <f t="shared" si="7"/>
        <v>#DIV/0!</v>
      </c>
      <c r="AH53" s="43" t="e">
        <f t="shared" si="8"/>
        <v>#DIV/0!</v>
      </c>
      <c r="AI53" s="43" t="e">
        <f t="shared" si="9"/>
        <v>#DIV/0!</v>
      </c>
      <c r="AJ53" s="43" t="e">
        <f t="shared" si="10"/>
        <v>#DIV/0!</v>
      </c>
      <c r="AK53" s="43" t="e">
        <f t="shared" si="11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34"/>
        <v>0</v>
      </c>
      <c r="BE53" s="43">
        <f t="shared" si="34"/>
        <v>0</v>
      </c>
      <c r="BF53" s="43">
        <f t="shared" si="34"/>
        <v>0</v>
      </c>
      <c r="BG53" s="43">
        <f t="shared" si="34"/>
        <v>0</v>
      </c>
      <c r="BH53" s="43">
        <f t="shared" si="34"/>
        <v>0</v>
      </c>
      <c r="BI53" s="43">
        <f t="shared" si="34"/>
        <v>0</v>
      </c>
      <c r="BJ53" s="43">
        <f t="shared" si="34"/>
        <v>0</v>
      </c>
      <c r="BK53" s="43">
        <f t="shared" si="34"/>
        <v>0</v>
      </c>
      <c r="BL53" s="43">
        <f t="shared" si="34"/>
        <v>0</v>
      </c>
      <c r="BM53" s="51"/>
      <c r="BN53" s="51"/>
      <c r="BO53" s="51"/>
      <c r="BP53" s="51"/>
      <c r="BQ53" s="51"/>
      <c r="BR53" s="51"/>
      <c r="BS53" s="51"/>
      <c r="BT53" s="51"/>
      <c r="BU53" s="51"/>
      <c r="BV53" s="51" t="e">
        <f t="shared" si="13"/>
        <v>#DIV/0!</v>
      </c>
      <c r="BW53" s="51" t="e">
        <f t="shared" si="14"/>
        <v>#DIV/0!</v>
      </c>
      <c r="BX53" s="51" t="e">
        <f t="shared" si="15"/>
        <v>#DIV/0!</v>
      </c>
      <c r="BY53" s="51" t="e">
        <f t="shared" si="16"/>
        <v>#DIV/0!</v>
      </c>
      <c r="BZ53" s="51" t="e">
        <f t="shared" si="17"/>
        <v>#DIV/0!</v>
      </c>
      <c r="CA53" s="51" t="e">
        <f t="shared" si="18"/>
        <v>#DIV/0!</v>
      </c>
      <c r="CB53" s="51" t="e">
        <f t="shared" si="19"/>
        <v>#DIV/0!</v>
      </c>
      <c r="CC53" s="51" t="e">
        <f t="shared" si="20"/>
        <v>#DIV/0!</v>
      </c>
      <c r="CD53" s="51" t="e">
        <f t="shared" si="21"/>
        <v>#DIV/0!</v>
      </c>
      <c r="CE53" s="53">
        <f t="shared" si="35"/>
        <v>0</v>
      </c>
      <c r="CF53" s="53">
        <f t="shared" si="35"/>
        <v>0</v>
      </c>
      <c r="CG53" s="53">
        <f t="shared" si="35"/>
        <v>0</v>
      </c>
      <c r="CH53" s="53">
        <f t="shared" si="35"/>
        <v>0</v>
      </c>
      <c r="CI53" s="53">
        <f t="shared" si="35"/>
        <v>0</v>
      </c>
      <c r="CJ53" s="53">
        <f t="shared" si="35"/>
        <v>0</v>
      </c>
      <c r="CK53" s="53">
        <f t="shared" si="35"/>
        <v>0</v>
      </c>
      <c r="CL53" s="53">
        <f t="shared" si="35"/>
        <v>0</v>
      </c>
      <c r="CM53" s="53">
        <f t="shared" si="35"/>
        <v>0</v>
      </c>
    </row>
    <row r="54" spans="1:91" x14ac:dyDescent="0.15">
      <c r="A54" s="41">
        <v>52</v>
      </c>
      <c r="B54" s="43">
        <f t="shared" si="41"/>
        <v>1</v>
      </c>
      <c r="C54" s="43">
        <f t="shared" si="40"/>
        <v>1</v>
      </c>
      <c r="D54" s="43">
        <f t="shared" si="40"/>
        <v>1</v>
      </c>
      <c r="E54" s="43">
        <f t="shared" si="40"/>
        <v>1</v>
      </c>
      <c r="F54" s="43">
        <f t="shared" si="40"/>
        <v>1</v>
      </c>
      <c r="G54" s="43">
        <f t="shared" si="40"/>
        <v>1</v>
      </c>
      <c r="H54" s="43">
        <f t="shared" si="40"/>
        <v>1</v>
      </c>
      <c r="I54" s="43">
        <f t="shared" si="40"/>
        <v>1</v>
      </c>
      <c r="J54" s="43">
        <f t="shared" si="40"/>
        <v>1</v>
      </c>
      <c r="K54" s="43" t="e">
        <f>K53+ATM_Conf!$C$5*(T53-AC53)</f>
        <v>#DIV/0!</v>
      </c>
      <c r="L54" s="43" t="e">
        <f>L53+ATM_Conf!$C$5*(U53-AD53)</f>
        <v>#DIV/0!</v>
      </c>
      <c r="M54" s="43" t="e">
        <f>M53+ATM_Conf!$C$5*(V53-AE53)</f>
        <v>#DIV/0!</v>
      </c>
      <c r="N54" s="43" t="e">
        <f>N53+ATM_Conf!$C$5*(W53-AF53)</f>
        <v>#DIV/0!</v>
      </c>
      <c r="O54" s="43" t="e">
        <f>O53+ATM_Conf!$C$5*(X53-AG53)</f>
        <v>#DIV/0!</v>
      </c>
      <c r="P54" s="43" t="e">
        <f>P53+ATM_Conf!$C$5*(Y53-AH53)</f>
        <v>#DIV/0!</v>
      </c>
      <c r="Q54" s="43" t="e">
        <f>Q53+ATM_Conf!$C$5*(Z53-AI53)</f>
        <v>#DIV/0!</v>
      </c>
      <c r="R54" s="43" t="e">
        <f>R53+ATM_Conf!$C$5*(AA53-AJ53)</f>
        <v>#DIV/0!</v>
      </c>
      <c r="S54" s="43" t="e">
        <f>S53+ATM_Conf!$C$5*(AB53-AK53)</f>
        <v>#DIV/0!</v>
      </c>
      <c r="T54" s="43">
        <f t="shared" si="33"/>
        <v>0</v>
      </c>
      <c r="U54" s="43">
        <f t="shared" si="33"/>
        <v>0</v>
      </c>
      <c r="V54" s="43">
        <f t="shared" si="33"/>
        <v>0</v>
      </c>
      <c r="W54" s="43">
        <f t="shared" si="33"/>
        <v>0</v>
      </c>
      <c r="X54" s="43">
        <f t="shared" si="33"/>
        <v>0</v>
      </c>
      <c r="Y54" s="43">
        <f t="shared" si="33"/>
        <v>0</v>
      </c>
      <c r="Z54" s="43">
        <f t="shared" si="33"/>
        <v>0</v>
      </c>
      <c r="AA54" s="43">
        <f t="shared" si="33"/>
        <v>0</v>
      </c>
      <c r="AB54" s="43">
        <f t="shared" si="33"/>
        <v>0</v>
      </c>
      <c r="AC54" s="43" t="e">
        <f t="shared" si="3"/>
        <v>#DIV/0!</v>
      </c>
      <c r="AD54" s="43" t="e">
        <f t="shared" si="4"/>
        <v>#DIV/0!</v>
      </c>
      <c r="AE54" s="43" t="e">
        <f t="shared" si="5"/>
        <v>#DIV/0!</v>
      </c>
      <c r="AF54" s="43" t="e">
        <f t="shared" si="6"/>
        <v>#DIV/0!</v>
      </c>
      <c r="AG54" s="43" t="e">
        <f t="shared" si="7"/>
        <v>#DIV/0!</v>
      </c>
      <c r="AH54" s="43" t="e">
        <f t="shared" si="8"/>
        <v>#DIV/0!</v>
      </c>
      <c r="AI54" s="43" t="e">
        <f t="shared" si="9"/>
        <v>#DIV/0!</v>
      </c>
      <c r="AJ54" s="43" t="e">
        <f t="shared" si="10"/>
        <v>#DIV/0!</v>
      </c>
      <c r="AK54" s="43" t="e">
        <f t="shared" si="11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34"/>
        <v>0</v>
      </c>
      <c r="BE54" s="43">
        <f t="shared" si="34"/>
        <v>0</v>
      </c>
      <c r="BF54" s="43">
        <f t="shared" si="34"/>
        <v>0</v>
      </c>
      <c r="BG54" s="43">
        <f t="shared" si="34"/>
        <v>0</v>
      </c>
      <c r="BH54" s="43">
        <f t="shared" si="34"/>
        <v>0</v>
      </c>
      <c r="BI54" s="43">
        <f t="shared" si="34"/>
        <v>0</v>
      </c>
      <c r="BJ54" s="43">
        <f t="shared" si="34"/>
        <v>0</v>
      </c>
      <c r="BK54" s="43">
        <f t="shared" si="34"/>
        <v>0</v>
      </c>
      <c r="BL54" s="43">
        <f t="shared" si="34"/>
        <v>0</v>
      </c>
      <c r="BM54" s="51"/>
      <c r="BN54" s="51"/>
      <c r="BO54" s="51"/>
      <c r="BP54" s="51"/>
      <c r="BQ54" s="51"/>
      <c r="BR54" s="51"/>
      <c r="BS54" s="51"/>
      <c r="BT54" s="51"/>
      <c r="BU54" s="51"/>
      <c r="BV54" s="51" t="e">
        <f t="shared" si="13"/>
        <v>#DIV/0!</v>
      </c>
      <c r="BW54" s="51" t="e">
        <f t="shared" si="14"/>
        <v>#DIV/0!</v>
      </c>
      <c r="BX54" s="51" t="e">
        <f t="shared" si="15"/>
        <v>#DIV/0!</v>
      </c>
      <c r="BY54" s="51" t="e">
        <f t="shared" si="16"/>
        <v>#DIV/0!</v>
      </c>
      <c r="BZ54" s="51" t="e">
        <f t="shared" si="17"/>
        <v>#DIV/0!</v>
      </c>
      <c r="CA54" s="51" t="e">
        <f t="shared" si="18"/>
        <v>#DIV/0!</v>
      </c>
      <c r="CB54" s="51" t="e">
        <f t="shared" si="19"/>
        <v>#DIV/0!</v>
      </c>
      <c r="CC54" s="51" t="e">
        <f t="shared" si="20"/>
        <v>#DIV/0!</v>
      </c>
      <c r="CD54" s="51" t="e">
        <f t="shared" si="21"/>
        <v>#DIV/0!</v>
      </c>
      <c r="CE54" s="53">
        <f t="shared" si="35"/>
        <v>0</v>
      </c>
      <c r="CF54" s="53">
        <f t="shared" si="35"/>
        <v>0</v>
      </c>
      <c r="CG54" s="53">
        <f t="shared" si="35"/>
        <v>0</v>
      </c>
      <c r="CH54" s="53">
        <f t="shared" si="35"/>
        <v>0</v>
      </c>
      <c r="CI54" s="53">
        <f t="shared" si="35"/>
        <v>0</v>
      </c>
      <c r="CJ54" s="53">
        <f t="shared" si="35"/>
        <v>0</v>
      </c>
      <c r="CK54" s="53">
        <f t="shared" si="35"/>
        <v>0</v>
      </c>
      <c r="CL54" s="53">
        <f t="shared" si="35"/>
        <v>0</v>
      </c>
      <c r="CM54" s="53">
        <f t="shared" si="35"/>
        <v>0</v>
      </c>
    </row>
    <row r="55" spans="1:91" x14ac:dyDescent="0.15">
      <c r="A55" s="41">
        <v>53</v>
      </c>
      <c r="B55" s="43">
        <f t="shared" si="41"/>
        <v>1</v>
      </c>
      <c r="C55" s="43">
        <f t="shared" si="40"/>
        <v>1</v>
      </c>
      <c r="D55" s="43">
        <f t="shared" si="40"/>
        <v>1</v>
      </c>
      <c r="E55" s="43">
        <f t="shared" si="40"/>
        <v>1</v>
      </c>
      <c r="F55" s="43">
        <f t="shared" si="40"/>
        <v>1</v>
      </c>
      <c r="G55" s="43">
        <f t="shared" si="40"/>
        <v>1</v>
      </c>
      <c r="H55" s="43">
        <f t="shared" si="40"/>
        <v>1</v>
      </c>
      <c r="I55" s="43">
        <f t="shared" si="40"/>
        <v>1</v>
      </c>
      <c r="J55" s="43">
        <f t="shared" si="40"/>
        <v>1</v>
      </c>
      <c r="K55" s="43" t="e">
        <f>K54+ATM_Conf!$C$5*(T54-AC54)</f>
        <v>#DIV/0!</v>
      </c>
      <c r="L55" s="43" t="e">
        <f>L54+ATM_Conf!$C$5*(U54-AD54)</f>
        <v>#DIV/0!</v>
      </c>
      <c r="M55" s="43" t="e">
        <f>M54+ATM_Conf!$C$5*(V54-AE54)</f>
        <v>#DIV/0!</v>
      </c>
      <c r="N55" s="43" t="e">
        <f>N54+ATM_Conf!$C$5*(W54-AF54)</f>
        <v>#DIV/0!</v>
      </c>
      <c r="O55" s="43" t="e">
        <f>O54+ATM_Conf!$C$5*(X54-AG54)</f>
        <v>#DIV/0!</v>
      </c>
      <c r="P55" s="43" t="e">
        <f>P54+ATM_Conf!$C$5*(Y54-AH54)</f>
        <v>#DIV/0!</v>
      </c>
      <c r="Q55" s="43" t="e">
        <f>Q54+ATM_Conf!$C$5*(Z54-AI54)</f>
        <v>#DIV/0!</v>
      </c>
      <c r="R55" s="43" t="e">
        <f>R54+ATM_Conf!$C$5*(AA54-AJ54)</f>
        <v>#DIV/0!</v>
      </c>
      <c r="S55" s="43" t="e">
        <f>S54+ATM_Conf!$C$5*(AB54-AK54)</f>
        <v>#DIV/0!</v>
      </c>
      <c r="T55" s="43">
        <f t="shared" si="33"/>
        <v>0</v>
      </c>
      <c r="U55" s="43">
        <f t="shared" si="33"/>
        <v>0</v>
      </c>
      <c r="V55" s="43">
        <f t="shared" si="33"/>
        <v>0</v>
      </c>
      <c r="W55" s="43">
        <f t="shared" si="33"/>
        <v>0</v>
      </c>
      <c r="X55" s="43">
        <f t="shared" si="33"/>
        <v>0</v>
      </c>
      <c r="Y55" s="43">
        <f t="shared" si="33"/>
        <v>0</v>
      </c>
      <c r="Z55" s="43">
        <f t="shared" si="33"/>
        <v>0</v>
      </c>
      <c r="AA55" s="43">
        <f t="shared" si="33"/>
        <v>0</v>
      </c>
      <c r="AB55" s="43">
        <f t="shared" si="33"/>
        <v>0</v>
      </c>
      <c r="AC55" s="43" t="e">
        <f t="shared" si="3"/>
        <v>#DIV/0!</v>
      </c>
      <c r="AD55" s="43" t="e">
        <f t="shared" si="4"/>
        <v>#DIV/0!</v>
      </c>
      <c r="AE55" s="43" t="e">
        <f t="shared" si="5"/>
        <v>#DIV/0!</v>
      </c>
      <c r="AF55" s="43" t="e">
        <f t="shared" si="6"/>
        <v>#DIV/0!</v>
      </c>
      <c r="AG55" s="43" t="e">
        <f t="shared" si="7"/>
        <v>#DIV/0!</v>
      </c>
      <c r="AH55" s="43" t="e">
        <f t="shared" si="8"/>
        <v>#DIV/0!</v>
      </c>
      <c r="AI55" s="43" t="e">
        <f t="shared" si="9"/>
        <v>#DIV/0!</v>
      </c>
      <c r="AJ55" s="43" t="e">
        <f t="shared" si="10"/>
        <v>#DIV/0!</v>
      </c>
      <c r="AK55" s="43" t="e">
        <f t="shared" si="11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34"/>
        <v>0</v>
      </c>
      <c r="BE55" s="43">
        <f t="shared" si="34"/>
        <v>0</v>
      </c>
      <c r="BF55" s="43">
        <f t="shared" si="34"/>
        <v>0</v>
      </c>
      <c r="BG55" s="43">
        <f t="shared" si="34"/>
        <v>0</v>
      </c>
      <c r="BH55" s="43">
        <f t="shared" si="34"/>
        <v>0</v>
      </c>
      <c r="BI55" s="43">
        <f t="shared" si="34"/>
        <v>0</v>
      </c>
      <c r="BJ55" s="43">
        <f t="shared" si="34"/>
        <v>0</v>
      </c>
      <c r="BK55" s="43">
        <f t="shared" si="34"/>
        <v>0</v>
      </c>
      <c r="BL55" s="43">
        <f t="shared" si="34"/>
        <v>0</v>
      </c>
      <c r="BM55" s="51"/>
      <c r="BN55" s="51"/>
      <c r="BO55" s="51"/>
      <c r="BP55" s="51"/>
      <c r="BQ55" s="51"/>
      <c r="BR55" s="51"/>
      <c r="BS55" s="51"/>
      <c r="BT55" s="51"/>
      <c r="BU55" s="51"/>
      <c r="BV55" s="51" t="e">
        <f t="shared" si="13"/>
        <v>#DIV/0!</v>
      </c>
      <c r="BW55" s="51" t="e">
        <f t="shared" si="14"/>
        <v>#DIV/0!</v>
      </c>
      <c r="BX55" s="51" t="e">
        <f t="shared" si="15"/>
        <v>#DIV/0!</v>
      </c>
      <c r="BY55" s="51" t="e">
        <f t="shared" si="16"/>
        <v>#DIV/0!</v>
      </c>
      <c r="BZ55" s="51" t="e">
        <f t="shared" si="17"/>
        <v>#DIV/0!</v>
      </c>
      <c r="CA55" s="51" t="e">
        <f t="shared" si="18"/>
        <v>#DIV/0!</v>
      </c>
      <c r="CB55" s="51" t="e">
        <f t="shared" si="19"/>
        <v>#DIV/0!</v>
      </c>
      <c r="CC55" s="51" t="e">
        <f t="shared" si="20"/>
        <v>#DIV/0!</v>
      </c>
      <c r="CD55" s="51" t="e">
        <f t="shared" si="21"/>
        <v>#DIV/0!</v>
      </c>
      <c r="CE55" s="53">
        <f t="shared" si="35"/>
        <v>0</v>
      </c>
      <c r="CF55" s="53">
        <f t="shared" si="35"/>
        <v>0</v>
      </c>
      <c r="CG55" s="53">
        <f t="shared" si="35"/>
        <v>0</v>
      </c>
      <c r="CH55" s="53">
        <f t="shared" si="35"/>
        <v>0</v>
      </c>
      <c r="CI55" s="53">
        <f t="shared" si="35"/>
        <v>0</v>
      </c>
      <c r="CJ55" s="53">
        <f t="shared" si="35"/>
        <v>0</v>
      </c>
      <c r="CK55" s="53">
        <f t="shared" si="35"/>
        <v>0</v>
      </c>
      <c r="CL55" s="53">
        <f t="shared" si="35"/>
        <v>0</v>
      </c>
      <c r="CM55" s="53">
        <f t="shared" si="35"/>
        <v>0</v>
      </c>
    </row>
    <row r="56" spans="1:91" x14ac:dyDescent="0.15">
      <c r="A56" s="41">
        <v>54</v>
      </c>
      <c r="B56" s="43">
        <f t="shared" si="41"/>
        <v>1</v>
      </c>
      <c r="C56" s="43">
        <f t="shared" si="40"/>
        <v>1</v>
      </c>
      <c r="D56" s="43">
        <f t="shared" si="40"/>
        <v>1</v>
      </c>
      <c r="E56" s="43">
        <f t="shared" si="40"/>
        <v>1</v>
      </c>
      <c r="F56" s="43">
        <f t="shared" si="40"/>
        <v>1</v>
      </c>
      <c r="G56" s="43">
        <f t="shared" si="40"/>
        <v>1</v>
      </c>
      <c r="H56" s="43">
        <f t="shared" si="40"/>
        <v>1</v>
      </c>
      <c r="I56" s="43">
        <f t="shared" si="40"/>
        <v>1</v>
      </c>
      <c r="J56" s="43">
        <f t="shared" si="40"/>
        <v>1</v>
      </c>
      <c r="K56" s="43" t="e">
        <f>K55+ATM_Conf!$C$5*(T55-AC55)</f>
        <v>#DIV/0!</v>
      </c>
      <c r="L56" s="43" t="e">
        <f>L55+ATM_Conf!$C$5*(U55-AD55)</f>
        <v>#DIV/0!</v>
      </c>
      <c r="M56" s="43" t="e">
        <f>M55+ATM_Conf!$C$5*(V55-AE55)</f>
        <v>#DIV/0!</v>
      </c>
      <c r="N56" s="43" t="e">
        <f>N55+ATM_Conf!$C$5*(W55-AF55)</f>
        <v>#DIV/0!</v>
      </c>
      <c r="O56" s="43" t="e">
        <f>O55+ATM_Conf!$C$5*(X55-AG55)</f>
        <v>#DIV/0!</v>
      </c>
      <c r="P56" s="43" t="e">
        <f>P55+ATM_Conf!$C$5*(Y55-AH55)</f>
        <v>#DIV/0!</v>
      </c>
      <c r="Q56" s="43" t="e">
        <f>Q55+ATM_Conf!$C$5*(Z55-AI55)</f>
        <v>#DIV/0!</v>
      </c>
      <c r="R56" s="43" t="e">
        <f>R55+ATM_Conf!$C$5*(AA55-AJ55)</f>
        <v>#DIV/0!</v>
      </c>
      <c r="S56" s="43" t="e">
        <f>S55+ATM_Conf!$C$5*(AB55-AK55)</f>
        <v>#DIV/0!</v>
      </c>
      <c r="T56" s="43">
        <f t="shared" si="33"/>
        <v>0</v>
      </c>
      <c r="U56" s="43">
        <f t="shared" si="33"/>
        <v>0</v>
      </c>
      <c r="V56" s="43">
        <f t="shared" si="33"/>
        <v>0</v>
      </c>
      <c r="W56" s="43">
        <f t="shared" si="33"/>
        <v>0</v>
      </c>
      <c r="X56" s="43">
        <f t="shared" si="33"/>
        <v>0</v>
      </c>
      <c r="Y56" s="43">
        <f t="shared" si="33"/>
        <v>0</v>
      </c>
      <c r="Z56" s="43">
        <f t="shared" si="33"/>
        <v>0</v>
      </c>
      <c r="AA56" s="43">
        <f t="shared" si="33"/>
        <v>0</v>
      </c>
      <c r="AB56" s="43">
        <f t="shared" si="33"/>
        <v>0</v>
      </c>
      <c r="AC56" s="43" t="e">
        <f t="shared" si="3"/>
        <v>#DIV/0!</v>
      </c>
      <c r="AD56" s="43" t="e">
        <f t="shared" si="4"/>
        <v>#DIV/0!</v>
      </c>
      <c r="AE56" s="43" t="e">
        <f t="shared" si="5"/>
        <v>#DIV/0!</v>
      </c>
      <c r="AF56" s="43" t="e">
        <f t="shared" si="6"/>
        <v>#DIV/0!</v>
      </c>
      <c r="AG56" s="43" t="e">
        <f t="shared" si="7"/>
        <v>#DIV/0!</v>
      </c>
      <c r="AH56" s="43" t="e">
        <f t="shared" si="8"/>
        <v>#DIV/0!</v>
      </c>
      <c r="AI56" s="43" t="e">
        <f t="shared" si="9"/>
        <v>#DIV/0!</v>
      </c>
      <c r="AJ56" s="43" t="e">
        <f t="shared" si="10"/>
        <v>#DIV/0!</v>
      </c>
      <c r="AK56" s="43" t="e">
        <f t="shared" si="11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34"/>
        <v>0</v>
      </c>
      <c r="BE56" s="43">
        <f t="shared" si="34"/>
        <v>0</v>
      </c>
      <c r="BF56" s="43">
        <f t="shared" si="34"/>
        <v>0</v>
      </c>
      <c r="BG56" s="43">
        <f t="shared" si="34"/>
        <v>0</v>
      </c>
      <c r="BH56" s="43">
        <f t="shared" si="34"/>
        <v>0</v>
      </c>
      <c r="BI56" s="43">
        <f t="shared" si="34"/>
        <v>0</v>
      </c>
      <c r="BJ56" s="43">
        <f t="shared" si="34"/>
        <v>0</v>
      </c>
      <c r="BK56" s="43">
        <f t="shared" si="34"/>
        <v>0</v>
      </c>
      <c r="BL56" s="43">
        <f t="shared" si="34"/>
        <v>0</v>
      </c>
      <c r="BM56" s="51"/>
      <c r="BN56" s="51"/>
      <c r="BO56" s="51"/>
      <c r="BP56" s="51"/>
      <c r="BQ56" s="51"/>
      <c r="BR56" s="51"/>
      <c r="BS56" s="51"/>
      <c r="BT56" s="51"/>
      <c r="BU56" s="51"/>
      <c r="BV56" s="51" t="e">
        <f t="shared" si="13"/>
        <v>#DIV/0!</v>
      </c>
      <c r="BW56" s="51" t="e">
        <f t="shared" si="14"/>
        <v>#DIV/0!</v>
      </c>
      <c r="BX56" s="51" t="e">
        <f t="shared" si="15"/>
        <v>#DIV/0!</v>
      </c>
      <c r="BY56" s="51" t="e">
        <f t="shared" si="16"/>
        <v>#DIV/0!</v>
      </c>
      <c r="BZ56" s="51" t="e">
        <f t="shared" si="17"/>
        <v>#DIV/0!</v>
      </c>
      <c r="CA56" s="51" t="e">
        <f t="shared" si="18"/>
        <v>#DIV/0!</v>
      </c>
      <c r="CB56" s="51" t="e">
        <f t="shared" si="19"/>
        <v>#DIV/0!</v>
      </c>
      <c r="CC56" s="51" t="e">
        <f t="shared" si="20"/>
        <v>#DIV/0!</v>
      </c>
      <c r="CD56" s="51" t="e">
        <f t="shared" si="21"/>
        <v>#DIV/0!</v>
      </c>
      <c r="CE56" s="53">
        <f t="shared" si="35"/>
        <v>0</v>
      </c>
      <c r="CF56" s="53">
        <f t="shared" si="35"/>
        <v>0</v>
      </c>
      <c r="CG56" s="53">
        <f t="shared" si="35"/>
        <v>0</v>
      </c>
      <c r="CH56" s="53">
        <f t="shared" si="35"/>
        <v>0</v>
      </c>
      <c r="CI56" s="53">
        <f t="shared" si="35"/>
        <v>0</v>
      </c>
      <c r="CJ56" s="53">
        <f t="shared" si="35"/>
        <v>0</v>
      </c>
      <c r="CK56" s="53">
        <f t="shared" si="35"/>
        <v>0</v>
      </c>
      <c r="CL56" s="53">
        <f t="shared" si="35"/>
        <v>0</v>
      </c>
      <c r="CM56" s="53">
        <f t="shared" si="35"/>
        <v>0</v>
      </c>
    </row>
    <row r="57" spans="1:91" x14ac:dyDescent="0.15">
      <c r="A57" s="41">
        <v>55</v>
      </c>
      <c r="B57" s="43">
        <f t="shared" si="41"/>
        <v>1</v>
      </c>
      <c r="C57" s="43">
        <f t="shared" si="40"/>
        <v>1</v>
      </c>
      <c r="D57" s="43">
        <f t="shared" si="40"/>
        <v>1</v>
      </c>
      <c r="E57" s="43">
        <f t="shared" si="40"/>
        <v>1</v>
      </c>
      <c r="F57" s="43">
        <f t="shared" si="40"/>
        <v>1</v>
      </c>
      <c r="G57" s="43">
        <f t="shared" si="40"/>
        <v>1</v>
      </c>
      <c r="H57" s="43">
        <f t="shared" si="40"/>
        <v>1</v>
      </c>
      <c r="I57" s="43">
        <f t="shared" si="40"/>
        <v>1</v>
      </c>
      <c r="J57" s="43">
        <f t="shared" si="40"/>
        <v>1</v>
      </c>
      <c r="K57" s="43" t="e">
        <f>K56+ATM_Conf!$C$5*(T56-AC56)</f>
        <v>#DIV/0!</v>
      </c>
      <c r="L57" s="43" t="e">
        <f>L56+ATM_Conf!$C$5*(U56-AD56)</f>
        <v>#DIV/0!</v>
      </c>
      <c r="M57" s="43" t="e">
        <f>M56+ATM_Conf!$C$5*(V56-AE56)</f>
        <v>#DIV/0!</v>
      </c>
      <c r="N57" s="43" t="e">
        <f>N56+ATM_Conf!$C$5*(W56-AF56)</f>
        <v>#DIV/0!</v>
      </c>
      <c r="O57" s="43" t="e">
        <f>O56+ATM_Conf!$C$5*(X56-AG56)</f>
        <v>#DIV/0!</v>
      </c>
      <c r="P57" s="43" t="e">
        <f>P56+ATM_Conf!$C$5*(Y56-AH56)</f>
        <v>#DIV/0!</v>
      </c>
      <c r="Q57" s="43" t="e">
        <f>Q56+ATM_Conf!$C$5*(Z56-AI56)</f>
        <v>#DIV/0!</v>
      </c>
      <c r="R57" s="43" t="e">
        <f>R56+ATM_Conf!$C$5*(AA56-AJ56)</f>
        <v>#DIV/0!</v>
      </c>
      <c r="S57" s="43" t="e">
        <f>S56+ATM_Conf!$C$5*(AB56-AK56)</f>
        <v>#DIV/0!</v>
      </c>
      <c r="T57" s="43">
        <f t="shared" si="33"/>
        <v>0</v>
      </c>
      <c r="U57" s="43">
        <f t="shared" si="33"/>
        <v>0</v>
      </c>
      <c r="V57" s="43">
        <f t="shared" si="33"/>
        <v>0</v>
      </c>
      <c r="W57" s="43">
        <f t="shared" si="33"/>
        <v>0</v>
      </c>
      <c r="X57" s="43">
        <f t="shared" si="33"/>
        <v>0</v>
      </c>
      <c r="Y57" s="43">
        <f t="shared" si="33"/>
        <v>0</v>
      </c>
      <c r="Z57" s="43">
        <f t="shared" si="33"/>
        <v>0</v>
      </c>
      <c r="AA57" s="43">
        <f t="shared" si="33"/>
        <v>0</v>
      </c>
      <c r="AB57" s="43">
        <f t="shared" si="33"/>
        <v>0</v>
      </c>
      <c r="AC57" s="43" t="e">
        <f t="shared" si="3"/>
        <v>#DIV/0!</v>
      </c>
      <c r="AD57" s="43" t="e">
        <f t="shared" si="4"/>
        <v>#DIV/0!</v>
      </c>
      <c r="AE57" s="43" t="e">
        <f t="shared" si="5"/>
        <v>#DIV/0!</v>
      </c>
      <c r="AF57" s="43" t="e">
        <f t="shared" si="6"/>
        <v>#DIV/0!</v>
      </c>
      <c r="AG57" s="43" t="e">
        <f t="shared" si="7"/>
        <v>#DIV/0!</v>
      </c>
      <c r="AH57" s="43" t="e">
        <f t="shared" si="8"/>
        <v>#DIV/0!</v>
      </c>
      <c r="AI57" s="43" t="e">
        <f t="shared" si="9"/>
        <v>#DIV/0!</v>
      </c>
      <c r="AJ57" s="43" t="e">
        <f t="shared" si="10"/>
        <v>#DIV/0!</v>
      </c>
      <c r="AK57" s="43" t="e">
        <f t="shared" si="11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34"/>
        <v>0</v>
      </c>
      <c r="BE57" s="43">
        <f t="shared" si="34"/>
        <v>0</v>
      </c>
      <c r="BF57" s="43">
        <f t="shared" si="34"/>
        <v>0</v>
      </c>
      <c r="BG57" s="43">
        <f t="shared" si="34"/>
        <v>0</v>
      </c>
      <c r="BH57" s="43">
        <f t="shared" si="34"/>
        <v>0</v>
      </c>
      <c r="BI57" s="43">
        <f t="shared" si="34"/>
        <v>0</v>
      </c>
      <c r="BJ57" s="43">
        <f t="shared" si="34"/>
        <v>0</v>
      </c>
      <c r="BK57" s="43">
        <f t="shared" si="34"/>
        <v>0</v>
      </c>
      <c r="BL57" s="43">
        <f t="shared" si="34"/>
        <v>0</v>
      </c>
      <c r="BM57" s="51"/>
      <c r="BN57" s="51"/>
      <c r="BO57" s="51"/>
      <c r="BP57" s="51"/>
      <c r="BQ57" s="51"/>
      <c r="BR57" s="51"/>
      <c r="BS57" s="51"/>
      <c r="BT57" s="51"/>
      <c r="BU57" s="51"/>
      <c r="BV57" s="51" t="e">
        <f t="shared" si="13"/>
        <v>#DIV/0!</v>
      </c>
      <c r="BW57" s="51" t="e">
        <f t="shared" si="14"/>
        <v>#DIV/0!</v>
      </c>
      <c r="BX57" s="51" t="e">
        <f t="shared" si="15"/>
        <v>#DIV/0!</v>
      </c>
      <c r="BY57" s="51" t="e">
        <f t="shared" si="16"/>
        <v>#DIV/0!</v>
      </c>
      <c r="BZ57" s="51" t="e">
        <f t="shared" si="17"/>
        <v>#DIV/0!</v>
      </c>
      <c r="CA57" s="51" t="e">
        <f t="shared" si="18"/>
        <v>#DIV/0!</v>
      </c>
      <c r="CB57" s="51" t="e">
        <f t="shared" si="19"/>
        <v>#DIV/0!</v>
      </c>
      <c r="CC57" s="51" t="e">
        <f t="shared" si="20"/>
        <v>#DIV/0!</v>
      </c>
      <c r="CD57" s="51" t="e">
        <f t="shared" si="21"/>
        <v>#DIV/0!</v>
      </c>
      <c r="CE57" s="53">
        <f t="shared" si="35"/>
        <v>0</v>
      </c>
      <c r="CF57" s="53">
        <f t="shared" si="35"/>
        <v>0</v>
      </c>
      <c r="CG57" s="53">
        <f t="shared" si="35"/>
        <v>0</v>
      </c>
      <c r="CH57" s="53">
        <f t="shared" si="35"/>
        <v>0</v>
      </c>
      <c r="CI57" s="53">
        <f t="shared" si="35"/>
        <v>0</v>
      </c>
      <c r="CJ57" s="53">
        <f t="shared" si="35"/>
        <v>0</v>
      </c>
      <c r="CK57" s="53">
        <f t="shared" si="35"/>
        <v>0</v>
      </c>
      <c r="CL57" s="53">
        <f t="shared" si="35"/>
        <v>0</v>
      </c>
      <c r="CM57" s="53">
        <f t="shared" si="35"/>
        <v>0</v>
      </c>
    </row>
    <row r="58" spans="1:91" x14ac:dyDescent="0.15">
      <c r="A58" s="41">
        <v>56</v>
      </c>
      <c r="B58" s="43">
        <f t="shared" si="41"/>
        <v>1</v>
      </c>
      <c r="C58" s="43">
        <f t="shared" si="40"/>
        <v>1</v>
      </c>
      <c r="D58" s="43">
        <f t="shared" si="40"/>
        <v>1</v>
      </c>
      <c r="E58" s="43">
        <f t="shared" si="40"/>
        <v>1</v>
      </c>
      <c r="F58" s="43">
        <f t="shared" si="40"/>
        <v>1</v>
      </c>
      <c r="G58" s="43">
        <f t="shared" si="40"/>
        <v>1</v>
      </c>
      <c r="H58" s="43">
        <f t="shared" si="40"/>
        <v>1</v>
      </c>
      <c r="I58" s="43">
        <f t="shared" si="40"/>
        <v>1</v>
      </c>
      <c r="J58" s="43">
        <f t="shared" si="40"/>
        <v>1</v>
      </c>
      <c r="K58" s="43" t="e">
        <f>K57+ATM_Conf!$C$5*(T57-AC57)</f>
        <v>#DIV/0!</v>
      </c>
      <c r="L58" s="43" t="e">
        <f>L57+ATM_Conf!$C$5*(U57-AD57)</f>
        <v>#DIV/0!</v>
      </c>
      <c r="M58" s="43" t="e">
        <f>M57+ATM_Conf!$C$5*(V57-AE57)</f>
        <v>#DIV/0!</v>
      </c>
      <c r="N58" s="43" t="e">
        <f>N57+ATM_Conf!$C$5*(W57-AF57)</f>
        <v>#DIV/0!</v>
      </c>
      <c r="O58" s="43" t="e">
        <f>O57+ATM_Conf!$C$5*(X57-AG57)</f>
        <v>#DIV/0!</v>
      </c>
      <c r="P58" s="43" t="e">
        <f>P57+ATM_Conf!$C$5*(Y57-AH57)</f>
        <v>#DIV/0!</v>
      </c>
      <c r="Q58" s="43" t="e">
        <f>Q57+ATM_Conf!$C$5*(Z57-AI57)</f>
        <v>#DIV/0!</v>
      </c>
      <c r="R58" s="43" t="e">
        <f>R57+ATM_Conf!$C$5*(AA57-AJ57)</f>
        <v>#DIV/0!</v>
      </c>
      <c r="S58" s="43" t="e">
        <f>S57+ATM_Conf!$C$5*(AB57-AK57)</f>
        <v>#DIV/0!</v>
      </c>
      <c r="T58" s="43">
        <f t="shared" si="33"/>
        <v>0</v>
      </c>
      <c r="U58" s="43">
        <f t="shared" si="33"/>
        <v>0</v>
      </c>
      <c r="V58" s="43">
        <f t="shared" si="33"/>
        <v>0</v>
      </c>
      <c r="W58" s="43">
        <f t="shared" si="33"/>
        <v>0</v>
      </c>
      <c r="X58" s="43">
        <f t="shared" si="33"/>
        <v>0</v>
      </c>
      <c r="Y58" s="43">
        <f t="shared" si="33"/>
        <v>0</v>
      </c>
      <c r="Z58" s="43">
        <f t="shared" si="33"/>
        <v>0</v>
      </c>
      <c r="AA58" s="43">
        <f t="shared" si="33"/>
        <v>0</v>
      </c>
      <c r="AB58" s="43">
        <f t="shared" si="33"/>
        <v>0</v>
      </c>
      <c r="AC58" s="43" t="e">
        <f t="shared" si="3"/>
        <v>#DIV/0!</v>
      </c>
      <c r="AD58" s="43" t="e">
        <f t="shared" si="4"/>
        <v>#DIV/0!</v>
      </c>
      <c r="AE58" s="43" t="e">
        <f t="shared" si="5"/>
        <v>#DIV/0!</v>
      </c>
      <c r="AF58" s="43" t="e">
        <f t="shared" si="6"/>
        <v>#DIV/0!</v>
      </c>
      <c r="AG58" s="43" t="e">
        <f t="shared" si="7"/>
        <v>#DIV/0!</v>
      </c>
      <c r="AH58" s="43" t="e">
        <f t="shared" si="8"/>
        <v>#DIV/0!</v>
      </c>
      <c r="AI58" s="43" t="e">
        <f t="shared" si="9"/>
        <v>#DIV/0!</v>
      </c>
      <c r="AJ58" s="43" t="e">
        <f t="shared" si="10"/>
        <v>#DIV/0!</v>
      </c>
      <c r="AK58" s="43" t="e">
        <f t="shared" si="11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34"/>
        <v>0</v>
      </c>
      <c r="BE58" s="43">
        <f t="shared" si="34"/>
        <v>0</v>
      </c>
      <c r="BF58" s="43">
        <f t="shared" si="34"/>
        <v>0</v>
      </c>
      <c r="BG58" s="43">
        <f t="shared" si="34"/>
        <v>0</v>
      </c>
      <c r="BH58" s="43">
        <f t="shared" si="34"/>
        <v>0</v>
      </c>
      <c r="BI58" s="43">
        <f t="shared" si="34"/>
        <v>0</v>
      </c>
      <c r="BJ58" s="43">
        <f t="shared" si="34"/>
        <v>0</v>
      </c>
      <c r="BK58" s="43">
        <f t="shared" si="34"/>
        <v>0</v>
      </c>
      <c r="BL58" s="43">
        <f t="shared" si="34"/>
        <v>0</v>
      </c>
      <c r="BM58" s="51"/>
      <c r="BN58" s="51"/>
      <c r="BO58" s="51"/>
      <c r="BP58" s="51"/>
      <c r="BQ58" s="51"/>
      <c r="BR58" s="51"/>
      <c r="BS58" s="51"/>
      <c r="BT58" s="51"/>
      <c r="BU58" s="51"/>
      <c r="BV58" s="51" t="e">
        <f t="shared" si="13"/>
        <v>#DIV/0!</v>
      </c>
      <c r="BW58" s="51" t="e">
        <f t="shared" si="14"/>
        <v>#DIV/0!</v>
      </c>
      <c r="BX58" s="51" t="e">
        <f t="shared" si="15"/>
        <v>#DIV/0!</v>
      </c>
      <c r="BY58" s="51" t="e">
        <f t="shared" si="16"/>
        <v>#DIV/0!</v>
      </c>
      <c r="BZ58" s="51" t="e">
        <f t="shared" si="17"/>
        <v>#DIV/0!</v>
      </c>
      <c r="CA58" s="51" t="e">
        <f t="shared" si="18"/>
        <v>#DIV/0!</v>
      </c>
      <c r="CB58" s="51" t="e">
        <f t="shared" si="19"/>
        <v>#DIV/0!</v>
      </c>
      <c r="CC58" s="51" t="e">
        <f t="shared" si="20"/>
        <v>#DIV/0!</v>
      </c>
      <c r="CD58" s="51" t="e">
        <f t="shared" si="21"/>
        <v>#DIV/0!</v>
      </c>
      <c r="CE58" s="53">
        <f t="shared" si="35"/>
        <v>0</v>
      </c>
      <c r="CF58" s="53">
        <f t="shared" si="35"/>
        <v>0</v>
      </c>
      <c r="CG58" s="53">
        <f t="shared" si="35"/>
        <v>0</v>
      </c>
      <c r="CH58" s="53">
        <f t="shared" si="35"/>
        <v>0</v>
      </c>
      <c r="CI58" s="53">
        <f t="shared" si="35"/>
        <v>0</v>
      </c>
      <c r="CJ58" s="53">
        <f t="shared" si="35"/>
        <v>0</v>
      </c>
      <c r="CK58" s="53">
        <f t="shared" si="35"/>
        <v>0</v>
      </c>
      <c r="CL58" s="53">
        <f t="shared" si="35"/>
        <v>0</v>
      </c>
      <c r="CM58" s="53">
        <f t="shared" si="35"/>
        <v>0</v>
      </c>
    </row>
    <row r="59" spans="1:91" x14ac:dyDescent="0.15">
      <c r="A59" s="41">
        <v>57</v>
      </c>
      <c r="B59" s="43">
        <f t="shared" si="41"/>
        <v>1</v>
      </c>
      <c r="C59" s="43">
        <f t="shared" si="40"/>
        <v>1</v>
      </c>
      <c r="D59" s="43">
        <f t="shared" si="40"/>
        <v>1</v>
      </c>
      <c r="E59" s="43">
        <f t="shared" si="40"/>
        <v>1</v>
      </c>
      <c r="F59" s="43">
        <f t="shared" si="40"/>
        <v>1</v>
      </c>
      <c r="G59" s="43">
        <f t="shared" si="40"/>
        <v>1</v>
      </c>
      <c r="H59" s="43">
        <f t="shared" si="40"/>
        <v>1</v>
      </c>
      <c r="I59" s="43">
        <f t="shared" si="40"/>
        <v>1</v>
      </c>
      <c r="J59" s="43">
        <f t="shared" si="40"/>
        <v>1</v>
      </c>
      <c r="K59" s="43" t="e">
        <f>K58+ATM_Conf!$C$5*(T58-AC58)</f>
        <v>#DIV/0!</v>
      </c>
      <c r="L59" s="43" t="e">
        <f>L58+ATM_Conf!$C$5*(U58-AD58)</f>
        <v>#DIV/0!</v>
      </c>
      <c r="M59" s="43" t="e">
        <f>M58+ATM_Conf!$C$5*(V58-AE58)</f>
        <v>#DIV/0!</v>
      </c>
      <c r="N59" s="43" t="e">
        <f>N58+ATM_Conf!$C$5*(W58-AF58)</f>
        <v>#DIV/0!</v>
      </c>
      <c r="O59" s="43" t="e">
        <f>O58+ATM_Conf!$C$5*(X58-AG58)</f>
        <v>#DIV/0!</v>
      </c>
      <c r="P59" s="43" t="e">
        <f>P58+ATM_Conf!$C$5*(Y58-AH58)</f>
        <v>#DIV/0!</v>
      </c>
      <c r="Q59" s="43" t="e">
        <f>Q58+ATM_Conf!$C$5*(Z58-AI58)</f>
        <v>#DIV/0!</v>
      </c>
      <c r="R59" s="43" t="e">
        <f>R58+ATM_Conf!$C$5*(AA58-AJ58)</f>
        <v>#DIV/0!</v>
      </c>
      <c r="S59" s="43" t="e">
        <f>S58+ATM_Conf!$C$5*(AB58-AK58)</f>
        <v>#DIV/0!</v>
      </c>
      <c r="T59" s="43">
        <f t="shared" si="33"/>
        <v>0</v>
      </c>
      <c r="U59" s="43">
        <f t="shared" si="33"/>
        <v>0</v>
      </c>
      <c r="V59" s="43">
        <f t="shared" si="33"/>
        <v>0</v>
      </c>
      <c r="W59" s="43">
        <f t="shared" si="33"/>
        <v>0</v>
      </c>
      <c r="X59" s="43">
        <f t="shared" si="33"/>
        <v>0</v>
      </c>
      <c r="Y59" s="43">
        <f t="shared" si="33"/>
        <v>0</v>
      </c>
      <c r="Z59" s="43">
        <f t="shared" si="33"/>
        <v>0</v>
      </c>
      <c r="AA59" s="43">
        <f t="shared" si="33"/>
        <v>0</v>
      </c>
      <c r="AB59" s="43">
        <f t="shared" si="33"/>
        <v>0</v>
      </c>
      <c r="AC59" s="43" t="e">
        <f t="shared" si="3"/>
        <v>#DIV/0!</v>
      </c>
      <c r="AD59" s="43" t="e">
        <f t="shared" si="4"/>
        <v>#DIV/0!</v>
      </c>
      <c r="AE59" s="43" t="e">
        <f t="shared" si="5"/>
        <v>#DIV/0!</v>
      </c>
      <c r="AF59" s="43" t="e">
        <f t="shared" si="6"/>
        <v>#DIV/0!</v>
      </c>
      <c r="AG59" s="43" t="e">
        <f t="shared" si="7"/>
        <v>#DIV/0!</v>
      </c>
      <c r="AH59" s="43" t="e">
        <f t="shared" si="8"/>
        <v>#DIV/0!</v>
      </c>
      <c r="AI59" s="43" t="e">
        <f t="shared" si="9"/>
        <v>#DIV/0!</v>
      </c>
      <c r="AJ59" s="43" t="e">
        <f t="shared" si="10"/>
        <v>#DIV/0!</v>
      </c>
      <c r="AK59" s="43" t="e">
        <f t="shared" si="11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34"/>
        <v>0</v>
      </c>
      <c r="BE59" s="43">
        <f t="shared" si="34"/>
        <v>0</v>
      </c>
      <c r="BF59" s="43">
        <f t="shared" si="34"/>
        <v>0</v>
      </c>
      <c r="BG59" s="43">
        <f t="shared" si="34"/>
        <v>0</v>
      </c>
      <c r="BH59" s="43">
        <f t="shared" si="34"/>
        <v>0</v>
      </c>
      <c r="BI59" s="43">
        <f t="shared" si="34"/>
        <v>0</v>
      </c>
      <c r="BJ59" s="43">
        <f t="shared" si="34"/>
        <v>0</v>
      </c>
      <c r="BK59" s="43">
        <f t="shared" si="34"/>
        <v>0</v>
      </c>
      <c r="BL59" s="43">
        <f t="shared" si="34"/>
        <v>0</v>
      </c>
      <c r="BM59" s="51"/>
      <c r="BN59" s="51"/>
      <c r="BO59" s="51"/>
      <c r="BP59" s="51"/>
      <c r="BQ59" s="51"/>
      <c r="BR59" s="51"/>
      <c r="BS59" s="51"/>
      <c r="BT59" s="51"/>
      <c r="BU59" s="51"/>
      <c r="BV59" s="51" t="e">
        <f t="shared" si="13"/>
        <v>#DIV/0!</v>
      </c>
      <c r="BW59" s="51" t="e">
        <f t="shared" si="14"/>
        <v>#DIV/0!</v>
      </c>
      <c r="BX59" s="51" t="e">
        <f t="shared" si="15"/>
        <v>#DIV/0!</v>
      </c>
      <c r="BY59" s="51" t="e">
        <f t="shared" si="16"/>
        <v>#DIV/0!</v>
      </c>
      <c r="BZ59" s="51" t="e">
        <f t="shared" si="17"/>
        <v>#DIV/0!</v>
      </c>
      <c r="CA59" s="51" t="e">
        <f t="shared" si="18"/>
        <v>#DIV/0!</v>
      </c>
      <c r="CB59" s="51" t="e">
        <f t="shared" si="19"/>
        <v>#DIV/0!</v>
      </c>
      <c r="CC59" s="51" t="e">
        <f t="shared" si="20"/>
        <v>#DIV/0!</v>
      </c>
      <c r="CD59" s="51" t="e">
        <f t="shared" si="21"/>
        <v>#DIV/0!</v>
      </c>
      <c r="CE59" s="53">
        <f t="shared" si="35"/>
        <v>0</v>
      </c>
      <c r="CF59" s="53">
        <f t="shared" si="35"/>
        <v>0</v>
      </c>
      <c r="CG59" s="53">
        <f t="shared" si="35"/>
        <v>0</v>
      </c>
      <c r="CH59" s="53">
        <f t="shared" si="35"/>
        <v>0</v>
      </c>
      <c r="CI59" s="53">
        <f t="shared" si="35"/>
        <v>0</v>
      </c>
      <c r="CJ59" s="53">
        <f t="shared" si="35"/>
        <v>0</v>
      </c>
      <c r="CK59" s="53">
        <f t="shared" si="35"/>
        <v>0</v>
      </c>
      <c r="CL59" s="53">
        <f t="shared" si="35"/>
        <v>0</v>
      </c>
      <c r="CM59" s="53">
        <f t="shared" si="35"/>
        <v>0</v>
      </c>
    </row>
    <row r="60" spans="1:91" x14ac:dyDescent="0.15">
      <c r="A60" s="41">
        <v>58</v>
      </c>
      <c r="B60" s="43">
        <f t="shared" si="41"/>
        <v>1</v>
      </c>
      <c r="C60" s="43">
        <f t="shared" si="40"/>
        <v>1</v>
      </c>
      <c r="D60" s="43">
        <f t="shared" si="40"/>
        <v>1</v>
      </c>
      <c r="E60" s="43">
        <f t="shared" si="40"/>
        <v>1</v>
      </c>
      <c r="F60" s="43">
        <f t="shared" si="40"/>
        <v>1</v>
      </c>
      <c r="G60" s="43">
        <f t="shared" si="40"/>
        <v>1</v>
      </c>
      <c r="H60" s="43">
        <f t="shared" si="40"/>
        <v>1</v>
      </c>
      <c r="I60" s="43">
        <f t="shared" si="40"/>
        <v>1</v>
      </c>
      <c r="J60" s="43">
        <f t="shared" si="40"/>
        <v>1</v>
      </c>
      <c r="K60" s="43" t="e">
        <f>K59+ATM_Conf!$C$5*(T59-AC59)</f>
        <v>#DIV/0!</v>
      </c>
      <c r="L60" s="43" t="e">
        <f>L59+ATM_Conf!$C$5*(U59-AD59)</f>
        <v>#DIV/0!</v>
      </c>
      <c r="M60" s="43" t="e">
        <f>M59+ATM_Conf!$C$5*(V59-AE59)</f>
        <v>#DIV/0!</v>
      </c>
      <c r="N60" s="43" t="e">
        <f>N59+ATM_Conf!$C$5*(W59-AF59)</f>
        <v>#DIV/0!</v>
      </c>
      <c r="O60" s="43" t="e">
        <f>O59+ATM_Conf!$C$5*(X59-AG59)</f>
        <v>#DIV/0!</v>
      </c>
      <c r="P60" s="43" t="e">
        <f>P59+ATM_Conf!$C$5*(Y59-AH59)</f>
        <v>#DIV/0!</v>
      </c>
      <c r="Q60" s="43" t="e">
        <f>Q59+ATM_Conf!$C$5*(Z59-AI59)</f>
        <v>#DIV/0!</v>
      </c>
      <c r="R60" s="43" t="e">
        <f>R59+ATM_Conf!$C$5*(AA59-AJ59)</f>
        <v>#DIV/0!</v>
      </c>
      <c r="S60" s="43" t="e">
        <f>S59+ATM_Conf!$C$5*(AB59-AK59)</f>
        <v>#DIV/0!</v>
      </c>
      <c r="T60" s="43">
        <f t="shared" si="33"/>
        <v>0</v>
      </c>
      <c r="U60" s="43">
        <f t="shared" si="33"/>
        <v>0</v>
      </c>
      <c r="V60" s="43">
        <f t="shared" si="33"/>
        <v>0</v>
      </c>
      <c r="W60" s="43">
        <f t="shared" si="33"/>
        <v>0</v>
      </c>
      <c r="X60" s="43">
        <f t="shared" si="33"/>
        <v>0</v>
      </c>
      <c r="Y60" s="43">
        <f t="shared" si="33"/>
        <v>0</v>
      </c>
      <c r="Z60" s="43">
        <f t="shared" si="33"/>
        <v>0</v>
      </c>
      <c r="AA60" s="43">
        <f t="shared" si="33"/>
        <v>0</v>
      </c>
      <c r="AB60" s="43">
        <f t="shared" si="33"/>
        <v>0</v>
      </c>
      <c r="AC60" s="43" t="e">
        <f t="shared" si="3"/>
        <v>#DIV/0!</v>
      </c>
      <c r="AD60" s="43" t="e">
        <f t="shared" si="4"/>
        <v>#DIV/0!</v>
      </c>
      <c r="AE60" s="43" t="e">
        <f t="shared" si="5"/>
        <v>#DIV/0!</v>
      </c>
      <c r="AF60" s="43" t="e">
        <f t="shared" si="6"/>
        <v>#DIV/0!</v>
      </c>
      <c r="AG60" s="43" t="e">
        <f t="shared" si="7"/>
        <v>#DIV/0!</v>
      </c>
      <c r="AH60" s="43" t="e">
        <f t="shared" si="8"/>
        <v>#DIV/0!</v>
      </c>
      <c r="AI60" s="43" t="e">
        <f t="shared" si="9"/>
        <v>#DIV/0!</v>
      </c>
      <c r="AJ60" s="43" t="e">
        <f t="shared" si="10"/>
        <v>#DIV/0!</v>
      </c>
      <c r="AK60" s="43" t="e">
        <f t="shared" si="11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34"/>
        <v>0</v>
      </c>
      <c r="BE60" s="43">
        <f t="shared" si="34"/>
        <v>0</v>
      </c>
      <c r="BF60" s="43">
        <f t="shared" si="34"/>
        <v>0</v>
      </c>
      <c r="BG60" s="43">
        <f t="shared" si="34"/>
        <v>0</v>
      </c>
      <c r="BH60" s="43">
        <f t="shared" si="34"/>
        <v>0</v>
      </c>
      <c r="BI60" s="43">
        <f t="shared" si="34"/>
        <v>0</v>
      </c>
      <c r="BJ60" s="43">
        <f t="shared" si="34"/>
        <v>0</v>
      </c>
      <c r="BK60" s="43">
        <f t="shared" si="34"/>
        <v>0</v>
      </c>
      <c r="BL60" s="43">
        <f t="shared" si="34"/>
        <v>0</v>
      </c>
      <c r="BM60" s="51"/>
      <c r="BN60" s="51"/>
      <c r="BO60" s="51"/>
      <c r="BP60" s="51"/>
      <c r="BQ60" s="51"/>
      <c r="BR60" s="51"/>
      <c r="BS60" s="51"/>
      <c r="BT60" s="51"/>
      <c r="BU60" s="51"/>
      <c r="BV60" s="51" t="e">
        <f t="shared" si="13"/>
        <v>#DIV/0!</v>
      </c>
      <c r="BW60" s="51" t="e">
        <f t="shared" si="14"/>
        <v>#DIV/0!</v>
      </c>
      <c r="BX60" s="51" t="e">
        <f t="shared" si="15"/>
        <v>#DIV/0!</v>
      </c>
      <c r="BY60" s="51" t="e">
        <f t="shared" si="16"/>
        <v>#DIV/0!</v>
      </c>
      <c r="BZ60" s="51" t="e">
        <f t="shared" si="17"/>
        <v>#DIV/0!</v>
      </c>
      <c r="CA60" s="51" t="e">
        <f t="shared" si="18"/>
        <v>#DIV/0!</v>
      </c>
      <c r="CB60" s="51" t="e">
        <f t="shared" si="19"/>
        <v>#DIV/0!</v>
      </c>
      <c r="CC60" s="51" t="e">
        <f t="shared" si="20"/>
        <v>#DIV/0!</v>
      </c>
      <c r="CD60" s="51" t="e">
        <f t="shared" si="21"/>
        <v>#DIV/0!</v>
      </c>
      <c r="CE60" s="53">
        <f t="shared" si="35"/>
        <v>0</v>
      </c>
      <c r="CF60" s="53">
        <f t="shared" si="35"/>
        <v>0</v>
      </c>
      <c r="CG60" s="53">
        <f t="shared" si="35"/>
        <v>0</v>
      </c>
      <c r="CH60" s="53">
        <f t="shared" si="35"/>
        <v>0</v>
      </c>
      <c r="CI60" s="53">
        <f t="shared" si="35"/>
        <v>0</v>
      </c>
      <c r="CJ60" s="53">
        <f t="shared" si="35"/>
        <v>0</v>
      </c>
      <c r="CK60" s="53">
        <f t="shared" si="35"/>
        <v>0</v>
      </c>
      <c r="CL60" s="53">
        <f t="shared" si="35"/>
        <v>0</v>
      </c>
      <c r="CM60" s="53">
        <f t="shared" si="35"/>
        <v>0</v>
      </c>
    </row>
    <row r="61" spans="1:91" x14ac:dyDescent="0.15">
      <c r="A61" s="41">
        <v>59</v>
      </c>
      <c r="B61" s="43">
        <f t="shared" si="41"/>
        <v>1</v>
      </c>
      <c r="C61" s="43">
        <f t="shared" si="40"/>
        <v>1</v>
      </c>
      <c r="D61" s="43">
        <f t="shared" si="40"/>
        <v>1</v>
      </c>
      <c r="E61" s="43">
        <f t="shared" si="40"/>
        <v>1</v>
      </c>
      <c r="F61" s="43">
        <f t="shared" si="40"/>
        <v>1</v>
      </c>
      <c r="G61" s="43">
        <f t="shared" si="40"/>
        <v>1</v>
      </c>
      <c r="H61" s="43">
        <f t="shared" si="40"/>
        <v>1</v>
      </c>
      <c r="I61" s="43">
        <f t="shared" si="40"/>
        <v>1</v>
      </c>
      <c r="J61" s="43">
        <f t="shared" si="40"/>
        <v>1</v>
      </c>
      <c r="K61" s="43" t="e">
        <f>K60+ATM_Conf!$C$5*(T60-AC60)</f>
        <v>#DIV/0!</v>
      </c>
      <c r="L61" s="43" t="e">
        <f>L60+ATM_Conf!$C$5*(U60-AD60)</f>
        <v>#DIV/0!</v>
      </c>
      <c r="M61" s="43" t="e">
        <f>M60+ATM_Conf!$C$5*(V60-AE60)</f>
        <v>#DIV/0!</v>
      </c>
      <c r="N61" s="43" t="e">
        <f>N60+ATM_Conf!$C$5*(W60-AF60)</f>
        <v>#DIV/0!</v>
      </c>
      <c r="O61" s="43" t="e">
        <f>O60+ATM_Conf!$C$5*(X60-AG60)</f>
        <v>#DIV/0!</v>
      </c>
      <c r="P61" s="43" t="e">
        <f>P60+ATM_Conf!$C$5*(Y60-AH60)</f>
        <v>#DIV/0!</v>
      </c>
      <c r="Q61" s="43" t="e">
        <f>Q60+ATM_Conf!$C$5*(Z60-AI60)</f>
        <v>#DIV/0!</v>
      </c>
      <c r="R61" s="43" t="e">
        <f>R60+ATM_Conf!$C$5*(AA60-AJ60)</f>
        <v>#DIV/0!</v>
      </c>
      <c r="S61" s="43" t="e">
        <f>S60+ATM_Conf!$C$5*(AB60-AK60)</f>
        <v>#DIV/0!</v>
      </c>
      <c r="T61" s="43">
        <f t="shared" si="33"/>
        <v>0</v>
      </c>
      <c r="U61" s="43">
        <f t="shared" si="33"/>
        <v>0</v>
      </c>
      <c r="V61" s="43">
        <f t="shared" si="33"/>
        <v>0</v>
      </c>
      <c r="W61" s="43">
        <f t="shared" si="33"/>
        <v>0</v>
      </c>
      <c r="X61" s="43">
        <f t="shared" si="33"/>
        <v>0</v>
      </c>
      <c r="Y61" s="43">
        <f t="shared" si="33"/>
        <v>0</v>
      </c>
      <c r="Z61" s="43">
        <f t="shared" si="33"/>
        <v>0</v>
      </c>
      <c r="AA61" s="43">
        <f t="shared" si="33"/>
        <v>0</v>
      </c>
      <c r="AB61" s="43">
        <f t="shared" si="33"/>
        <v>0</v>
      </c>
      <c r="AC61" s="43" t="e">
        <f t="shared" si="3"/>
        <v>#DIV/0!</v>
      </c>
      <c r="AD61" s="43" t="e">
        <f t="shared" si="4"/>
        <v>#DIV/0!</v>
      </c>
      <c r="AE61" s="43" t="e">
        <f t="shared" si="5"/>
        <v>#DIV/0!</v>
      </c>
      <c r="AF61" s="43" t="e">
        <f t="shared" si="6"/>
        <v>#DIV/0!</v>
      </c>
      <c r="AG61" s="43" t="e">
        <f t="shared" si="7"/>
        <v>#DIV/0!</v>
      </c>
      <c r="AH61" s="43" t="e">
        <f t="shared" si="8"/>
        <v>#DIV/0!</v>
      </c>
      <c r="AI61" s="43" t="e">
        <f t="shared" si="9"/>
        <v>#DIV/0!</v>
      </c>
      <c r="AJ61" s="43" t="e">
        <f t="shared" si="10"/>
        <v>#DIV/0!</v>
      </c>
      <c r="AK61" s="43" t="e">
        <f t="shared" si="11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34"/>
        <v>0</v>
      </c>
      <c r="BE61" s="43">
        <f t="shared" si="34"/>
        <v>0</v>
      </c>
      <c r="BF61" s="43">
        <f t="shared" si="34"/>
        <v>0</v>
      </c>
      <c r="BG61" s="43">
        <f t="shared" si="34"/>
        <v>0</v>
      </c>
      <c r="BH61" s="43">
        <f t="shared" si="34"/>
        <v>0</v>
      </c>
      <c r="BI61" s="43">
        <f t="shared" si="34"/>
        <v>0</v>
      </c>
      <c r="BJ61" s="43">
        <f t="shared" si="34"/>
        <v>0</v>
      </c>
      <c r="BK61" s="43">
        <f t="shared" si="34"/>
        <v>0</v>
      </c>
      <c r="BL61" s="43">
        <f t="shared" si="34"/>
        <v>0</v>
      </c>
      <c r="BM61" s="51"/>
      <c r="BN61" s="51"/>
      <c r="BO61" s="51"/>
      <c r="BP61" s="51"/>
      <c r="BQ61" s="51"/>
      <c r="BR61" s="51"/>
      <c r="BS61" s="51"/>
      <c r="BT61" s="51"/>
      <c r="BU61" s="51"/>
      <c r="BV61" s="51" t="e">
        <f t="shared" si="13"/>
        <v>#DIV/0!</v>
      </c>
      <c r="BW61" s="51" t="e">
        <f t="shared" si="14"/>
        <v>#DIV/0!</v>
      </c>
      <c r="BX61" s="51" t="e">
        <f t="shared" si="15"/>
        <v>#DIV/0!</v>
      </c>
      <c r="BY61" s="51" t="e">
        <f t="shared" si="16"/>
        <v>#DIV/0!</v>
      </c>
      <c r="BZ61" s="51" t="e">
        <f t="shared" si="17"/>
        <v>#DIV/0!</v>
      </c>
      <c r="CA61" s="51" t="e">
        <f t="shared" si="18"/>
        <v>#DIV/0!</v>
      </c>
      <c r="CB61" s="51" t="e">
        <f t="shared" si="19"/>
        <v>#DIV/0!</v>
      </c>
      <c r="CC61" s="51" t="e">
        <f t="shared" si="20"/>
        <v>#DIV/0!</v>
      </c>
      <c r="CD61" s="51" t="e">
        <f t="shared" si="21"/>
        <v>#DIV/0!</v>
      </c>
      <c r="CE61" s="53">
        <f t="shared" si="35"/>
        <v>0</v>
      </c>
      <c r="CF61" s="53">
        <f t="shared" si="35"/>
        <v>0</v>
      </c>
      <c r="CG61" s="53">
        <f t="shared" si="35"/>
        <v>0</v>
      </c>
      <c r="CH61" s="53">
        <f t="shared" si="35"/>
        <v>0</v>
      </c>
      <c r="CI61" s="53">
        <f t="shared" si="35"/>
        <v>0</v>
      </c>
      <c r="CJ61" s="53">
        <f t="shared" si="35"/>
        <v>0</v>
      </c>
      <c r="CK61" s="53">
        <f t="shared" si="35"/>
        <v>0</v>
      </c>
      <c r="CL61" s="53">
        <f t="shared" si="35"/>
        <v>0</v>
      </c>
      <c r="CM61" s="53">
        <f t="shared" si="35"/>
        <v>0</v>
      </c>
    </row>
    <row r="62" spans="1:91" x14ac:dyDescent="0.15">
      <c r="A62" s="41">
        <v>60</v>
      </c>
      <c r="B62" s="43">
        <f t="shared" si="41"/>
        <v>1</v>
      </c>
      <c r="C62" s="43">
        <f t="shared" si="40"/>
        <v>1</v>
      </c>
      <c r="D62" s="43">
        <f t="shared" si="40"/>
        <v>1</v>
      </c>
      <c r="E62" s="43">
        <f t="shared" si="40"/>
        <v>1</v>
      </c>
      <c r="F62" s="43">
        <f t="shared" si="40"/>
        <v>1</v>
      </c>
      <c r="G62" s="43">
        <f t="shared" si="40"/>
        <v>1</v>
      </c>
      <c r="H62" s="43">
        <f t="shared" si="40"/>
        <v>1</v>
      </c>
      <c r="I62" s="43">
        <f t="shared" si="40"/>
        <v>1</v>
      </c>
      <c r="J62" s="43">
        <f t="shared" si="40"/>
        <v>1</v>
      </c>
      <c r="K62" s="43" t="e">
        <f>K61+ATM_Conf!$C$5*(T61-AC61)</f>
        <v>#DIV/0!</v>
      </c>
      <c r="L62" s="43" t="e">
        <f>L61+ATM_Conf!$C$5*(U61-AD61)</f>
        <v>#DIV/0!</v>
      </c>
      <c r="M62" s="43" t="e">
        <f>M61+ATM_Conf!$C$5*(V61-AE61)</f>
        <v>#DIV/0!</v>
      </c>
      <c r="N62" s="43" t="e">
        <f>N61+ATM_Conf!$C$5*(W61-AF61)</f>
        <v>#DIV/0!</v>
      </c>
      <c r="O62" s="43" t="e">
        <f>O61+ATM_Conf!$C$5*(X61-AG61)</f>
        <v>#DIV/0!</v>
      </c>
      <c r="P62" s="43" t="e">
        <f>P61+ATM_Conf!$C$5*(Y61-AH61)</f>
        <v>#DIV/0!</v>
      </c>
      <c r="Q62" s="43" t="e">
        <f>Q61+ATM_Conf!$C$5*(Z61-AI61)</f>
        <v>#DIV/0!</v>
      </c>
      <c r="R62" s="43" t="e">
        <f>R61+ATM_Conf!$C$5*(AA61-AJ61)</f>
        <v>#DIV/0!</v>
      </c>
      <c r="S62" s="43" t="e">
        <f>S61+ATM_Conf!$C$5*(AB61-AK61)</f>
        <v>#DIV/0!</v>
      </c>
      <c r="T62" s="43">
        <f t="shared" si="33"/>
        <v>0</v>
      </c>
      <c r="U62" s="43">
        <f t="shared" si="33"/>
        <v>0</v>
      </c>
      <c r="V62" s="43">
        <f t="shared" si="33"/>
        <v>0</v>
      </c>
      <c r="W62" s="43">
        <f t="shared" si="33"/>
        <v>0</v>
      </c>
      <c r="X62" s="43">
        <f t="shared" si="33"/>
        <v>0</v>
      </c>
      <c r="Y62" s="43">
        <f t="shared" si="33"/>
        <v>0</v>
      </c>
      <c r="Z62" s="43">
        <f t="shared" si="33"/>
        <v>0</v>
      </c>
      <c r="AA62" s="43">
        <f t="shared" si="33"/>
        <v>0</v>
      </c>
      <c r="AB62" s="43">
        <f t="shared" si="33"/>
        <v>0</v>
      </c>
      <c r="AC62" s="43" t="e">
        <f t="shared" si="3"/>
        <v>#DIV/0!</v>
      </c>
      <c r="AD62" s="43" t="e">
        <f t="shared" si="4"/>
        <v>#DIV/0!</v>
      </c>
      <c r="AE62" s="43" t="e">
        <f t="shared" si="5"/>
        <v>#DIV/0!</v>
      </c>
      <c r="AF62" s="43" t="e">
        <f t="shared" si="6"/>
        <v>#DIV/0!</v>
      </c>
      <c r="AG62" s="43" t="e">
        <f t="shared" si="7"/>
        <v>#DIV/0!</v>
      </c>
      <c r="AH62" s="43" t="e">
        <f t="shared" si="8"/>
        <v>#DIV/0!</v>
      </c>
      <c r="AI62" s="43" t="e">
        <f t="shared" si="9"/>
        <v>#DIV/0!</v>
      </c>
      <c r="AJ62" s="43" t="e">
        <f t="shared" si="10"/>
        <v>#DIV/0!</v>
      </c>
      <c r="AK62" s="43" t="e">
        <f t="shared" si="11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51"/>
      <c r="BN62" s="51"/>
      <c r="BO62" s="51"/>
      <c r="BP62" s="51"/>
      <c r="BQ62" s="51"/>
      <c r="BR62" s="51"/>
      <c r="BS62" s="51"/>
      <c r="BT62" s="51"/>
      <c r="BU62" s="51"/>
      <c r="BV62" s="51" t="e">
        <f t="shared" si="13"/>
        <v>#DIV/0!</v>
      </c>
      <c r="BW62" s="51" t="e">
        <f t="shared" si="14"/>
        <v>#DIV/0!</v>
      </c>
      <c r="BX62" s="51" t="e">
        <f t="shared" si="15"/>
        <v>#DIV/0!</v>
      </c>
      <c r="BY62" s="51" t="e">
        <f t="shared" si="16"/>
        <v>#DIV/0!</v>
      </c>
      <c r="BZ62" s="51" t="e">
        <f t="shared" si="17"/>
        <v>#DIV/0!</v>
      </c>
      <c r="CA62" s="51" t="e">
        <f t="shared" si="18"/>
        <v>#DIV/0!</v>
      </c>
      <c r="CB62" s="51" t="e">
        <f t="shared" si="19"/>
        <v>#DIV/0!</v>
      </c>
      <c r="CC62" s="51" t="e">
        <f t="shared" si="20"/>
        <v>#DIV/0!</v>
      </c>
      <c r="CD62" s="51" t="e">
        <f t="shared" si="21"/>
        <v>#DIV/0!</v>
      </c>
      <c r="CE62" s="53">
        <f t="shared" si="35"/>
        <v>0</v>
      </c>
      <c r="CF62" s="53">
        <f t="shared" si="35"/>
        <v>0</v>
      </c>
      <c r="CG62" s="53">
        <f t="shared" si="35"/>
        <v>0</v>
      </c>
      <c r="CH62" s="53">
        <f t="shared" si="35"/>
        <v>0</v>
      </c>
      <c r="CI62" s="53">
        <f t="shared" si="35"/>
        <v>0</v>
      </c>
      <c r="CJ62" s="53">
        <f t="shared" si="35"/>
        <v>0</v>
      </c>
      <c r="CK62" s="53">
        <f t="shared" si="35"/>
        <v>0</v>
      </c>
      <c r="CL62" s="53">
        <f t="shared" si="35"/>
        <v>0</v>
      </c>
      <c r="CM62" s="53">
        <f t="shared" si="35"/>
        <v>0</v>
      </c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 t="e">
        <f>K62+ATM_Conf!$C$5*(T62-AC62)</f>
        <v>#DIV/0!</v>
      </c>
      <c r="L63" s="43" t="e">
        <f>L62+ATM_Conf!$C$5*(U62-AD62)</f>
        <v>#DIV/0!</v>
      </c>
      <c r="M63" s="43" t="e">
        <f>M62+ATM_Conf!$C$5*(V62-AE62)</f>
        <v>#DIV/0!</v>
      </c>
      <c r="N63" s="43" t="e">
        <f>N62+ATM_Conf!$C$5*(W62-AF62)</f>
        <v>#DIV/0!</v>
      </c>
      <c r="O63" s="43" t="e">
        <f>O62+ATM_Conf!$C$5*(X62-AG62)</f>
        <v>#DIV/0!</v>
      </c>
      <c r="P63" s="43" t="e">
        <f>P62+ATM_Conf!$C$5*(Y62-AH62)</f>
        <v>#DIV/0!</v>
      </c>
      <c r="Q63" s="43" t="e">
        <f>Q62+ATM_Conf!$C$5*(Z62-AI62)</f>
        <v>#DIV/0!</v>
      </c>
      <c r="R63" s="43" t="e">
        <f>R62+ATM_Conf!$C$5*(AA62-AJ62)</f>
        <v>#DIV/0!</v>
      </c>
      <c r="S63" s="43" t="e">
        <f>S62+ATM_Conf!$C$5*(AB62-AK62)</f>
        <v>#DIV/0!</v>
      </c>
      <c r="T63" s="43">
        <f t="shared" si="33"/>
        <v>0</v>
      </c>
      <c r="U63" s="43">
        <f t="shared" si="33"/>
        <v>0</v>
      </c>
      <c r="V63" s="43">
        <f t="shared" si="33"/>
        <v>0</v>
      </c>
      <c r="W63" s="43">
        <f t="shared" si="33"/>
        <v>0</v>
      </c>
      <c r="X63" s="43">
        <f t="shared" si="33"/>
        <v>0</v>
      </c>
      <c r="Y63" s="43">
        <f t="shared" si="33"/>
        <v>0</v>
      </c>
      <c r="Z63" s="43">
        <f t="shared" si="33"/>
        <v>0</v>
      </c>
      <c r="AA63" s="43">
        <f t="shared" si="33"/>
        <v>0</v>
      </c>
      <c r="AB63" s="43">
        <f t="shared" si="33"/>
        <v>0</v>
      </c>
      <c r="AC63" s="43" t="e">
        <f t="shared" si="3"/>
        <v>#DIV/0!</v>
      </c>
      <c r="AD63" s="43" t="e">
        <f t="shared" si="4"/>
        <v>#DIV/0!</v>
      </c>
      <c r="AE63" s="43" t="e">
        <f t="shared" si="5"/>
        <v>#DIV/0!</v>
      </c>
      <c r="AF63" s="43" t="e">
        <f t="shared" si="6"/>
        <v>#DIV/0!</v>
      </c>
      <c r="AG63" s="43" t="e">
        <f t="shared" si="7"/>
        <v>#DIV/0!</v>
      </c>
      <c r="AH63" s="43" t="e">
        <f t="shared" si="8"/>
        <v>#DIV/0!</v>
      </c>
      <c r="AI63" s="43" t="e">
        <f t="shared" si="9"/>
        <v>#DIV/0!</v>
      </c>
      <c r="AJ63" s="43" t="e">
        <f t="shared" si="10"/>
        <v>#DIV/0!</v>
      </c>
      <c r="AK63" s="43" t="e">
        <f t="shared" si="11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34"/>
        <v>0</v>
      </c>
      <c r="BE63" s="43">
        <f t="shared" si="34"/>
        <v>0</v>
      </c>
      <c r="BF63" s="43">
        <f t="shared" si="34"/>
        <v>0</v>
      </c>
      <c r="BG63" s="43">
        <f t="shared" si="34"/>
        <v>0</v>
      </c>
      <c r="BH63" s="43">
        <f t="shared" si="34"/>
        <v>0</v>
      </c>
      <c r="BI63" s="43">
        <f t="shared" si="34"/>
        <v>0</v>
      </c>
      <c r="BJ63" s="43">
        <f t="shared" si="34"/>
        <v>0</v>
      </c>
      <c r="BK63" s="43">
        <f t="shared" si="34"/>
        <v>0</v>
      </c>
      <c r="BL63" s="43">
        <f t="shared" si="34"/>
        <v>0</v>
      </c>
      <c r="BM63" s="51">
        <f>(B63-B51)^2</f>
        <v>0</v>
      </c>
      <c r="BN63" s="51">
        <f t="shared" ref="BN63:BU63" si="42">(C63-C51)^2</f>
        <v>0</v>
      </c>
      <c r="BO63" s="51">
        <f t="shared" si="42"/>
        <v>0</v>
      </c>
      <c r="BP63" s="51">
        <f t="shared" si="42"/>
        <v>0</v>
      </c>
      <c r="BQ63" s="51">
        <f t="shared" si="42"/>
        <v>0</v>
      </c>
      <c r="BR63" s="51">
        <f t="shared" si="42"/>
        <v>0</v>
      </c>
      <c r="BS63" s="51">
        <f t="shared" si="42"/>
        <v>0</v>
      </c>
      <c r="BT63" s="51">
        <f t="shared" si="42"/>
        <v>0</v>
      </c>
      <c r="BU63" s="51">
        <f t="shared" si="42"/>
        <v>0</v>
      </c>
      <c r="BV63" s="51" t="e">
        <f t="shared" si="13"/>
        <v>#DIV/0!</v>
      </c>
      <c r="BW63" s="51" t="e">
        <f t="shared" si="14"/>
        <v>#DIV/0!</v>
      </c>
      <c r="BX63" s="51" t="e">
        <f t="shared" si="15"/>
        <v>#DIV/0!</v>
      </c>
      <c r="BY63" s="51" t="e">
        <f t="shared" si="16"/>
        <v>#DIV/0!</v>
      </c>
      <c r="BZ63" s="51" t="e">
        <f t="shared" si="17"/>
        <v>#DIV/0!</v>
      </c>
      <c r="CA63" s="51" t="e">
        <f t="shared" si="18"/>
        <v>#DIV/0!</v>
      </c>
      <c r="CB63" s="51" t="e">
        <f t="shared" si="19"/>
        <v>#DIV/0!</v>
      </c>
      <c r="CC63" s="51" t="e">
        <f t="shared" si="20"/>
        <v>#DIV/0!</v>
      </c>
      <c r="CD63" s="51" t="e">
        <f t="shared" si="21"/>
        <v>#DIV/0!</v>
      </c>
      <c r="CE63" s="53">
        <f t="shared" si="35"/>
        <v>0</v>
      </c>
      <c r="CF63" s="53">
        <f t="shared" si="35"/>
        <v>0</v>
      </c>
      <c r="CG63" s="53">
        <f t="shared" si="35"/>
        <v>0</v>
      </c>
      <c r="CH63" s="53">
        <f t="shared" si="35"/>
        <v>0</v>
      </c>
      <c r="CI63" s="53">
        <f t="shared" si="35"/>
        <v>0</v>
      </c>
      <c r="CJ63" s="53">
        <f t="shared" si="35"/>
        <v>0</v>
      </c>
      <c r="CK63" s="53">
        <f t="shared" si="35"/>
        <v>0</v>
      </c>
      <c r="CL63" s="53">
        <f t="shared" si="35"/>
        <v>0</v>
      </c>
      <c r="CM63" s="53">
        <f t="shared" si="35"/>
        <v>0</v>
      </c>
    </row>
    <row r="64" spans="1:91" x14ac:dyDescent="0.15">
      <c r="A64" s="41">
        <v>62</v>
      </c>
      <c r="B64" s="43">
        <f>B$63</f>
        <v>1</v>
      </c>
      <c r="C64" s="43">
        <f t="shared" ref="C64:J74" si="43">C$63</f>
        <v>1</v>
      </c>
      <c r="D64" s="43">
        <f t="shared" si="43"/>
        <v>1</v>
      </c>
      <c r="E64" s="43">
        <f t="shared" si="43"/>
        <v>1</v>
      </c>
      <c r="F64" s="43">
        <f t="shared" si="43"/>
        <v>1</v>
      </c>
      <c r="G64" s="43">
        <f t="shared" si="43"/>
        <v>1</v>
      </c>
      <c r="H64" s="43">
        <f t="shared" si="43"/>
        <v>1</v>
      </c>
      <c r="I64" s="43">
        <f t="shared" si="43"/>
        <v>1</v>
      </c>
      <c r="J64" s="43">
        <f t="shared" si="43"/>
        <v>1</v>
      </c>
      <c r="K64" s="43" t="e">
        <f>K63+ATM_Conf!$C$5*(T63-AC63)</f>
        <v>#DIV/0!</v>
      </c>
      <c r="L64" s="43" t="e">
        <f>L63+ATM_Conf!$C$5*(U63-AD63)</f>
        <v>#DIV/0!</v>
      </c>
      <c r="M64" s="43" t="e">
        <f>M63+ATM_Conf!$C$5*(V63-AE63)</f>
        <v>#DIV/0!</v>
      </c>
      <c r="N64" s="43" t="e">
        <f>N63+ATM_Conf!$C$5*(W63-AF63)</f>
        <v>#DIV/0!</v>
      </c>
      <c r="O64" s="43" t="e">
        <f>O63+ATM_Conf!$C$5*(X63-AG63)</f>
        <v>#DIV/0!</v>
      </c>
      <c r="P64" s="43" t="e">
        <f>P63+ATM_Conf!$C$5*(Y63-AH63)</f>
        <v>#DIV/0!</v>
      </c>
      <c r="Q64" s="43" t="e">
        <f>Q63+ATM_Conf!$C$5*(Z63-AI63)</f>
        <v>#DIV/0!</v>
      </c>
      <c r="R64" s="43" t="e">
        <f>R63+ATM_Conf!$C$5*(AA63-AJ63)</f>
        <v>#DIV/0!</v>
      </c>
      <c r="S64" s="43" t="e">
        <f>S63+ATM_Conf!$C$5*(AB63-AK63)</f>
        <v>#DIV/0!</v>
      </c>
      <c r="T64" s="43">
        <f t="shared" si="33"/>
        <v>0</v>
      </c>
      <c r="U64" s="43">
        <f t="shared" si="33"/>
        <v>0</v>
      </c>
      <c r="V64" s="43">
        <f t="shared" si="33"/>
        <v>0</v>
      </c>
      <c r="W64" s="43">
        <f t="shared" si="33"/>
        <v>0</v>
      </c>
      <c r="X64" s="43">
        <f t="shared" si="33"/>
        <v>0</v>
      </c>
      <c r="Y64" s="43">
        <f t="shared" si="33"/>
        <v>0</v>
      </c>
      <c r="Z64" s="43">
        <f t="shared" si="33"/>
        <v>0</v>
      </c>
      <c r="AA64" s="43">
        <f t="shared" si="33"/>
        <v>0</v>
      </c>
      <c r="AB64" s="43">
        <f t="shared" si="33"/>
        <v>0</v>
      </c>
      <c r="AC64" s="43" t="e">
        <f t="shared" si="3"/>
        <v>#DIV/0!</v>
      </c>
      <c r="AD64" s="43" t="e">
        <f t="shared" si="4"/>
        <v>#DIV/0!</v>
      </c>
      <c r="AE64" s="43" t="e">
        <f t="shared" si="5"/>
        <v>#DIV/0!</v>
      </c>
      <c r="AF64" s="43" t="e">
        <f t="shared" si="6"/>
        <v>#DIV/0!</v>
      </c>
      <c r="AG64" s="43" t="e">
        <f t="shared" si="7"/>
        <v>#DIV/0!</v>
      </c>
      <c r="AH64" s="43" t="e">
        <f t="shared" si="8"/>
        <v>#DIV/0!</v>
      </c>
      <c r="AI64" s="43" t="e">
        <f t="shared" si="9"/>
        <v>#DIV/0!</v>
      </c>
      <c r="AJ64" s="43" t="e">
        <f t="shared" si="10"/>
        <v>#DIV/0!</v>
      </c>
      <c r="AK64" s="43" t="e">
        <f t="shared" si="11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34"/>
        <v>0</v>
      </c>
      <c r="BE64" s="43">
        <f t="shared" si="34"/>
        <v>0</v>
      </c>
      <c r="BF64" s="43">
        <f t="shared" si="34"/>
        <v>0</v>
      </c>
      <c r="BG64" s="43">
        <f t="shared" si="34"/>
        <v>0</v>
      </c>
      <c r="BH64" s="43">
        <f t="shared" si="34"/>
        <v>0</v>
      </c>
      <c r="BI64" s="43">
        <f t="shared" si="34"/>
        <v>0</v>
      </c>
      <c r="BJ64" s="43">
        <f t="shared" si="34"/>
        <v>0</v>
      </c>
      <c r="BK64" s="43">
        <f t="shared" si="34"/>
        <v>0</v>
      </c>
      <c r="BL64" s="43">
        <f t="shared" si="34"/>
        <v>0</v>
      </c>
      <c r="BM64" s="51"/>
      <c r="BN64" s="51"/>
      <c r="BO64" s="51"/>
      <c r="BP64" s="51"/>
      <c r="BQ64" s="51"/>
      <c r="BR64" s="51"/>
      <c r="BS64" s="51"/>
      <c r="BT64" s="51"/>
      <c r="BU64" s="51"/>
      <c r="BV64" s="51" t="e">
        <f t="shared" si="13"/>
        <v>#DIV/0!</v>
      </c>
      <c r="BW64" s="51" t="e">
        <f t="shared" si="14"/>
        <v>#DIV/0!</v>
      </c>
      <c r="BX64" s="51" t="e">
        <f t="shared" si="15"/>
        <v>#DIV/0!</v>
      </c>
      <c r="BY64" s="51" t="e">
        <f t="shared" si="16"/>
        <v>#DIV/0!</v>
      </c>
      <c r="BZ64" s="51" t="e">
        <f t="shared" si="17"/>
        <v>#DIV/0!</v>
      </c>
      <c r="CA64" s="51" t="e">
        <f t="shared" si="18"/>
        <v>#DIV/0!</v>
      </c>
      <c r="CB64" s="51" t="e">
        <f t="shared" si="19"/>
        <v>#DIV/0!</v>
      </c>
      <c r="CC64" s="51" t="e">
        <f t="shared" si="20"/>
        <v>#DIV/0!</v>
      </c>
      <c r="CD64" s="51" t="e">
        <f t="shared" si="21"/>
        <v>#DIV/0!</v>
      </c>
      <c r="CE64" s="53">
        <f t="shared" si="35"/>
        <v>0</v>
      </c>
      <c r="CF64" s="53">
        <f t="shared" si="35"/>
        <v>0</v>
      </c>
      <c r="CG64" s="53">
        <f t="shared" si="35"/>
        <v>0</v>
      </c>
      <c r="CH64" s="53">
        <f t="shared" si="35"/>
        <v>0</v>
      </c>
      <c r="CI64" s="53">
        <f t="shared" si="35"/>
        <v>0</v>
      </c>
      <c r="CJ64" s="53">
        <f t="shared" si="35"/>
        <v>0</v>
      </c>
      <c r="CK64" s="53">
        <f t="shared" si="35"/>
        <v>0</v>
      </c>
      <c r="CL64" s="53">
        <f t="shared" si="35"/>
        <v>0</v>
      </c>
      <c r="CM64" s="53">
        <f t="shared" si="35"/>
        <v>0</v>
      </c>
    </row>
    <row r="65" spans="1:91" x14ac:dyDescent="0.15">
      <c r="A65" s="41">
        <v>63</v>
      </c>
      <c r="B65" s="43">
        <f t="shared" ref="B65:B74" si="44">B$63</f>
        <v>1</v>
      </c>
      <c r="C65" s="43">
        <f t="shared" si="43"/>
        <v>1</v>
      </c>
      <c r="D65" s="43">
        <f t="shared" si="43"/>
        <v>1</v>
      </c>
      <c r="E65" s="43">
        <f t="shared" si="43"/>
        <v>1</v>
      </c>
      <c r="F65" s="43">
        <f t="shared" si="43"/>
        <v>1</v>
      </c>
      <c r="G65" s="43">
        <f t="shared" si="43"/>
        <v>1</v>
      </c>
      <c r="H65" s="43">
        <f t="shared" si="43"/>
        <v>1</v>
      </c>
      <c r="I65" s="43">
        <f t="shared" si="43"/>
        <v>1</v>
      </c>
      <c r="J65" s="43">
        <f t="shared" si="43"/>
        <v>1</v>
      </c>
      <c r="K65" s="43" t="e">
        <f>K64+ATM_Conf!$C$5*(T64-AC64)</f>
        <v>#DIV/0!</v>
      </c>
      <c r="L65" s="43" t="e">
        <f>L64+ATM_Conf!$C$5*(U64-AD64)</f>
        <v>#DIV/0!</v>
      </c>
      <c r="M65" s="43" t="e">
        <f>M64+ATM_Conf!$C$5*(V64-AE64)</f>
        <v>#DIV/0!</v>
      </c>
      <c r="N65" s="43" t="e">
        <f>N64+ATM_Conf!$C$5*(W64-AF64)</f>
        <v>#DIV/0!</v>
      </c>
      <c r="O65" s="43" t="e">
        <f>O64+ATM_Conf!$C$5*(X64-AG64)</f>
        <v>#DIV/0!</v>
      </c>
      <c r="P65" s="43" t="e">
        <f>P64+ATM_Conf!$C$5*(Y64-AH64)</f>
        <v>#DIV/0!</v>
      </c>
      <c r="Q65" s="43" t="e">
        <f>Q64+ATM_Conf!$C$5*(Z64-AI64)</f>
        <v>#DIV/0!</v>
      </c>
      <c r="R65" s="43" t="e">
        <f>R64+ATM_Conf!$C$5*(AA64-AJ64)</f>
        <v>#DIV/0!</v>
      </c>
      <c r="S65" s="43" t="e">
        <f>S64+ATM_Conf!$C$5*(AB64-AK64)</f>
        <v>#DIV/0!</v>
      </c>
      <c r="T65" s="43">
        <f t="shared" si="33"/>
        <v>0</v>
      </c>
      <c r="U65" s="43">
        <f t="shared" si="33"/>
        <v>0</v>
      </c>
      <c r="V65" s="43">
        <f t="shared" si="33"/>
        <v>0</v>
      </c>
      <c r="W65" s="43">
        <f t="shared" ref="U65:AB97" si="45">W$3</f>
        <v>0</v>
      </c>
      <c r="X65" s="43">
        <f t="shared" si="45"/>
        <v>0</v>
      </c>
      <c r="Y65" s="43">
        <f t="shared" si="45"/>
        <v>0</v>
      </c>
      <c r="Z65" s="43">
        <f t="shared" si="45"/>
        <v>0</v>
      </c>
      <c r="AA65" s="43">
        <f t="shared" si="45"/>
        <v>0</v>
      </c>
      <c r="AB65" s="43">
        <f t="shared" si="45"/>
        <v>0</v>
      </c>
      <c r="AC65" s="43" t="e">
        <f t="shared" si="3"/>
        <v>#DIV/0!</v>
      </c>
      <c r="AD65" s="43" t="e">
        <f t="shared" si="4"/>
        <v>#DIV/0!</v>
      </c>
      <c r="AE65" s="43" t="e">
        <f t="shared" si="5"/>
        <v>#DIV/0!</v>
      </c>
      <c r="AF65" s="43" t="e">
        <f t="shared" si="6"/>
        <v>#DIV/0!</v>
      </c>
      <c r="AG65" s="43" t="e">
        <f t="shared" si="7"/>
        <v>#DIV/0!</v>
      </c>
      <c r="AH65" s="43" t="e">
        <f t="shared" si="8"/>
        <v>#DIV/0!</v>
      </c>
      <c r="AI65" s="43" t="e">
        <f t="shared" si="9"/>
        <v>#DIV/0!</v>
      </c>
      <c r="AJ65" s="43" t="e">
        <f t="shared" si="10"/>
        <v>#DIV/0!</v>
      </c>
      <c r="AK65" s="43" t="e">
        <f t="shared" si="11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34"/>
        <v>0</v>
      </c>
      <c r="BE65" s="43">
        <f t="shared" si="34"/>
        <v>0</v>
      </c>
      <c r="BF65" s="43">
        <f t="shared" si="34"/>
        <v>0</v>
      </c>
      <c r="BG65" s="43">
        <f t="shared" ref="BE65:BL97" si="46">BG$3</f>
        <v>0</v>
      </c>
      <c r="BH65" s="43">
        <f t="shared" si="46"/>
        <v>0</v>
      </c>
      <c r="BI65" s="43">
        <f t="shared" si="46"/>
        <v>0</v>
      </c>
      <c r="BJ65" s="43">
        <f t="shared" si="46"/>
        <v>0</v>
      </c>
      <c r="BK65" s="43">
        <f t="shared" si="46"/>
        <v>0</v>
      </c>
      <c r="BL65" s="43">
        <f t="shared" si="46"/>
        <v>0</v>
      </c>
      <c r="BM65" s="51"/>
      <c r="BN65" s="51"/>
      <c r="BO65" s="51"/>
      <c r="BP65" s="51"/>
      <c r="BQ65" s="51"/>
      <c r="BR65" s="51"/>
      <c r="BS65" s="51"/>
      <c r="BT65" s="51"/>
      <c r="BU65" s="51"/>
      <c r="BV65" s="51" t="e">
        <f t="shared" si="13"/>
        <v>#DIV/0!</v>
      </c>
      <c r="BW65" s="51" t="e">
        <f t="shared" si="14"/>
        <v>#DIV/0!</v>
      </c>
      <c r="BX65" s="51" t="e">
        <f t="shared" si="15"/>
        <v>#DIV/0!</v>
      </c>
      <c r="BY65" s="51" t="e">
        <f t="shared" si="16"/>
        <v>#DIV/0!</v>
      </c>
      <c r="BZ65" s="51" t="e">
        <f t="shared" si="17"/>
        <v>#DIV/0!</v>
      </c>
      <c r="CA65" s="51" t="e">
        <f t="shared" si="18"/>
        <v>#DIV/0!</v>
      </c>
      <c r="CB65" s="51" t="e">
        <f t="shared" si="19"/>
        <v>#DIV/0!</v>
      </c>
      <c r="CC65" s="51" t="e">
        <f t="shared" si="20"/>
        <v>#DIV/0!</v>
      </c>
      <c r="CD65" s="51" t="e">
        <f t="shared" si="21"/>
        <v>#DIV/0!</v>
      </c>
      <c r="CE65" s="53">
        <f t="shared" si="35"/>
        <v>0</v>
      </c>
      <c r="CF65" s="53">
        <f t="shared" si="35"/>
        <v>0</v>
      </c>
      <c r="CG65" s="53">
        <f t="shared" si="35"/>
        <v>0</v>
      </c>
      <c r="CH65" s="53">
        <f t="shared" ref="CF65:CM97" si="47">CH$3</f>
        <v>0</v>
      </c>
      <c r="CI65" s="53">
        <f t="shared" si="47"/>
        <v>0</v>
      </c>
      <c r="CJ65" s="53">
        <f t="shared" si="47"/>
        <v>0</v>
      </c>
      <c r="CK65" s="53">
        <f t="shared" si="47"/>
        <v>0</v>
      </c>
      <c r="CL65" s="53">
        <f t="shared" si="47"/>
        <v>0</v>
      </c>
      <c r="CM65" s="53">
        <f t="shared" si="47"/>
        <v>0</v>
      </c>
    </row>
    <row r="66" spans="1:91" x14ac:dyDescent="0.15">
      <c r="A66" s="41">
        <v>64</v>
      </c>
      <c r="B66" s="43">
        <f t="shared" si="44"/>
        <v>1</v>
      </c>
      <c r="C66" s="43">
        <f t="shared" si="43"/>
        <v>1</v>
      </c>
      <c r="D66" s="43">
        <f t="shared" si="43"/>
        <v>1</v>
      </c>
      <c r="E66" s="43">
        <f t="shared" si="43"/>
        <v>1</v>
      </c>
      <c r="F66" s="43">
        <f t="shared" si="43"/>
        <v>1</v>
      </c>
      <c r="G66" s="43">
        <f t="shared" si="43"/>
        <v>1</v>
      </c>
      <c r="H66" s="43">
        <f t="shared" si="43"/>
        <v>1</v>
      </c>
      <c r="I66" s="43">
        <f t="shared" si="43"/>
        <v>1</v>
      </c>
      <c r="J66" s="43">
        <f t="shared" si="43"/>
        <v>1</v>
      </c>
      <c r="K66" s="43" t="e">
        <f>K65+ATM_Conf!$C$5*(T65-AC65)</f>
        <v>#DIV/0!</v>
      </c>
      <c r="L66" s="43" t="e">
        <f>L65+ATM_Conf!$C$5*(U65-AD65)</f>
        <v>#DIV/0!</v>
      </c>
      <c r="M66" s="43" t="e">
        <f>M65+ATM_Conf!$C$5*(V65-AE65)</f>
        <v>#DIV/0!</v>
      </c>
      <c r="N66" s="43" t="e">
        <f>N65+ATM_Conf!$C$5*(W65-AF65)</f>
        <v>#DIV/0!</v>
      </c>
      <c r="O66" s="43" t="e">
        <f>O65+ATM_Conf!$C$5*(X65-AG65)</f>
        <v>#DIV/0!</v>
      </c>
      <c r="P66" s="43" t="e">
        <f>P65+ATM_Conf!$C$5*(Y65-AH65)</f>
        <v>#DIV/0!</v>
      </c>
      <c r="Q66" s="43" t="e">
        <f>Q65+ATM_Conf!$C$5*(Z65-AI65)</f>
        <v>#DIV/0!</v>
      </c>
      <c r="R66" s="43" t="e">
        <f>R65+ATM_Conf!$C$5*(AA65-AJ65)</f>
        <v>#DIV/0!</v>
      </c>
      <c r="S66" s="43" t="e">
        <f>S65+ATM_Conf!$C$5*(AB65-AK65)</f>
        <v>#DIV/0!</v>
      </c>
      <c r="T66" s="43">
        <f t="shared" ref="T66:AB129" si="48">T$3</f>
        <v>0</v>
      </c>
      <c r="U66" s="43">
        <f t="shared" si="45"/>
        <v>0</v>
      </c>
      <c r="V66" s="43">
        <f t="shared" si="45"/>
        <v>0</v>
      </c>
      <c r="W66" s="43">
        <f t="shared" si="45"/>
        <v>0</v>
      </c>
      <c r="X66" s="43">
        <f t="shared" si="45"/>
        <v>0</v>
      </c>
      <c r="Y66" s="43">
        <f t="shared" si="45"/>
        <v>0</v>
      </c>
      <c r="Z66" s="43">
        <f t="shared" si="45"/>
        <v>0</v>
      </c>
      <c r="AA66" s="43">
        <f t="shared" si="45"/>
        <v>0</v>
      </c>
      <c r="AB66" s="43">
        <f t="shared" si="45"/>
        <v>0</v>
      </c>
      <c r="AC66" s="43" t="e">
        <f t="shared" si="3"/>
        <v>#DIV/0!</v>
      </c>
      <c r="AD66" s="43" t="e">
        <f t="shared" si="4"/>
        <v>#DIV/0!</v>
      </c>
      <c r="AE66" s="43" t="e">
        <f t="shared" si="5"/>
        <v>#DIV/0!</v>
      </c>
      <c r="AF66" s="43" t="e">
        <f t="shared" si="6"/>
        <v>#DIV/0!</v>
      </c>
      <c r="AG66" s="43" t="e">
        <f t="shared" si="7"/>
        <v>#DIV/0!</v>
      </c>
      <c r="AH66" s="43" t="e">
        <f t="shared" si="8"/>
        <v>#DIV/0!</v>
      </c>
      <c r="AI66" s="43" t="e">
        <f t="shared" si="9"/>
        <v>#DIV/0!</v>
      </c>
      <c r="AJ66" s="43" t="e">
        <f t="shared" si="10"/>
        <v>#DIV/0!</v>
      </c>
      <c r="AK66" s="43" t="e">
        <f t="shared" si="11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49">BD$3</f>
        <v>0</v>
      </c>
      <c r="BE66" s="43">
        <f t="shared" si="46"/>
        <v>0</v>
      </c>
      <c r="BF66" s="43">
        <f t="shared" si="46"/>
        <v>0</v>
      </c>
      <c r="BG66" s="43">
        <f t="shared" si="46"/>
        <v>0</v>
      </c>
      <c r="BH66" s="43">
        <f t="shared" si="46"/>
        <v>0</v>
      </c>
      <c r="BI66" s="43">
        <f t="shared" si="46"/>
        <v>0</v>
      </c>
      <c r="BJ66" s="43">
        <f t="shared" si="46"/>
        <v>0</v>
      </c>
      <c r="BK66" s="43">
        <f t="shared" si="46"/>
        <v>0</v>
      </c>
      <c r="BL66" s="43">
        <f t="shared" si="46"/>
        <v>0</v>
      </c>
      <c r="BM66" s="51"/>
      <c r="BN66" s="51"/>
      <c r="BO66" s="51"/>
      <c r="BP66" s="51"/>
      <c r="BQ66" s="51"/>
      <c r="BR66" s="51"/>
      <c r="BS66" s="51"/>
      <c r="BT66" s="51"/>
      <c r="BU66" s="51"/>
      <c r="BV66" s="51" t="e">
        <f t="shared" si="13"/>
        <v>#DIV/0!</v>
      </c>
      <c r="BW66" s="51" t="e">
        <f t="shared" si="14"/>
        <v>#DIV/0!</v>
      </c>
      <c r="BX66" s="51" t="e">
        <f t="shared" si="15"/>
        <v>#DIV/0!</v>
      </c>
      <c r="BY66" s="51" t="e">
        <f t="shared" si="16"/>
        <v>#DIV/0!</v>
      </c>
      <c r="BZ66" s="51" t="e">
        <f t="shared" si="17"/>
        <v>#DIV/0!</v>
      </c>
      <c r="CA66" s="51" t="e">
        <f t="shared" si="18"/>
        <v>#DIV/0!</v>
      </c>
      <c r="CB66" s="51" t="e">
        <f t="shared" si="19"/>
        <v>#DIV/0!</v>
      </c>
      <c r="CC66" s="51" t="e">
        <f t="shared" si="20"/>
        <v>#DIV/0!</v>
      </c>
      <c r="CD66" s="51" t="e">
        <f t="shared" si="21"/>
        <v>#DIV/0!</v>
      </c>
      <c r="CE66" s="53">
        <f t="shared" ref="CE66:CM129" si="50">CE$3</f>
        <v>0</v>
      </c>
      <c r="CF66" s="53">
        <f t="shared" si="47"/>
        <v>0</v>
      </c>
      <c r="CG66" s="53">
        <f t="shared" si="47"/>
        <v>0</v>
      </c>
      <c r="CH66" s="53">
        <f t="shared" si="47"/>
        <v>0</v>
      </c>
      <c r="CI66" s="53">
        <f t="shared" si="47"/>
        <v>0</v>
      </c>
      <c r="CJ66" s="53">
        <f t="shared" si="47"/>
        <v>0</v>
      </c>
      <c r="CK66" s="53">
        <f t="shared" si="47"/>
        <v>0</v>
      </c>
      <c r="CL66" s="53">
        <f t="shared" si="47"/>
        <v>0</v>
      </c>
      <c r="CM66" s="53">
        <f t="shared" si="47"/>
        <v>0</v>
      </c>
    </row>
    <row r="67" spans="1:91" x14ac:dyDescent="0.15">
      <c r="A67" s="41">
        <v>65</v>
      </c>
      <c r="B67" s="43">
        <f t="shared" si="44"/>
        <v>1</v>
      </c>
      <c r="C67" s="43">
        <f t="shared" si="43"/>
        <v>1</v>
      </c>
      <c r="D67" s="43">
        <f t="shared" si="43"/>
        <v>1</v>
      </c>
      <c r="E67" s="43">
        <f t="shared" si="43"/>
        <v>1</v>
      </c>
      <c r="F67" s="43">
        <f t="shared" si="43"/>
        <v>1</v>
      </c>
      <c r="G67" s="43">
        <f t="shared" si="43"/>
        <v>1</v>
      </c>
      <c r="H67" s="43">
        <f t="shared" si="43"/>
        <v>1</v>
      </c>
      <c r="I67" s="43">
        <f t="shared" si="43"/>
        <v>1</v>
      </c>
      <c r="J67" s="43">
        <f t="shared" si="43"/>
        <v>1</v>
      </c>
      <c r="K67" s="43" t="e">
        <f>K66+ATM_Conf!$C$5*(T66-AC66)</f>
        <v>#DIV/0!</v>
      </c>
      <c r="L67" s="43" t="e">
        <f>L66+ATM_Conf!$C$5*(U66-AD66)</f>
        <v>#DIV/0!</v>
      </c>
      <c r="M67" s="43" t="e">
        <f>M66+ATM_Conf!$C$5*(V66-AE66)</f>
        <v>#DIV/0!</v>
      </c>
      <c r="N67" s="43" t="e">
        <f>N66+ATM_Conf!$C$5*(W66-AF66)</f>
        <v>#DIV/0!</v>
      </c>
      <c r="O67" s="43" t="e">
        <f>O66+ATM_Conf!$C$5*(X66-AG66)</f>
        <v>#DIV/0!</v>
      </c>
      <c r="P67" s="43" t="e">
        <f>P66+ATM_Conf!$C$5*(Y66-AH66)</f>
        <v>#DIV/0!</v>
      </c>
      <c r="Q67" s="43" t="e">
        <f>Q66+ATM_Conf!$C$5*(Z66-AI66)</f>
        <v>#DIV/0!</v>
      </c>
      <c r="R67" s="43" t="e">
        <f>R66+ATM_Conf!$C$5*(AA66-AJ66)</f>
        <v>#DIV/0!</v>
      </c>
      <c r="S67" s="43" t="e">
        <f>S66+ATM_Conf!$C$5*(AB66-AK66)</f>
        <v>#DIV/0!</v>
      </c>
      <c r="T67" s="43">
        <f t="shared" si="48"/>
        <v>0</v>
      </c>
      <c r="U67" s="43">
        <f t="shared" si="45"/>
        <v>0</v>
      </c>
      <c r="V67" s="43">
        <f t="shared" si="45"/>
        <v>0</v>
      </c>
      <c r="W67" s="43">
        <f t="shared" si="45"/>
        <v>0</v>
      </c>
      <c r="X67" s="43">
        <f t="shared" si="45"/>
        <v>0</v>
      </c>
      <c r="Y67" s="43">
        <f t="shared" si="45"/>
        <v>0</v>
      </c>
      <c r="Z67" s="43">
        <f t="shared" si="45"/>
        <v>0</v>
      </c>
      <c r="AA67" s="43">
        <f t="shared" si="45"/>
        <v>0</v>
      </c>
      <c r="AB67" s="43">
        <f t="shared" si="45"/>
        <v>0</v>
      </c>
      <c r="AC67" s="43" t="e">
        <f t="shared" si="3"/>
        <v>#DIV/0!</v>
      </c>
      <c r="AD67" s="43" t="e">
        <f t="shared" si="4"/>
        <v>#DIV/0!</v>
      </c>
      <c r="AE67" s="43" t="e">
        <f t="shared" si="5"/>
        <v>#DIV/0!</v>
      </c>
      <c r="AF67" s="43" t="e">
        <f t="shared" si="6"/>
        <v>#DIV/0!</v>
      </c>
      <c r="AG67" s="43" t="e">
        <f t="shared" si="7"/>
        <v>#DIV/0!</v>
      </c>
      <c r="AH67" s="43" t="e">
        <f t="shared" si="8"/>
        <v>#DIV/0!</v>
      </c>
      <c r="AI67" s="43" t="e">
        <f t="shared" si="9"/>
        <v>#DIV/0!</v>
      </c>
      <c r="AJ67" s="43" t="e">
        <f t="shared" si="10"/>
        <v>#DIV/0!</v>
      </c>
      <c r="AK67" s="43" t="e">
        <f t="shared" si="11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49"/>
        <v>0</v>
      </c>
      <c r="BE67" s="43">
        <f t="shared" si="46"/>
        <v>0</v>
      </c>
      <c r="BF67" s="43">
        <f t="shared" si="46"/>
        <v>0</v>
      </c>
      <c r="BG67" s="43">
        <f t="shared" si="46"/>
        <v>0</v>
      </c>
      <c r="BH67" s="43">
        <f t="shared" si="46"/>
        <v>0</v>
      </c>
      <c r="BI67" s="43">
        <f t="shared" si="46"/>
        <v>0</v>
      </c>
      <c r="BJ67" s="43">
        <f t="shared" si="46"/>
        <v>0</v>
      </c>
      <c r="BK67" s="43">
        <f t="shared" si="46"/>
        <v>0</v>
      </c>
      <c r="BL67" s="43">
        <f t="shared" si="46"/>
        <v>0</v>
      </c>
      <c r="BM67" s="51"/>
      <c r="BN67" s="51"/>
      <c r="BO67" s="51"/>
      <c r="BP67" s="51"/>
      <c r="BQ67" s="51"/>
      <c r="BR67" s="51"/>
      <c r="BS67" s="51"/>
      <c r="BT67" s="51"/>
      <c r="BU67" s="51"/>
      <c r="BV67" s="51" t="e">
        <f t="shared" si="13"/>
        <v>#DIV/0!</v>
      </c>
      <c r="BW67" s="51" t="e">
        <f t="shared" si="14"/>
        <v>#DIV/0!</v>
      </c>
      <c r="BX67" s="51" t="e">
        <f t="shared" si="15"/>
        <v>#DIV/0!</v>
      </c>
      <c r="BY67" s="51" t="e">
        <f t="shared" si="16"/>
        <v>#DIV/0!</v>
      </c>
      <c r="BZ67" s="51" t="e">
        <f t="shared" si="17"/>
        <v>#DIV/0!</v>
      </c>
      <c r="CA67" s="51" t="e">
        <f t="shared" si="18"/>
        <v>#DIV/0!</v>
      </c>
      <c r="CB67" s="51" t="e">
        <f t="shared" si="19"/>
        <v>#DIV/0!</v>
      </c>
      <c r="CC67" s="51" t="e">
        <f t="shared" si="20"/>
        <v>#DIV/0!</v>
      </c>
      <c r="CD67" s="51" t="e">
        <f t="shared" si="21"/>
        <v>#DIV/0!</v>
      </c>
      <c r="CE67" s="53">
        <f t="shared" si="50"/>
        <v>0</v>
      </c>
      <c r="CF67" s="53">
        <f t="shared" si="47"/>
        <v>0</v>
      </c>
      <c r="CG67" s="53">
        <f t="shared" si="47"/>
        <v>0</v>
      </c>
      <c r="CH67" s="53">
        <f t="shared" si="47"/>
        <v>0</v>
      </c>
      <c r="CI67" s="53">
        <f t="shared" si="47"/>
        <v>0</v>
      </c>
      <c r="CJ67" s="53">
        <f t="shared" si="47"/>
        <v>0</v>
      </c>
      <c r="CK67" s="53">
        <f t="shared" si="47"/>
        <v>0</v>
      </c>
      <c r="CL67" s="53">
        <f t="shared" si="47"/>
        <v>0</v>
      </c>
      <c r="CM67" s="53">
        <f t="shared" si="47"/>
        <v>0</v>
      </c>
    </row>
    <row r="68" spans="1:91" x14ac:dyDescent="0.15">
      <c r="A68" s="41">
        <v>66</v>
      </c>
      <c r="B68" s="43">
        <f t="shared" si="44"/>
        <v>1</v>
      </c>
      <c r="C68" s="43">
        <f t="shared" si="43"/>
        <v>1</v>
      </c>
      <c r="D68" s="43">
        <f t="shared" si="43"/>
        <v>1</v>
      </c>
      <c r="E68" s="43">
        <f t="shared" si="43"/>
        <v>1</v>
      </c>
      <c r="F68" s="43">
        <f t="shared" si="43"/>
        <v>1</v>
      </c>
      <c r="G68" s="43">
        <f t="shared" si="43"/>
        <v>1</v>
      </c>
      <c r="H68" s="43">
        <f t="shared" si="43"/>
        <v>1</v>
      </c>
      <c r="I68" s="43">
        <f t="shared" si="43"/>
        <v>1</v>
      </c>
      <c r="J68" s="43">
        <f t="shared" si="43"/>
        <v>1</v>
      </c>
      <c r="K68" s="43" t="e">
        <f>K67+ATM_Conf!$C$5*(T67-AC67)</f>
        <v>#DIV/0!</v>
      </c>
      <c r="L68" s="43" t="e">
        <f>L67+ATM_Conf!$C$5*(U67-AD67)</f>
        <v>#DIV/0!</v>
      </c>
      <c r="M68" s="43" t="e">
        <f>M67+ATM_Conf!$C$5*(V67-AE67)</f>
        <v>#DIV/0!</v>
      </c>
      <c r="N68" s="43" t="e">
        <f>N67+ATM_Conf!$C$5*(W67-AF67)</f>
        <v>#DIV/0!</v>
      </c>
      <c r="O68" s="43" t="e">
        <f>O67+ATM_Conf!$C$5*(X67-AG67)</f>
        <v>#DIV/0!</v>
      </c>
      <c r="P68" s="43" t="e">
        <f>P67+ATM_Conf!$C$5*(Y67-AH67)</f>
        <v>#DIV/0!</v>
      </c>
      <c r="Q68" s="43" t="e">
        <f>Q67+ATM_Conf!$C$5*(Z67-AI67)</f>
        <v>#DIV/0!</v>
      </c>
      <c r="R68" s="43" t="e">
        <f>R67+ATM_Conf!$C$5*(AA67-AJ67)</f>
        <v>#DIV/0!</v>
      </c>
      <c r="S68" s="43" t="e">
        <f>S67+ATM_Conf!$C$5*(AB67-AK67)</f>
        <v>#DIV/0!</v>
      </c>
      <c r="T68" s="43">
        <f t="shared" si="48"/>
        <v>0</v>
      </c>
      <c r="U68" s="43">
        <f t="shared" si="45"/>
        <v>0</v>
      </c>
      <c r="V68" s="43">
        <f t="shared" si="45"/>
        <v>0</v>
      </c>
      <c r="W68" s="43">
        <f t="shared" si="45"/>
        <v>0</v>
      </c>
      <c r="X68" s="43">
        <f t="shared" si="45"/>
        <v>0</v>
      </c>
      <c r="Y68" s="43">
        <f t="shared" si="45"/>
        <v>0</v>
      </c>
      <c r="Z68" s="43">
        <f t="shared" si="45"/>
        <v>0</v>
      </c>
      <c r="AA68" s="43">
        <f t="shared" si="45"/>
        <v>0</v>
      </c>
      <c r="AB68" s="43">
        <f t="shared" si="45"/>
        <v>0</v>
      </c>
      <c r="AC68" s="43" t="e">
        <f t="shared" ref="AC68:AC131" si="51">B68*MIN(AL68,AU68)</f>
        <v>#DIV/0!</v>
      </c>
      <c r="AD68" s="43" t="e">
        <f t="shared" ref="AD68:AD131" si="52">C68*MIN(AM68,AV68)</f>
        <v>#DIV/0!</v>
      </c>
      <c r="AE68" s="43" t="e">
        <f t="shared" ref="AE68:AE131" si="53">D68*MIN(AN68,AW68)</f>
        <v>#DIV/0!</v>
      </c>
      <c r="AF68" s="43" t="e">
        <f t="shared" ref="AF68:AF131" si="54">E68*MIN(AO68,AX68)</f>
        <v>#DIV/0!</v>
      </c>
      <c r="AG68" s="43" t="e">
        <f t="shared" ref="AG68:AG131" si="55">F68*MIN(AP68,AY68)</f>
        <v>#DIV/0!</v>
      </c>
      <c r="AH68" s="43" t="e">
        <f t="shared" ref="AH68:AH131" si="56">G68*MIN(AQ68,AZ68)</f>
        <v>#DIV/0!</v>
      </c>
      <c r="AI68" s="43" t="e">
        <f t="shared" ref="AI68:AI131" si="57">H68*MIN(AR68,BA68)</f>
        <v>#DIV/0!</v>
      </c>
      <c r="AJ68" s="43" t="e">
        <f t="shared" ref="AJ68:AJ131" si="58">I68*MIN(AS68,BB68)</f>
        <v>#DIV/0!</v>
      </c>
      <c r="AK68" s="43" t="e">
        <f t="shared" ref="AK68:AK131" si="59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49"/>
        <v>0</v>
      </c>
      <c r="BE68" s="43">
        <f t="shared" si="46"/>
        <v>0</v>
      </c>
      <c r="BF68" s="43">
        <f t="shared" si="46"/>
        <v>0</v>
      </c>
      <c r="BG68" s="43">
        <f t="shared" si="46"/>
        <v>0</v>
      </c>
      <c r="BH68" s="43">
        <f t="shared" si="46"/>
        <v>0</v>
      </c>
      <c r="BI68" s="43">
        <f t="shared" si="46"/>
        <v>0</v>
      </c>
      <c r="BJ68" s="43">
        <f t="shared" si="46"/>
        <v>0</v>
      </c>
      <c r="BK68" s="43">
        <f t="shared" si="46"/>
        <v>0</v>
      </c>
      <c r="BL68" s="43">
        <f t="shared" si="46"/>
        <v>0</v>
      </c>
      <c r="BM68" s="51"/>
      <c r="BN68" s="51"/>
      <c r="BO68" s="51"/>
      <c r="BP68" s="51"/>
      <c r="BQ68" s="51"/>
      <c r="BR68" s="51"/>
      <c r="BS68" s="51"/>
      <c r="BT68" s="51"/>
      <c r="BU68" s="51"/>
      <c r="BV68" s="51" t="e">
        <f t="shared" ref="BV68:BV131" si="60">(MAX(K68-T$190,0))^2</f>
        <v>#DIV/0!</v>
      </c>
      <c r="BW68" s="51" t="e">
        <f t="shared" ref="BW68:BW131" si="61">(MAX(L68-U$190,0))^2</f>
        <v>#DIV/0!</v>
      </c>
      <c r="BX68" s="51" t="e">
        <f t="shared" ref="BX68:BX131" si="62">(MAX(M68-V$190,0))^2</f>
        <v>#DIV/0!</v>
      </c>
      <c r="BY68" s="51" t="e">
        <f t="shared" ref="BY68:BY131" si="63">(MAX(N68-W$190,0))^2</f>
        <v>#DIV/0!</v>
      </c>
      <c r="BZ68" s="51" t="e">
        <f t="shared" ref="BZ68:BZ131" si="64">(MAX(O68-X$190,0))^2</f>
        <v>#DIV/0!</v>
      </c>
      <c r="CA68" s="51" t="e">
        <f t="shared" ref="CA68:CA131" si="65">(MAX(P68-Y$190,0))^2</f>
        <v>#DIV/0!</v>
      </c>
      <c r="CB68" s="51" t="e">
        <f t="shared" ref="CB68:CB131" si="66">(MAX(Q68-Z$190,0))^2</f>
        <v>#DIV/0!</v>
      </c>
      <c r="CC68" s="51" t="e">
        <f t="shared" ref="CC68:CC131" si="67">(MAX(R68-AA$190,0))^2</f>
        <v>#DIV/0!</v>
      </c>
      <c r="CD68" s="51" t="e">
        <f t="shared" ref="CD68:CD131" si="68">(MAX(S68-AB$190,0))^2</f>
        <v>#DIV/0!</v>
      </c>
      <c r="CE68" s="53">
        <f t="shared" si="50"/>
        <v>0</v>
      </c>
      <c r="CF68" s="53">
        <f t="shared" si="47"/>
        <v>0</v>
      </c>
      <c r="CG68" s="53">
        <f t="shared" si="47"/>
        <v>0</v>
      </c>
      <c r="CH68" s="53">
        <f t="shared" si="47"/>
        <v>0</v>
      </c>
      <c r="CI68" s="53">
        <f t="shared" si="47"/>
        <v>0</v>
      </c>
      <c r="CJ68" s="53">
        <f t="shared" si="47"/>
        <v>0</v>
      </c>
      <c r="CK68" s="53">
        <f t="shared" si="47"/>
        <v>0</v>
      </c>
      <c r="CL68" s="53">
        <f t="shared" si="47"/>
        <v>0</v>
      </c>
      <c r="CM68" s="53">
        <f t="shared" si="47"/>
        <v>0</v>
      </c>
    </row>
    <row r="69" spans="1:91" x14ac:dyDescent="0.15">
      <c r="A69" s="41">
        <v>67</v>
      </c>
      <c r="B69" s="43">
        <f t="shared" si="44"/>
        <v>1</v>
      </c>
      <c r="C69" s="43">
        <f t="shared" si="43"/>
        <v>1</v>
      </c>
      <c r="D69" s="43">
        <f t="shared" si="43"/>
        <v>1</v>
      </c>
      <c r="E69" s="43">
        <f t="shared" si="43"/>
        <v>1</v>
      </c>
      <c r="F69" s="43">
        <f t="shared" si="43"/>
        <v>1</v>
      </c>
      <c r="G69" s="43">
        <f t="shared" si="43"/>
        <v>1</v>
      </c>
      <c r="H69" s="43">
        <f t="shared" si="43"/>
        <v>1</v>
      </c>
      <c r="I69" s="43">
        <f t="shared" si="43"/>
        <v>1</v>
      </c>
      <c r="J69" s="43">
        <f t="shared" si="43"/>
        <v>1</v>
      </c>
      <c r="K69" s="43" t="e">
        <f>K68+ATM_Conf!$C$5*(T68-AC68)</f>
        <v>#DIV/0!</v>
      </c>
      <c r="L69" s="43" t="e">
        <f>L68+ATM_Conf!$C$5*(U68-AD68)</f>
        <v>#DIV/0!</v>
      </c>
      <c r="M69" s="43" t="e">
        <f>M68+ATM_Conf!$C$5*(V68-AE68)</f>
        <v>#DIV/0!</v>
      </c>
      <c r="N69" s="43" t="e">
        <f>N68+ATM_Conf!$C$5*(W68-AF68)</f>
        <v>#DIV/0!</v>
      </c>
      <c r="O69" s="43" t="e">
        <f>O68+ATM_Conf!$C$5*(X68-AG68)</f>
        <v>#DIV/0!</v>
      </c>
      <c r="P69" s="43" t="e">
        <f>P68+ATM_Conf!$C$5*(Y68-AH68)</f>
        <v>#DIV/0!</v>
      </c>
      <c r="Q69" s="43" t="e">
        <f>Q68+ATM_Conf!$C$5*(Z68-AI68)</f>
        <v>#DIV/0!</v>
      </c>
      <c r="R69" s="43" t="e">
        <f>R68+ATM_Conf!$C$5*(AA68-AJ68)</f>
        <v>#DIV/0!</v>
      </c>
      <c r="S69" s="43" t="e">
        <f>S68+ATM_Conf!$C$5*(AB68-AK68)</f>
        <v>#DIV/0!</v>
      </c>
      <c r="T69" s="43">
        <f t="shared" si="48"/>
        <v>0</v>
      </c>
      <c r="U69" s="43">
        <f t="shared" si="45"/>
        <v>0</v>
      </c>
      <c r="V69" s="43">
        <f t="shared" si="45"/>
        <v>0</v>
      </c>
      <c r="W69" s="43">
        <f t="shared" si="45"/>
        <v>0</v>
      </c>
      <c r="X69" s="43">
        <f t="shared" si="45"/>
        <v>0</v>
      </c>
      <c r="Y69" s="43">
        <f t="shared" si="45"/>
        <v>0</v>
      </c>
      <c r="Z69" s="43">
        <f t="shared" si="45"/>
        <v>0</v>
      </c>
      <c r="AA69" s="43">
        <f t="shared" si="45"/>
        <v>0</v>
      </c>
      <c r="AB69" s="43">
        <f t="shared" si="45"/>
        <v>0</v>
      </c>
      <c r="AC69" s="43" t="e">
        <f t="shared" si="51"/>
        <v>#DIV/0!</v>
      </c>
      <c r="AD69" s="43" t="e">
        <f t="shared" si="52"/>
        <v>#DIV/0!</v>
      </c>
      <c r="AE69" s="43" t="e">
        <f t="shared" si="53"/>
        <v>#DIV/0!</v>
      </c>
      <c r="AF69" s="43" t="e">
        <f t="shared" si="54"/>
        <v>#DIV/0!</v>
      </c>
      <c r="AG69" s="43" t="e">
        <f t="shared" si="55"/>
        <v>#DIV/0!</v>
      </c>
      <c r="AH69" s="43" t="e">
        <f t="shared" si="56"/>
        <v>#DIV/0!</v>
      </c>
      <c r="AI69" s="43" t="e">
        <f t="shared" si="57"/>
        <v>#DIV/0!</v>
      </c>
      <c r="AJ69" s="43" t="e">
        <f t="shared" si="58"/>
        <v>#DIV/0!</v>
      </c>
      <c r="AK69" s="43" t="e">
        <f t="shared" si="59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49"/>
        <v>0</v>
      </c>
      <c r="BE69" s="43">
        <f t="shared" si="46"/>
        <v>0</v>
      </c>
      <c r="BF69" s="43">
        <f t="shared" si="46"/>
        <v>0</v>
      </c>
      <c r="BG69" s="43">
        <f t="shared" si="46"/>
        <v>0</v>
      </c>
      <c r="BH69" s="43">
        <f t="shared" si="46"/>
        <v>0</v>
      </c>
      <c r="BI69" s="43">
        <f t="shared" si="46"/>
        <v>0</v>
      </c>
      <c r="BJ69" s="43">
        <f t="shared" si="46"/>
        <v>0</v>
      </c>
      <c r="BK69" s="43">
        <f t="shared" si="46"/>
        <v>0</v>
      </c>
      <c r="BL69" s="43">
        <f t="shared" si="46"/>
        <v>0</v>
      </c>
      <c r="BM69" s="51"/>
      <c r="BN69" s="51"/>
      <c r="BO69" s="51"/>
      <c r="BP69" s="51"/>
      <c r="BQ69" s="51"/>
      <c r="BR69" s="51"/>
      <c r="BS69" s="51"/>
      <c r="BT69" s="51"/>
      <c r="BU69" s="51"/>
      <c r="BV69" s="51" t="e">
        <f t="shared" si="60"/>
        <v>#DIV/0!</v>
      </c>
      <c r="BW69" s="51" t="e">
        <f t="shared" si="61"/>
        <v>#DIV/0!</v>
      </c>
      <c r="BX69" s="51" t="e">
        <f t="shared" si="62"/>
        <v>#DIV/0!</v>
      </c>
      <c r="BY69" s="51" t="e">
        <f t="shared" si="63"/>
        <v>#DIV/0!</v>
      </c>
      <c r="BZ69" s="51" t="e">
        <f t="shared" si="64"/>
        <v>#DIV/0!</v>
      </c>
      <c r="CA69" s="51" t="e">
        <f t="shared" si="65"/>
        <v>#DIV/0!</v>
      </c>
      <c r="CB69" s="51" t="e">
        <f t="shared" si="66"/>
        <v>#DIV/0!</v>
      </c>
      <c r="CC69" s="51" t="e">
        <f t="shared" si="67"/>
        <v>#DIV/0!</v>
      </c>
      <c r="CD69" s="51" t="e">
        <f t="shared" si="68"/>
        <v>#DIV/0!</v>
      </c>
      <c r="CE69" s="53">
        <f t="shared" si="50"/>
        <v>0</v>
      </c>
      <c r="CF69" s="53">
        <f t="shared" si="47"/>
        <v>0</v>
      </c>
      <c r="CG69" s="53">
        <f t="shared" si="47"/>
        <v>0</v>
      </c>
      <c r="CH69" s="53">
        <f t="shared" si="47"/>
        <v>0</v>
      </c>
      <c r="CI69" s="53">
        <f t="shared" si="47"/>
        <v>0</v>
      </c>
      <c r="CJ69" s="53">
        <f t="shared" si="47"/>
        <v>0</v>
      </c>
      <c r="CK69" s="53">
        <f t="shared" si="47"/>
        <v>0</v>
      </c>
      <c r="CL69" s="53">
        <f t="shared" si="47"/>
        <v>0</v>
      </c>
      <c r="CM69" s="53">
        <f t="shared" si="47"/>
        <v>0</v>
      </c>
    </row>
    <row r="70" spans="1:91" x14ac:dyDescent="0.15">
      <c r="A70" s="41">
        <v>68</v>
      </c>
      <c r="B70" s="43">
        <f t="shared" si="44"/>
        <v>1</v>
      </c>
      <c r="C70" s="43">
        <f t="shared" si="43"/>
        <v>1</v>
      </c>
      <c r="D70" s="43">
        <f t="shared" si="43"/>
        <v>1</v>
      </c>
      <c r="E70" s="43">
        <f t="shared" si="43"/>
        <v>1</v>
      </c>
      <c r="F70" s="43">
        <f t="shared" si="43"/>
        <v>1</v>
      </c>
      <c r="G70" s="43">
        <f t="shared" si="43"/>
        <v>1</v>
      </c>
      <c r="H70" s="43">
        <f t="shared" si="43"/>
        <v>1</v>
      </c>
      <c r="I70" s="43">
        <f t="shared" si="43"/>
        <v>1</v>
      </c>
      <c r="J70" s="43">
        <f t="shared" si="43"/>
        <v>1</v>
      </c>
      <c r="K70" s="43" t="e">
        <f>K69+ATM_Conf!$C$5*(T69-AC69)</f>
        <v>#DIV/0!</v>
      </c>
      <c r="L70" s="43" t="e">
        <f>L69+ATM_Conf!$C$5*(U69-AD69)</f>
        <v>#DIV/0!</v>
      </c>
      <c r="M70" s="43" t="e">
        <f>M69+ATM_Conf!$C$5*(V69-AE69)</f>
        <v>#DIV/0!</v>
      </c>
      <c r="N70" s="43" t="e">
        <f>N69+ATM_Conf!$C$5*(W69-AF69)</f>
        <v>#DIV/0!</v>
      </c>
      <c r="O70" s="43" t="e">
        <f>O69+ATM_Conf!$C$5*(X69-AG69)</f>
        <v>#DIV/0!</v>
      </c>
      <c r="P70" s="43" t="e">
        <f>P69+ATM_Conf!$C$5*(Y69-AH69)</f>
        <v>#DIV/0!</v>
      </c>
      <c r="Q70" s="43" t="e">
        <f>Q69+ATM_Conf!$C$5*(Z69-AI69)</f>
        <v>#DIV/0!</v>
      </c>
      <c r="R70" s="43" t="e">
        <f>R69+ATM_Conf!$C$5*(AA69-AJ69)</f>
        <v>#DIV/0!</v>
      </c>
      <c r="S70" s="43" t="e">
        <f>S69+ATM_Conf!$C$5*(AB69-AK69)</f>
        <v>#DIV/0!</v>
      </c>
      <c r="T70" s="43">
        <f t="shared" si="48"/>
        <v>0</v>
      </c>
      <c r="U70" s="43">
        <f t="shared" si="45"/>
        <v>0</v>
      </c>
      <c r="V70" s="43">
        <f t="shared" si="45"/>
        <v>0</v>
      </c>
      <c r="W70" s="43">
        <f t="shared" si="45"/>
        <v>0</v>
      </c>
      <c r="X70" s="43">
        <f t="shared" si="45"/>
        <v>0</v>
      </c>
      <c r="Y70" s="43">
        <f t="shared" si="45"/>
        <v>0</v>
      </c>
      <c r="Z70" s="43">
        <f t="shared" si="45"/>
        <v>0</v>
      </c>
      <c r="AA70" s="43">
        <f t="shared" si="45"/>
        <v>0</v>
      </c>
      <c r="AB70" s="43">
        <f t="shared" si="45"/>
        <v>0</v>
      </c>
      <c r="AC70" s="43" t="e">
        <f t="shared" si="51"/>
        <v>#DIV/0!</v>
      </c>
      <c r="AD70" s="43" t="e">
        <f t="shared" si="52"/>
        <v>#DIV/0!</v>
      </c>
      <c r="AE70" s="43" t="e">
        <f t="shared" si="53"/>
        <v>#DIV/0!</v>
      </c>
      <c r="AF70" s="43" t="e">
        <f t="shared" si="54"/>
        <v>#DIV/0!</v>
      </c>
      <c r="AG70" s="43" t="e">
        <f t="shared" si="55"/>
        <v>#DIV/0!</v>
      </c>
      <c r="AH70" s="43" t="e">
        <f t="shared" si="56"/>
        <v>#DIV/0!</v>
      </c>
      <c r="AI70" s="43" t="e">
        <f t="shared" si="57"/>
        <v>#DIV/0!</v>
      </c>
      <c r="AJ70" s="43" t="e">
        <f t="shared" si="58"/>
        <v>#DIV/0!</v>
      </c>
      <c r="AK70" s="43" t="e">
        <f t="shared" si="59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49"/>
        <v>0</v>
      </c>
      <c r="BE70" s="43">
        <f t="shared" si="46"/>
        <v>0</v>
      </c>
      <c r="BF70" s="43">
        <f t="shared" si="46"/>
        <v>0</v>
      </c>
      <c r="BG70" s="43">
        <f t="shared" si="46"/>
        <v>0</v>
      </c>
      <c r="BH70" s="43">
        <f t="shared" si="46"/>
        <v>0</v>
      </c>
      <c r="BI70" s="43">
        <f t="shared" si="46"/>
        <v>0</v>
      </c>
      <c r="BJ70" s="43">
        <f t="shared" si="46"/>
        <v>0</v>
      </c>
      <c r="BK70" s="43">
        <f t="shared" si="46"/>
        <v>0</v>
      </c>
      <c r="BL70" s="43">
        <f t="shared" si="46"/>
        <v>0</v>
      </c>
      <c r="BM70" s="51"/>
      <c r="BN70" s="51"/>
      <c r="BO70" s="51"/>
      <c r="BP70" s="51"/>
      <c r="BQ70" s="51"/>
      <c r="BR70" s="51"/>
      <c r="BS70" s="51"/>
      <c r="BT70" s="51"/>
      <c r="BU70" s="51"/>
      <c r="BV70" s="51" t="e">
        <f t="shared" si="60"/>
        <v>#DIV/0!</v>
      </c>
      <c r="BW70" s="51" t="e">
        <f t="shared" si="61"/>
        <v>#DIV/0!</v>
      </c>
      <c r="BX70" s="51" t="e">
        <f t="shared" si="62"/>
        <v>#DIV/0!</v>
      </c>
      <c r="BY70" s="51" t="e">
        <f t="shared" si="63"/>
        <v>#DIV/0!</v>
      </c>
      <c r="BZ70" s="51" t="e">
        <f t="shared" si="64"/>
        <v>#DIV/0!</v>
      </c>
      <c r="CA70" s="51" t="e">
        <f t="shared" si="65"/>
        <v>#DIV/0!</v>
      </c>
      <c r="CB70" s="51" t="e">
        <f t="shared" si="66"/>
        <v>#DIV/0!</v>
      </c>
      <c r="CC70" s="51" t="e">
        <f t="shared" si="67"/>
        <v>#DIV/0!</v>
      </c>
      <c r="CD70" s="51" t="e">
        <f t="shared" si="68"/>
        <v>#DIV/0!</v>
      </c>
      <c r="CE70" s="53">
        <f t="shared" si="50"/>
        <v>0</v>
      </c>
      <c r="CF70" s="53">
        <f t="shared" si="47"/>
        <v>0</v>
      </c>
      <c r="CG70" s="53">
        <f t="shared" si="47"/>
        <v>0</v>
      </c>
      <c r="CH70" s="53">
        <f t="shared" si="47"/>
        <v>0</v>
      </c>
      <c r="CI70" s="53">
        <f t="shared" si="47"/>
        <v>0</v>
      </c>
      <c r="CJ70" s="53">
        <f t="shared" si="47"/>
        <v>0</v>
      </c>
      <c r="CK70" s="53">
        <f t="shared" si="47"/>
        <v>0</v>
      </c>
      <c r="CL70" s="53">
        <f t="shared" si="47"/>
        <v>0</v>
      </c>
      <c r="CM70" s="53">
        <f t="shared" si="47"/>
        <v>0</v>
      </c>
    </row>
    <row r="71" spans="1:91" x14ac:dyDescent="0.15">
      <c r="A71" s="41">
        <v>69</v>
      </c>
      <c r="B71" s="43">
        <f t="shared" si="44"/>
        <v>1</v>
      </c>
      <c r="C71" s="43">
        <f t="shared" si="43"/>
        <v>1</v>
      </c>
      <c r="D71" s="43">
        <f t="shared" si="43"/>
        <v>1</v>
      </c>
      <c r="E71" s="43">
        <f t="shared" si="43"/>
        <v>1</v>
      </c>
      <c r="F71" s="43">
        <f t="shared" si="43"/>
        <v>1</v>
      </c>
      <c r="G71" s="43">
        <f t="shared" si="43"/>
        <v>1</v>
      </c>
      <c r="H71" s="43">
        <f t="shared" si="43"/>
        <v>1</v>
      </c>
      <c r="I71" s="43">
        <f t="shared" si="43"/>
        <v>1</v>
      </c>
      <c r="J71" s="43">
        <f t="shared" si="43"/>
        <v>1</v>
      </c>
      <c r="K71" s="43" t="e">
        <f>K70+ATM_Conf!$C$5*(T70-AC70)</f>
        <v>#DIV/0!</v>
      </c>
      <c r="L71" s="43" t="e">
        <f>L70+ATM_Conf!$C$5*(U70-AD70)</f>
        <v>#DIV/0!</v>
      </c>
      <c r="M71" s="43" t="e">
        <f>M70+ATM_Conf!$C$5*(V70-AE70)</f>
        <v>#DIV/0!</v>
      </c>
      <c r="N71" s="43" t="e">
        <f>N70+ATM_Conf!$C$5*(W70-AF70)</f>
        <v>#DIV/0!</v>
      </c>
      <c r="O71" s="43" t="e">
        <f>O70+ATM_Conf!$C$5*(X70-AG70)</f>
        <v>#DIV/0!</v>
      </c>
      <c r="P71" s="43" t="e">
        <f>P70+ATM_Conf!$C$5*(Y70-AH70)</f>
        <v>#DIV/0!</v>
      </c>
      <c r="Q71" s="43" t="e">
        <f>Q70+ATM_Conf!$C$5*(Z70-AI70)</f>
        <v>#DIV/0!</v>
      </c>
      <c r="R71" s="43" t="e">
        <f>R70+ATM_Conf!$C$5*(AA70-AJ70)</f>
        <v>#DIV/0!</v>
      </c>
      <c r="S71" s="43" t="e">
        <f>S70+ATM_Conf!$C$5*(AB70-AK70)</f>
        <v>#DIV/0!</v>
      </c>
      <c r="T71" s="43">
        <f t="shared" si="48"/>
        <v>0</v>
      </c>
      <c r="U71" s="43">
        <f t="shared" si="45"/>
        <v>0</v>
      </c>
      <c r="V71" s="43">
        <f t="shared" si="45"/>
        <v>0</v>
      </c>
      <c r="W71" s="43">
        <f t="shared" si="45"/>
        <v>0</v>
      </c>
      <c r="X71" s="43">
        <f t="shared" si="45"/>
        <v>0</v>
      </c>
      <c r="Y71" s="43">
        <f t="shared" si="45"/>
        <v>0</v>
      </c>
      <c r="Z71" s="43">
        <f t="shared" si="45"/>
        <v>0</v>
      </c>
      <c r="AA71" s="43">
        <f t="shared" si="45"/>
        <v>0</v>
      </c>
      <c r="AB71" s="43">
        <f t="shared" si="45"/>
        <v>0</v>
      </c>
      <c r="AC71" s="43" t="e">
        <f t="shared" si="51"/>
        <v>#DIV/0!</v>
      </c>
      <c r="AD71" s="43" t="e">
        <f t="shared" si="52"/>
        <v>#DIV/0!</v>
      </c>
      <c r="AE71" s="43" t="e">
        <f t="shared" si="53"/>
        <v>#DIV/0!</v>
      </c>
      <c r="AF71" s="43" t="e">
        <f t="shared" si="54"/>
        <v>#DIV/0!</v>
      </c>
      <c r="AG71" s="43" t="e">
        <f t="shared" si="55"/>
        <v>#DIV/0!</v>
      </c>
      <c r="AH71" s="43" t="e">
        <f t="shared" si="56"/>
        <v>#DIV/0!</v>
      </c>
      <c r="AI71" s="43" t="e">
        <f t="shared" si="57"/>
        <v>#DIV/0!</v>
      </c>
      <c r="AJ71" s="43" t="e">
        <f t="shared" si="58"/>
        <v>#DIV/0!</v>
      </c>
      <c r="AK71" s="43" t="e">
        <f t="shared" si="59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49"/>
        <v>0</v>
      </c>
      <c r="BE71" s="43">
        <f t="shared" si="46"/>
        <v>0</v>
      </c>
      <c r="BF71" s="43">
        <f t="shared" si="46"/>
        <v>0</v>
      </c>
      <c r="BG71" s="43">
        <f t="shared" si="46"/>
        <v>0</v>
      </c>
      <c r="BH71" s="43">
        <f t="shared" si="46"/>
        <v>0</v>
      </c>
      <c r="BI71" s="43">
        <f t="shared" si="46"/>
        <v>0</v>
      </c>
      <c r="BJ71" s="43">
        <f t="shared" si="46"/>
        <v>0</v>
      </c>
      <c r="BK71" s="43">
        <f t="shared" si="46"/>
        <v>0</v>
      </c>
      <c r="BL71" s="43">
        <f t="shared" si="46"/>
        <v>0</v>
      </c>
      <c r="BM71" s="51"/>
      <c r="BN71" s="51"/>
      <c r="BO71" s="51"/>
      <c r="BP71" s="51"/>
      <c r="BQ71" s="51"/>
      <c r="BR71" s="51"/>
      <c r="BS71" s="51"/>
      <c r="BT71" s="51"/>
      <c r="BU71" s="51"/>
      <c r="BV71" s="51" t="e">
        <f t="shared" si="60"/>
        <v>#DIV/0!</v>
      </c>
      <c r="BW71" s="51" t="e">
        <f t="shared" si="61"/>
        <v>#DIV/0!</v>
      </c>
      <c r="BX71" s="51" t="e">
        <f t="shared" si="62"/>
        <v>#DIV/0!</v>
      </c>
      <c r="BY71" s="51" t="e">
        <f t="shared" si="63"/>
        <v>#DIV/0!</v>
      </c>
      <c r="BZ71" s="51" t="e">
        <f t="shared" si="64"/>
        <v>#DIV/0!</v>
      </c>
      <c r="CA71" s="51" t="e">
        <f t="shared" si="65"/>
        <v>#DIV/0!</v>
      </c>
      <c r="CB71" s="51" t="e">
        <f t="shared" si="66"/>
        <v>#DIV/0!</v>
      </c>
      <c r="CC71" s="51" t="e">
        <f t="shared" si="67"/>
        <v>#DIV/0!</v>
      </c>
      <c r="CD71" s="51" t="e">
        <f t="shared" si="68"/>
        <v>#DIV/0!</v>
      </c>
      <c r="CE71" s="53">
        <f t="shared" si="50"/>
        <v>0</v>
      </c>
      <c r="CF71" s="53">
        <f t="shared" si="47"/>
        <v>0</v>
      </c>
      <c r="CG71" s="53">
        <f t="shared" si="47"/>
        <v>0</v>
      </c>
      <c r="CH71" s="53">
        <f t="shared" si="47"/>
        <v>0</v>
      </c>
      <c r="CI71" s="53">
        <f t="shared" si="47"/>
        <v>0</v>
      </c>
      <c r="CJ71" s="53">
        <f t="shared" si="47"/>
        <v>0</v>
      </c>
      <c r="CK71" s="53">
        <f t="shared" si="47"/>
        <v>0</v>
      </c>
      <c r="CL71" s="53">
        <f t="shared" si="47"/>
        <v>0</v>
      </c>
      <c r="CM71" s="53">
        <f t="shared" si="47"/>
        <v>0</v>
      </c>
    </row>
    <row r="72" spans="1:91" x14ac:dyDescent="0.15">
      <c r="A72" s="41">
        <v>70</v>
      </c>
      <c r="B72" s="43">
        <f t="shared" si="44"/>
        <v>1</v>
      </c>
      <c r="C72" s="43">
        <f t="shared" si="43"/>
        <v>1</v>
      </c>
      <c r="D72" s="43">
        <f t="shared" si="43"/>
        <v>1</v>
      </c>
      <c r="E72" s="43">
        <f t="shared" si="43"/>
        <v>1</v>
      </c>
      <c r="F72" s="43">
        <f t="shared" si="43"/>
        <v>1</v>
      </c>
      <c r="G72" s="43">
        <f t="shared" si="43"/>
        <v>1</v>
      </c>
      <c r="H72" s="43">
        <f t="shared" si="43"/>
        <v>1</v>
      </c>
      <c r="I72" s="43">
        <f t="shared" si="43"/>
        <v>1</v>
      </c>
      <c r="J72" s="43">
        <f t="shared" si="43"/>
        <v>1</v>
      </c>
      <c r="K72" s="43" t="e">
        <f>K71+ATM_Conf!$C$5*(T71-AC71)</f>
        <v>#DIV/0!</v>
      </c>
      <c r="L72" s="43" t="e">
        <f>L71+ATM_Conf!$C$5*(U71-AD71)</f>
        <v>#DIV/0!</v>
      </c>
      <c r="M72" s="43" t="e">
        <f>M71+ATM_Conf!$C$5*(V71-AE71)</f>
        <v>#DIV/0!</v>
      </c>
      <c r="N72" s="43" t="e">
        <f>N71+ATM_Conf!$C$5*(W71-AF71)</f>
        <v>#DIV/0!</v>
      </c>
      <c r="O72" s="43" t="e">
        <f>O71+ATM_Conf!$C$5*(X71-AG71)</f>
        <v>#DIV/0!</v>
      </c>
      <c r="P72" s="43" t="e">
        <f>P71+ATM_Conf!$C$5*(Y71-AH71)</f>
        <v>#DIV/0!</v>
      </c>
      <c r="Q72" s="43" t="e">
        <f>Q71+ATM_Conf!$C$5*(Z71-AI71)</f>
        <v>#DIV/0!</v>
      </c>
      <c r="R72" s="43" t="e">
        <f>R71+ATM_Conf!$C$5*(AA71-AJ71)</f>
        <v>#DIV/0!</v>
      </c>
      <c r="S72" s="43" t="e">
        <f>S71+ATM_Conf!$C$5*(AB71-AK71)</f>
        <v>#DIV/0!</v>
      </c>
      <c r="T72" s="43">
        <f t="shared" si="48"/>
        <v>0</v>
      </c>
      <c r="U72" s="43">
        <f t="shared" si="45"/>
        <v>0</v>
      </c>
      <c r="V72" s="43">
        <f t="shared" si="45"/>
        <v>0</v>
      </c>
      <c r="W72" s="43">
        <f t="shared" si="45"/>
        <v>0</v>
      </c>
      <c r="X72" s="43">
        <f t="shared" si="45"/>
        <v>0</v>
      </c>
      <c r="Y72" s="43">
        <f t="shared" si="45"/>
        <v>0</v>
      </c>
      <c r="Z72" s="43">
        <f t="shared" si="45"/>
        <v>0</v>
      </c>
      <c r="AA72" s="43">
        <f t="shared" si="45"/>
        <v>0</v>
      </c>
      <c r="AB72" s="43">
        <f t="shared" si="45"/>
        <v>0</v>
      </c>
      <c r="AC72" s="43" t="e">
        <f t="shared" si="51"/>
        <v>#DIV/0!</v>
      </c>
      <c r="AD72" s="43" t="e">
        <f t="shared" si="52"/>
        <v>#DIV/0!</v>
      </c>
      <c r="AE72" s="43" t="e">
        <f t="shared" si="53"/>
        <v>#DIV/0!</v>
      </c>
      <c r="AF72" s="43" t="e">
        <f t="shared" si="54"/>
        <v>#DIV/0!</v>
      </c>
      <c r="AG72" s="43" t="e">
        <f t="shared" si="55"/>
        <v>#DIV/0!</v>
      </c>
      <c r="AH72" s="43" t="e">
        <f t="shared" si="56"/>
        <v>#DIV/0!</v>
      </c>
      <c r="AI72" s="43" t="e">
        <f t="shared" si="57"/>
        <v>#DIV/0!</v>
      </c>
      <c r="AJ72" s="43" t="e">
        <f t="shared" si="58"/>
        <v>#DIV/0!</v>
      </c>
      <c r="AK72" s="43" t="e">
        <f t="shared" si="59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49"/>
        <v>0</v>
      </c>
      <c r="BE72" s="43">
        <f t="shared" si="46"/>
        <v>0</v>
      </c>
      <c r="BF72" s="43">
        <f t="shared" si="46"/>
        <v>0</v>
      </c>
      <c r="BG72" s="43">
        <f t="shared" si="46"/>
        <v>0</v>
      </c>
      <c r="BH72" s="43">
        <f t="shared" si="46"/>
        <v>0</v>
      </c>
      <c r="BI72" s="43">
        <f t="shared" si="46"/>
        <v>0</v>
      </c>
      <c r="BJ72" s="43">
        <f t="shared" si="46"/>
        <v>0</v>
      </c>
      <c r="BK72" s="43">
        <f t="shared" si="46"/>
        <v>0</v>
      </c>
      <c r="BL72" s="43">
        <f t="shared" si="46"/>
        <v>0</v>
      </c>
      <c r="BM72" s="51"/>
      <c r="BN72" s="51"/>
      <c r="BO72" s="51"/>
      <c r="BP72" s="51"/>
      <c r="BQ72" s="51"/>
      <c r="BR72" s="51"/>
      <c r="BS72" s="51"/>
      <c r="BT72" s="51"/>
      <c r="BU72" s="51"/>
      <c r="BV72" s="51" t="e">
        <f t="shared" si="60"/>
        <v>#DIV/0!</v>
      </c>
      <c r="BW72" s="51" t="e">
        <f t="shared" si="61"/>
        <v>#DIV/0!</v>
      </c>
      <c r="BX72" s="51" t="e">
        <f t="shared" si="62"/>
        <v>#DIV/0!</v>
      </c>
      <c r="BY72" s="51" t="e">
        <f t="shared" si="63"/>
        <v>#DIV/0!</v>
      </c>
      <c r="BZ72" s="51" t="e">
        <f t="shared" si="64"/>
        <v>#DIV/0!</v>
      </c>
      <c r="CA72" s="51" t="e">
        <f t="shared" si="65"/>
        <v>#DIV/0!</v>
      </c>
      <c r="CB72" s="51" t="e">
        <f t="shared" si="66"/>
        <v>#DIV/0!</v>
      </c>
      <c r="CC72" s="51" t="e">
        <f t="shared" si="67"/>
        <v>#DIV/0!</v>
      </c>
      <c r="CD72" s="51" t="e">
        <f t="shared" si="68"/>
        <v>#DIV/0!</v>
      </c>
      <c r="CE72" s="53">
        <f t="shared" si="50"/>
        <v>0</v>
      </c>
      <c r="CF72" s="53">
        <f t="shared" si="47"/>
        <v>0</v>
      </c>
      <c r="CG72" s="53">
        <f t="shared" si="47"/>
        <v>0</v>
      </c>
      <c r="CH72" s="53">
        <f t="shared" si="47"/>
        <v>0</v>
      </c>
      <c r="CI72" s="53">
        <f t="shared" si="47"/>
        <v>0</v>
      </c>
      <c r="CJ72" s="53">
        <f t="shared" si="47"/>
        <v>0</v>
      </c>
      <c r="CK72" s="53">
        <f t="shared" si="47"/>
        <v>0</v>
      </c>
      <c r="CL72" s="53">
        <f t="shared" si="47"/>
        <v>0</v>
      </c>
      <c r="CM72" s="53">
        <f t="shared" si="47"/>
        <v>0</v>
      </c>
    </row>
    <row r="73" spans="1:91" x14ac:dyDescent="0.15">
      <c r="A73" s="41">
        <v>71</v>
      </c>
      <c r="B73" s="43">
        <f t="shared" si="44"/>
        <v>1</v>
      </c>
      <c r="C73" s="43">
        <f t="shared" si="43"/>
        <v>1</v>
      </c>
      <c r="D73" s="43">
        <f t="shared" si="43"/>
        <v>1</v>
      </c>
      <c r="E73" s="43">
        <f t="shared" si="43"/>
        <v>1</v>
      </c>
      <c r="F73" s="43">
        <f t="shared" si="43"/>
        <v>1</v>
      </c>
      <c r="G73" s="43">
        <f t="shared" si="43"/>
        <v>1</v>
      </c>
      <c r="H73" s="43">
        <f t="shared" si="43"/>
        <v>1</v>
      </c>
      <c r="I73" s="43">
        <f t="shared" si="43"/>
        <v>1</v>
      </c>
      <c r="J73" s="43">
        <f t="shared" si="43"/>
        <v>1</v>
      </c>
      <c r="K73" s="43" t="e">
        <f>K72+ATM_Conf!$C$5*(T72-AC72)</f>
        <v>#DIV/0!</v>
      </c>
      <c r="L73" s="43" t="e">
        <f>L72+ATM_Conf!$C$5*(U72-AD72)</f>
        <v>#DIV/0!</v>
      </c>
      <c r="M73" s="43" t="e">
        <f>M72+ATM_Conf!$C$5*(V72-AE72)</f>
        <v>#DIV/0!</v>
      </c>
      <c r="N73" s="43" t="e">
        <f>N72+ATM_Conf!$C$5*(W72-AF72)</f>
        <v>#DIV/0!</v>
      </c>
      <c r="O73" s="43" t="e">
        <f>O72+ATM_Conf!$C$5*(X72-AG72)</f>
        <v>#DIV/0!</v>
      </c>
      <c r="P73" s="43" t="e">
        <f>P72+ATM_Conf!$C$5*(Y72-AH72)</f>
        <v>#DIV/0!</v>
      </c>
      <c r="Q73" s="43" t="e">
        <f>Q72+ATM_Conf!$C$5*(Z72-AI72)</f>
        <v>#DIV/0!</v>
      </c>
      <c r="R73" s="43" t="e">
        <f>R72+ATM_Conf!$C$5*(AA72-AJ72)</f>
        <v>#DIV/0!</v>
      </c>
      <c r="S73" s="43" t="e">
        <f>S72+ATM_Conf!$C$5*(AB72-AK72)</f>
        <v>#DIV/0!</v>
      </c>
      <c r="T73" s="43">
        <f t="shared" si="48"/>
        <v>0</v>
      </c>
      <c r="U73" s="43">
        <f t="shared" si="45"/>
        <v>0</v>
      </c>
      <c r="V73" s="43">
        <f t="shared" si="45"/>
        <v>0</v>
      </c>
      <c r="W73" s="43">
        <f t="shared" si="45"/>
        <v>0</v>
      </c>
      <c r="X73" s="43">
        <f t="shared" si="45"/>
        <v>0</v>
      </c>
      <c r="Y73" s="43">
        <f t="shared" si="45"/>
        <v>0</v>
      </c>
      <c r="Z73" s="43">
        <f t="shared" si="45"/>
        <v>0</v>
      </c>
      <c r="AA73" s="43">
        <f t="shared" si="45"/>
        <v>0</v>
      </c>
      <c r="AB73" s="43">
        <f t="shared" si="45"/>
        <v>0</v>
      </c>
      <c r="AC73" s="43" t="e">
        <f t="shared" si="51"/>
        <v>#DIV/0!</v>
      </c>
      <c r="AD73" s="43" t="e">
        <f t="shared" si="52"/>
        <v>#DIV/0!</v>
      </c>
      <c r="AE73" s="43" t="e">
        <f t="shared" si="53"/>
        <v>#DIV/0!</v>
      </c>
      <c r="AF73" s="43" t="e">
        <f t="shared" si="54"/>
        <v>#DIV/0!</v>
      </c>
      <c r="AG73" s="43" t="e">
        <f t="shared" si="55"/>
        <v>#DIV/0!</v>
      </c>
      <c r="AH73" s="43" t="e">
        <f t="shared" si="56"/>
        <v>#DIV/0!</v>
      </c>
      <c r="AI73" s="43" t="e">
        <f t="shared" si="57"/>
        <v>#DIV/0!</v>
      </c>
      <c r="AJ73" s="43" t="e">
        <f t="shared" si="58"/>
        <v>#DIV/0!</v>
      </c>
      <c r="AK73" s="43" t="e">
        <f t="shared" si="59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49"/>
        <v>0</v>
      </c>
      <c r="BE73" s="43">
        <f t="shared" si="46"/>
        <v>0</v>
      </c>
      <c r="BF73" s="43">
        <f t="shared" si="46"/>
        <v>0</v>
      </c>
      <c r="BG73" s="43">
        <f t="shared" si="46"/>
        <v>0</v>
      </c>
      <c r="BH73" s="43">
        <f t="shared" si="46"/>
        <v>0</v>
      </c>
      <c r="BI73" s="43">
        <f t="shared" si="46"/>
        <v>0</v>
      </c>
      <c r="BJ73" s="43">
        <f t="shared" si="46"/>
        <v>0</v>
      </c>
      <c r="BK73" s="43">
        <f t="shared" si="46"/>
        <v>0</v>
      </c>
      <c r="BL73" s="43">
        <f t="shared" si="46"/>
        <v>0</v>
      </c>
      <c r="BM73" s="51"/>
      <c r="BN73" s="51"/>
      <c r="BO73" s="51"/>
      <c r="BP73" s="51"/>
      <c r="BQ73" s="51"/>
      <c r="BR73" s="51"/>
      <c r="BS73" s="51"/>
      <c r="BT73" s="51"/>
      <c r="BU73" s="51"/>
      <c r="BV73" s="51" t="e">
        <f t="shared" si="60"/>
        <v>#DIV/0!</v>
      </c>
      <c r="BW73" s="51" t="e">
        <f t="shared" si="61"/>
        <v>#DIV/0!</v>
      </c>
      <c r="BX73" s="51" t="e">
        <f t="shared" si="62"/>
        <v>#DIV/0!</v>
      </c>
      <c r="BY73" s="51" t="e">
        <f t="shared" si="63"/>
        <v>#DIV/0!</v>
      </c>
      <c r="BZ73" s="51" t="e">
        <f t="shared" si="64"/>
        <v>#DIV/0!</v>
      </c>
      <c r="CA73" s="51" t="e">
        <f t="shared" si="65"/>
        <v>#DIV/0!</v>
      </c>
      <c r="CB73" s="51" t="e">
        <f t="shared" si="66"/>
        <v>#DIV/0!</v>
      </c>
      <c r="CC73" s="51" t="e">
        <f t="shared" si="67"/>
        <v>#DIV/0!</v>
      </c>
      <c r="CD73" s="51" t="e">
        <f t="shared" si="68"/>
        <v>#DIV/0!</v>
      </c>
      <c r="CE73" s="53">
        <f t="shared" si="50"/>
        <v>0</v>
      </c>
      <c r="CF73" s="53">
        <f t="shared" si="47"/>
        <v>0</v>
      </c>
      <c r="CG73" s="53">
        <f t="shared" si="47"/>
        <v>0</v>
      </c>
      <c r="CH73" s="53">
        <f t="shared" si="47"/>
        <v>0</v>
      </c>
      <c r="CI73" s="53">
        <f t="shared" si="47"/>
        <v>0</v>
      </c>
      <c r="CJ73" s="53">
        <f t="shared" si="47"/>
        <v>0</v>
      </c>
      <c r="CK73" s="53">
        <f t="shared" si="47"/>
        <v>0</v>
      </c>
      <c r="CL73" s="53">
        <f t="shared" si="47"/>
        <v>0</v>
      </c>
      <c r="CM73" s="53">
        <f t="shared" si="47"/>
        <v>0</v>
      </c>
    </row>
    <row r="74" spans="1:91" x14ac:dyDescent="0.15">
      <c r="A74" s="41">
        <v>72</v>
      </c>
      <c r="B74" s="43">
        <f t="shared" si="44"/>
        <v>1</v>
      </c>
      <c r="C74" s="43">
        <f t="shared" si="43"/>
        <v>1</v>
      </c>
      <c r="D74" s="43">
        <f t="shared" si="43"/>
        <v>1</v>
      </c>
      <c r="E74" s="43">
        <f t="shared" si="43"/>
        <v>1</v>
      </c>
      <c r="F74" s="43">
        <f t="shared" si="43"/>
        <v>1</v>
      </c>
      <c r="G74" s="43">
        <f t="shared" si="43"/>
        <v>1</v>
      </c>
      <c r="H74" s="43">
        <f t="shared" si="43"/>
        <v>1</v>
      </c>
      <c r="I74" s="43">
        <f t="shared" si="43"/>
        <v>1</v>
      </c>
      <c r="J74" s="43">
        <f t="shared" si="43"/>
        <v>1</v>
      </c>
      <c r="K74" s="43" t="e">
        <f>K73+ATM_Conf!$C$5*(T73-AC73)</f>
        <v>#DIV/0!</v>
      </c>
      <c r="L74" s="43" t="e">
        <f>L73+ATM_Conf!$C$5*(U73-AD73)</f>
        <v>#DIV/0!</v>
      </c>
      <c r="M74" s="43" t="e">
        <f>M73+ATM_Conf!$C$5*(V73-AE73)</f>
        <v>#DIV/0!</v>
      </c>
      <c r="N74" s="43" t="e">
        <f>N73+ATM_Conf!$C$5*(W73-AF73)</f>
        <v>#DIV/0!</v>
      </c>
      <c r="O74" s="43" t="e">
        <f>O73+ATM_Conf!$C$5*(X73-AG73)</f>
        <v>#DIV/0!</v>
      </c>
      <c r="P74" s="43" t="e">
        <f>P73+ATM_Conf!$C$5*(Y73-AH73)</f>
        <v>#DIV/0!</v>
      </c>
      <c r="Q74" s="43" t="e">
        <f>Q73+ATM_Conf!$C$5*(Z73-AI73)</f>
        <v>#DIV/0!</v>
      </c>
      <c r="R74" s="43" t="e">
        <f>R73+ATM_Conf!$C$5*(AA73-AJ73)</f>
        <v>#DIV/0!</v>
      </c>
      <c r="S74" s="43" t="e">
        <f>S73+ATM_Conf!$C$5*(AB73-AK73)</f>
        <v>#DIV/0!</v>
      </c>
      <c r="T74" s="43">
        <f t="shared" si="48"/>
        <v>0</v>
      </c>
      <c r="U74" s="43">
        <f t="shared" si="45"/>
        <v>0</v>
      </c>
      <c r="V74" s="43">
        <f t="shared" si="45"/>
        <v>0</v>
      </c>
      <c r="W74" s="43">
        <f t="shared" si="45"/>
        <v>0</v>
      </c>
      <c r="X74" s="43">
        <f t="shared" si="45"/>
        <v>0</v>
      </c>
      <c r="Y74" s="43">
        <f t="shared" si="45"/>
        <v>0</v>
      </c>
      <c r="Z74" s="43">
        <f t="shared" si="45"/>
        <v>0</v>
      </c>
      <c r="AA74" s="43">
        <f t="shared" si="45"/>
        <v>0</v>
      </c>
      <c r="AB74" s="43">
        <f t="shared" si="45"/>
        <v>0</v>
      </c>
      <c r="AC74" s="43" t="e">
        <f t="shared" si="51"/>
        <v>#DIV/0!</v>
      </c>
      <c r="AD74" s="43" t="e">
        <f t="shared" si="52"/>
        <v>#DIV/0!</v>
      </c>
      <c r="AE74" s="43" t="e">
        <f t="shared" si="53"/>
        <v>#DIV/0!</v>
      </c>
      <c r="AF74" s="43" t="e">
        <f t="shared" si="54"/>
        <v>#DIV/0!</v>
      </c>
      <c r="AG74" s="43" t="e">
        <f t="shared" si="55"/>
        <v>#DIV/0!</v>
      </c>
      <c r="AH74" s="43" t="e">
        <f t="shared" si="56"/>
        <v>#DIV/0!</v>
      </c>
      <c r="AI74" s="43" t="e">
        <f t="shared" si="57"/>
        <v>#DIV/0!</v>
      </c>
      <c r="AJ74" s="43" t="e">
        <f t="shared" si="58"/>
        <v>#DIV/0!</v>
      </c>
      <c r="AK74" s="43" t="e">
        <f t="shared" si="59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49"/>
        <v>0</v>
      </c>
      <c r="BE74" s="43">
        <f t="shared" si="46"/>
        <v>0</v>
      </c>
      <c r="BF74" s="43">
        <f t="shared" si="46"/>
        <v>0</v>
      </c>
      <c r="BG74" s="43">
        <f t="shared" si="46"/>
        <v>0</v>
      </c>
      <c r="BH74" s="43">
        <f t="shared" si="46"/>
        <v>0</v>
      </c>
      <c r="BI74" s="43">
        <f t="shared" si="46"/>
        <v>0</v>
      </c>
      <c r="BJ74" s="43">
        <f t="shared" si="46"/>
        <v>0</v>
      </c>
      <c r="BK74" s="43">
        <f t="shared" si="46"/>
        <v>0</v>
      </c>
      <c r="BL74" s="43">
        <f t="shared" si="46"/>
        <v>0</v>
      </c>
      <c r="BM74" s="51"/>
      <c r="BN74" s="51"/>
      <c r="BO74" s="51"/>
      <c r="BP74" s="51"/>
      <c r="BQ74" s="51"/>
      <c r="BR74" s="51"/>
      <c r="BS74" s="51"/>
      <c r="BT74" s="51"/>
      <c r="BU74" s="51"/>
      <c r="BV74" s="51" t="e">
        <f t="shared" si="60"/>
        <v>#DIV/0!</v>
      </c>
      <c r="BW74" s="51" t="e">
        <f t="shared" si="61"/>
        <v>#DIV/0!</v>
      </c>
      <c r="BX74" s="51" t="e">
        <f t="shared" si="62"/>
        <v>#DIV/0!</v>
      </c>
      <c r="BY74" s="51" t="e">
        <f t="shared" si="63"/>
        <v>#DIV/0!</v>
      </c>
      <c r="BZ74" s="51" t="e">
        <f t="shared" si="64"/>
        <v>#DIV/0!</v>
      </c>
      <c r="CA74" s="51" t="e">
        <f t="shared" si="65"/>
        <v>#DIV/0!</v>
      </c>
      <c r="CB74" s="51" t="e">
        <f t="shared" si="66"/>
        <v>#DIV/0!</v>
      </c>
      <c r="CC74" s="51" t="e">
        <f t="shared" si="67"/>
        <v>#DIV/0!</v>
      </c>
      <c r="CD74" s="51" t="e">
        <f t="shared" si="68"/>
        <v>#DIV/0!</v>
      </c>
      <c r="CE74" s="53">
        <f t="shared" si="50"/>
        <v>0</v>
      </c>
      <c r="CF74" s="53">
        <f t="shared" si="47"/>
        <v>0</v>
      </c>
      <c r="CG74" s="53">
        <f t="shared" si="47"/>
        <v>0</v>
      </c>
      <c r="CH74" s="53">
        <f t="shared" si="47"/>
        <v>0</v>
      </c>
      <c r="CI74" s="53">
        <f t="shared" si="47"/>
        <v>0</v>
      </c>
      <c r="CJ74" s="53">
        <f t="shared" si="47"/>
        <v>0</v>
      </c>
      <c r="CK74" s="53">
        <f t="shared" si="47"/>
        <v>0</v>
      </c>
      <c r="CL74" s="53">
        <f t="shared" si="47"/>
        <v>0</v>
      </c>
      <c r="CM74" s="53">
        <f t="shared" si="47"/>
        <v>0</v>
      </c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 t="e">
        <f>K74+ATM_Conf!$C$5*(T74-AC74)</f>
        <v>#DIV/0!</v>
      </c>
      <c r="L75" s="43" t="e">
        <f>L74+ATM_Conf!$C$5*(U74-AD74)</f>
        <v>#DIV/0!</v>
      </c>
      <c r="M75" s="43" t="e">
        <f>M74+ATM_Conf!$C$5*(V74-AE74)</f>
        <v>#DIV/0!</v>
      </c>
      <c r="N75" s="43" t="e">
        <f>N74+ATM_Conf!$C$5*(W74-AF74)</f>
        <v>#DIV/0!</v>
      </c>
      <c r="O75" s="43" t="e">
        <f>O74+ATM_Conf!$C$5*(X74-AG74)</f>
        <v>#DIV/0!</v>
      </c>
      <c r="P75" s="43" t="e">
        <f>P74+ATM_Conf!$C$5*(Y74-AH74)</f>
        <v>#DIV/0!</v>
      </c>
      <c r="Q75" s="43" t="e">
        <f>Q74+ATM_Conf!$C$5*(Z74-AI74)</f>
        <v>#DIV/0!</v>
      </c>
      <c r="R75" s="43" t="e">
        <f>R74+ATM_Conf!$C$5*(AA74-AJ74)</f>
        <v>#DIV/0!</v>
      </c>
      <c r="S75" s="43" t="e">
        <f>S74+ATM_Conf!$C$5*(AB74-AK74)</f>
        <v>#DIV/0!</v>
      </c>
      <c r="T75" s="43">
        <f t="shared" si="48"/>
        <v>0</v>
      </c>
      <c r="U75" s="43">
        <f t="shared" si="45"/>
        <v>0</v>
      </c>
      <c r="V75" s="43">
        <f t="shared" si="45"/>
        <v>0</v>
      </c>
      <c r="W75" s="43">
        <f t="shared" si="45"/>
        <v>0</v>
      </c>
      <c r="X75" s="43">
        <f t="shared" si="45"/>
        <v>0</v>
      </c>
      <c r="Y75" s="43">
        <f t="shared" si="45"/>
        <v>0</v>
      </c>
      <c r="Z75" s="43">
        <f t="shared" si="45"/>
        <v>0</v>
      </c>
      <c r="AA75" s="43">
        <f t="shared" si="45"/>
        <v>0</v>
      </c>
      <c r="AB75" s="43">
        <f t="shared" si="45"/>
        <v>0</v>
      </c>
      <c r="AC75" s="43" t="e">
        <f t="shared" si="51"/>
        <v>#DIV/0!</v>
      </c>
      <c r="AD75" s="43" t="e">
        <f t="shared" si="52"/>
        <v>#DIV/0!</v>
      </c>
      <c r="AE75" s="43" t="e">
        <f t="shared" si="53"/>
        <v>#DIV/0!</v>
      </c>
      <c r="AF75" s="43" t="e">
        <f t="shared" si="54"/>
        <v>#DIV/0!</v>
      </c>
      <c r="AG75" s="43" t="e">
        <f t="shared" si="55"/>
        <v>#DIV/0!</v>
      </c>
      <c r="AH75" s="43" t="e">
        <f t="shared" si="56"/>
        <v>#DIV/0!</v>
      </c>
      <c r="AI75" s="43" t="e">
        <f t="shared" si="57"/>
        <v>#DIV/0!</v>
      </c>
      <c r="AJ75" s="43" t="e">
        <f t="shared" si="58"/>
        <v>#DIV/0!</v>
      </c>
      <c r="AK75" s="43" t="e">
        <f t="shared" si="59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49"/>
        <v>0</v>
      </c>
      <c r="BE75" s="43">
        <f t="shared" si="46"/>
        <v>0</v>
      </c>
      <c r="BF75" s="43">
        <f t="shared" si="46"/>
        <v>0</v>
      </c>
      <c r="BG75" s="43">
        <f t="shared" si="46"/>
        <v>0</v>
      </c>
      <c r="BH75" s="43">
        <f t="shared" si="46"/>
        <v>0</v>
      </c>
      <c r="BI75" s="43">
        <f t="shared" si="46"/>
        <v>0</v>
      </c>
      <c r="BJ75" s="43">
        <f t="shared" si="46"/>
        <v>0</v>
      </c>
      <c r="BK75" s="43">
        <f t="shared" si="46"/>
        <v>0</v>
      </c>
      <c r="BL75" s="43">
        <f t="shared" si="46"/>
        <v>0</v>
      </c>
      <c r="BM75" s="51">
        <f>(B75-B63)^2</f>
        <v>0</v>
      </c>
      <c r="BN75" s="51">
        <f t="shared" ref="BN75:BU75" si="69">(C75-C63)^2</f>
        <v>0</v>
      </c>
      <c r="BO75" s="51">
        <f t="shared" si="69"/>
        <v>0</v>
      </c>
      <c r="BP75" s="51">
        <f t="shared" si="69"/>
        <v>0</v>
      </c>
      <c r="BQ75" s="51">
        <f t="shared" si="69"/>
        <v>0</v>
      </c>
      <c r="BR75" s="51">
        <f t="shared" si="69"/>
        <v>0</v>
      </c>
      <c r="BS75" s="51">
        <f t="shared" si="69"/>
        <v>0</v>
      </c>
      <c r="BT75" s="51">
        <f t="shared" si="69"/>
        <v>0</v>
      </c>
      <c r="BU75" s="51">
        <f t="shared" si="69"/>
        <v>0</v>
      </c>
      <c r="BV75" s="51" t="e">
        <f t="shared" si="60"/>
        <v>#DIV/0!</v>
      </c>
      <c r="BW75" s="51" t="e">
        <f t="shared" si="61"/>
        <v>#DIV/0!</v>
      </c>
      <c r="BX75" s="51" t="e">
        <f t="shared" si="62"/>
        <v>#DIV/0!</v>
      </c>
      <c r="BY75" s="51" t="e">
        <f t="shared" si="63"/>
        <v>#DIV/0!</v>
      </c>
      <c r="BZ75" s="51" t="e">
        <f t="shared" si="64"/>
        <v>#DIV/0!</v>
      </c>
      <c r="CA75" s="51" t="e">
        <f t="shared" si="65"/>
        <v>#DIV/0!</v>
      </c>
      <c r="CB75" s="51" t="e">
        <f t="shared" si="66"/>
        <v>#DIV/0!</v>
      </c>
      <c r="CC75" s="51" t="e">
        <f t="shared" si="67"/>
        <v>#DIV/0!</v>
      </c>
      <c r="CD75" s="51" t="e">
        <f t="shared" si="68"/>
        <v>#DIV/0!</v>
      </c>
      <c r="CE75" s="53">
        <f t="shared" si="50"/>
        <v>0</v>
      </c>
      <c r="CF75" s="53">
        <f t="shared" si="47"/>
        <v>0</v>
      </c>
      <c r="CG75" s="53">
        <f t="shared" si="47"/>
        <v>0</v>
      </c>
      <c r="CH75" s="53">
        <f t="shared" si="47"/>
        <v>0</v>
      </c>
      <c r="CI75" s="53">
        <f t="shared" si="47"/>
        <v>0</v>
      </c>
      <c r="CJ75" s="53">
        <f t="shared" si="47"/>
        <v>0</v>
      </c>
      <c r="CK75" s="53">
        <f t="shared" si="47"/>
        <v>0</v>
      </c>
      <c r="CL75" s="53">
        <f t="shared" si="47"/>
        <v>0</v>
      </c>
      <c r="CM75" s="53">
        <f t="shared" si="47"/>
        <v>0</v>
      </c>
    </row>
    <row r="76" spans="1:91" x14ac:dyDescent="0.15">
      <c r="A76" s="41">
        <v>74</v>
      </c>
      <c r="B76" s="43">
        <f>B$75</f>
        <v>1</v>
      </c>
      <c r="C76" s="43">
        <f t="shared" ref="C76:J86" si="70">C$75</f>
        <v>1</v>
      </c>
      <c r="D76" s="43">
        <f t="shared" si="70"/>
        <v>1</v>
      </c>
      <c r="E76" s="43">
        <f t="shared" si="70"/>
        <v>1</v>
      </c>
      <c r="F76" s="43">
        <f t="shared" si="70"/>
        <v>1</v>
      </c>
      <c r="G76" s="43">
        <f t="shared" si="70"/>
        <v>1</v>
      </c>
      <c r="H76" s="43">
        <f t="shared" si="70"/>
        <v>1</v>
      </c>
      <c r="I76" s="43">
        <f t="shared" si="70"/>
        <v>1</v>
      </c>
      <c r="J76" s="43">
        <f t="shared" si="70"/>
        <v>1</v>
      </c>
      <c r="K76" s="43" t="e">
        <f>K75+ATM_Conf!$C$5*(T75-AC75)</f>
        <v>#DIV/0!</v>
      </c>
      <c r="L76" s="43" t="e">
        <f>L75+ATM_Conf!$C$5*(U75-AD75)</f>
        <v>#DIV/0!</v>
      </c>
      <c r="M76" s="43" t="e">
        <f>M75+ATM_Conf!$C$5*(V75-AE75)</f>
        <v>#DIV/0!</v>
      </c>
      <c r="N76" s="43" t="e">
        <f>N75+ATM_Conf!$C$5*(W75-AF75)</f>
        <v>#DIV/0!</v>
      </c>
      <c r="O76" s="43" t="e">
        <f>O75+ATM_Conf!$C$5*(X75-AG75)</f>
        <v>#DIV/0!</v>
      </c>
      <c r="P76" s="43" t="e">
        <f>P75+ATM_Conf!$C$5*(Y75-AH75)</f>
        <v>#DIV/0!</v>
      </c>
      <c r="Q76" s="43" t="e">
        <f>Q75+ATM_Conf!$C$5*(Z75-AI75)</f>
        <v>#DIV/0!</v>
      </c>
      <c r="R76" s="43" t="e">
        <f>R75+ATM_Conf!$C$5*(AA75-AJ75)</f>
        <v>#DIV/0!</v>
      </c>
      <c r="S76" s="43" t="e">
        <f>S75+ATM_Conf!$C$5*(AB75-AK75)</f>
        <v>#DIV/0!</v>
      </c>
      <c r="T76" s="43">
        <f t="shared" si="48"/>
        <v>0</v>
      </c>
      <c r="U76" s="43">
        <f t="shared" si="45"/>
        <v>0</v>
      </c>
      <c r="V76" s="43">
        <f t="shared" si="45"/>
        <v>0</v>
      </c>
      <c r="W76" s="43">
        <f t="shared" si="45"/>
        <v>0</v>
      </c>
      <c r="X76" s="43">
        <f t="shared" si="45"/>
        <v>0</v>
      </c>
      <c r="Y76" s="43">
        <f t="shared" si="45"/>
        <v>0</v>
      </c>
      <c r="Z76" s="43">
        <f t="shared" si="45"/>
        <v>0</v>
      </c>
      <c r="AA76" s="43">
        <f t="shared" si="45"/>
        <v>0</v>
      </c>
      <c r="AB76" s="43">
        <f t="shared" si="45"/>
        <v>0</v>
      </c>
      <c r="AC76" s="43" t="e">
        <f t="shared" si="51"/>
        <v>#DIV/0!</v>
      </c>
      <c r="AD76" s="43" t="e">
        <f t="shared" si="52"/>
        <v>#DIV/0!</v>
      </c>
      <c r="AE76" s="43" t="e">
        <f t="shared" si="53"/>
        <v>#DIV/0!</v>
      </c>
      <c r="AF76" s="43" t="e">
        <f t="shared" si="54"/>
        <v>#DIV/0!</v>
      </c>
      <c r="AG76" s="43" t="e">
        <f t="shared" si="55"/>
        <v>#DIV/0!</v>
      </c>
      <c r="AH76" s="43" t="e">
        <f t="shared" si="56"/>
        <v>#DIV/0!</v>
      </c>
      <c r="AI76" s="43" t="e">
        <f t="shared" si="57"/>
        <v>#DIV/0!</v>
      </c>
      <c r="AJ76" s="43" t="e">
        <f t="shared" si="58"/>
        <v>#DIV/0!</v>
      </c>
      <c r="AK76" s="43" t="e">
        <f t="shared" si="59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49"/>
        <v>0</v>
      </c>
      <c r="BE76" s="43">
        <f t="shared" si="46"/>
        <v>0</v>
      </c>
      <c r="BF76" s="43">
        <f t="shared" si="46"/>
        <v>0</v>
      </c>
      <c r="BG76" s="43">
        <f t="shared" si="46"/>
        <v>0</v>
      </c>
      <c r="BH76" s="43">
        <f t="shared" si="46"/>
        <v>0</v>
      </c>
      <c r="BI76" s="43">
        <f t="shared" si="46"/>
        <v>0</v>
      </c>
      <c r="BJ76" s="43">
        <f t="shared" si="46"/>
        <v>0</v>
      </c>
      <c r="BK76" s="43">
        <f t="shared" si="46"/>
        <v>0</v>
      </c>
      <c r="BL76" s="43">
        <f t="shared" si="46"/>
        <v>0</v>
      </c>
      <c r="BM76" s="51"/>
      <c r="BN76" s="51"/>
      <c r="BO76" s="51"/>
      <c r="BP76" s="51"/>
      <c r="BQ76" s="51"/>
      <c r="BR76" s="51"/>
      <c r="BS76" s="51"/>
      <c r="BT76" s="51"/>
      <c r="BU76" s="51"/>
      <c r="BV76" s="51" t="e">
        <f t="shared" si="60"/>
        <v>#DIV/0!</v>
      </c>
      <c r="BW76" s="51" t="e">
        <f t="shared" si="61"/>
        <v>#DIV/0!</v>
      </c>
      <c r="BX76" s="51" t="e">
        <f t="shared" si="62"/>
        <v>#DIV/0!</v>
      </c>
      <c r="BY76" s="51" t="e">
        <f t="shared" si="63"/>
        <v>#DIV/0!</v>
      </c>
      <c r="BZ76" s="51" t="e">
        <f t="shared" si="64"/>
        <v>#DIV/0!</v>
      </c>
      <c r="CA76" s="51" t="e">
        <f t="shared" si="65"/>
        <v>#DIV/0!</v>
      </c>
      <c r="CB76" s="51" t="e">
        <f t="shared" si="66"/>
        <v>#DIV/0!</v>
      </c>
      <c r="CC76" s="51" t="e">
        <f t="shared" si="67"/>
        <v>#DIV/0!</v>
      </c>
      <c r="CD76" s="51" t="e">
        <f t="shared" si="68"/>
        <v>#DIV/0!</v>
      </c>
      <c r="CE76" s="53">
        <f t="shared" si="50"/>
        <v>0</v>
      </c>
      <c r="CF76" s="53">
        <f t="shared" si="47"/>
        <v>0</v>
      </c>
      <c r="CG76" s="53">
        <f t="shared" si="47"/>
        <v>0</v>
      </c>
      <c r="CH76" s="53">
        <f t="shared" si="47"/>
        <v>0</v>
      </c>
      <c r="CI76" s="53">
        <f t="shared" si="47"/>
        <v>0</v>
      </c>
      <c r="CJ76" s="53">
        <f t="shared" si="47"/>
        <v>0</v>
      </c>
      <c r="CK76" s="53">
        <f t="shared" si="47"/>
        <v>0</v>
      </c>
      <c r="CL76" s="53">
        <f t="shared" si="47"/>
        <v>0</v>
      </c>
      <c r="CM76" s="53">
        <f t="shared" si="47"/>
        <v>0</v>
      </c>
    </row>
    <row r="77" spans="1:91" x14ac:dyDescent="0.15">
      <c r="A77" s="41">
        <v>75</v>
      </c>
      <c r="B77" s="43">
        <f t="shared" ref="B77:B86" si="71">B$75</f>
        <v>1</v>
      </c>
      <c r="C77" s="43">
        <f t="shared" si="70"/>
        <v>1</v>
      </c>
      <c r="D77" s="43">
        <f t="shared" si="70"/>
        <v>1</v>
      </c>
      <c r="E77" s="43">
        <f t="shared" si="70"/>
        <v>1</v>
      </c>
      <c r="F77" s="43">
        <f t="shared" si="70"/>
        <v>1</v>
      </c>
      <c r="G77" s="43">
        <f t="shared" si="70"/>
        <v>1</v>
      </c>
      <c r="H77" s="43">
        <f t="shared" si="70"/>
        <v>1</v>
      </c>
      <c r="I77" s="43">
        <f t="shared" si="70"/>
        <v>1</v>
      </c>
      <c r="J77" s="43">
        <f t="shared" si="70"/>
        <v>1</v>
      </c>
      <c r="K77" s="43" t="e">
        <f>K76+ATM_Conf!$C$5*(T76-AC76)</f>
        <v>#DIV/0!</v>
      </c>
      <c r="L77" s="43" t="e">
        <f>L76+ATM_Conf!$C$5*(U76-AD76)</f>
        <v>#DIV/0!</v>
      </c>
      <c r="M77" s="43" t="e">
        <f>M76+ATM_Conf!$C$5*(V76-AE76)</f>
        <v>#DIV/0!</v>
      </c>
      <c r="N77" s="43" t="e">
        <f>N76+ATM_Conf!$C$5*(W76-AF76)</f>
        <v>#DIV/0!</v>
      </c>
      <c r="O77" s="43" t="e">
        <f>O76+ATM_Conf!$C$5*(X76-AG76)</f>
        <v>#DIV/0!</v>
      </c>
      <c r="P77" s="43" t="e">
        <f>P76+ATM_Conf!$C$5*(Y76-AH76)</f>
        <v>#DIV/0!</v>
      </c>
      <c r="Q77" s="43" t="e">
        <f>Q76+ATM_Conf!$C$5*(Z76-AI76)</f>
        <v>#DIV/0!</v>
      </c>
      <c r="R77" s="43" t="e">
        <f>R76+ATM_Conf!$C$5*(AA76-AJ76)</f>
        <v>#DIV/0!</v>
      </c>
      <c r="S77" s="43" t="e">
        <f>S76+ATM_Conf!$C$5*(AB76-AK76)</f>
        <v>#DIV/0!</v>
      </c>
      <c r="T77" s="43">
        <f t="shared" si="48"/>
        <v>0</v>
      </c>
      <c r="U77" s="43">
        <f t="shared" si="45"/>
        <v>0</v>
      </c>
      <c r="V77" s="43">
        <f t="shared" si="45"/>
        <v>0</v>
      </c>
      <c r="W77" s="43">
        <f t="shared" si="45"/>
        <v>0</v>
      </c>
      <c r="X77" s="43">
        <f t="shared" si="45"/>
        <v>0</v>
      </c>
      <c r="Y77" s="43">
        <f t="shared" si="45"/>
        <v>0</v>
      </c>
      <c r="Z77" s="43">
        <f t="shared" si="45"/>
        <v>0</v>
      </c>
      <c r="AA77" s="43">
        <f t="shared" si="45"/>
        <v>0</v>
      </c>
      <c r="AB77" s="43">
        <f t="shared" si="45"/>
        <v>0</v>
      </c>
      <c r="AC77" s="43" t="e">
        <f t="shared" si="51"/>
        <v>#DIV/0!</v>
      </c>
      <c r="AD77" s="43" t="e">
        <f t="shared" si="52"/>
        <v>#DIV/0!</v>
      </c>
      <c r="AE77" s="43" t="e">
        <f t="shared" si="53"/>
        <v>#DIV/0!</v>
      </c>
      <c r="AF77" s="43" t="e">
        <f t="shared" si="54"/>
        <v>#DIV/0!</v>
      </c>
      <c r="AG77" s="43" t="e">
        <f t="shared" si="55"/>
        <v>#DIV/0!</v>
      </c>
      <c r="AH77" s="43" t="e">
        <f t="shared" si="56"/>
        <v>#DIV/0!</v>
      </c>
      <c r="AI77" s="43" t="e">
        <f t="shared" si="57"/>
        <v>#DIV/0!</v>
      </c>
      <c r="AJ77" s="43" t="e">
        <f t="shared" si="58"/>
        <v>#DIV/0!</v>
      </c>
      <c r="AK77" s="43" t="e">
        <f t="shared" si="59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49"/>
        <v>0</v>
      </c>
      <c r="BE77" s="43">
        <f t="shared" si="46"/>
        <v>0</v>
      </c>
      <c r="BF77" s="43">
        <f t="shared" si="46"/>
        <v>0</v>
      </c>
      <c r="BG77" s="43">
        <f t="shared" si="46"/>
        <v>0</v>
      </c>
      <c r="BH77" s="43">
        <f t="shared" si="46"/>
        <v>0</v>
      </c>
      <c r="BI77" s="43">
        <f t="shared" si="46"/>
        <v>0</v>
      </c>
      <c r="BJ77" s="43">
        <f t="shared" si="46"/>
        <v>0</v>
      </c>
      <c r="BK77" s="43">
        <f t="shared" si="46"/>
        <v>0</v>
      </c>
      <c r="BL77" s="43">
        <f t="shared" si="46"/>
        <v>0</v>
      </c>
      <c r="BM77" s="51"/>
      <c r="BN77" s="51"/>
      <c r="BO77" s="51"/>
      <c r="BP77" s="51"/>
      <c r="BQ77" s="51"/>
      <c r="BR77" s="51"/>
      <c r="BS77" s="51"/>
      <c r="BT77" s="51"/>
      <c r="BU77" s="51"/>
      <c r="BV77" s="51" t="e">
        <f t="shared" si="60"/>
        <v>#DIV/0!</v>
      </c>
      <c r="BW77" s="51" t="e">
        <f t="shared" si="61"/>
        <v>#DIV/0!</v>
      </c>
      <c r="BX77" s="51" t="e">
        <f t="shared" si="62"/>
        <v>#DIV/0!</v>
      </c>
      <c r="BY77" s="51" t="e">
        <f t="shared" si="63"/>
        <v>#DIV/0!</v>
      </c>
      <c r="BZ77" s="51" t="e">
        <f t="shared" si="64"/>
        <v>#DIV/0!</v>
      </c>
      <c r="CA77" s="51" t="e">
        <f t="shared" si="65"/>
        <v>#DIV/0!</v>
      </c>
      <c r="CB77" s="51" t="e">
        <f t="shared" si="66"/>
        <v>#DIV/0!</v>
      </c>
      <c r="CC77" s="51" t="e">
        <f t="shared" si="67"/>
        <v>#DIV/0!</v>
      </c>
      <c r="CD77" s="51" t="e">
        <f t="shared" si="68"/>
        <v>#DIV/0!</v>
      </c>
      <c r="CE77" s="53">
        <f t="shared" si="50"/>
        <v>0</v>
      </c>
      <c r="CF77" s="53">
        <f t="shared" si="47"/>
        <v>0</v>
      </c>
      <c r="CG77" s="53">
        <f t="shared" si="47"/>
        <v>0</v>
      </c>
      <c r="CH77" s="53">
        <f t="shared" si="47"/>
        <v>0</v>
      </c>
      <c r="CI77" s="53">
        <f t="shared" si="47"/>
        <v>0</v>
      </c>
      <c r="CJ77" s="53">
        <f t="shared" si="47"/>
        <v>0</v>
      </c>
      <c r="CK77" s="53">
        <f t="shared" si="47"/>
        <v>0</v>
      </c>
      <c r="CL77" s="53">
        <f t="shared" si="47"/>
        <v>0</v>
      </c>
      <c r="CM77" s="53">
        <f t="shared" si="47"/>
        <v>0</v>
      </c>
    </row>
    <row r="78" spans="1:91" x14ac:dyDescent="0.15">
      <c r="A78" s="41">
        <v>76</v>
      </c>
      <c r="B78" s="43">
        <f t="shared" si="71"/>
        <v>1</v>
      </c>
      <c r="C78" s="43">
        <f t="shared" si="70"/>
        <v>1</v>
      </c>
      <c r="D78" s="43">
        <f t="shared" si="70"/>
        <v>1</v>
      </c>
      <c r="E78" s="43">
        <f t="shared" si="70"/>
        <v>1</v>
      </c>
      <c r="F78" s="43">
        <f t="shared" si="70"/>
        <v>1</v>
      </c>
      <c r="G78" s="43">
        <f t="shared" si="70"/>
        <v>1</v>
      </c>
      <c r="H78" s="43">
        <f t="shared" si="70"/>
        <v>1</v>
      </c>
      <c r="I78" s="43">
        <f t="shared" si="70"/>
        <v>1</v>
      </c>
      <c r="J78" s="43">
        <f t="shared" si="70"/>
        <v>1</v>
      </c>
      <c r="K78" s="43" t="e">
        <f>K77+ATM_Conf!$C$5*(T77-AC77)</f>
        <v>#DIV/0!</v>
      </c>
      <c r="L78" s="43" t="e">
        <f>L77+ATM_Conf!$C$5*(U77-AD77)</f>
        <v>#DIV/0!</v>
      </c>
      <c r="M78" s="43" t="e">
        <f>M77+ATM_Conf!$C$5*(V77-AE77)</f>
        <v>#DIV/0!</v>
      </c>
      <c r="N78" s="43" t="e">
        <f>N77+ATM_Conf!$C$5*(W77-AF77)</f>
        <v>#DIV/0!</v>
      </c>
      <c r="O78" s="43" t="e">
        <f>O77+ATM_Conf!$C$5*(X77-AG77)</f>
        <v>#DIV/0!</v>
      </c>
      <c r="P78" s="43" t="e">
        <f>P77+ATM_Conf!$C$5*(Y77-AH77)</f>
        <v>#DIV/0!</v>
      </c>
      <c r="Q78" s="43" t="e">
        <f>Q77+ATM_Conf!$C$5*(Z77-AI77)</f>
        <v>#DIV/0!</v>
      </c>
      <c r="R78" s="43" t="e">
        <f>R77+ATM_Conf!$C$5*(AA77-AJ77)</f>
        <v>#DIV/0!</v>
      </c>
      <c r="S78" s="43" t="e">
        <f>S77+ATM_Conf!$C$5*(AB77-AK77)</f>
        <v>#DIV/0!</v>
      </c>
      <c r="T78" s="43">
        <f t="shared" si="48"/>
        <v>0</v>
      </c>
      <c r="U78" s="43">
        <f t="shared" si="45"/>
        <v>0</v>
      </c>
      <c r="V78" s="43">
        <f t="shared" si="45"/>
        <v>0</v>
      </c>
      <c r="W78" s="43">
        <f t="shared" si="45"/>
        <v>0</v>
      </c>
      <c r="X78" s="43">
        <f t="shared" si="45"/>
        <v>0</v>
      </c>
      <c r="Y78" s="43">
        <f t="shared" si="45"/>
        <v>0</v>
      </c>
      <c r="Z78" s="43">
        <f t="shared" si="45"/>
        <v>0</v>
      </c>
      <c r="AA78" s="43">
        <f t="shared" si="45"/>
        <v>0</v>
      </c>
      <c r="AB78" s="43">
        <f t="shared" si="45"/>
        <v>0</v>
      </c>
      <c r="AC78" s="43" t="e">
        <f t="shared" si="51"/>
        <v>#DIV/0!</v>
      </c>
      <c r="AD78" s="43" t="e">
        <f t="shared" si="52"/>
        <v>#DIV/0!</v>
      </c>
      <c r="AE78" s="43" t="e">
        <f t="shared" si="53"/>
        <v>#DIV/0!</v>
      </c>
      <c r="AF78" s="43" t="e">
        <f t="shared" si="54"/>
        <v>#DIV/0!</v>
      </c>
      <c r="AG78" s="43" t="e">
        <f t="shared" si="55"/>
        <v>#DIV/0!</v>
      </c>
      <c r="AH78" s="43" t="e">
        <f t="shared" si="56"/>
        <v>#DIV/0!</v>
      </c>
      <c r="AI78" s="43" t="e">
        <f t="shared" si="57"/>
        <v>#DIV/0!</v>
      </c>
      <c r="AJ78" s="43" t="e">
        <f t="shared" si="58"/>
        <v>#DIV/0!</v>
      </c>
      <c r="AK78" s="43" t="e">
        <f t="shared" si="59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49"/>
        <v>0</v>
      </c>
      <c r="BE78" s="43">
        <f t="shared" si="46"/>
        <v>0</v>
      </c>
      <c r="BF78" s="43">
        <f t="shared" si="46"/>
        <v>0</v>
      </c>
      <c r="BG78" s="43">
        <f t="shared" si="46"/>
        <v>0</v>
      </c>
      <c r="BH78" s="43">
        <f t="shared" si="46"/>
        <v>0</v>
      </c>
      <c r="BI78" s="43">
        <f t="shared" si="46"/>
        <v>0</v>
      </c>
      <c r="BJ78" s="43">
        <f t="shared" si="46"/>
        <v>0</v>
      </c>
      <c r="BK78" s="43">
        <f t="shared" si="46"/>
        <v>0</v>
      </c>
      <c r="BL78" s="43">
        <f t="shared" si="46"/>
        <v>0</v>
      </c>
      <c r="BM78" s="51"/>
      <c r="BN78" s="51"/>
      <c r="BO78" s="51"/>
      <c r="BP78" s="51"/>
      <c r="BQ78" s="51"/>
      <c r="BR78" s="51"/>
      <c r="BS78" s="51"/>
      <c r="BT78" s="51"/>
      <c r="BU78" s="51"/>
      <c r="BV78" s="51" t="e">
        <f t="shared" si="60"/>
        <v>#DIV/0!</v>
      </c>
      <c r="BW78" s="51" t="e">
        <f t="shared" si="61"/>
        <v>#DIV/0!</v>
      </c>
      <c r="BX78" s="51" t="e">
        <f t="shared" si="62"/>
        <v>#DIV/0!</v>
      </c>
      <c r="BY78" s="51" t="e">
        <f t="shared" si="63"/>
        <v>#DIV/0!</v>
      </c>
      <c r="BZ78" s="51" t="e">
        <f t="shared" si="64"/>
        <v>#DIV/0!</v>
      </c>
      <c r="CA78" s="51" t="e">
        <f t="shared" si="65"/>
        <v>#DIV/0!</v>
      </c>
      <c r="CB78" s="51" t="e">
        <f t="shared" si="66"/>
        <v>#DIV/0!</v>
      </c>
      <c r="CC78" s="51" t="e">
        <f t="shared" si="67"/>
        <v>#DIV/0!</v>
      </c>
      <c r="CD78" s="51" t="e">
        <f t="shared" si="68"/>
        <v>#DIV/0!</v>
      </c>
      <c r="CE78" s="53">
        <f t="shared" si="50"/>
        <v>0</v>
      </c>
      <c r="CF78" s="53">
        <f t="shared" si="47"/>
        <v>0</v>
      </c>
      <c r="CG78" s="53">
        <f t="shared" si="47"/>
        <v>0</v>
      </c>
      <c r="CH78" s="53">
        <f t="shared" si="47"/>
        <v>0</v>
      </c>
      <c r="CI78" s="53">
        <f t="shared" si="47"/>
        <v>0</v>
      </c>
      <c r="CJ78" s="53">
        <f t="shared" si="47"/>
        <v>0</v>
      </c>
      <c r="CK78" s="53">
        <f t="shared" si="47"/>
        <v>0</v>
      </c>
      <c r="CL78" s="53">
        <f t="shared" si="47"/>
        <v>0</v>
      </c>
      <c r="CM78" s="53">
        <f t="shared" si="47"/>
        <v>0</v>
      </c>
    </row>
    <row r="79" spans="1:91" x14ac:dyDescent="0.15">
      <c r="A79" s="41">
        <v>77</v>
      </c>
      <c r="B79" s="43">
        <f t="shared" si="71"/>
        <v>1</v>
      </c>
      <c r="C79" s="43">
        <f t="shared" si="70"/>
        <v>1</v>
      </c>
      <c r="D79" s="43">
        <f t="shared" si="70"/>
        <v>1</v>
      </c>
      <c r="E79" s="43">
        <f t="shared" si="70"/>
        <v>1</v>
      </c>
      <c r="F79" s="43">
        <f t="shared" si="70"/>
        <v>1</v>
      </c>
      <c r="G79" s="43">
        <f t="shared" si="70"/>
        <v>1</v>
      </c>
      <c r="H79" s="43">
        <f t="shared" si="70"/>
        <v>1</v>
      </c>
      <c r="I79" s="43">
        <f t="shared" si="70"/>
        <v>1</v>
      </c>
      <c r="J79" s="43">
        <f t="shared" si="70"/>
        <v>1</v>
      </c>
      <c r="K79" s="43" t="e">
        <f>K78+ATM_Conf!$C$5*(T78-AC78)</f>
        <v>#DIV/0!</v>
      </c>
      <c r="L79" s="43" t="e">
        <f>L78+ATM_Conf!$C$5*(U78-AD78)</f>
        <v>#DIV/0!</v>
      </c>
      <c r="M79" s="43" t="e">
        <f>M78+ATM_Conf!$C$5*(V78-AE78)</f>
        <v>#DIV/0!</v>
      </c>
      <c r="N79" s="43" t="e">
        <f>N78+ATM_Conf!$C$5*(W78-AF78)</f>
        <v>#DIV/0!</v>
      </c>
      <c r="O79" s="43" t="e">
        <f>O78+ATM_Conf!$C$5*(X78-AG78)</f>
        <v>#DIV/0!</v>
      </c>
      <c r="P79" s="43" t="e">
        <f>P78+ATM_Conf!$C$5*(Y78-AH78)</f>
        <v>#DIV/0!</v>
      </c>
      <c r="Q79" s="43" t="e">
        <f>Q78+ATM_Conf!$C$5*(Z78-AI78)</f>
        <v>#DIV/0!</v>
      </c>
      <c r="R79" s="43" t="e">
        <f>R78+ATM_Conf!$C$5*(AA78-AJ78)</f>
        <v>#DIV/0!</v>
      </c>
      <c r="S79" s="43" t="e">
        <f>S78+ATM_Conf!$C$5*(AB78-AK78)</f>
        <v>#DIV/0!</v>
      </c>
      <c r="T79" s="43">
        <f t="shared" si="48"/>
        <v>0</v>
      </c>
      <c r="U79" s="43">
        <f t="shared" si="45"/>
        <v>0</v>
      </c>
      <c r="V79" s="43">
        <f t="shared" si="45"/>
        <v>0</v>
      </c>
      <c r="W79" s="43">
        <f t="shared" si="45"/>
        <v>0</v>
      </c>
      <c r="X79" s="43">
        <f t="shared" si="45"/>
        <v>0</v>
      </c>
      <c r="Y79" s="43">
        <f t="shared" si="45"/>
        <v>0</v>
      </c>
      <c r="Z79" s="43">
        <f t="shared" si="45"/>
        <v>0</v>
      </c>
      <c r="AA79" s="43">
        <f t="shared" si="45"/>
        <v>0</v>
      </c>
      <c r="AB79" s="43">
        <f t="shared" si="45"/>
        <v>0</v>
      </c>
      <c r="AC79" s="43" t="e">
        <f t="shared" si="51"/>
        <v>#DIV/0!</v>
      </c>
      <c r="AD79" s="43" t="e">
        <f t="shared" si="52"/>
        <v>#DIV/0!</v>
      </c>
      <c r="AE79" s="43" t="e">
        <f t="shared" si="53"/>
        <v>#DIV/0!</v>
      </c>
      <c r="AF79" s="43" t="e">
        <f t="shared" si="54"/>
        <v>#DIV/0!</v>
      </c>
      <c r="AG79" s="43" t="e">
        <f t="shared" si="55"/>
        <v>#DIV/0!</v>
      </c>
      <c r="AH79" s="43" t="e">
        <f t="shared" si="56"/>
        <v>#DIV/0!</v>
      </c>
      <c r="AI79" s="43" t="e">
        <f t="shared" si="57"/>
        <v>#DIV/0!</v>
      </c>
      <c r="AJ79" s="43" t="e">
        <f t="shared" si="58"/>
        <v>#DIV/0!</v>
      </c>
      <c r="AK79" s="43" t="e">
        <f t="shared" si="59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49"/>
        <v>0</v>
      </c>
      <c r="BE79" s="43">
        <f t="shared" si="46"/>
        <v>0</v>
      </c>
      <c r="BF79" s="43">
        <f t="shared" si="46"/>
        <v>0</v>
      </c>
      <c r="BG79" s="43">
        <f t="shared" si="46"/>
        <v>0</v>
      </c>
      <c r="BH79" s="43">
        <f t="shared" si="46"/>
        <v>0</v>
      </c>
      <c r="BI79" s="43">
        <f t="shared" si="46"/>
        <v>0</v>
      </c>
      <c r="BJ79" s="43">
        <f t="shared" si="46"/>
        <v>0</v>
      </c>
      <c r="BK79" s="43">
        <f t="shared" si="46"/>
        <v>0</v>
      </c>
      <c r="BL79" s="43">
        <f t="shared" si="46"/>
        <v>0</v>
      </c>
      <c r="BM79" s="51"/>
      <c r="BN79" s="51"/>
      <c r="BO79" s="51"/>
      <c r="BP79" s="51"/>
      <c r="BQ79" s="51"/>
      <c r="BR79" s="51"/>
      <c r="BS79" s="51"/>
      <c r="BT79" s="51"/>
      <c r="BU79" s="51"/>
      <c r="BV79" s="51" t="e">
        <f t="shared" si="60"/>
        <v>#DIV/0!</v>
      </c>
      <c r="BW79" s="51" t="e">
        <f t="shared" si="61"/>
        <v>#DIV/0!</v>
      </c>
      <c r="BX79" s="51" t="e">
        <f t="shared" si="62"/>
        <v>#DIV/0!</v>
      </c>
      <c r="BY79" s="51" t="e">
        <f t="shared" si="63"/>
        <v>#DIV/0!</v>
      </c>
      <c r="BZ79" s="51" t="e">
        <f t="shared" si="64"/>
        <v>#DIV/0!</v>
      </c>
      <c r="CA79" s="51" t="e">
        <f t="shared" si="65"/>
        <v>#DIV/0!</v>
      </c>
      <c r="CB79" s="51" t="e">
        <f t="shared" si="66"/>
        <v>#DIV/0!</v>
      </c>
      <c r="CC79" s="51" t="e">
        <f t="shared" si="67"/>
        <v>#DIV/0!</v>
      </c>
      <c r="CD79" s="51" t="e">
        <f t="shared" si="68"/>
        <v>#DIV/0!</v>
      </c>
      <c r="CE79" s="53">
        <f t="shared" si="50"/>
        <v>0</v>
      </c>
      <c r="CF79" s="53">
        <f t="shared" si="47"/>
        <v>0</v>
      </c>
      <c r="CG79" s="53">
        <f t="shared" si="47"/>
        <v>0</v>
      </c>
      <c r="CH79" s="53">
        <f t="shared" si="47"/>
        <v>0</v>
      </c>
      <c r="CI79" s="53">
        <f t="shared" si="47"/>
        <v>0</v>
      </c>
      <c r="CJ79" s="53">
        <f t="shared" si="47"/>
        <v>0</v>
      </c>
      <c r="CK79" s="53">
        <f t="shared" si="47"/>
        <v>0</v>
      </c>
      <c r="CL79" s="53">
        <f t="shared" si="47"/>
        <v>0</v>
      </c>
      <c r="CM79" s="53">
        <f t="shared" si="47"/>
        <v>0</v>
      </c>
    </row>
    <row r="80" spans="1:91" x14ac:dyDescent="0.15">
      <c r="A80" s="41">
        <v>78</v>
      </c>
      <c r="B80" s="43">
        <f t="shared" si="71"/>
        <v>1</v>
      </c>
      <c r="C80" s="43">
        <f t="shared" si="70"/>
        <v>1</v>
      </c>
      <c r="D80" s="43">
        <f t="shared" si="70"/>
        <v>1</v>
      </c>
      <c r="E80" s="43">
        <f t="shared" si="70"/>
        <v>1</v>
      </c>
      <c r="F80" s="43">
        <f t="shared" si="70"/>
        <v>1</v>
      </c>
      <c r="G80" s="43">
        <f t="shared" si="70"/>
        <v>1</v>
      </c>
      <c r="H80" s="43">
        <f t="shared" si="70"/>
        <v>1</v>
      </c>
      <c r="I80" s="43">
        <f t="shared" si="70"/>
        <v>1</v>
      </c>
      <c r="J80" s="43">
        <f t="shared" si="70"/>
        <v>1</v>
      </c>
      <c r="K80" s="43" t="e">
        <f>K79+ATM_Conf!$C$5*(T79-AC79)</f>
        <v>#DIV/0!</v>
      </c>
      <c r="L80" s="43" t="e">
        <f>L79+ATM_Conf!$C$5*(U79-AD79)</f>
        <v>#DIV/0!</v>
      </c>
      <c r="M80" s="43" t="e">
        <f>M79+ATM_Conf!$C$5*(V79-AE79)</f>
        <v>#DIV/0!</v>
      </c>
      <c r="N80" s="43" t="e">
        <f>N79+ATM_Conf!$C$5*(W79-AF79)</f>
        <v>#DIV/0!</v>
      </c>
      <c r="O80" s="43" t="e">
        <f>O79+ATM_Conf!$C$5*(X79-AG79)</f>
        <v>#DIV/0!</v>
      </c>
      <c r="P80" s="43" t="e">
        <f>P79+ATM_Conf!$C$5*(Y79-AH79)</f>
        <v>#DIV/0!</v>
      </c>
      <c r="Q80" s="43" t="e">
        <f>Q79+ATM_Conf!$C$5*(Z79-AI79)</f>
        <v>#DIV/0!</v>
      </c>
      <c r="R80" s="43" t="e">
        <f>R79+ATM_Conf!$C$5*(AA79-AJ79)</f>
        <v>#DIV/0!</v>
      </c>
      <c r="S80" s="43" t="e">
        <f>S79+ATM_Conf!$C$5*(AB79-AK79)</f>
        <v>#DIV/0!</v>
      </c>
      <c r="T80" s="43">
        <f t="shared" si="48"/>
        <v>0</v>
      </c>
      <c r="U80" s="43">
        <f t="shared" si="45"/>
        <v>0</v>
      </c>
      <c r="V80" s="43">
        <f t="shared" si="45"/>
        <v>0</v>
      </c>
      <c r="W80" s="43">
        <f t="shared" si="45"/>
        <v>0</v>
      </c>
      <c r="X80" s="43">
        <f t="shared" si="45"/>
        <v>0</v>
      </c>
      <c r="Y80" s="43">
        <f t="shared" si="45"/>
        <v>0</v>
      </c>
      <c r="Z80" s="43">
        <f t="shared" si="45"/>
        <v>0</v>
      </c>
      <c r="AA80" s="43">
        <f t="shared" si="45"/>
        <v>0</v>
      </c>
      <c r="AB80" s="43">
        <f t="shared" si="45"/>
        <v>0</v>
      </c>
      <c r="AC80" s="43" t="e">
        <f t="shared" si="51"/>
        <v>#DIV/0!</v>
      </c>
      <c r="AD80" s="43" t="e">
        <f t="shared" si="52"/>
        <v>#DIV/0!</v>
      </c>
      <c r="AE80" s="43" t="e">
        <f t="shared" si="53"/>
        <v>#DIV/0!</v>
      </c>
      <c r="AF80" s="43" t="e">
        <f t="shared" si="54"/>
        <v>#DIV/0!</v>
      </c>
      <c r="AG80" s="43" t="e">
        <f t="shared" si="55"/>
        <v>#DIV/0!</v>
      </c>
      <c r="AH80" s="43" t="e">
        <f t="shared" si="56"/>
        <v>#DIV/0!</v>
      </c>
      <c r="AI80" s="43" t="e">
        <f t="shared" si="57"/>
        <v>#DIV/0!</v>
      </c>
      <c r="AJ80" s="43" t="e">
        <f t="shared" si="58"/>
        <v>#DIV/0!</v>
      </c>
      <c r="AK80" s="43" t="e">
        <f t="shared" si="59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49"/>
        <v>0</v>
      </c>
      <c r="BE80" s="43">
        <f t="shared" si="46"/>
        <v>0</v>
      </c>
      <c r="BF80" s="43">
        <f t="shared" si="46"/>
        <v>0</v>
      </c>
      <c r="BG80" s="43">
        <f t="shared" si="46"/>
        <v>0</v>
      </c>
      <c r="BH80" s="43">
        <f t="shared" si="46"/>
        <v>0</v>
      </c>
      <c r="BI80" s="43">
        <f t="shared" si="46"/>
        <v>0</v>
      </c>
      <c r="BJ80" s="43">
        <f t="shared" si="46"/>
        <v>0</v>
      </c>
      <c r="BK80" s="43">
        <f t="shared" si="46"/>
        <v>0</v>
      </c>
      <c r="BL80" s="43">
        <f t="shared" si="46"/>
        <v>0</v>
      </c>
      <c r="BM80" s="51"/>
      <c r="BN80" s="51"/>
      <c r="BO80" s="51"/>
      <c r="BP80" s="51"/>
      <c r="BQ80" s="51"/>
      <c r="BR80" s="51"/>
      <c r="BS80" s="51"/>
      <c r="BT80" s="51"/>
      <c r="BU80" s="51"/>
      <c r="BV80" s="51" t="e">
        <f t="shared" si="60"/>
        <v>#DIV/0!</v>
      </c>
      <c r="BW80" s="51" t="e">
        <f t="shared" si="61"/>
        <v>#DIV/0!</v>
      </c>
      <c r="BX80" s="51" t="e">
        <f t="shared" si="62"/>
        <v>#DIV/0!</v>
      </c>
      <c r="BY80" s="51" t="e">
        <f t="shared" si="63"/>
        <v>#DIV/0!</v>
      </c>
      <c r="BZ80" s="51" t="e">
        <f t="shared" si="64"/>
        <v>#DIV/0!</v>
      </c>
      <c r="CA80" s="51" t="e">
        <f t="shared" si="65"/>
        <v>#DIV/0!</v>
      </c>
      <c r="CB80" s="51" t="e">
        <f t="shared" si="66"/>
        <v>#DIV/0!</v>
      </c>
      <c r="CC80" s="51" t="e">
        <f t="shared" si="67"/>
        <v>#DIV/0!</v>
      </c>
      <c r="CD80" s="51" t="e">
        <f t="shared" si="68"/>
        <v>#DIV/0!</v>
      </c>
      <c r="CE80" s="53">
        <f t="shared" si="50"/>
        <v>0</v>
      </c>
      <c r="CF80" s="53">
        <f t="shared" si="47"/>
        <v>0</v>
      </c>
      <c r="CG80" s="53">
        <f t="shared" si="47"/>
        <v>0</v>
      </c>
      <c r="CH80" s="53">
        <f t="shared" si="47"/>
        <v>0</v>
      </c>
      <c r="CI80" s="53">
        <f t="shared" si="47"/>
        <v>0</v>
      </c>
      <c r="CJ80" s="53">
        <f t="shared" si="47"/>
        <v>0</v>
      </c>
      <c r="CK80" s="53">
        <f t="shared" si="47"/>
        <v>0</v>
      </c>
      <c r="CL80" s="53">
        <f t="shared" si="47"/>
        <v>0</v>
      </c>
      <c r="CM80" s="53">
        <f t="shared" si="47"/>
        <v>0</v>
      </c>
    </row>
    <row r="81" spans="1:91" x14ac:dyDescent="0.15">
      <c r="A81" s="41">
        <v>79</v>
      </c>
      <c r="B81" s="43">
        <f t="shared" si="71"/>
        <v>1</v>
      </c>
      <c r="C81" s="43">
        <f t="shared" si="70"/>
        <v>1</v>
      </c>
      <c r="D81" s="43">
        <f t="shared" si="70"/>
        <v>1</v>
      </c>
      <c r="E81" s="43">
        <f t="shared" si="70"/>
        <v>1</v>
      </c>
      <c r="F81" s="43">
        <f t="shared" si="70"/>
        <v>1</v>
      </c>
      <c r="G81" s="43">
        <f t="shared" si="70"/>
        <v>1</v>
      </c>
      <c r="H81" s="43">
        <f t="shared" si="70"/>
        <v>1</v>
      </c>
      <c r="I81" s="43">
        <f t="shared" si="70"/>
        <v>1</v>
      </c>
      <c r="J81" s="43">
        <f t="shared" si="70"/>
        <v>1</v>
      </c>
      <c r="K81" s="43" t="e">
        <f>K80+ATM_Conf!$C$5*(T80-AC80)</f>
        <v>#DIV/0!</v>
      </c>
      <c r="L81" s="43" t="e">
        <f>L80+ATM_Conf!$C$5*(U80-AD80)</f>
        <v>#DIV/0!</v>
      </c>
      <c r="M81" s="43" t="e">
        <f>M80+ATM_Conf!$C$5*(V80-AE80)</f>
        <v>#DIV/0!</v>
      </c>
      <c r="N81" s="43" t="e">
        <f>N80+ATM_Conf!$C$5*(W80-AF80)</f>
        <v>#DIV/0!</v>
      </c>
      <c r="O81" s="43" t="e">
        <f>O80+ATM_Conf!$C$5*(X80-AG80)</f>
        <v>#DIV/0!</v>
      </c>
      <c r="P81" s="43" t="e">
        <f>P80+ATM_Conf!$C$5*(Y80-AH80)</f>
        <v>#DIV/0!</v>
      </c>
      <c r="Q81" s="43" t="e">
        <f>Q80+ATM_Conf!$C$5*(Z80-AI80)</f>
        <v>#DIV/0!</v>
      </c>
      <c r="R81" s="43" t="e">
        <f>R80+ATM_Conf!$C$5*(AA80-AJ80)</f>
        <v>#DIV/0!</v>
      </c>
      <c r="S81" s="43" t="e">
        <f>S80+ATM_Conf!$C$5*(AB80-AK80)</f>
        <v>#DIV/0!</v>
      </c>
      <c r="T81" s="43">
        <f t="shared" si="48"/>
        <v>0</v>
      </c>
      <c r="U81" s="43">
        <f t="shared" si="45"/>
        <v>0</v>
      </c>
      <c r="V81" s="43">
        <f t="shared" si="45"/>
        <v>0</v>
      </c>
      <c r="W81" s="43">
        <f t="shared" si="45"/>
        <v>0</v>
      </c>
      <c r="X81" s="43">
        <f t="shared" si="45"/>
        <v>0</v>
      </c>
      <c r="Y81" s="43">
        <f t="shared" si="45"/>
        <v>0</v>
      </c>
      <c r="Z81" s="43">
        <f t="shared" si="45"/>
        <v>0</v>
      </c>
      <c r="AA81" s="43">
        <f t="shared" si="45"/>
        <v>0</v>
      </c>
      <c r="AB81" s="43">
        <f t="shared" si="45"/>
        <v>0</v>
      </c>
      <c r="AC81" s="43" t="e">
        <f t="shared" si="51"/>
        <v>#DIV/0!</v>
      </c>
      <c r="AD81" s="43" t="e">
        <f t="shared" si="52"/>
        <v>#DIV/0!</v>
      </c>
      <c r="AE81" s="43" t="e">
        <f t="shared" si="53"/>
        <v>#DIV/0!</v>
      </c>
      <c r="AF81" s="43" t="e">
        <f t="shared" si="54"/>
        <v>#DIV/0!</v>
      </c>
      <c r="AG81" s="43" t="e">
        <f t="shared" si="55"/>
        <v>#DIV/0!</v>
      </c>
      <c r="AH81" s="43" t="e">
        <f t="shared" si="56"/>
        <v>#DIV/0!</v>
      </c>
      <c r="AI81" s="43" t="e">
        <f t="shared" si="57"/>
        <v>#DIV/0!</v>
      </c>
      <c r="AJ81" s="43" t="e">
        <f t="shared" si="58"/>
        <v>#DIV/0!</v>
      </c>
      <c r="AK81" s="43" t="e">
        <f t="shared" si="59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49"/>
        <v>0</v>
      </c>
      <c r="BE81" s="43">
        <f t="shared" si="46"/>
        <v>0</v>
      </c>
      <c r="BF81" s="43">
        <f t="shared" si="46"/>
        <v>0</v>
      </c>
      <c r="BG81" s="43">
        <f t="shared" si="46"/>
        <v>0</v>
      </c>
      <c r="BH81" s="43">
        <f t="shared" si="46"/>
        <v>0</v>
      </c>
      <c r="BI81" s="43">
        <f t="shared" si="46"/>
        <v>0</v>
      </c>
      <c r="BJ81" s="43">
        <f t="shared" si="46"/>
        <v>0</v>
      </c>
      <c r="BK81" s="43">
        <f t="shared" si="46"/>
        <v>0</v>
      </c>
      <c r="BL81" s="43">
        <f t="shared" si="46"/>
        <v>0</v>
      </c>
      <c r="BM81" s="51"/>
      <c r="BN81" s="51"/>
      <c r="BO81" s="51"/>
      <c r="BP81" s="51"/>
      <c r="BQ81" s="51"/>
      <c r="BR81" s="51"/>
      <c r="BS81" s="51"/>
      <c r="BT81" s="51"/>
      <c r="BU81" s="51"/>
      <c r="BV81" s="51" t="e">
        <f t="shared" si="60"/>
        <v>#DIV/0!</v>
      </c>
      <c r="BW81" s="51" t="e">
        <f t="shared" si="61"/>
        <v>#DIV/0!</v>
      </c>
      <c r="BX81" s="51" t="e">
        <f t="shared" si="62"/>
        <v>#DIV/0!</v>
      </c>
      <c r="BY81" s="51" t="e">
        <f t="shared" si="63"/>
        <v>#DIV/0!</v>
      </c>
      <c r="BZ81" s="51" t="e">
        <f t="shared" si="64"/>
        <v>#DIV/0!</v>
      </c>
      <c r="CA81" s="51" t="e">
        <f t="shared" si="65"/>
        <v>#DIV/0!</v>
      </c>
      <c r="CB81" s="51" t="e">
        <f t="shared" si="66"/>
        <v>#DIV/0!</v>
      </c>
      <c r="CC81" s="51" t="e">
        <f t="shared" si="67"/>
        <v>#DIV/0!</v>
      </c>
      <c r="CD81" s="51" t="e">
        <f t="shared" si="68"/>
        <v>#DIV/0!</v>
      </c>
      <c r="CE81" s="53">
        <f t="shared" si="50"/>
        <v>0</v>
      </c>
      <c r="CF81" s="53">
        <f t="shared" si="47"/>
        <v>0</v>
      </c>
      <c r="CG81" s="53">
        <f t="shared" si="47"/>
        <v>0</v>
      </c>
      <c r="CH81" s="53">
        <f t="shared" si="47"/>
        <v>0</v>
      </c>
      <c r="CI81" s="53">
        <f t="shared" si="47"/>
        <v>0</v>
      </c>
      <c r="CJ81" s="53">
        <f t="shared" si="47"/>
        <v>0</v>
      </c>
      <c r="CK81" s="53">
        <f t="shared" si="47"/>
        <v>0</v>
      </c>
      <c r="CL81" s="53">
        <f t="shared" si="47"/>
        <v>0</v>
      </c>
      <c r="CM81" s="53">
        <f t="shared" si="47"/>
        <v>0</v>
      </c>
    </row>
    <row r="82" spans="1:91" x14ac:dyDescent="0.15">
      <c r="A82" s="41">
        <v>80</v>
      </c>
      <c r="B82" s="43">
        <f t="shared" si="71"/>
        <v>1</v>
      </c>
      <c r="C82" s="43">
        <f t="shared" si="70"/>
        <v>1</v>
      </c>
      <c r="D82" s="43">
        <f t="shared" si="70"/>
        <v>1</v>
      </c>
      <c r="E82" s="43">
        <f t="shared" si="70"/>
        <v>1</v>
      </c>
      <c r="F82" s="43">
        <f t="shared" si="70"/>
        <v>1</v>
      </c>
      <c r="G82" s="43">
        <f t="shared" si="70"/>
        <v>1</v>
      </c>
      <c r="H82" s="43">
        <f t="shared" si="70"/>
        <v>1</v>
      </c>
      <c r="I82" s="43">
        <f t="shared" si="70"/>
        <v>1</v>
      </c>
      <c r="J82" s="43">
        <f t="shared" si="70"/>
        <v>1</v>
      </c>
      <c r="K82" s="43" t="e">
        <f>K81+ATM_Conf!$C$5*(T81-AC81)</f>
        <v>#DIV/0!</v>
      </c>
      <c r="L82" s="43" t="e">
        <f>L81+ATM_Conf!$C$5*(U81-AD81)</f>
        <v>#DIV/0!</v>
      </c>
      <c r="M82" s="43" t="e">
        <f>M81+ATM_Conf!$C$5*(V81-AE81)</f>
        <v>#DIV/0!</v>
      </c>
      <c r="N82" s="43" t="e">
        <f>N81+ATM_Conf!$C$5*(W81-AF81)</f>
        <v>#DIV/0!</v>
      </c>
      <c r="O82" s="43" t="e">
        <f>O81+ATM_Conf!$C$5*(X81-AG81)</f>
        <v>#DIV/0!</v>
      </c>
      <c r="P82" s="43" t="e">
        <f>P81+ATM_Conf!$C$5*(Y81-AH81)</f>
        <v>#DIV/0!</v>
      </c>
      <c r="Q82" s="43" t="e">
        <f>Q81+ATM_Conf!$C$5*(Z81-AI81)</f>
        <v>#DIV/0!</v>
      </c>
      <c r="R82" s="43" t="e">
        <f>R81+ATM_Conf!$C$5*(AA81-AJ81)</f>
        <v>#DIV/0!</v>
      </c>
      <c r="S82" s="43" t="e">
        <f>S81+ATM_Conf!$C$5*(AB81-AK81)</f>
        <v>#DIV/0!</v>
      </c>
      <c r="T82" s="43">
        <f t="shared" si="48"/>
        <v>0</v>
      </c>
      <c r="U82" s="43">
        <f t="shared" si="45"/>
        <v>0</v>
      </c>
      <c r="V82" s="43">
        <f t="shared" si="45"/>
        <v>0</v>
      </c>
      <c r="W82" s="43">
        <f t="shared" si="45"/>
        <v>0</v>
      </c>
      <c r="X82" s="43">
        <f t="shared" si="45"/>
        <v>0</v>
      </c>
      <c r="Y82" s="43">
        <f t="shared" si="45"/>
        <v>0</v>
      </c>
      <c r="Z82" s="43">
        <f t="shared" si="45"/>
        <v>0</v>
      </c>
      <c r="AA82" s="43">
        <f t="shared" si="45"/>
        <v>0</v>
      </c>
      <c r="AB82" s="43">
        <f t="shared" si="45"/>
        <v>0</v>
      </c>
      <c r="AC82" s="43" t="e">
        <f t="shared" si="51"/>
        <v>#DIV/0!</v>
      </c>
      <c r="AD82" s="43" t="e">
        <f t="shared" si="52"/>
        <v>#DIV/0!</v>
      </c>
      <c r="AE82" s="43" t="e">
        <f t="shared" si="53"/>
        <v>#DIV/0!</v>
      </c>
      <c r="AF82" s="43" t="e">
        <f t="shared" si="54"/>
        <v>#DIV/0!</v>
      </c>
      <c r="AG82" s="43" t="e">
        <f t="shared" si="55"/>
        <v>#DIV/0!</v>
      </c>
      <c r="AH82" s="43" t="e">
        <f t="shared" si="56"/>
        <v>#DIV/0!</v>
      </c>
      <c r="AI82" s="43" t="e">
        <f t="shared" si="57"/>
        <v>#DIV/0!</v>
      </c>
      <c r="AJ82" s="43" t="e">
        <f t="shared" si="58"/>
        <v>#DIV/0!</v>
      </c>
      <c r="AK82" s="43" t="e">
        <f t="shared" si="59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49"/>
        <v>0</v>
      </c>
      <c r="BE82" s="43">
        <f t="shared" si="46"/>
        <v>0</v>
      </c>
      <c r="BF82" s="43">
        <f t="shared" si="46"/>
        <v>0</v>
      </c>
      <c r="BG82" s="43">
        <f t="shared" si="46"/>
        <v>0</v>
      </c>
      <c r="BH82" s="43">
        <f t="shared" si="46"/>
        <v>0</v>
      </c>
      <c r="BI82" s="43">
        <f t="shared" si="46"/>
        <v>0</v>
      </c>
      <c r="BJ82" s="43">
        <f t="shared" si="46"/>
        <v>0</v>
      </c>
      <c r="BK82" s="43">
        <f t="shared" si="46"/>
        <v>0</v>
      </c>
      <c r="BL82" s="43">
        <f t="shared" si="46"/>
        <v>0</v>
      </c>
      <c r="BM82" s="51"/>
      <c r="BN82" s="51"/>
      <c r="BO82" s="51"/>
      <c r="BP82" s="51"/>
      <c r="BQ82" s="51"/>
      <c r="BR82" s="51"/>
      <c r="BS82" s="51"/>
      <c r="BT82" s="51"/>
      <c r="BU82" s="51"/>
      <c r="BV82" s="51" t="e">
        <f t="shared" si="60"/>
        <v>#DIV/0!</v>
      </c>
      <c r="BW82" s="51" t="e">
        <f t="shared" si="61"/>
        <v>#DIV/0!</v>
      </c>
      <c r="BX82" s="51" t="e">
        <f t="shared" si="62"/>
        <v>#DIV/0!</v>
      </c>
      <c r="BY82" s="51" t="e">
        <f t="shared" si="63"/>
        <v>#DIV/0!</v>
      </c>
      <c r="BZ82" s="51" t="e">
        <f t="shared" si="64"/>
        <v>#DIV/0!</v>
      </c>
      <c r="CA82" s="51" t="e">
        <f t="shared" si="65"/>
        <v>#DIV/0!</v>
      </c>
      <c r="CB82" s="51" t="e">
        <f t="shared" si="66"/>
        <v>#DIV/0!</v>
      </c>
      <c r="CC82" s="51" t="e">
        <f t="shared" si="67"/>
        <v>#DIV/0!</v>
      </c>
      <c r="CD82" s="51" t="e">
        <f t="shared" si="68"/>
        <v>#DIV/0!</v>
      </c>
      <c r="CE82" s="53">
        <f t="shared" si="50"/>
        <v>0</v>
      </c>
      <c r="CF82" s="53">
        <f t="shared" si="47"/>
        <v>0</v>
      </c>
      <c r="CG82" s="53">
        <f t="shared" si="47"/>
        <v>0</v>
      </c>
      <c r="CH82" s="53">
        <f t="shared" si="47"/>
        <v>0</v>
      </c>
      <c r="CI82" s="53">
        <f t="shared" si="47"/>
        <v>0</v>
      </c>
      <c r="CJ82" s="53">
        <f t="shared" si="47"/>
        <v>0</v>
      </c>
      <c r="CK82" s="53">
        <f t="shared" si="47"/>
        <v>0</v>
      </c>
      <c r="CL82" s="53">
        <f t="shared" si="47"/>
        <v>0</v>
      </c>
      <c r="CM82" s="53">
        <f t="shared" si="47"/>
        <v>0</v>
      </c>
    </row>
    <row r="83" spans="1:91" x14ac:dyDescent="0.15">
      <c r="A83" s="41">
        <v>81</v>
      </c>
      <c r="B83" s="43">
        <f t="shared" si="71"/>
        <v>1</v>
      </c>
      <c r="C83" s="43">
        <f t="shared" si="70"/>
        <v>1</v>
      </c>
      <c r="D83" s="43">
        <f t="shared" si="70"/>
        <v>1</v>
      </c>
      <c r="E83" s="43">
        <f t="shared" si="70"/>
        <v>1</v>
      </c>
      <c r="F83" s="43">
        <f t="shared" si="70"/>
        <v>1</v>
      </c>
      <c r="G83" s="43">
        <f t="shared" si="70"/>
        <v>1</v>
      </c>
      <c r="H83" s="43">
        <f t="shared" si="70"/>
        <v>1</v>
      </c>
      <c r="I83" s="43">
        <f t="shared" si="70"/>
        <v>1</v>
      </c>
      <c r="J83" s="43">
        <f t="shared" si="70"/>
        <v>1</v>
      </c>
      <c r="K83" s="43" t="e">
        <f>K82+ATM_Conf!$C$5*(T82-AC82)</f>
        <v>#DIV/0!</v>
      </c>
      <c r="L83" s="43" t="e">
        <f>L82+ATM_Conf!$C$5*(U82-AD82)</f>
        <v>#DIV/0!</v>
      </c>
      <c r="M83" s="43" t="e">
        <f>M82+ATM_Conf!$C$5*(V82-AE82)</f>
        <v>#DIV/0!</v>
      </c>
      <c r="N83" s="43" t="e">
        <f>N82+ATM_Conf!$C$5*(W82-AF82)</f>
        <v>#DIV/0!</v>
      </c>
      <c r="O83" s="43" t="e">
        <f>O82+ATM_Conf!$C$5*(X82-AG82)</f>
        <v>#DIV/0!</v>
      </c>
      <c r="P83" s="43" t="e">
        <f>P82+ATM_Conf!$C$5*(Y82-AH82)</f>
        <v>#DIV/0!</v>
      </c>
      <c r="Q83" s="43" t="e">
        <f>Q82+ATM_Conf!$C$5*(Z82-AI82)</f>
        <v>#DIV/0!</v>
      </c>
      <c r="R83" s="43" t="e">
        <f>R82+ATM_Conf!$C$5*(AA82-AJ82)</f>
        <v>#DIV/0!</v>
      </c>
      <c r="S83" s="43" t="e">
        <f>S82+ATM_Conf!$C$5*(AB82-AK82)</f>
        <v>#DIV/0!</v>
      </c>
      <c r="T83" s="43">
        <f t="shared" si="48"/>
        <v>0</v>
      </c>
      <c r="U83" s="43">
        <f t="shared" si="45"/>
        <v>0</v>
      </c>
      <c r="V83" s="43">
        <f t="shared" si="45"/>
        <v>0</v>
      </c>
      <c r="W83" s="43">
        <f t="shared" si="45"/>
        <v>0</v>
      </c>
      <c r="X83" s="43">
        <f t="shared" si="45"/>
        <v>0</v>
      </c>
      <c r="Y83" s="43">
        <f t="shared" si="45"/>
        <v>0</v>
      </c>
      <c r="Z83" s="43">
        <f t="shared" si="45"/>
        <v>0</v>
      </c>
      <c r="AA83" s="43">
        <f t="shared" si="45"/>
        <v>0</v>
      </c>
      <c r="AB83" s="43">
        <f t="shared" si="45"/>
        <v>0</v>
      </c>
      <c r="AC83" s="43" t="e">
        <f t="shared" si="51"/>
        <v>#DIV/0!</v>
      </c>
      <c r="AD83" s="43" t="e">
        <f t="shared" si="52"/>
        <v>#DIV/0!</v>
      </c>
      <c r="AE83" s="43" t="e">
        <f t="shared" si="53"/>
        <v>#DIV/0!</v>
      </c>
      <c r="AF83" s="43" t="e">
        <f t="shared" si="54"/>
        <v>#DIV/0!</v>
      </c>
      <c r="AG83" s="43" t="e">
        <f t="shared" si="55"/>
        <v>#DIV/0!</v>
      </c>
      <c r="AH83" s="43" t="e">
        <f t="shared" si="56"/>
        <v>#DIV/0!</v>
      </c>
      <c r="AI83" s="43" t="e">
        <f t="shared" si="57"/>
        <v>#DIV/0!</v>
      </c>
      <c r="AJ83" s="43" t="e">
        <f t="shared" si="58"/>
        <v>#DIV/0!</v>
      </c>
      <c r="AK83" s="43" t="e">
        <f t="shared" si="59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49"/>
        <v>0</v>
      </c>
      <c r="BE83" s="43">
        <f t="shared" si="46"/>
        <v>0</v>
      </c>
      <c r="BF83" s="43">
        <f t="shared" si="46"/>
        <v>0</v>
      </c>
      <c r="BG83" s="43">
        <f t="shared" si="46"/>
        <v>0</v>
      </c>
      <c r="BH83" s="43">
        <f t="shared" si="46"/>
        <v>0</v>
      </c>
      <c r="BI83" s="43">
        <f t="shared" si="46"/>
        <v>0</v>
      </c>
      <c r="BJ83" s="43">
        <f t="shared" si="46"/>
        <v>0</v>
      </c>
      <c r="BK83" s="43">
        <f t="shared" si="46"/>
        <v>0</v>
      </c>
      <c r="BL83" s="43">
        <f t="shared" si="46"/>
        <v>0</v>
      </c>
      <c r="BM83" s="51"/>
      <c r="BN83" s="51"/>
      <c r="BO83" s="51"/>
      <c r="BP83" s="51"/>
      <c r="BQ83" s="51"/>
      <c r="BR83" s="51"/>
      <c r="BS83" s="51"/>
      <c r="BT83" s="51"/>
      <c r="BU83" s="51"/>
      <c r="BV83" s="51" t="e">
        <f t="shared" si="60"/>
        <v>#DIV/0!</v>
      </c>
      <c r="BW83" s="51" t="e">
        <f t="shared" si="61"/>
        <v>#DIV/0!</v>
      </c>
      <c r="BX83" s="51" t="e">
        <f t="shared" si="62"/>
        <v>#DIV/0!</v>
      </c>
      <c r="BY83" s="51" t="e">
        <f t="shared" si="63"/>
        <v>#DIV/0!</v>
      </c>
      <c r="BZ83" s="51" t="e">
        <f t="shared" si="64"/>
        <v>#DIV/0!</v>
      </c>
      <c r="CA83" s="51" t="e">
        <f t="shared" si="65"/>
        <v>#DIV/0!</v>
      </c>
      <c r="CB83" s="51" t="e">
        <f t="shared" si="66"/>
        <v>#DIV/0!</v>
      </c>
      <c r="CC83" s="51" t="e">
        <f t="shared" si="67"/>
        <v>#DIV/0!</v>
      </c>
      <c r="CD83" s="51" t="e">
        <f t="shared" si="68"/>
        <v>#DIV/0!</v>
      </c>
      <c r="CE83" s="53">
        <f t="shared" si="50"/>
        <v>0</v>
      </c>
      <c r="CF83" s="53">
        <f t="shared" si="47"/>
        <v>0</v>
      </c>
      <c r="CG83" s="53">
        <f t="shared" si="47"/>
        <v>0</v>
      </c>
      <c r="CH83" s="53">
        <f t="shared" si="47"/>
        <v>0</v>
      </c>
      <c r="CI83" s="53">
        <f t="shared" si="47"/>
        <v>0</v>
      </c>
      <c r="CJ83" s="53">
        <f t="shared" si="47"/>
        <v>0</v>
      </c>
      <c r="CK83" s="53">
        <f t="shared" si="47"/>
        <v>0</v>
      </c>
      <c r="CL83" s="53">
        <f t="shared" si="47"/>
        <v>0</v>
      </c>
      <c r="CM83" s="53">
        <f t="shared" si="47"/>
        <v>0</v>
      </c>
    </row>
    <row r="84" spans="1:91" x14ac:dyDescent="0.15">
      <c r="A84" s="41">
        <v>82</v>
      </c>
      <c r="B84" s="43">
        <f t="shared" si="71"/>
        <v>1</v>
      </c>
      <c r="C84" s="43">
        <f t="shared" si="70"/>
        <v>1</v>
      </c>
      <c r="D84" s="43">
        <f t="shared" si="70"/>
        <v>1</v>
      </c>
      <c r="E84" s="43">
        <f t="shared" si="70"/>
        <v>1</v>
      </c>
      <c r="F84" s="43">
        <f t="shared" si="70"/>
        <v>1</v>
      </c>
      <c r="G84" s="43">
        <f t="shared" si="70"/>
        <v>1</v>
      </c>
      <c r="H84" s="43">
        <f t="shared" si="70"/>
        <v>1</v>
      </c>
      <c r="I84" s="43">
        <f t="shared" si="70"/>
        <v>1</v>
      </c>
      <c r="J84" s="43">
        <f t="shared" si="70"/>
        <v>1</v>
      </c>
      <c r="K84" s="43" t="e">
        <f>K83+ATM_Conf!$C$5*(T83-AC83)</f>
        <v>#DIV/0!</v>
      </c>
      <c r="L84" s="43" t="e">
        <f>L83+ATM_Conf!$C$5*(U83-AD83)</f>
        <v>#DIV/0!</v>
      </c>
      <c r="M84" s="43" t="e">
        <f>M83+ATM_Conf!$C$5*(V83-AE83)</f>
        <v>#DIV/0!</v>
      </c>
      <c r="N84" s="43" t="e">
        <f>N83+ATM_Conf!$C$5*(W83-AF83)</f>
        <v>#DIV/0!</v>
      </c>
      <c r="O84" s="43" t="e">
        <f>O83+ATM_Conf!$C$5*(X83-AG83)</f>
        <v>#DIV/0!</v>
      </c>
      <c r="P84" s="43" t="e">
        <f>P83+ATM_Conf!$C$5*(Y83-AH83)</f>
        <v>#DIV/0!</v>
      </c>
      <c r="Q84" s="43" t="e">
        <f>Q83+ATM_Conf!$C$5*(Z83-AI83)</f>
        <v>#DIV/0!</v>
      </c>
      <c r="R84" s="43" t="e">
        <f>R83+ATM_Conf!$C$5*(AA83-AJ83)</f>
        <v>#DIV/0!</v>
      </c>
      <c r="S84" s="43" t="e">
        <f>S83+ATM_Conf!$C$5*(AB83-AK83)</f>
        <v>#DIV/0!</v>
      </c>
      <c r="T84" s="43">
        <f t="shared" si="48"/>
        <v>0</v>
      </c>
      <c r="U84" s="43">
        <f t="shared" si="45"/>
        <v>0</v>
      </c>
      <c r="V84" s="43">
        <f t="shared" si="45"/>
        <v>0</v>
      </c>
      <c r="W84" s="43">
        <f t="shared" si="45"/>
        <v>0</v>
      </c>
      <c r="X84" s="43">
        <f t="shared" si="45"/>
        <v>0</v>
      </c>
      <c r="Y84" s="43">
        <f t="shared" si="45"/>
        <v>0</v>
      </c>
      <c r="Z84" s="43">
        <f t="shared" si="45"/>
        <v>0</v>
      </c>
      <c r="AA84" s="43">
        <f t="shared" si="45"/>
        <v>0</v>
      </c>
      <c r="AB84" s="43">
        <f t="shared" si="45"/>
        <v>0</v>
      </c>
      <c r="AC84" s="43" t="e">
        <f t="shared" si="51"/>
        <v>#DIV/0!</v>
      </c>
      <c r="AD84" s="43" t="e">
        <f t="shared" si="52"/>
        <v>#DIV/0!</v>
      </c>
      <c r="AE84" s="43" t="e">
        <f t="shared" si="53"/>
        <v>#DIV/0!</v>
      </c>
      <c r="AF84" s="43" t="e">
        <f t="shared" si="54"/>
        <v>#DIV/0!</v>
      </c>
      <c r="AG84" s="43" t="e">
        <f t="shared" si="55"/>
        <v>#DIV/0!</v>
      </c>
      <c r="AH84" s="43" t="e">
        <f t="shared" si="56"/>
        <v>#DIV/0!</v>
      </c>
      <c r="AI84" s="43" t="e">
        <f t="shared" si="57"/>
        <v>#DIV/0!</v>
      </c>
      <c r="AJ84" s="43" t="e">
        <f t="shared" si="58"/>
        <v>#DIV/0!</v>
      </c>
      <c r="AK84" s="43" t="e">
        <f t="shared" si="59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49"/>
        <v>0</v>
      </c>
      <c r="BE84" s="43">
        <f t="shared" si="46"/>
        <v>0</v>
      </c>
      <c r="BF84" s="43">
        <f t="shared" si="46"/>
        <v>0</v>
      </c>
      <c r="BG84" s="43">
        <f t="shared" si="46"/>
        <v>0</v>
      </c>
      <c r="BH84" s="43">
        <f t="shared" si="46"/>
        <v>0</v>
      </c>
      <c r="BI84" s="43">
        <f t="shared" si="46"/>
        <v>0</v>
      </c>
      <c r="BJ84" s="43">
        <f t="shared" si="46"/>
        <v>0</v>
      </c>
      <c r="BK84" s="43">
        <f t="shared" si="46"/>
        <v>0</v>
      </c>
      <c r="BL84" s="43">
        <f t="shared" si="46"/>
        <v>0</v>
      </c>
      <c r="BM84" s="51"/>
      <c r="BN84" s="51"/>
      <c r="BO84" s="51"/>
      <c r="BP84" s="51"/>
      <c r="BQ84" s="51"/>
      <c r="BR84" s="51"/>
      <c r="BS84" s="51"/>
      <c r="BT84" s="51"/>
      <c r="BU84" s="51"/>
      <c r="BV84" s="51" t="e">
        <f t="shared" si="60"/>
        <v>#DIV/0!</v>
      </c>
      <c r="BW84" s="51" t="e">
        <f t="shared" si="61"/>
        <v>#DIV/0!</v>
      </c>
      <c r="BX84" s="51" t="e">
        <f t="shared" si="62"/>
        <v>#DIV/0!</v>
      </c>
      <c r="BY84" s="51" t="e">
        <f t="shared" si="63"/>
        <v>#DIV/0!</v>
      </c>
      <c r="BZ84" s="51" t="e">
        <f t="shared" si="64"/>
        <v>#DIV/0!</v>
      </c>
      <c r="CA84" s="51" t="e">
        <f t="shared" si="65"/>
        <v>#DIV/0!</v>
      </c>
      <c r="CB84" s="51" t="e">
        <f t="shared" si="66"/>
        <v>#DIV/0!</v>
      </c>
      <c r="CC84" s="51" t="e">
        <f t="shared" si="67"/>
        <v>#DIV/0!</v>
      </c>
      <c r="CD84" s="51" t="e">
        <f t="shared" si="68"/>
        <v>#DIV/0!</v>
      </c>
      <c r="CE84" s="53">
        <f t="shared" si="50"/>
        <v>0</v>
      </c>
      <c r="CF84" s="53">
        <f t="shared" si="47"/>
        <v>0</v>
      </c>
      <c r="CG84" s="53">
        <f t="shared" si="47"/>
        <v>0</v>
      </c>
      <c r="CH84" s="53">
        <f t="shared" si="47"/>
        <v>0</v>
      </c>
      <c r="CI84" s="53">
        <f t="shared" si="47"/>
        <v>0</v>
      </c>
      <c r="CJ84" s="53">
        <f t="shared" si="47"/>
        <v>0</v>
      </c>
      <c r="CK84" s="53">
        <f t="shared" si="47"/>
        <v>0</v>
      </c>
      <c r="CL84" s="53">
        <f t="shared" si="47"/>
        <v>0</v>
      </c>
      <c r="CM84" s="53">
        <f t="shared" si="47"/>
        <v>0</v>
      </c>
    </row>
    <row r="85" spans="1:91" x14ac:dyDescent="0.15">
      <c r="A85" s="41">
        <v>83</v>
      </c>
      <c r="B85" s="43">
        <f t="shared" si="71"/>
        <v>1</v>
      </c>
      <c r="C85" s="43">
        <f t="shared" si="70"/>
        <v>1</v>
      </c>
      <c r="D85" s="43">
        <f t="shared" si="70"/>
        <v>1</v>
      </c>
      <c r="E85" s="43">
        <f t="shared" si="70"/>
        <v>1</v>
      </c>
      <c r="F85" s="43">
        <f t="shared" si="70"/>
        <v>1</v>
      </c>
      <c r="G85" s="43">
        <f t="shared" si="70"/>
        <v>1</v>
      </c>
      <c r="H85" s="43">
        <f t="shared" si="70"/>
        <v>1</v>
      </c>
      <c r="I85" s="43">
        <f t="shared" si="70"/>
        <v>1</v>
      </c>
      <c r="J85" s="43">
        <f t="shared" si="70"/>
        <v>1</v>
      </c>
      <c r="K85" s="43" t="e">
        <f>K84+ATM_Conf!$C$5*(T84-AC84)</f>
        <v>#DIV/0!</v>
      </c>
      <c r="L85" s="43" t="e">
        <f>L84+ATM_Conf!$C$5*(U84-AD84)</f>
        <v>#DIV/0!</v>
      </c>
      <c r="M85" s="43" t="e">
        <f>M84+ATM_Conf!$C$5*(V84-AE84)</f>
        <v>#DIV/0!</v>
      </c>
      <c r="N85" s="43" t="e">
        <f>N84+ATM_Conf!$C$5*(W84-AF84)</f>
        <v>#DIV/0!</v>
      </c>
      <c r="O85" s="43" t="e">
        <f>O84+ATM_Conf!$C$5*(X84-AG84)</f>
        <v>#DIV/0!</v>
      </c>
      <c r="P85" s="43" t="e">
        <f>P84+ATM_Conf!$C$5*(Y84-AH84)</f>
        <v>#DIV/0!</v>
      </c>
      <c r="Q85" s="43" t="e">
        <f>Q84+ATM_Conf!$C$5*(Z84-AI84)</f>
        <v>#DIV/0!</v>
      </c>
      <c r="R85" s="43" t="e">
        <f>R84+ATM_Conf!$C$5*(AA84-AJ84)</f>
        <v>#DIV/0!</v>
      </c>
      <c r="S85" s="43" t="e">
        <f>S84+ATM_Conf!$C$5*(AB84-AK84)</f>
        <v>#DIV/0!</v>
      </c>
      <c r="T85" s="43">
        <f t="shared" si="48"/>
        <v>0</v>
      </c>
      <c r="U85" s="43">
        <f t="shared" si="45"/>
        <v>0</v>
      </c>
      <c r="V85" s="43">
        <f t="shared" si="45"/>
        <v>0</v>
      </c>
      <c r="W85" s="43">
        <f t="shared" si="45"/>
        <v>0</v>
      </c>
      <c r="X85" s="43">
        <f t="shared" si="45"/>
        <v>0</v>
      </c>
      <c r="Y85" s="43">
        <f t="shared" si="45"/>
        <v>0</v>
      </c>
      <c r="Z85" s="43">
        <f t="shared" si="45"/>
        <v>0</v>
      </c>
      <c r="AA85" s="43">
        <f t="shared" si="45"/>
        <v>0</v>
      </c>
      <c r="AB85" s="43">
        <f t="shared" si="45"/>
        <v>0</v>
      </c>
      <c r="AC85" s="43" t="e">
        <f t="shared" si="51"/>
        <v>#DIV/0!</v>
      </c>
      <c r="AD85" s="43" t="e">
        <f t="shared" si="52"/>
        <v>#DIV/0!</v>
      </c>
      <c r="AE85" s="43" t="e">
        <f t="shared" si="53"/>
        <v>#DIV/0!</v>
      </c>
      <c r="AF85" s="43" t="e">
        <f t="shared" si="54"/>
        <v>#DIV/0!</v>
      </c>
      <c r="AG85" s="43" t="e">
        <f t="shared" si="55"/>
        <v>#DIV/0!</v>
      </c>
      <c r="AH85" s="43" t="e">
        <f t="shared" si="56"/>
        <v>#DIV/0!</v>
      </c>
      <c r="AI85" s="43" t="e">
        <f t="shared" si="57"/>
        <v>#DIV/0!</v>
      </c>
      <c r="AJ85" s="43" t="e">
        <f t="shared" si="58"/>
        <v>#DIV/0!</v>
      </c>
      <c r="AK85" s="43" t="e">
        <f t="shared" si="59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49"/>
        <v>0</v>
      </c>
      <c r="BE85" s="43">
        <f t="shared" si="46"/>
        <v>0</v>
      </c>
      <c r="BF85" s="43">
        <f t="shared" si="46"/>
        <v>0</v>
      </c>
      <c r="BG85" s="43">
        <f t="shared" si="46"/>
        <v>0</v>
      </c>
      <c r="BH85" s="43">
        <f t="shared" si="46"/>
        <v>0</v>
      </c>
      <c r="BI85" s="43">
        <f t="shared" si="46"/>
        <v>0</v>
      </c>
      <c r="BJ85" s="43">
        <f t="shared" si="46"/>
        <v>0</v>
      </c>
      <c r="BK85" s="43">
        <f t="shared" si="46"/>
        <v>0</v>
      </c>
      <c r="BL85" s="43">
        <f t="shared" si="46"/>
        <v>0</v>
      </c>
      <c r="BM85" s="51"/>
      <c r="BN85" s="51"/>
      <c r="BO85" s="51"/>
      <c r="BP85" s="51"/>
      <c r="BQ85" s="51"/>
      <c r="BR85" s="51"/>
      <c r="BS85" s="51"/>
      <c r="BT85" s="51"/>
      <c r="BU85" s="51"/>
      <c r="BV85" s="51" t="e">
        <f t="shared" si="60"/>
        <v>#DIV/0!</v>
      </c>
      <c r="BW85" s="51" t="e">
        <f t="shared" si="61"/>
        <v>#DIV/0!</v>
      </c>
      <c r="BX85" s="51" t="e">
        <f t="shared" si="62"/>
        <v>#DIV/0!</v>
      </c>
      <c r="BY85" s="51" t="e">
        <f t="shared" si="63"/>
        <v>#DIV/0!</v>
      </c>
      <c r="BZ85" s="51" t="e">
        <f t="shared" si="64"/>
        <v>#DIV/0!</v>
      </c>
      <c r="CA85" s="51" t="e">
        <f t="shared" si="65"/>
        <v>#DIV/0!</v>
      </c>
      <c r="CB85" s="51" t="e">
        <f t="shared" si="66"/>
        <v>#DIV/0!</v>
      </c>
      <c r="CC85" s="51" t="e">
        <f t="shared" si="67"/>
        <v>#DIV/0!</v>
      </c>
      <c r="CD85" s="51" t="e">
        <f t="shared" si="68"/>
        <v>#DIV/0!</v>
      </c>
      <c r="CE85" s="53">
        <f t="shared" si="50"/>
        <v>0</v>
      </c>
      <c r="CF85" s="53">
        <f t="shared" si="47"/>
        <v>0</v>
      </c>
      <c r="CG85" s="53">
        <f t="shared" si="47"/>
        <v>0</v>
      </c>
      <c r="CH85" s="53">
        <f t="shared" si="47"/>
        <v>0</v>
      </c>
      <c r="CI85" s="53">
        <f t="shared" si="47"/>
        <v>0</v>
      </c>
      <c r="CJ85" s="53">
        <f t="shared" si="47"/>
        <v>0</v>
      </c>
      <c r="CK85" s="53">
        <f t="shared" si="47"/>
        <v>0</v>
      </c>
      <c r="CL85" s="53">
        <f t="shared" si="47"/>
        <v>0</v>
      </c>
      <c r="CM85" s="53">
        <f t="shared" si="47"/>
        <v>0</v>
      </c>
    </row>
    <row r="86" spans="1:91" x14ac:dyDescent="0.15">
      <c r="A86" s="41">
        <v>84</v>
      </c>
      <c r="B86" s="43">
        <f t="shared" si="71"/>
        <v>1</v>
      </c>
      <c r="C86" s="43">
        <f t="shared" si="70"/>
        <v>1</v>
      </c>
      <c r="D86" s="43">
        <f t="shared" si="70"/>
        <v>1</v>
      </c>
      <c r="E86" s="43">
        <f t="shared" si="70"/>
        <v>1</v>
      </c>
      <c r="F86" s="43">
        <f t="shared" si="70"/>
        <v>1</v>
      </c>
      <c r="G86" s="43">
        <f t="shared" si="70"/>
        <v>1</v>
      </c>
      <c r="H86" s="43">
        <f t="shared" si="70"/>
        <v>1</v>
      </c>
      <c r="I86" s="43">
        <f t="shared" si="70"/>
        <v>1</v>
      </c>
      <c r="J86" s="43">
        <f t="shared" si="70"/>
        <v>1</v>
      </c>
      <c r="K86" s="43" t="e">
        <f>K85+ATM_Conf!$C$5*(T85-AC85)</f>
        <v>#DIV/0!</v>
      </c>
      <c r="L86" s="43" t="e">
        <f>L85+ATM_Conf!$C$5*(U85-AD85)</f>
        <v>#DIV/0!</v>
      </c>
      <c r="M86" s="43" t="e">
        <f>M85+ATM_Conf!$C$5*(V85-AE85)</f>
        <v>#DIV/0!</v>
      </c>
      <c r="N86" s="43" t="e">
        <f>N85+ATM_Conf!$C$5*(W85-AF85)</f>
        <v>#DIV/0!</v>
      </c>
      <c r="O86" s="43" t="e">
        <f>O85+ATM_Conf!$C$5*(X85-AG85)</f>
        <v>#DIV/0!</v>
      </c>
      <c r="P86" s="43" t="e">
        <f>P85+ATM_Conf!$C$5*(Y85-AH85)</f>
        <v>#DIV/0!</v>
      </c>
      <c r="Q86" s="43" t="e">
        <f>Q85+ATM_Conf!$C$5*(Z85-AI85)</f>
        <v>#DIV/0!</v>
      </c>
      <c r="R86" s="43" t="e">
        <f>R85+ATM_Conf!$C$5*(AA85-AJ85)</f>
        <v>#DIV/0!</v>
      </c>
      <c r="S86" s="43" t="e">
        <f>S85+ATM_Conf!$C$5*(AB85-AK85)</f>
        <v>#DIV/0!</v>
      </c>
      <c r="T86" s="43">
        <f t="shared" si="48"/>
        <v>0</v>
      </c>
      <c r="U86" s="43">
        <f t="shared" si="45"/>
        <v>0</v>
      </c>
      <c r="V86" s="43">
        <f t="shared" si="45"/>
        <v>0</v>
      </c>
      <c r="W86" s="43">
        <f t="shared" si="45"/>
        <v>0</v>
      </c>
      <c r="X86" s="43">
        <f t="shared" si="45"/>
        <v>0</v>
      </c>
      <c r="Y86" s="43">
        <f t="shared" si="45"/>
        <v>0</v>
      </c>
      <c r="Z86" s="43">
        <f t="shared" si="45"/>
        <v>0</v>
      </c>
      <c r="AA86" s="43">
        <f t="shared" si="45"/>
        <v>0</v>
      </c>
      <c r="AB86" s="43">
        <f t="shared" si="45"/>
        <v>0</v>
      </c>
      <c r="AC86" s="43" t="e">
        <f t="shared" si="51"/>
        <v>#DIV/0!</v>
      </c>
      <c r="AD86" s="43" t="e">
        <f t="shared" si="52"/>
        <v>#DIV/0!</v>
      </c>
      <c r="AE86" s="43" t="e">
        <f t="shared" si="53"/>
        <v>#DIV/0!</v>
      </c>
      <c r="AF86" s="43" t="e">
        <f t="shared" si="54"/>
        <v>#DIV/0!</v>
      </c>
      <c r="AG86" s="43" t="e">
        <f t="shared" si="55"/>
        <v>#DIV/0!</v>
      </c>
      <c r="AH86" s="43" t="e">
        <f t="shared" si="56"/>
        <v>#DIV/0!</v>
      </c>
      <c r="AI86" s="43" t="e">
        <f t="shared" si="57"/>
        <v>#DIV/0!</v>
      </c>
      <c r="AJ86" s="43" t="e">
        <f t="shared" si="58"/>
        <v>#DIV/0!</v>
      </c>
      <c r="AK86" s="43" t="e">
        <f t="shared" si="59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49"/>
        <v>0</v>
      </c>
      <c r="BE86" s="43">
        <f t="shared" si="46"/>
        <v>0</v>
      </c>
      <c r="BF86" s="43">
        <f t="shared" si="46"/>
        <v>0</v>
      </c>
      <c r="BG86" s="43">
        <f t="shared" si="46"/>
        <v>0</v>
      </c>
      <c r="BH86" s="43">
        <f t="shared" si="46"/>
        <v>0</v>
      </c>
      <c r="BI86" s="43">
        <f t="shared" si="46"/>
        <v>0</v>
      </c>
      <c r="BJ86" s="43">
        <f t="shared" si="46"/>
        <v>0</v>
      </c>
      <c r="BK86" s="43">
        <f t="shared" si="46"/>
        <v>0</v>
      </c>
      <c r="BL86" s="43">
        <f t="shared" si="46"/>
        <v>0</v>
      </c>
      <c r="BM86" s="51"/>
      <c r="BN86" s="51"/>
      <c r="BO86" s="51"/>
      <c r="BP86" s="51"/>
      <c r="BQ86" s="51"/>
      <c r="BR86" s="51"/>
      <c r="BS86" s="51"/>
      <c r="BT86" s="51"/>
      <c r="BU86" s="51"/>
      <c r="BV86" s="51" t="e">
        <f t="shared" si="60"/>
        <v>#DIV/0!</v>
      </c>
      <c r="BW86" s="51" t="e">
        <f t="shared" si="61"/>
        <v>#DIV/0!</v>
      </c>
      <c r="BX86" s="51" t="e">
        <f t="shared" si="62"/>
        <v>#DIV/0!</v>
      </c>
      <c r="BY86" s="51" t="e">
        <f t="shared" si="63"/>
        <v>#DIV/0!</v>
      </c>
      <c r="BZ86" s="51" t="e">
        <f t="shared" si="64"/>
        <v>#DIV/0!</v>
      </c>
      <c r="CA86" s="51" t="e">
        <f t="shared" si="65"/>
        <v>#DIV/0!</v>
      </c>
      <c r="CB86" s="51" t="e">
        <f t="shared" si="66"/>
        <v>#DIV/0!</v>
      </c>
      <c r="CC86" s="51" t="e">
        <f t="shared" si="67"/>
        <v>#DIV/0!</v>
      </c>
      <c r="CD86" s="51" t="e">
        <f t="shared" si="68"/>
        <v>#DIV/0!</v>
      </c>
      <c r="CE86" s="53">
        <f t="shared" si="50"/>
        <v>0</v>
      </c>
      <c r="CF86" s="53">
        <f t="shared" si="47"/>
        <v>0</v>
      </c>
      <c r="CG86" s="53">
        <f t="shared" si="47"/>
        <v>0</v>
      </c>
      <c r="CH86" s="53">
        <f t="shared" si="47"/>
        <v>0</v>
      </c>
      <c r="CI86" s="53">
        <f t="shared" si="47"/>
        <v>0</v>
      </c>
      <c r="CJ86" s="53">
        <f t="shared" si="47"/>
        <v>0</v>
      </c>
      <c r="CK86" s="53">
        <f t="shared" si="47"/>
        <v>0</v>
      </c>
      <c r="CL86" s="53">
        <f t="shared" si="47"/>
        <v>0</v>
      </c>
      <c r="CM86" s="53">
        <f t="shared" si="47"/>
        <v>0</v>
      </c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 t="e">
        <f>K86+ATM_Conf!$C$5*(T86-AC86)</f>
        <v>#DIV/0!</v>
      </c>
      <c r="L87" s="43" t="e">
        <f>L86+ATM_Conf!$C$5*(U86-AD86)</f>
        <v>#DIV/0!</v>
      </c>
      <c r="M87" s="43" t="e">
        <f>M86+ATM_Conf!$C$5*(V86-AE86)</f>
        <v>#DIV/0!</v>
      </c>
      <c r="N87" s="43" t="e">
        <f>N86+ATM_Conf!$C$5*(W86-AF86)</f>
        <v>#DIV/0!</v>
      </c>
      <c r="O87" s="43" t="e">
        <f>O86+ATM_Conf!$C$5*(X86-AG86)</f>
        <v>#DIV/0!</v>
      </c>
      <c r="P87" s="43" t="e">
        <f>P86+ATM_Conf!$C$5*(Y86-AH86)</f>
        <v>#DIV/0!</v>
      </c>
      <c r="Q87" s="43" t="e">
        <f>Q86+ATM_Conf!$C$5*(Z86-AI86)</f>
        <v>#DIV/0!</v>
      </c>
      <c r="R87" s="43" t="e">
        <f>R86+ATM_Conf!$C$5*(AA86-AJ86)</f>
        <v>#DIV/0!</v>
      </c>
      <c r="S87" s="43" t="e">
        <f>S86+ATM_Conf!$C$5*(AB86-AK86)</f>
        <v>#DIV/0!</v>
      </c>
      <c r="T87" s="43">
        <f t="shared" si="48"/>
        <v>0</v>
      </c>
      <c r="U87" s="43">
        <f t="shared" si="45"/>
        <v>0</v>
      </c>
      <c r="V87" s="43">
        <f t="shared" si="45"/>
        <v>0</v>
      </c>
      <c r="W87" s="43">
        <f t="shared" si="45"/>
        <v>0</v>
      </c>
      <c r="X87" s="43">
        <f t="shared" si="45"/>
        <v>0</v>
      </c>
      <c r="Y87" s="43">
        <f t="shared" si="45"/>
        <v>0</v>
      </c>
      <c r="Z87" s="43">
        <f t="shared" si="45"/>
        <v>0</v>
      </c>
      <c r="AA87" s="43">
        <f t="shared" si="45"/>
        <v>0</v>
      </c>
      <c r="AB87" s="43">
        <f t="shared" si="45"/>
        <v>0</v>
      </c>
      <c r="AC87" s="43" t="e">
        <f t="shared" si="51"/>
        <v>#DIV/0!</v>
      </c>
      <c r="AD87" s="43" t="e">
        <f t="shared" si="52"/>
        <v>#DIV/0!</v>
      </c>
      <c r="AE87" s="43" t="e">
        <f t="shared" si="53"/>
        <v>#DIV/0!</v>
      </c>
      <c r="AF87" s="43" t="e">
        <f t="shared" si="54"/>
        <v>#DIV/0!</v>
      </c>
      <c r="AG87" s="43" t="e">
        <f t="shared" si="55"/>
        <v>#DIV/0!</v>
      </c>
      <c r="AH87" s="43" t="e">
        <f t="shared" si="56"/>
        <v>#DIV/0!</v>
      </c>
      <c r="AI87" s="43" t="e">
        <f t="shared" si="57"/>
        <v>#DIV/0!</v>
      </c>
      <c r="AJ87" s="43" t="e">
        <f t="shared" si="58"/>
        <v>#DIV/0!</v>
      </c>
      <c r="AK87" s="43" t="e">
        <f t="shared" si="59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49"/>
        <v>0</v>
      </c>
      <c r="BE87" s="43">
        <f t="shared" si="46"/>
        <v>0</v>
      </c>
      <c r="BF87" s="43">
        <f t="shared" si="46"/>
        <v>0</v>
      </c>
      <c r="BG87" s="43">
        <f t="shared" si="46"/>
        <v>0</v>
      </c>
      <c r="BH87" s="43">
        <f t="shared" si="46"/>
        <v>0</v>
      </c>
      <c r="BI87" s="43">
        <f t="shared" si="46"/>
        <v>0</v>
      </c>
      <c r="BJ87" s="43">
        <f t="shared" si="46"/>
        <v>0</v>
      </c>
      <c r="BK87" s="43">
        <f t="shared" si="46"/>
        <v>0</v>
      </c>
      <c r="BL87" s="43">
        <f t="shared" si="46"/>
        <v>0</v>
      </c>
      <c r="BM87" s="51">
        <f>(B87-B75)^2</f>
        <v>0</v>
      </c>
      <c r="BN87" s="51">
        <f t="shared" ref="BN87:BU87" si="72">(C87-C75)^2</f>
        <v>0</v>
      </c>
      <c r="BO87" s="51">
        <f t="shared" si="72"/>
        <v>0</v>
      </c>
      <c r="BP87" s="51">
        <f t="shared" si="72"/>
        <v>0</v>
      </c>
      <c r="BQ87" s="51">
        <f t="shared" si="72"/>
        <v>0</v>
      </c>
      <c r="BR87" s="51">
        <f t="shared" si="72"/>
        <v>0</v>
      </c>
      <c r="BS87" s="51">
        <f t="shared" si="72"/>
        <v>0</v>
      </c>
      <c r="BT87" s="51">
        <f t="shared" si="72"/>
        <v>0</v>
      </c>
      <c r="BU87" s="51">
        <f t="shared" si="72"/>
        <v>0</v>
      </c>
      <c r="BV87" s="51" t="e">
        <f t="shared" si="60"/>
        <v>#DIV/0!</v>
      </c>
      <c r="BW87" s="51" t="e">
        <f t="shared" si="61"/>
        <v>#DIV/0!</v>
      </c>
      <c r="BX87" s="51" t="e">
        <f t="shared" si="62"/>
        <v>#DIV/0!</v>
      </c>
      <c r="BY87" s="51" t="e">
        <f t="shared" si="63"/>
        <v>#DIV/0!</v>
      </c>
      <c r="BZ87" s="51" t="e">
        <f t="shared" si="64"/>
        <v>#DIV/0!</v>
      </c>
      <c r="CA87" s="51" t="e">
        <f t="shared" si="65"/>
        <v>#DIV/0!</v>
      </c>
      <c r="CB87" s="51" t="e">
        <f t="shared" si="66"/>
        <v>#DIV/0!</v>
      </c>
      <c r="CC87" s="51" t="e">
        <f t="shared" si="67"/>
        <v>#DIV/0!</v>
      </c>
      <c r="CD87" s="51" t="e">
        <f t="shared" si="68"/>
        <v>#DIV/0!</v>
      </c>
      <c r="CE87" s="53">
        <f t="shared" si="50"/>
        <v>0</v>
      </c>
      <c r="CF87" s="53">
        <f t="shared" si="47"/>
        <v>0</v>
      </c>
      <c r="CG87" s="53">
        <f t="shared" si="47"/>
        <v>0</v>
      </c>
      <c r="CH87" s="53">
        <f t="shared" si="47"/>
        <v>0</v>
      </c>
      <c r="CI87" s="53">
        <f t="shared" si="47"/>
        <v>0</v>
      </c>
      <c r="CJ87" s="53">
        <f t="shared" si="47"/>
        <v>0</v>
      </c>
      <c r="CK87" s="53">
        <f t="shared" si="47"/>
        <v>0</v>
      </c>
      <c r="CL87" s="53">
        <f t="shared" si="47"/>
        <v>0</v>
      </c>
      <c r="CM87" s="53">
        <f t="shared" si="47"/>
        <v>0</v>
      </c>
    </row>
    <row r="88" spans="1:91" x14ac:dyDescent="0.15">
      <c r="A88" s="41">
        <v>86</v>
      </c>
      <c r="B88" s="43">
        <f>B$87</f>
        <v>1</v>
      </c>
      <c r="C88" s="43">
        <f t="shared" ref="C88:J98" si="73">C$87</f>
        <v>1</v>
      </c>
      <c r="D88" s="43">
        <f t="shared" si="73"/>
        <v>1</v>
      </c>
      <c r="E88" s="43">
        <f t="shared" si="73"/>
        <v>1</v>
      </c>
      <c r="F88" s="43">
        <f t="shared" si="73"/>
        <v>1</v>
      </c>
      <c r="G88" s="43">
        <f t="shared" si="73"/>
        <v>1</v>
      </c>
      <c r="H88" s="43">
        <f t="shared" si="73"/>
        <v>1</v>
      </c>
      <c r="I88" s="43">
        <f t="shared" si="73"/>
        <v>1</v>
      </c>
      <c r="J88" s="43">
        <f t="shared" si="73"/>
        <v>1</v>
      </c>
      <c r="K88" s="43" t="e">
        <f>K87+ATM_Conf!$C$5*(T87-AC87)</f>
        <v>#DIV/0!</v>
      </c>
      <c r="L88" s="43" t="e">
        <f>L87+ATM_Conf!$C$5*(U87-AD87)</f>
        <v>#DIV/0!</v>
      </c>
      <c r="M88" s="43" t="e">
        <f>M87+ATM_Conf!$C$5*(V87-AE87)</f>
        <v>#DIV/0!</v>
      </c>
      <c r="N88" s="43" t="e">
        <f>N87+ATM_Conf!$C$5*(W87-AF87)</f>
        <v>#DIV/0!</v>
      </c>
      <c r="O88" s="43" t="e">
        <f>O87+ATM_Conf!$C$5*(X87-AG87)</f>
        <v>#DIV/0!</v>
      </c>
      <c r="P88" s="43" t="e">
        <f>P87+ATM_Conf!$C$5*(Y87-AH87)</f>
        <v>#DIV/0!</v>
      </c>
      <c r="Q88" s="43" t="e">
        <f>Q87+ATM_Conf!$C$5*(Z87-AI87)</f>
        <v>#DIV/0!</v>
      </c>
      <c r="R88" s="43" t="e">
        <f>R87+ATM_Conf!$C$5*(AA87-AJ87)</f>
        <v>#DIV/0!</v>
      </c>
      <c r="S88" s="43" t="e">
        <f>S87+ATM_Conf!$C$5*(AB87-AK87)</f>
        <v>#DIV/0!</v>
      </c>
      <c r="T88" s="43">
        <f t="shared" si="48"/>
        <v>0</v>
      </c>
      <c r="U88" s="43">
        <f t="shared" si="45"/>
        <v>0</v>
      </c>
      <c r="V88" s="43">
        <f t="shared" si="45"/>
        <v>0</v>
      </c>
      <c r="W88" s="43">
        <f t="shared" si="45"/>
        <v>0</v>
      </c>
      <c r="X88" s="43">
        <f t="shared" si="45"/>
        <v>0</v>
      </c>
      <c r="Y88" s="43">
        <f t="shared" si="45"/>
        <v>0</v>
      </c>
      <c r="Z88" s="43">
        <f t="shared" si="45"/>
        <v>0</v>
      </c>
      <c r="AA88" s="43">
        <f t="shared" si="45"/>
        <v>0</v>
      </c>
      <c r="AB88" s="43">
        <f t="shared" si="45"/>
        <v>0</v>
      </c>
      <c r="AC88" s="43" t="e">
        <f t="shared" si="51"/>
        <v>#DIV/0!</v>
      </c>
      <c r="AD88" s="43" t="e">
        <f t="shared" si="52"/>
        <v>#DIV/0!</v>
      </c>
      <c r="AE88" s="43" t="e">
        <f t="shared" si="53"/>
        <v>#DIV/0!</v>
      </c>
      <c r="AF88" s="43" t="e">
        <f t="shared" si="54"/>
        <v>#DIV/0!</v>
      </c>
      <c r="AG88" s="43" t="e">
        <f t="shared" si="55"/>
        <v>#DIV/0!</v>
      </c>
      <c r="AH88" s="43" t="e">
        <f t="shared" si="56"/>
        <v>#DIV/0!</v>
      </c>
      <c r="AI88" s="43" t="e">
        <f t="shared" si="57"/>
        <v>#DIV/0!</v>
      </c>
      <c r="AJ88" s="43" t="e">
        <f t="shared" si="58"/>
        <v>#DIV/0!</v>
      </c>
      <c r="AK88" s="43" t="e">
        <f t="shared" si="59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49"/>
        <v>0</v>
      </c>
      <c r="BE88" s="43">
        <f t="shared" si="46"/>
        <v>0</v>
      </c>
      <c r="BF88" s="43">
        <f t="shared" si="46"/>
        <v>0</v>
      </c>
      <c r="BG88" s="43">
        <f t="shared" si="46"/>
        <v>0</v>
      </c>
      <c r="BH88" s="43">
        <f t="shared" si="46"/>
        <v>0</v>
      </c>
      <c r="BI88" s="43">
        <f t="shared" si="46"/>
        <v>0</v>
      </c>
      <c r="BJ88" s="43">
        <f t="shared" si="46"/>
        <v>0</v>
      </c>
      <c r="BK88" s="43">
        <f t="shared" si="46"/>
        <v>0</v>
      </c>
      <c r="BL88" s="43">
        <f t="shared" si="46"/>
        <v>0</v>
      </c>
      <c r="BM88" s="51"/>
      <c r="BN88" s="51"/>
      <c r="BO88" s="51"/>
      <c r="BP88" s="51"/>
      <c r="BQ88" s="51"/>
      <c r="BR88" s="51"/>
      <c r="BS88" s="51"/>
      <c r="BT88" s="51"/>
      <c r="BU88" s="51"/>
      <c r="BV88" s="51" t="e">
        <f t="shared" si="60"/>
        <v>#DIV/0!</v>
      </c>
      <c r="BW88" s="51" t="e">
        <f t="shared" si="61"/>
        <v>#DIV/0!</v>
      </c>
      <c r="BX88" s="51" t="e">
        <f t="shared" si="62"/>
        <v>#DIV/0!</v>
      </c>
      <c r="BY88" s="51" t="e">
        <f t="shared" si="63"/>
        <v>#DIV/0!</v>
      </c>
      <c r="BZ88" s="51" t="e">
        <f t="shared" si="64"/>
        <v>#DIV/0!</v>
      </c>
      <c r="CA88" s="51" t="e">
        <f t="shared" si="65"/>
        <v>#DIV/0!</v>
      </c>
      <c r="CB88" s="51" t="e">
        <f t="shared" si="66"/>
        <v>#DIV/0!</v>
      </c>
      <c r="CC88" s="51" t="e">
        <f t="shared" si="67"/>
        <v>#DIV/0!</v>
      </c>
      <c r="CD88" s="51" t="e">
        <f t="shared" si="68"/>
        <v>#DIV/0!</v>
      </c>
      <c r="CE88" s="53">
        <f t="shared" si="50"/>
        <v>0</v>
      </c>
      <c r="CF88" s="53">
        <f t="shared" si="47"/>
        <v>0</v>
      </c>
      <c r="CG88" s="53">
        <f t="shared" si="47"/>
        <v>0</v>
      </c>
      <c r="CH88" s="53">
        <f t="shared" si="47"/>
        <v>0</v>
      </c>
      <c r="CI88" s="53">
        <f t="shared" si="47"/>
        <v>0</v>
      </c>
      <c r="CJ88" s="53">
        <f t="shared" si="47"/>
        <v>0</v>
      </c>
      <c r="CK88" s="53">
        <f t="shared" si="47"/>
        <v>0</v>
      </c>
      <c r="CL88" s="53">
        <f t="shared" si="47"/>
        <v>0</v>
      </c>
      <c r="CM88" s="53">
        <f t="shared" si="47"/>
        <v>0</v>
      </c>
    </row>
    <row r="89" spans="1:91" x14ac:dyDescent="0.15">
      <c r="A89" s="41">
        <v>87</v>
      </c>
      <c r="B89" s="43">
        <f t="shared" ref="B89:B98" si="74">B$87</f>
        <v>1</v>
      </c>
      <c r="C89" s="43">
        <f t="shared" si="73"/>
        <v>1</v>
      </c>
      <c r="D89" s="43">
        <f t="shared" si="73"/>
        <v>1</v>
      </c>
      <c r="E89" s="43">
        <f t="shared" si="73"/>
        <v>1</v>
      </c>
      <c r="F89" s="43">
        <f t="shared" si="73"/>
        <v>1</v>
      </c>
      <c r="G89" s="43">
        <f t="shared" si="73"/>
        <v>1</v>
      </c>
      <c r="H89" s="43">
        <f t="shared" si="73"/>
        <v>1</v>
      </c>
      <c r="I89" s="43">
        <f t="shared" si="73"/>
        <v>1</v>
      </c>
      <c r="J89" s="43">
        <f t="shared" si="73"/>
        <v>1</v>
      </c>
      <c r="K89" s="43" t="e">
        <f>K88+ATM_Conf!$C$5*(T88-AC88)</f>
        <v>#DIV/0!</v>
      </c>
      <c r="L89" s="43" t="e">
        <f>L88+ATM_Conf!$C$5*(U88-AD88)</f>
        <v>#DIV/0!</v>
      </c>
      <c r="M89" s="43" t="e">
        <f>M88+ATM_Conf!$C$5*(V88-AE88)</f>
        <v>#DIV/0!</v>
      </c>
      <c r="N89" s="43" t="e">
        <f>N88+ATM_Conf!$C$5*(W88-AF88)</f>
        <v>#DIV/0!</v>
      </c>
      <c r="O89" s="43" t="e">
        <f>O88+ATM_Conf!$C$5*(X88-AG88)</f>
        <v>#DIV/0!</v>
      </c>
      <c r="P89" s="43" t="e">
        <f>P88+ATM_Conf!$C$5*(Y88-AH88)</f>
        <v>#DIV/0!</v>
      </c>
      <c r="Q89" s="43" t="e">
        <f>Q88+ATM_Conf!$C$5*(Z88-AI88)</f>
        <v>#DIV/0!</v>
      </c>
      <c r="R89" s="43" t="e">
        <f>R88+ATM_Conf!$C$5*(AA88-AJ88)</f>
        <v>#DIV/0!</v>
      </c>
      <c r="S89" s="43" t="e">
        <f>S88+ATM_Conf!$C$5*(AB88-AK88)</f>
        <v>#DIV/0!</v>
      </c>
      <c r="T89" s="43">
        <f t="shared" si="48"/>
        <v>0</v>
      </c>
      <c r="U89" s="43">
        <f t="shared" si="45"/>
        <v>0</v>
      </c>
      <c r="V89" s="43">
        <f t="shared" si="45"/>
        <v>0</v>
      </c>
      <c r="W89" s="43">
        <f t="shared" si="45"/>
        <v>0</v>
      </c>
      <c r="X89" s="43">
        <f t="shared" si="45"/>
        <v>0</v>
      </c>
      <c r="Y89" s="43">
        <f t="shared" si="45"/>
        <v>0</v>
      </c>
      <c r="Z89" s="43">
        <f t="shared" si="45"/>
        <v>0</v>
      </c>
      <c r="AA89" s="43">
        <f t="shared" si="45"/>
        <v>0</v>
      </c>
      <c r="AB89" s="43">
        <f t="shared" si="45"/>
        <v>0</v>
      </c>
      <c r="AC89" s="43" t="e">
        <f t="shared" si="51"/>
        <v>#DIV/0!</v>
      </c>
      <c r="AD89" s="43" t="e">
        <f t="shared" si="52"/>
        <v>#DIV/0!</v>
      </c>
      <c r="AE89" s="43" t="e">
        <f t="shared" si="53"/>
        <v>#DIV/0!</v>
      </c>
      <c r="AF89" s="43" t="e">
        <f t="shared" si="54"/>
        <v>#DIV/0!</v>
      </c>
      <c r="AG89" s="43" t="e">
        <f t="shared" si="55"/>
        <v>#DIV/0!</v>
      </c>
      <c r="AH89" s="43" t="e">
        <f t="shared" si="56"/>
        <v>#DIV/0!</v>
      </c>
      <c r="AI89" s="43" t="e">
        <f t="shared" si="57"/>
        <v>#DIV/0!</v>
      </c>
      <c r="AJ89" s="43" t="e">
        <f t="shared" si="58"/>
        <v>#DIV/0!</v>
      </c>
      <c r="AK89" s="43" t="e">
        <f t="shared" si="59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49"/>
        <v>0</v>
      </c>
      <c r="BE89" s="43">
        <f t="shared" si="46"/>
        <v>0</v>
      </c>
      <c r="BF89" s="43">
        <f t="shared" si="46"/>
        <v>0</v>
      </c>
      <c r="BG89" s="43">
        <f t="shared" si="46"/>
        <v>0</v>
      </c>
      <c r="BH89" s="43">
        <f t="shared" si="46"/>
        <v>0</v>
      </c>
      <c r="BI89" s="43">
        <f t="shared" si="46"/>
        <v>0</v>
      </c>
      <c r="BJ89" s="43">
        <f t="shared" si="46"/>
        <v>0</v>
      </c>
      <c r="BK89" s="43">
        <f t="shared" si="46"/>
        <v>0</v>
      </c>
      <c r="BL89" s="43">
        <f t="shared" si="46"/>
        <v>0</v>
      </c>
      <c r="BM89" s="51"/>
      <c r="BN89" s="51"/>
      <c r="BO89" s="51"/>
      <c r="BP89" s="51"/>
      <c r="BQ89" s="51"/>
      <c r="BR89" s="51"/>
      <c r="BS89" s="51"/>
      <c r="BT89" s="51"/>
      <c r="BU89" s="51"/>
      <c r="BV89" s="51" t="e">
        <f t="shared" si="60"/>
        <v>#DIV/0!</v>
      </c>
      <c r="BW89" s="51" t="e">
        <f t="shared" si="61"/>
        <v>#DIV/0!</v>
      </c>
      <c r="BX89" s="51" t="e">
        <f t="shared" si="62"/>
        <v>#DIV/0!</v>
      </c>
      <c r="BY89" s="51" t="e">
        <f t="shared" si="63"/>
        <v>#DIV/0!</v>
      </c>
      <c r="BZ89" s="51" t="e">
        <f t="shared" si="64"/>
        <v>#DIV/0!</v>
      </c>
      <c r="CA89" s="51" t="e">
        <f t="shared" si="65"/>
        <v>#DIV/0!</v>
      </c>
      <c r="CB89" s="51" t="e">
        <f t="shared" si="66"/>
        <v>#DIV/0!</v>
      </c>
      <c r="CC89" s="51" t="e">
        <f t="shared" si="67"/>
        <v>#DIV/0!</v>
      </c>
      <c r="CD89" s="51" t="e">
        <f t="shared" si="68"/>
        <v>#DIV/0!</v>
      </c>
      <c r="CE89" s="53">
        <f t="shared" si="50"/>
        <v>0</v>
      </c>
      <c r="CF89" s="53">
        <f t="shared" si="47"/>
        <v>0</v>
      </c>
      <c r="CG89" s="53">
        <f t="shared" si="47"/>
        <v>0</v>
      </c>
      <c r="CH89" s="53">
        <f t="shared" si="47"/>
        <v>0</v>
      </c>
      <c r="CI89" s="53">
        <f t="shared" si="47"/>
        <v>0</v>
      </c>
      <c r="CJ89" s="53">
        <f t="shared" si="47"/>
        <v>0</v>
      </c>
      <c r="CK89" s="53">
        <f t="shared" si="47"/>
        <v>0</v>
      </c>
      <c r="CL89" s="53">
        <f t="shared" si="47"/>
        <v>0</v>
      </c>
      <c r="CM89" s="53">
        <f t="shared" si="47"/>
        <v>0</v>
      </c>
    </row>
    <row r="90" spans="1:91" x14ac:dyDescent="0.15">
      <c r="A90" s="41">
        <v>88</v>
      </c>
      <c r="B90" s="43">
        <f t="shared" si="74"/>
        <v>1</v>
      </c>
      <c r="C90" s="43">
        <f t="shared" si="73"/>
        <v>1</v>
      </c>
      <c r="D90" s="43">
        <f t="shared" si="73"/>
        <v>1</v>
      </c>
      <c r="E90" s="43">
        <f t="shared" si="73"/>
        <v>1</v>
      </c>
      <c r="F90" s="43">
        <f t="shared" si="73"/>
        <v>1</v>
      </c>
      <c r="G90" s="43">
        <f t="shared" si="73"/>
        <v>1</v>
      </c>
      <c r="H90" s="43">
        <f t="shared" si="73"/>
        <v>1</v>
      </c>
      <c r="I90" s="43">
        <f t="shared" si="73"/>
        <v>1</v>
      </c>
      <c r="J90" s="43">
        <f t="shared" si="73"/>
        <v>1</v>
      </c>
      <c r="K90" s="43" t="e">
        <f>K89+ATM_Conf!$C$5*(T89-AC89)</f>
        <v>#DIV/0!</v>
      </c>
      <c r="L90" s="43" t="e">
        <f>L89+ATM_Conf!$C$5*(U89-AD89)</f>
        <v>#DIV/0!</v>
      </c>
      <c r="M90" s="43" t="e">
        <f>M89+ATM_Conf!$C$5*(V89-AE89)</f>
        <v>#DIV/0!</v>
      </c>
      <c r="N90" s="43" t="e">
        <f>N89+ATM_Conf!$C$5*(W89-AF89)</f>
        <v>#DIV/0!</v>
      </c>
      <c r="O90" s="43" t="e">
        <f>O89+ATM_Conf!$C$5*(X89-AG89)</f>
        <v>#DIV/0!</v>
      </c>
      <c r="P90" s="43" t="e">
        <f>P89+ATM_Conf!$C$5*(Y89-AH89)</f>
        <v>#DIV/0!</v>
      </c>
      <c r="Q90" s="43" t="e">
        <f>Q89+ATM_Conf!$C$5*(Z89-AI89)</f>
        <v>#DIV/0!</v>
      </c>
      <c r="R90" s="43" t="e">
        <f>R89+ATM_Conf!$C$5*(AA89-AJ89)</f>
        <v>#DIV/0!</v>
      </c>
      <c r="S90" s="43" t="e">
        <f>S89+ATM_Conf!$C$5*(AB89-AK89)</f>
        <v>#DIV/0!</v>
      </c>
      <c r="T90" s="43">
        <f t="shared" si="48"/>
        <v>0</v>
      </c>
      <c r="U90" s="43">
        <f t="shared" si="45"/>
        <v>0</v>
      </c>
      <c r="V90" s="43">
        <f t="shared" si="45"/>
        <v>0</v>
      </c>
      <c r="W90" s="43">
        <f t="shared" si="45"/>
        <v>0</v>
      </c>
      <c r="X90" s="43">
        <f t="shared" si="45"/>
        <v>0</v>
      </c>
      <c r="Y90" s="43">
        <f t="shared" si="45"/>
        <v>0</v>
      </c>
      <c r="Z90" s="43">
        <f t="shared" si="45"/>
        <v>0</v>
      </c>
      <c r="AA90" s="43">
        <f t="shared" si="45"/>
        <v>0</v>
      </c>
      <c r="AB90" s="43">
        <f t="shared" si="45"/>
        <v>0</v>
      </c>
      <c r="AC90" s="43" t="e">
        <f t="shared" si="51"/>
        <v>#DIV/0!</v>
      </c>
      <c r="AD90" s="43" t="e">
        <f t="shared" si="52"/>
        <v>#DIV/0!</v>
      </c>
      <c r="AE90" s="43" t="e">
        <f t="shared" si="53"/>
        <v>#DIV/0!</v>
      </c>
      <c r="AF90" s="43" t="e">
        <f t="shared" si="54"/>
        <v>#DIV/0!</v>
      </c>
      <c r="AG90" s="43" t="e">
        <f t="shared" si="55"/>
        <v>#DIV/0!</v>
      </c>
      <c r="AH90" s="43" t="e">
        <f t="shared" si="56"/>
        <v>#DIV/0!</v>
      </c>
      <c r="AI90" s="43" t="e">
        <f t="shared" si="57"/>
        <v>#DIV/0!</v>
      </c>
      <c r="AJ90" s="43" t="e">
        <f t="shared" si="58"/>
        <v>#DIV/0!</v>
      </c>
      <c r="AK90" s="43" t="e">
        <f t="shared" si="59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49"/>
        <v>0</v>
      </c>
      <c r="BE90" s="43">
        <f t="shared" si="46"/>
        <v>0</v>
      </c>
      <c r="BF90" s="43">
        <f t="shared" si="46"/>
        <v>0</v>
      </c>
      <c r="BG90" s="43">
        <f t="shared" si="46"/>
        <v>0</v>
      </c>
      <c r="BH90" s="43">
        <f t="shared" si="46"/>
        <v>0</v>
      </c>
      <c r="BI90" s="43">
        <f t="shared" si="46"/>
        <v>0</v>
      </c>
      <c r="BJ90" s="43">
        <f t="shared" si="46"/>
        <v>0</v>
      </c>
      <c r="BK90" s="43">
        <f t="shared" si="46"/>
        <v>0</v>
      </c>
      <c r="BL90" s="43">
        <f t="shared" si="46"/>
        <v>0</v>
      </c>
      <c r="BM90" s="51"/>
      <c r="BN90" s="51"/>
      <c r="BO90" s="51"/>
      <c r="BP90" s="51"/>
      <c r="BQ90" s="51"/>
      <c r="BR90" s="51"/>
      <c r="BS90" s="51"/>
      <c r="BT90" s="51"/>
      <c r="BU90" s="51"/>
      <c r="BV90" s="51" t="e">
        <f t="shared" si="60"/>
        <v>#DIV/0!</v>
      </c>
      <c r="BW90" s="51" t="e">
        <f t="shared" si="61"/>
        <v>#DIV/0!</v>
      </c>
      <c r="BX90" s="51" t="e">
        <f t="shared" si="62"/>
        <v>#DIV/0!</v>
      </c>
      <c r="BY90" s="51" t="e">
        <f t="shared" si="63"/>
        <v>#DIV/0!</v>
      </c>
      <c r="BZ90" s="51" t="e">
        <f t="shared" si="64"/>
        <v>#DIV/0!</v>
      </c>
      <c r="CA90" s="51" t="e">
        <f t="shared" si="65"/>
        <v>#DIV/0!</v>
      </c>
      <c r="CB90" s="51" t="e">
        <f t="shared" si="66"/>
        <v>#DIV/0!</v>
      </c>
      <c r="CC90" s="51" t="e">
        <f t="shared" si="67"/>
        <v>#DIV/0!</v>
      </c>
      <c r="CD90" s="51" t="e">
        <f t="shared" si="68"/>
        <v>#DIV/0!</v>
      </c>
      <c r="CE90" s="53">
        <f t="shared" si="50"/>
        <v>0</v>
      </c>
      <c r="CF90" s="53">
        <f t="shared" si="47"/>
        <v>0</v>
      </c>
      <c r="CG90" s="53">
        <f t="shared" si="47"/>
        <v>0</v>
      </c>
      <c r="CH90" s="53">
        <f t="shared" si="47"/>
        <v>0</v>
      </c>
      <c r="CI90" s="53">
        <f t="shared" si="47"/>
        <v>0</v>
      </c>
      <c r="CJ90" s="53">
        <f t="shared" si="47"/>
        <v>0</v>
      </c>
      <c r="CK90" s="53">
        <f t="shared" si="47"/>
        <v>0</v>
      </c>
      <c r="CL90" s="53">
        <f t="shared" si="47"/>
        <v>0</v>
      </c>
      <c r="CM90" s="53">
        <f t="shared" si="47"/>
        <v>0</v>
      </c>
    </row>
    <row r="91" spans="1:91" x14ac:dyDescent="0.15">
      <c r="A91" s="41">
        <v>89</v>
      </c>
      <c r="B91" s="43">
        <f t="shared" si="74"/>
        <v>1</v>
      </c>
      <c r="C91" s="43">
        <f t="shared" si="73"/>
        <v>1</v>
      </c>
      <c r="D91" s="43">
        <f t="shared" si="73"/>
        <v>1</v>
      </c>
      <c r="E91" s="43">
        <f t="shared" si="73"/>
        <v>1</v>
      </c>
      <c r="F91" s="43">
        <f t="shared" si="73"/>
        <v>1</v>
      </c>
      <c r="G91" s="43">
        <f t="shared" si="73"/>
        <v>1</v>
      </c>
      <c r="H91" s="43">
        <f t="shared" si="73"/>
        <v>1</v>
      </c>
      <c r="I91" s="43">
        <f t="shared" si="73"/>
        <v>1</v>
      </c>
      <c r="J91" s="43">
        <f t="shared" si="73"/>
        <v>1</v>
      </c>
      <c r="K91" s="43" t="e">
        <f>K90+ATM_Conf!$C$5*(T90-AC90)</f>
        <v>#DIV/0!</v>
      </c>
      <c r="L91" s="43" t="e">
        <f>L90+ATM_Conf!$C$5*(U90-AD90)</f>
        <v>#DIV/0!</v>
      </c>
      <c r="M91" s="43" t="e">
        <f>M90+ATM_Conf!$C$5*(V90-AE90)</f>
        <v>#DIV/0!</v>
      </c>
      <c r="N91" s="43" t="e">
        <f>N90+ATM_Conf!$C$5*(W90-AF90)</f>
        <v>#DIV/0!</v>
      </c>
      <c r="O91" s="43" t="e">
        <f>O90+ATM_Conf!$C$5*(X90-AG90)</f>
        <v>#DIV/0!</v>
      </c>
      <c r="P91" s="43" t="e">
        <f>P90+ATM_Conf!$C$5*(Y90-AH90)</f>
        <v>#DIV/0!</v>
      </c>
      <c r="Q91" s="43" t="e">
        <f>Q90+ATM_Conf!$C$5*(Z90-AI90)</f>
        <v>#DIV/0!</v>
      </c>
      <c r="R91" s="43" t="e">
        <f>R90+ATM_Conf!$C$5*(AA90-AJ90)</f>
        <v>#DIV/0!</v>
      </c>
      <c r="S91" s="43" t="e">
        <f>S90+ATM_Conf!$C$5*(AB90-AK90)</f>
        <v>#DIV/0!</v>
      </c>
      <c r="T91" s="43">
        <f t="shared" si="48"/>
        <v>0</v>
      </c>
      <c r="U91" s="43">
        <f t="shared" si="45"/>
        <v>0</v>
      </c>
      <c r="V91" s="43">
        <f t="shared" si="45"/>
        <v>0</v>
      </c>
      <c r="W91" s="43">
        <f t="shared" si="45"/>
        <v>0</v>
      </c>
      <c r="X91" s="43">
        <f t="shared" si="45"/>
        <v>0</v>
      </c>
      <c r="Y91" s="43">
        <f t="shared" si="45"/>
        <v>0</v>
      </c>
      <c r="Z91" s="43">
        <f t="shared" si="45"/>
        <v>0</v>
      </c>
      <c r="AA91" s="43">
        <f t="shared" si="45"/>
        <v>0</v>
      </c>
      <c r="AB91" s="43">
        <f t="shared" si="45"/>
        <v>0</v>
      </c>
      <c r="AC91" s="43" t="e">
        <f t="shared" si="51"/>
        <v>#DIV/0!</v>
      </c>
      <c r="AD91" s="43" t="e">
        <f t="shared" si="52"/>
        <v>#DIV/0!</v>
      </c>
      <c r="AE91" s="43" t="e">
        <f t="shared" si="53"/>
        <v>#DIV/0!</v>
      </c>
      <c r="AF91" s="43" t="e">
        <f t="shared" si="54"/>
        <v>#DIV/0!</v>
      </c>
      <c r="AG91" s="43" t="e">
        <f t="shared" si="55"/>
        <v>#DIV/0!</v>
      </c>
      <c r="AH91" s="43" t="e">
        <f t="shared" si="56"/>
        <v>#DIV/0!</v>
      </c>
      <c r="AI91" s="43" t="e">
        <f t="shared" si="57"/>
        <v>#DIV/0!</v>
      </c>
      <c r="AJ91" s="43" t="e">
        <f t="shared" si="58"/>
        <v>#DIV/0!</v>
      </c>
      <c r="AK91" s="43" t="e">
        <f t="shared" si="59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49"/>
        <v>0</v>
      </c>
      <c r="BE91" s="43">
        <f t="shared" si="46"/>
        <v>0</v>
      </c>
      <c r="BF91" s="43">
        <f t="shared" si="46"/>
        <v>0</v>
      </c>
      <c r="BG91" s="43">
        <f t="shared" si="46"/>
        <v>0</v>
      </c>
      <c r="BH91" s="43">
        <f t="shared" si="46"/>
        <v>0</v>
      </c>
      <c r="BI91" s="43">
        <f t="shared" si="46"/>
        <v>0</v>
      </c>
      <c r="BJ91" s="43">
        <f t="shared" si="46"/>
        <v>0</v>
      </c>
      <c r="BK91" s="43">
        <f t="shared" si="46"/>
        <v>0</v>
      </c>
      <c r="BL91" s="43">
        <f t="shared" si="46"/>
        <v>0</v>
      </c>
      <c r="BM91" s="51"/>
      <c r="BN91" s="51"/>
      <c r="BO91" s="51"/>
      <c r="BP91" s="51"/>
      <c r="BQ91" s="51"/>
      <c r="BR91" s="51"/>
      <c r="BS91" s="51"/>
      <c r="BT91" s="51"/>
      <c r="BU91" s="51"/>
      <c r="BV91" s="51" t="e">
        <f t="shared" si="60"/>
        <v>#DIV/0!</v>
      </c>
      <c r="BW91" s="51" t="e">
        <f t="shared" si="61"/>
        <v>#DIV/0!</v>
      </c>
      <c r="BX91" s="51" t="e">
        <f t="shared" si="62"/>
        <v>#DIV/0!</v>
      </c>
      <c r="BY91" s="51" t="e">
        <f t="shared" si="63"/>
        <v>#DIV/0!</v>
      </c>
      <c r="BZ91" s="51" t="e">
        <f t="shared" si="64"/>
        <v>#DIV/0!</v>
      </c>
      <c r="CA91" s="51" t="e">
        <f t="shared" si="65"/>
        <v>#DIV/0!</v>
      </c>
      <c r="CB91" s="51" t="e">
        <f t="shared" si="66"/>
        <v>#DIV/0!</v>
      </c>
      <c r="CC91" s="51" t="e">
        <f t="shared" si="67"/>
        <v>#DIV/0!</v>
      </c>
      <c r="CD91" s="51" t="e">
        <f t="shared" si="68"/>
        <v>#DIV/0!</v>
      </c>
      <c r="CE91" s="53">
        <f t="shared" si="50"/>
        <v>0</v>
      </c>
      <c r="CF91" s="53">
        <f t="shared" si="47"/>
        <v>0</v>
      </c>
      <c r="CG91" s="53">
        <f t="shared" si="47"/>
        <v>0</v>
      </c>
      <c r="CH91" s="53">
        <f t="shared" si="47"/>
        <v>0</v>
      </c>
      <c r="CI91" s="53">
        <f t="shared" si="47"/>
        <v>0</v>
      </c>
      <c r="CJ91" s="53">
        <f t="shared" si="47"/>
        <v>0</v>
      </c>
      <c r="CK91" s="53">
        <f t="shared" si="47"/>
        <v>0</v>
      </c>
      <c r="CL91" s="53">
        <f t="shared" si="47"/>
        <v>0</v>
      </c>
      <c r="CM91" s="53">
        <f t="shared" si="47"/>
        <v>0</v>
      </c>
    </row>
    <row r="92" spans="1:91" x14ac:dyDescent="0.15">
      <c r="A92" s="41">
        <v>90</v>
      </c>
      <c r="B92" s="43">
        <f t="shared" si="74"/>
        <v>1</v>
      </c>
      <c r="C92" s="43">
        <f t="shared" si="73"/>
        <v>1</v>
      </c>
      <c r="D92" s="43">
        <f t="shared" si="73"/>
        <v>1</v>
      </c>
      <c r="E92" s="43">
        <f t="shared" si="73"/>
        <v>1</v>
      </c>
      <c r="F92" s="43">
        <f t="shared" si="73"/>
        <v>1</v>
      </c>
      <c r="G92" s="43">
        <f t="shared" si="73"/>
        <v>1</v>
      </c>
      <c r="H92" s="43">
        <f t="shared" si="73"/>
        <v>1</v>
      </c>
      <c r="I92" s="43">
        <f t="shared" si="73"/>
        <v>1</v>
      </c>
      <c r="J92" s="43">
        <f t="shared" si="73"/>
        <v>1</v>
      </c>
      <c r="K92" s="43" t="e">
        <f>K91+ATM_Conf!$C$5*(T91-AC91)</f>
        <v>#DIV/0!</v>
      </c>
      <c r="L92" s="43" t="e">
        <f>L91+ATM_Conf!$C$5*(U91-AD91)</f>
        <v>#DIV/0!</v>
      </c>
      <c r="M92" s="43" t="e">
        <f>M91+ATM_Conf!$C$5*(V91-AE91)</f>
        <v>#DIV/0!</v>
      </c>
      <c r="N92" s="43" t="e">
        <f>N91+ATM_Conf!$C$5*(W91-AF91)</f>
        <v>#DIV/0!</v>
      </c>
      <c r="O92" s="43" t="e">
        <f>O91+ATM_Conf!$C$5*(X91-AG91)</f>
        <v>#DIV/0!</v>
      </c>
      <c r="P92" s="43" t="e">
        <f>P91+ATM_Conf!$C$5*(Y91-AH91)</f>
        <v>#DIV/0!</v>
      </c>
      <c r="Q92" s="43" t="e">
        <f>Q91+ATM_Conf!$C$5*(Z91-AI91)</f>
        <v>#DIV/0!</v>
      </c>
      <c r="R92" s="43" t="e">
        <f>R91+ATM_Conf!$C$5*(AA91-AJ91)</f>
        <v>#DIV/0!</v>
      </c>
      <c r="S92" s="43" t="e">
        <f>S91+ATM_Conf!$C$5*(AB91-AK91)</f>
        <v>#DIV/0!</v>
      </c>
      <c r="T92" s="43">
        <f t="shared" si="48"/>
        <v>0</v>
      </c>
      <c r="U92" s="43">
        <f t="shared" si="45"/>
        <v>0</v>
      </c>
      <c r="V92" s="43">
        <f t="shared" si="45"/>
        <v>0</v>
      </c>
      <c r="W92" s="43">
        <f t="shared" si="45"/>
        <v>0</v>
      </c>
      <c r="X92" s="43">
        <f t="shared" si="45"/>
        <v>0</v>
      </c>
      <c r="Y92" s="43">
        <f t="shared" si="45"/>
        <v>0</v>
      </c>
      <c r="Z92" s="43">
        <f t="shared" si="45"/>
        <v>0</v>
      </c>
      <c r="AA92" s="43">
        <f t="shared" si="45"/>
        <v>0</v>
      </c>
      <c r="AB92" s="43">
        <f t="shared" si="45"/>
        <v>0</v>
      </c>
      <c r="AC92" s="43" t="e">
        <f t="shared" si="51"/>
        <v>#DIV/0!</v>
      </c>
      <c r="AD92" s="43" t="e">
        <f t="shared" si="52"/>
        <v>#DIV/0!</v>
      </c>
      <c r="AE92" s="43" t="e">
        <f t="shared" si="53"/>
        <v>#DIV/0!</v>
      </c>
      <c r="AF92" s="43" t="e">
        <f t="shared" si="54"/>
        <v>#DIV/0!</v>
      </c>
      <c r="AG92" s="43" t="e">
        <f t="shared" si="55"/>
        <v>#DIV/0!</v>
      </c>
      <c r="AH92" s="43" t="e">
        <f t="shared" si="56"/>
        <v>#DIV/0!</v>
      </c>
      <c r="AI92" s="43" t="e">
        <f t="shared" si="57"/>
        <v>#DIV/0!</v>
      </c>
      <c r="AJ92" s="43" t="e">
        <f t="shared" si="58"/>
        <v>#DIV/0!</v>
      </c>
      <c r="AK92" s="43" t="e">
        <f t="shared" si="59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49"/>
        <v>0</v>
      </c>
      <c r="BE92" s="43">
        <f t="shared" si="46"/>
        <v>0</v>
      </c>
      <c r="BF92" s="43">
        <f t="shared" si="46"/>
        <v>0</v>
      </c>
      <c r="BG92" s="43">
        <f t="shared" si="46"/>
        <v>0</v>
      </c>
      <c r="BH92" s="43">
        <f t="shared" si="46"/>
        <v>0</v>
      </c>
      <c r="BI92" s="43">
        <f t="shared" si="46"/>
        <v>0</v>
      </c>
      <c r="BJ92" s="43">
        <f t="shared" si="46"/>
        <v>0</v>
      </c>
      <c r="BK92" s="43">
        <f t="shared" si="46"/>
        <v>0</v>
      </c>
      <c r="BL92" s="43">
        <f t="shared" si="46"/>
        <v>0</v>
      </c>
      <c r="BM92" s="51"/>
      <c r="BN92" s="51"/>
      <c r="BO92" s="51"/>
      <c r="BP92" s="51"/>
      <c r="BQ92" s="51"/>
      <c r="BR92" s="51"/>
      <c r="BS92" s="51"/>
      <c r="BT92" s="51"/>
      <c r="BU92" s="51"/>
      <c r="BV92" s="51" t="e">
        <f t="shared" si="60"/>
        <v>#DIV/0!</v>
      </c>
      <c r="BW92" s="51" t="e">
        <f t="shared" si="61"/>
        <v>#DIV/0!</v>
      </c>
      <c r="BX92" s="51" t="e">
        <f t="shared" si="62"/>
        <v>#DIV/0!</v>
      </c>
      <c r="BY92" s="51" t="e">
        <f t="shared" si="63"/>
        <v>#DIV/0!</v>
      </c>
      <c r="BZ92" s="51" t="e">
        <f t="shared" si="64"/>
        <v>#DIV/0!</v>
      </c>
      <c r="CA92" s="51" t="e">
        <f t="shared" si="65"/>
        <v>#DIV/0!</v>
      </c>
      <c r="CB92" s="51" t="e">
        <f t="shared" si="66"/>
        <v>#DIV/0!</v>
      </c>
      <c r="CC92" s="51" t="e">
        <f t="shared" si="67"/>
        <v>#DIV/0!</v>
      </c>
      <c r="CD92" s="51" t="e">
        <f t="shared" si="68"/>
        <v>#DIV/0!</v>
      </c>
      <c r="CE92" s="53">
        <f t="shared" si="50"/>
        <v>0</v>
      </c>
      <c r="CF92" s="53">
        <f t="shared" si="47"/>
        <v>0</v>
      </c>
      <c r="CG92" s="53">
        <f t="shared" si="47"/>
        <v>0</v>
      </c>
      <c r="CH92" s="53">
        <f t="shared" si="47"/>
        <v>0</v>
      </c>
      <c r="CI92" s="53">
        <f t="shared" si="47"/>
        <v>0</v>
      </c>
      <c r="CJ92" s="53">
        <f t="shared" si="47"/>
        <v>0</v>
      </c>
      <c r="CK92" s="53">
        <f t="shared" si="47"/>
        <v>0</v>
      </c>
      <c r="CL92" s="53">
        <f t="shared" si="47"/>
        <v>0</v>
      </c>
      <c r="CM92" s="53">
        <f t="shared" si="47"/>
        <v>0</v>
      </c>
    </row>
    <row r="93" spans="1:91" x14ac:dyDescent="0.15">
      <c r="A93" s="41">
        <v>91</v>
      </c>
      <c r="B93" s="43">
        <f t="shared" si="74"/>
        <v>1</v>
      </c>
      <c r="C93" s="43">
        <f t="shared" si="73"/>
        <v>1</v>
      </c>
      <c r="D93" s="43">
        <f t="shared" si="73"/>
        <v>1</v>
      </c>
      <c r="E93" s="43">
        <f t="shared" si="73"/>
        <v>1</v>
      </c>
      <c r="F93" s="43">
        <f t="shared" si="73"/>
        <v>1</v>
      </c>
      <c r="G93" s="43">
        <f t="shared" si="73"/>
        <v>1</v>
      </c>
      <c r="H93" s="43">
        <f t="shared" si="73"/>
        <v>1</v>
      </c>
      <c r="I93" s="43">
        <f t="shared" si="73"/>
        <v>1</v>
      </c>
      <c r="J93" s="43">
        <f t="shared" si="73"/>
        <v>1</v>
      </c>
      <c r="K93" s="43" t="e">
        <f>K92+ATM_Conf!$C$5*(T92-AC92)</f>
        <v>#DIV/0!</v>
      </c>
      <c r="L93" s="43" t="e">
        <f>L92+ATM_Conf!$C$5*(U92-AD92)</f>
        <v>#DIV/0!</v>
      </c>
      <c r="M93" s="43" t="e">
        <f>M92+ATM_Conf!$C$5*(V92-AE92)</f>
        <v>#DIV/0!</v>
      </c>
      <c r="N93" s="43" t="e">
        <f>N92+ATM_Conf!$C$5*(W92-AF92)</f>
        <v>#DIV/0!</v>
      </c>
      <c r="O93" s="43" t="e">
        <f>O92+ATM_Conf!$C$5*(X92-AG92)</f>
        <v>#DIV/0!</v>
      </c>
      <c r="P93" s="43" t="e">
        <f>P92+ATM_Conf!$C$5*(Y92-AH92)</f>
        <v>#DIV/0!</v>
      </c>
      <c r="Q93" s="43" t="e">
        <f>Q92+ATM_Conf!$C$5*(Z92-AI92)</f>
        <v>#DIV/0!</v>
      </c>
      <c r="R93" s="43" t="e">
        <f>R92+ATM_Conf!$C$5*(AA92-AJ92)</f>
        <v>#DIV/0!</v>
      </c>
      <c r="S93" s="43" t="e">
        <f>S92+ATM_Conf!$C$5*(AB92-AK92)</f>
        <v>#DIV/0!</v>
      </c>
      <c r="T93" s="43">
        <f t="shared" si="48"/>
        <v>0</v>
      </c>
      <c r="U93" s="43">
        <f t="shared" si="45"/>
        <v>0</v>
      </c>
      <c r="V93" s="43">
        <f t="shared" si="45"/>
        <v>0</v>
      </c>
      <c r="W93" s="43">
        <f t="shared" si="45"/>
        <v>0</v>
      </c>
      <c r="X93" s="43">
        <f t="shared" si="45"/>
        <v>0</v>
      </c>
      <c r="Y93" s="43">
        <f t="shared" si="45"/>
        <v>0</v>
      </c>
      <c r="Z93" s="43">
        <f t="shared" si="45"/>
        <v>0</v>
      </c>
      <c r="AA93" s="43">
        <f t="shared" si="45"/>
        <v>0</v>
      </c>
      <c r="AB93" s="43">
        <f t="shared" si="45"/>
        <v>0</v>
      </c>
      <c r="AC93" s="43" t="e">
        <f t="shared" si="51"/>
        <v>#DIV/0!</v>
      </c>
      <c r="AD93" s="43" t="e">
        <f t="shared" si="52"/>
        <v>#DIV/0!</v>
      </c>
      <c r="AE93" s="43" t="e">
        <f t="shared" si="53"/>
        <v>#DIV/0!</v>
      </c>
      <c r="AF93" s="43" t="e">
        <f t="shared" si="54"/>
        <v>#DIV/0!</v>
      </c>
      <c r="AG93" s="43" t="e">
        <f t="shared" si="55"/>
        <v>#DIV/0!</v>
      </c>
      <c r="AH93" s="43" t="e">
        <f t="shared" si="56"/>
        <v>#DIV/0!</v>
      </c>
      <c r="AI93" s="43" t="e">
        <f t="shared" si="57"/>
        <v>#DIV/0!</v>
      </c>
      <c r="AJ93" s="43" t="e">
        <f t="shared" si="58"/>
        <v>#DIV/0!</v>
      </c>
      <c r="AK93" s="43" t="e">
        <f t="shared" si="59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49"/>
        <v>0</v>
      </c>
      <c r="BE93" s="43">
        <f t="shared" si="46"/>
        <v>0</v>
      </c>
      <c r="BF93" s="43">
        <f t="shared" si="46"/>
        <v>0</v>
      </c>
      <c r="BG93" s="43">
        <f t="shared" si="46"/>
        <v>0</v>
      </c>
      <c r="BH93" s="43">
        <f t="shared" si="46"/>
        <v>0</v>
      </c>
      <c r="BI93" s="43">
        <f t="shared" si="46"/>
        <v>0</v>
      </c>
      <c r="BJ93" s="43">
        <f t="shared" si="46"/>
        <v>0</v>
      </c>
      <c r="BK93" s="43">
        <f t="shared" si="46"/>
        <v>0</v>
      </c>
      <c r="BL93" s="43">
        <f t="shared" si="46"/>
        <v>0</v>
      </c>
      <c r="BM93" s="51"/>
      <c r="BN93" s="51"/>
      <c r="BO93" s="51"/>
      <c r="BP93" s="51"/>
      <c r="BQ93" s="51"/>
      <c r="BR93" s="51"/>
      <c r="BS93" s="51"/>
      <c r="BT93" s="51"/>
      <c r="BU93" s="51"/>
      <c r="BV93" s="51" t="e">
        <f t="shared" si="60"/>
        <v>#DIV/0!</v>
      </c>
      <c r="BW93" s="51" t="e">
        <f t="shared" si="61"/>
        <v>#DIV/0!</v>
      </c>
      <c r="BX93" s="51" t="e">
        <f t="shared" si="62"/>
        <v>#DIV/0!</v>
      </c>
      <c r="BY93" s="51" t="e">
        <f t="shared" si="63"/>
        <v>#DIV/0!</v>
      </c>
      <c r="BZ93" s="51" t="e">
        <f t="shared" si="64"/>
        <v>#DIV/0!</v>
      </c>
      <c r="CA93" s="51" t="e">
        <f t="shared" si="65"/>
        <v>#DIV/0!</v>
      </c>
      <c r="CB93" s="51" t="e">
        <f t="shared" si="66"/>
        <v>#DIV/0!</v>
      </c>
      <c r="CC93" s="51" t="e">
        <f t="shared" si="67"/>
        <v>#DIV/0!</v>
      </c>
      <c r="CD93" s="51" t="e">
        <f t="shared" si="68"/>
        <v>#DIV/0!</v>
      </c>
      <c r="CE93" s="53">
        <f t="shared" si="50"/>
        <v>0</v>
      </c>
      <c r="CF93" s="53">
        <f t="shared" si="47"/>
        <v>0</v>
      </c>
      <c r="CG93" s="53">
        <f t="shared" si="47"/>
        <v>0</v>
      </c>
      <c r="CH93" s="53">
        <f t="shared" si="47"/>
        <v>0</v>
      </c>
      <c r="CI93" s="53">
        <f t="shared" si="47"/>
        <v>0</v>
      </c>
      <c r="CJ93" s="53">
        <f t="shared" si="47"/>
        <v>0</v>
      </c>
      <c r="CK93" s="53">
        <f t="shared" si="47"/>
        <v>0</v>
      </c>
      <c r="CL93" s="53">
        <f t="shared" si="47"/>
        <v>0</v>
      </c>
      <c r="CM93" s="53">
        <f t="shared" si="47"/>
        <v>0</v>
      </c>
    </row>
    <row r="94" spans="1:91" x14ac:dyDescent="0.15">
      <c r="A94" s="41">
        <v>92</v>
      </c>
      <c r="B94" s="43">
        <f t="shared" si="74"/>
        <v>1</v>
      </c>
      <c r="C94" s="43">
        <f t="shared" si="73"/>
        <v>1</v>
      </c>
      <c r="D94" s="43">
        <f t="shared" si="73"/>
        <v>1</v>
      </c>
      <c r="E94" s="43">
        <f t="shared" si="73"/>
        <v>1</v>
      </c>
      <c r="F94" s="43">
        <f t="shared" si="73"/>
        <v>1</v>
      </c>
      <c r="G94" s="43">
        <f t="shared" si="73"/>
        <v>1</v>
      </c>
      <c r="H94" s="43">
        <f t="shared" si="73"/>
        <v>1</v>
      </c>
      <c r="I94" s="43">
        <f t="shared" si="73"/>
        <v>1</v>
      </c>
      <c r="J94" s="43">
        <f t="shared" si="73"/>
        <v>1</v>
      </c>
      <c r="K94" s="43" t="e">
        <f>K93+ATM_Conf!$C$5*(T93-AC93)</f>
        <v>#DIV/0!</v>
      </c>
      <c r="L94" s="43" t="e">
        <f>L93+ATM_Conf!$C$5*(U93-AD93)</f>
        <v>#DIV/0!</v>
      </c>
      <c r="M94" s="43" t="e">
        <f>M93+ATM_Conf!$C$5*(V93-AE93)</f>
        <v>#DIV/0!</v>
      </c>
      <c r="N94" s="43" t="e">
        <f>N93+ATM_Conf!$C$5*(W93-AF93)</f>
        <v>#DIV/0!</v>
      </c>
      <c r="O94" s="43" t="e">
        <f>O93+ATM_Conf!$C$5*(X93-AG93)</f>
        <v>#DIV/0!</v>
      </c>
      <c r="P94" s="43" t="e">
        <f>P93+ATM_Conf!$C$5*(Y93-AH93)</f>
        <v>#DIV/0!</v>
      </c>
      <c r="Q94" s="43" t="e">
        <f>Q93+ATM_Conf!$C$5*(Z93-AI93)</f>
        <v>#DIV/0!</v>
      </c>
      <c r="R94" s="43" t="e">
        <f>R93+ATM_Conf!$C$5*(AA93-AJ93)</f>
        <v>#DIV/0!</v>
      </c>
      <c r="S94" s="43" t="e">
        <f>S93+ATM_Conf!$C$5*(AB93-AK93)</f>
        <v>#DIV/0!</v>
      </c>
      <c r="T94" s="43">
        <f t="shared" si="48"/>
        <v>0</v>
      </c>
      <c r="U94" s="43">
        <f t="shared" si="45"/>
        <v>0</v>
      </c>
      <c r="V94" s="43">
        <f t="shared" si="45"/>
        <v>0</v>
      </c>
      <c r="W94" s="43">
        <f t="shared" si="45"/>
        <v>0</v>
      </c>
      <c r="X94" s="43">
        <f t="shared" si="45"/>
        <v>0</v>
      </c>
      <c r="Y94" s="43">
        <f t="shared" si="45"/>
        <v>0</v>
      </c>
      <c r="Z94" s="43">
        <f t="shared" si="45"/>
        <v>0</v>
      </c>
      <c r="AA94" s="43">
        <f t="shared" si="45"/>
        <v>0</v>
      </c>
      <c r="AB94" s="43">
        <f t="shared" si="45"/>
        <v>0</v>
      </c>
      <c r="AC94" s="43" t="e">
        <f t="shared" si="51"/>
        <v>#DIV/0!</v>
      </c>
      <c r="AD94" s="43" t="e">
        <f t="shared" si="52"/>
        <v>#DIV/0!</v>
      </c>
      <c r="AE94" s="43" t="e">
        <f t="shared" si="53"/>
        <v>#DIV/0!</v>
      </c>
      <c r="AF94" s="43" t="e">
        <f t="shared" si="54"/>
        <v>#DIV/0!</v>
      </c>
      <c r="AG94" s="43" t="e">
        <f t="shared" si="55"/>
        <v>#DIV/0!</v>
      </c>
      <c r="AH94" s="43" t="e">
        <f t="shared" si="56"/>
        <v>#DIV/0!</v>
      </c>
      <c r="AI94" s="43" t="e">
        <f t="shared" si="57"/>
        <v>#DIV/0!</v>
      </c>
      <c r="AJ94" s="43" t="e">
        <f t="shared" si="58"/>
        <v>#DIV/0!</v>
      </c>
      <c r="AK94" s="43" t="e">
        <f t="shared" si="59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49"/>
        <v>0</v>
      </c>
      <c r="BE94" s="43">
        <f t="shared" si="46"/>
        <v>0</v>
      </c>
      <c r="BF94" s="43">
        <f t="shared" si="46"/>
        <v>0</v>
      </c>
      <c r="BG94" s="43">
        <f t="shared" si="46"/>
        <v>0</v>
      </c>
      <c r="BH94" s="43">
        <f t="shared" si="46"/>
        <v>0</v>
      </c>
      <c r="BI94" s="43">
        <f t="shared" si="46"/>
        <v>0</v>
      </c>
      <c r="BJ94" s="43">
        <f t="shared" si="46"/>
        <v>0</v>
      </c>
      <c r="BK94" s="43">
        <f t="shared" si="46"/>
        <v>0</v>
      </c>
      <c r="BL94" s="43">
        <f t="shared" si="46"/>
        <v>0</v>
      </c>
      <c r="BM94" s="51"/>
      <c r="BN94" s="51"/>
      <c r="BO94" s="51"/>
      <c r="BP94" s="51"/>
      <c r="BQ94" s="51"/>
      <c r="BR94" s="51"/>
      <c r="BS94" s="51"/>
      <c r="BT94" s="51"/>
      <c r="BU94" s="51"/>
      <c r="BV94" s="51" t="e">
        <f t="shared" si="60"/>
        <v>#DIV/0!</v>
      </c>
      <c r="BW94" s="51" t="e">
        <f t="shared" si="61"/>
        <v>#DIV/0!</v>
      </c>
      <c r="BX94" s="51" t="e">
        <f t="shared" si="62"/>
        <v>#DIV/0!</v>
      </c>
      <c r="BY94" s="51" t="e">
        <f t="shared" si="63"/>
        <v>#DIV/0!</v>
      </c>
      <c r="BZ94" s="51" t="e">
        <f t="shared" si="64"/>
        <v>#DIV/0!</v>
      </c>
      <c r="CA94" s="51" t="e">
        <f t="shared" si="65"/>
        <v>#DIV/0!</v>
      </c>
      <c r="CB94" s="51" t="e">
        <f t="shared" si="66"/>
        <v>#DIV/0!</v>
      </c>
      <c r="CC94" s="51" t="e">
        <f t="shared" si="67"/>
        <v>#DIV/0!</v>
      </c>
      <c r="CD94" s="51" t="e">
        <f t="shared" si="68"/>
        <v>#DIV/0!</v>
      </c>
      <c r="CE94" s="53">
        <f t="shared" si="50"/>
        <v>0</v>
      </c>
      <c r="CF94" s="53">
        <f t="shared" si="47"/>
        <v>0</v>
      </c>
      <c r="CG94" s="53">
        <f t="shared" si="47"/>
        <v>0</v>
      </c>
      <c r="CH94" s="53">
        <f t="shared" si="47"/>
        <v>0</v>
      </c>
      <c r="CI94" s="53">
        <f t="shared" si="47"/>
        <v>0</v>
      </c>
      <c r="CJ94" s="53">
        <f t="shared" si="47"/>
        <v>0</v>
      </c>
      <c r="CK94" s="53">
        <f t="shared" si="47"/>
        <v>0</v>
      </c>
      <c r="CL94" s="53">
        <f t="shared" si="47"/>
        <v>0</v>
      </c>
      <c r="CM94" s="53">
        <f t="shared" si="47"/>
        <v>0</v>
      </c>
    </row>
    <row r="95" spans="1:91" x14ac:dyDescent="0.15">
      <c r="A95" s="41">
        <v>93</v>
      </c>
      <c r="B95" s="43">
        <f t="shared" si="74"/>
        <v>1</v>
      </c>
      <c r="C95" s="43">
        <f t="shared" si="73"/>
        <v>1</v>
      </c>
      <c r="D95" s="43">
        <f t="shared" si="73"/>
        <v>1</v>
      </c>
      <c r="E95" s="43">
        <f t="shared" si="73"/>
        <v>1</v>
      </c>
      <c r="F95" s="43">
        <f t="shared" si="73"/>
        <v>1</v>
      </c>
      <c r="G95" s="43">
        <f t="shared" si="73"/>
        <v>1</v>
      </c>
      <c r="H95" s="43">
        <f t="shared" si="73"/>
        <v>1</v>
      </c>
      <c r="I95" s="43">
        <f t="shared" si="73"/>
        <v>1</v>
      </c>
      <c r="J95" s="43">
        <f t="shared" si="73"/>
        <v>1</v>
      </c>
      <c r="K95" s="43" t="e">
        <f>K94+ATM_Conf!$C$5*(T94-AC94)</f>
        <v>#DIV/0!</v>
      </c>
      <c r="L95" s="43" t="e">
        <f>L94+ATM_Conf!$C$5*(U94-AD94)</f>
        <v>#DIV/0!</v>
      </c>
      <c r="M95" s="43" t="e">
        <f>M94+ATM_Conf!$C$5*(V94-AE94)</f>
        <v>#DIV/0!</v>
      </c>
      <c r="N95" s="43" t="e">
        <f>N94+ATM_Conf!$C$5*(W94-AF94)</f>
        <v>#DIV/0!</v>
      </c>
      <c r="O95" s="43" t="e">
        <f>O94+ATM_Conf!$C$5*(X94-AG94)</f>
        <v>#DIV/0!</v>
      </c>
      <c r="P95" s="43" t="e">
        <f>P94+ATM_Conf!$C$5*(Y94-AH94)</f>
        <v>#DIV/0!</v>
      </c>
      <c r="Q95" s="43" t="e">
        <f>Q94+ATM_Conf!$C$5*(Z94-AI94)</f>
        <v>#DIV/0!</v>
      </c>
      <c r="R95" s="43" t="e">
        <f>R94+ATM_Conf!$C$5*(AA94-AJ94)</f>
        <v>#DIV/0!</v>
      </c>
      <c r="S95" s="43" t="e">
        <f>S94+ATM_Conf!$C$5*(AB94-AK94)</f>
        <v>#DIV/0!</v>
      </c>
      <c r="T95" s="43">
        <f t="shared" si="48"/>
        <v>0</v>
      </c>
      <c r="U95" s="43">
        <f t="shared" si="45"/>
        <v>0</v>
      </c>
      <c r="V95" s="43">
        <f t="shared" si="45"/>
        <v>0</v>
      </c>
      <c r="W95" s="43">
        <f t="shared" si="45"/>
        <v>0</v>
      </c>
      <c r="X95" s="43">
        <f t="shared" si="45"/>
        <v>0</v>
      </c>
      <c r="Y95" s="43">
        <f t="shared" si="45"/>
        <v>0</v>
      </c>
      <c r="Z95" s="43">
        <f t="shared" si="45"/>
        <v>0</v>
      </c>
      <c r="AA95" s="43">
        <f t="shared" si="45"/>
        <v>0</v>
      </c>
      <c r="AB95" s="43">
        <f t="shared" si="45"/>
        <v>0</v>
      </c>
      <c r="AC95" s="43" t="e">
        <f t="shared" si="51"/>
        <v>#DIV/0!</v>
      </c>
      <c r="AD95" s="43" t="e">
        <f t="shared" si="52"/>
        <v>#DIV/0!</v>
      </c>
      <c r="AE95" s="43" t="e">
        <f t="shared" si="53"/>
        <v>#DIV/0!</v>
      </c>
      <c r="AF95" s="43" t="e">
        <f t="shared" si="54"/>
        <v>#DIV/0!</v>
      </c>
      <c r="AG95" s="43" t="e">
        <f t="shared" si="55"/>
        <v>#DIV/0!</v>
      </c>
      <c r="AH95" s="43" t="e">
        <f t="shared" si="56"/>
        <v>#DIV/0!</v>
      </c>
      <c r="AI95" s="43" t="e">
        <f t="shared" si="57"/>
        <v>#DIV/0!</v>
      </c>
      <c r="AJ95" s="43" t="e">
        <f t="shared" si="58"/>
        <v>#DIV/0!</v>
      </c>
      <c r="AK95" s="43" t="e">
        <f t="shared" si="59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49"/>
        <v>0</v>
      </c>
      <c r="BE95" s="43">
        <f t="shared" si="46"/>
        <v>0</v>
      </c>
      <c r="BF95" s="43">
        <f t="shared" si="46"/>
        <v>0</v>
      </c>
      <c r="BG95" s="43">
        <f t="shared" si="46"/>
        <v>0</v>
      </c>
      <c r="BH95" s="43">
        <f t="shared" si="46"/>
        <v>0</v>
      </c>
      <c r="BI95" s="43">
        <f t="shared" si="46"/>
        <v>0</v>
      </c>
      <c r="BJ95" s="43">
        <f t="shared" si="46"/>
        <v>0</v>
      </c>
      <c r="BK95" s="43">
        <f t="shared" si="46"/>
        <v>0</v>
      </c>
      <c r="BL95" s="43">
        <f t="shared" si="46"/>
        <v>0</v>
      </c>
      <c r="BM95" s="51"/>
      <c r="BN95" s="51"/>
      <c r="BO95" s="51"/>
      <c r="BP95" s="51"/>
      <c r="BQ95" s="51"/>
      <c r="BR95" s="51"/>
      <c r="BS95" s="51"/>
      <c r="BT95" s="51"/>
      <c r="BU95" s="51"/>
      <c r="BV95" s="51" t="e">
        <f t="shared" si="60"/>
        <v>#DIV/0!</v>
      </c>
      <c r="BW95" s="51" t="e">
        <f t="shared" si="61"/>
        <v>#DIV/0!</v>
      </c>
      <c r="BX95" s="51" t="e">
        <f t="shared" si="62"/>
        <v>#DIV/0!</v>
      </c>
      <c r="BY95" s="51" t="e">
        <f t="shared" si="63"/>
        <v>#DIV/0!</v>
      </c>
      <c r="BZ95" s="51" t="e">
        <f t="shared" si="64"/>
        <v>#DIV/0!</v>
      </c>
      <c r="CA95" s="51" t="e">
        <f t="shared" si="65"/>
        <v>#DIV/0!</v>
      </c>
      <c r="CB95" s="51" t="e">
        <f t="shared" si="66"/>
        <v>#DIV/0!</v>
      </c>
      <c r="CC95" s="51" t="e">
        <f t="shared" si="67"/>
        <v>#DIV/0!</v>
      </c>
      <c r="CD95" s="51" t="e">
        <f t="shared" si="68"/>
        <v>#DIV/0!</v>
      </c>
      <c r="CE95" s="53">
        <f t="shared" si="50"/>
        <v>0</v>
      </c>
      <c r="CF95" s="53">
        <f t="shared" si="47"/>
        <v>0</v>
      </c>
      <c r="CG95" s="53">
        <f t="shared" si="47"/>
        <v>0</v>
      </c>
      <c r="CH95" s="53">
        <f t="shared" si="47"/>
        <v>0</v>
      </c>
      <c r="CI95" s="53">
        <f t="shared" si="47"/>
        <v>0</v>
      </c>
      <c r="CJ95" s="53">
        <f t="shared" si="47"/>
        <v>0</v>
      </c>
      <c r="CK95" s="53">
        <f t="shared" si="47"/>
        <v>0</v>
      </c>
      <c r="CL95" s="53">
        <f t="shared" si="47"/>
        <v>0</v>
      </c>
      <c r="CM95" s="53">
        <f t="shared" si="47"/>
        <v>0</v>
      </c>
    </row>
    <row r="96" spans="1:91" x14ac:dyDescent="0.15">
      <c r="A96" s="41">
        <v>94</v>
      </c>
      <c r="B96" s="43">
        <f t="shared" si="74"/>
        <v>1</v>
      </c>
      <c r="C96" s="43">
        <f t="shared" si="73"/>
        <v>1</v>
      </c>
      <c r="D96" s="43">
        <f t="shared" si="73"/>
        <v>1</v>
      </c>
      <c r="E96" s="43">
        <f t="shared" si="73"/>
        <v>1</v>
      </c>
      <c r="F96" s="43">
        <f t="shared" si="73"/>
        <v>1</v>
      </c>
      <c r="G96" s="43">
        <f t="shared" si="73"/>
        <v>1</v>
      </c>
      <c r="H96" s="43">
        <f t="shared" si="73"/>
        <v>1</v>
      </c>
      <c r="I96" s="43">
        <f t="shared" si="73"/>
        <v>1</v>
      </c>
      <c r="J96" s="43">
        <f t="shared" si="73"/>
        <v>1</v>
      </c>
      <c r="K96" s="43" t="e">
        <f>K95+ATM_Conf!$C$5*(T95-AC95)</f>
        <v>#DIV/0!</v>
      </c>
      <c r="L96" s="43" t="e">
        <f>L95+ATM_Conf!$C$5*(U95-AD95)</f>
        <v>#DIV/0!</v>
      </c>
      <c r="M96" s="43" t="e">
        <f>M95+ATM_Conf!$C$5*(V95-AE95)</f>
        <v>#DIV/0!</v>
      </c>
      <c r="N96" s="43" t="e">
        <f>N95+ATM_Conf!$C$5*(W95-AF95)</f>
        <v>#DIV/0!</v>
      </c>
      <c r="O96" s="43" t="e">
        <f>O95+ATM_Conf!$C$5*(X95-AG95)</f>
        <v>#DIV/0!</v>
      </c>
      <c r="P96" s="43" t="e">
        <f>P95+ATM_Conf!$C$5*(Y95-AH95)</f>
        <v>#DIV/0!</v>
      </c>
      <c r="Q96" s="43" t="e">
        <f>Q95+ATM_Conf!$C$5*(Z95-AI95)</f>
        <v>#DIV/0!</v>
      </c>
      <c r="R96" s="43" t="e">
        <f>R95+ATM_Conf!$C$5*(AA95-AJ95)</f>
        <v>#DIV/0!</v>
      </c>
      <c r="S96" s="43" t="e">
        <f>S95+ATM_Conf!$C$5*(AB95-AK95)</f>
        <v>#DIV/0!</v>
      </c>
      <c r="T96" s="43">
        <f t="shared" si="48"/>
        <v>0</v>
      </c>
      <c r="U96" s="43">
        <f t="shared" si="45"/>
        <v>0</v>
      </c>
      <c r="V96" s="43">
        <f t="shared" si="45"/>
        <v>0</v>
      </c>
      <c r="W96" s="43">
        <f t="shared" si="45"/>
        <v>0</v>
      </c>
      <c r="X96" s="43">
        <f t="shared" si="45"/>
        <v>0</v>
      </c>
      <c r="Y96" s="43">
        <f t="shared" si="45"/>
        <v>0</v>
      </c>
      <c r="Z96" s="43">
        <f t="shared" si="45"/>
        <v>0</v>
      </c>
      <c r="AA96" s="43">
        <f t="shared" si="45"/>
        <v>0</v>
      </c>
      <c r="AB96" s="43">
        <f t="shared" si="45"/>
        <v>0</v>
      </c>
      <c r="AC96" s="43" t="e">
        <f t="shared" si="51"/>
        <v>#DIV/0!</v>
      </c>
      <c r="AD96" s="43" t="e">
        <f t="shared" si="52"/>
        <v>#DIV/0!</v>
      </c>
      <c r="AE96" s="43" t="e">
        <f t="shared" si="53"/>
        <v>#DIV/0!</v>
      </c>
      <c r="AF96" s="43" t="e">
        <f t="shared" si="54"/>
        <v>#DIV/0!</v>
      </c>
      <c r="AG96" s="43" t="e">
        <f t="shared" si="55"/>
        <v>#DIV/0!</v>
      </c>
      <c r="AH96" s="43" t="e">
        <f t="shared" si="56"/>
        <v>#DIV/0!</v>
      </c>
      <c r="AI96" s="43" t="e">
        <f t="shared" si="57"/>
        <v>#DIV/0!</v>
      </c>
      <c r="AJ96" s="43" t="e">
        <f t="shared" si="58"/>
        <v>#DIV/0!</v>
      </c>
      <c r="AK96" s="43" t="e">
        <f t="shared" si="59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49"/>
        <v>0</v>
      </c>
      <c r="BE96" s="43">
        <f t="shared" si="46"/>
        <v>0</v>
      </c>
      <c r="BF96" s="43">
        <f t="shared" si="46"/>
        <v>0</v>
      </c>
      <c r="BG96" s="43">
        <f t="shared" si="46"/>
        <v>0</v>
      </c>
      <c r="BH96" s="43">
        <f t="shared" si="46"/>
        <v>0</v>
      </c>
      <c r="BI96" s="43">
        <f t="shared" si="46"/>
        <v>0</v>
      </c>
      <c r="BJ96" s="43">
        <f t="shared" si="46"/>
        <v>0</v>
      </c>
      <c r="BK96" s="43">
        <f t="shared" si="46"/>
        <v>0</v>
      </c>
      <c r="BL96" s="43">
        <f t="shared" si="46"/>
        <v>0</v>
      </c>
      <c r="BM96" s="51"/>
      <c r="BN96" s="51"/>
      <c r="BO96" s="51"/>
      <c r="BP96" s="51"/>
      <c r="BQ96" s="51"/>
      <c r="BR96" s="51"/>
      <c r="BS96" s="51"/>
      <c r="BT96" s="51"/>
      <c r="BU96" s="51"/>
      <c r="BV96" s="51" t="e">
        <f t="shared" si="60"/>
        <v>#DIV/0!</v>
      </c>
      <c r="BW96" s="51" t="e">
        <f t="shared" si="61"/>
        <v>#DIV/0!</v>
      </c>
      <c r="BX96" s="51" t="e">
        <f t="shared" si="62"/>
        <v>#DIV/0!</v>
      </c>
      <c r="BY96" s="51" t="e">
        <f t="shared" si="63"/>
        <v>#DIV/0!</v>
      </c>
      <c r="BZ96" s="51" t="e">
        <f t="shared" si="64"/>
        <v>#DIV/0!</v>
      </c>
      <c r="CA96" s="51" t="e">
        <f t="shared" si="65"/>
        <v>#DIV/0!</v>
      </c>
      <c r="CB96" s="51" t="e">
        <f t="shared" si="66"/>
        <v>#DIV/0!</v>
      </c>
      <c r="CC96" s="51" t="e">
        <f t="shared" si="67"/>
        <v>#DIV/0!</v>
      </c>
      <c r="CD96" s="51" t="e">
        <f t="shared" si="68"/>
        <v>#DIV/0!</v>
      </c>
      <c r="CE96" s="53">
        <f t="shared" si="50"/>
        <v>0</v>
      </c>
      <c r="CF96" s="53">
        <f t="shared" si="47"/>
        <v>0</v>
      </c>
      <c r="CG96" s="53">
        <f t="shared" si="47"/>
        <v>0</v>
      </c>
      <c r="CH96" s="53">
        <f t="shared" si="47"/>
        <v>0</v>
      </c>
      <c r="CI96" s="53">
        <f t="shared" si="47"/>
        <v>0</v>
      </c>
      <c r="CJ96" s="53">
        <f t="shared" si="47"/>
        <v>0</v>
      </c>
      <c r="CK96" s="53">
        <f t="shared" si="47"/>
        <v>0</v>
      </c>
      <c r="CL96" s="53">
        <f t="shared" si="47"/>
        <v>0</v>
      </c>
      <c r="CM96" s="53">
        <f t="shared" si="47"/>
        <v>0</v>
      </c>
    </row>
    <row r="97" spans="1:91" x14ac:dyDescent="0.15">
      <c r="A97" s="41">
        <v>95</v>
      </c>
      <c r="B97" s="43">
        <f t="shared" si="74"/>
        <v>1</v>
      </c>
      <c r="C97" s="43">
        <f t="shared" si="73"/>
        <v>1</v>
      </c>
      <c r="D97" s="43">
        <f t="shared" si="73"/>
        <v>1</v>
      </c>
      <c r="E97" s="43">
        <f t="shared" si="73"/>
        <v>1</v>
      </c>
      <c r="F97" s="43">
        <f t="shared" si="73"/>
        <v>1</v>
      </c>
      <c r="G97" s="43">
        <f t="shared" si="73"/>
        <v>1</v>
      </c>
      <c r="H97" s="43">
        <f t="shared" si="73"/>
        <v>1</v>
      </c>
      <c r="I97" s="43">
        <f t="shared" si="73"/>
        <v>1</v>
      </c>
      <c r="J97" s="43">
        <f t="shared" si="73"/>
        <v>1</v>
      </c>
      <c r="K97" s="43" t="e">
        <f>K96+ATM_Conf!$C$5*(T96-AC96)</f>
        <v>#DIV/0!</v>
      </c>
      <c r="L97" s="43" t="e">
        <f>L96+ATM_Conf!$C$5*(U96-AD96)</f>
        <v>#DIV/0!</v>
      </c>
      <c r="M97" s="43" t="e">
        <f>M96+ATM_Conf!$C$5*(V96-AE96)</f>
        <v>#DIV/0!</v>
      </c>
      <c r="N97" s="43" t="e">
        <f>N96+ATM_Conf!$C$5*(W96-AF96)</f>
        <v>#DIV/0!</v>
      </c>
      <c r="O97" s="43" t="e">
        <f>O96+ATM_Conf!$C$5*(X96-AG96)</f>
        <v>#DIV/0!</v>
      </c>
      <c r="P97" s="43" t="e">
        <f>P96+ATM_Conf!$C$5*(Y96-AH96)</f>
        <v>#DIV/0!</v>
      </c>
      <c r="Q97" s="43" t="e">
        <f>Q96+ATM_Conf!$C$5*(Z96-AI96)</f>
        <v>#DIV/0!</v>
      </c>
      <c r="R97" s="43" t="e">
        <f>R96+ATM_Conf!$C$5*(AA96-AJ96)</f>
        <v>#DIV/0!</v>
      </c>
      <c r="S97" s="43" t="e">
        <f>S96+ATM_Conf!$C$5*(AB96-AK96)</f>
        <v>#DIV/0!</v>
      </c>
      <c r="T97" s="43">
        <f t="shared" si="48"/>
        <v>0</v>
      </c>
      <c r="U97" s="43">
        <f t="shared" si="45"/>
        <v>0</v>
      </c>
      <c r="V97" s="43">
        <f t="shared" ref="U97:AB128" si="75">V$3</f>
        <v>0</v>
      </c>
      <c r="W97" s="43">
        <f t="shared" si="75"/>
        <v>0</v>
      </c>
      <c r="X97" s="43">
        <f t="shared" si="75"/>
        <v>0</v>
      </c>
      <c r="Y97" s="43">
        <f t="shared" si="75"/>
        <v>0</v>
      </c>
      <c r="Z97" s="43">
        <f t="shared" si="75"/>
        <v>0</v>
      </c>
      <c r="AA97" s="43">
        <f t="shared" si="75"/>
        <v>0</v>
      </c>
      <c r="AB97" s="43">
        <f t="shared" si="75"/>
        <v>0</v>
      </c>
      <c r="AC97" s="43" t="e">
        <f t="shared" si="51"/>
        <v>#DIV/0!</v>
      </c>
      <c r="AD97" s="43" t="e">
        <f t="shared" si="52"/>
        <v>#DIV/0!</v>
      </c>
      <c r="AE97" s="43" t="e">
        <f t="shared" si="53"/>
        <v>#DIV/0!</v>
      </c>
      <c r="AF97" s="43" t="e">
        <f t="shared" si="54"/>
        <v>#DIV/0!</v>
      </c>
      <c r="AG97" s="43" t="e">
        <f t="shared" si="55"/>
        <v>#DIV/0!</v>
      </c>
      <c r="AH97" s="43" t="e">
        <f t="shared" si="56"/>
        <v>#DIV/0!</v>
      </c>
      <c r="AI97" s="43" t="e">
        <f t="shared" si="57"/>
        <v>#DIV/0!</v>
      </c>
      <c r="AJ97" s="43" t="e">
        <f t="shared" si="58"/>
        <v>#DIV/0!</v>
      </c>
      <c r="AK97" s="43" t="e">
        <f t="shared" si="59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49"/>
        <v>0</v>
      </c>
      <c r="BE97" s="43">
        <f t="shared" si="46"/>
        <v>0</v>
      </c>
      <c r="BF97" s="43">
        <f t="shared" ref="BE97:BL128" si="76">BF$3</f>
        <v>0</v>
      </c>
      <c r="BG97" s="43">
        <f t="shared" si="76"/>
        <v>0</v>
      </c>
      <c r="BH97" s="43">
        <f t="shared" si="76"/>
        <v>0</v>
      </c>
      <c r="BI97" s="43">
        <f t="shared" si="76"/>
        <v>0</v>
      </c>
      <c r="BJ97" s="43">
        <f t="shared" si="76"/>
        <v>0</v>
      </c>
      <c r="BK97" s="43">
        <f t="shared" si="76"/>
        <v>0</v>
      </c>
      <c r="BL97" s="43">
        <f t="shared" si="76"/>
        <v>0</v>
      </c>
      <c r="BM97" s="51"/>
      <c r="BN97" s="51"/>
      <c r="BO97" s="51"/>
      <c r="BP97" s="51"/>
      <c r="BQ97" s="51"/>
      <c r="BR97" s="51"/>
      <c r="BS97" s="51"/>
      <c r="BT97" s="51"/>
      <c r="BU97" s="51"/>
      <c r="BV97" s="51" t="e">
        <f t="shared" si="60"/>
        <v>#DIV/0!</v>
      </c>
      <c r="BW97" s="51" t="e">
        <f t="shared" si="61"/>
        <v>#DIV/0!</v>
      </c>
      <c r="BX97" s="51" t="e">
        <f t="shared" si="62"/>
        <v>#DIV/0!</v>
      </c>
      <c r="BY97" s="51" t="e">
        <f t="shared" si="63"/>
        <v>#DIV/0!</v>
      </c>
      <c r="BZ97" s="51" t="e">
        <f t="shared" si="64"/>
        <v>#DIV/0!</v>
      </c>
      <c r="CA97" s="51" t="e">
        <f t="shared" si="65"/>
        <v>#DIV/0!</v>
      </c>
      <c r="CB97" s="51" t="e">
        <f t="shared" si="66"/>
        <v>#DIV/0!</v>
      </c>
      <c r="CC97" s="51" t="e">
        <f t="shared" si="67"/>
        <v>#DIV/0!</v>
      </c>
      <c r="CD97" s="51" t="e">
        <f t="shared" si="68"/>
        <v>#DIV/0!</v>
      </c>
      <c r="CE97" s="53">
        <f t="shared" si="50"/>
        <v>0</v>
      </c>
      <c r="CF97" s="53">
        <f t="shared" si="47"/>
        <v>0</v>
      </c>
      <c r="CG97" s="53">
        <f t="shared" ref="CF97:CM128" si="77">CG$3</f>
        <v>0</v>
      </c>
      <c r="CH97" s="53">
        <f t="shared" si="77"/>
        <v>0</v>
      </c>
      <c r="CI97" s="53">
        <f t="shared" si="77"/>
        <v>0</v>
      </c>
      <c r="CJ97" s="53">
        <f t="shared" si="77"/>
        <v>0</v>
      </c>
      <c r="CK97" s="53">
        <f t="shared" si="77"/>
        <v>0</v>
      </c>
      <c r="CL97" s="53">
        <f t="shared" si="77"/>
        <v>0</v>
      </c>
      <c r="CM97" s="53">
        <f t="shared" si="77"/>
        <v>0</v>
      </c>
    </row>
    <row r="98" spans="1:91" x14ac:dyDescent="0.15">
      <c r="A98" s="41">
        <v>96</v>
      </c>
      <c r="B98" s="43">
        <f t="shared" si="74"/>
        <v>1</v>
      </c>
      <c r="C98" s="43">
        <f t="shared" si="73"/>
        <v>1</v>
      </c>
      <c r="D98" s="43">
        <f t="shared" si="73"/>
        <v>1</v>
      </c>
      <c r="E98" s="43">
        <f t="shared" si="73"/>
        <v>1</v>
      </c>
      <c r="F98" s="43">
        <f t="shared" si="73"/>
        <v>1</v>
      </c>
      <c r="G98" s="43">
        <f t="shared" si="73"/>
        <v>1</v>
      </c>
      <c r="H98" s="43">
        <f t="shared" si="73"/>
        <v>1</v>
      </c>
      <c r="I98" s="43">
        <f t="shared" si="73"/>
        <v>1</v>
      </c>
      <c r="J98" s="43">
        <f t="shared" si="73"/>
        <v>1</v>
      </c>
      <c r="K98" s="43" t="e">
        <f>K97+ATM_Conf!$C$5*(T97-AC97)</f>
        <v>#DIV/0!</v>
      </c>
      <c r="L98" s="43" t="e">
        <f>L97+ATM_Conf!$C$5*(U97-AD97)</f>
        <v>#DIV/0!</v>
      </c>
      <c r="M98" s="43" t="e">
        <f>M97+ATM_Conf!$C$5*(V97-AE97)</f>
        <v>#DIV/0!</v>
      </c>
      <c r="N98" s="43" t="e">
        <f>N97+ATM_Conf!$C$5*(W97-AF97)</f>
        <v>#DIV/0!</v>
      </c>
      <c r="O98" s="43" t="e">
        <f>O97+ATM_Conf!$C$5*(X97-AG97)</f>
        <v>#DIV/0!</v>
      </c>
      <c r="P98" s="43" t="e">
        <f>P97+ATM_Conf!$C$5*(Y97-AH97)</f>
        <v>#DIV/0!</v>
      </c>
      <c r="Q98" s="43" t="e">
        <f>Q97+ATM_Conf!$C$5*(Z97-AI97)</f>
        <v>#DIV/0!</v>
      </c>
      <c r="R98" s="43" t="e">
        <f>R97+ATM_Conf!$C$5*(AA97-AJ97)</f>
        <v>#DIV/0!</v>
      </c>
      <c r="S98" s="43" t="e">
        <f>S97+ATM_Conf!$C$5*(AB97-AK97)</f>
        <v>#DIV/0!</v>
      </c>
      <c r="T98" s="43">
        <f t="shared" si="48"/>
        <v>0</v>
      </c>
      <c r="U98" s="43">
        <f t="shared" si="75"/>
        <v>0</v>
      </c>
      <c r="V98" s="43">
        <f t="shared" si="75"/>
        <v>0</v>
      </c>
      <c r="W98" s="43">
        <f t="shared" si="75"/>
        <v>0</v>
      </c>
      <c r="X98" s="43">
        <f t="shared" si="75"/>
        <v>0</v>
      </c>
      <c r="Y98" s="43">
        <f t="shared" si="75"/>
        <v>0</v>
      </c>
      <c r="Z98" s="43">
        <f t="shared" si="75"/>
        <v>0</v>
      </c>
      <c r="AA98" s="43">
        <f t="shared" si="75"/>
        <v>0</v>
      </c>
      <c r="AB98" s="43">
        <f t="shared" si="75"/>
        <v>0</v>
      </c>
      <c r="AC98" s="43" t="e">
        <f t="shared" si="51"/>
        <v>#DIV/0!</v>
      </c>
      <c r="AD98" s="43" t="e">
        <f t="shared" si="52"/>
        <v>#DIV/0!</v>
      </c>
      <c r="AE98" s="43" t="e">
        <f t="shared" si="53"/>
        <v>#DIV/0!</v>
      </c>
      <c r="AF98" s="43" t="e">
        <f t="shared" si="54"/>
        <v>#DIV/0!</v>
      </c>
      <c r="AG98" s="43" t="e">
        <f t="shared" si="55"/>
        <v>#DIV/0!</v>
      </c>
      <c r="AH98" s="43" t="e">
        <f t="shared" si="56"/>
        <v>#DIV/0!</v>
      </c>
      <c r="AI98" s="43" t="e">
        <f t="shared" si="57"/>
        <v>#DIV/0!</v>
      </c>
      <c r="AJ98" s="43" t="e">
        <f t="shared" si="58"/>
        <v>#DIV/0!</v>
      </c>
      <c r="AK98" s="43" t="e">
        <f t="shared" si="59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49"/>
        <v>0</v>
      </c>
      <c r="BE98" s="43">
        <f t="shared" si="76"/>
        <v>0</v>
      </c>
      <c r="BF98" s="43">
        <f t="shared" si="76"/>
        <v>0</v>
      </c>
      <c r="BG98" s="43">
        <f t="shared" si="76"/>
        <v>0</v>
      </c>
      <c r="BH98" s="43">
        <f t="shared" si="76"/>
        <v>0</v>
      </c>
      <c r="BI98" s="43">
        <f t="shared" si="76"/>
        <v>0</v>
      </c>
      <c r="BJ98" s="43">
        <f t="shared" si="76"/>
        <v>0</v>
      </c>
      <c r="BK98" s="43">
        <f t="shared" si="76"/>
        <v>0</v>
      </c>
      <c r="BL98" s="43">
        <f t="shared" si="76"/>
        <v>0</v>
      </c>
      <c r="BM98" s="51"/>
      <c r="BN98" s="51"/>
      <c r="BO98" s="51"/>
      <c r="BP98" s="51"/>
      <c r="BQ98" s="51"/>
      <c r="BR98" s="51"/>
      <c r="BS98" s="51"/>
      <c r="BT98" s="51"/>
      <c r="BU98" s="51"/>
      <c r="BV98" s="51" t="e">
        <f t="shared" si="60"/>
        <v>#DIV/0!</v>
      </c>
      <c r="BW98" s="51" t="e">
        <f t="shared" si="61"/>
        <v>#DIV/0!</v>
      </c>
      <c r="BX98" s="51" t="e">
        <f t="shared" si="62"/>
        <v>#DIV/0!</v>
      </c>
      <c r="BY98" s="51" t="e">
        <f t="shared" si="63"/>
        <v>#DIV/0!</v>
      </c>
      <c r="BZ98" s="51" t="e">
        <f t="shared" si="64"/>
        <v>#DIV/0!</v>
      </c>
      <c r="CA98" s="51" t="e">
        <f t="shared" si="65"/>
        <v>#DIV/0!</v>
      </c>
      <c r="CB98" s="51" t="e">
        <f t="shared" si="66"/>
        <v>#DIV/0!</v>
      </c>
      <c r="CC98" s="51" t="e">
        <f t="shared" si="67"/>
        <v>#DIV/0!</v>
      </c>
      <c r="CD98" s="51" t="e">
        <f t="shared" si="68"/>
        <v>#DIV/0!</v>
      </c>
      <c r="CE98" s="53">
        <f t="shared" si="50"/>
        <v>0</v>
      </c>
      <c r="CF98" s="53">
        <f t="shared" si="77"/>
        <v>0</v>
      </c>
      <c r="CG98" s="53">
        <f t="shared" si="77"/>
        <v>0</v>
      </c>
      <c r="CH98" s="53">
        <f t="shared" si="77"/>
        <v>0</v>
      </c>
      <c r="CI98" s="53">
        <f t="shared" si="77"/>
        <v>0</v>
      </c>
      <c r="CJ98" s="53">
        <f t="shared" si="77"/>
        <v>0</v>
      </c>
      <c r="CK98" s="53">
        <f t="shared" si="77"/>
        <v>0</v>
      </c>
      <c r="CL98" s="53">
        <f t="shared" si="77"/>
        <v>0</v>
      </c>
      <c r="CM98" s="53">
        <f t="shared" si="77"/>
        <v>0</v>
      </c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 t="e">
        <f>K98+ATM_Conf!$C$5*(T98-AC98)</f>
        <v>#DIV/0!</v>
      </c>
      <c r="L99" s="43" t="e">
        <f>L98+ATM_Conf!$C$5*(U98-AD98)</f>
        <v>#DIV/0!</v>
      </c>
      <c r="M99" s="43" t="e">
        <f>M98+ATM_Conf!$C$5*(V98-AE98)</f>
        <v>#DIV/0!</v>
      </c>
      <c r="N99" s="43" t="e">
        <f>N98+ATM_Conf!$C$5*(W98-AF98)</f>
        <v>#DIV/0!</v>
      </c>
      <c r="O99" s="43" t="e">
        <f>O98+ATM_Conf!$C$5*(X98-AG98)</f>
        <v>#DIV/0!</v>
      </c>
      <c r="P99" s="43" t="e">
        <f>P98+ATM_Conf!$C$5*(Y98-AH98)</f>
        <v>#DIV/0!</v>
      </c>
      <c r="Q99" s="43" t="e">
        <f>Q98+ATM_Conf!$C$5*(Z98-AI98)</f>
        <v>#DIV/0!</v>
      </c>
      <c r="R99" s="43" t="e">
        <f>R98+ATM_Conf!$C$5*(AA98-AJ98)</f>
        <v>#DIV/0!</v>
      </c>
      <c r="S99" s="43" t="e">
        <f>S98+ATM_Conf!$C$5*(AB98-AK98)</f>
        <v>#DIV/0!</v>
      </c>
      <c r="T99" s="43">
        <f t="shared" si="48"/>
        <v>0</v>
      </c>
      <c r="U99" s="43">
        <f t="shared" si="75"/>
        <v>0</v>
      </c>
      <c r="V99" s="43">
        <f t="shared" si="75"/>
        <v>0</v>
      </c>
      <c r="W99" s="43">
        <f t="shared" si="75"/>
        <v>0</v>
      </c>
      <c r="X99" s="43">
        <f t="shared" si="75"/>
        <v>0</v>
      </c>
      <c r="Y99" s="43">
        <f t="shared" si="75"/>
        <v>0</v>
      </c>
      <c r="Z99" s="43">
        <f t="shared" si="75"/>
        <v>0</v>
      </c>
      <c r="AA99" s="43">
        <f t="shared" si="75"/>
        <v>0</v>
      </c>
      <c r="AB99" s="43">
        <f t="shared" si="75"/>
        <v>0</v>
      </c>
      <c r="AC99" s="43" t="e">
        <f t="shared" si="51"/>
        <v>#DIV/0!</v>
      </c>
      <c r="AD99" s="43" t="e">
        <f t="shared" si="52"/>
        <v>#DIV/0!</v>
      </c>
      <c r="AE99" s="43" t="e">
        <f t="shared" si="53"/>
        <v>#DIV/0!</v>
      </c>
      <c r="AF99" s="43" t="e">
        <f t="shared" si="54"/>
        <v>#DIV/0!</v>
      </c>
      <c r="AG99" s="43" t="e">
        <f t="shared" si="55"/>
        <v>#DIV/0!</v>
      </c>
      <c r="AH99" s="43" t="e">
        <f t="shared" si="56"/>
        <v>#DIV/0!</v>
      </c>
      <c r="AI99" s="43" t="e">
        <f t="shared" si="57"/>
        <v>#DIV/0!</v>
      </c>
      <c r="AJ99" s="43" t="e">
        <f t="shared" si="58"/>
        <v>#DIV/0!</v>
      </c>
      <c r="AK99" s="43" t="e">
        <f t="shared" si="59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49"/>
        <v>0</v>
      </c>
      <c r="BE99" s="43">
        <f t="shared" si="76"/>
        <v>0</v>
      </c>
      <c r="BF99" s="43">
        <f t="shared" si="76"/>
        <v>0</v>
      </c>
      <c r="BG99" s="43">
        <f t="shared" si="76"/>
        <v>0</v>
      </c>
      <c r="BH99" s="43">
        <f t="shared" si="76"/>
        <v>0</v>
      </c>
      <c r="BI99" s="43">
        <f t="shared" si="76"/>
        <v>0</v>
      </c>
      <c r="BJ99" s="43">
        <f t="shared" si="76"/>
        <v>0</v>
      </c>
      <c r="BK99" s="43">
        <f t="shared" si="76"/>
        <v>0</v>
      </c>
      <c r="BL99" s="43">
        <f t="shared" si="76"/>
        <v>0</v>
      </c>
      <c r="BM99" s="51">
        <f>(B99-B87)^2</f>
        <v>0</v>
      </c>
      <c r="BN99" s="51">
        <f t="shared" ref="BN99:BU99" si="78">(C99-C87)^2</f>
        <v>0</v>
      </c>
      <c r="BO99" s="51">
        <f t="shared" si="78"/>
        <v>0</v>
      </c>
      <c r="BP99" s="51">
        <f t="shared" si="78"/>
        <v>0</v>
      </c>
      <c r="BQ99" s="51">
        <f t="shared" si="78"/>
        <v>0</v>
      </c>
      <c r="BR99" s="51">
        <f t="shared" si="78"/>
        <v>0</v>
      </c>
      <c r="BS99" s="51">
        <f t="shared" si="78"/>
        <v>0</v>
      </c>
      <c r="BT99" s="51">
        <f t="shared" si="78"/>
        <v>0</v>
      </c>
      <c r="BU99" s="51">
        <f t="shared" si="78"/>
        <v>0</v>
      </c>
      <c r="BV99" s="51" t="e">
        <f t="shared" si="60"/>
        <v>#DIV/0!</v>
      </c>
      <c r="BW99" s="51" t="e">
        <f t="shared" si="61"/>
        <v>#DIV/0!</v>
      </c>
      <c r="BX99" s="51" t="e">
        <f t="shared" si="62"/>
        <v>#DIV/0!</v>
      </c>
      <c r="BY99" s="51" t="e">
        <f t="shared" si="63"/>
        <v>#DIV/0!</v>
      </c>
      <c r="BZ99" s="51" t="e">
        <f t="shared" si="64"/>
        <v>#DIV/0!</v>
      </c>
      <c r="CA99" s="51" t="e">
        <f t="shared" si="65"/>
        <v>#DIV/0!</v>
      </c>
      <c r="CB99" s="51" t="e">
        <f t="shared" si="66"/>
        <v>#DIV/0!</v>
      </c>
      <c r="CC99" s="51" t="e">
        <f t="shared" si="67"/>
        <v>#DIV/0!</v>
      </c>
      <c r="CD99" s="51" t="e">
        <f t="shared" si="68"/>
        <v>#DIV/0!</v>
      </c>
      <c r="CE99" s="53">
        <f t="shared" si="50"/>
        <v>0</v>
      </c>
      <c r="CF99" s="53">
        <f t="shared" si="77"/>
        <v>0</v>
      </c>
      <c r="CG99" s="53">
        <f t="shared" si="77"/>
        <v>0</v>
      </c>
      <c r="CH99" s="53">
        <f t="shared" si="77"/>
        <v>0</v>
      </c>
      <c r="CI99" s="53">
        <f t="shared" si="77"/>
        <v>0</v>
      </c>
      <c r="CJ99" s="53">
        <f t="shared" si="77"/>
        <v>0</v>
      </c>
      <c r="CK99" s="53">
        <f t="shared" si="77"/>
        <v>0</v>
      </c>
      <c r="CL99" s="53">
        <f t="shared" si="77"/>
        <v>0</v>
      </c>
      <c r="CM99" s="53">
        <f t="shared" si="77"/>
        <v>0</v>
      </c>
    </row>
    <row r="100" spans="1:91" x14ac:dyDescent="0.15">
      <c r="A100" s="41">
        <v>98</v>
      </c>
      <c r="B100" s="43">
        <f>B$99</f>
        <v>1</v>
      </c>
      <c r="C100" s="43">
        <f t="shared" ref="C100:J110" si="79">C$99</f>
        <v>1</v>
      </c>
      <c r="D100" s="43">
        <f t="shared" si="79"/>
        <v>1</v>
      </c>
      <c r="E100" s="43">
        <f t="shared" si="79"/>
        <v>1</v>
      </c>
      <c r="F100" s="43">
        <f t="shared" si="79"/>
        <v>1</v>
      </c>
      <c r="G100" s="43">
        <f t="shared" si="79"/>
        <v>1</v>
      </c>
      <c r="H100" s="43">
        <f t="shared" si="79"/>
        <v>1</v>
      </c>
      <c r="I100" s="43">
        <f t="shared" si="79"/>
        <v>1</v>
      </c>
      <c r="J100" s="43">
        <f t="shared" si="79"/>
        <v>1</v>
      </c>
      <c r="K100" s="43" t="e">
        <f>K99+ATM_Conf!$C$5*(T99-AC99)</f>
        <v>#DIV/0!</v>
      </c>
      <c r="L100" s="43" t="e">
        <f>L99+ATM_Conf!$C$5*(U99-AD99)</f>
        <v>#DIV/0!</v>
      </c>
      <c r="M100" s="43" t="e">
        <f>M99+ATM_Conf!$C$5*(V99-AE99)</f>
        <v>#DIV/0!</v>
      </c>
      <c r="N100" s="43" t="e">
        <f>N99+ATM_Conf!$C$5*(W99-AF99)</f>
        <v>#DIV/0!</v>
      </c>
      <c r="O100" s="43" t="e">
        <f>O99+ATM_Conf!$C$5*(X99-AG99)</f>
        <v>#DIV/0!</v>
      </c>
      <c r="P100" s="43" t="e">
        <f>P99+ATM_Conf!$C$5*(Y99-AH99)</f>
        <v>#DIV/0!</v>
      </c>
      <c r="Q100" s="43" t="e">
        <f>Q99+ATM_Conf!$C$5*(Z99-AI99)</f>
        <v>#DIV/0!</v>
      </c>
      <c r="R100" s="43" t="e">
        <f>R99+ATM_Conf!$C$5*(AA99-AJ99)</f>
        <v>#DIV/0!</v>
      </c>
      <c r="S100" s="43" t="e">
        <f>S99+ATM_Conf!$C$5*(AB99-AK99)</f>
        <v>#DIV/0!</v>
      </c>
      <c r="T100" s="43">
        <f t="shared" si="48"/>
        <v>0</v>
      </c>
      <c r="U100" s="43">
        <f t="shared" si="75"/>
        <v>0</v>
      </c>
      <c r="V100" s="43">
        <f t="shared" si="75"/>
        <v>0</v>
      </c>
      <c r="W100" s="43">
        <f t="shared" si="75"/>
        <v>0</v>
      </c>
      <c r="X100" s="43">
        <f t="shared" si="75"/>
        <v>0</v>
      </c>
      <c r="Y100" s="43">
        <f t="shared" si="75"/>
        <v>0</v>
      </c>
      <c r="Z100" s="43">
        <f t="shared" si="75"/>
        <v>0</v>
      </c>
      <c r="AA100" s="43">
        <f t="shared" si="75"/>
        <v>0</v>
      </c>
      <c r="AB100" s="43">
        <f t="shared" si="75"/>
        <v>0</v>
      </c>
      <c r="AC100" s="43" t="e">
        <f t="shared" si="51"/>
        <v>#DIV/0!</v>
      </c>
      <c r="AD100" s="43" t="e">
        <f t="shared" si="52"/>
        <v>#DIV/0!</v>
      </c>
      <c r="AE100" s="43" t="e">
        <f t="shared" si="53"/>
        <v>#DIV/0!</v>
      </c>
      <c r="AF100" s="43" t="e">
        <f t="shared" si="54"/>
        <v>#DIV/0!</v>
      </c>
      <c r="AG100" s="43" t="e">
        <f t="shared" si="55"/>
        <v>#DIV/0!</v>
      </c>
      <c r="AH100" s="43" t="e">
        <f t="shared" si="56"/>
        <v>#DIV/0!</v>
      </c>
      <c r="AI100" s="43" t="e">
        <f t="shared" si="57"/>
        <v>#DIV/0!</v>
      </c>
      <c r="AJ100" s="43" t="e">
        <f t="shared" si="58"/>
        <v>#DIV/0!</v>
      </c>
      <c r="AK100" s="43" t="e">
        <f t="shared" si="59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49"/>
        <v>0</v>
      </c>
      <c r="BE100" s="43">
        <f t="shared" si="76"/>
        <v>0</v>
      </c>
      <c r="BF100" s="43">
        <f t="shared" si="76"/>
        <v>0</v>
      </c>
      <c r="BG100" s="43">
        <f t="shared" si="76"/>
        <v>0</v>
      </c>
      <c r="BH100" s="43">
        <f t="shared" si="76"/>
        <v>0</v>
      </c>
      <c r="BI100" s="43">
        <f t="shared" si="76"/>
        <v>0</v>
      </c>
      <c r="BJ100" s="43">
        <f t="shared" si="76"/>
        <v>0</v>
      </c>
      <c r="BK100" s="43">
        <f t="shared" si="76"/>
        <v>0</v>
      </c>
      <c r="BL100" s="43">
        <f t="shared" si="76"/>
        <v>0</v>
      </c>
      <c r="BM100" s="51"/>
      <c r="BN100" s="51"/>
      <c r="BO100" s="51"/>
      <c r="BP100" s="51"/>
      <c r="BQ100" s="51"/>
      <c r="BR100" s="51"/>
      <c r="BS100" s="51"/>
      <c r="BT100" s="51"/>
      <c r="BU100" s="51"/>
      <c r="BV100" s="51" t="e">
        <f t="shared" si="60"/>
        <v>#DIV/0!</v>
      </c>
      <c r="BW100" s="51" t="e">
        <f t="shared" si="61"/>
        <v>#DIV/0!</v>
      </c>
      <c r="BX100" s="51" t="e">
        <f t="shared" si="62"/>
        <v>#DIV/0!</v>
      </c>
      <c r="BY100" s="51" t="e">
        <f t="shared" si="63"/>
        <v>#DIV/0!</v>
      </c>
      <c r="BZ100" s="51" t="e">
        <f t="shared" si="64"/>
        <v>#DIV/0!</v>
      </c>
      <c r="CA100" s="51" t="e">
        <f t="shared" si="65"/>
        <v>#DIV/0!</v>
      </c>
      <c r="CB100" s="51" t="e">
        <f t="shared" si="66"/>
        <v>#DIV/0!</v>
      </c>
      <c r="CC100" s="51" t="e">
        <f t="shared" si="67"/>
        <v>#DIV/0!</v>
      </c>
      <c r="CD100" s="51" t="e">
        <f t="shared" si="68"/>
        <v>#DIV/0!</v>
      </c>
      <c r="CE100" s="53">
        <f t="shared" si="50"/>
        <v>0</v>
      </c>
      <c r="CF100" s="53">
        <f t="shared" si="77"/>
        <v>0</v>
      </c>
      <c r="CG100" s="53">
        <f t="shared" si="77"/>
        <v>0</v>
      </c>
      <c r="CH100" s="53">
        <f t="shared" si="77"/>
        <v>0</v>
      </c>
      <c r="CI100" s="53">
        <f t="shared" si="77"/>
        <v>0</v>
      </c>
      <c r="CJ100" s="53">
        <f t="shared" si="77"/>
        <v>0</v>
      </c>
      <c r="CK100" s="53">
        <f t="shared" si="77"/>
        <v>0</v>
      </c>
      <c r="CL100" s="53">
        <f t="shared" si="77"/>
        <v>0</v>
      </c>
      <c r="CM100" s="53">
        <f t="shared" si="77"/>
        <v>0</v>
      </c>
    </row>
    <row r="101" spans="1:91" x14ac:dyDescent="0.15">
      <c r="A101" s="41">
        <v>99</v>
      </c>
      <c r="B101" s="43">
        <f t="shared" ref="B101:B110" si="80">B$99</f>
        <v>1</v>
      </c>
      <c r="C101" s="43">
        <f t="shared" si="79"/>
        <v>1</v>
      </c>
      <c r="D101" s="43">
        <f t="shared" si="79"/>
        <v>1</v>
      </c>
      <c r="E101" s="43">
        <f t="shared" si="79"/>
        <v>1</v>
      </c>
      <c r="F101" s="43">
        <f t="shared" si="79"/>
        <v>1</v>
      </c>
      <c r="G101" s="43">
        <f t="shared" si="79"/>
        <v>1</v>
      </c>
      <c r="H101" s="43">
        <f t="shared" si="79"/>
        <v>1</v>
      </c>
      <c r="I101" s="43">
        <f t="shared" si="79"/>
        <v>1</v>
      </c>
      <c r="J101" s="43">
        <f t="shared" si="79"/>
        <v>1</v>
      </c>
      <c r="K101" s="43" t="e">
        <f>K100+ATM_Conf!$C$5*(T100-AC100)</f>
        <v>#DIV/0!</v>
      </c>
      <c r="L101" s="43" t="e">
        <f>L100+ATM_Conf!$C$5*(U100-AD100)</f>
        <v>#DIV/0!</v>
      </c>
      <c r="M101" s="43" t="e">
        <f>M100+ATM_Conf!$C$5*(V100-AE100)</f>
        <v>#DIV/0!</v>
      </c>
      <c r="N101" s="43" t="e">
        <f>N100+ATM_Conf!$C$5*(W100-AF100)</f>
        <v>#DIV/0!</v>
      </c>
      <c r="O101" s="43" t="e">
        <f>O100+ATM_Conf!$C$5*(X100-AG100)</f>
        <v>#DIV/0!</v>
      </c>
      <c r="P101" s="43" t="e">
        <f>P100+ATM_Conf!$C$5*(Y100-AH100)</f>
        <v>#DIV/0!</v>
      </c>
      <c r="Q101" s="43" t="e">
        <f>Q100+ATM_Conf!$C$5*(Z100-AI100)</f>
        <v>#DIV/0!</v>
      </c>
      <c r="R101" s="43" t="e">
        <f>R100+ATM_Conf!$C$5*(AA100-AJ100)</f>
        <v>#DIV/0!</v>
      </c>
      <c r="S101" s="43" t="e">
        <f>S100+ATM_Conf!$C$5*(AB100-AK100)</f>
        <v>#DIV/0!</v>
      </c>
      <c r="T101" s="43">
        <f t="shared" si="48"/>
        <v>0</v>
      </c>
      <c r="U101" s="43">
        <f t="shared" si="75"/>
        <v>0</v>
      </c>
      <c r="V101" s="43">
        <f t="shared" si="75"/>
        <v>0</v>
      </c>
      <c r="W101" s="43">
        <f t="shared" si="75"/>
        <v>0</v>
      </c>
      <c r="X101" s="43">
        <f t="shared" si="75"/>
        <v>0</v>
      </c>
      <c r="Y101" s="43">
        <f t="shared" si="75"/>
        <v>0</v>
      </c>
      <c r="Z101" s="43">
        <f t="shared" si="75"/>
        <v>0</v>
      </c>
      <c r="AA101" s="43">
        <f t="shared" si="75"/>
        <v>0</v>
      </c>
      <c r="AB101" s="43">
        <f t="shared" si="75"/>
        <v>0</v>
      </c>
      <c r="AC101" s="43" t="e">
        <f t="shared" si="51"/>
        <v>#DIV/0!</v>
      </c>
      <c r="AD101" s="43" t="e">
        <f t="shared" si="52"/>
        <v>#DIV/0!</v>
      </c>
      <c r="AE101" s="43" t="e">
        <f t="shared" si="53"/>
        <v>#DIV/0!</v>
      </c>
      <c r="AF101" s="43" t="e">
        <f t="shared" si="54"/>
        <v>#DIV/0!</v>
      </c>
      <c r="AG101" s="43" t="e">
        <f t="shared" si="55"/>
        <v>#DIV/0!</v>
      </c>
      <c r="AH101" s="43" t="e">
        <f t="shared" si="56"/>
        <v>#DIV/0!</v>
      </c>
      <c r="AI101" s="43" t="e">
        <f t="shared" si="57"/>
        <v>#DIV/0!</v>
      </c>
      <c r="AJ101" s="43" t="e">
        <f t="shared" si="58"/>
        <v>#DIV/0!</v>
      </c>
      <c r="AK101" s="43" t="e">
        <f t="shared" si="59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49"/>
        <v>0</v>
      </c>
      <c r="BE101" s="43">
        <f t="shared" si="76"/>
        <v>0</v>
      </c>
      <c r="BF101" s="43">
        <f t="shared" si="76"/>
        <v>0</v>
      </c>
      <c r="BG101" s="43">
        <f t="shared" si="76"/>
        <v>0</v>
      </c>
      <c r="BH101" s="43">
        <f t="shared" si="76"/>
        <v>0</v>
      </c>
      <c r="BI101" s="43">
        <f t="shared" si="76"/>
        <v>0</v>
      </c>
      <c r="BJ101" s="43">
        <f t="shared" si="76"/>
        <v>0</v>
      </c>
      <c r="BK101" s="43">
        <f t="shared" si="76"/>
        <v>0</v>
      </c>
      <c r="BL101" s="43">
        <f t="shared" si="76"/>
        <v>0</v>
      </c>
      <c r="BM101" s="51"/>
      <c r="BN101" s="51"/>
      <c r="BO101" s="51"/>
      <c r="BP101" s="51"/>
      <c r="BQ101" s="51"/>
      <c r="BR101" s="51"/>
      <c r="BS101" s="51"/>
      <c r="BT101" s="51"/>
      <c r="BU101" s="51"/>
      <c r="BV101" s="51" t="e">
        <f t="shared" si="60"/>
        <v>#DIV/0!</v>
      </c>
      <c r="BW101" s="51" t="e">
        <f t="shared" si="61"/>
        <v>#DIV/0!</v>
      </c>
      <c r="BX101" s="51" t="e">
        <f t="shared" si="62"/>
        <v>#DIV/0!</v>
      </c>
      <c r="BY101" s="51" t="e">
        <f t="shared" si="63"/>
        <v>#DIV/0!</v>
      </c>
      <c r="BZ101" s="51" t="e">
        <f t="shared" si="64"/>
        <v>#DIV/0!</v>
      </c>
      <c r="CA101" s="51" t="e">
        <f t="shared" si="65"/>
        <v>#DIV/0!</v>
      </c>
      <c r="CB101" s="51" t="e">
        <f t="shared" si="66"/>
        <v>#DIV/0!</v>
      </c>
      <c r="CC101" s="51" t="e">
        <f t="shared" si="67"/>
        <v>#DIV/0!</v>
      </c>
      <c r="CD101" s="51" t="e">
        <f t="shared" si="68"/>
        <v>#DIV/0!</v>
      </c>
      <c r="CE101" s="53">
        <f t="shared" si="50"/>
        <v>0</v>
      </c>
      <c r="CF101" s="53">
        <f t="shared" si="77"/>
        <v>0</v>
      </c>
      <c r="CG101" s="53">
        <f t="shared" si="77"/>
        <v>0</v>
      </c>
      <c r="CH101" s="53">
        <f t="shared" si="77"/>
        <v>0</v>
      </c>
      <c r="CI101" s="53">
        <f t="shared" si="77"/>
        <v>0</v>
      </c>
      <c r="CJ101" s="53">
        <f t="shared" si="77"/>
        <v>0</v>
      </c>
      <c r="CK101" s="53">
        <f t="shared" si="77"/>
        <v>0</v>
      </c>
      <c r="CL101" s="53">
        <f t="shared" si="77"/>
        <v>0</v>
      </c>
      <c r="CM101" s="53">
        <f t="shared" si="77"/>
        <v>0</v>
      </c>
    </row>
    <row r="102" spans="1:91" x14ac:dyDescent="0.15">
      <c r="A102" s="41">
        <v>100</v>
      </c>
      <c r="B102" s="43">
        <f t="shared" si="80"/>
        <v>1</v>
      </c>
      <c r="C102" s="43">
        <f t="shared" si="79"/>
        <v>1</v>
      </c>
      <c r="D102" s="43">
        <f t="shared" si="79"/>
        <v>1</v>
      </c>
      <c r="E102" s="43">
        <f t="shared" si="79"/>
        <v>1</v>
      </c>
      <c r="F102" s="43">
        <f t="shared" si="79"/>
        <v>1</v>
      </c>
      <c r="G102" s="43">
        <f t="shared" si="79"/>
        <v>1</v>
      </c>
      <c r="H102" s="43">
        <f t="shared" si="79"/>
        <v>1</v>
      </c>
      <c r="I102" s="43">
        <f t="shared" si="79"/>
        <v>1</v>
      </c>
      <c r="J102" s="43">
        <f t="shared" si="79"/>
        <v>1</v>
      </c>
      <c r="K102" s="43" t="e">
        <f>K101+ATM_Conf!$C$5*(T101-AC101)</f>
        <v>#DIV/0!</v>
      </c>
      <c r="L102" s="43" t="e">
        <f>L101+ATM_Conf!$C$5*(U101-AD101)</f>
        <v>#DIV/0!</v>
      </c>
      <c r="M102" s="43" t="e">
        <f>M101+ATM_Conf!$C$5*(V101-AE101)</f>
        <v>#DIV/0!</v>
      </c>
      <c r="N102" s="43" t="e">
        <f>N101+ATM_Conf!$C$5*(W101-AF101)</f>
        <v>#DIV/0!</v>
      </c>
      <c r="O102" s="43" t="e">
        <f>O101+ATM_Conf!$C$5*(X101-AG101)</f>
        <v>#DIV/0!</v>
      </c>
      <c r="P102" s="43" t="e">
        <f>P101+ATM_Conf!$C$5*(Y101-AH101)</f>
        <v>#DIV/0!</v>
      </c>
      <c r="Q102" s="43" t="e">
        <f>Q101+ATM_Conf!$C$5*(Z101-AI101)</f>
        <v>#DIV/0!</v>
      </c>
      <c r="R102" s="43" t="e">
        <f>R101+ATM_Conf!$C$5*(AA101-AJ101)</f>
        <v>#DIV/0!</v>
      </c>
      <c r="S102" s="43" t="e">
        <f>S101+ATM_Conf!$C$5*(AB101-AK101)</f>
        <v>#DIV/0!</v>
      </c>
      <c r="T102" s="43">
        <f t="shared" si="48"/>
        <v>0</v>
      </c>
      <c r="U102" s="43">
        <f t="shared" si="75"/>
        <v>0</v>
      </c>
      <c r="V102" s="43">
        <f t="shared" si="75"/>
        <v>0</v>
      </c>
      <c r="W102" s="43">
        <f t="shared" si="75"/>
        <v>0</v>
      </c>
      <c r="X102" s="43">
        <f t="shared" si="75"/>
        <v>0</v>
      </c>
      <c r="Y102" s="43">
        <f t="shared" si="75"/>
        <v>0</v>
      </c>
      <c r="Z102" s="43">
        <f t="shared" si="75"/>
        <v>0</v>
      </c>
      <c r="AA102" s="43">
        <f t="shared" si="75"/>
        <v>0</v>
      </c>
      <c r="AB102" s="43">
        <f t="shared" si="75"/>
        <v>0</v>
      </c>
      <c r="AC102" s="43" t="e">
        <f t="shared" si="51"/>
        <v>#DIV/0!</v>
      </c>
      <c r="AD102" s="43" t="e">
        <f t="shared" si="52"/>
        <v>#DIV/0!</v>
      </c>
      <c r="AE102" s="43" t="e">
        <f t="shared" si="53"/>
        <v>#DIV/0!</v>
      </c>
      <c r="AF102" s="43" t="e">
        <f t="shared" si="54"/>
        <v>#DIV/0!</v>
      </c>
      <c r="AG102" s="43" t="e">
        <f t="shared" si="55"/>
        <v>#DIV/0!</v>
      </c>
      <c r="AH102" s="43" t="e">
        <f t="shared" si="56"/>
        <v>#DIV/0!</v>
      </c>
      <c r="AI102" s="43" t="e">
        <f t="shared" si="57"/>
        <v>#DIV/0!</v>
      </c>
      <c r="AJ102" s="43" t="e">
        <f t="shared" si="58"/>
        <v>#DIV/0!</v>
      </c>
      <c r="AK102" s="43" t="e">
        <f t="shared" si="59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49"/>
        <v>0</v>
      </c>
      <c r="BE102" s="43">
        <f t="shared" si="76"/>
        <v>0</v>
      </c>
      <c r="BF102" s="43">
        <f t="shared" si="76"/>
        <v>0</v>
      </c>
      <c r="BG102" s="43">
        <f t="shared" si="76"/>
        <v>0</v>
      </c>
      <c r="BH102" s="43">
        <f t="shared" si="76"/>
        <v>0</v>
      </c>
      <c r="BI102" s="43">
        <f t="shared" si="76"/>
        <v>0</v>
      </c>
      <c r="BJ102" s="43">
        <f t="shared" si="76"/>
        <v>0</v>
      </c>
      <c r="BK102" s="43">
        <f t="shared" si="76"/>
        <v>0</v>
      </c>
      <c r="BL102" s="43">
        <f t="shared" si="76"/>
        <v>0</v>
      </c>
      <c r="BM102" s="51"/>
      <c r="BN102" s="51"/>
      <c r="BO102" s="51"/>
      <c r="BP102" s="51"/>
      <c r="BQ102" s="51"/>
      <c r="BR102" s="51"/>
      <c r="BS102" s="51"/>
      <c r="BT102" s="51"/>
      <c r="BU102" s="51"/>
      <c r="BV102" s="51" t="e">
        <f t="shared" si="60"/>
        <v>#DIV/0!</v>
      </c>
      <c r="BW102" s="51" t="e">
        <f t="shared" si="61"/>
        <v>#DIV/0!</v>
      </c>
      <c r="BX102" s="51" t="e">
        <f t="shared" si="62"/>
        <v>#DIV/0!</v>
      </c>
      <c r="BY102" s="51" t="e">
        <f t="shared" si="63"/>
        <v>#DIV/0!</v>
      </c>
      <c r="BZ102" s="51" t="e">
        <f t="shared" si="64"/>
        <v>#DIV/0!</v>
      </c>
      <c r="CA102" s="51" t="e">
        <f t="shared" si="65"/>
        <v>#DIV/0!</v>
      </c>
      <c r="CB102" s="51" t="e">
        <f t="shared" si="66"/>
        <v>#DIV/0!</v>
      </c>
      <c r="CC102" s="51" t="e">
        <f t="shared" si="67"/>
        <v>#DIV/0!</v>
      </c>
      <c r="CD102" s="51" t="e">
        <f t="shared" si="68"/>
        <v>#DIV/0!</v>
      </c>
      <c r="CE102" s="53">
        <f t="shared" si="50"/>
        <v>0</v>
      </c>
      <c r="CF102" s="53">
        <f t="shared" si="77"/>
        <v>0</v>
      </c>
      <c r="CG102" s="53">
        <f t="shared" si="77"/>
        <v>0</v>
      </c>
      <c r="CH102" s="53">
        <f t="shared" si="77"/>
        <v>0</v>
      </c>
      <c r="CI102" s="53">
        <f t="shared" si="77"/>
        <v>0</v>
      </c>
      <c r="CJ102" s="53">
        <f t="shared" si="77"/>
        <v>0</v>
      </c>
      <c r="CK102" s="53">
        <f t="shared" si="77"/>
        <v>0</v>
      </c>
      <c r="CL102" s="53">
        <f t="shared" si="77"/>
        <v>0</v>
      </c>
      <c r="CM102" s="53">
        <f t="shared" si="77"/>
        <v>0</v>
      </c>
    </row>
    <row r="103" spans="1:91" x14ac:dyDescent="0.15">
      <c r="A103" s="41">
        <v>101</v>
      </c>
      <c r="B103" s="43">
        <f t="shared" si="80"/>
        <v>1</v>
      </c>
      <c r="C103" s="43">
        <f t="shared" si="79"/>
        <v>1</v>
      </c>
      <c r="D103" s="43">
        <f t="shared" si="79"/>
        <v>1</v>
      </c>
      <c r="E103" s="43">
        <f t="shared" si="79"/>
        <v>1</v>
      </c>
      <c r="F103" s="43">
        <f t="shared" si="79"/>
        <v>1</v>
      </c>
      <c r="G103" s="43">
        <f t="shared" si="79"/>
        <v>1</v>
      </c>
      <c r="H103" s="43">
        <f t="shared" si="79"/>
        <v>1</v>
      </c>
      <c r="I103" s="43">
        <f t="shared" si="79"/>
        <v>1</v>
      </c>
      <c r="J103" s="43">
        <f t="shared" si="79"/>
        <v>1</v>
      </c>
      <c r="K103" s="43" t="e">
        <f>K102+ATM_Conf!$C$5*(T102-AC102)</f>
        <v>#DIV/0!</v>
      </c>
      <c r="L103" s="43" t="e">
        <f>L102+ATM_Conf!$C$5*(U102-AD102)</f>
        <v>#DIV/0!</v>
      </c>
      <c r="M103" s="43" t="e">
        <f>M102+ATM_Conf!$C$5*(V102-AE102)</f>
        <v>#DIV/0!</v>
      </c>
      <c r="N103" s="43" t="e">
        <f>N102+ATM_Conf!$C$5*(W102-AF102)</f>
        <v>#DIV/0!</v>
      </c>
      <c r="O103" s="43" t="e">
        <f>O102+ATM_Conf!$C$5*(X102-AG102)</f>
        <v>#DIV/0!</v>
      </c>
      <c r="P103" s="43" t="e">
        <f>P102+ATM_Conf!$C$5*(Y102-AH102)</f>
        <v>#DIV/0!</v>
      </c>
      <c r="Q103" s="43" t="e">
        <f>Q102+ATM_Conf!$C$5*(Z102-AI102)</f>
        <v>#DIV/0!</v>
      </c>
      <c r="R103" s="43" t="e">
        <f>R102+ATM_Conf!$C$5*(AA102-AJ102)</f>
        <v>#DIV/0!</v>
      </c>
      <c r="S103" s="43" t="e">
        <f>S102+ATM_Conf!$C$5*(AB102-AK102)</f>
        <v>#DIV/0!</v>
      </c>
      <c r="T103" s="43">
        <f t="shared" si="48"/>
        <v>0</v>
      </c>
      <c r="U103" s="43">
        <f t="shared" si="75"/>
        <v>0</v>
      </c>
      <c r="V103" s="43">
        <f t="shared" si="75"/>
        <v>0</v>
      </c>
      <c r="W103" s="43">
        <f t="shared" si="75"/>
        <v>0</v>
      </c>
      <c r="X103" s="43">
        <f t="shared" si="75"/>
        <v>0</v>
      </c>
      <c r="Y103" s="43">
        <f t="shared" si="75"/>
        <v>0</v>
      </c>
      <c r="Z103" s="43">
        <f t="shared" si="75"/>
        <v>0</v>
      </c>
      <c r="AA103" s="43">
        <f t="shared" si="75"/>
        <v>0</v>
      </c>
      <c r="AB103" s="43">
        <f t="shared" si="75"/>
        <v>0</v>
      </c>
      <c r="AC103" s="43" t="e">
        <f t="shared" si="51"/>
        <v>#DIV/0!</v>
      </c>
      <c r="AD103" s="43" t="e">
        <f t="shared" si="52"/>
        <v>#DIV/0!</v>
      </c>
      <c r="AE103" s="43" t="e">
        <f t="shared" si="53"/>
        <v>#DIV/0!</v>
      </c>
      <c r="AF103" s="43" t="e">
        <f t="shared" si="54"/>
        <v>#DIV/0!</v>
      </c>
      <c r="AG103" s="43" t="e">
        <f t="shared" si="55"/>
        <v>#DIV/0!</v>
      </c>
      <c r="AH103" s="43" t="e">
        <f t="shared" si="56"/>
        <v>#DIV/0!</v>
      </c>
      <c r="AI103" s="43" t="e">
        <f t="shared" si="57"/>
        <v>#DIV/0!</v>
      </c>
      <c r="AJ103" s="43" t="e">
        <f t="shared" si="58"/>
        <v>#DIV/0!</v>
      </c>
      <c r="AK103" s="43" t="e">
        <f t="shared" si="59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49"/>
        <v>0</v>
      </c>
      <c r="BE103" s="43">
        <f t="shared" si="76"/>
        <v>0</v>
      </c>
      <c r="BF103" s="43">
        <f t="shared" si="76"/>
        <v>0</v>
      </c>
      <c r="BG103" s="43">
        <f t="shared" si="76"/>
        <v>0</v>
      </c>
      <c r="BH103" s="43">
        <f t="shared" si="76"/>
        <v>0</v>
      </c>
      <c r="BI103" s="43">
        <f t="shared" si="76"/>
        <v>0</v>
      </c>
      <c r="BJ103" s="43">
        <f t="shared" si="76"/>
        <v>0</v>
      </c>
      <c r="BK103" s="43">
        <f t="shared" si="76"/>
        <v>0</v>
      </c>
      <c r="BL103" s="43">
        <f t="shared" si="76"/>
        <v>0</v>
      </c>
      <c r="BM103" s="51"/>
      <c r="BN103" s="51"/>
      <c r="BO103" s="51"/>
      <c r="BP103" s="51"/>
      <c r="BQ103" s="51"/>
      <c r="BR103" s="51"/>
      <c r="BS103" s="51"/>
      <c r="BT103" s="51"/>
      <c r="BU103" s="51"/>
      <c r="BV103" s="51" t="e">
        <f t="shared" si="60"/>
        <v>#DIV/0!</v>
      </c>
      <c r="BW103" s="51" t="e">
        <f t="shared" si="61"/>
        <v>#DIV/0!</v>
      </c>
      <c r="BX103" s="51" t="e">
        <f t="shared" si="62"/>
        <v>#DIV/0!</v>
      </c>
      <c r="BY103" s="51" t="e">
        <f t="shared" si="63"/>
        <v>#DIV/0!</v>
      </c>
      <c r="BZ103" s="51" t="e">
        <f t="shared" si="64"/>
        <v>#DIV/0!</v>
      </c>
      <c r="CA103" s="51" t="e">
        <f t="shared" si="65"/>
        <v>#DIV/0!</v>
      </c>
      <c r="CB103" s="51" t="e">
        <f t="shared" si="66"/>
        <v>#DIV/0!</v>
      </c>
      <c r="CC103" s="51" t="e">
        <f t="shared" si="67"/>
        <v>#DIV/0!</v>
      </c>
      <c r="CD103" s="51" t="e">
        <f t="shared" si="68"/>
        <v>#DIV/0!</v>
      </c>
      <c r="CE103" s="53">
        <f t="shared" si="50"/>
        <v>0</v>
      </c>
      <c r="CF103" s="53">
        <f t="shared" si="77"/>
        <v>0</v>
      </c>
      <c r="CG103" s="53">
        <f t="shared" si="77"/>
        <v>0</v>
      </c>
      <c r="CH103" s="53">
        <f t="shared" si="77"/>
        <v>0</v>
      </c>
      <c r="CI103" s="53">
        <f t="shared" si="77"/>
        <v>0</v>
      </c>
      <c r="CJ103" s="53">
        <f t="shared" si="77"/>
        <v>0</v>
      </c>
      <c r="CK103" s="53">
        <f t="shared" si="77"/>
        <v>0</v>
      </c>
      <c r="CL103" s="53">
        <f t="shared" si="77"/>
        <v>0</v>
      </c>
      <c r="CM103" s="53">
        <f t="shared" si="77"/>
        <v>0</v>
      </c>
    </row>
    <row r="104" spans="1:91" x14ac:dyDescent="0.15">
      <c r="A104" s="41">
        <v>102</v>
      </c>
      <c r="B104" s="43">
        <f t="shared" si="80"/>
        <v>1</v>
      </c>
      <c r="C104" s="43">
        <f t="shared" si="79"/>
        <v>1</v>
      </c>
      <c r="D104" s="43">
        <f t="shared" si="79"/>
        <v>1</v>
      </c>
      <c r="E104" s="43">
        <f t="shared" si="79"/>
        <v>1</v>
      </c>
      <c r="F104" s="43">
        <f t="shared" si="79"/>
        <v>1</v>
      </c>
      <c r="G104" s="43">
        <f t="shared" si="79"/>
        <v>1</v>
      </c>
      <c r="H104" s="43">
        <f t="shared" si="79"/>
        <v>1</v>
      </c>
      <c r="I104" s="43">
        <f t="shared" si="79"/>
        <v>1</v>
      </c>
      <c r="J104" s="43">
        <f t="shared" si="79"/>
        <v>1</v>
      </c>
      <c r="K104" s="43" t="e">
        <f>K103+ATM_Conf!$C$5*(T103-AC103)</f>
        <v>#DIV/0!</v>
      </c>
      <c r="L104" s="43" t="e">
        <f>L103+ATM_Conf!$C$5*(U103-AD103)</f>
        <v>#DIV/0!</v>
      </c>
      <c r="M104" s="43" t="e">
        <f>M103+ATM_Conf!$C$5*(V103-AE103)</f>
        <v>#DIV/0!</v>
      </c>
      <c r="N104" s="43" t="e">
        <f>N103+ATM_Conf!$C$5*(W103-AF103)</f>
        <v>#DIV/0!</v>
      </c>
      <c r="O104" s="43" t="e">
        <f>O103+ATM_Conf!$C$5*(X103-AG103)</f>
        <v>#DIV/0!</v>
      </c>
      <c r="P104" s="43" t="e">
        <f>P103+ATM_Conf!$C$5*(Y103-AH103)</f>
        <v>#DIV/0!</v>
      </c>
      <c r="Q104" s="43" t="e">
        <f>Q103+ATM_Conf!$C$5*(Z103-AI103)</f>
        <v>#DIV/0!</v>
      </c>
      <c r="R104" s="43" t="e">
        <f>R103+ATM_Conf!$C$5*(AA103-AJ103)</f>
        <v>#DIV/0!</v>
      </c>
      <c r="S104" s="43" t="e">
        <f>S103+ATM_Conf!$C$5*(AB103-AK103)</f>
        <v>#DIV/0!</v>
      </c>
      <c r="T104" s="43">
        <f t="shared" si="48"/>
        <v>0</v>
      </c>
      <c r="U104" s="43">
        <f t="shared" si="75"/>
        <v>0</v>
      </c>
      <c r="V104" s="43">
        <f t="shared" si="75"/>
        <v>0</v>
      </c>
      <c r="W104" s="43">
        <f t="shared" si="75"/>
        <v>0</v>
      </c>
      <c r="X104" s="43">
        <f t="shared" si="75"/>
        <v>0</v>
      </c>
      <c r="Y104" s="43">
        <f t="shared" si="75"/>
        <v>0</v>
      </c>
      <c r="Z104" s="43">
        <f t="shared" si="75"/>
        <v>0</v>
      </c>
      <c r="AA104" s="43">
        <f t="shared" si="75"/>
        <v>0</v>
      </c>
      <c r="AB104" s="43">
        <f t="shared" si="75"/>
        <v>0</v>
      </c>
      <c r="AC104" s="43" t="e">
        <f t="shared" si="51"/>
        <v>#DIV/0!</v>
      </c>
      <c r="AD104" s="43" t="e">
        <f t="shared" si="52"/>
        <v>#DIV/0!</v>
      </c>
      <c r="AE104" s="43" t="e">
        <f t="shared" si="53"/>
        <v>#DIV/0!</v>
      </c>
      <c r="AF104" s="43" t="e">
        <f t="shared" si="54"/>
        <v>#DIV/0!</v>
      </c>
      <c r="AG104" s="43" t="e">
        <f t="shared" si="55"/>
        <v>#DIV/0!</v>
      </c>
      <c r="AH104" s="43" t="e">
        <f t="shared" si="56"/>
        <v>#DIV/0!</v>
      </c>
      <c r="AI104" s="43" t="e">
        <f t="shared" si="57"/>
        <v>#DIV/0!</v>
      </c>
      <c r="AJ104" s="43" t="e">
        <f t="shared" si="58"/>
        <v>#DIV/0!</v>
      </c>
      <c r="AK104" s="43" t="e">
        <f t="shared" si="59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49"/>
        <v>0</v>
      </c>
      <c r="BE104" s="43">
        <f t="shared" si="76"/>
        <v>0</v>
      </c>
      <c r="BF104" s="43">
        <f t="shared" si="76"/>
        <v>0</v>
      </c>
      <c r="BG104" s="43">
        <f t="shared" si="76"/>
        <v>0</v>
      </c>
      <c r="BH104" s="43">
        <f t="shared" si="76"/>
        <v>0</v>
      </c>
      <c r="BI104" s="43">
        <f t="shared" si="76"/>
        <v>0</v>
      </c>
      <c r="BJ104" s="43">
        <f t="shared" si="76"/>
        <v>0</v>
      </c>
      <c r="BK104" s="43">
        <f t="shared" si="76"/>
        <v>0</v>
      </c>
      <c r="BL104" s="43">
        <f t="shared" si="76"/>
        <v>0</v>
      </c>
      <c r="BM104" s="51"/>
      <c r="BN104" s="51"/>
      <c r="BO104" s="51"/>
      <c r="BP104" s="51"/>
      <c r="BQ104" s="51"/>
      <c r="BR104" s="51"/>
      <c r="BS104" s="51"/>
      <c r="BT104" s="51"/>
      <c r="BU104" s="51"/>
      <c r="BV104" s="51" t="e">
        <f t="shared" si="60"/>
        <v>#DIV/0!</v>
      </c>
      <c r="BW104" s="51" t="e">
        <f t="shared" si="61"/>
        <v>#DIV/0!</v>
      </c>
      <c r="BX104" s="51" t="e">
        <f t="shared" si="62"/>
        <v>#DIV/0!</v>
      </c>
      <c r="BY104" s="51" t="e">
        <f t="shared" si="63"/>
        <v>#DIV/0!</v>
      </c>
      <c r="BZ104" s="51" t="e">
        <f t="shared" si="64"/>
        <v>#DIV/0!</v>
      </c>
      <c r="CA104" s="51" t="e">
        <f t="shared" si="65"/>
        <v>#DIV/0!</v>
      </c>
      <c r="CB104" s="51" t="e">
        <f t="shared" si="66"/>
        <v>#DIV/0!</v>
      </c>
      <c r="CC104" s="51" t="e">
        <f t="shared" si="67"/>
        <v>#DIV/0!</v>
      </c>
      <c r="CD104" s="51" t="e">
        <f t="shared" si="68"/>
        <v>#DIV/0!</v>
      </c>
      <c r="CE104" s="53">
        <f t="shared" si="50"/>
        <v>0</v>
      </c>
      <c r="CF104" s="53">
        <f t="shared" si="77"/>
        <v>0</v>
      </c>
      <c r="CG104" s="53">
        <f t="shared" si="77"/>
        <v>0</v>
      </c>
      <c r="CH104" s="53">
        <f t="shared" si="77"/>
        <v>0</v>
      </c>
      <c r="CI104" s="53">
        <f t="shared" si="77"/>
        <v>0</v>
      </c>
      <c r="CJ104" s="53">
        <f t="shared" si="77"/>
        <v>0</v>
      </c>
      <c r="CK104" s="53">
        <f t="shared" si="77"/>
        <v>0</v>
      </c>
      <c r="CL104" s="53">
        <f t="shared" si="77"/>
        <v>0</v>
      </c>
      <c r="CM104" s="53">
        <f t="shared" si="77"/>
        <v>0</v>
      </c>
    </row>
    <row r="105" spans="1:91" x14ac:dyDescent="0.15">
      <c r="A105" s="41">
        <v>103</v>
      </c>
      <c r="B105" s="43">
        <f t="shared" si="80"/>
        <v>1</v>
      </c>
      <c r="C105" s="43">
        <f t="shared" si="79"/>
        <v>1</v>
      </c>
      <c r="D105" s="43">
        <f t="shared" si="79"/>
        <v>1</v>
      </c>
      <c r="E105" s="43">
        <f t="shared" si="79"/>
        <v>1</v>
      </c>
      <c r="F105" s="43">
        <f t="shared" si="79"/>
        <v>1</v>
      </c>
      <c r="G105" s="43">
        <f t="shared" si="79"/>
        <v>1</v>
      </c>
      <c r="H105" s="43">
        <f t="shared" si="79"/>
        <v>1</v>
      </c>
      <c r="I105" s="43">
        <f t="shared" si="79"/>
        <v>1</v>
      </c>
      <c r="J105" s="43">
        <f t="shared" si="79"/>
        <v>1</v>
      </c>
      <c r="K105" s="43" t="e">
        <f>K104+ATM_Conf!$C$5*(T104-AC104)</f>
        <v>#DIV/0!</v>
      </c>
      <c r="L105" s="43" t="e">
        <f>L104+ATM_Conf!$C$5*(U104-AD104)</f>
        <v>#DIV/0!</v>
      </c>
      <c r="M105" s="43" t="e">
        <f>M104+ATM_Conf!$C$5*(V104-AE104)</f>
        <v>#DIV/0!</v>
      </c>
      <c r="N105" s="43" t="e">
        <f>N104+ATM_Conf!$C$5*(W104-AF104)</f>
        <v>#DIV/0!</v>
      </c>
      <c r="O105" s="43" t="e">
        <f>O104+ATM_Conf!$C$5*(X104-AG104)</f>
        <v>#DIV/0!</v>
      </c>
      <c r="P105" s="43" t="e">
        <f>P104+ATM_Conf!$C$5*(Y104-AH104)</f>
        <v>#DIV/0!</v>
      </c>
      <c r="Q105" s="43" t="e">
        <f>Q104+ATM_Conf!$C$5*(Z104-AI104)</f>
        <v>#DIV/0!</v>
      </c>
      <c r="R105" s="43" t="e">
        <f>R104+ATM_Conf!$C$5*(AA104-AJ104)</f>
        <v>#DIV/0!</v>
      </c>
      <c r="S105" s="43" t="e">
        <f>S104+ATM_Conf!$C$5*(AB104-AK104)</f>
        <v>#DIV/0!</v>
      </c>
      <c r="T105" s="43">
        <f t="shared" si="48"/>
        <v>0</v>
      </c>
      <c r="U105" s="43">
        <f t="shared" si="75"/>
        <v>0</v>
      </c>
      <c r="V105" s="43">
        <f t="shared" si="75"/>
        <v>0</v>
      </c>
      <c r="W105" s="43">
        <f t="shared" si="75"/>
        <v>0</v>
      </c>
      <c r="X105" s="43">
        <f t="shared" si="75"/>
        <v>0</v>
      </c>
      <c r="Y105" s="43">
        <f t="shared" si="75"/>
        <v>0</v>
      </c>
      <c r="Z105" s="43">
        <f t="shared" si="75"/>
        <v>0</v>
      </c>
      <c r="AA105" s="43">
        <f t="shared" si="75"/>
        <v>0</v>
      </c>
      <c r="AB105" s="43">
        <f t="shared" si="75"/>
        <v>0</v>
      </c>
      <c r="AC105" s="43" t="e">
        <f t="shared" si="51"/>
        <v>#DIV/0!</v>
      </c>
      <c r="AD105" s="43" t="e">
        <f t="shared" si="52"/>
        <v>#DIV/0!</v>
      </c>
      <c r="AE105" s="43" t="e">
        <f t="shared" si="53"/>
        <v>#DIV/0!</v>
      </c>
      <c r="AF105" s="43" t="e">
        <f t="shared" si="54"/>
        <v>#DIV/0!</v>
      </c>
      <c r="AG105" s="43" t="e">
        <f t="shared" si="55"/>
        <v>#DIV/0!</v>
      </c>
      <c r="AH105" s="43" t="e">
        <f t="shared" si="56"/>
        <v>#DIV/0!</v>
      </c>
      <c r="AI105" s="43" t="e">
        <f t="shared" si="57"/>
        <v>#DIV/0!</v>
      </c>
      <c r="AJ105" s="43" t="e">
        <f t="shared" si="58"/>
        <v>#DIV/0!</v>
      </c>
      <c r="AK105" s="43" t="e">
        <f t="shared" si="59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49"/>
        <v>0</v>
      </c>
      <c r="BE105" s="43">
        <f t="shared" si="76"/>
        <v>0</v>
      </c>
      <c r="BF105" s="43">
        <f t="shared" si="76"/>
        <v>0</v>
      </c>
      <c r="BG105" s="43">
        <f t="shared" si="76"/>
        <v>0</v>
      </c>
      <c r="BH105" s="43">
        <f t="shared" si="76"/>
        <v>0</v>
      </c>
      <c r="BI105" s="43">
        <f t="shared" si="76"/>
        <v>0</v>
      </c>
      <c r="BJ105" s="43">
        <f t="shared" si="76"/>
        <v>0</v>
      </c>
      <c r="BK105" s="43">
        <f t="shared" si="76"/>
        <v>0</v>
      </c>
      <c r="BL105" s="43">
        <f t="shared" si="76"/>
        <v>0</v>
      </c>
      <c r="BM105" s="51"/>
      <c r="BN105" s="51"/>
      <c r="BO105" s="51"/>
      <c r="BP105" s="51"/>
      <c r="BQ105" s="51"/>
      <c r="BR105" s="51"/>
      <c r="BS105" s="51"/>
      <c r="BT105" s="51"/>
      <c r="BU105" s="51"/>
      <c r="BV105" s="51" t="e">
        <f t="shared" si="60"/>
        <v>#DIV/0!</v>
      </c>
      <c r="BW105" s="51" t="e">
        <f t="shared" si="61"/>
        <v>#DIV/0!</v>
      </c>
      <c r="BX105" s="51" t="e">
        <f t="shared" si="62"/>
        <v>#DIV/0!</v>
      </c>
      <c r="BY105" s="51" t="e">
        <f t="shared" si="63"/>
        <v>#DIV/0!</v>
      </c>
      <c r="BZ105" s="51" t="e">
        <f t="shared" si="64"/>
        <v>#DIV/0!</v>
      </c>
      <c r="CA105" s="51" t="e">
        <f t="shared" si="65"/>
        <v>#DIV/0!</v>
      </c>
      <c r="CB105" s="51" t="e">
        <f t="shared" si="66"/>
        <v>#DIV/0!</v>
      </c>
      <c r="CC105" s="51" t="e">
        <f t="shared" si="67"/>
        <v>#DIV/0!</v>
      </c>
      <c r="CD105" s="51" t="e">
        <f t="shared" si="68"/>
        <v>#DIV/0!</v>
      </c>
      <c r="CE105" s="53">
        <f t="shared" si="50"/>
        <v>0</v>
      </c>
      <c r="CF105" s="53">
        <f t="shared" si="77"/>
        <v>0</v>
      </c>
      <c r="CG105" s="53">
        <f t="shared" si="77"/>
        <v>0</v>
      </c>
      <c r="CH105" s="53">
        <f t="shared" si="77"/>
        <v>0</v>
      </c>
      <c r="CI105" s="53">
        <f t="shared" si="77"/>
        <v>0</v>
      </c>
      <c r="CJ105" s="53">
        <f t="shared" si="77"/>
        <v>0</v>
      </c>
      <c r="CK105" s="53">
        <f t="shared" si="77"/>
        <v>0</v>
      </c>
      <c r="CL105" s="53">
        <f t="shared" si="77"/>
        <v>0</v>
      </c>
      <c r="CM105" s="53">
        <f t="shared" si="77"/>
        <v>0</v>
      </c>
    </row>
    <row r="106" spans="1:91" x14ac:dyDescent="0.15">
      <c r="A106" s="41">
        <v>104</v>
      </c>
      <c r="B106" s="43">
        <f t="shared" si="80"/>
        <v>1</v>
      </c>
      <c r="C106" s="43">
        <f t="shared" si="79"/>
        <v>1</v>
      </c>
      <c r="D106" s="43">
        <f t="shared" si="79"/>
        <v>1</v>
      </c>
      <c r="E106" s="43">
        <f t="shared" si="79"/>
        <v>1</v>
      </c>
      <c r="F106" s="43">
        <f t="shared" si="79"/>
        <v>1</v>
      </c>
      <c r="G106" s="43">
        <f t="shared" si="79"/>
        <v>1</v>
      </c>
      <c r="H106" s="43">
        <f t="shared" si="79"/>
        <v>1</v>
      </c>
      <c r="I106" s="43">
        <f t="shared" si="79"/>
        <v>1</v>
      </c>
      <c r="J106" s="43">
        <f t="shared" si="79"/>
        <v>1</v>
      </c>
      <c r="K106" s="43" t="e">
        <f>K105+ATM_Conf!$C$5*(T105-AC105)</f>
        <v>#DIV/0!</v>
      </c>
      <c r="L106" s="43" t="e">
        <f>L105+ATM_Conf!$C$5*(U105-AD105)</f>
        <v>#DIV/0!</v>
      </c>
      <c r="M106" s="43" t="e">
        <f>M105+ATM_Conf!$C$5*(V105-AE105)</f>
        <v>#DIV/0!</v>
      </c>
      <c r="N106" s="43" t="e">
        <f>N105+ATM_Conf!$C$5*(W105-AF105)</f>
        <v>#DIV/0!</v>
      </c>
      <c r="O106" s="43" t="e">
        <f>O105+ATM_Conf!$C$5*(X105-AG105)</f>
        <v>#DIV/0!</v>
      </c>
      <c r="P106" s="43" t="e">
        <f>P105+ATM_Conf!$C$5*(Y105-AH105)</f>
        <v>#DIV/0!</v>
      </c>
      <c r="Q106" s="43" t="e">
        <f>Q105+ATM_Conf!$C$5*(Z105-AI105)</f>
        <v>#DIV/0!</v>
      </c>
      <c r="R106" s="43" t="e">
        <f>R105+ATM_Conf!$C$5*(AA105-AJ105)</f>
        <v>#DIV/0!</v>
      </c>
      <c r="S106" s="43" t="e">
        <f>S105+ATM_Conf!$C$5*(AB105-AK105)</f>
        <v>#DIV/0!</v>
      </c>
      <c r="T106" s="43">
        <f t="shared" si="48"/>
        <v>0</v>
      </c>
      <c r="U106" s="43">
        <f t="shared" si="75"/>
        <v>0</v>
      </c>
      <c r="V106" s="43">
        <f t="shared" si="75"/>
        <v>0</v>
      </c>
      <c r="W106" s="43">
        <f t="shared" si="75"/>
        <v>0</v>
      </c>
      <c r="X106" s="43">
        <f t="shared" si="75"/>
        <v>0</v>
      </c>
      <c r="Y106" s="43">
        <f t="shared" si="75"/>
        <v>0</v>
      </c>
      <c r="Z106" s="43">
        <f t="shared" si="75"/>
        <v>0</v>
      </c>
      <c r="AA106" s="43">
        <f t="shared" si="75"/>
        <v>0</v>
      </c>
      <c r="AB106" s="43">
        <f t="shared" si="75"/>
        <v>0</v>
      </c>
      <c r="AC106" s="43" t="e">
        <f t="shared" si="51"/>
        <v>#DIV/0!</v>
      </c>
      <c r="AD106" s="43" t="e">
        <f t="shared" si="52"/>
        <v>#DIV/0!</v>
      </c>
      <c r="AE106" s="43" t="e">
        <f t="shared" si="53"/>
        <v>#DIV/0!</v>
      </c>
      <c r="AF106" s="43" t="e">
        <f t="shared" si="54"/>
        <v>#DIV/0!</v>
      </c>
      <c r="AG106" s="43" t="e">
        <f t="shared" si="55"/>
        <v>#DIV/0!</v>
      </c>
      <c r="AH106" s="43" t="e">
        <f t="shared" si="56"/>
        <v>#DIV/0!</v>
      </c>
      <c r="AI106" s="43" t="e">
        <f t="shared" si="57"/>
        <v>#DIV/0!</v>
      </c>
      <c r="AJ106" s="43" t="e">
        <f t="shared" si="58"/>
        <v>#DIV/0!</v>
      </c>
      <c r="AK106" s="43" t="e">
        <f t="shared" si="59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49"/>
        <v>0</v>
      </c>
      <c r="BE106" s="43">
        <f t="shared" si="76"/>
        <v>0</v>
      </c>
      <c r="BF106" s="43">
        <f t="shared" si="76"/>
        <v>0</v>
      </c>
      <c r="BG106" s="43">
        <f t="shared" si="76"/>
        <v>0</v>
      </c>
      <c r="BH106" s="43">
        <f t="shared" si="76"/>
        <v>0</v>
      </c>
      <c r="BI106" s="43">
        <f t="shared" si="76"/>
        <v>0</v>
      </c>
      <c r="BJ106" s="43">
        <f t="shared" si="76"/>
        <v>0</v>
      </c>
      <c r="BK106" s="43">
        <f t="shared" si="76"/>
        <v>0</v>
      </c>
      <c r="BL106" s="43">
        <f t="shared" si="76"/>
        <v>0</v>
      </c>
      <c r="BM106" s="51"/>
      <c r="BN106" s="51"/>
      <c r="BO106" s="51"/>
      <c r="BP106" s="51"/>
      <c r="BQ106" s="51"/>
      <c r="BR106" s="51"/>
      <c r="BS106" s="51"/>
      <c r="BT106" s="51"/>
      <c r="BU106" s="51"/>
      <c r="BV106" s="51" t="e">
        <f t="shared" si="60"/>
        <v>#DIV/0!</v>
      </c>
      <c r="BW106" s="51" t="e">
        <f t="shared" si="61"/>
        <v>#DIV/0!</v>
      </c>
      <c r="BX106" s="51" t="e">
        <f t="shared" si="62"/>
        <v>#DIV/0!</v>
      </c>
      <c r="BY106" s="51" t="e">
        <f t="shared" si="63"/>
        <v>#DIV/0!</v>
      </c>
      <c r="BZ106" s="51" t="e">
        <f t="shared" si="64"/>
        <v>#DIV/0!</v>
      </c>
      <c r="CA106" s="51" t="e">
        <f t="shared" si="65"/>
        <v>#DIV/0!</v>
      </c>
      <c r="CB106" s="51" t="e">
        <f t="shared" si="66"/>
        <v>#DIV/0!</v>
      </c>
      <c r="CC106" s="51" t="e">
        <f t="shared" si="67"/>
        <v>#DIV/0!</v>
      </c>
      <c r="CD106" s="51" t="e">
        <f t="shared" si="68"/>
        <v>#DIV/0!</v>
      </c>
      <c r="CE106" s="53">
        <f t="shared" si="50"/>
        <v>0</v>
      </c>
      <c r="CF106" s="53">
        <f t="shared" si="77"/>
        <v>0</v>
      </c>
      <c r="CG106" s="53">
        <f t="shared" si="77"/>
        <v>0</v>
      </c>
      <c r="CH106" s="53">
        <f t="shared" si="77"/>
        <v>0</v>
      </c>
      <c r="CI106" s="53">
        <f t="shared" si="77"/>
        <v>0</v>
      </c>
      <c r="CJ106" s="53">
        <f t="shared" si="77"/>
        <v>0</v>
      </c>
      <c r="CK106" s="53">
        <f t="shared" si="77"/>
        <v>0</v>
      </c>
      <c r="CL106" s="53">
        <f t="shared" si="77"/>
        <v>0</v>
      </c>
      <c r="CM106" s="53">
        <f t="shared" si="77"/>
        <v>0</v>
      </c>
    </row>
    <row r="107" spans="1:91" x14ac:dyDescent="0.15">
      <c r="A107" s="41">
        <v>105</v>
      </c>
      <c r="B107" s="43">
        <f t="shared" si="80"/>
        <v>1</v>
      </c>
      <c r="C107" s="43">
        <f t="shared" si="79"/>
        <v>1</v>
      </c>
      <c r="D107" s="43">
        <f t="shared" si="79"/>
        <v>1</v>
      </c>
      <c r="E107" s="43">
        <f t="shared" si="79"/>
        <v>1</v>
      </c>
      <c r="F107" s="43">
        <f t="shared" si="79"/>
        <v>1</v>
      </c>
      <c r="G107" s="43">
        <f t="shared" si="79"/>
        <v>1</v>
      </c>
      <c r="H107" s="43">
        <f t="shared" si="79"/>
        <v>1</v>
      </c>
      <c r="I107" s="43">
        <f t="shared" si="79"/>
        <v>1</v>
      </c>
      <c r="J107" s="43">
        <f t="shared" si="79"/>
        <v>1</v>
      </c>
      <c r="K107" s="43" t="e">
        <f>K106+ATM_Conf!$C$5*(T106-AC106)</f>
        <v>#DIV/0!</v>
      </c>
      <c r="L107" s="43" t="e">
        <f>L106+ATM_Conf!$C$5*(U106-AD106)</f>
        <v>#DIV/0!</v>
      </c>
      <c r="M107" s="43" t="e">
        <f>M106+ATM_Conf!$C$5*(V106-AE106)</f>
        <v>#DIV/0!</v>
      </c>
      <c r="N107" s="43" t="e">
        <f>N106+ATM_Conf!$C$5*(W106-AF106)</f>
        <v>#DIV/0!</v>
      </c>
      <c r="O107" s="43" t="e">
        <f>O106+ATM_Conf!$C$5*(X106-AG106)</f>
        <v>#DIV/0!</v>
      </c>
      <c r="P107" s="43" t="e">
        <f>P106+ATM_Conf!$C$5*(Y106-AH106)</f>
        <v>#DIV/0!</v>
      </c>
      <c r="Q107" s="43" t="e">
        <f>Q106+ATM_Conf!$C$5*(Z106-AI106)</f>
        <v>#DIV/0!</v>
      </c>
      <c r="R107" s="43" t="e">
        <f>R106+ATM_Conf!$C$5*(AA106-AJ106)</f>
        <v>#DIV/0!</v>
      </c>
      <c r="S107" s="43" t="e">
        <f>S106+ATM_Conf!$C$5*(AB106-AK106)</f>
        <v>#DIV/0!</v>
      </c>
      <c r="T107" s="43">
        <f t="shared" si="48"/>
        <v>0</v>
      </c>
      <c r="U107" s="43">
        <f t="shared" si="75"/>
        <v>0</v>
      </c>
      <c r="V107" s="43">
        <f t="shared" si="75"/>
        <v>0</v>
      </c>
      <c r="W107" s="43">
        <f t="shared" si="75"/>
        <v>0</v>
      </c>
      <c r="X107" s="43">
        <f t="shared" si="75"/>
        <v>0</v>
      </c>
      <c r="Y107" s="43">
        <f t="shared" si="75"/>
        <v>0</v>
      </c>
      <c r="Z107" s="43">
        <f t="shared" si="75"/>
        <v>0</v>
      </c>
      <c r="AA107" s="43">
        <f t="shared" si="75"/>
        <v>0</v>
      </c>
      <c r="AB107" s="43">
        <f t="shared" si="75"/>
        <v>0</v>
      </c>
      <c r="AC107" s="43" t="e">
        <f t="shared" si="51"/>
        <v>#DIV/0!</v>
      </c>
      <c r="AD107" s="43" t="e">
        <f t="shared" si="52"/>
        <v>#DIV/0!</v>
      </c>
      <c r="AE107" s="43" t="e">
        <f t="shared" si="53"/>
        <v>#DIV/0!</v>
      </c>
      <c r="AF107" s="43" t="e">
        <f t="shared" si="54"/>
        <v>#DIV/0!</v>
      </c>
      <c r="AG107" s="43" t="e">
        <f t="shared" si="55"/>
        <v>#DIV/0!</v>
      </c>
      <c r="AH107" s="43" t="e">
        <f t="shared" si="56"/>
        <v>#DIV/0!</v>
      </c>
      <c r="AI107" s="43" t="e">
        <f t="shared" si="57"/>
        <v>#DIV/0!</v>
      </c>
      <c r="AJ107" s="43" t="e">
        <f t="shared" si="58"/>
        <v>#DIV/0!</v>
      </c>
      <c r="AK107" s="43" t="e">
        <f t="shared" si="59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49"/>
        <v>0</v>
      </c>
      <c r="BE107" s="43">
        <f t="shared" si="76"/>
        <v>0</v>
      </c>
      <c r="BF107" s="43">
        <f t="shared" si="76"/>
        <v>0</v>
      </c>
      <c r="BG107" s="43">
        <f t="shared" si="76"/>
        <v>0</v>
      </c>
      <c r="BH107" s="43">
        <f t="shared" si="76"/>
        <v>0</v>
      </c>
      <c r="BI107" s="43">
        <f t="shared" si="76"/>
        <v>0</v>
      </c>
      <c r="BJ107" s="43">
        <f t="shared" si="76"/>
        <v>0</v>
      </c>
      <c r="BK107" s="43">
        <f t="shared" si="76"/>
        <v>0</v>
      </c>
      <c r="BL107" s="43">
        <f t="shared" si="76"/>
        <v>0</v>
      </c>
      <c r="BM107" s="51"/>
      <c r="BN107" s="51"/>
      <c r="BO107" s="51"/>
      <c r="BP107" s="51"/>
      <c r="BQ107" s="51"/>
      <c r="BR107" s="51"/>
      <c r="BS107" s="51"/>
      <c r="BT107" s="51"/>
      <c r="BU107" s="51"/>
      <c r="BV107" s="51" t="e">
        <f t="shared" si="60"/>
        <v>#DIV/0!</v>
      </c>
      <c r="BW107" s="51" t="e">
        <f t="shared" si="61"/>
        <v>#DIV/0!</v>
      </c>
      <c r="BX107" s="51" t="e">
        <f t="shared" si="62"/>
        <v>#DIV/0!</v>
      </c>
      <c r="BY107" s="51" t="e">
        <f t="shared" si="63"/>
        <v>#DIV/0!</v>
      </c>
      <c r="BZ107" s="51" t="e">
        <f t="shared" si="64"/>
        <v>#DIV/0!</v>
      </c>
      <c r="CA107" s="51" t="e">
        <f t="shared" si="65"/>
        <v>#DIV/0!</v>
      </c>
      <c r="CB107" s="51" t="e">
        <f t="shared" si="66"/>
        <v>#DIV/0!</v>
      </c>
      <c r="CC107" s="51" t="e">
        <f t="shared" si="67"/>
        <v>#DIV/0!</v>
      </c>
      <c r="CD107" s="51" t="e">
        <f t="shared" si="68"/>
        <v>#DIV/0!</v>
      </c>
      <c r="CE107" s="53">
        <f t="shared" si="50"/>
        <v>0</v>
      </c>
      <c r="CF107" s="53">
        <f t="shared" si="77"/>
        <v>0</v>
      </c>
      <c r="CG107" s="53">
        <f t="shared" si="77"/>
        <v>0</v>
      </c>
      <c r="CH107" s="53">
        <f t="shared" si="77"/>
        <v>0</v>
      </c>
      <c r="CI107" s="53">
        <f t="shared" si="77"/>
        <v>0</v>
      </c>
      <c r="CJ107" s="53">
        <f t="shared" si="77"/>
        <v>0</v>
      </c>
      <c r="CK107" s="53">
        <f t="shared" si="77"/>
        <v>0</v>
      </c>
      <c r="CL107" s="53">
        <f t="shared" si="77"/>
        <v>0</v>
      </c>
      <c r="CM107" s="53">
        <f t="shared" si="77"/>
        <v>0</v>
      </c>
    </row>
    <row r="108" spans="1:91" x14ac:dyDescent="0.15">
      <c r="A108" s="41">
        <v>106</v>
      </c>
      <c r="B108" s="43">
        <f t="shared" si="80"/>
        <v>1</v>
      </c>
      <c r="C108" s="43">
        <f t="shared" si="79"/>
        <v>1</v>
      </c>
      <c r="D108" s="43">
        <f t="shared" si="79"/>
        <v>1</v>
      </c>
      <c r="E108" s="43">
        <f t="shared" si="79"/>
        <v>1</v>
      </c>
      <c r="F108" s="43">
        <f t="shared" si="79"/>
        <v>1</v>
      </c>
      <c r="G108" s="43">
        <f t="shared" si="79"/>
        <v>1</v>
      </c>
      <c r="H108" s="43">
        <f t="shared" si="79"/>
        <v>1</v>
      </c>
      <c r="I108" s="43">
        <f t="shared" si="79"/>
        <v>1</v>
      </c>
      <c r="J108" s="43">
        <f t="shared" si="79"/>
        <v>1</v>
      </c>
      <c r="K108" s="43" t="e">
        <f>K107+ATM_Conf!$C$5*(T107-AC107)</f>
        <v>#DIV/0!</v>
      </c>
      <c r="L108" s="43" t="e">
        <f>L107+ATM_Conf!$C$5*(U107-AD107)</f>
        <v>#DIV/0!</v>
      </c>
      <c r="M108" s="43" t="e">
        <f>M107+ATM_Conf!$C$5*(V107-AE107)</f>
        <v>#DIV/0!</v>
      </c>
      <c r="N108" s="43" t="e">
        <f>N107+ATM_Conf!$C$5*(W107-AF107)</f>
        <v>#DIV/0!</v>
      </c>
      <c r="O108" s="43" t="e">
        <f>O107+ATM_Conf!$C$5*(X107-AG107)</f>
        <v>#DIV/0!</v>
      </c>
      <c r="P108" s="43" t="e">
        <f>P107+ATM_Conf!$C$5*(Y107-AH107)</f>
        <v>#DIV/0!</v>
      </c>
      <c r="Q108" s="43" t="e">
        <f>Q107+ATM_Conf!$C$5*(Z107-AI107)</f>
        <v>#DIV/0!</v>
      </c>
      <c r="R108" s="43" t="e">
        <f>R107+ATM_Conf!$C$5*(AA107-AJ107)</f>
        <v>#DIV/0!</v>
      </c>
      <c r="S108" s="43" t="e">
        <f>S107+ATM_Conf!$C$5*(AB107-AK107)</f>
        <v>#DIV/0!</v>
      </c>
      <c r="T108" s="43">
        <f t="shared" si="48"/>
        <v>0</v>
      </c>
      <c r="U108" s="43">
        <f t="shared" si="75"/>
        <v>0</v>
      </c>
      <c r="V108" s="43">
        <f t="shared" si="75"/>
        <v>0</v>
      </c>
      <c r="W108" s="43">
        <f t="shared" si="75"/>
        <v>0</v>
      </c>
      <c r="X108" s="43">
        <f t="shared" si="75"/>
        <v>0</v>
      </c>
      <c r="Y108" s="43">
        <f t="shared" si="75"/>
        <v>0</v>
      </c>
      <c r="Z108" s="43">
        <f t="shared" si="75"/>
        <v>0</v>
      </c>
      <c r="AA108" s="43">
        <f t="shared" si="75"/>
        <v>0</v>
      </c>
      <c r="AB108" s="43">
        <f t="shared" si="75"/>
        <v>0</v>
      </c>
      <c r="AC108" s="43" t="e">
        <f t="shared" si="51"/>
        <v>#DIV/0!</v>
      </c>
      <c r="AD108" s="43" t="e">
        <f t="shared" si="52"/>
        <v>#DIV/0!</v>
      </c>
      <c r="AE108" s="43" t="e">
        <f t="shared" si="53"/>
        <v>#DIV/0!</v>
      </c>
      <c r="AF108" s="43" t="e">
        <f t="shared" si="54"/>
        <v>#DIV/0!</v>
      </c>
      <c r="AG108" s="43" t="e">
        <f t="shared" si="55"/>
        <v>#DIV/0!</v>
      </c>
      <c r="AH108" s="43" t="e">
        <f t="shared" si="56"/>
        <v>#DIV/0!</v>
      </c>
      <c r="AI108" s="43" t="e">
        <f t="shared" si="57"/>
        <v>#DIV/0!</v>
      </c>
      <c r="AJ108" s="43" t="e">
        <f t="shared" si="58"/>
        <v>#DIV/0!</v>
      </c>
      <c r="AK108" s="43" t="e">
        <f t="shared" si="59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49"/>
        <v>0</v>
      </c>
      <c r="BE108" s="43">
        <f t="shared" si="76"/>
        <v>0</v>
      </c>
      <c r="BF108" s="43">
        <f t="shared" si="76"/>
        <v>0</v>
      </c>
      <c r="BG108" s="43">
        <f t="shared" si="76"/>
        <v>0</v>
      </c>
      <c r="BH108" s="43">
        <f t="shared" si="76"/>
        <v>0</v>
      </c>
      <c r="BI108" s="43">
        <f t="shared" si="76"/>
        <v>0</v>
      </c>
      <c r="BJ108" s="43">
        <f t="shared" si="76"/>
        <v>0</v>
      </c>
      <c r="BK108" s="43">
        <f t="shared" si="76"/>
        <v>0</v>
      </c>
      <c r="BL108" s="43">
        <f t="shared" si="76"/>
        <v>0</v>
      </c>
      <c r="BM108" s="51"/>
      <c r="BN108" s="51"/>
      <c r="BO108" s="51"/>
      <c r="BP108" s="51"/>
      <c r="BQ108" s="51"/>
      <c r="BR108" s="51"/>
      <c r="BS108" s="51"/>
      <c r="BT108" s="51"/>
      <c r="BU108" s="51"/>
      <c r="BV108" s="51" t="e">
        <f t="shared" si="60"/>
        <v>#DIV/0!</v>
      </c>
      <c r="BW108" s="51" t="e">
        <f t="shared" si="61"/>
        <v>#DIV/0!</v>
      </c>
      <c r="BX108" s="51" t="e">
        <f t="shared" si="62"/>
        <v>#DIV/0!</v>
      </c>
      <c r="BY108" s="51" t="e">
        <f t="shared" si="63"/>
        <v>#DIV/0!</v>
      </c>
      <c r="BZ108" s="51" t="e">
        <f t="shared" si="64"/>
        <v>#DIV/0!</v>
      </c>
      <c r="CA108" s="51" t="e">
        <f t="shared" si="65"/>
        <v>#DIV/0!</v>
      </c>
      <c r="CB108" s="51" t="e">
        <f t="shared" si="66"/>
        <v>#DIV/0!</v>
      </c>
      <c r="CC108" s="51" t="e">
        <f t="shared" si="67"/>
        <v>#DIV/0!</v>
      </c>
      <c r="CD108" s="51" t="e">
        <f t="shared" si="68"/>
        <v>#DIV/0!</v>
      </c>
      <c r="CE108" s="53">
        <f t="shared" si="50"/>
        <v>0</v>
      </c>
      <c r="CF108" s="53">
        <f t="shared" si="77"/>
        <v>0</v>
      </c>
      <c r="CG108" s="53">
        <f t="shared" si="77"/>
        <v>0</v>
      </c>
      <c r="CH108" s="53">
        <f t="shared" si="77"/>
        <v>0</v>
      </c>
      <c r="CI108" s="53">
        <f t="shared" si="77"/>
        <v>0</v>
      </c>
      <c r="CJ108" s="53">
        <f t="shared" si="77"/>
        <v>0</v>
      </c>
      <c r="CK108" s="53">
        <f t="shared" si="77"/>
        <v>0</v>
      </c>
      <c r="CL108" s="53">
        <f t="shared" si="77"/>
        <v>0</v>
      </c>
      <c r="CM108" s="53">
        <f t="shared" si="77"/>
        <v>0</v>
      </c>
    </row>
    <row r="109" spans="1:91" x14ac:dyDescent="0.15">
      <c r="A109" s="41">
        <v>107</v>
      </c>
      <c r="B109" s="43">
        <f t="shared" si="80"/>
        <v>1</v>
      </c>
      <c r="C109" s="43">
        <f t="shared" si="79"/>
        <v>1</v>
      </c>
      <c r="D109" s="43">
        <f t="shared" si="79"/>
        <v>1</v>
      </c>
      <c r="E109" s="43">
        <f t="shared" si="79"/>
        <v>1</v>
      </c>
      <c r="F109" s="43">
        <f t="shared" si="79"/>
        <v>1</v>
      </c>
      <c r="G109" s="43">
        <f t="shared" si="79"/>
        <v>1</v>
      </c>
      <c r="H109" s="43">
        <f t="shared" si="79"/>
        <v>1</v>
      </c>
      <c r="I109" s="43">
        <f t="shared" si="79"/>
        <v>1</v>
      </c>
      <c r="J109" s="43">
        <f t="shared" si="79"/>
        <v>1</v>
      </c>
      <c r="K109" s="43" t="e">
        <f>K108+ATM_Conf!$C$5*(T108-AC108)</f>
        <v>#DIV/0!</v>
      </c>
      <c r="L109" s="43" t="e">
        <f>L108+ATM_Conf!$C$5*(U108-AD108)</f>
        <v>#DIV/0!</v>
      </c>
      <c r="M109" s="43" t="e">
        <f>M108+ATM_Conf!$C$5*(V108-AE108)</f>
        <v>#DIV/0!</v>
      </c>
      <c r="N109" s="43" t="e">
        <f>N108+ATM_Conf!$C$5*(W108-AF108)</f>
        <v>#DIV/0!</v>
      </c>
      <c r="O109" s="43" t="e">
        <f>O108+ATM_Conf!$C$5*(X108-AG108)</f>
        <v>#DIV/0!</v>
      </c>
      <c r="P109" s="43" t="e">
        <f>P108+ATM_Conf!$C$5*(Y108-AH108)</f>
        <v>#DIV/0!</v>
      </c>
      <c r="Q109" s="43" t="e">
        <f>Q108+ATM_Conf!$C$5*(Z108-AI108)</f>
        <v>#DIV/0!</v>
      </c>
      <c r="R109" s="43" t="e">
        <f>R108+ATM_Conf!$C$5*(AA108-AJ108)</f>
        <v>#DIV/0!</v>
      </c>
      <c r="S109" s="43" t="e">
        <f>S108+ATM_Conf!$C$5*(AB108-AK108)</f>
        <v>#DIV/0!</v>
      </c>
      <c r="T109" s="43">
        <f t="shared" si="48"/>
        <v>0</v>
      </c>
      <c r="U109" s="43">
        <f t="shared" si="75"/>
        <v>0</v>
      </c>
      <c r="V109" s="43">
        <f t="shared" si="75"/>
        <v>0</v>
      </c>
      <c r="W109" s="43">
        <f t="shared" si="75"/>
        <v>0</v>
      </c>
      <c r="X109" s="43">
        <f t="shared" si="75"/>
        <v>0</v>
      </c>
      <c r="Y109" s="43">
        <f t="shared" si="75"/>
        <v>0</v>
      </c>
      <c r="Z109" s="43">
        <f t="shared" si="75"/>
        <v>0</v>
      </c>
      <c r="AA109" s="43">
        <f t="shared" si="75"/>
        <v>0</v>
      </c>
      <c r="AB109" s="43">
        <f t="shared" si="75"/>
        <v>0</v>
      </c>
      <c r="AC109" s="43" t="e">
        <f t="shared" si="51"/>
        <v>#DIV/0!</v>
      </c>
      <c r="AD109" s="43" t="e">
        <f t="shared" si="52"/>
        <v>#DIV/0!</v>
      </c>
      <c r="AE109" s="43" t="e">
        <f t="shared" si="53"/>
        <v>#DIV/0!</v>
      </c>
      <c r="AF109" s="43" t="e">
        <f t="shared" si="54"/>
        <v>#DIV/0!</v>
      </c>
      <c r="AG109" s="43" t="e">
        <f t="shared" si="55"/>
        <v>#DIV/0!</v>
      </c>
      <c r="AH109" s="43" t="e">
        <f t="shared" si="56"/>
        <v>#DIV/0!</v>
      </c>
      <c r="AI109" s="43" t="e">
        <f t="shared" si="57"/>
        <v>#DIV/0!</v>
      </c>
      <c r="AJ109" s="43" t="e">
        <f t="shared" si="58"/>
        <v>#DIV/0!</v>
      </c>
      <c r="AK109" s="43" t="e">
        <f t="shared" si="59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49"/>
        <v>0</v>
      </c>
      <c r="BE109" s="43">
        <f t="shared" si="76"/>
        <v>0</v>
      </c>
      <c r="BF109" s="43">
        <f t="shared" si="76"/>
        <v>0</v>
      </c>
      <c r="BG109" s="43">
        <f t="shared" si="76"/>
        <v>0</v>
      </c>
      <c r="BH109" s="43">
        <f t="shared" si="76"/>
        <v>0</v>
      </c>
      <c r="BI109" s="43">
        <f t="shared" si="76"/>
        <v>0</v>
      </c>
      <c r="BJ109" s="43">
        <f t="shared" si="76"/>
        <v>0</v>
      </c>
      <c r="BK109" s="43">
        <f t="shared" si="76"/>
        <v>0</v>
      </c>
      <c r="BL109" s="43">
        <f t="shared" si="76"/>
        <v>0</v>
      </c>
      <c r="BM109" s="51"/>
      <c r="BN109" s="51"/>
      <c r="BO109" s="51"/>
      <c r="BP109" s="51"/>
      <c r="BQ109" s="51"/>
      <c r="BR109" s="51"/>
      <c r="BS109" s="51"/>
      <c r="BT109" s="51"/>
      <c r="BU109" s="51"/>
      <c r="BV109" s="51" t="e">
        <f t="shared" si="60"/>
        <v>#DIV/0!</v>
      </c>
      <c r="BW109" s="51" t="e">
        <f t="shared" si="61"/>
        <v>#DIV/0!</v>
      </c>
      <c r="BX109" s="51" t="e">
        <f t="shared" si="62"/>
        <v>#DIV/0!</v>
      </c>
      <c r="BY109" s="51" t="e">
        <f t="shared" si="63"/>
        <v>#DIV/0!</v>
      </c>
      <c r="BZ109" s="51" t="e">
        <f t="shared" si="64"/>
        <v>#DIV/0!</v>
      </c>
      <c r="CA109" s="51" t="e">
        <f t="shared" si="65"/>
        <v>#DIV/0!</v>
      </c>
      <c r="CB109" s="51" t="e">
        <f t="shared" si="66"/>
        <v>#DIV/0!</v>
      </c>
      <c r="CC109" s="51" t="e">
        <f t="shared" si="67"/>
        <v>#DIV/0!</v>
      </c>
      <c r="CD109" s="51" t="e">
        <f t="shared" si="68"/>
        <v>#DIV/0!</v>
      </c>
      <c r="CE109" s="53">
        <f t="shared" si="50"/>
        <v>0</v>
      </c>
      <c r="CF109" s="53">
        <f t="shared" si="77"/>
        <v>0</v>
      </c>
      <c r="CG109" s="53">
        <f t="shared" si="77"/>
        <v>0</v>
      </c>
      <c r="CH109" s="53">
        <f t="shared" si="77"/>
        <v>0</v>
      </c>
      <c r="CI109" s="53">
        <f t="shared" si="77"/>
        <v>0</v>
      </c>
      <c r="CJ109" s="53">
        <f t="shared" si="77"/>
        <v>0</v>
      </c>
      <c r="CK109" s="53">
        <f t="shared" si="77"/>
        <v>0</v>
      </c>
      <c r="CL109" s="53">
        <f t="shared" si="77"/>
        <v>0</v>
      </c>
      <c r="CM109" s="53">
        <f t="shared" si="77"/>
        <v>0</v>
      </c>
    </row>
    <row r="110" spans="1:91" x14ac:dyDescent="0.15">
      <c r="A110" s="41">
        <v>108</v>
      </c>
      <c r="B110" s="43">
        <f t="shared" si="80"/>
        <v>1</v>
      </c>
      <c r="C110" s="43">
        <f t="shared" si="79"/>
        <v>1</v>
      </c>
      <c r="D110" s="43">
        <f t="shared" si="79"/>
        <v>1</v>
      </c>
      <c r="E110" s="43">
        <f t="shared" si="79"/>
        <v>1</v>
      </c>
      <c r="F110" s="43">
        <f t="shared" si="79"/>
        <v>1</v>
      </c>
      <c r="G110" s="43">
        <f t="shared" si="79"/>
        <v>1</v>
      </c>
      <c r="H110" s="43">
        <f t="shared" si="79"/>
        <v>1</v>
      </c>
      <c r="I110" s="43">
        <f t="shared" si="79"/>
        <v>1</v>
      </c>
      <c r="J110" s="43">
        <f t="shared" si="79"/>
        <v>1</v>
      </c>
      <c r="K110" s="43" t="e">
        <f>K109+ATM_Conf!$C$5*(T109-AC109)</f>
        <v>#DIV/0!</v>
      </c>
      <c r="L110" s="43" t="e">
        <f>L109+ATM_Conf!$C$5*(U109-AD109)</f>
        <v>#DIV/0!</v>
      </c>
      <c r="M110" s="43" t="e">
        <f>M109+ATM_Conf!$C$5*(V109-AE109)</f>
        <v>#DIV/0!</v>
      </c>
      <c r="N110" s="43" t="e">
        <f>N109+ATM_Conf!$C$5*(W109-AF109)</f>
        <v>#DIV/0!</v>
      </c>
      <c r="O110" s="43" t="e">
        <f>O109+ATM_Conf!$C$5*(X109-AG109)</f>
        <v>#DIV/0!</v>
      </c>
      <c r="P110" s="43" t="e">
        <f>P109+ATM_Conf!$C$5*(Y109-AH109)</f>
        <v>#DIV/0!</v>
      </c>
      <c r="Q110" s="43" t="e">
        <f>Q109+ATM_Conf!$C$5*(Z109-AI109)</f>
        <v>#DIV/0!</v>
      </c>
      <c r="R110" s="43" t="e">
        <f>R109+ATM_Conf!$C$5*(AA109-AJ109)</f>
        <v>#DIV/0!</v>
      </c>
      <c r="S110" s="43" t="e">
        <f>S109+ATM_Conf!$C$5*(AB109-AK109)</f>
        <v>#DIV/0!</v>
      </c>
      <c r="T110" s="43">
        <f t="shared" si="48"/>
        <v>0</v>
      </c>
      <c r="U110" s="43">
        <f t="shared" si="75"/>
        <v>0</v>
      </c>
      <c r="V110" s="43">
        <f t="shared" si="75"/>
        <v>0</v>
      </c>
      <c r="W110" s="43">
        <f t="shared" si="75"/>
        <v>0</v>
      </c>
      <c r="X110" s="43">
        <f t="shared" si="75"/>
        <v>0</v>
      </c>
      <c r="Y110" s="43">
        <f t="shared" si="75"/>
        <v>0</v>
      </c>
      <c r="Z110" s="43">
        <f t="shared" si="75"/>
        <v>0</v>
      </c>
      <c r="AA110" s="43">
        <f t="shared" si="75"/>
        <v>0</v>
      </c>
      <c r="AB110" s="43">
        <f t="shared" si="75"/>
        <v>0</v>
      </c>
      <c r="AC110" s="43" t="e">
        <f t="shared" si="51"/>
        <v>#DIV/0!</v>
      </c>
      <c r="AD110" s="43" t="e">
        <f t="shared" si="52"/>
        <v>#DIV/0!</v>
      </c>
      <c r="AE110" s="43" t="e">
        <f t="shared" si="53"/>
        <v>#DIV/0!</v>
      </c>
      <c r="AF110" s="43" t="e">
        <f t="shared" si="54"/>
        <v>#DIV/0!</v>
      </c>
      <c r="AG110" s="43" t="e">
        <f t="shared" si="55"/>
        <v>#DIV/0!</v>
      </c>
      <c r="AH110" s="43" t="e">
        <f t="shared" si="56"/>
        <v>#DIV/0!</v>
      </c>
      <c r="AI110" s="43" t="e">
        <f t="shared" si="57"/>
        <v>#DIV/0!</v>
      </c>
      <c r="AJ110" s="43" t="e">
        <f t="shared" si="58"/>
        <v>#DIV/0!</v>
      </c>
      <c r="AK110" s="43" t="e">
        <f t="shared" si="59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49"/>
        <v>0</v>
      </c>
      <c r="BE110" s="43">
        <f t="shared" si="76"/>
        <v>0</v>
      </c>
      <c r="BF110" s="43">
        <f t="shared" si="76"/>
        <v>0</v>
      </c>
      <c r="BG110" s="43">
        <f t="shared" si="76"/>
        <v>0</v>
      </c>
      <c r="BH110" s="43">
        <f t="shared" si="76"/>
        <v>0</v>
      </c>
      <c r="BI110" s="43">
        <f t="shared" si="76"/>
        <v>0</v>
      </c>
      <c r="BJ110" s="43">
        <f t="shared" si="76"/>
        <v>0</v>
      </c>
      <c r="BK110" s="43">
        <f t="shared" si="76"/>
        <v>0</v>
      </c>
      <c r="BL110" s="43">
        <f t="shared" si="76"/>
        <v>0</v>
      </c>
      <c r="BM110" s="51"/>
      <c r="BN110" s="51"/>
      <c r="BO110" s="51"/>
      <c r="BP110" s="51"/>
      <c r="BQ110" s="51"/>
      <c r="BR110" s="51"/>
      <c r="BS110" s="51"/>
      <c r="BT110" s="51"/>
      <c r="BU110" s="51"/>
      <c r="BV110" s="51" t="e">
        <f t="shared" si="60"/>
        <v>#DIV/0!</v>
      </c>
      <c r="BW110" s="51" t="e">
        <f t="shared" si="61"/>
        <v>#DIV/0!</v>
      </c>
      <c r="BX110" s="51" t="e">
        <f t="shared" si="62"/>
        <v>#DIV/0!</v>
      </c>
      <c r="BY110" s="51" t="e">
        <f t="shared" si="63"/>
        <v>#DIV/0!</v>
      </c>
      <c r="BZ110" s="51" t="e">
        <f t="shared" si="64"/>
        <v>#DIV/0!</v>
      </c>
      <c r="CA110" s="51" t="e">
        <f t="shared" si="65"/>
        <v>#DIV/0!</v>
      </c>
      <c r="CB110" s="51" t="e">
        <f t="shared" si="66"/>
        <v>#DIV/0!</v>
      </c>
      <c r="CC110" s="51" t="e">
        <f t="shared" si="67"/>
        <v>#DIV/0!</v>
      </c>
      <c r="CD110" s="51" t="e">
        <f t="shared" si="68"/>
        <v>#DIV/0!</v>
      </c>
      <c r="CE110" s="53">
        <f t="shared" si="50"/>
        <v>0</v>
      </c>
      <c r="CF110" s="53">
        <f t="shared" si="77"/>
        <v>0</v>
      </c>
      <c r="CG110" s="53">
        <f t="shared" si="77"/>
        <v>0</v>
      </c>
      <c r="CH110" s="53">
        <f t="shared" si="77"/>
        <v>0</v>
      </c>
      <c r="CI110" s="53">
        <f t="shared" si="77"/>
        <v>0</v>
      </c>
      <c r="CJ110" s="53">
        <f t="shared" si="77"/>
        <v>0</v>
      </c>
      <c r="CK110" s="53">
        <f t="shared" si="77"/>
        <v>0</v>
      </c>
      <c r="CL110" s="53">
        <f t="shared" si="77"/>
        <v>0</v>
      </c>
      <c r="CM110" s="53">
        <f t="shared" si="77"/>
        <v>0</v>
      </c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 t="e">
        <f>K110+ATM_Conf!$C$5*(T110-AC110)</f>
        <v>#DIV/0!</v>
      </c>
      <c r="L111" s="43" t="e">
        <f>L110+ATM_Conf!$C$5*(U110-AD110)</f>
        <v>#DIV/0!</v>
      </c>
      <c r="M111" s="43" t="e">
        <f>M110+ATM_Conf!$C$5*(V110-AE110)</f>
        <v>#DIV/0!</v>
      </c>
      <c r="N111" s="43" t="e">
        <f>N110+ATM_Conf!$C$5*(W110-AF110)</f>
        <v>#DIV/0!</v>
      </c>
      <c r="O111" s="43" t="e">
        <f>O110+ATM_Conf!$C$5*(X110-AG110)</f>
        <v>#DIV/0!</v>
      </c>
      <c r="P111" s="43" t="e">
        <f>P110+ATM_Conf!$C$5*(Y110-AH110)</f>
        <v>#DIV/0!</v>
      </c>
      <c r="Q111" s="43" t="e">
        <f>Q110+ATM_Conf!$C$5*(Z110-AI110)</f>
        <v>#DIV/0!</v>
      </c>
      <c r="R111" s="43" t="e">
        <f>R110+ATM_Conf!$C$5*(AA110-AJ110)</f>
        <v>#DIV/0!</v>
      </c>
      <c r="S111" s="43" t="e">
        <f>S110+ATM_Conf!$C$5*(AB110-AK110)</f>
        <v>#DIV/0!</v>
      </c>
      <c r="T111" s="43">
        <f t="shared" si="48"/>
        <v>0</v>
      </c>
      <c r="U111" s="43">
        <f t="shared" si="75"/>
        <v>0</v>
      </c>
      <c r="V111" s="43">
        <f t="shared" si="75"/>
        <v>0</v>
      </c>
      <c r="W111" s="43">
        <f t="shared" si="75"/>
        <v>0</v>
      </c>
      <c r="X111" s="43">
        <f t="shared" si="75"/>
        <v>0</v>
      </c>
      <c r="Y111" s="43">
        <f t="shared" si="75"/>
        <v>0</v>
      </c>
      <c r="Z111" s="43">
        <f t="shared" si="75"/>
        <v>0</v>
      </c>
      <c r="AA111" s="43">
        <f t="shared" si="75"/>
        <v>0</v>
      </c>
      <c r="AB111" s="43">
        <f t="shared" si="75"/>
        <v>0</v>
      </c>
      <c r="AC111" s="43" t="e">
        <f t="shared" si="51"/>
        <v>#DIV/0!</v>
      </c>
      <c r="AD111" s="43" t="e">
        <f t="shared" si="52"/>
        <v>#DIV/0!</v>
      </c>
      <c r="AE111" s="43" t="e">
        <f t="shared" si="53"/>
        <v>#DIV/0!</v>
      </c>
      <c r="AF111" s="43" t="e">
        <f t="shared" si="54"/>
        <v>#DIV/0!</v>
      </c>
      <c r="AG111" s="43" t="e">
        <f t="shared" si="55"/>
        <v>#DIV/0!</v>
      </c>
      <c r="AH111" s="43" t="e">
        <f t="shared" si="56"/>
        <v>#DIV/0!</v>
      </c>
      <c r="AI111" s="43" t="e">
        <f t="shared" si="57"/>
        <v>#DIV/0!</v>
      </c>
      <c r="AJ111" s="43" t="e">
        <f t="shared" si="58"/>
        <v>#DIV/0!</v>
      </c>
      <c r="AK111" s="43" t="e">
        <f t="shared" si="59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49"/>
        <v>0</v>
      </c>
      <c r="BE111" s="43">
        <f t="shared" si="76"/>
        <v>0</v>
      </c>
      <c r="BF111" s="43">
        <f t="shared" si="76"/>
        <v>0</v>
      </c>
      <c r="BG111" s="43">
        <f t="shared" si="76"/>
        <v>0</v>
      </c>
      <c r="BH111" s="43">
        <f t="shared" si="76"/>
        <v>0</v>
      </c>
      <c r="BI111" s="43">
        <f t="shared" si="76"/>
        <v>0</v>
      </c>
      <c r="BJ111" s="43">
        <f t="shared" si="76"/>
        <v>0</v>
      </c>
      <c r="BK111" s="43">
        <f t="shared" si="76"/>
        <v>0</v>
      </c>
      <c r="BL111" s="43">
        <f t="shared" si="76"/>
        <v>0</v>
      </c>
      <c r="BM111" s="51">
        <f>(B111-B99)^2</f>
        <v>0</v>
      </c>
      <c r="BN111" s="51">
        <f t="shared" ref="BN111:BU111" si="81">(C111-C99)^2</f>
        <v>0</v>
      </c>
      <c r="BO111" s="51">
        <f t="shared" si="81"/>
        <v>0</v>
      </c>
      <c r="BP111" s="51">
        <f t="shared" si="81"/>
        <v>0</v>
      </c>
      <c r="BQ111" s="51">
        <f t="shared" si="81"/>
        <v>0</v>
      </c>
      <c r="BR111" s="51">
        <f t="shared" si="81"/>
        <v>0</v>
      </c>
      <c r="BS111" s="51">
        <f t="shared" si="81"/>
        <v>0</v>
      </c>
      <c r="BT111" s="51">
        <f t="shared" si="81"/>
        <v>0</v>
      </c>
      <c r="BU111" s="51">
        <f t="shared" si="81"/>
        <v>0</v>
      </c>
      <c r="BV111" s="51" t="e">
        <f t="shared" si="60"/>
        <v>#DIV/0!</v>
      </c>
      <c r="BW111" s="51" t="e">
        <f t="shared" si="61"/>
        <v>#DIV/0!</v>
      </c>
      <c r="BX111" s="51" t="e">
        <f t="shared" si="62"/>
        <v>#DIV/0!</v>
      </c>
      <c r="BY111" s="51" t="e">
        <f t="shared" si="63"/>
        <v>#DIV/0!</v>
      </c>
      <c r="BZ111" s="51" t="e">
        <f t="shared" si="64"/>
        <v>#DIV/0!</v>
      </c>
      <c r="CA111" s="51" t="e">
        <f t="shared" si="65"/>
        <v>#DIV/0!</v>
      </c>
      <c r="CB111" s="51" t="e">
        <f t="shared" si="66"/>
        <v>#DIV/0!</v>
      </c>
      <c r="CC111" s="51" t="e">
        <f t="shared" si="67"/>
        <v>#DIV/0!</v>
      </c>
      <c r="CD111" s="51" t="e">
        <f t="shared" si="68"/>
        <v>#DIV/0!</v>
      </c>
      <c r="CE111" s="53">
        <f t="shared" si="50"/>
        <v>0</v>
      </c>
      <c r="CF111" s="53">
        <f t="shared" si="77"/>
        <v>0</v>
      </c>
      <c r="CG111" s="53">
        <f t="shared" si="77"/>
        <v>0</v>
      </c>
      <c r="CH111" s="53">
        <f t="shared" si="77"/>
        <v>0</v>
      </c>
      <c r="CI111" s="53">
        <f t="shared" si="77"/>
        <v>0</v>
      </c>
      <c r="CJ111" s="53">
        <f t="shared" si="77"/>
        <v>0</v>
      </c>
      <c r="CK111" s="53">
        <f t="shared" si="77"/>
        <v>0</v>
      </c>
      <c r="CL111" s="53">
        <f t="shared" si="77"/>
        <v>0</v>
      </c>
      <c r="CM111" s="53">
        <f t="shared" si="77"/>
        <v>0</v>
      </c>
    </row>
    <row r="112" spans="1:91" x14ac:dyDescent="0.15">
      <c r="A112" s="41">
        <v>110</v>
      </c>
      <c r="B112" s="43">
        <f>B$111</f>
        <v>1</v>
      </c>
      <c r="C112" s="43">
        <f t="shared" ref="C112:J122" si="82">C$111</f>
        <v>1</v>
      </c>
      <c r="D112" s="43">
        <f t="shared" si="82"/>
        <v>1</v>
      </c>
      <c r="E112" s="43">
        <f t="shared" si="82"/>
        <v>1</v>
      </c>
      <c r="F112" s="43">
        <f t="shared" si="82"/>
        <v>1</v>
      </c>
      <c r="G112" s="43">
        <f t="shared" si="82"/>
        <v>1</v>
      </c>
      <c r="H112" s="43">
        <f t="shared" si="82"/>
        <v>1</v>
      </c>
      <c r="I112" s="43">
        <f t="shared" si="82"/>
        <v>1</v>
      </c>
      <c r="J112" s="43">
        <f t="shared" si="82"/>
        <v>1</v>
      </c>
      <c r="K112" s="43" t="e">
        <f>K111+ATM_Conf!$C$5*(T111-AC111)</f>
        <v>#DIV/0!</v>
      </c>
      <c r="L112" s="43" t="e">
        <f>L111+ATM_Conf!$C$5*(U111-AD111)</f>
        <v>#DIV/0!</v>
      </c>
      <c r="M112" s="43" t="e">
        <f>M111+ATM_Conf!$C$5*(V111-AE111)</f>
        <v>#DIV/0!</v>
      </c>
      <c r="N112" s="43" t="e">
        <f>N111+ATM_Conf!$C$5*(W111-AF111)</f>
        <v>#DIV/0!</v>
      </c>
      <c r="O112" s="43" t="e">
        <f>O111+ATM_Conf!$C$5*(X111-AG111)</f>
        <v>#DIV/0!</v>
      </c>
      <c r="P112" s="43" t="e">
        <f>P111+ATM_Conf!$C$5*(Y111-AH111)</f>
        <v>#DIV/0!</v>
      </c>
      <c r="Q112" s="43" t="e">
        <f>Q111+ATM_Conf!$C$5*(Z111-AI111)</f>
        <v>#DIV/0!</v>
      </c>
      <c r="R112" s="43" t="e">
        <f>R111+ATM_Conf!$C$5*(AA111-AJ111)</f>
        <v>#DIV/0!</v>
      </c>
      <c r="S112" s="43" t="e">
        <f>S111+ATM_Conf!$C$5*(AB111-AK111)</f>
        <v>#DIV/0!</v>
      </c>
      <c r="T112" s="43">
        <f t="shared" si="48"/>
        <v>0</v>
      </c>
      <c r="U112" s="43">
        <f t="shared" si="75"/>
        <v>0</v>
      </c>
      <c r="V112" s="43">
        <f t="shared" si="75"/>
        <v>0</v>
      </c>
      <c r="W112" s="43">
        <f t="shared" si="75"/>
        <v>0</v>
      </c>
      <c r="X112" s="43">
        <f t="shared" si="75"/>
        <v>0</v>
      </c>
      <c r="Y112" s="43">
        <f t="shared" si="75"/>
        <v>0</v>
      </c>
      <c r="Z112" s="43">
        <f t="shared" si="75"/>
        <v>0</v>
      </c>
      <c r="AA112" s="43">
        <f t="shared" si="75"/>
        <v>0</v>
      </c>
      <c r="AB112" s="43">
        <f t="shared" si="75"/>
        <v>0</v>
      </c>
      <c r="AC112" s="43" t="e">
        <f t="shared" si="51"/>
        <v>#DIV/0!</v>
      </c>
      <c r="AD112" s="43" t="e">
        <f t="shared" si="52"/>
        <v>#DIV/0!</v>
      </c>
      <c r="AE112" s="43" t="e">
        <f t="shared" si="53"/>
        <v>#DIV/0!</v>
      </c>
      <c r="AF112" s="43" t="e">
        <f t="shared" si="54"/>
        <v>#DIV/0!</v>
      </c>
      <c r="AG112" s="43" t="e">
        <f t="shared" si="55"/>
        <v>#DIV/0!</v>
      </c>
      <c r="AH112" s="43" t="e">
        <f t="shared" si="56"/>
        <v>#DIV/0!</v>
      </c>
      <c r="AI112" s="43" t="e">
        <f t="shared" si="57"/>
        <v>#DIV/0!</v>
      </c>
      <c r="AJ112" s="43" t="e">
        <f t="shared" si="58"/>
        <v>#DIV/0!</v>
      </c>
      <c r="AK112" s="43" t="e">
        <f t="shared" si="59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49"/>
        <v>0</v>
      </c>
      <c r="BE112" s="43">
        <f t="shared" si="76"/>
        <v>0</v>
      </c>
      <c r="BF112" s="43">
        <f t="shared" si="76"/>
        <v>0</v>
      </c>
      <c r="BG112" s="43">
        <f t="shared" si="76"/>
        <v>0</v>
      </c>
      <c r="BH112" s="43">
        <f t="shared" si="76"/>
        <v>0</v>
      </c>
      <c r="BI112" s="43">
        <f t="shared" si="76"/>
        <v>0</v>
      </c>
      <c r="BJ112" s="43">
        <f t="shared" si="76"/>
        <v>0</v>
      </c>
      <c r="BK112" s="43">
        <f t="shared" si="76"/>
        <v>0</v>
      </c>
      <c r="BL112" s="43">
        <f t="shared" si="76"/>
        <v>0</v>
      </c>
      <c r="BM112" s="51"/>
      <c r="BN112" s="51"/>
      <c r="BO112" s="51"/>
      <c r="BP112" s="51"/>
      <c r="BQ112" s="51"/>
      <c r="BR112" s="51"/>
      <c r="BS112" s="51"/>
      <c r="BT112" s="51"/>
      <c r="BU112" s="51"/>
      <c r="BV112" s="51" t="e">
        <f t="shared" si="60"/>
        <v>#DIV/0!</v>
      </c>
      <c r="BW112" s="51" t="e">
        <f t="shared" si="61"/>
        <v>#DIV/0!</v>
      </c>
      <c r="BX112" s="51" t="e">
        <f t="shared" si="62"/>
        <v>#DIV/0!</v>
      </c>
      <c r="BY112" s="51" t="e">
        <f t="shared" si="63"/>
        <v>#DIV/0!</v>
      </c>
      <c r="BZ112" s="51" t="e">
        <f t="shared" si="64"/>
        <v>#DIV/0!</v>
      </c>
      <c r="CA112" s="51" t="e">
        <f t="shared" si="65"/>
        <v>#DIV/0!</v>
      </c>
      <c r="CB112" s="51" t="e">
        <f t="shared" si="66"/>
        <v>#DIV/0!</v>
      </c>
      <c r="CC112" s="51" t="e">
        <f t="shared" si="67"/>
        <v>#DIV/0!</v>
      </c>
      <c r="CD112" s="51" t="e">
        <f t="shared" si="68"/>
        <v>#DIV/0!</v>
      </c>
      <c r="CE112" s="53">
        <f t="shared" si="50"/>
        <v>0</v>
      </c>
      <c r="CF112" s="53">
        <f t="shared" si="77"/>
        <v>0</v>
      </c>
      <c r="CG112" s="53">
        <f t="shared" si="77"/>
        <v>0</v>
      </c>
      <c r="CH112" s="53">
        <f t="shared" si="77"/>
        <v>0</v>
      </c>
      <c r="CI112" s="53">
        <f t="shared" si="77"/>
        <v>0</v>
      </c>
      <c r="CJ112" s="53">
        <f t="shared" si="77"/>
        <v>0</v>
      </c>
      <c r="CK112" s="53">
        <f t="shared" si="77"/>
        <v>0</v>
      </c>
      <c r="CL112" s="53">
        <f t="shared" si="77"/>
        <v>0</v>
      </c>
      <c r="CM112" s="53">
        <f t="shared" si="77"/>
        <v>0</v>
      </c>
    </row>
    <row r="113" spans="1:91" x14ac:dyDescent="0.15">
      <c r="A113" s="41">
        <v>111</v>
      </c>
      <c r="B113" s="43">
        <f t="shared" ref="B113:B121" si="83">B$111</f>
        <v>1</v>
      </c>
      <c r="C113" s="43">
        <f t="shared" si="82"/>
        <v>1</v>
      </c>
      <c r="D113" s="43">
        <f t="shared" si="82"/>
        <v>1</v>
      </c>
      <c r="E113" s="43">
        <f t="shared" si="82"/>
        <v>1</v>
      </c>
      <c r="F113" s="43">
        <f t="shared" si="82"/>
        <v>1</v>
      </c>
      <c r="G113" s="43">
        <f t="shared" si="82"/>
        <v>1</v>
      </c>
      <c r="H113" s="43">
        <f t="shared" si="82"/>
        <v>1</v>
      </c>
      <c r="I113" s="43">
        <f t="shared" si="82"/>
        <v>1</v>
      </c>
      <c r="J113" s="43">
        <f t="shared" si="82"/>
        <v>1</v>
      </c>
      <c r="K113" s="43" t="e">
        <f>K112+ATM_Conf!$C$5*(T112-AC112)</f>
        <v>#DIV/0!</v>
      </c>
      <c r="L113" s="43" t="e">
        <f>L112+ATM_Conf!$C$5*(U112-AD112)</f>
        <v>#DIV/0!</v>
      </c>
      <c r="M113" s="43" t="e">
        <f>M112+ATM_Conf!$C$5*(V112-AE112)</f>
        <v>#DIV/0!</v>
      </c>
      <c r="N113" s="43" t="e">
        <f>N112+ATM_Conf!$C$5*(W112-AF112)</f>
        <v>#DIV/0!</v>
      </c>
      <c r="O113" s="43" t="e">
        <f>O112+ATM_Conf!$C$5*(X112-AG112)</f>
        <v>#DIV/0!</v>
      </c>
      <c r="P113" s="43" t="e">
        <f>P112+ATM_Conf!$C$5*(Y112-AH112)</f>
        <v>#DIV/0!</v>
      </c>
      <c r="Q113" s="43" t="e">
        <f>Q112+ATM_Conf!$C$5*(Z112-AI112)</f>
        <v>#DIV/0!</v>
      </c>
      <c r="R113" s="43" t="e">
        <f>R112+ATM_Conf!$C$5*(AA112-AJ112)</f>
        <v>#DIV/0!</v>
      </c>
      <c r="S113" s="43" t="e">
        <f>S112+ATM_Conf!$C$5*(AB112-AK112)</f>
        <v>#DIV/0!</v>
      </c>
      <c r="T113" s="43">
        <f t="shared" si="48"/>
        <v>0</v>
      </c>
      <c r="U113" s="43">
        <f t="shared" si="75"/>
        <v>0</v>
      </c>
      <c r="V113" s="43">
        <f t="shared" si="75"/>
        <v>0</v>
      </c>
      <c r="W113" s="43">
        <f t="shared" si="75"/>
        <v>0</v>
      </c>
      <c r="X113" s="43">
        <f t="shared" si="75"/>
        <v>0</v>
      </c>
      <c r="Y113" s="43">
        <f t="shared" si="75"/>
        <v>0</v>
      </c>
      <c r="Z113" s="43">
        <f t="shared" si="75"/>
        <v>0</v>
      </c>
      <c r="AA113" s="43">
        <f t="shared" si="75"/>
        <v>0</v>
      </c>
      <c r="AB113" s="43">
        <f t="shared" si="75"/>
        <v>0</v>
      </c>
      <c r="AC113" s="43" t="e">
        <f t="shared" si="51"/>
        <v>#DIV/0!</v>
      </c>
      <c r="AD113" s="43" t="e">
        <f t="shared" si="52"/>
        <v>#DIV/0!</v>
      </c>
      <c r="AE113" s="43" t="e">
        <f t="shared" si="53"/>
        <v>#DIV/0!</v>
      </c>
      <c r="AF113" s="43" t="e">
        <f t="shared" si="54"/>
        <v>#DIV/0!</v>
      </c>
      <c r="AG113" s="43" t="e">
        <f t="shared" si="55"/>
        <v>#DIV/0!</v>
      </c>
      <c r="AH113" s="43" t="e">
        <f t="shared" si="56"/>
        <v>#DIV/0!</v>
      </c>
      <c r="AI113" s="43" t="e">
        <f t="shared" si="57"/>
        <v>#DIV/0!</v>
      </c>
      <c r="AJ113" s="43" t="e">
        <f t="shared" si="58"/>
        <v>#DIV/0!</v>
      </c>
      <c r="AK113" s="43" t="e">
        <f t="shared" si="59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49"/>
        <v>0</v>
      </c>
      <c r="BE113" s="43">
        <f t="shared" si="76"/>
        <v>0</v>
      </c>
      <c r="BF113" s="43">
        <f t="shared" si="76"/>
        <v>0</v>
      </c>
      <c r="BG113" s="43">
        <f t="shared" si="76"/>
        <v>0</v>
      </c>
      <c r="BH113" s="43">
        <f t="shared" si="76"/>
        <v>0</v>
      </c>
      <c r="BI113" s="43">
        <f t="shared" si="76"/>
        <v>0</v>
      </c>
      <c r="BJ113" s="43">
        <f t="shared" si="76"/>
        <v>0</v>
      </c>
      <c r="BK113" s="43">
        <f t="shared" si="76"/>
        <v>0</v>
      </c>
      <c r="BL113" s="43">
        <f t="shared" si="76"/>
        <v>0</v>
      </c>
      <c r="BM113" s="51"/>
      <c r="BN113" s="51"/>
      <c r="BO113" s="51"/>
      <c r="BP113" s="51"/>
      <c r="BQ113" s="51"/>
      <c r="BR113" s="51"/>
      <c r="BS113" s="51"/>
      <c r="BT113" s="51"/>
      <c r="BU113" s="51"/>
      <c r="BV113" s="51" t="e">
        <f t="shared" si="60"/>
        <v>#DIV/0!</v>
      </c>
      <c r="BW113" s="51" t="e">
        <f t="shared" si="61"/>
        <v>#DIV/0!</v>
      </c>
      <c r="BX113" s="51" t="e">
        <f t="shared" si="62"/>
        <v>#DIV/0!</v>
      </c>
      <c r="BY113" s="51" t="e">
        <f t="shared" si="63"/>
        <v>#DIV/0!</v>
      </c>
      <c r="BZ113" s="51" t="e">
        <f t="shared" si="64"/>
        <v>#DIV/0!</v>
      </c>
      <c r="CA113" s="51" t="e">
        <f t="shared" si="65"/>
        <v>#DIV/0!</v>
      </c>
      <c r="CB113" s="51" t="e">
        <f t="shared" si="66"/>
        <v>#DIV/0!</v>
      </c>
      <c r="CC113" s="51" t="e">
        <f t="shared" si="67"/>
        <v>#DIV/0!</v>
      </c>
      <c r="CD113" s="51" t="e">
        <f t="shared" si="68"/>
        <v>#DIV/0!</v>
      </c>
      <c r="CE113" s="53">
        <f t="shared" si="50"/>
        <v>0</v>
      </c>
      <c r="CF113" s="53">
        <f t="shared" si="77"/>
        <v>0</v>
      </c>
      <c r="CG113" s="53">
        <f t="shared" si="77"/>
        <v>0</v>
      </c>
      <c r="CH113" s="53">
        <f t="shared" si="77"/>
        <v>0</v>
      </c>
      <c r="CI113" s="53">
        <f t="shared" si="77"/>
        <v>0</v>
      </c>
      <c r="CJ113" s="53">
        <f t="shared" si="77"/>
        <v>0</v>
      </c>
      <c r="CK113" s="53">
        <f t="shared" si="77"/>
        <v>0</v>
      </c>
      <c r="CL113" s="53">
        <f t="shared" si="77"/>
        <v>0</v>
      </c>
      <c r="CM113" s="53">
        <f t="shared" si="77"/>
        <v>0</v>
      </c>
    </row>
    <row r="114" spans="1:91" x14ac:dyDescent="0.15">
      <c r="A114" s="41">
        <v>112</v>
      </c>
      <c r="B114" s="43">
        <f t="shared" si="83"/>
        <v>1</v>
      </c>
      <c r="C114" s="43">
        <f t="shared" si="82"/>
        <v>1</v>
      </c>
      <c r="D114" s="43">
        <f t="shared" si="82"/>
        <v>1</v>
      </c>
      <c r="E114" s="43">
        <f t="shared" si="82"/>
        <v>1</v>
      </c>
      <c r="F114" s="43">
        <f t="shared" si="82"/>
        <v>1</v>
      </c>
      <c r="G114" s="43">
        <f t="shared" si="82"/>
        <v>1</v>
      </c>
      <c r="H114" s="43">
        <f t="shared" si="82"/>
        <v>1</v>
      </c>
      <c r="I114" s="43">
        <f t="shared" si="82"/>
        <v>1</v>
      </c>
      <c r="J114" s="43">
        <f t="shared" si="82"/>
        <v>1</v>
      </c>
      <c r="K114" s="43" t="e">
        <f>K113+ATM_Conf!$C$5*(T113-AC113)</f>
        <v>#DIV/0!</v>
      </c>
      <c r="L114" s="43" t="e">
        <f>L113+ATM_Conf!$C$5*(U113-AD113)</f>
        <v>#DIV/0!</v>
      </c>
      <c r="M114" s="43" t="e">
        <f>M113+ATM_Conf!$C$5*(V113-AE113)</f>
        <v>#DIV/0!</v>
      </c>
      <c r="N114" s="43" t="e">
        <f>N113+ATM_Conf!$C$5*(W113-AF113)</f>
        <v>#DIV/0!</v>
      </c>
      <c r="O114" s="43" t="e">
        <f>O113+ATM_Conf!$C$5*(X113-AG113)</f>
        <v>#DIV/0!</v>
      </c>
      <c r="P114" s="43" t="e">
        <f>P113+ATM_Conf!$C$5*(Y113-AH113)</f>
        <v>#DIV/0!</v>
      </c>
      <c r="Q114" s="43" t="e">
        <f>Q113+ATM_Conf!$C$5*(Z113-AI113)</f>
        <v>#DIV/0!</v>
      </c>
      <c r="R114" s="43" t="e">
        <f>R113+ATM_Conf!$C$5*(AA113-AJ113)</f>
        <v>#DIV/0!</v>
      </c>
      <c r="S114" s="43" t="e">
        <f>S113+ATM_Conf!$C$5*(AB113-AK113)</f>
        <v>#DIV/0!</v>
      </c>
      <c r="T114" s="43">
        <f t="shared" si="48"/>
        <v>0</v>
      </c>
      <c r="U114" s="43">
        <f t="shared" si="75"/>
        <v>0</v>
      </c>
      <c r="V114" s="43">
        <f t="shared" si="75"/>
        <v>0</v>
      </c>
      <c r="W114" s="43">
        <f t="shared" si="75"/>
        <v>0</v>
      </c>
      <c r="X114" s="43">
        <f t="shared" si="75"/>
        <v>0</v>
      </c>
      <c r="Y114" s="43">
        <f t="shared" si="75"/>
        <v>0</v>
      </c>
      <c r="Z114" s="43">
        <f t="shared" si="75"/>
        <v>0</v>
      </c>
      <c r="AA114" s="43">
        <f t="shared" si="75"/>
        <v>0</v>
      </c>
      <c r="AB114" s="43">
        <f t="shared" si="75"/>
        <v>0</v>
      </c>
      <c r="AC114" s="43" t="e">
        <f t="shared" si="51"/>
        <v>#DIV/0!</v>
      </c>
      <c r="AD114" s="43" t="e">
        <f t="shared" si="52"/>
        <v>#DIV/0!</v>
      </c>
      <c r="AE114" s="43" t="e">
        <f t="shared" si="53"/>
        <v>#DIV/0!</v>
      </c>
      <c r="AF114" s="43" t="e">
        <f t="shared" si="54"/>
        <v>#DIV/0!</v>
      </c>
      <c r="AG114" s="43" t="e">
        <f t="shared" si="55"/>
        <v>#DIV/0!</v>
      </c>
      <c r="AH114" s="43" t="e">
        <f t="shared" si="56"/>
        <v>#DIV/0!</v>
      </c>
      <c r="AI114" s="43" t="e">
        <f t="shared" si="57"/>
        <v>#DIV/0!</v>
      </c>
      <c r="AJ114" s="43" t="e">
        <f t="shared" si="58"/>
        <v>#DIV/0!</v>
      </c>
      <c r="AK114" s="43" t="e">
        <f t="shared" si="59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49"/>
        <v>0</v>
      </c>
      <c r="BE114" s="43">
        <f t="shared" si="76"/>
        <v>0</v>
      </c>
      <c r="BF114" s="43">
        <f t="shared" si="76"/>
        <v>0</v>
      </c>
      <c r="BG114" s="43">
        <f t="shared" si="76"/>
        <v>0</v>
      </c>
      <c r="BH114" s="43">
        <f t="shared" si="76"/>
        <v>0</v>
      </c>
      <c r="BI114" s="43">
        <f t="shared" si="76"/>
        <v>0</v>
      </c>
      <c r="BJ114" s="43">
        <f t="shared" si="76"/>
        <v>0</v>
      </c>
      <c r="BK114" s="43">
        <f t="shared" si="76"/>
        <v>0</v>
      </c>
      <c r="BL114" s="43">
        <f t="shared" si="76"/>
        <v>0</v>
      </c>
      <c r="BM114" s="51"/>
      <c r="BN114" s="51"/>
      <c r="BO114" s="51"/>
      <c r="BP114" s="51"/>
      <c r="BQ114" s="51"/>
      <c r="BR114" s="51"/>
      <c r="BS114" s="51"/>
      <c r="BT114" s="51"/>
      <c r="BU114" s="51"/>
      <c r="BV114" s="51" t="e">
        <f t="shared" si="60"/>
        <v>#DIV/0!</v>
      </c>
      <c r="BW114" s="51" t="e">
        <f t="shared" si="61"/>
        <v>#DIV/0!</v>
      </c>
      <c r="BX114" s="51" t="e">
        <f t="shared" si="62"/>
        <v>#DIV/0!</v>
      </c>
      <c r="BY114" s="51" t="e">
        <f t="shared" si="63"/>
        <v>#DIV/0!</v>
      </c>
      <c r="BZ114" s="51" t="e">
        <f t="shared" si="64"/>
        <v>#DIV/0!</v>
      </c>
      <c r="CA114" s="51" t="e">
        <f t="shared" si="65"/>
        <v>#DIV/0!</v>
      </c>
      <c r="CB114" s="51" t="e">
        <f t="shared" si="66"/>
        <v>#DIV/0!</v>
      </c>
      <c r="CC114" s="51" t="e">
        <f t="shared" si="67"/>
        <v>#DIV/0!</v>
      </c>
      <c r="CD114" s="51" t="e">
        <f t="shared" si="68"/>
        <v>#DIV/0!</v>
      </c>
      <c r="CE114" s="53">
        <f t="shared" si="50"/>
        <v>0</v>
      </c>
      <c r="CF114" s="53">
        <f t="shared" si="77"/>
        <v>0</v>
      </c>
      <c r="CG114" s="53">
        <f t="shared" si="77"/>
        <v>0</v>
      </c>
      <c r="CH114" s="53">
        <f t="shared" si="77"/>
        <v>0</v>
      </c>
      <c r="CI114" s="53">
        <f t="shared" si="77"/>
        <v>0</v>
      </c>
      <c r="CJ114" s="53">
        <f t="shared" si="77"/>
        <v>0</v>
      </c>
      <c r="CK114" s="53">
        <f t="shared" si="77"/>
        <v>0</v>
      </c>
      <c r="CL114" s="53">
        <f t="shared" si="77"/>
        <v>0</v>
      </c>
      <c r="CM114" s="53">
        <f t="shared" si="77"/>
        <v>0</v>
      </c>
    </row>
    <row r="115" spans="1:91" x14ac:dyDescent="0.15">
      <c r="A115" s="41">
        <v>113</v>
      </c>
      <c r="B115" s="43">
        <f t="shared" si="83"/>
        <v>1</v>
      </c>
      <c r="C115" s="43">
        <f t="shared" si="82"/>
        <v>1</v>
      </c>
      <c r="D115" s="43">
        <f t="shared" si="82"/>
        <v>1</v>
      </c>
      <c r="E115" s="43">
        <f t="shared" si="82"/>
        <v>1</v>
      </c>
      <c r="F115" s="43">
        <f t="shared" si="82"/>
        <v>1</v>
      </c>
      <c r="G115" s="43">
        <f t="shared" si="82"/>
        <v>1</v>
      </c>
      <c r="H115" s="43">
        <f t="shared" si="82"/>
        <v>1</v>
      </c>
      <c r="I115" s="43">
        <f t="shared" si="82"/>
        <v>1</v>
      </c>
      <c r="J115" s="43">
        <f t="shared" si="82"/>
        <v>1</v>
      </c>
      <c r="K115" s="43" t="e">
        <f>K114+ATM_Conf!$C$5*(T114-AC114)</f>
        <v>#DIV/0!</v>
      </c>
      <c r="L115" s="43" t="e">
        <f>L114+ATM_Conf!$C$5*(U114-AD114)</f>
        <v>#DIV/0!</v>
      </c>
      <c r="M115" s="43" t="e">
        <f>M114+ATM_Conf!$C$5*(V114-AE114)</f>
        <v>#DIV/0!</v>
      </c>
      <c r="N115" s="43" t="e">
        <f>N114+ATM_Conf!$C$5*(W114-AF114)</f>
        <v>#DIV/0!</v>
      </c>
      <c r="O115" s="43" t="e">
        <f>O114+ATM_Conf!$C$5*(X114-AG114)</f>
        <v>#DIV/0!</v>
      </c>
      <c r="P115" s="43" t="e">
        <f>P114+ATM_Conf!$C$5*(Y114-AH114)</f>
        <v>#DIV/0!</v>
      </c>
      <c r="Q115" s="43" t="e">
        <f>Q114+ATM_Conf!$C$5*(Z114-AI114)</f>
        <v>#DIV/0!</v>
      </c>
      <c r="R115" s="43" t="e">
        <f>R114+ATM_Conf!$C$5*(AA114-AJ114)</f>
        <v>#DIV/0!</v>
      </c>
      <c r="S115" s="43" t="e">
        <f>S114+ATM_Conf!$C$5*(AB114-AK114)</f>
        <v>#DIV/0!</v>
      </c>
      <c r="T115" s="43">
        <f t="shared" si="48"/>
        <v>0</v>
      </c>
      <c r="U115" s="43">
        <f t="shared" si="75"/>
        <v>0</v>
      </c>
      <c r="V115" s="43">
        <f t="shared" si="75"/>
        <v>0</v>
      </c>
      <c r="W115" s="43">
        <f t="shared" si="75"/>
        <v>0</v>
      </c>
      <c r="X115" s="43">
        <f t="shared" si="75"/>
        <v>0</v>
      </c>
      <c r="Y115" s="43">
        <f t="shared" si="75"/>
        <v>0</v>
      </c>
      <c r="Z115" s="43">
        <f t="shared" si="75"/>
        <v>0</v>
      </c>
      <c r="AA115" s="43">
        <f t="shared" si="75"/>
        <v>0</v>
      </c>
      <c r="AB115" s="43">
        <f t="shared" si="75"/>
        <v>0</v>
      </c>
      <c r="AC115" s="43" t="e">
        <f t="shared" si="51"/>
        <v>#DIV/0!</v>
      </c>
      <c r="AD115" s="43" t="e">
        <f t="shared" si="52"/>
        <v>#DIV/0!</v>
      </c>
      <c r="AE115" s="43" t="e">
        <f t="shared" si="53"/>
        <v>#DIV/0!</v>
      </c>
      <c r="AF115" s="43" t="e">
        <f t="shared" si="54"/>
        <v>#DIV/0!</v>
      </c>
      <c r="AG115" s="43" t="e">
        <f t="shared" si="55"/>
        <v>#DIV/0!</v>
      </c>
      <c r="AH115" s="43" t="e">
        <f t="shared" si="56"/>
        <v>#DIV/0!</v>
      </c>
      <c r="AI115" s="43" t="e">
        <f t="shared" si="57"/>
        <v>#DIV/0!</v>
      </c>
      <c r="AJ115" s="43" t="e">
        <f t="shared" si="58"/>
        <v>#DIV/0!</v>
      </c>
      <c r="AK115" s="43" t="e">
        <f t="shared" si="59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49"/>
        <v>0</v>
      </c>
      <c r="BE115" s="43">
        <f t="shared" si="76"/>
        <v>0</v>
      </c>
      <c r="BF115" s="43">
        <f t="shared" si="76"/>
        <v>0</v>
      </c>
      <c r="BG115" s="43">
        <f t="shared" si="76"/>
        <v>0</v>
      </c>
      <c r="BH115" s="43">
        <f t="shared" si="76"/>
        <v>0</v>
      </c>
      <c r="BI115" s="43">
        <f t="shared" si="76"/>
        <v>0</v>
      </c>
      <c r="BJ115" s="43">
        <f t="shared" si="76"/>
        <v>0</v>
      </c>
      <c r="BK115" s="43">
        <f t="shared" si="76"/>
        <v>0</v>
      </c>
      <c r="BL115" s="43">
        <f t="shared" si="76"/>
        <v>0</v>
      </c>
      <c r="BM115" s="51"/>
      <c r="BN115" s="51"/>
      <c r="BO115" s="51"/>
      <c r="BP115" s="51"/>
      <c r="BQ115" s="51"/>
      <c r="BR115" s="51"/>
      <c r="BS115" s="51"/>
      <c r="BT115" s="51"/>
      <c r="BU115" s="51"/>
      <c r="BV115" s="51" t="e">
        <f t="shared" si="60"/>
        <v>#DIV/0!</v>
      </c>
      <c r="BW115" s="51" t="e">
        <f t="shared" si="61"/>
        <v>#DIV/0!</v>
      </c>
      <c r="BX115" s="51" t="e">
        <f t="shared" si="62"/>
        <v>#DIV/0!</v>
      </c>
      <c r="BY115" s="51" t="e">
        <f t="shared" si="63"/>
        <v>#DIV/0!</v>
      </c>
      <c r="BZ115" s="51" t="e">
        <f t="shared" si="64"/>
        <v>#DIV/0!</v>
      </c>
      <c r="CA115" s="51" t="e">
        <f t="shared" si="65"/>
        <v>#DIV/0!</v>
      </c>
      <c r="CB115" s="51" t="e">
        <f t="shared" si="66"/>
        <v>#DIV/0!</v>
      </c>
      <c r="CC115" s="51" t="e">
        <f t="shared" si="67"/>
        <v>#DIV/0!</v>
      </c>
      <c r="CD115" s="51" t="e">
        <f t="shared" si="68"/>
        <v>#DIV/0!</v>
      </c>
      <c r="CE115" s="53">
        <f t="shared" si="50"/>
        <v>0</v>
      </c>
      <c r="CF115" s="53">
        <f t="shared" si="77"/>
        <v>0</v>
      </c>
      <c r="CG115" s="53">
        <f t="shared" si="77"/>
        <v>0</v>
      </c>
      <c r="CH115" s="53">
        <f t="shared" si="77"/>
        <v>0</v>
      </c>
      <c r="CI115" s="53">
        <f t="shared" si="77"/>
        <v>0</v>
      </c>
      <c r="CJ115" s="53">
        <f t="shared" si="77"/>
        <v>0</v>
      </c>
      <c r="CK115" s="53">
        <f t="shared" si="77"/>
        <v>0</v>
      </c>
      <c r="CL115" s="53">
        <f t="shared" si="77"/>
        <v>0</v>
      </c>
      <c r="CM115" s="53">
        <f t="shared" si="77"/>
        <v>0</v>
      </c>
    </row>
    <row r="116" spans="1:91" x14ac:dyDescent="0.15">
      <c r="A116" s="41">
        <v>114</v>
      </c>
      <c r="B116" s="43">
        <f t="shared" si="83"/>
        <v>1</v>
      </c>
      <c r="C116" s="43">
        <f t="shared" si="82"/>
        <v>1</v>
      </c>
      <c r="D116" s="43">
        <f t="shared" si="82"/>
        <v>1</v>
      </c>
      <c r="E116" s="43">
        <f t="shared" si="82"/>
        <v>1</v>
      </c>
      <c r="F116" s="43">
        <f t="shared" si="82"/>
        <v>1</v>
      </c>
      <c r="G116" s="43">
        <f t="shared" si="82"/>
        <v>1</v>
      </c>
      <c r="H116" s="43">
        <f t="shared" si="82"/>
        <v>1</v>
      </c>
      <c r="I116" s="43">
        <f t="shared" si="82"/>
        <v>1</v>
      </c>
      <c r="J116" s="43">
        <f t="shared" si="82"/>
        <v>1</v>
      </c>
      <c r="K116" s="43" t="e">
        <f>K115+ATM_Conf!$C$5*(T115-AC115)</f>
        <v>#DIV/0!</v>
      </c>
      <c r="L116" s="43" t="e">
        <f>L115+ATM_Conf!$C$5*(U115-AD115)</f>
        <v>#DIV/0!</v>
      </c>
      <c r="M116" s="43" t="e">
        <f>M115+ATM_Conf!$C$5*(V115-AE115)</f>
        <v>#DIV/0!</v>
      </c>
      <c r="N116" s="43" t="e">
        <f>N115+ATM_Conf!$C$5*(W115-AF115)</f>
        <v>#DIV/0!</v>
      </c>
      <c r="O116" s="43" t="e">
        <f>O115+ATM_Conf!$C$5*(X115-AG115)</f>
        <v>#DIV/0!</v>
      </c>
      <c r="P116" s="43" t="e">
        <f>P115+ATM_Conf!$C$5*(Y115-AH115)</f>
        <v>#DIV/0!</v>
      </c>
      <c r="Q116" s="43" t="e">
        <f>Q115+ATM_Conf!$C$5*(Z115-AI115)</f>
        <v>#DIV/0!</v>
      </c>
      <c r="R116" s="43" t="e">
        <f>R115+ATM_Conf!$C$5*(AA115-AJ115)</f>
        <v>#DIV/0!</v>
      </c>
      <c r="S116" s="43" t="e">
        <f>S115+ATM_Conf!$C$5*(AB115-AK115)</f>
        <v>#DIV/0!</v>
      </c>
      <c r="T116" s="43">
        <f t="shared" si="48"/>
        <v>0</v>
      </c>
      <c r="U116" s="43">
        <f t="shared" si="75"/>
        <v>0</v>
      </c>
      <c r="V116" s="43">
        <f t="shared" si="75"/>
        <v>0</v>
      </c>
      <c r="W116" s="43">
        <f t="shared" si="75"/>
        <v>0</v>
      </c>
      <c r="X116" s="43">
        <f t="shared" si="75"/>
        <v>0</v>
      </c>
      <c r="Y116" s="43">
        <f t="shared" si="75"/>
        <v>0</v>
      </c>
      <c r="Z116" s="43">
        <f t="shared" si="75"/>
        <v>0</v>
      </c>
      <c r="AA116" s="43">
        <f t="shared" si="75"/>
        <v>0</v>
      </c>
      <c r="AB116" s="43">
        <f t="shared" si="75"/>
        <v>0</v>
      </c>
      <c r="AC116" s="43" t="e">
        <f t="shared" si="51"/>
        <v>#DIV/0!</v>
      </c>
      <c r="AD116" s="43" t="e">
        <f t="shared" si="52"/>
        <v>#DIV/0!</v>
      </c>
      <c r="AE116" s="43" t="e">
        <f t="shared" si="53"/>
        <v>#DIV/0!</v>
      </c>
      <c r="AF116" s="43" t="e">
        <f t="shared" si="54"/>
        <v>#DIV/0!</v>
      </c>
      <c r="AG116" s="43" t="e">
        <f t="shared" si="55"/>
        <v>#DIV/0!</v>
      </c>
      <c r="AH116" s="43" t="e">
        <f t="shared" si="56"/>
        <v>#DIV/0!</v>
      </c>
      <c r="AI116" s="43" t="e">
        <f t="shared" si="57"/>
        <v>#DIV/0!</v>
      </c>
      <c r="AJ116" s="43" t="e">
        <f t="shared" si="58"/>
        <v>#DIV/0!</v>
      </c>
      <c r="AK116" s="43" t="e">
        <f t="shared" si="59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49"/>
        <v>0</v>
      </c>
      <c r="BE116" s="43">
        <f t="shared" si="76"/>
        <v>0</v>
      </c>
      <c r="BF116" s="43">
        <f t="shared" si="76"/>
        <v>0</v>
      </c>
      <c r="BG116" s="43">
        <f t="shared" si="76"/>
        <v>0</v>
      </c>
      <c r="BH116" s="43">
        <f t="shared" si="76"/>
        <v>0</v>
      </c>
      <c r="BI116" s="43">
        <f t="shared" si="76"/>
        <v>0</v>
      </c>
      <c r="BJ116" s="43">
        <f t="shared" si="76"/>
        <v>0</v>
      </c>
      <c r="BK116" s="43">
        <f t="shared" si="76"/>
        <v>0</v>
      </c>
      <c r="BL116" s="43">
        <f t="shared" si="76"/>
        <v>0</v>
      </c>
      <c r="BM116" s="51"/>
      <c r="BN116" s="51"/>
      <c r="BO116" s="51"/>
      <c r="BP116" s="51"/>
      <c r="BQ116" s="51"/>
      <c r="BR116" s="51"/>
      <c r="BS116" s="51"/>
      <c r="BT116" s="51"/>
      <c r="BU116" s="51"/>
      <c r="BV116" s="51" t="e">
        <f t="shared" si="60"/>
        <v>#DIV/0!</v>
      </c>
      <c r="BW116" s="51" t="e">
        <f t="shared" si="61"/>
        <v>#DIV/0!</v>
      </c>
      <c r="BX116" s="51" t="e">
        <f t="shared" si="62"/>
        <v>#DIV/0!</v>
      </c>
      <c r="BY116" s="51" t="e">
        <f t="shared" si="63"/>
        <v>#DIV/0!</v>
      </c>
      <c r="BZ116" s="51" t="e">
        <f t="shared" si="64"/>
        <v>#DIV/0!</v>
      </c>
      <c r="CA116" s="51" t="e">
        <f t="shared" si="65"/>
        <v>#DIV/0!</v>
      </c>
      <c r="CB116" s="51" t="e">
        <f t="shared" si="66"/>
        <v>#DIV/0!</v>
      </c>
      <c r="CC116" s="51" t="e">
        <f t="shared" si="67"/>
        <v>#DIV/0!</v>
      </c>
      <c r="CD116" s="51" t="e">
        <f t="shared" si="68"/>
        <v>#DIV/0!</v>
      </c>
      <c r="CE116" s="53">
        <f t="shared" si="50"/>
        <v>0</v>
      </c>
      <c r="CF116" s="53">
        <f t="shared" si="77"/>
        <v>0</v>
      </c>
      <c r="CG116" s="53">
        <f t="shared" si="77"/>
        <v>0</v>
      </c>
      <c r="CH116" s="53">
        <f t="shared" si="77"/>
        <v>0</v>
      </c>
      <c r="CI116" s="53">
        <f t="shared" si="77"/>
        <v>0</v>
      </c>
      <c r="CJ116" s="53">
        <f t="shared" si="77"/>
        <v>0</v>
      </c>
      <c r="CK116" s="53">
        <f t="shared" si="77"/>
        <v>0</v>
      </c>
      <c r="CL116" s="53">
        <f t="shared" si="77"/>
        <v>0</v>
      </c>
      <c r="CM116" s="53">
        <f t="shared" si="77"/>
        <v>0</v>
      </c>
    </row>
    <row r="117" spans="1:91" x14ac:dyDescent="0.15">
      <c r="A117" s="41">
        <v>115</v>
      </c>
      <c r="B117" s="43">
        <f t="shared" si="83"/>
        <v>1</v>
      </c>
      <c r="C117" s="43">
        <f t="shared" si="82"/>
        <v>1</v>
      </c>
      <c r="D117" s="43">
        <f t="shared" si="82"/>
        <v>1</v>
      </c>
      <c r="E117" s="43">
        <f t="shared" si="82"/>
        <v>1</v>
      </c>
      <c r="F117" s="43">
        <f t="shared" si="82"/>
        <v>1</v>
      </c>
      <c r="G117" s="43">
        <f t="shared" si="82"/>
        <v>1</v>
      </c>
      <c r="H117" s="43">
        <f t="shared" si="82"/>
        <v>1</v>
      </c>
      <c r="I117" s="43">
        <f t="shared" si="82"/>
        <v>1</v>
      </c>
      <c r="J117" s="43">
        <f t="shared" si="82"/>
        <v>1</v>
      </c>
      <c r="K117" s="43" t="e">
        <f>K116+ATM_Conf!$C$5*(T116-AC116)</f>
        <v>#DIV/0!</v>
      </c>
      <c r="L117" s="43" t="e">
        <f>L116+ATM_Conf!$C$5*(U116-AD116)</f>
        <v>#DIV/0!</v>
      </c>
      <c r="M117" s="43" t="e">
        <f>M116+ATM_Conf!$C$5*(V116-AE116)</f>
        <v>#DIV/0!</v>
      </c>
      <c r="N117" s="43" t="e">
        <f>N116+ATM_Conf!$C$5*(W116-AF116)</f>
        <v>#DIV/0!</v>
      </c>
      <c r="O117" s="43" t="e">
        <f>O116+ATM_Conf!$C$5*(X116-AG116)</f>
        <v>#DIV/0!</v>
      </c>
      <c r="P117" s="43" t="e">
        <f>P116+ATM_Conf!$C$5*(Y116-AH116)</f>
        <v>#DIV/0!</v>
      </c>
      <c r="Q117" s="43" t="e">
        <f>Q116+ATM_Conf!$C$5*(Z116-AI116)</f>
        <v>#DIV/0!</v>
      </c>
      <c r="R117" s="43" t="e">
        <f>R116+ATM_Conf!$C$5*(AA116-AJ116)</f>
        <v>#DIV/0!</v>
      </c>
      <c r="S117" s="43" t="e">
        <f>S116+ATM_Conf!$C$5*(AB116-AK116)</f>
        <v>#DIV/0!</v>
      </c>
      <c r="T117" s="43">
        <f t="shared" si="48"/>
        <v>0</v>
      </c>
      <c r="U117" s="43">
        <f t="shared" si="75"/>
        <v>0</v>
      </c>
      <c r="V117" s="43">
        <f t="shared" si="75"/>
        <v>0</v>
      </c>
      <c r="W117" s="43">
        <f t="shared" si="75"/>
        <v>0</v>
      </c>
      <c r="X117" s="43">
        <f t="shared" si="75"/>
        <v>0</v>
      </c>
      <c r="Y117" s="43">
        <f t="shared" si="75"/>
        <v>0</v>
      </c>
      <c r="Z117" s="43">
        <f t="shared" si="75"/>
        <v>0</v>
      </c>
      <c r="AA117" s="43">
        <f t="shared" si="75"/>
        <v>0</v>
      </c>
      <c r="AB117" s="43">
        <f t="shared" si="75"/>
        <v>0</v>
      </c>
      <c r="AC117" s="43" t="e">
        <f t="shared" si="51"/>
        <v>#DIV/0!</v>
      </c>
      <c r="AD117" s="43" t="e">
        <f t="shared" si="52"/>
        <v>#DIV/0!</v>
      </c>
      <c r="AE117" s="43" t="e">
        <f t="shared" si="53"/>
        <v>#DIV/0!</v>
      </c>
      <c r="AF117" s="43" t="e">
        <f t="shared" si="54"/>
        <v>#DIV/0!</v>
      </c>
      <c r="AG117" s="43" t="e">
        <f t="shared" si="55"/>
        <v>#DIV/0!</v>
      </c>
      <c r="AH117" s="43" t="e">
        <f t="shared" si="56"/>
        <v>#DIV/0!</v>
      </c>
      <c r="AI117" s="43" t="e">
        <f t="shared" si="57"/>
        <v>#DIV/0!</v>
      </c>
      <c r="AJ117" s="43" t="e">
        <f t="shared" si="58"/>
        <v>#DIV/0!</v>
      </c>
      <c r="AK117" s="43" t="e">
        <f t="shared" si="59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49"/>
        <v>0</v>
      </c>
      <c r="BE117" s="43">
        <f t="shared" si="76"/>
        <v>0</v>
      </c>
      <c r="BF117" s="43">
        <f t="shared" si="76"/>
        <v>0</v>
      </c>
      <c r="BG117" s="43">
        <f t="shared" si="76"/>
        <v>0</v>
      </c>
      <c r="BH117" s="43">
        <f t="shared" si="76"/>
        <v>0</v>
      </c>
      <c r="BI117" s="43">
        <f t="shared" si="76"/>
        <v>0</v>
      </c>
      <c r="BJ117" s="43">
        <f t="shared" si="76"/>
        <v>0</v>
      </c>
      <c r="BK117" s="43">
        <f t="shared" si="76"/>
        <v>0</v>
      </c>
      <c r="BL117" s="43">
        <f t="shared" si="76"/>
        <v>0</v>
      </c>
      <c r="BM117" s="51"/>
      <c r="BN117" s="51"/>
      <c r="BO117" s="51"/>
      <c r="BP117" s="51"/>
      <c r="BQ117" s="51"/>
      <c r="BR117" s="51"/>
      <c r="BS117" s="51"/>
      <c r="BT117" s="51"/>
      <c r="BU117" s="51"/>
      <c r="BV117" s="51" t="e">
        <f t="shared" si="60"/>
        <v>#DIV/0!</v>
      </c>
      <c r="BW117" s="51" t="e">
        <f t="shared" si="61"/>
        <v>#DIV/0!</v>
      </c>
      <c r="BX117" s="51" t="e">
        <f t="shared" si="62"/>
        <v>#DIV/0!</v>
      </c>
      <c r="BY117" s="51" t="e">
        <f t="shared" si="63"/>
        <v>#DIV/0!</v>
      </c>
      <c r="BZ117" s="51" t="e">
        <f t="shared" si="64"/>
        <v>#DIV/0!</v>
      </c>
      <c r="CA117" s="51" t="e">
        <f t="shared" si="65"/>
        <v>#DIV/0!</v>
      </c>
      <c r="CB117" s="51" t="e">
        <f t="shared" si="66"/>
        <v>#DIV/0!</v>
      </c>
      <c r="CC117" s="51" t="e">
        <f t="shared" si="67"/>
        <v>#DIV/0!</v>
      </c>
      <c r="CD117" s="51" t="e">
        <f t="shared" si="68"/>
        <v>#DIV/0!</v>
      </c>
      <c r="CE117" s="53">
        <f t="shared" si="50"/>
        <v>0</v>
      </c>
      <c r="CF117" s="53">
        <f t="shared" si="77"/>
        <v>0</v>
      </c>
      <c r="CG117" s="53">
        <f t="shared" si="77"/>
        <v>0</v>
      </c>
      <c r="CH117" s="53">
        <f t="shared" si="77"/>
        <v>0</v>
      </c>
      <c r="CI117" s="53">
        <f t="shared" si="77"/>
        <v>0</v>
      </c>
      <c r="CJ117" s="53">
        <f t="shared" si="77"/>
        <v>0</v>
      </c>
      <c r="CK117" s="53">
        <f t="shared" si="77"/>
        <v>0</v>
      </c>
      <c r="CL117" s="53">
        <f t="shared" si="77"/>
        <v>0</v>
      </c>
      <c r="CM117" s="53">
        <f t="shared" si="77"/>
        <v>0</v>
      </c>
    </row>
    <row r="118" spans="1:91" x14ac:dyDescent="0.15">
      <c r="A118" s="41">
        <v>116</v>
      </c>
      <c r="B118" s="43">
        <f t="shared" si="83"/>
        <v>1</v>
      </c>
      <c r="C118" s="43">
        <f t="shared" si="82"/>
        <v>1</v>
      </c>
      <c r="D118" s="43">
        <f t="shared" si="82"/>
        <v>1</v>
      </c>
      <c r="E118" s="43">
        <f t="shared" si="82"/>
        <v>1</v>
      </c>
      <c r="F118" s="43">
        <f t="shared" si="82"/>
        <v>1</v>
      </c>
      <c r="G118" s="43">
        <f t="shared" si="82"/>
        <v>1</v>
      </c>
      <c r="H118" s="43">
        <f t="shared" si="82"/>
        <v>1</v>
      </c>
      <c r="I118" s="43">
        <f t="shared" si="82"/>
        <v>1</v>
      </c>
      <c r="J118" s="43">
        <f t="shared" si="82"/>
        <v>1</v>
      </c>
      <c r="K118" s="43" t="e">
        <f>K117+ATM_Conf!$C$5*(T117-AC117)</f>
        <v>#DIV/0!</v>
      </c>
      <c r="L118" s="43" t="e">
        <f>L117+ATM_Conf!$C$5*(U117-AD117)</f>
        <v>#DIV/0!</v>
      </c>
      <c r="M118" s="43" t="e">
        <f>M117+ATM_Conf!$C$5*(V117-AE117)</f>
        <v>#DIV/0!</v>
      </c>
      <c r="N118" s="43" t="e">
        <f>N117+ATM_Conf!$C$5*(W117-AF117)</f>
        <v>#DIV/0!</v>
      </c>
      <c r="O118" s="43" t="e">
        <f>O117+ATM_Conf!$C$5*(X117-AG117)</f>
        <v>#DIV/0!</v>
      </c>
      <c r="P118" s="43" t="e">
        <f>P117+ATM_Conf!$C$5*(Y117-AH117)</f>
        <v>#DIV/0!</v>
      </c>
      <c r="Q118" s="43" t="e">
        <f>Q117+ATM_Conf!$C$5*(Z117-AI117)</f>
        <v>#DIV/0!</v>
      </c>
      <c r="R118" s="43" t="e">
        <f>R117+ATM_Conf!$C$5*(AA117-AJ117)</f>
        <v>#DIV/0!</v>
      </c>
      <c r="S118" s="43" t="e">
        <f>S117+ATM_Conf!$C$5*(AB117-AK117)</f>
        <v>#DIV/0!</v>
      </c>
      <c r="T118" s="43">
        <f t="shared" si="48"/>
        <v>0</v>
      </c>
      <c r="U118" s="43">
        <f t="shared" si="75"/>
        <v>0</v>
      </c>
      <c r="V118" s="43">
        <f t="shared" si="75"/>
        <v>0</v>
      </c>
      <c r="W118" s="43">
        <f t="shared" si="75"/>
        <v>0</v>
      </c>
      <c r="X118" s="43">
        <f t="shared" si="75"/>
        <v>0</v>
      </c>
      <c r="Y118" s="43">
        <f t="shared" si="75"/>
        <v>0</v>
      </c>
      <c r="Z118" s="43">
        <f t="shared" si="75"/>
        <v>0</v>
      </c>
      <c r="AA118" s="43">
        <f t="shared" si="75"/>
        <v>0</v>
      </c>
      <c r="AB118" s="43">
        <f t="shared" si="75"/>
        <v>0</v>
      </c>
      <c r="AC118" s="43" t="e">
        <f t="shared" si="51"/>
        <v>#DIV/0!</v>
      </c>
      <c r="AD118" s="43" t="e">
        <f t="shared" si="52"/>
        <v>#DIV/0!</v>
      </c>
      <c r="AE118" s="43" t="e">
        <f t="shared" si="53"/>
        <v>#DIV/0!</v>
      </c>
      <c r="AF118" s="43" t="e">
        <f t="shared" si="54"/>
        <v>#DIV/0!</v>
      </c>
      <c r="AG118" s="43" t="e">
        <f t="shared" si="55"/>
        <v>#DIV/0!</v>
      </c>
      <c r="AH118" s="43" t="e">
        <f t="shared" si="56"/>
        <v>#DIV/0!</v>
      </c>
      <c r="AI118" s="43" t="e">
        <f t="shared" si="57"/>
        <v>#DIV/0!</v>
      </c>
      <c r="AJ118" s="43" t="e">
        <f t="shared" si="58"/>
        <v>#DIV/0!</v>
      </c>
      <c r="AK118" s="43" t="e">
        <f t="shared" si="59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49"/>
        <v>0</v>
      </c>
      <c r="BE118" s="43">
        <f t="shared" si="76"/>
        <v>0</v>
      </c>
      <c r="BF118" s="43">
        <f t="shared" si="76"/>
        <v>0</v>
      </c>
      <c r="BG118" s="43">
        <f t="shared" si="76"/>
        <v>0</v>
      </c>
      <c r="BH118" s="43">
        <f t="shared" si="76"/>
        <v>0</v>
      </c>
      <c r="BI118" s="43">
        <f t="shared" si="76"/>
        <v>0</v>
      </c>
      <c r="BJ118" s="43">
        <f t="shared" si="76"/>
        <v>0</v>
      </c>
      <c r="BK118" s="43">
        <f t="shared" si="76"/>
        <v>0</v>
      </c>
      <c r="BL118" s="43">
        <f t="shared" si="76"/>
        <v>0</v>
      </c>
      <c r="BM118" s="51"/>
      <c r="BN118" s="51"/>
      <c r="BO118" s="51"/>
      <c r="BP118" s="51"/>
      <c r="BQ118" s="51"/>
      <c r="BR118" s="51"/>
      <c r="BS118" s="51"/>
      <c r="BT118" s="51"/>
      <c r="BU118" s="51"/>
      <c r="BV118" s="51" t="e">
        <f t="shared" si="60"/>
        <v>#DIV/0!</v>
      </c>
      <c r="BW118" s="51" t="e">
        <f t="shared" si="61"/>
        <v>#DIV/0!</v>
      </c>
      <c r="BX118" s="51" t="e">
        <f t="shared" si="62"/>
        <v>#DIV/0!</v>
      </c>
      <c r="BY118" s="51" t="e">
        <f t="shared" si="63"/>
        <v>#DIV/0!</v>
      </c>
      <c r="BZ118" s="51" t="e">
        <f t="shared" si="64"/>
        <v>#DIV/0!</v>
      </c>
      <c r="CA118" s="51" t="e">
        <f t="shared" si="65"/>
        <v>#DIV/0!</v>
      </c>
      <c r="CB118" s="51" t="e">
        <f t="shared" si="66"/>
        <v>#DIV/0!</v>
      </c>
      <c r="CC118" s="51" t="e">
        <f t="shared" si="67"/>
        <v>#DIV/0!</v>
      </c>
      <c r="CD118" s="51" t="e">
        <f t="shared" si="68"/>
        <v>#DIV/0!</v>
      </c>
      <c r="CE118" s="53">
        <f t="shared" si="50"/>
        <v>0</v>
      </c>
      <c r="CF118" s="53">
        <f t="shared" si="77"/>
        <v>0</v>
      </c>
      <c r="CG118" s="53">
        <f t="shared" si="77"/>
        <v>0</v>
      </c>
      <c r="CH118" s="53">
        <f t="shared" si="77"/>
        <v>0</v>
      </c>
      <c r="CI118" s="53">
        <f t="shared" si="77"/>
        <v>0</v>
      </c>
      <c r="CJ118" s="53">
        <f t="shared" si="77"/>
        <v>0</v>
      </c>
      <c r="CK118" s="53">
        <f t="shared" si="77"/>
        <v>0</v>
      </c>
      <c r="CL118" s="53">
        <f t="shared" si="77"/>
        <v>0</v>
      </c>
      <c r="CM118" s="53">
        <f t="shared" si="77"/>
        <v>0</v>
      </c>
    </row>
    <row r="119" spans="1:91" x14ac:dyDescent="0.15">
      <c r="A119" s="41">
        <v>117</v>
      </c>
      <c r="B119" s="43">
        <f t="shared" si="83"/>
        <v>1</v>
      </c>
      <c r="C119" s="43">
        <f t="shared" si="82"/>
        <v>1</v>
      </c>
      <c r="D119" s="43">
        <f t="shared" si="82"/>
        <v>1</v>
      </c>
      <c r="E119" s="43">
        <f t="shared" si="82"/>
        <v>1</v>
      </c>
      <c r="F119" s="43">
        <f t="shared" si="82"/>
        <v>1</v>
      </c>
      <c r="G119" s="43">
        <f t="shared" si="82"/>
        <v>1</v>
      </c>
      <c r="H119" s="43">
        <f t="shared" si="82"/>
        <v>1</v>
      </c>
      <c r="I119" s="43">
        <f t="shared" si="82"/>
        <v>1</v>
      </c>
      <c r="J119" s="43">
        <f t="shared" si="82"/>
        <v>1</v>
      </c>
      <c r="K119" s="43" t="e">
        <f>K118+ATM_Conf!$C$5*(T118-AC118)</f>
        <v>#DIV/0!</v>
      </c>
      <c r="L119" s="43" t="e">
        <f>L118+ATM_Conf!$C$5*(U118-AD118)</f>
        <v>#DIV/0!</v>
      </c>
      <c r="M119" s="43" t="e">
        <f>M118+ATM_Conf!$C$5*(V118-AE118)</f>
        <v>#DIV/0!</v>
      </c>
      <c r="N119" s="43" t="e">
        <f>N118+ATM_Conf!$C$5*(W118-AF118)</f>
        <v>#DIV/0!</v>
      </c>
      <c r="O119" s="43" t="e">
        <f>O118+ATM_Conf!$C$5*(X118-AG118)</f>
        <v>#DIV/0!</v>
      </c>
      <c r="P119" s="43" t="e">
        <f>P118+ATM_Conf!$C$5*(Y118-AH118)</f>
        <v>#DIV/0!</v>
      </c>
      <c r="Q119" s="43" t="e">
        <f>Q118+ATM_Conf!$C$5*(Z118-AI118)</f>
        <v>#DIV/0!</v>
      </c>
      <c r="R119" s="43" t="e">
        <f>R118+ATM_Conf!$C$5*(AA118-AJ118)</f>
        <v>#DIV/0!</v>
      </c>
      <c r="S119" s="43" t="e">
        <f>S118+ATM_Conf!$C$5*(AB118-AK118)</f>
        <v>#DIV/0!</v>
      </c>
      <c r="T119" s="43">
        <f t="shared" si="48"/>
        <v>0</v>
      </c>
      <c r="U119" s="43">
        <f t="shared" si="75"/>
        <v>0</v>
      </c>
      <c r="V119" s="43">
        <f t="shared" si="75"/>
        <v>0</v>
      </c>
      <c r="W119" s="43">
        <f t="shared" si="75"/>
        <v>0</v>
      </c>
      <c r="X119" s="43">
        <f t="shared" si="75"/>
        <v>0</v>
      </c>
      <c r="Y119" s="43">
        <f t="shared" si="75"/>
        <v>0</v>
      </c>
      <c r="Z119" s="43">
        <f t="shared" si="75"/>
        <v>0</v>
      </c>
      <c r="AA119" s="43">
        <f t="shared" si="75"/>
        <v>0</v>
      </c>
      <c r="AB119" s="43">
        <f t="shared" si="75"/>
        <v>0</v>
      </c>
      <c r="AC119" s="43" t="e">
        <f t="shared" si="51"/>
        <v>#DIV/0!</v>
      </c>
      <c r="AD119" s="43" t="e">
        <f t="shared" si="52"/>
        <v>#DIV/0!</v>
      </c>
      <c r="AE119" s="43" t="e">
        <f t="shared" si="53"/>
        <v>#DIV/0!</v>
      </c>
      <c r="AF119" s="43" t="e">
        <f t="shared" si="54"/>
        <v>#DIV/0!</v>
      </c>
      <c r="AG119" s="43" t="e">
        <f t="shared" si="55"/>
        <v>#DIV/0!</v>
      </c>
      <c r="AH119" s="43" t="e">
        <f t="shared" si="56"/>
        <v>#DIV/0!</v>
      </c>
      <c r="AI119" s="43" t="e">
        <f t="shared" si="57"/>
        <v>#DIV/0!</v>
      </c>
      <c r="AJ119" s="43" t="e">
        <f t="shared" si="58"/>
        <v>#DIV/0!</v>
      </c>
      <c r="AK119" s="43" t="e">
        <f t="shared" si="59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49"/>
        <v>0</v>
      </c>
      <c r="BE119" s="43">
        <f t="shared" si="76"/>
        <v>0</v>
      </c>
      <c r="BF119" s="43">
        <f t="shared" si="76"/>
        <v>0</v>
      </c>
      <c r="BG119" s="43">
        <f t="shared" si="76"/>
        <v>0</v>
      </c>
      <c r="BH119" s="43">
        <f t="shared" si="76"/>
        <v>0</v>
      </c>
      <c r="BI119" s="43">
        <f t="shared" si="76"/>
        <v>0</v>
      </c>
      <c r="BJ119" s="43">
        <f t="shared" si="76"/>
        <v>0</v>
      </c>
      <c r="BK119" s="43">
        <f t="shared" si="76"/>
        <v>0</v>
      </c>
      <c r="BL119" s="43">
        <f t="shared" si="76"/>
        <v>0</v>
      </c>
      <c r="BM119" s="51"/>
      <c r="BN119" s="51"/>
      <c r="BO119" s="51"/>
      <c r="BP119" s="51"/>
      <c r="BQ119" s="51"/>
      <c r="BR119" s="51"/>
      <c r="BS119" s="51"/>
      <c r="BT119" s="51"/>
      <c r="BU119" s="51"/>
      <c r="BV119" s="51" t="e">
        <f t="shared" si="60"/>
        <v>#DIV/0!</v>
      </c>
      <c r="BW119" s="51" t="e">
        <f t="shared" si="61"/>
        <v>#DIV/0!</v>
      </c>
      <c r="BX119" s="51" t="e">
        <f t="shared" si="62"/>
        <v>#DIV/0!</v>
      </c>
      <c r="BY119" s="51" t="e">
        <f t="shared" si="63"/>
        <v>#DIV/0!</v>
      </c>
      <c r="BZ119" s="51" t="e">
        <f t="shared" si="64"/>
        <v>#DIV/0!</v>
      </c>
      <c r="CA119" s="51" t="e">
        <f t="shared" si="65"/>
        <v>#DIV/0!</v>
      </c>
      <c r="CB119" s="51" t="e">
        <f t="shared" si="66"/>
        <v>#DIV/0!</v>
      </c>
      <c r="CC119" s="51" t="e">
        <f t="shared" si="67"/>
        <v>#DIV/0!</v>
      </c>
      <c r="CD119" s="51" t="e">
        <f t="shared" si="68"/>
        <v>#DIV/0!</v>
      </c>
      <c r="CE119" s="53">
        <f t="shared" si="50"/>
        <v>0</v>
      </c>
      <c r="CF119" s="53">
        <f t="shared" si="77"/>
        <v>0</v>
      </c>
      <c r="CG119" s="53">
        <f t="shared" si="77"/>
        <v>0</v>
      </c>
      <c r="CH119" s="53">
        <f t="shared" si="77"/>
        <v>0</v>
      </c>
      <c r="CI119" s="53">
        <f t="shared" si="77"/>
        <v>0</v>
      </c>
      <c r="CJ119" s="53">
        <f t="shared" si="77"/>
        <v>0</v>
      </c>
      <c r="CK119" s="53">
        <f t="shared" si="77"/>
        <v>0</v>
      </c>
      <c r="CL119" s="53">
        <f t="shared" si="77"/>
        <v>0</v>
      </c>
      <c r="CM119" s="53">
        <f t="shared" si="77"/>
        <v>0</v>
      </c>
    </row>
    <row r="120" spans="1:91" x14ac:dyDescent="0.15">
      <c r="A120" s="41">
        <v>118</v>
      </c>
      <c r="B120" s="43">
        <f t="shared" si="83"/>
        <v>1</v>
      </c>
      <c r="C120" s="43">
        <f t="shared" si="82"/>
        <v>1</v>
      </c>
      <c r="D120" s="43">
        <f t="shared" si="82"/>
        <v>1</v>
      </c>
      <c r="E120" s="43">
        <f t="shared" si="82"/>
        <v>1</v>
      </c>
      <c r="F120" s="43">
        <f t="shared" si="82"/>
        <v>1</v>
      </c>
      <c r="G120" s="43">
        <f t="shared" si="82"/>
        <v>1</v>
      </c>
      <c r="H120" s="43">
        <f t="shared" si="82"/>
        <v>1</v>
      </c>
      <c r="I120" s="43">
        <f t="shared" si="82"/>
        <v>1</v>
      </c>
      <c r="J120" s="43">
        <f t="shared" si="82"/>
        <v>1</v>
      </c>
      <c r="K120" s="43" t="e">
        <f>K119+ATM_Conf!$C$5*(T119-AC119)</f>
        <v>#DIV/0!</v>
      </c>
      <c r="L120" s="43" t="e">
        <f>L119+ATM_Conf!$C$5*(U119-AD119)</f>
        <v>#DIV/0!</v>
      </c>
      <c r="M120" s="43" t="e">
        <f>M119+ATM_Conf!$C$5*(V119-AE119)</f>
        <v>#DIV/0!</v>
      </c>
      <c r="N120" s="43" t="e">
        <f>N119+ATM_Conf!$C$5*(W119-AF119)</f>
        <v>#DIV/0!</v>
      </c>
      <c r="O120" s="43" t="e">
        <f>O119+ATM_Conf!$C$5*(X119-AG119)</f>
        <v>#DIV/0!</v>
      </c>
      <c r="P120" s="43" t="e">
        <f>P119+ATM_Conf!$C$5*(Y119-AH119)</f>
        <v>#DIV/0!</v>
      </c>
      <c r="Q120" s="43" t="e">
        <f>Q119+ATM_Conf!$C$5*(Z119-AI119)</f>
        <v>#DIV/0!</v>
      </c>
      <c r="R120" s="43" t="e">
        <f>R119+ATM_Conf!$C$5*(AA119-AJ119)</f>
        <v>#DIV/0!</v>
      </c>
      <c r="S120" s="43" t="e">
        <f>S119+ATM_Conf!$C$5*(AB119-AK119)</f>
        <v>#DIV/0!</v>
      </c>
      <c r="T120" s="43">
        <f t="shared" si="48"/>
        <v>0</v>
      </c>
      <c r="U120" s="43">
        <f t="shared" si="75"/>
        <v>0</v>
      </c>
      <c r="V120" s="43">
        <f t="shared" si="75"/>
        <v>0</v>
      </c>
      <c r="W120" s="43">
        <f t="shared" si="75"/>
        <v>0</v>
      </c>
      <c r="X120" s="43">
        <f t="shared" si="75"/>
        <v>0</v>
      </c>
      <c r="Y120" s="43">
        <f t="shared" si="75"/>
        <v>0</v>
      </c>
      <c r="Z120" s="43">
        <f t="shared" si="75"/>
        <v>0</v>
      </c>
      <c r="AA120" s="43">
        <f t="shared" si="75"/>
        <v>0</v>
      </c>
      <c r="AB120" s="43">
        <f t="shared" si="75"/>
        <v>0</v>
      </c>
      <c r="AC120" s="43" t="e">
        <f t="shared" si="51"/>
        <v>#DIV/0!</v>
      </c>
      <c r="AD120" s="43" t="e">
        <f t="shared" si="52"/>
        <v>#DIV/0!</v>
      </c>
      <c r="AE120" s="43" t="e">
        <f t="shared" si="53"/>
        <v>#DIV/0!</v>
      </c>
      <c r="AF120" s="43" t="e">
        <f t="shared" si="54"/>
        <v>#DIV/0!</v>
      </c>
      <c r="AG120" s="43" t="e">
        <f t="shared" si="55"/>
        <v>#DIV/0!</v>
      </c>
      <c r="AH120" s="43" t="e">
        <f t="shared" si="56"/>
        <v>#DIV/0!</v>
      </c>
      <c r="AI120" s="43" t="e">
        <f t="shared" si="57"/>
        <v>#DIV/0!</v>
      </c>
      <c r="AJ120" s="43" t="e">
        <f t="shared" si="58"/>
        <v>#DIV/0!</v>
      </c>
      <c r="AK120" s="43" t="e">
        <f t="shared" si="59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49"/>
        <v>0</v>
      </c>
      <c r="BE120" s="43">
        <f t="shared" si="76"/>
        <v>0</v>
      </c>
      <c r="BF120" s="43">
        <f t="shared" si="76"/>
        <v>0</v>
      </c>
      <c r="BG120" s="43">
        <f t="shared" si="76"/>
        <v>0</v>
      </c>
      <c r="BH120" s="43">
        <f t="shared" si="76"/>
        <v>0</v>
      </c>
      <c r="BI120" s="43">
        <f t="shared" si="76"/>
        <v>0</v>
      </c>
      <c r="BJ120" s="43">
        <f t="shared" si="76"/>
        <v>0</v>
      </c>
      <c r="BK120" s="43">
        <f t="shared" si="76"/>
        <v>0</v>
      </c>
      <c r="BL120" s="43">
        <f t="shared" si="76"/>
        <v>0</v>
      </c>
      <c r="BM120" s="51"/>
      <c r="BN120" s="51"/>
      <c r="BO120" s="51"/>
      <c r="BP120" s="51"/>
      <c r="BQ120" s="51"/>
      <c r="BR120" s="51"/>
      <c r="BS120" s="51"/>
      <c r="BT120" s="51"/>
      <c r="BU120" s="51"/>
      <c r="BV120" s="51" t="e">
        <f t="shared" si="60"/>
        <v>#DIV/0!</v>
      </c>
      <c r="BW120" s="51" t="e">
        <f t="shared" si="61"/>
        <v>#DIV/0!</v>
      </c>
      <c r="BX120" s="51" t="e">
        <f t="shared" si="62"/>
        <v>#DIV/0!</v>
      </c>
      <c r="BY120" s="51" t="e">
        <f t="shared" si="63"/>
        <v>#DIV/0!</v>
      </c>
      <c r="BZ120" s="51" t="e">
        <f t="shared" si="64"/>
        <v>#DIV/0!</v>
      </c>
      <c r="CA120" s="51" t="e">
        <f t="shared" si="65"/>
        <v>#DIV/0!</v>
      </c>
      <c r="CB120" s="51" t="e">
        <f t="shared" si="66"/>
        <v>#DIV/0!</v>
      </c>
      <c r="CC120" s="51" t="e">
        <f t="shared" si="67"/>
        <v>#DIV/0!</v>
      </c>
      <c r="CD120" s="51" t="e">
        <f t="shared" si="68"/>
        <v>#DIV/0!</v>
      </c>
      <c r="CE120" s="53">
        <f t="shared" si="50"/>
        <v>0</v>
      </c>
      <c r="CF120" s="53">
        <f t="shared" si="77"/>
        <v>0</v>
      </c>
      <c r="CG120" s="53">
        <f t="shared" si="77"/>
        <v>0</v>
      </c>
      <c r="CH120" s="53">
        <f t="shared" si="77"/>
        <v>0</v>
      </c>
      <c r="CI120" s="53">
        <f t="shared" si="77"/>
        <v>0</v>
      </c>
      <c r="CJ120" s="53">
        <f t="shared" si="77"/>
        <v>0</v>
      </c>
      <c r="CK120" s="53">
        <f t="shared" si="77"/>
        <v>0</v>
      </c>
      <c r="CL120" s="53">
        <f t="shared" si="77"/>
        <v>0</v>
      </c>
      <c r="CM120" s="53">
        <f t="shared" si="77"/>
        <v>0</v>
      </c>
    </row>
    <row r="121" spans="1:91" x14ac:dyDescent="0.15">
      <c r="A121" s="41">
        <v>119</v>
      </c>
      <c r="B121" s="43">
        <f t="shared" si="83"/>
        <v>1</v>
      </c>
      <c r="C121" s="43">
        <f t="shared" si="82"/>
        <v>1</v>
      </c>
      <c r="D121" s="43">
        <f t="shared" si="82"/>
        <v>1</v>
      </c>
      <c r="E121" s="43">
        <f t="shared" si="82"/>
        <v>1</v>
      </c>
      <c r="F121" s="43">
        <f t="shared" si="82"/>
        <v>1</v>
      </c>
      <c r="G121" s="43">
        <f t="shared" si="82"/>
        <v>1</v>
      </c>
      <c r="H121" s="43">
        <f t="shared" si="82"/>
        <v>1</v>
      </c>
      <c r="I121" s="43">
        <f t="shared" si="82"/>
        <v>1</v>
      </c>
      <c r="J121" s="43">
        <f t="shared" si="82"/>
        <v>1</v>
      </c>
      <c r="K121" s="43" t="e">
        <f>K120+ATM_Conf!$C$5*(T120-AC120)</f>
        <v>#DIV/0!</v>
      </c>
      <c r="L121" s="43" t="e">
        <f>L120+ATM_Conf!$C$5*(U120-AD120)</f>
        <v>#DIV/0!</v>
      </c>
      <c r="M121" s="43" t="e">
        <f>M120+ATM_Conf!$C$5*(V120-AE120)</f>
        <v>#DIV/0!</v>
      </c>
      <c r="N121" s="43" t="e">
        <f>N120+ATM_Conf!$C$5*(W120-AF120)</f>
        <v>#DIV/0!</v>
      </c>
      <c r="O121" s="43" t="e">
        <f>O120+ATM_Conf!$C$5*(X120-AG120)</f>
        <v>#DIV/0!</v>
      </c>
      <c r="P121" s="43" t="e">
        <f>P120+ATM_Conf!$C$5*(Y120-AH120)</f>
        <v>#DIV/0!</v>
      </c>
      <c r="Q121" s="43" t="e">
        <f>Q120+ATM_Conf!$C$5*(Z120-AI120)</f>
        <v>#DIV/0!</v>
      </c>
      <c r="R121" s="43" t="e">
        <f>R120+ATM_Conf!$C$5*(AA120-AJ120)</f>
        <v>#DIV/0!</v>
      </c>
      <c r="S121" s="43" t="e">
        <f>S120+ATM_Conf!$C$5*(AB120-AK120)</f>
        <v>#DIV/0!</v>
      </c>
      <c r="T121" s="43">
        <f t="shared" si="48"/>
        <v>0</v>
      </c>
      <c r="U121" s="43">
        <f t="shared" si="75"/>
        <v>0</v>
      </c>
      <c r="V121" s="43">
        <f t="shared" si="75"/>
        <v>0</v>
      </c>
      <c r="W121" s="43">
        <f t="shared" si="75"/>
        <v>0</v>
      </c>
      <c r="X121" s="43">
        <f t="shared" si="75"/>
        <v>0</v>
      </c>
      <c r="Y121" s="43">
        <f t="shared" si="75"/>
        <v>0</v>
      </c>
      <c r="Z121" s="43">
        <f t="shared" si="75"/>
        <v>0</v>
      </c>
      <c r="AA121" s="43">
        <f t="shared" si="75"/>
        <v>0</v>
      </c>
      <c r="AB121" s="43">
        <f t="shared" si="75"/>
        <v>0</v>
      </c>
      <c r="AC121" s="43" t="e">
        <f t="shared" si="51"/>
        <v>#DIV/0!</v>
      </c>
      <c r="AD121" s="43" t="e">
        <f t="shared" si="52"/>
        <v>#DIV/0!</v>
      </c>
      <c r="AE121" s="43" t="e">
        <f t="shared" si="53"/>
        <v>#DIV/0!</v>
      </c>
      <c r="AF121" s="43" t="e">
        <f t="shared" si="54"/>
        <v>#DIV/0!</v>
      </c>
      <c r="AG121" s="43" t="e">
        <f t="shared" si="55"/>
        <v>#DIV/0!</v>
      </c>
      <c r="AH121" s="43" t="e">
        <f t="shared" si="56"/>
        <v>#DIV/0!</v>
      </c>
      <c r="AI121" s="43" t="e">
        <f t="shared" si="57"/>
        <v>#DIV/0!</v>
      </c>
      <c r="AJ121" s="43" t="e">
        <f t="shared" si="58"/>
        <v>#DIV/0!</v>
      </c>
      <c r="AK121" s="43" t="e">
        <f t="shared" si="59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49"/>
        <v>0</v>
      </c>
      <c r="BE121" s="43">
        <f t="shared" si="76"/>
        <v>0</v>
      </c>
      <c r="BF121" s="43">
        <f t="shared" si="76"/>
        <v>0</v>
      </c>
      <c r="BG121" s="43">
        <f t="shared" si="76"/>
        <v>0</v>
      </c>
      <c r="BH121" s="43">
        <f t="shared" si="76"/>
        <v>0</v>
      </c>
      <c r="BI121" s="43">
        <f t="shared" si="76"/>
        <v>0</v>
      </c>
      <c r="BJ121" s="43">
        <f t="shared" si="76"/>
        <v>0</v>
      </c>
      <c r="BK121" s="43">
        <f t="shared" si="76"/>
        <v>0</v>
      </c>
      <c r="BL121" s="43">
        <f t="shared" si="76"/>
        <v>0</v>
      </c>
      <c r="BM121" s="51"/>
      <c r="BN121" s="51"/>
      <c r="BO121" s="51"/>
      <c r="BP121" s="51"/>
      <c r="BQ121" s="51"/>
      <c r="BR121" s="51"/>
      <c r="BS121" s="51"/>
      <c r="BT121" s="51"/>
      <c r="BU121" s="51"/>
      <c r="BV121" s="51" t="e">
        <f t="shared" si="60"/>
        <v>#DIV/0!</v>
      </c>
      <c r="BW121" s="51" t="e">
        <f t="shared" si="61"/>
        <v>#DIV/0!</v>
      </c>
      <c r="BX121" s="51" t="e">
        <f t="shared" si="62"/>
        <v>#DIV/0!</v>
      </c>
      <c r="BY121" s="51" t="e">
        <f t="shared" si="63"/>
        <v>#DIV/0!</v>
      </c>
      <c r="BZ121" s="51" t="e">
        <f t="shared" si="64"/>
        <v>#DIV/0!</v>
      </c>
      <c r="CA121" s="51" t="e">
        <f t="shared" si="65"/>
        <v>#DIV/0!</v>
      </c>
      <c r="CB121" s="51" t="e">
        <f t="shared" si="66"/>
        <v>#DIV/0!</v>
      </c>
      <c r="CC121" s="51" t="e">
        <f t="shared" si="67"/>
        <v>#DIV/0!</v>
      </c>
      <c r="CD121" s="51" t="e">
        <f t="shared" si="68"/>
        <v>#DIV/0!</v>
      </c>
      <c r="CE121" s="53">
        <f t="shared" si="50"/>
        <v>0</v>
      </c>
      <c r="CF121" s="53">
        <f t="shared" si="77"/>
        <v>0</v>
      </c>
      <c r="CG121" s="53">
        <f t="shared" si="77"/>
        <v>0</v>
      </c>
      <c r="CH121" s="53">
        <f t="shared" si="77"/>
        <v>0</v>
      </c>
      <c r="CI121" s="53">
        <f t="shared" si="77"/>
        <v>0</v>
      </c>
      <c r="CJ121" s="53">
        <f t="shared" si="77"/>
        <v>0</v>
      </c>
      <c r="CK121" s="53">
        <f t="shared" si="77"/>
        <v>0</v>
      </c>
      <c r="CL121" s="53">
        <f t="shared" si="77"/>
        <v>0</v>
      </c>
      <c r="CM121" s="53">
        <f t="shared" si="77"/>
        <v>0</v>
      </c>
    </row>
    <row r="122" spans="1:91" x14ac:dyDescent="0.15">
      <c r="A122" s="41">
        <v>120</v>
      </c>
      <c r="B122" s="43">
        <f>B$111</f>
        <v>1</v>
      </c>
      <c r="C122" s="43">
        <f t="shared" si="82"/>
        <v>1</v>
      </c>
      <c r="D122" s="43">
        <f t="shared" si="82"/>
        <v>1</v>
      </c>
      <c r="E122" s="43">
        <f t="shared" si="82"/>
        <v>1</v>
      </c>
      <c r="F122" s="43">
        <f t="shared" si="82"/>
        <v>1</v>
      </c>
      <c r="G122" s="43">
        <f t="shared" si="82"/>
        <v>1</v>
      </c>
      <c r="H122" s="43">
        <f t="shared" si="82"/>
        <v>1</v>
      </c>
      <c r="I122" s="43">
        <f t="shared" si="82"/>
        <v>1</v>
      </c>
      <c r="J122" s="43">
        <f t="shared" si="82"/>
        <v>1</v>
      </c>
      <c r="K122" s="43" t="e">
        <f>K121+ATM_Conf!$C$5*(T121-AC121)</f>
        <v>#DIV/0!</v>
      </c>
      <c r="L122" s="43" t="e">
        <f>L121+ATM_Conf!$C$5*(U121-AD121)</f>
        <v>#DIV/0!</v>
      </c>
      <c r="M122" s="43" t="e">
        <f>M121+ATM_Conf!$C$5*(V121-AE121)</f>
        <v>#DIV/0!</v>
      </c>
      <c r="N122" s="43" t="e">
        <f>N121+ATM_Conf!$C$5*(W121-AF121)</f>
        <v>#DIV/0!</v>
      </c>
      <c r="O122" s="43" t="e">
        <f>O121+ATM_Conf!$C$5*(X121-AG121)</f>
        <v>#DIV/0!</v>
      </c>
      <c r="P122" s="43" t="e">
        <f>P121+ATM_Conf!$C$5*(Y121-AH121)</f>
        <v>#DIV/0!</v>
      </c>
      <c r="Q122" s="43" t="e">
        <f>Q121+ATM_Conf!$C$5*(Z121-AI121)</f>
        <v>#DIV/0!</v>
      </c>
      <c r="R122" s="43" t="e">
        <f>R121+ATM_Conf!$C$5*(AA121-AJ121)</f>
        <v>#DIV/0!</v>
      </c>
      <c r="S122" s="43" t="e">
        <f>S121+ATM_Conf!$C$5*(AB121-AK121)</f>
        <v>#DIV/0!</v>
      </c>
      <c r="T122" s="43">
        <f t="shared" si="48"/>
        <v>0</v>
      </c>
      <c r="U122" s="43">
        <f t="shared" si="75"/>
        <v>0</v>
      </c>
      <c r="V122" s="43">
        <f t="shared" si="75"/>
        <v>0</v>
      </c>
      <c r="W122" s="43">
        <f t="shared" si="75"/>
        <v>0</v>
      </c>
      <c r="X122" s="43">
        <f t="shared" si="75"/>
        <v>0</v>
      </c>
      <c r="Y122" s="43">
        <f t="shared" si="75"/>
        <v>0</v>
      </c>
      <c r="Z122" s="43">
        <f t="shared" si="75"/>
        <v>0</v>
      </c>
      <c r="AA122" s="43">
        <f t="shared" si="75"/>
        <v>0</v>
      </c>
      <c r="AB122" s="43">
        <f t="shared" si="75"/>
        <v>0</v>
      </c>
      <c r="AC122" s="43" t="e">
        <f t="shared" si="51"/>
        <v>#DIV/0!</v>
      </c>
      <c r="AD122" s="43" t="e">
        <f t="shared" si="52"/>
        <v>#DIV/0!</v>
      </c>
      <c r="AE122" s="43" t="e">
        <f t="shared" si="53"/>
        <v>#DIV/0!</v>
      </c>
      <c r="AF122" s="43" t="e">
        <f t="shared" si="54"/>
        <v>#DIV/0!</v>
      </c>
      <c r="AG122" s="43" t="e">
        <f t="shared" si="55"/>
        <v>#DIV/0!</v>
      </c>
      <c r="AH122" s="43" t="e">
        <f t="shared" si="56"/>
        <v>#DIV/0!</v>
      </c>
      <c r="AI122" s="43" t="e">
        <f t="shared" si="57"/>
        <v>#DIV/0!</v>
      </c>
      <c r="AJ122" s="43" t="e">
        <f t="shared" si="58"/>
        <v>#DIV/0!</v>
      </c>
      <c r="AK122" s="43" t="e">
        <f t="shared" si="59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49"/>
        <v>0</v>
      </c>
      <c r="BE122" s="43">
        <f t="shared" si="76"/>
        <v>0</v>
      </c>
      <c r="BF122" s="43">
        <f t="shared" si="76"/>
        <v>0</v>
      </c>
      <c r="BG122" s="43">
        <f t="shared" si="76"/>
        <v>0</v>
      </c>
      <c r="BH122" s="43">
        <f t="shared" si="76"/>
        <v>0</v>
      </c>
      <c r="BI122" s="43">
        <f t="shared" si="76"/>
        <v>0</v>
      </c>
      <c r="BJ122" s="43">
        <f t="shared" si="76"/>
        <v>0</v>
      </c>
      <c r="BK122" s="43">
        <f t="shared" si="76"/>
        <v>0</v>
      </c>
      <c r="BL122" s="43">
        <f t="shared" si="76"/>
        <v>0</v>
      </c>
      <c r="BM122" s="51"/>
      <c r="BN122" s="51"/>
      <c r="BO122" s="51"/>
      <c r="BP122" s="51"/>
      <c r="BQ122" s="51"/>
      <c r="BR122" s="51"/>
      <c r="BS122" s="51"/>
      <c r="BT122" s="51"/>
      <c r="BU122" s="51"/>
      <c r="BV122" s="51" t="e">
        <f t="shared" si="60"/>
        <v>#DIV/0!</v>
      </c>
      <c r="BW122" s="51" t="e">
        <f t="shared" si="61"/>
        <v>#DIV/0!</v>
      </c>
      <c r="BX122" s="51" t="e">
        <f t="shared" si="62"/>
        <v>#DIV/0!</v>
      </c>
      <c r="BY122" s="51" t="e">
        <f t="shared" si="63"/>
        <v>#DIV/0!</v>
      </c>
      <c r="BZ122" s="51" t="e">
        <f t="shared" si="64"/>
        <v>#DIV/0!</v>
      </c>
      <c r="CA122" s="51" t="e">
        <f t="shared" si="65"/>
        <v>#DIV/0!</v>
      </c>
      <c r="CB122" s="51" t="e">
        <f t="shared" si="66"/>
        <v>#DIV/0!</v>
      </c>
      <c r="CC122" s="51" t="e">
        <f t="shared" si="67"/>
        <v>#DIV/0!</v>
      </c>
      <c r="CD122" s="51" t="e">
        <f t="shared" si="68"/>
        <v>#DIV/0!</v>
      </c>
      <c r="CE122" s="53">
        <f t="shared" si="50"/>
        <v>0</v>
      </c>
      <c r="CF122" s="53">
        <f t="shared" si="77"/>
        <v>0</v>
      </c>
      <c r="CG122" s="53">
        <f t="shared" si="77"/>
        <v>0</v>
      </c>
      <c r="CH122" s="53">
        <f t="shared" si="77"/>
        <v>0</v>
      </c>
      <c r="CI122" s="53">
        <f t="shared" si="77"/>
        <v>0</v>
      </c>
      <c r="CJ122" s="53">
        <f t="shared" si="77"/>
        <v>0</v>
      </c>
      <c r="CK122" s="53">
        <f t="shared" si="77"/>
        <v>0</v>
      </c>
      <c r="CL122" s="53">
        <f t="shared" si="77"/>
        <v>0</v>
      </c>
      <c r="CM122" s="53">
        <f t="shared" si="77"/>
        <v>0</v>
      </c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 t="e">
        <f>K122+ATM_Conf!$C$5*(T122-AC122)</f>
        <v>#DIV/0!</v>
      </c>
      <c r="L123" s="43" t="e">
        <f>L122+ATM_Conf!$C$5*(U122-AD122)</f>
        <v>#DIV/0!</v>
      </c>
      <c r="M123" s="43" t="e">
        <f>M122+ATM_Conf!$C$5*(V122-AE122)</f>
        <v>#DIV/0!</v>
      </c>
      <c r="N123" s="43" t="e">
        <f>N122+ATM_Conf!$C$5*(W122-AF122)</f>
        <v>#DIV/0!</v>
      </c>
      <c r="O123" s="43" t="e">
        <f>O122+ATM_Conf!$C$5*(X122-AG122)</f>
        <v>#DIV/0!</v>
      </c>
      <c r="P123" s="43" t="e">
        <f>P122+ATM_Conf!$C$5*(Y122-AH122)</f>
        <v>#DIV/0!</v>
      </c>
      <c r="Q123" s="43" t="e">
        <f>Q122+ATM_Conf!$C$5*(Z122-AI122)</f>
        <v>#DIV/0!</v>
      </c>
      <c r="R123" s="43" t="e">
        <f>R122+ATM_Conf!$C$5*(AA122-AJ122)</f>
        <v>#DIV/0!</v>
      </c>
      <c r="S123" s="43" t="e">
        <f>S122+ATM_Conf!$C$5*(AB122-AK122)</f>
        <v>#DIV/0!</v>
      </c>
      <c r="T123" s="43">
        <f t="shared" si="48"/>
        <v>0</v>
      </c>
      <c r="U123" s="43">
        <f t="shared" si="75"/>
        <v>0</v>
      </c>
      <c r="V123" s="43">
        <f t="shared" si="75"/>
        <v>0</v>
      </c>
      <c r="W123" s="43">
        <f t="shared" si="75"/>
        <v>0</v>
      </c>
      <c r="X123" s="43">
        <f t="shared" si="75"/>
        <v>0</v>
      </c>
      <c r="Y123" s="43">
        <f t="shared" si="75"/>
        <v>0</v>
      </c>
      <c r="Z123" s="43">
        <f t="shared" si="75"/>
        <v>0</v>
      </c>
      <c r="AA123" s="43">
        <f t="shared" si="75"/>
        <v>0</v>
      </c>
      <c r="AB123" s="43">
        <f t="shared" si="75"/>
        <v>0</v>
      </c>
      <c r="AC123" s="43" t="e">
        <f t="shared" si="51"/>
        <v>#DIV/0!</v>
      </c>
      <c r="AD123" s="43" t="e">
        <f t="shared" si="52"/>
        <v>#DIV/0!</v>
      </c>
      <c r="AE123" s="43" t="e">
        <f t="shared" si="53"/>
        <v>#DIV/0!</v>
      </c>
      <c r="AF123" s="43" t="e">
        <f t="shared" si="54"/>
        <v>#DIV/0!</v>
      </c>
      <c r="AG123" s="43" t="e">
        <f t="shared" si="55"/>
        <v>#DIV/0!</v>
      </c>
      <c r="AH123" s="43" t="e">
        <f t="shared" si="56"/>
        <v>#DIV/0!</v>
      </c>
      <c r="AI123" s="43" t="e">
        <f t="shared" si="57"/>
        <v>#DIV/0!</v>
      </c>
      <c r="AJ123" s="43" t="e">
        <f t="shared" si="58"/>
        <v>#DIV/0!</v>
      </c>
      <c r="AK123" s="43" t="e">
        <f t="shared" si="59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49"/>
        <v>0</v>
      </c>
      <c r="BE123" s="43">
        <f t="shared" si="76"/>
        <v>0</v>
      </c>
      <c r="BF123" s="43">
        <f t="shared" si="76"/>
        <v>0</v>
      </c>
      <c r="BG123" s="43">
        <f t="shared" si="76"/>
        <v>0</v>
      </c>
      <c r="BH123" s="43">
        <f t="shared" si="76"/>
        <v>0</v>
      </c>
      <c r="BI123" s="43">
        <f t="shared" si="76"/>
        <v>0</v>
      </c>
      <c r="BJ123" s="43">
        <f t="shared" si="76"/>
        <v>0</v>
      </c>
      <c r="BK123" s="43">
        <f t="shared" si="76"/>
        <v>0</v>
      </c>
      <c r="BL123" s="43">
        <f t="shared" si="76"/>
        <v>0</v>
      </c>
      <c r="BM123" s="51">
        <f>(B123-B111)^2</f>
        <v>0</v>
      </c>
      <c r="BN123" s="51">
        <f t="shared" ref="BN123:BU123" si="84">(C123-C111)^2</f>
        <v>0</v>
      </c>
      <c r="BO123" s="51">
        <f t="shared" si="84"/>
        <v>0</v>
      </c>
      <c r="BP123" s="51">
        <f t="shared" si="84"/>
        <v>0</v>
      </c>
      <c r="BQ123" s="51">
        <f t="shared" si="84"/>
        <v>0</v>
      </c>
      <c r="BR123" s="51">
        <f t="shared" si="84"/>
        <v>0</v>
      </c>
      <c r="BS123" s="51">
        <f t="shared" si="84"/>
        <v>0</v>
      </c>
      <c r="BT123" s="51">
        <f t="shared" si="84"/>
        <v>0</v>
      </c>
      <c r="BU123" s="51">
        <f t="shared" si="84"/>
        <v>0</v>
      </c>
      <c r="BV123" s="51" t="e">
        <f t="shared" si="60"/>
        <v>#DIV/0!</v>
      </c>
      <c r="BW123" s="51" t="e">
        <f t="shared" si="61"/>
        <v>#DIV/0!</v>
      </c>
      <c r="BX123" s="51" t="e">
        <f t="shared" si="62"/>
        <v>#DIV/0!</v>
      </c>
      <c r="BY123" s="51" t="e">
        <f t="shared" si="63"/>
        <v>#DIV/0!</v>
      </c>
      <c r="BZ123" s="51" t="e">
        <f t="shared" si="64"/>
        <v>#DIV/0!</v>
      </c>
      <c r="CA123" s="51" t="e">
        <f t="shared" si="65"/>
        <v>#DIV/0!</v>
      </c>
      <c r="CB123" s="51" t="e">
        <f t="shared" si="66"/>
        <v>#DIV/0!</v>
      </c>
      <c r="CC123" s="51" t="e">
        <f t="shared" si="67"/>
        <v>#DIV/0!</v>
      </c>
      <c r="CD123" s="51" t="e">
        <f t="shared" si="68"/>
        <v>#DIV/0!</v>
      </c>
      <c r="CE123" s="53">
        <f t="shared" si="50"/>
        <v>0</v>
      </c>
      <c r="CF123" s="53">
        <f t="shared" si="77"/>
        <v>0</v>
      </c>
      <c r="CG123" s="53">
        <f t="shared" si="77"/>
        <v>0</v>
      </c>
      <c r="CH123" s="53">
        <f t="shared" si="77"/>
        <v>0</v>
      </c>
      <c r="CI123" s="53">
        <f t="shared" si="77"/>
        <v>0</v>
      </c>
      <c r="CJ123" s="53">
        <f t="shared" si="77"/>
        <v>0</v>
      </c>
      <c r="CK123" s="53">
        <f t="shared" si="77"/>
        <v>0</v>
      </c>
      <c r="CL123" s="53">
        <f t="shared" si="77"/>
        <v>0</v>
      </c>
      <c r="CM123" s="53">
        <f t="shared" si="77"/>
        <v>0</v>
      </c>
    </row>
    <row r="124" spans="1:91" x14ac:dyDescent="0.15">
      <c r="A124" s="41">
        <v>122</v>
      </c>
      <c r="B124" s="43">
        <f>B$123</f>
        <v>1</v>
      </c>
      <c r="C124" s="43">
        <f t="shared" ref="C124:J134" si="85">C$123</f>
        <v>1</v>
      </c>
      <c r="D124" s="43">
        <f t="shared" si="85"/>
        <v>1</v>
      </c>
      <c r="E124" s="43">
        <f t="shared" si="85"/>
        <v>1</v>
      </c>
      <c r="F124" s="43">
        <f t="shared" si="85"/>
        <v>1</v>
      </c>
      <c r="G124" s="43">
        <f t="shared" si="85"/>
        <v>1</v>
      </c>
      <c r="H124" s="43">
        <f t="shared" si="85"/>
        <v>1</v>
      </c>
      <c r="I124" s="43">
        <f t="shared" si="85"/>
        <v>1</v>
      </c>
      <c r="J124" s="43">
        <f t="shared" si="85"/>
        <v>1</v>
      </c>
      <c r="K124" s="43" t="e">
        <f>K123+ATM_Conf!$C$5*(T123-AC123)</f>
        <v>#DIV/0!</v>
      </c>
      <c r="L124" s="43" t="e">
        <f>L123+ATM_Conf!$C$5*(U123-AD123)</f>
        <v>#DIV/0!</v>
      </c>
      <c r="M124" s="43" t="e">
        <f>M123+ATM_Conf!$C$5*(V123-AE123)</f>
        <v>#DIV/0!</v>
      </c>
      <c r="N124" s="43" t="e">
        <f>N123+ATM_Conf!$C$5*(W123-AF123)</f>
        <v>#DIV/0!</v>
      </c>
      <c r="O124" s="43" t="e">
        <f>O123+ATM_Conf!$C$5*(X123-AG123)</f>
        <v>#DIV/0!</v>
      </c>
      <c r="P124" s="43" t="e">
        <f>P123+ATM_Conf!$C$5*(Y123-AH123)</f>
        <v>#DIV/0!</v>
      </c>
      <c r="Q124" s="43" t="e">
        <f>Q123+ATM_Conf!$C$5*(Z123-AI123)</f>
        <v>#DIV/0!</v>
      </c>
      <c r="R124" s="43" t="e">
        <f>R123+ATM_Conf!$C$5*(AA123-AJ123)</f>
        <v>#DIV/0!</v>
      </c>
      <c r="S124" s="43" t="e">
        <f>S123+ATM_Conf!$C$5*(AB123-AK123)</f>
        <v>#DIV/0!</v>
      </c>
      <c r="T124" s="43">
        <f t="shared" si="48"/>
        <v>0</v>
      </c>
      <c r="U124" s="43">
        <f t="shared" si="75"/>
        <v>0</v>
      </c>
      <c r="V124" s="43">
        <f t="shared" si="75"/>
        <v>0</v>
      </c>
      <c r="W124" s="43">
        <f t="shared" si="75"/>
        <v>0</v>
      </c>
      <c r="X124" s="43">
        <f t="shared" si="75"/>
        <v>0</v>
      </c>
      <c r="Y124" s="43">
        <f t="shared" si="75"/>
        <v>0</v>
      </c>
      <c r="Z124" s="43">
        <f t="shared" si="75"/>
        <v>0</v>
      </c>
      <c r="AA124" s="43">
        <f t="shared" si="75"/>
        <v>0</v>
      </c>
      <c r="AB124" s="43">
        <f t="shared" si="75"/>
        <v>0</v>
      </c>
      <c r="AC124" s="43" t="e">
        <f t="shared" si="51"/>
        <v>#DIV/0!</v>
      </c>
      <c r="AD124" s="43" t="e">
        <f t="shared" si="52"/>
        <v>#DIV/0!</v>
      </c>
      <c r="AE124" s="43" t="e">
        <f t="shared" si="53"/>
        <v>#DIV/0!</v>
      </c>
      <c r="AF124" s="43" t="e">
        <f t="shared" si="54"/>
        <v>#DIV/0!</v>
      </c>
      <c r="AG124" s="43" t="e">
        <f t="shared" si="55"/>
        <v>#DIV/0!</v>
      </c>
      <c r="AH124" s="43" t="e">
        <f t="shared" si="56"/>
        <v>#DIV/0!</v>
      </c>
      <c r="AI124" s="43" t="e">
        <f t="shared" si="57"/>
        <v>#DIV/0!</v>
      </c>
      <c r="AJ124" s="43" t="e">
        <f t="shared" si="58"/>
        <v>#DIV/0!</v>
      </c>
      <c r="AK124" s="43" t="e">
        <f t="shared" si="59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49"/>
        <v>0</v>
      </c>
      <c r="BE124" s="43">
        <f t="shared" si="76"/>
        <v>0</v>
      </c>
      <c r="BF124" s="43">
        <f t="shared" si="76"/>
        <v>0</v>
      </c>
      <c r="BG124" s="43">
        <f t="shared" si="76"/>
        <v>0</v>
      </c>
      <c r="BH124" s="43">
        <f t="shared" si="76"/>
        <v>0</v>
      </c>
      <c r="BI124" s="43">
        <f t="shared" si="76"/>
        <v>0</v>
      </c>
      <c r="BJ124" s="43">
        <f t="shared" si="76"/>
        <v>0</v>
      </c>
      <c r="BK124" s="43">
        <f t="shared" si="76"/>
        <v>0</v>
      </c>
      <c r="BL124" s="43">
        <f t="shared" si="76"/>
        <v>0</v>
      </c>
      <c r="BM124" s="51"/>
      <c r="BN124" s="51"/>
      <c r="BO124" s="51"/>
      <c r="BP124" s="51"/>
      <c r="BQ124" s="51"/>
      <c r="BR124" s="51"/>
      <c r="BS124" s="51"/>
      <c r="BT124" s="51"/>
      <c r="BU124" s="51"/>
      <c r="BV124" s="51" t="e">
        <f t="shared" si="60"/>
        <v>#DIV/0!</v>
      </c>
      <c r="BW124" s="51" t="e">
        <f t="shared" si="61"/>
        <v>#DIV/0!</v>
      </c>
      <c r="BX124" s="51" t="e">
        <f t="shared" si="62"/>
        <v>#DIV/0!</v>
      </c>
      <c r="BY124" s="51" t="e">
        <f t="shared" si="63"/>
        <v>#DIV/0!</v>
      </c>
      <c r="BZ124" s="51" t="e">
        <f t="shared" si="64"/>
        <v>#DIV/0!</v>
      </c>
      <c r="CA124" s="51" t="e">
        <f t="shared" si="65"/>
        <v>#DIV/0!</v>
      </c>
      <c r="CB124" s="51" t="e">
        <f t="shared" si="66"/>
        <v>#DIV/0!</v>
      </c>
      <c r="CC124" s="51" t="e">
        <f t="shared" si="67"/>
        <v>#DIV/0!</v>
      </c>
      <c r="CD124" s="51" t="e">
        <f t="shared" si="68"/>
        <v>#DIV/0!</v>
      </c>
      <c r="CE124" s="53">
        <f t="shared" si="50"/>
        <v>0</v>
      </c>
      <c r="CF124" s="53">
        <f t="shared" si="77"/>
        <v>0</v>
      </c>
      <c r="CG124" s="53">
        <f t="shared" si="77"/>
        <v>0</v>
      </c>
      <c r="CH124" s="53">
        <f t="shared" si="77"/>
        <v>0</v>
      </c>
      <c r="CI124" s="53">
        <f t="shared" si="77"/>
        <v>0</v>
      </c>
      <c r="CJ124" s="53">
        <f t="shared" si="77"/>
        <v>0</v>
      </c>
      <c r="CK124" s="53">
        <f t="shared" si="77"/>
        <v>0</v>
      </c>
      <c r="CL124" s="53">
        <f t="shared" si="77"/>
        <v>0</v>
      </c>
      <c r="CM124" s="53">
        <f t="shared" si="77"/>
        <v>0</v>
      </c>
    </row>
    <row r="125" spans="1:91" x14ac:dyDescent="0.15">
      <c r="A125" s="41">
        <v>123</v>
      </c>
      <c r="B125" s="43">
        <f t="shared" ref="B125:B134" si="86">B$123</f>
        <v>1</v>
      </c>
      <c r="C125" s="43">
        <f t="shared" si="85"/>
        <v>1</v>
      </c>
      <c r="D125" s="43">
        <f t="shared" si="85"/>
        <v>1</v>
      </c>
      <c r="E125" s="43">
        <f t="shared" si="85"/>
        <v>1</v>
      </c>
      <c r="F125" s="43">
        <f t="shared" si="85"/>
        <v>1</v>
      </c>
      <c r="G125" s="43">
        <f t="shared" si="85"/>
        <v>1</v>
      </c>
      <c r="H125" s="43">
        <f t="shared" si="85"/>
        <v>1</v>
      </c>
      <c r="I125" s="43">
        <f t="shared" si="85"/>
        <v>1</v>
      </c>
      <c r="J125" s="43">
        <f t="shared" si="85"/>
        <v>1</v>
      </c>
      <c r="K125" s="43" t="e">
        <f>K124+ATM_Conf!$C$5*(T124-AC124)</f>
        <v>#DIV/0!</v>
      </c>
      <c r="L125" s="43" t="e">
        <f>L124+ATM_Conf!$C$5*(U124-AD124)</f>
        <v>#DIV/0!</v>
      </c>
      <c r="M125" s="43" t="e">
        <f>M124+ATM_Conf!$C$5*(V124-AE124)</f>
        <v>#DIV/0!</v>
      </c>
      <c r="N125" s="43" t="e">
        <f>N124+ATM_Conf!$C$5*(W124-AF124)</f>
        <v>#DIV/0!</v>
      </c>
      <c r="O125" s="43" t="e">
        <f>O124+ATM_Conf!$C$5*(X124-AG124)</f>
        <v>#DIV/0!</v>
      </c>
      <c r="P125" s="43" t="e">
        <f>P124+ATM_Conf!$C$5*(Y124-AH124)</f>
        <v>#DIV/0!</v>
      </c>
      <c r="Q125" s="43" t="e">
        <f>Q124+ATM_Conf!$C$5*(Z124-AI124)</f>
        <v>#DIV/0!</v>
      </c>
      <c r="R125" s="43" t="e">
        <f>R124+ATM_Conf!$C$5*(AA124-AJ124)</f>
        <v>#DIV/0!</v>
      </c>
      <c r="S125" s="43" t="e">
        <f>S124+ATM_Conf!$C$5*(AB124-AK124)</f>
        <v>#DIV/0!</v>
      </c>
      <c r="T125" s="43">
        <f t="shared" si="48"/>
        <v>0</v>
      </c>
      <c r="U125" s="43">
        <f t="shared" si="75"/>
        <v>0</v>
      </c>
      <c r="V125" s="43">
        <f t="shared" si="75"/>
        <v>0</v>
      </c>
      <c r="W125" s="43">
        <f t="shared" si="75"/>
        <v>0</v>
      </c>
      <c r="X125" s="43">
        <f t="shared" si="75"/>
        <v>0</v>
      </c>
      <c r="Y125" s="43">
        <f t="shared" si="75"/>
        <v>0</v>
      </c>
      <c r="Z125" s="43">
        <f t="shared" si="75"/>
        <v>0</v>
      </c>
      <c r="AA125" s="43">
        <f t="shared" si="75"/>
        <v>0</v>
      </c>
      <c r="AB125" s="43">
        <f t="shared" si="75"/>
        <v>0</v>
      </c>
      <c r="AC125" s="43" t="e">
        <f t="shared" si="51"/>
        <v>#DIV/0!</v>
      </c>
      <c r="AD125" s="43" t="e">
        <f t="shared" si="52"/>
        <v>#DIV/0!</v>
      </c>
      <c r="AE125" s="43" t="e">
        <f t="shared" si="53"/>
        <v>#DIV/0!</v>
      </c>
      <c r="AF125" s="43" t="e">
        <f t="shared" si="54"/>
        <v>#DIV/0!</v>
      </c>
      <c r="AG125" s="43" t="e">
        <f t="shared" si="55"/>
        <v>#DIV/0!</v>
      </c>
      <c r="AH125" s="43" t="e">
        <f t="shared" si="56"/>
        <v>#DIV/0!</v>
      </c>
      <c r="AI125" s="43" t="e">
        <f t="shared" si="57"/>
        <v>#DIV/0!</v>
      </c>
      <c r="AJ125" s="43" t="e">
        <f t="shared" si="58"/>
        <v>#DIV/0!</v>
      </c>
      <c r="AK125" s="43" t="e">
        <f t="shared" si="59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49"/>
        <v>0</v>
      </c>
      <c r="BE125" s="43">
        <f t="shared" si="76"/>
        <v>0</v>
      </c>
      <c r="BF125" s="43">
        <f t="shared" si="76"/>
        <v>0</v>
      </c>
      <c r="BG125" s="43">
        <f t="shared" si="76"/>
        <v>0</v>
      </c>
      <c r="BH125" s="43">
        <f t="shared" si="76"/>
        <v>0</v>
      </c>
      <c r="BI125" s="43">
        <f t="shared" si="76"/>
        <v>0</v>
      </c>
      <c r="BJ125" s="43">
        <f t="shared" si="76"/>
        <v>0</v>
      </c>
      <c r="BK125" s="43">
        <f t="shared" si="76"/>
        <v>0</v>
      </c>
      <c r="BL125" s="43">
        <f t="shared" si="76"/>
        <v>0</v>
      </c>
      <c r="BM125" s="51"/>
      <c r="BN125" s="51"/>
      <c r="BO125" s="51"/>
      <c r="BP125" s="51"/>
      <c r="BQ125" s="51"/>
      <c r="BR125" s="51"/>
      <c r="BS125" s="51"/>
      <c r="BT125" s="51"/>
      <c r="BU125" s="51"/>
      <c r="BV125" s="51" t="e">
        <f t="shared" si="60"/>
        <v>#DIV/0!</v>
      </c>
      <c r="BW125" s="51" t="e">
        <f t="shared" si="61"/>
        <v>#DIV/0!</v>
      </c>
      <c r="BX125" s="51" t="e">
        <f t="shared" si="62"/>
        <v>#DIV/0!</v>
      </c>
      <c r="BY125" s="51" t="e">
        <f t="shared" si="63"/>
        <v>#DIV/0!</v>
      </c>
      <c r="BZ125" s="51" t="e">
        <f t="shared" si="64"/>
        <v>#DIV/0!</v>
      </c>
      <c r="CA125" s="51" t="e">
        <f t="shared" si="65"/>
        <v>#DIV/0!</v>
      </c>
      <c r="CB125" s="51" t="e">
        <f t="shared" si="66"/>
        <v>#DIV/0!</v>
      </c>
      <c r="CC125" s="51" t="e">
        <f t="shared" si="67"/>
        <v>#DIV/0!</v>
      </c>
      <c r="CD125" s="51" t="e">
        <f t="shared" si="68"/>
        <v>#DIV/0!</v>
      </c>
      <c r="CE125" s="53">
        <f t="shared" si="50"/>
        <v>0</v>
      </c>
      <c r="CF125" s="53">
        <f t="shared" si="77"/>
        <v>0</v>
      </c>
      <c r="CG125" s="53">
        <f t="shared" si="77"/>
        <v>0</v>
      </c>
      <c r="CH125" s="53">
        <f t="shared" si="77"/>
        <v>0</v>
      </c>
      <c r="CI125" s="53">
        <f t="shared" si="77"/>
        <v>0</v>
      </c>
      <c r="CJ125" s="53">
        <f t="shared" si="77"/>
        <v>0</v>
      </c>
      <c r="CK125" s="53">
        <f t="shared" si="77"/>
        <v>0</v>
      </c>
      <c r="CL125" s="53">
        <f t="shared" si="77"/>
        <v>0</v>
      </c>
      <c r="CM125" s="53">
        <f t="shared" si="77"/>
        <v>0</v>
      </c>
    </row>
    <row r="126" spans="1:91" x14ac:dyDescent="0.15">
      <c r="A126" s="41">
        <v>124</v>
      </c>
      <c r="B126" s="43">
        <f t="shared" si="86"/>
        <v>1</v>
      </c>
      <c r="C126" s="43">
        <f t="shared" si="85"/>
        <v>1</v>
      </c>
      <c r="D126" s="43">
        <f t="shared" si="85"/>
        <v>1</v>
      </c>
      <c r="E126" s="43">
        <f t="shared" si="85"/>
        <v>1</v>
      </c>
      <c r="F126" s="43">
        <f t="shared" si="85"/>
        <v>1</v>
      </c>
      <c r="G126" s="43">
        <f t="shared" si="85"/>
        <v>1</v>
      </c>
      <c r="H126" s="43">
        <f t="shared" si="85"/>
        <v>1</v>
      </c>
      <c r="I126" s="43">
        <f t="shared" si="85"/>
        <v>1</v>
      </c>
      <c r="J126" s="43">
        <f t="shared" si="85"/>
        <v>1</v>
      </c>
      <c r="K126" s="43" t="e">
        <f>K125+ATM_Conf!$C$5*(T125-AC125)</f>
        <v>#DIV/0!</v>
      </c>
      <c r="L126" s="43" t="e">
        <f>L125+ATM_Conf!$C$5*(U125-AD125)</f>
        <v>#DIV/0!</v>
      </c>
      <c r="M126" s="43" t="e">
        <f>M125+ATM_Conf!$C$5*(V125-AE125)</f>
        <v>#DIV/0!</v>
      </c>
      <c r="N126" s="43" t="e">
        <f>N125+ATM_Conf!$C$5*(W125-AF125)</f>
        <v>#DIV/0!</v>
      </c>
      <c r="O126" s="43" t="e">
        <f>O125+ATM_Conf!$C$5*(X125-AG125)</f>
        <v>#DIV/0!</v>
      </c>
      <c r="P126" s="43" t="e">
        <f>P125+ATM_Conf!$C$5*(Y125-AH125)</f>
        <v>#DIV/0!</v>
      </c>
      <c r="Q126" s="43" t="e">
        <f>Q125+ATM_Conf!$C$5*(Z125-AI125)</f>
        <v>#DIV/0!</v>
      </c>
      <c r="R126" s="43" t="e">
        <f>R125+ATM_Conf!$C$5*(AA125-AJ125)</f>
        <v>#DIV/0!</v>
      </c>
      <c r="S126" s="43" t="e">
        <f>S125+ATM_Conf!$C$5*(AB125-AK125)</f>
        <v>#DIV/0!</v>
      </c>
      <c r="T126" s="43">
        <f t="shared" si="48"/>
        <v>0</v>
      </c>
      <c r="U126" s="43">
        <f t="shared" si="75"/>
        <v>0</v>
      </c>
      <c r="V126" s="43">
        <f t="shared" si="75"/>
        <v>0</v>
      </c>
      <c r="W126" s="43">
        <f t="shared" si="75"/>
        <v>0</v>
      </c>
      <c r="X126" s="43">
        <f t="shared" si="75"/>
        <v>0</v>
      </c>
      <c r="Y126" s="43">
        <f t="shared" si="75"/>
        <v>0</v>
      </c>
      <c r="Z126" s="43">
        <f t="shared" si="75"/>
        <v>0</v>
      </c>
      <c r="AA126" s="43">
        <f t="shared" si="75"/>
        <v>0</v>
      </c>
      <c r="AB126" s="43">
        <f t="shared" si="75"/>
        <v>0</v>
      </c>
      <c r="AC126" s="43" t="e">
        <f t="shared" si="51"/>
        <v>#DIV/0!</v>
      </c>
      <c r="AD126" s="43" t="e">
        <f t="shared" si="52"/>
        <v>#DIV/0!</v>
      </c>
      <c r="AE126" s="43" t="e">
        <f t="shared" si="53"/>
        <v>#DIV/0!</v>
      </c>
      <c r="AF126" s="43" t="e">
        <f t="shared" si="54"/>
        <v>#DIV/0!</v>
      </c>
      <c r="AG126" s="43" t="e">
        <f t="shared" si="55"/>
        <v>#DIV/0!</v>
      </c>
      <c r="AH126" s="43" t="e">
        <f t="shared" si="56"/>
        <v>#DIV/0!</v>
      </c>
      <c r="AI126" s="43" t="e">
        <f t="shared" si="57"/>
        <v>#DIV/0!</v>
      </c>
      <c r="AJ126" s="43" t="e">
        <f t="shared" si="58"/>
        <v>#DIV/0!</v>
      </c>
      <c r="AK126" s="43" t="e">
        <f t="shared" si="59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49"/>
        <v>0</v>
      </c>
      <c r="BE126" s="43">
        <f t="shared" si="76"/>
        <v>0</v>
      </c>
      <c r="BF126" s="43">
        <f t="shared" si="76"/>
        <v>0</v>
      </c>
      <c r="BG126" s="43">
        <f t="shared" si="76"/>
        <v>0</v>
      </c>
      <c r="BH126" s="43">
        <f t="shared" si="76"/>
        <v>0</v>
      </c>
      <c r="BI126" s="43">
        <f t="shared" si="76"/>
        <v>0</v>
      </c>
      <c r="BJ126" s="43">
        <f t="shared" si="76"/>
        <v>0</v>
      </c>
      <c r="BK126" s="43">
        <f t="shared" si="76"/>
        <v>0</v>
      </c>
      <c r="BL126" s="43">
        <f t="shared" si="76"/>
        <v>0</v>
      </c>
      <c r="BM126" s="51"/>
      <c r="BN126" s="51"/>
      <c r="BO126" s="51"/>
      <c r="BP126" s="51"/>
      <c r="BQ126" s="51"/>
      <c r="BR126" s="51"/>
      <c r="BS126" s="51"/>
      <c r="BT126" s="51"/>
      <c r="BU126" s="51"/>
      <c r="BV126" s="51" t="e">
        <f t="shared" si="60"/>
        <v>#DIV/0!</v>
      </c>
      <c r="BW126" s="51" t="e">
        <f t="shared" si="61"/>
        <v>#DIV/0!</v>
      </c>
      <c r="BX126" s="51" t="e">
        <f t="shared" si="62"/>
        <v>#DIV/0!</v>
      </c>
      <c r="BY126" s="51" t="e">
        <f t="shared" si="63"/>
        <v>#DIV/0!</v>
      </c>
      <c r="BZ126" s="51" t="e">
        <f t="shared" si="64"/>
        <v>#DIV/0!</v>
      </c>
      <c r="CA126" s="51" t="e">
        <f t="shared" si="65"/>
        <v>#DIV/0!</v>
      </c>
      <c r="CB126" s="51" t="e">
        <f t="shared" si="66"/>
        <v>#DIV/0!</v>
      </c>
      <c r="CC126" s="51" t="e">
        <f t="shared" si="67"/>
        <v>#DIV/0!</v>
      </c>
      <c r="CD126" s="51" t="e">
        <f t="shared" si="68"/>
        <v>#DIV/0!</v>
      </c>
      <c r="CE126" s="53">
        <f t="shared" si="50"/>
        <v>0</v>
      </c>
      <c r="CF126" s="53">
        <f t="shared" si="77"/>
        <v>0</v>
      </c>
      <c r="CG126" s="53">
        <f t="shared" si="77"/>
        <v>0</v>
      </c>
      <c r="CH126" s="53">
        <f t="shared" si="77"/>
        <v>0</v>
      </c>
      <c r="CI126" s="53">
        <f t="shared" si="77"/>
        <v>0</v>
      </c>
      <c r="CJ126" s="53">
        <f t="shared" si="77"/>
        <v>0</v>
      </c>
      <c r="CK126" s="53">
        <f t="shared" si="77"/>
        <v>0</v>
      </c>
      <c r="CL126" s="53">
        <f t="shared" si="77"/>
        <v>0</v>
      </c>
      <c r="CM126" s="53">
        <f t="shared" si="77"/>
        <v>0</v>
      </c>
    </row>
    <row r="127" spans="1:91" x14ac:dyDescent="0.15">
      <c r="A127" s="41">
        <v>125</v>
      </c>
      <c r="B127" s="43">
        <f t="shared" si="86"/>
        <v>1</v>
      </c>
      <c r="C127" s="43">
        <f t="shared" si="85"/>
        <v>1</v>
      </c>
      <c r="D127" s="43">
        <f t="shared" si="85"/>
        <v>1</v>
      </c>
      <c r="E127" s="43">
        <f t="shared" si="85"/>
        <v>1</v>
      </c>
      <c r="F127" s="43">
        <f t="shared" si="85"/>
        <v>1</v>
      </c>
      <c r="G127" s="43">
        <f t="shared" si="85"/>
        <v>1</v>
      </c>
      <c r="H127" s="43">
        <f t="shared" si="85"/>
        <v>1</v>
      </c>
      <c r="I127" s="43">
        <f t="shared" si="85"/>
        <v>1</v>
      </c>
      <c r="J127" s="43">
        <f t="shared" si="85"/>
        <v>1</v>
      </c>
      <c r="K127" s="43" t="e">
        <f>K126+ATM_Conf!$C$5*(T126-AC126)</f>
        <v>#DIV/0!</v>
      </c>
      <c r="L127" s="43" t="e">
        <f>L126+ATM_Conf!$C$5*(U126-AD126)</f>
        <v>#DIV/0!</v>
      </c>
      <c r="M127" s="43" t="e">
        <f>M126+ATM_Conf!$C$5*(V126-AE126)</f>
        <v>#DIV/0!</v>
      </c>
      <c r="N127" s="43" t="e">
        <f>N126+ATM_Conf!$C$5*(W126-AF126)</f>
        <v>#DIV/0!</v>
      </c>
      <c r="O127" s="43" t="e">
        <f>O126+ATM_Conf!$C$5*(X126-AG126)</f>
        <v>#DIV/0!</v>
      </c>
      <c r="P127" s="43" t="e">
        <f>P126+ATM_Conf!$C$5*(Y126-AH126)</f>
        <v>#DIV/0!</v>
      </c>
      <c r="Q127" s="43" t="e">
        <f>Q126+ATM_Conf!$C$5*(Z126-AI126)</f>
        <v>#DIV/0!</v>
      </c>
      <c r="R127" s="43" t="e">
        <f>R126+ATM_Conf!$C$5*(AA126-AJ126)</f>
        <v>#DIV/0!</v>
      </c>
      <c r="S127" s="43" t="e">
        <f>S126+ATM_Conf!$C$5*(AB126-AK126)</f>
        <v>#DIV/0!</v>
      </c>
      <c r="T127" s="43">
        <f t="shared" si="48"/>
        <v>0</v>
      </c>
      <c r="U127" s="43">
        <f t="shared" si="75"/>
        <v>0</v>
      </c>
      <c r="V127" s="43">
        <f t="shared" si="75"/>
        <v>0</v>
      </c>
      <c r="W127" s="43">
        <f t="shared" si="75"/>
        <v>0</v>
      </c>
      <c r="X127" s="43">
        <f t="shared" si="75"/>
        <v>0</v>
      </c>
      <c r="Y127" s="43">
        <f t="shared" si="75"/>
        <v>0</v>
      </c>
      <c r="Z127" s="43">
        <f t="shared" si="75"/>
        <v>0</v>
      </c>
      <c r="AA127" s="43">
        <f t="shared" si="75"/>
        <v>0</v>
      </c>
      <c r="AB127" s="43">
        <f t="shared" si="75"/>
        <v>0</v>
      </c>
      <c r="AC127" s="43" t="e">
        <f t="shared" si="51"/>
        <v>#DIV/0!</v>
      </c>
      <c r="AD127" s="43" t="e">
        <f t="shared" si="52"/>
        <v>#DIV/0!</v>
      </c>
      <c r="AE127" s="43" t="e">
        <f t="shared" si="53"/>
        <v>#DIV/0!</v>
      </c>
      <c r="AF127" s="43" t="e">
        <f t="shared" si="54"/>
        <v>#DIV/0!</v>
      </c>
      <c r="AG127" s="43" t="e">
        <f t="shared" si="55"/>
        <v>#DIV/0!</v>
      </c>
      <c r="AH127" s="43" t="e">
        <f t="shared" si="56"/>
        <v>#DIV/0!</v>
      </c>
      <c r="AI127" s="43" t="e">
        <f t="shared" si="57"/>
        <v>#DIV/0!</v>
      </c>
      <c r="AJ127" s="43" t="e">
        <f t="shared" si="58"/>
        <v>#DIV/0!</v>
      </c>
      <c r="AK127" s="43" t="e">
        <f t="shared" si="59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49"/>
        <v>0</v>
      </c>
      <c r="BE127" s="43">
        <f t="shared" si="76"/>
        <v>0</v>
      </c>
      <c r="BF127" s="43">
        <f t="shared" si="76"/>
        <v>0</v>
      </c>
      <c r="BG127" s="43">
        <f t="shared" si="76"/>
        <v>0</v>
      </c>
      <c r="BH127" s="43">
        <f t="shared" si="76"/>
        <v>0</v>
      </c>
      <c r="BI127" s="43">
        <f t="shared" si="76"/>
        <v>0</v>
      </c>
      <c r="BJ127" s="43">
        <f t="shared" si="76"/>
        <v>0</v>
      </c>
      <c r="BK127" s="43">
        <f t="shared" si="76"/>
        <v>0</v>
      </c>
      <c r="BL127" s="43">
        <f t="shared" si="76"/>
        <v>0</v>
      </c>
      <c r="BM127" s="51"/>
      <c r="BN127" s="51"/>
      <c r="BO127" s="51"/>
      <c r="BP127" s="51"/>
      <c r="BQ127" s="51"/>
      <c r="BR127" s="51"/>
      <c r="BS127" s="51"/>
      <c r="BT127" s="51"/>
      <c r="BU127" s="51"/>
      <c r="BV127" s="51" t="e">
        <f t="shared" si="60"/>
        <v>#DIV/0!</v>
      </c>
      <c r="BW127" s="51" t="e">
        <f t="shared" si="61"/>
        <v>#DIV/0!</v>
      </c>
      <c r="BX127" s="51" t="e">
        <f t="shared" si="62"/>
        <v>#DIV/0!</v>
      </c>
      <c r="BY127" s="51" t="e">
        <f t="shared" si="63"/>
        <v>#DIV/0!</v>
      </c>
      <c r="BZ127" s="51" t="e">
        <f t="shared" si="64"/>
        <v>#DIV/0!</v>
      </c>
      <c r="CA127" s="51" t="e">
        <f t="shared" si="65"/>
        <v>#DIV/0!</v>
      </c>
      <c r="CB127" s="51" t="e">
        <f t="shared" si="66"/>
        <v>#DIV/0!</v>
      </c>
      <c r="CC127" s="51" t="e">
        <f t="shared" si="67"/>
        <v>#DIV/0!</v>
      </c>
      <c r="CD127" s="51" t="e">
        <f t="shared" si="68"/>
        <v>#DIV/0!</v>
      </c>
      <c r="CE127" s="53">
        <f t="shared" si="50"/>
        <v>0</v>
      </c>
      <c r="CF127" s="53">
        <f t="shared" si="77"/>
        <v>0</v>
      </c>
      <c r="CG127" s="53">
        <f t="shared" si="77"/>
        <v>0</v>
      </c>
      <c r="CH127" s="53">
        <f t="shared" si="77"/>
        <v>0</v>
      </c>
      <c r="CI127" s="53">
        <f t="shared" si="77"/>
        <v>0</v>
      </c>
      <c r="CJ127" s="53">
        <f t="shared" si="77"/>
        <v>0</v>
      </c>
      <c r="CK127" s="53">
        <f t="shared" si="77"/>
        <v>0</v>
      </c>
      <c r="CL127" s="53">
        <f t="shared" si="77"/>
        <v>0</v>
      </c>
      <c r="CM127" s="53">
        <f t="shared" si="77"/>
        <v>0</v>
      </c>
    </row>
    <row r="128" spans="1:91" x14ac:dyDescent="0.15">
      <c r="A128" s="41">
        <v>126</v>
      </c>
      <c r="B128" s="43">
        <f t="shared" si="86"/>
        <v>1</v>
      </c>
      <c r="C128" s="43">
        <f t="shared" si="85"/>
        <v>1</v>
      </c>
      <c r="D128" s="43">
        <f t="shared" si="85"/>
        <v>1</v>
      </c>
      <c r="E128" s="43">
        <f t="shared" si="85"/>
        <v>1</v>
      </c>
      <c r="F128" s="43">
        <f t="shared" si="85"/>
        <v>1</v>
      </c>
      <c r="G128" s="43">
        <f t="shared" si="85"/>
        <v>1</v>
      </c>
      <c r="H128" s="43">
        <f t="shared" si="85"/>
        <v>1</v>
      </c>
      <c r="I128" s="43">
        <f t="shared" si="85"/>
        <v>1</v>
      </c>
      <c r="J128" s="43">
        <f t="shared" si="85"/>
        <v>1</v>
      </c>
      <c r="K128" s="43" t="e">
        <f>K127+ATM_Conf!$C$5*(T127-AC127)</f>
        <v>#DIV/0!</v>
      </c>
      <c r="L128" s="43" t="e">
        <f>L127+ATM_Conf!$C$5*(U127-AD127)</f>
        <v>#DIV/0!</v>
      </c>
      <c r="M128" s="43" t="e">
        <f>M127+ATM_Conf!$C$5*(V127-AE127)</f>
        <v>#DIV/0!</v>
      </c>
      <c r="N128" s="43" t="e">
        <f>N127+ATM_Conf!$C$5*(W127-AF127)</f>
        <v>#DIV/0!</v>
      </c>
      <c r="O128" s="43" t="e">
        <f>O127+ATM_Conf!$C$5*(X127-AG127)</f>
        <v>#DIV/0!</v>
      </c>
      <c r="P128" s="43" t="e">
        <f>P127+ATM_Conf!$C$5*(Y127-AH127)</f>
        <v>#DIV/0!</v>
      </c>
      <c r="Q128" s="43" t="e">
        <f>Q127+ATM_Conf!$C$5*(Z127-AI127)</f>
        <v>#DIV/0!</v>
      </c>
      <c r="R128" s="43" t="e">
        <f>R127+ATM_Conf!$C$5*(AA127-AJ127)</f>
        <v>#DIV/0!</v>
      </c>
      <c r="S128" s="43" t="e">
        <f>S127+ATM_Conf!$C$5*(AB127-AK127)</f>
        <v>#DIV/0!</v>
      </c>
      <c r="T128" s="43">
        <f t="shared" si="48"/>
        <v>0</v>
      </c>
      <c r="U128" s="43">
        <f t="shared" si="75"/>
        <v>0</v>
      </c>
      <c r="V128" s="43">
        <f t="shared" si="75"/>
        <v>0</v>
      </c>
      <c r="W128" s="43">
        <f t="shared" si="75"/>
        <v>0</v>
      </c>
      <c r="X128" s="43">
        <f t="shared" si="75"/>
        <v>0</v>
      </c>
      <c r="Y128" s="43">
        <f t="shared" si="75"/>
        <v>0</v>
      </c>
      <c r="Z128" s="43">
        <f t="shared" si="75"/>
        <v>0</v>
      </c>
      <c r="AA128" s="43">
        <f t="shared" si="75"/>
        <v>0</v>
      </c>
      <c r="AB128" s="43">
        <f t="shared" si="75"/>
        <v>0</v>
      </c>
      <c r="AC128" s="43" t="e">
        <f t="shared" si="51"/>
        <v>#DIV/0!</v>
      </c>
      <c r="AD128" s="43" t="e">
        <f t="shared" si="52"/>
        <v>#DIV/0!</v>
      </c>
      <c r="AE128" s="43" t="e">
        <f t="shared" si="53"/>
        <v>#DIV/0!</v>
      </c>
      <c r="AF128" s="43" t="e">
        <f t="shared" si="54"/>
        <v>#DIV/0!</v>
      </c>
      <c r="AG128" s="43" t="e">
        <f t="shared" si="55"/>
        <v>#DIV/0!</v>
      </c>
      <c r="AH128" s="43" t="e">
        <f t="shared" si="56"/>
        <v>#DIV/0!</v>
      </c>
      <c r="AI128" s="43" t="e">
        <f t="shared" si="57"/>
        <v>#DIV/0!</v>
      </c>
      <c r="AJ128" s="43" t="e">
        <f t="shared" si="58"/>
        <v>#DIV/0!</v>
      </c>
      <c r="AK128" s="43" t="e">
        <f t="shared" si="59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49"/>
        <v>0</v>
      </c>
      <c r="BE128" s="43">
        <f t="shared" si="76"/>
        <v>0</v>
      </c>
      <c r="BF128" s="43">
        <f t="shared" si="76"/>
        <v>0</v>
      </c>
      <c r="BG128" s="43">
        <f t="shared" si="76"/>
        <v>0</v>
      </c>
      <c r="BH128" s="43">
        <f t="shared" si="76"/>
        <v>0</v>
      </c>
      <c r="BI128" s="43">
        <f t="shared" si="76"/>
        <v>0</v>
      </c>
      <c r="BJ128" s="43">
        <f t="shared" si="76"/>
        <v>0</v>
      </c>
      <c r="BK128" s="43">
        <f t="shared" si="76"/>
        <v>0</v>
      </c>
      <c r="BL128" s="43">
        <f t="shared" si="76"/>
        <v>0</v>
      </c>
      <c r="BM128" s="51"/>
      <c r="BN128" s="51"/>
      <c r="BO128" s="51"/>
      <c r="BP128" s="51"/>
      <c r="BQ128" s="51"/>
      <c r="BR128" s="51"/>
      <c r="BS128" s="51"/>
      <c r="BT128" s="51"/>
      <c r="BU128" s="51"/>
      <c r="BV128" s="51" t="e">
        <f t="shared" si="60"/>
        <v>#DIV/0!</v>
      </c>
      <c r="BW128" s="51" t="e">
        <f t="shared" si="61"/>
        <v>#DIV/0!</v>
      </c>
      <c r="BX128" s="51" t="e">
        <f t="shared" si="62"/>
        <v>#DIV/0!</v>
      </c>
      <c r="BY128" s="51" t="e">
        <f t="shared" si="63"/>
        <v>#DIV/0!</v>
      </c>
      <c r="BZ128" s="51" t="e">
        <f t="shared" si="64"/>
        <v>#DIV/0!</v>
      </c>
      <c r="CA128" s="51" t="e">
        <f t="shared" si="65"/>
        <v>#DIV/0!</v>
      </c>
      <c r="CB128" s="51" t="e">
        <f t="shared" si="66"/>
        <v>#DIV/0!</v>
      </c>
      <c r="CC128" s="51" t="e">
        <f t="shared" si="67"/>
        <v>#DIV/0!</v>
      </c>
      <c r="CD128" s="51" t="e">
        <f t="shared" si="68"/>
        <v>#DIV/0!</v>
      </c>
      <c r="CE128" s="53">
        <f t="shared" si="50"/>
        <v>0</v>
      </c>
      <c r="CF128" s="53">
        <f t="shared" si="77"/>
        <v>0</v>
      </c>
      <c r="CG128" s="53">
        <f t="shared" si="77"/>
        <v>0</v>
      </c>
      <c r="CH128" s="53">
        <f t="shared" si="77"/>
        <v>0</v>
      </c>
      <c r="CI128" s="53">
        <f t="shared" si="77"/>
        <v>0</v>
      </c>
      <c r="CJ128" s="53">
        <f t="shared" si="77"/>
        <v>0</v>
      </c>
      <c r="CK128" s="53">
        <f t="shared" si="77"/>
        <v>0</v>
      </c>
      <c r="CL128" s="53">
        <f t="shared" si="77"/>
        <v>0</v>
      </c>
      <c r="CM128" s="53">
        <f t="shared" si="77"/>
        <v>0</v>
      </c>
    </row>
    <row r="129" spans="1:91" x14ac:dyDescent="0.15">
      <c r="A129" s="41">
        <v>127</v>
      </c>
      <c r="B129" s="43">
        <f t="shared" si="86"/>
        <v>1</v>
      </c>
      <c r="C129" s="43">
        <f t="shared" si="85"/>
        <v>1</v>
      </c>
      <c r="D129" s="43">
        <f t="shared" si="85"/>
        <v>1</v>
      </c>
      <c r="E129" s="43">
        <f t="shared" si="85"/>
        <v>1</v>
      </c>
      <c r="F129" s="43">
        <f t="shared" si="85"/>
        <v>1</v>
      </c>
      <c r="G129" s="43">
        <f t="shared" si="85"/>
        <v>1</v>
      </c>
      <c r="H129" s="43">
        <f t="shared" si="85"/>
        <v>1</v>
      </c>
      <c r="I129" s="43">
        <f t="shared" si="85"/>
        <v>1</v>
      </c>
      <c r="J129" s="43">
        <f t="shared" si="85"/>
        <v>1</v>
      </c>
      <c r="K129" s="43" t="e">
        <f>K128+ATM_Conf!$C$5*(T128-AC128)</f>
        <v>#DIV/0!</v>
      </c>
      <c r="L129" s="43" t="e">
        <f>L128+ATM_Conf!$C$5*(U128-AD128)</f>
        <v>#DIV/0!</v>
      </c>
      <c r="M129" s="43" t="e">
        <f>M128+ATM_Conf!$C$5*(V128-AE128)</f>
        <v>#DIV/0!</v>
      </c>
      <c r="N129" s="43" t="e">
        <f>N128+ATM_Conf!$C$5*(W128-AF128)</f>
        <v>#DIV/0!</v>
      </c>
      <c r="O129" s="43" t="e">
        <f>O128+ATM_Conf!$C$5*(X128-AG128)</f>
        <v>#DIV/0!</v>
      </c>
      <c r="P129" s="43" t="e">
        <f>P128+ATM_Conf!$C$5*(Y128-AH128)</f>
        <v>#DIV/0!</v>
      </c>
      <c r="Q129" s="43" t="e">
        <f>Q128+ATM_Conf!$C$5*(Z128-AI128)</f>
        <v>#DIV/0!</v>
      </c>
      <c r="R129" s="43" t="e">
        <f>R128+ATM_Conf!$C$5*(AA128-AJ128)</f>
        <v>#DIV/0!</v>
      </c>
      <c r="S129" s="43" t="e">
        <f>S128+ATM_Conf!$C$5*(AB128-AK128)</f>
        <v>#DIV/0!</v>
      </c>
      <c r="T129" s="43">
        <f t="shared" si="48"/>
        <v>0</v>
      </c>
      <c r="U129" s="43">
        <f t="shared" si="48"/>
        <v>0</v>
      </c>
      <c r="V129" s="43">
        <f t="shared" si="48"/>
        <v>0</v>
      </c>
      <c r="W129" s="43">
        <f t="shared" si="48"/>
        <v>0</v>
      </c>
      <c r="X129" s="43">
        <f t="shared" si="48"/>
        <v>0</v>
      </c>
      <c r="Y129" s="43">
        <f t="shared" si="48"/>
        <v>0</v>
      </c>
      <c r="Z129" s="43">
        <f t="shared" si="48"/>
        <v>0</v>
      </c>
      <c r="AA129" s="43">
        <f t="shared" si="48"/>
        <v>0</v>
      </c>
      <c r="AB129" s="43">
        <f t="shared" si="48"/>
        <v>0</v>
      </c>
      <c r="AC129" s="43" t="e">
        <f t="shared" si="51"/>
        <v>#DIV/0!</v>
      </c>
      <c r="AD129" s="43" t="e">
        <f t="shared" si="52"/>
        <v>#DIV/0!</v>
      </c>
      <c r="AE129" s="43" t="e">
        <f t="shared" si="53"/>
        <v>#DIV/0!</v>
      </c>
      <c r="AF129" s="43" t="e">
        <f t="shared" si="54"/>
        <v>#DIV/0!</v>
      </c>
      <c r="AG129" s="43" t="e">
        <f t="shared" si="55"/>
        <v>#DIV/0!</v>
      </c>
      <c r="AH129" s="43" t="e">
        <f t="shared" si="56"/>
        <v>#DIV/0!</v>
      </c>
      <c r="AI129" s="43" t="e">
        <f t="shared" si="57"/>
        <v>#DIV/0!</v>
      </c>
      <c r="AJ129" s="43" t="e">
        <f t="shared" si="58"/>
        <v>#DIV/0!</v>
      </c>
      <c r="AK129" s="43" t="e">
        <f t="shared" si="59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49"/>
        <v>0</v>
      </c>
      <c r="BE129" s="43">
        <f t="shared" si="49"/>
        <v>0</v>
      </c>
      <c r="BF129" s="43">
        <f t="shared" si="49"/>
        <v>0</v>
      </c>
      <c r="BG129" s="43">
        <f t="shared" si="49"/>
        <v>0</v>
      </c>
      <c r="BH129" s="43">
        <f t="shared" si="49"/>
        <v>0</v>
      </c>
      <c r="BI129" s="43">
        <f t="shared" si="49"/>
        <v>0</v>
      </c>
      <c r="BJ129" s="43">
        <f t="shared" si="49"/>
        <v>0</v>
      </c>
      <c r="BK129" s="43">
        <f t="shared" si="49"/>
        <v>0</v>
      </c>
      <c r="BL129" s="43">
        <f t="shared" si="49"/>
        <v>0</v>
      </c>
      <c r="BM129" s="51"/>
      <c r="BN129" s="51"/>
      <c r="BO129" s="51"/>
      <c r="BP129" s="51"/>
      <c r="BQ129" s="51"/>
      <c r="BR129" s="51"/>
      <c r="BS129" s="51"/>
      <c r="BT129" s="51"/>
      <c r="BU129" s="51"/>
      <c r="BV129" s="51" t="e">
        <f t="shared" si="60"/>
        <v>#DIV/0!</v>
      </c>
      <c r="BW129" s="51" t="e">
        <f t="shared" si="61"/>
        <v>#DIV/0!</v>
      </c>
      <c r="BX129" s="51" t="e">
        <f t="shared" si="62"/>
        <v>#DIV/0!</v>
      </c>
      <c r="BY129" s="51" t="e">
        <f t="shared" si="63"/>
        <v>#DIV/0!</v>
      </c>
      <c r="BZ129" s="51" t="e">
        <f t="shared" si="64"/>
        <v>#DIV/0!</v>
      </c>
      <c r="CA129" s="51" t="e">
        <f t="shared" si="65"/>
        <v>#DIV/0!</v>
      </c>
      <c r="CB129" s="51" t="e">
        <f t="shared" si="66"/>
        <v>#DIV/0!</v>
      </c>
      <c r="CC129" s="51" t="e">
        <f t="shared" si="67"/>
        <v>#DIV/0!</v>
      </c>
      <c r="CD129" s="51" t="e">
        <f t="shared" si="68"/>
        <v>#DIV/0!</v>
      </c>
      <c r="CE129" s="53">
        <f t="shared" si="50"/>
        <v>0</v>
      </c>
      <c r="CF129" s="53">
        <f t="shared" si="50"/>
        <v>0</v>
      </c>
      <c r="CG129" s="53">
        <f t="shared" si="50"/>
        <v>0</v>
      </c>
      <c r="CH129" s="53">
        <f t="shared" si="50"/>
        <v>0</v>
      </c>
      <c r="CI129" s="53">
        <f t="shared" si="50"/>
        <v>0</v>
      </c>
      <c r="CJ129" s="53">
        <f t="shared" si="50"/>
        <v>0</v>
      </c>
      <c r="CK129" s="53">
        <f t="shared" si="50"/>
        <v>0</v>
      </c>
      <c r="CL129" s="53">
        <f t="shared" si="50"/>
        <v>0</v>
      </c>
      <c r="CM129" s="53">
        <f t="shared" si="50"/>
        <v>0</v>
      </c>
    </row>
    <row r="130" spans="1:91" x14ac:dyDescent="0.15">
      <c r="A130" s="41">
        <v>128</v>
      </c>
      <c r="B130" s="43">
        <f t="shared" si="86"/>
        <v>1</v>
      </c>
      <c r="C130" s="43">
        <f t="shared" si="85"/>
        <v>1</v>
      </c>
      <c r="D130" s="43">
        <f t="shared" si="85"/>
        <v>1</v>
      </c>
      <c r="E130" s="43">
        <f t="shared" si="85"/>
        <v>1</v>
      </c>
      <c r="F130" s="43">
        <f t="shared" si="85"/>
        <v>1</v>
      </c>
      <c r="G130" s="43">
        <f t="shared" si="85"/>
        <v>1</v>
      </c>
      <c r="H130" s="43">
        <f t="shared" si="85"/>
        <v>1</v>
      </c>
      <c r="I130" s="43">
        <f t="shared" si="85"/>
        <v>1</v>
      </c>
      <c r="J130" s="43">
        <f t="shared" si="85"/>
        <v>1</v>
      </c>
      <c r="K130" s="43" t="e">
        <f>K129+ATM_Conf!$C$5*(T129-AC129)</f>
        <v>#DIV/0!</v>
      </c>
      <c r="L130" s="43" t="e">
        <f>L129+ATM_Conf!$C$5*(U129-AD129)</f>
        <v>#DIV/0!</v>
      </c>
      <c r="M130" s="43" t="e">
        <f>M129+ATM_Conf!$C$5*(V129-AE129)</f>
        <v>#DIV/0!</v>
      </c>
      <c r="N130" s="43" t="e">
        <f>N129+ATM_Conf!$C$5*(W129-AF129)</f>
        <v>#DIV/0!</v>
      </c>
      <c r="O130" s="43" t="e">
        <f>O129+ATM_Conf!$C$5*(X129-AG129)</f>
        <v>#DIV/0!</v>
      </c>
      <c r="P130" s="43" t="e">
        <f>P129+ATM_Conf!$C$5*(Y129-AH129)</f>
        <v>#DIV/0!</v>
      </c>
      <c r="Q130" s="43" t="e">
        <f>Q129+ATM_Conf!$C$5*(Z129-AI129)</f>
        <v>#DIV/0!</v>
      </c>
      <c r="R130" s="43" t="e">
        <f>R129+ATM_Conf!$C$5*(AA129-AJ129)</f>
        <v>#DIV/0!</v>
      </c>
      <c r="S130" s="43" t="e">
        <f>S129+ATM_Conf!$C$5*(AB129-AK129)</f>
        <v>#DIV/0!</v>
      </c>
      <c r="T130" s="43">
        <f t="shared" ref="T130:AB158" si="87">T$3</f>
        <v>0</v>
      </c>
      <c r="U130" s="43">
        <f t="shared" si="87"/>
        <v>0</v>
      </c>
      <c r="V130" s="43">
        <f t="shared" si="87"/>
        <v>0</v>
      </c>
      <c r="W130" s="43">
        <f t="shared" si="87"/>
        <v>0</v>
      </c>
      <c r="X130" s="43">
        <f t="shared" si="87"/>
        <v>0</v>
      </c>
      <c r="Y130" s="43">
        <f t="shared" si="87"/>
        <v>0</v>
      </c>
      <c r="Z130" s="43">
        <f t="shared" si="87"/>
        <v>0</v>
      </c>
      <c r="AA130" s="43">
        <f t="shared" si="87"/>
        <v>0</v>
      </c>
      <c r="AB130" s="43">
        <f t="shared" si="87"/>
        <v>0</v>
      </c>
      <c r="AC130" s="43" t="e">
        <f t="shared" si="51"/>
        <v>#DIV/0!</v>
      </c>
      <c r="AD130" s="43" t="e">
        <f t="shared" si="52"/>
        <v>#DIV/0!</v>
      </c>
      <c r="AE130" s="43" t="e">
        <f t="shared" si="53"/>
        <v>#DIV/0!</v>
      </c>
      <c r="AF130" s="43" t="e">
        <f t="shared" si="54"/>
        <v>#DIV/0!</v>
      </c>
      <c r="AG130" s="43" t="e">
        <f t="shared" si="55"/>
        <v>#DIV/0!</v>
      </c>
      <c r="AH130" s="43" t="e">
        <f t="shared" si="56"/>
        <v>#DIV/0!</v>
      </c>
      <c r="AI130" s="43" t="e">
        <f t="shared" si="57"/>
        <v>#DIV/0!</v>
      </c>
      <c r="AJ130" s="43" t="e">
        <f t="shared" si="58"/>
        <v>#DIV/0!</v>
      </c>
      <c r="AK130" s="43" t="e">
        <f t="shared" si="59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88">BD$3</f>
        <v>0</v>
      </c>
      <c r="BE130" s="43">
        <f t="shared" si="88"/>
        <v>0</v>
      </c>
      <c r="BF130" s="43">
        <f t="shared" si="88"/>
        <v>0</v>
      </c>
      <c r="BG130" s="43">
        <f t="shared" si="88"/>
        <v>0</v>
      </c>
      <c r="BH130" s="43">
        <f t="shared" si="88"/>
        <v>0</v>
      </c>
      <c r="BI130" s="43">
        <f t="shared" si="88"/>
        <v>0</v>
      </c>
      <c r="BJ130" s="43">
        <f t="shared" si="88"/>
        <v>0</v>
      </c>
      <c r="BK130" s="43">
        <f t="shared" si="88"/>
        <v>0</v>
      </c>
      <c r="BL130" s="43">
        <f t="shared" si="88"/>
        <v>0</v>
      </c>
      <c r="BM130" s="51"/>
      <c r="BN130" s="51"/>
      <c r="BO130" s="51"/>
      <c r="BP130" s="51"/>
      <c r="BQ130" s="51"/>
      <c r="BR130" s="51"/>
      <c r="BS130" s="51"/>
      <c r="BT130" s="51"/>
      <c r="BU130" s="51"/>
      <c r="BV130" s="51" t="e">
        <f t="shared" si="60"/>
        <v>#DIV/0!</v>
      </c>
      <c r="BW130" s="51" t="e">
        <f t="shared" si="61"/>
        <v>#DIV/0!</v>
      </c>
      <c r="BX130" s="51" t="e">
        <f t="shared" si="62"/>
        <v>#DIV/0!</v>
      </c>
      <c r="BY130" s="51" t="e">
        <f t="shared" si="63"/>
        <v>#DIV/0!</v>
      </c>
      <c r="BZ130" s="51" t="e">
        <f t="shared" si="64"/>
        <v>#DIV/0!</v>
      </c>
      <c r="CA130" s="51" t="e">
        <f t="shared" si="65"/>
        <v>#DIV/0!</v>
      </c>
      <c r="CB130" s="51" t="e">
        <f t="shared" si="66"/>
        <v>#DIV/0!</v>
      </c>
      <c r="CC130" s="51" t="e">
        <f t="shared" si="67"/>
        <v>#DIV/0!</v>
      </c>
      <c r="CD130" s="51" t="e">
        <f t="shared" si="68"/>
        <v>#DIV/0!</v>
      </c>
      <c r="CE130" s="53">
        <f t="shared" ref="CE130:CM158" si="89">CE$3</f>
        <v>0</v>
      </c>
      <c r="CF130" s="53">
        <f t="shared" si="89"/>
        <v>0</v>
      </c>
      <c r="CG130" s="53">
        <f t="shared" si="89"/>
        <v>0</v>
      </c>
      <c r="CH130" s="53">
        <f t="shared" si="89"/>
        <v>0</v>
      </c>
      <c r="CI130" s="53">
        <f t="shared" si="89"/>
        <v>0</v>
      </c>
      <c r="CJ130" s="53">
        <f t="shared" si="89"/>
        <v>0</v>
      </c>
      <c r="CK130" s="53">
        <f t="shared" si="89"/>
        <v>0</v>
      </c>
      <c r="CL130" s="53">
        <f t="shared" si="89"/>
        <v>0</v>
      </c>
      <c r="CM130" s="53">
        <f t="shared" si="89"/>
        <v>0</v>
      </c>
    </row>
    <row r="131" spans="1:91" x14ac:dyDescent="0.15">
      <c r="A131" s="41">
        <v>129</v>
      </c>
      <c r="B131" s="43">
        <f t="shared" si="86"/>
        <v>1</v>
      </c>
      <c r="C131" s="43">
        <f t="shared" si="85"/>
        <v>1</v>
      </c>
      <c r="D131" s="43">
        <f t="shared" si="85"/>
        <v>1</v>
      </c>
      <c r="E131" s="43">
        <f t="shared" si="85"/>
        <v>1</v>
      </c>
      <c r="F131" s="43">
        <f t="shared" si="85"/>
        <v>1</v>
      </c>
      <c r="G131" s="43">
        <f t="shared" si="85"/>
        <v>1</v>
      </c>
      <c r="H131" s="43">
        <f t="shared" si="85"/>
        <v>1</v>
      </c>
      <c r="I131" s="43">
        <f t="shared" si="85"/>
        <v>1</v>
      </c>
      <c r="J131" s="43">
        <f t="shared" si="85"/>
        <v>1</v>
      </c>
      <c r="K131" s="43" t="e">
        <f>K130+ATM_Conf!$C$5*(T130-AC130)</f>
        <v>#DIV/0!</v>
      </c>
      <c r="L131" s="43" t="e">
        <f>L130+ATM_Conf!$C$5*(U130-AD130)</f>
        <v>#DIV/0!</v>
      </c>
      <c r="M131" s="43" t="e">
        <f>M130+ATM_Conf!$C$5*(V130-AE130)</f>
        <v>#DIV/0!</v>
      </c>
      <c r="N131" s="43" t="e">
        <f>N130+ATM_Conf!$C$5*(W130-AF130)</f>
        <v>#DIV/0!</v>
      </c>
      <c r="O131" s="43" t="e">
        <f>O130+ATM_Conf!$C$5*(X130-AG130)</f>
        <v>#DIV/0!</v>
      </c>
      <c r="P131" s="43" t="e">
        <f>P130+ATM_Conf!$C$5*(Y130-AH130)</f>
        <v>#DIV/0!</v>
      </c>
      <c r="Q131" s="43" t="e">
        <f>Q130+ATM_Conf!$C$5*(Z130-AI130)</f>
        <v>#DIV/0!</v>
      </c>
      <c r="R131" s="43" t="e">
        <f>R130+ATM_Conf!$C$5*(AA130-AJ130)</f>
        <v>#DIV/0!</v>
      </c>
      <c r="S131" s="43" t="e">
        <f>S130+ATM_Conf!$C$5*(AB130-AK130)</f>
        <v>#DIV/0!</v>
      </c>
      <c r="T131" s="43">
        <f t="shared" si="87"/>
        <v>0</v>
      </c>
      <c r="U131" s="43">
        <f t="shared" si="87"/>
        <v>0</v>
      </c>
      <c r="V131" s="43">
        <f t="shared" si="87"/>
        <v>0</v>
      </c>
      <c r="W131" s="43">
        <f t="shared" si="87"/>
        <v>0</v>
      </c>
      <c r="X131" s="43">
        <f t="shared" si="87"/>
        <v>0</v>
      </c>
      <c r="Y131" s="43">
        <f t="shared" si="87"/>
        <v>0</v>
      </c>
      <c r="Z131" s="43">
        <f t="shared" si="87"/>
        <v>0</v>
      </c>
      <c r="AA131" s="43">
        <f t="shared" si="87"/>
        <v>0</v>
      </c>
      <c r="AB131" s="43">
        <f t="shared" si="87"/>
        <v>0</v>
      </c>
      <c r="AC131" s="43" t="e">
        <f t="shared" si="51"/>
        <v>#DIV/0!</v>
      </c>
      <c r="AD131" s="43" t="e">
        <f t="shared" si="52"/>
        <v>#DIV/0!</v>
      </c>
      <c r="AE131" s="43" t="e">
        <f t="shared" si="53"/>
        <v>#DIV/0!</v>
      </c>
      <c r="AF131" s="43" t="e">
        <f t="shared" si="54"/>
        <v>#DIV/0!</v>
      </c>
      <c r="AG131" s="43" t="e">
        <f t="shared" si="55"/>
        <v>#DIV/0!</v>
      </c>
      <c r="AH131" s="43" t="e">
        <f t="shared" si="56"/>
        <v>#DIV/0!</v>
      </c>
      <c r="AI131" s="43" t="e">
        <f t="shared" si="57"/>
        <v>#DIV/0!</v>
      </c>
      <c r="AJ131" s="43" t="e">
        <f t="shared" si="58"/>
        <v>#DIV/0!</v>
      </c>
      <c r="AK131" s="43" t="e">
        <f t="shared" si="59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88"/>
        <v>0</v>
      </c>
      <c r="BE131" s="43">
        <f t="shared" si="88"/>
        <v>0</v>
      </c>
      <c r="BF131" s="43">
        <f t="shared" si="88"/>
        <v>0</v>
      </c>
      <c r="BG131" s="43">
        <f t="shared" si="88"/>
        <v>0</v>
      </c>
      <c r="BH131" s="43">
        <f t="shared" si="88"/>
        <v>0</v>
      </c>
      <c r="BI131" s="43">
        <f t="shared" si="88"/>
        <v>0</v>
      </c>
      <c r="BJ131" s="43">
        <f t="shared" si="88"/>
        <v>0</v>
      </c>
      <c r="BK131" s="43">
        <f t="shared" si="88"/>
        <v>0</v>
      </c>
      <c r="BL131" s="43">
        <f t="shared" si="88"/>
        <v>0</v>
      </c>
      <c r="BM131" s="51"/>
      <c r="BN131" s="51"/>
      <c r="BO131" s="51"/>
      <c r="BP131" s="51"/>
      <c r="BQ131" s="51"/>
      <c r="BR131" s="51"/>
      <c r="BS131" s="51"/>
      <c r="BT131" s="51"/>
      <c r="BU131" s="51"/>
      <c r="BV131" s="51" t="e">
        <f t="shared" si="60"/>
        <v>#DIV/0!</v>
      </c>
      <c r="BW131" s="51" t="e">
        <f t="shared" si="61"/>
        <v>#DIV/0!</v>
      </c>
      <c r="BX131" s="51" t="e">
        <f t="shared" si="62"/>
        <v>#DIV/0!</v>
      </c>
      <c r="BY131" s="51" t="e">
        <f t="shared" si="63"/>
        <v>#DIV/0!</v>
      </c>
      <c r="BZ131" s="51" t="e">
        <f t="shared" si="64"/>
        <v>#DIV/0!</v>
      </c>
      <c r="CA131" s="51" t="e">
        <f t="shared" si="65"/>
        <v>#DIV/0!</v>
      </c>
      <c r="CB131" s="51" t="e">
        <f t="shared" si="66"/>
        <v>#DIV/0!</v>
      </c>
      <c r="CC131" s="51" t="e">
        <f t="shared" si="67"/>
        <v>#DIV/0!</v>
      </c>
      <c r="CD131" s="51" t="e">
        <f t="shared" si="68"/>
        <v>#DIV/0!</v>
      </c>
      <c r="CE131" s="53">
        <f t="shared" si="89"/>
        <v>0</v>
      </c>
      <c r="CF131" s="53">
        <f t="shared" si="89"/>
        <v>0</v>
      </c>
      <c r="CG131" s="53">
        <f t="shared" si="89"/>
        <v>0</v>
      </c>
      <c r="CH131" s="53">
        <f t="shared" si="89"/>
        <v>0</v>
      </c>
      <c r="CI131" s="53">
        <f t="shared" si="89"/>
        <v>0</v>
      </c>
      <c r="CJ131" s="53">
        <f t="shared" si="89"/>
        <v>0</v>
      </c>
      <c r="CK131" s="53">
        <f t="shared" si="89"/>
        <v>0</v>
      </c>
      <c r="CL131" s="53">
        <f t="shared" si="89"/>
        <v>0</v>
      </c>
      <c r="CM131" s="53">
        <f t="shared" si="89"/>
        <v>0</v>
      </c>
    </row>
    <row r="132" spans="1:91" x14ac:dyDescent="0.15">
      <c r="A132" s="41">
        <v>130</v>
      </c>
      <c r="B132" s="43">
        <f t="shared" si="86"/>
        <v>1</v>
      </c>
      <c r="C132" s="43">
        <f t="shared" si="85"/>
        <v>1</v>
      </c>
      <c r="D132" s="43">
        <f t="shared" si="85"/>
        <v>1</v>
      </c>
      <c r="E132" s="43">
        <f t="shared" si="85"/>
        <v>1</v>
      </c>
      <c r="F132" s="43">
        <f t="shared" si="85"/>
        <v>1</v>
      </c>
      <c r="G132" s="43">
        <f t="shared" si="85"/>
        <v>1</v>
      </c>
      <c r="H132" s="43">
        <f t="shared" si="85"/>
        <v>1</v>
      </c>
      <c r="I132" s="43">
        <f t="shared" si="85"/>
        <v>1</v>
      </c>
      <c r="J132" s="43">
        <f t="shared" si="85"/>
        <v>1</v>
      </c>
      <c r="K132" s="43" t="e">
        <f>K131+ATM_Conf!$C$5*(T131-AC131)</f>
        <v>#DIV/0!</v>
      </c>
      <c r="L132" s="43" t="e">
        <f>L131+ATM_Conf!$C$5*(U131-AD131)</f>
        <v>#DIV/0!</v>
      </c>
      <c r="M132" s="43" t="e">
        <f>M131+ATM_Conf!$C$5*(V131-AE131)</f>
        <v>#DIV/0!</v>
      </c>
      <c r="N132" s="43" t="e">
        <f>N131+ATM_Conf!$C$5*(W131-AF131)</f>
        <v>#DIV/0!</v>
      </c>
      <c r="O132" s="43" t="e">
        <f>O131+ATM_Conf!$C$5*(X131-AG131)</f>
        <v>#DIV/0!</v>
      </c>
      <c r="P132" s="43" t="e">
        <f>P131+ATM_Conf!$C$5*(Y131-AH131)</f>
        <v>#DIV/0!</v>
      </c>
      <c r="Q132" s="43" t="e">
        <f>Q131+ATM_Conf!$C$5*(Z131-AI131)</f>
        <v>#DIV/0!</v>
      </c>
      <c r="R132" s="43" t="e">
        <f>R131+ATM_Conf!$C$5*(AA131-AJ131)</f>
        <v>#DIV/0!</v>
      </c>
      <c r="S132" s="43" t="e">
        <f>S131+ATM_Conf!$C$5*(AB131-AK131)</f>
        <v>#DIV/0!</v>
      </c>
      <c r="T132" s="43">
        <f t="shared" si="87"/>
        <v>0</v>
      </c>
      <c r="U132" s="43">
        <f t="shared" si="87"/>
        <v>0</v>
      </c>
      <c r="V132" s="43">
        <f t="shared" si="87"/>
        <v>0</v>
      </c>
      <c r="W132" s="43">
        <f t="shared" si="87"/>
        <v>0</v>
      </c>
      <c r="X132" s="43">
        <f t="shared" si="87"/>
        <v>0</v>
      </c>
      <c r="Y132" s="43">
        <f t="shared" si="87"/>
        <v>0</v>
      </c>
      <c r="Z132" s="43">
        <f t="shared" si="87"/>
        <v>0</v>
      </c>
      <c r="AA132" s="43">
        <f t="shared" si="87"/>
        <v>0</v>
      </c>
      <c r="AB132" s="43">
        <f t="shared" si="87"/>
        <v>0</v>
      </c>
      <c r="AC132" s="43" t="e">
        <f t="shared" ref="AC132:AC182" si="90">B132*MIN(AL132,AU132)</f>
        <v>#DIV/0!</v>
      </c>
      <c r="AD132" s="43" t="e">
        <f t="shared" ref="AD132:AD182" si="91">C132*MIN(AM132,AV132)</f>
        <v>#DIV/0!</v>
      </c>
      <c r="AE132" s="43" t="e">
        <f t="shared" ref="AE132:AE182" si="92">D132*MIN(AN132,AW132)</f>
        <v>#DIV/0!</v>
      </c>
      <c r="AF132" s="43" t="e">
        <f t="shared" ref="AF132:AF182" si="93">E132*MIN(AO132,AX132)</f>
        <v>#DIV/0!</v>
      </c>
      <c r="AG132" s="43" t="e">
        <f t="shared" ref="AG132:AG182" si="94">F132*MIN(AP132,AY132)</f>
        <v>#DIV/0!</v>
      </c>
      <c r="AH132" s="43" t="e">
        <f t="shared" ref="AH132:AH182" si="95">G132*MIN(AQ132,AZ132)</f>
        <v>#DIV/0!</v>
      </c>
      <c r="AI132" s="43" t="e">
        <f t="shared" ref="AI132:AI182" si="96">H132*MIN(AR132,BA132)</f>
        <v>#DIV/0!</v>
      </c>
      <c r="AJ132" s="43" t="e">
        <f t="shared" ref="AJ132:AJ182" si="97">I132*MIN(AS132,BB132)</f>
        <v>#DIV/0!</v>
      </c>
      <c r="AK132" s="43" t="e">
        <f t="shared" ref="AK132:AK182" si="98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88"/>
        <v>0</v>
      </c>
      <c r="BE132" s="43">
        <f t="shared" si="88"/>
        <v>0</v>
      </c>
      <c r="BF132" s="43">
        <f t="shared" si="88"/>
        <v>0</v>
      </c>
      <c r="BG132" s="43">
        <f t="shared" si="88"/>
        <v>0</v>
      </c>
      <c r="BH132" s="43">
        <f t="shared" si="88"/>
        <v>0</v>
      </c>
      <c r="BI132" s="43">
        <f t="shared" si="88"/>
        <v>0</v>
      </c>
      <c r="BJ132" s="43">
        <f t="shared" si="88"/>
        <v>0</v>
      </c>
      <c r="BK132" s="43">
        <f t="shared" si="88"/>
        <v>0</v>
      </c>
      <c r="BL132" s="43">
        <f t="shared" si="88"/>
        <v>0</v>
      </c>
      <c r="BM132" s="51"/>
      <c r="BN132" s="51"/>
      <c r="BO132" s="51"/>
      <c r="BP132" s="51"/>
      <c r="BQ132" s="51"/>
      <c r="BR132" s="51"/>
      <c r="BS132" s="51"/>
      <c r="BT132" s="51"/>
      <c r="BU132" s="51"/>
      <c r="BV132" s="51" t="e">
        <f t="shared" ref="BV132:BV182" si="99">(MAX(K132-T$190,0))^2</f>
        <v>#DIV/0!</v>
      </c>
      <c r="BW132" s="51" t="e">
        <f t="shared" ref="BW132:BW182" si="100">(MAX(L132-U$190,0))^2</f>
        <v>#DIV/0!</v>
      </c>
      <c r="BX132" s="51" t="e">
        <f t="shared" ref="BX132:BX182" si="101">(MAX(M132-V$190,0))^2</f>
        <v>#DIV/0!</v>
      </c>
      <c r="BY132" s="51" t="e">
        <f t="shared" ref="BY132:BY182" si="102">(MAX(N132-W$190,0))^2</f>
        <v>#DIV/0!</v>
      </c>
      <c r="BZ132" s="51" t="e">
        <f t="shared" ref="BZ132:BZ182" si="103">(MAX(O132-X$190,0))^2</f>
        <v>#DIV/0!</v>
      </c>
      <c r="CA132" s="51" t="e">
        <f t="shared" ref="CA132:CA182" si="104">(MAX(P132-Y$190,0))^2</f>
        <v>#DIV/0!</v>
      </c>
      <c r="CB132" s="51" t="e">
        <f t="shared" ref="CB132:CB182" si="105">(MAX(Q132-Z$190,0))^2</f>
        <v>#DIV/0!</v>
      </c>
      <c r="CC132" s="51" t="e">
        <f t="shared" ref="CC132:CC182" si="106">(MAX(R132-AA$190,0))^2</f>
        <v>#DIV/0!</v>
      </c>
      <c r="CD132" s="51" t="e">
        <f t="shared" ref="CD132:CD182" si="107">(MAX(S132-AB$190,0))^2</f>
        <v>#DIV/0!</v>
      </c>
      <c r="CE132" s="53">
        <f t="shared" si="89"/>
        <v>0</v>
      </c>
      <c r="CF132" s="53">
        <f t="shared" si="89"/>
        <v>0</v>
      </c>
      <c r="CG132" s="53">
        <f t="shared" si="89"/>
        <v>0</v>
      </c>
      <c r="CH132" s="53">
        <f t="shared" si="89"/>
        <v>0</v>
      </c>
      <c r="CI132" s="53">
        <f t="shared" si="89"/>
        <v>0</v>
      </c>
      <c r="CJ132" s="53">
        <f t="shared" si="89"/>
        <v>0</v>
      </c>
      <c r="CK132" s="53">
        <f t="shared" si="89"/>
        <v>0</v>
      </c>
      <c r="CL132" s="53">
        <f t="shared" si="89"/>
        <v>0</v>
      </c>
      <c r="CM132" s="53">
        <f t="shared" si="89"/>
        <v>0</v>
      </c>
    </row>
    <row r="133" spans="1:91" x14ac:dyDescent="0.15">
      <c r="A133" s="41">
        <v>131</v>
      </c>
      <c r="B133" s="43">
        <f t="shared" si="86"/>
        <v>1</v>
      </c>
      <c r="C133" s="43">
        <f t="shared" si="85"/>
        <v>1</v>
      </c>
      <c r="D133" s="43">
        <f t="shared" si="85"/>
        <v>1</v>
      </c>
      <c r="E133" s="43">
        <f t="shared" si="85"/>
        <v>1</v>
      </c>
      <c r="F133" s="43">
        <f t="shared" si="85"/>
        <v>1</v>
      </c>
      <c r="G133" s="43">
        <f t="shared" si="85"/>
        <v>1</v>
      </c>
      <c r="H133" s="43">
        <f t="shared" si="85"/>
        <v>1</v>
      </c>
      <c r="I133" s="43">
        <f t="shared" si="85"/>
        <v>1</v>
      </c>
      <c r="J133" s="43">
        <f t="shared" si="85"/>
        <v>1</v>
      </c>
      <c r="K133" s="43" t="e">
        <f>K132+ATM_Conf!$C$5*(T132-AC132)</f>
        <v>#DIV/0!</v>
      </c>
      <c r="L133" s="43" t="e">
        <f>L132+ATM_Conf!$C$5*(U132-AD132)</f>
        <v>#DIV/0!</v>
      </c>
      <c r="M133" s="43" t="e">
        <f>M132+ATM_Conf!$C$5*(V132-AE132)</f>
        <v>#DIV/0!</v>
      </c>
      <c r="N133" s="43" t="e">
        <f>N132+ATM_Conf!$C$5*(W132-AF132)</f>
        <v>#DIV/0!</v>
      </c>
      <c r="O133" s="43" t="e">
        <f>O132+ATM_Conf!$C$5*(X132-AG132)</f>
        <v>#DIV/0!</v>
      </c>
      <c r="P133" s="43" t="e">
        <f>P132+ATM_Conf!$C$5*(Y132-AH132)</f>
        <v>#DIV/0!</v>
      </c>
      <c r="Q133" s="43" t="e">
        <f>Q132+ATM_Conf!$C$5*(Z132-AI132)</f>
        <v>#DIV/0!</v>
      </c>
      <c r="R133" s="43" t="e">
        <f>R132+ATM_Conf!$C$5*(AA132-AJ132)</f>
        <v>#DIV/0!</v>
      </c>
      <c r="S133" s="43" t="e">
        <f>S132+ATM_Conf!$C$5*(AB132-AK132)</f>
        <v>#DIV/0!</v>
      </c>
      <c r="T133" s="43">
        <f t="shared" si="87"/>
        <v>0</v>
      </c>
      <c r="U133" s="43">
        <f t="shared" si="87"/>
        <v>0</v>
      </c>
      <c r="V133" s="43">
        <f t="shared" si="87"/>
        <v>0</v>
      </c>
      <c r="W133" s="43">
        <f t="shared" si="87"/>
        <v>0</v>
      </c>
      <c r="X133" s="43">
        <f t="shared" si="87"/>
        <v>0</v>
      </c>
      <c r="Y133" s="43">
        <f t="shared" si="87"/>
        <v>0</v>
      </c>
      <c r="Z133" s="43">
        <f t="shared" si="87"/>
        <v>0</v>
      </c>
      <c r="AA133" s="43">
        <f t="shared" si="87"/>
        <v>0</v>
      </c>
      <c r="AB133" s="43">
        <f t="shared" si="87"/>
        <v>0</v>
      </c>
      <c r="AC133" s="43" t="e">
        <f t="shared" si="90"/>
        <v>#DIV/0!</v>
      </c>
      <c r="AD133" s="43" t="e">
        <f t="shared" si="91"/>
        <v>#DIV/0!</v>
      </c>
      <c r="AE133" s="43" t="e">
        <f t="shared" si="92"/>
        <v>#DIV/0!</v>
      </c>
      <c r="AF133" s="43" t="e">
        <f t="shared" si="93"/>
        <v>#DIV/0!</v>
      </c>
      <c r="AG133" s="43" t="e">
        <f t="shared" si="94"/>
        <v>#DIV/0!</v>
      </c>
      <c r="AH133" s="43" t="e">
        <f t="shared" si="95"/>
        <v>#DIV/0!</v>
      </c>
      <c r="AI133" s="43" t="e">
        <f t="shared" si="96"/>
        <v>#DIV/0!</v>
      </c>
      <c r="AJ133" s="43" t="e">
        <f t="shared" si="97"/>
        <v>#DIV/0!</v>
      </c>
      <c r="AK133" s="43" t="e">
        <f t="shared" si="98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88"/>
        <v>0</v>
      </c>
      <c r="BE133" s="43">
        <f t="shared" si="88"/>
        <v>0</v>
      </c>
      <c r="BF133" s="43">
        <f t="shared" si="88"/>
        <v>0</v>
      </c>
      <c r="BG133" s="43">
        <f t="shared" si="88"/>
        <v>0</v>
      </c>
      <c r="BH133" s="43">
        <f t="shared" si="88"/>
        <v>0</v>
      </c>
      <c r="BI133" s="43">
        <f t="shared" si="88"/>
        <v>0</v>
      </c>
      <c r="BJ133" s="43">
        <f t="shared" si="88"/>
        <v>0</v>
      </c>
      <c r="BK133" s="43">
        <f t="shared" si="88"/>
        <v>0</v>
      </c>
      <c r="BL133" s="43">
        <f t="shared" si="88"/>
        <v>0</v>
      </c>
      <c r="BM133" s="51"/>
      <c r="BN133" s="51"/>
      <c r="BO133" s="51"/>
      <c r="BP133" s="51"/>
      <c r="BQ133" s="51"/>
      <c r="BR133" s="51"/>
      <c r="BS133" s="51"/>
      <c r="BT133" s="51"/>
      <c r="BU133" s="51"/>
      <c r="BV133" s="51" t="e">
        <f t="shared" si="99"/>
        <v>#DIV/0!</v>
      </c>
      <c r="BW133" s="51" t="e">
        <f t="shared" si="100"/>
        <v>#DIV/0!</v>
      </c>
      <c r="BX133" s="51" t="e">
        <f t="shared" si="101"/>
        <v>#DIV/0!</v>
      </c>
      <c r="BY133" s="51" t="e">
        <f t="shared" si="102"/>
        <v>#DIV/0!</v>
      </c>
      <c r="BZ133" s="51" t="e">
        <f t="shared" si="103"/>
        <v>#DIV/0!</v>
      </c>
      <c r="CA133" s="51" t="e">
        <f t="shared" si="104"/>
        <v>#DIV/0!</v>
      </c>
      <c r="CB133" s="51" t="e">
        <f t="shared" si="105"/>
        <v>#DIV/0!</v>
      </c>
      <c r="CC133" s="51" t="e">
        <f t="shared" si="106"/>
        <v>#DIV/0!</v>
      </c>
      <c r="CD133" s="51" t="e">
        <f t="shared" si="107"/>
        <v>#DIV/0!</v>
      </c>
      <c r="CE133" s="53">
        <f t="shared" si="89"/>
        <v>0</v>
      </c>
      <c r="CF133" s="53">
        <f t="shared" si="89"/>
        <v>0</v>
      </c>
      <c r="CG133" s="53">
        <f t="shared" si="89"/>
        <v>0</v>
      </c>
      <c r="CH133" s="53">
        <f t="shared" si="89"/>
        <v>0</v>
      </c>
      <c r="CI133" s="53">
        <f t="shared" si="89"/>
        <v>0</v>
      </c>
      <c r="CJ133" s="53">
        <f t="shared" si="89"/>
        <v>0</v>
      </c>
      <c r="CK133" s="53">
        <f t="shared" si="89"/>
        <v>0</v>
      </c>
      <c r="CL133" s="53">
        <f t="shared" si="89"/>
        <v>0</v>
      </c>
      <c r="CM133" s="53">
        <f t="shared" si="89"/>
        <v>0</v>
      </c>
    </row>
    <row r="134" spans="1:91" x14ac:dyDescent="0.15">
      <c r="A134" s="41">
        <v>132</v>
      </c>
      <c r="B134" s="43">
        <f t="shared" si="86"/>
        <v>1</v>
      </c>
      <c r="C134" s="43">
        <f t="shared" si="85"/>
        <v>1</v>
      </c>
      <c r="D134" s="43">
        <f t="shared" si="85"/>
        <v>1</v>
      </c>
      <c r="E134" s="43">
        <f t="shared" si="85"/>
        <v>1</v>
      </c>
      <c r="F134" s="43">
        <f t="shared" si="85"/>
        <v>1</v>
      </c>
      <c r="G134" s="43">
        <f t="shared" si="85"/>
        <v>1</v>
      </c>
      <c r="H134" s="43">
        <f t="shared" si="85"/>
        <v>1</v>
      </c>
      <c r="I134" s="43">
        <f t="shared" si="85"/>
        <v>1</v>
      </c>
      <c r="J134" s="43">
        <f t="shared" si="85"/>
        <v>1</v>
      </c>
      <c r="K134" s="43" t="e">
        <f>K133+ATM_Conf!$C$5*(T133-AC133)</f>
        <v>#DIV/0!</v>
      </c>
      <c r="L134" s="43" t="e">
        <f>L133+ATM_Conf!$C$5*(U133-AD133)</f>
        <v>#DIV/0!</v>
      </c>
      <c r="M134" s="43" t="e">
        <f>M133+ATM_Conf!$C$5*(V133-AE133)</f>
        <v>#DIV/0!</v>
      </c>
      <c r="N134" s="43" t="e">
        <f>N133+ATM_Conf!$C$5*(W133-AF133)</f>
        <v>#DIV/0!</v>
      </c>
      <c r="O134" s="43" t="e">
        <f>O133+ATM_Conf!$C$5*(X133-AG133)</f>
        <v>#DIV/0!</v>
      </c>
      <c r="P134" s="43" t="e">
        <f>P133+ATM_Conf!$C$5*(Y133-AH133)</f>
        <v>#DIV/0!</v>
      </c>
      <c r="Q134" s="43" t="e">
        <f>Q133+ATM_Conf!$C$5*(Z133-AI133)</f>
        <v>#DIV/0!</v>
      </c>
      <c r="R134" s="43" t="e">
        <f>R133+ATM_Conf!$C$5*(AA133-AJ133)</f>
        <v>#DIV/0!</v>
      </c>
      <c r="S134" s="43" t="e">
        <f>S133+ATM_Conf!$C$5*(AB133-AK133)</f>
        <v>#DIV/0!</v>
      </c>
      <c r="T134" s="43">
        <f t="shared" si="87"/>
        <v>0</v>
      </c>
      <c r="U134" s="43">
        <f t="shared" si="87"/>
        <v>0</v>
      </c>
      <c r="V134" s="43">
        <f t="shared" si="87"/>
        <v>0</v>
      </c>
      <c r="W134" s="43">
        <f t="shared" si="87"/>
        <v>0</v>
      </c>
      <c r="X134" s="43">
        <f t="shared" si="87"/>
        <v>0</v>
      </c>
      <c r="Y134" s="43">
        <f t="shared" si="87"/>
        <v>0</v>
      </c>
      <c r="Z134" s="43">
        <f t="shared" si="87"/>
        <v>0</v>
      </c>
      <c r="AA134" s="43">
        <f t="shared" si="87"/>
        <v>0</v>
      </c>
      <c r="AB134" s="43">
        <f t="shared" si="87"/>
        <v>0</v>
      </c>
      <c r="AC134" s="43" t="e">
        <f t="shared" si="90"/>
        <v>#DIV/0!</v>
      </c>
      <c r="AD134" s="43" t="e">
        <f t="shared" si="91"/>
        <v>#DIV/0!</v>
      </c>
      <c r="AE134" s="43" t="e">
        <f t="shared" si="92"/>
        <v>#DIV/0!</v>
      </c>
      <c r="AF134" s="43" t="e">
        <f t="shared" si="93"/>
        <v>#DIV/0!</v>
      </c>
      <c r="AG134" s="43" t="e">
        <f t="shared" si="94"/>
        <v>#DIV/0!</v>
      </c>
      <c r="AH134" s="43" t="e">
        <f t="shared" si="95"/>
        <v>#DIV/0!</v>
      </c>
      <c r="AI134" s="43" t="e">
        <f t="shared" si="96"/>
        <v>#DIV/0!</v>
      </c>
      <c r="AJ134" s="43" t="e">
        <f t="shared" si="97"/>
        <v>#DIV/0!</v>
      </c>
      <c r="AK134" s="43" t="e">
        <f t="shared" si="98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88"/>
        <v>0</v>
      </c>
      <c r="BE134" s="43">
        <f t="shared" si="88"/>
        <v>0</v>
      </c>
      <c r="BF134" s="43">
        <f t="shared" si="88"/>
        <v>0</v>
      </c>
      <c r="BG134" s="43">
        <f t="shared" si="88"/>
        <v>0</v>
      </c>
      <c r="BH134" s="43">
        <f t="shared" si="88"/>
        <v>0</v>
      </c>
      <c r="BI134" s="43">
        <f t="shared" si="88"/>
        <v>0</v>
      </c>
      <c r="BJ134" s="43">
        <f t="shared" si="88"/>
        <v>0</v>
      </c>
      <c r="BK134" s="43">
        <f t="shared" si="88"/>
        <v>0</v>
      </c>
      <c r="BL134" s="43">
        <f t="shared" si="88"/>
        <v>0</v>
      </c>
      <c r="BM134" s="51"/>
      <c r="BN134" s="51"/>
      <c r="BO134" s="51"/>
      <c r="BP134" s="51"/>
      <c r="BQ134" s="51"/>
      <c r="BR134" s="51"/>
      <c r="BS134" s="51"/>
      <c r="BT134" s="51"/>
      <c r="BU134" s="51"/>
      <c r="BV134" s="51" t="e">
        <f t="shared" si="99"/>
        <v>#DIV/0!</v>
      </c>
      <c r="BW134" s="51" t="e">
        <f t="shared" si="100"/>
        <v>#DIV/0!</v>
      </c>
      <c r="BX134" s="51" t="e">
        <f t="shared" si="101"/>
        <v>#DIV/0!</v>
      </c>
      <c r="BY134" s="51" t="e">
        <f t="shared" si="102"/>
        <v>#DIV/0!</v>
      </c>
      <c r="BZ134" s="51" t="e">
        <f t="shared" si="103"/>
        <v>#DIV/0!</v>
      </c>
      <c r="CA134" s="51" t="e">
        <f t="shared" si="104"/>
        <v>#DIV/0!</v>
      </c>
      <c r="CB134" s="51" t="e">
        <f t="shared" si="105"/>
        <v>#DIV/0!</v>
      </c>
      <c r="CC134" s="51" t="e">
        <f t="shared" si="106"/>
        <v>#DIV/0!</v>
      </c>
      <c r="CD134" s="51" t="e">
        <f t="shared" si="107"/>
        <v>#DIV/0!</v>
      </c>
      <c r="CE134" s="53">
        <f t="shared" si="89"/>
        <v>0</v>
      </c>
      <c r="CF134" s="53">
        <f t="shared" si="89"/>
        <v>0</v>
      </c>
      <c r="CG134" s="53">
        <f t="shared" si="89"/>
        <v>0</v>
      </c>
      <c r="CH134" s="53">
        <f t="shared" si="89"/>
        <v>0</v>
      </c>
      <c r="CI134" s="53">
        <f t="shared" si="89"/>
        <v>0</v>
      </c>
      <c r="CJ134" s="53">
        <f t="shared" si="89"/>
        <v>0</v>
      </c>
      <c r="CK134" s="53">
        <f t="shared" si="89"/>
        <v>0</v>
      </c>
      <c r="CL134" s="53">
        <f t="shared" si="89"/>
        <v>0</v>
      </c>
      <c r="CM134" s="53">
        <f t="shared" si="89"/>
        <v>0</v>
      </c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 t="e">
        <f>K134+ATM_Conf!$C$5*(T134-AC134)</f>
        <v>#DIV/0!</v>
      </c>
      <c r="L135" s="43" t="e">
        <f>L134+ATM_Conf!$C$5*(U134-AD134)</f>
        <v>#DIV/0!</v>
      </c>
      <c r="M135" s="43" t="e">
        <f>M134+ATM_Conf!$C$5*(V134-AE134)</f>
        <v>#DIV/0!</v>
      </c>
      <c r="N135" s="43" t="e">
        <f>N134+ATM_Conf!$C$5*(W134-AF134)</f>
        <v>#DIV/0!</v>
      </c>
      <c r="O135" s="43" t="e">
        <f>O134+ATM_Conf!$C$5*(X134-AG134)</f>
        <v>#DIV/0!</v>
      </c>
      <c r="P135" s="43" t="e">
        <f>P134+ATM_Conf!$C$5*(Y134-AH134)</f>
        <v>#DIV/0!</v>
      </c>
      <c r="Q135" s="43" t="e">
        <f>Q134+ATM_Conf!$C$5*(Z134-AI134)</f>
        <v>#DIV/0!</v>
      </c>
      <c r="R135" s="43" t="e">
        <f>R134+ATM_Conf!$C$5*(AA134-AJ134)</f>
        <v>#DIV/0!</v>
      </c>
      <c r="S135" s="43" t="e">
        <f>S134+ATM_Conf!$C$5*(AB134-AK134)</f>
        <v>#DIV/0!</v>
      </c>
      <c r="T135" s="43">
        <f t="shared" si="87"/>
        <v>0</v>
      </c>
      <c r="U135" s="43">
        <f t="shared" si="87"/>
        <v>0</v>
      </c>
      <c r="V135" s="43">
        <f t="shared" si="87"/>
        <v>0</v>
      </c>
      <c r="W135" s="43">
        <f t="shared" si="87"/>
        <v>0</v>
      </c>
      <c r="X135" s="43">
        <f t="shared" si="87"/>
        <v>0</v>
      </c>
      <c r="Y135" s="43">
        <f t="shared" si="87"/>
        <v>0</v>
      </c>
      <c r="Z135" s="43">
        <f t="shared" si="87"/>
        <v>0</v>
      </c>
      <c r="AA135" s="43">
        <f t="shared" si="87"/>
        <v>0</v>
      </c>
      <c r="AB135" s="43">
        <f t="shared" si="87"/>
        <v>0</v>
      </c>
      <c r="AC135" s="43" t="e">
        <f t="shared" si="90"/>
        <v>#DIV/0!</v>
      </c>
      <c r="AD135" s="43" t="e">
        <f t="shared" si="91"/>
        <v>#DIV/0!</v>
      </c>
      <c r="AE135" s="43" t="e">
        <f t="shared" si="92"/>
        <v>#DIV/0!</v>
      </c>
      <c r="AF135" s="43" t="e">
        <f t="shared" si="93"/>
        <v>#DIV/0!</v>
      </c>
      <c r="AG135" s="43" t="e">
        <f t="shared" si="94"/>
        <v>#DIV/0!</v>
      </c>
      <c r="AH135" s="43" t="e">
        <f t="shared" si="95"/>
        <v>#DIV/0!</v>
      </c>
      <c r="AI135" s="43" t="e">
        <f t="shared" si="96"/>
        <v>#DIV/0!</v>
      </c>
      <c r="AJ135" s="43" t="e">
        <f t="shared" si="97"/>
        <v>#DIV/0!</v>
      </c>
      <c r="AK135" s="43" t="e">
        <f t="shared" si="98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88"/>
        <v>0</v>
      </c>
      <c r="BE135" s="43">
        <f t="shared" si="88"/>
        <v>0</v>
      </c>
      <c r="BF135" s="43">
        <f t="shared" si="88"/>
        <v>0</v>
      </c>
      <c r="BG135" s="43">
        <f t="shared" si="88"/>
        <v>0</v>
      </c>
      <c r="BH135" s="43">
        <f t="shared" si="88"/>
        <v>0</v>
      </c>
      <c r="BI135" s="43">
        <f t="shared" si="88"/>
        <v>0</v>
      </c>
      <c r="BJ135" s="43">
        <f t="shared" si="88"/>
        <v>0</v>
      </c>
      <c r="BK135" s="43">
        <f t="shared" si="88"/>
        <v>0</v>
      </c>
      <c r="BL135" s="43">
        <f t="shared" si="88"/>
        <v>0</v>
      </c>
      <c r="BM135" s="51">
        <f>(B135-B123)^2</f>
        <v>0</v>
      </c>
      <c r="BN135" s="51">
        <f t="shared" ref="BN135:BU135" si="108">(C135-C123)^2</f>
        <v>0</v>
      </c>
      <c r="BO135" s="51">
        <f t="shared" si="108"/>
        <v>0</v>
      </c>
      <c r="BP135" s="51">
        <f t="shared" si="108"/>
        <v>0</v>
      </c>
      <c r="BQ135" s="51">
        <f t="shared" si="108"/>
        <v>0</v>
      </c>
      <c r="BR135" s="51">
        <f t="shared" si="108"/>
        <v>0</v>
      </c>
      <c r="BS135" s="51">
        <f t="shared" si="108"/>
        <v>0</v>
      </c>
      <c r="BT135" s="51">
        <f t="shared" si="108"/>
        <v>0</v>
      </c>
      <c r="BU135" s="51">
        <f t="shared" si="108"/>
        <v>0</v>
      </c>
      <c r="BV135" s="51" t="e">
        <f t="shared" si="99"/>
        <v>#DIV/0!</v>
      </c>
      <c r="BW135" s="51" t="e">
        <f t="shared" si="100"/>
        <v>#DIV/0!</v>
      </c>
      <c r="BX135" s="51" t="e">
        <f t="shared" si="101"/>
        <v>#DIV/0!</v>
      </c>
      <c r="BY135" s="51" t="e">
        <f t="shared" si="102"/>
        <v>#DIV/0!</v>
      </c>
      <c r="BZ135" s="51" t="e">
        <f t="shared" si="103"/>
        <v>#DIV/0!</v>
      </c>
      <c r="CA135" s="51" t="e">
        <f t="shared" si="104"/>
        <v>#DIV/0!</v>
      </c>
      <c r="CB135" s="51" t="e">
        <f t="shared" si="105"/>
        <v>#DIV/0!</v>
      </c>
      <c r="CC135" s="51" t="e">
        <f t="shared" si="106"/>
        <v>#DIV/0!</v>
      </c>
      <c r="CD135" s="51" t="e">
        <f t="shared" si="107"/>
        <v>#DIV/0!</v>
      </c>
      <c r="CE135" s="53">
        <f t="shared" si="89"/>
        <v>0</v>
      </c>
      <c r="CF135" s="53">
        <f t="shared" si="89"/>
        <v>0</v>
      </c>
      <c r="CG135" s="53">
        <f t="shared" si="89"/>
        <v>0</v>
      </c>
      <c r="CH135" s="53">
        <f t="shared" si="89"/>
        <v>0</v>
      </c>
      <c r="CI135" s="53">
        <f t="shared" si="89"/>
        <v>0</v>
      </c>
      <c r="CJ135" s="53">
        <f t="shared" si="89"/>
        <v>0</v>
      </c>
      <c r="CK135" s="53">
        <f t="shared" si="89"/>
        <v>0</v>
      </c>
      <c r="CL135" s="53">
        <f t="shared" si="89"/>
        <v>0</v>
      </c>
      <c r="CM135" s="53">
        <f t="shared" si="89"/>
        <v>0</v>
      </c>
    </row>
    <row r="136" spans="1:91" x14ac:dyDescent="0.15">
      <c r="A136" s="41">
        <v>134</v>
      </c>
      <c r="B136" s="43">
        <f>B$135</f>
        <v>1</v>
      </c>
      <c r="C136" s="43">
        <f t="shared" ref="C136:J146" si="109">C$135</f>
        <v>1</v>
      </c>
      <c r="D136" s="43">
        <f t="shared" si="109"/>
        <v>1</v>
      </c>
      <c r="E136" s="43">
        <f t="shared" si="109"/>
        <v>1</v>
      </c>
      <c r="F136" s="43">
        <f t="shared" si="109"/>
        <v>1</v>
      </c>
      <c r="G136" s="43">
        <f t="shared" si="109"/>
        <v>1</v>
      </c>
      <c r="H136" s="43">
        <f t="shared" si="109"/>
        <v>1</v>
      </c>
      <c r="I136" s="43">
        <f t="shared" si="109"/>
        <v>1</v>
      </c>
      <c r="J136" s="43">
        <f t="shared" si="109"/>
        <v>1</v>
      </c>
      <c r="K136" s="43" t="e">
        <f>K135+ATM_Conf!$C$5*(T135-AC135)</f>
        <v>#DIV/0!</v>
      </c>
      <c r="L136" s="43" t="e">
        <f>L135+ATM_Conf!$C$5*(U135-AD135)</f>
        <v>#DIV/0!</v>
      </c>
      <c r="M136" s="43" t="e">
        <f>M135+ATM_Conf!$C$5*(V135-AE135)</f>
        <v>#DIV/0!</v>
      </c>
      <c r="N136" s="43" t="e">
        <f>N135+ATM_Conf!$C$5*(W135-AF135)</f>
        <v>#DIV/0!</v>
      </c>
      <c r="O136" s="43" t="e">
        <f>O135+ATM_Conf!$C$5*(X135-AG135)</f>
        <v>#DIV/0!</v>
      </c>
      <c r="P136" s="43" t="e">
        <f>P135+ATM_Conf!$C$5*(Y135-AH135)</f>
        <v>#DIV/0!</v>
      </c>
      <c r="Q136" s="43" t="e">
        <f>Q135+ATM_Conf!$C$5*(Z135-AI135)</f>
        <v>#DIV/0!</v>
      </c>
      <c r="R136" s="43" t="e">
        <f>R135+ATM_Conf!$C$5*(AA135-AJ135)</f>
        <v>#DIV/0!</v>
      </c>
      <c r="S136" s="43" t="e">
        <f>S135+ATM_Conf!$C$5*(AB135-AK135)</f>
        <v>#DIV/0!</v>
      </c>
      <c r="T136" s="43">
        <f t="shared" si="87"/>
        <v>0</v>
      </c>
      <c r="U136" s="43">
        <f t="shared" si="87"/>
        <v>0</v>
      </c>
      <c r="V136" s="43">
        <f t="shared" si="87"/>
        <v>0</v>
      </c>
      <c r="W136" s="43">
        <f t="shared" si="87"/>
        <v>0</v>
      </c>
      <c r="X136" s="43">
        <f t="shared" si="87"/>
        <v>0</v>
      </c>
      <c r="Y136" s="43">
        <f t="shared" si="87"/>
        <v>0</v>
      </c>
      <c r="Z136" s="43">
        <f t="shared" si="87"/>
        <v>0</v>
      </c>
      <c r="AA136" s="43">
        <f t="shared" si="87"/>
        <v>0</v>
      </c>
      <c r="AB136" s="43">
        <f t="shared" si="87"/>
        <v>0</v>
      </c>
      <c r="AC136" s="43" t="e">
        <f t="shared" si="90"/>
        <v>#DIV/0!</v>
      </c>
      <c r="AD136" s="43" t="e">
        <f t="shared" si="91"/>
        <v>#DIV/0!</v>
      </c>
      <c r="AE136" s="43" t="e">
        <f t="shared" si="92"/>
        <v>#DIV/0!</v>
      </c>
      <c r="AF136" s="43" t="e">
        <f t="shared" si="93"/>
        <v>#DIV/0!</v>
      </c>
      <c r="AG136" s="43" t="e">
        <f t="shared" si="94"/>
        <v>#DIV/0!</v>
      </c>
      <c r="AH136" s="43" t="e">
        <f t="shared" si="95"/>
        <v>#DIV/0!</v>
      </c>
      <c r="AI136" s="43" t="e">
        <f t="shared" si="96"/>
        <v>#DIV/0!</v>
      </c>
      <c r="AJ136" s="43" t="e">
        <f t="shared" si="97"/>
        <v>#DIV/0!</v>
      </c>
      <c r="AK136" s="43" t="e">
        <f t="shared" si="98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88"/>
        <v>0</v>
      </c>
      <c r="BE136" s="43">
        <f t="shared" si="88"/>
        <v>0</v>
      </c>
      <c r="BF136" s="43">
        <f t="shared" si="88"/>
        <v>0</v>
      </c>
      <c r="BG136" s="43">
        <f t="shared" si="88"/>
        <v>0</v>
      </c>
      <c r="BH136" s="43">
        <f t="shared" si="88"/>
        <v>0</v>
      </c>
      <c r="BI136" s="43">
        <f t="shared" si="88"/>
        <v>0</v>
      </c>
      <c r="BJ136" s="43">
        <f t="shared" si="88"/>
        <v>0</v>
      </c>
      <c r="BK136" s="43">
        <f t="shared" si="88"/>
        <v>0</v>
      </c>
      <c r="BL136" s="43">
        <f t="shared" si="88"/>
        <v>0</v>
      </c>
      <c r="BM136" s="51"/>
      <c r="BN136" s="51"/>
      <c r="BO136" s="51"/>
      <c r="BP136" s="51"/>
      <c r="BQ136" s="51"/>
      <c r="BR136" s="51"/>
      <c r="BS136" s="51"/>
      <c r="BT136" s="51"/>
      <c r="BU136" s="51"/>
      <c r="BV136" s="51" t="e">
        <f t="shared" si="99"/>
        <v>#DIV/0!</v>
      </c>
      <c r="BW136" s="51" t="e">
        <f t="shared" si="100"/>
        <v>#DIV/0!</v>
      </c>
      <c r="BX136" s="51" t="e">
        <f t="shared" si="101"/>
        <v>#DIV/0!</v>
      </c>
      <c r="BY136" s="51" t="e">
        <f t="shared" si="102"/>
        <v>#DIV/0!</v>
      </c>
      <c r="BZ136" s="51" t="e">
        <f t="shared" si="103"/>
        <v>#DIV/0!</v>
      </c>
      <c r="CA136" s="51" t="e">
        <f t="shared" si="104"/>
        <v>#DIV/0!</v>
      </c>
      <c r="CB136" s="51" t="e">
        <f t="shared" si="105"/>
        <v>#DIV/0!</v>
      </c>
      <c r="CC136" s="51" t="e">
        <f t="shared" si="106"/>
        <v>#DIV/0!</v>
      </c>
      <c r="CD136" s="51" t="e">
        <f t="shared" si="107"/>
        <v>#DIV/0!</v>
      </c>
      <c r="CE136" s="53">
        <f t="shared" si="89"/>
        <v>0</v>
      </c>
      <c r="CF136" s="53">
        <f t="shared" si="89"/>
        <v>0</v>
      </c>
      <c r="CG136" s="53">
        <f t="shared" si="89"/>
        <v>0</v>
      </c>
      <c r="CH136" s="53">
        <f t="shared" si="89"/>
        <v>0</v>
      </c>
      <c r="CI136" s="53">
        <f t="shared" si="89"/>
        <v>0</v>
      </c>
      <c r="CJ136" s="53">
        <f t="shared" si="89"/>
        <v>0</v>
      </c>
      <c r="CK136" s="53">
        <f t="shared" si="89"/>
        <v>0</v>
      </c>
      <c r="CL136" s="53">
        <f t="shared" si="89"/>
        <v>0</v>
      </c>
      <c r="CM136" s="53">
        <f t="shared" si="89"/>
        <v>0</v>
      </c>
    </row>
    <row r="137" spans="1:91" x14ac:dyDescent="0.15">
      <c r="A137" s="41">
        <v>135</v>
      </c>
      <c r="B137" s="43">
        <f t="shared" ref="B137:B146" si="110">B$135</f>
        <v>1</v>
      </c>
      <c r="C137" s="43">
        <f t="shared" si="109"/>
        <v>1</v>
      </c>
      <c r="D137" s="43">
        <f t="shared" si="109"/>
        <v>1</v>
      </c>
      <c r="E137" s="43">
        <f t="shared" si="109"/>
        <v>1</v>
      </c>
      <c r="F137" s="43">
        <f t="shared" si="109"/>
        <v>1</v>
      </c>
      <c r="G137" s="43">
        <f t="shared" si="109"/>
        <v>1</v>
      </c>
      <c r="H137" s="43">
        <f t="shared" si="109"/>
        <v>1</v>
      </c>
      <c r="I137" s="43">
        <f t="shared" si="109"/>
        <v>1</v>
      </c>
      <c r="J137" s="43">
        <f t="shared" si="109"/>
        <v>1</v>
      </c>
      <c r="K137" s="43" t="e">
        <f>K136+ATM_Conf!$C$5*(T136-AC136)</f>
        <v>#DIV/0!</v>
      </c>
      <c r="L137" s="43" t="e">
        <f>L136+ATM_Conf!$C$5*(U136-AD136)</f>
        <v>#DIV/0!</v>
      </c>
      <c r="M137" s="43" t="e">
        <f>M136+ATM_Conf!$C$5*(V136-AE136)</f>
        <v>#DIV/0!</v>
      </c>
      <c r="N137" s="43" t="e">
        <f>N136+ATM_Conf!$C$5*(W136-AF136)</f>
        <v>#DIV/0!</v>
      </c>
      <c r="O137" s="43" t="e">
        <f>O136+ATM_Conf!$C$5*(X136-AG136)</f>
        <v>#DIV/0!</v>
      </c>
      <c r="P137" s="43" t="e">
        <f>P136+ATM_Conf!$C$5*(Y136-AH136)</f>
        <v>#DIV/0!</v>
      </c>
      <c r="Q137" s="43" t="e">
        <f>Q136+ATM_Conf!$C$5*(Z136-AI136)</f>
        <v>#DIV/0!</v>
      </c>
      <c r="R137" s="43" t="e">
        <f>R136+ATM_Conf!$C$5*(AA136-AJ136)</f>
        <v>#DIV/0!</v>
      </c>
      <c r="S137" s="43" t="e">
        <f>S136+ATM_Conf!$C$5*(AB136-AK136)</f>
        <v>#DIV/0!</v>
      </c>
      <c r="T137" s="43">
        <f t="shared" si="87"/>
        <v>0</v>
      </c>
      <c r="U137" s="43">
        <f t="shared" si="87"/>
        <v>0</v>
      </c>
      <c r="V137" s="43">
        <f t="shared" si="87"/>
        <v>0</v>
      </c>
      <c r="W137" s="43">
        <f t="shared" si="87"/>
        <v>0</v>
      </c>
      <c r="X137" s="43">
        <f t="shared" si="87"/>
        <v>0</v>
      </c>
      <c r="Y137" s="43">
        <f t="shared" si="87"/>
        <v>0</v>
      </c>
      <c r="Z137" s="43">
        <f t="shared" si="87"/>
        <v>0</v>
      </c>
      <c r="AA137" s="43">
        <f t="shared" si="87"/>
        <v>0</v>
      </c>
      <c r="AB137" s="43">
        <f t="shared" si="87"/>
        <v>0</v>
      </c>
      <c r="AC137" s="43" t="e">
        <f t="shared" si="90"/>
        <v>#DIV/0!</v>
      </c>
      <c r="AD137" s="43" t="e">
        <f t="shared" si="91"/>
        <v>#DIV/0!</v>
      </c>
      <c r="AE137" s="43" t="e">
        <f t="shared" si="92"/>
        <v>#DIV/0!</v>
      </c>
      <c r="AF137" s="43" t="e">
        <f t="shared" si="93"/>
        <v>#DIV/0!</v>
      </c>
      <c r="AG137" s="43" t="e">
        <f t="shared" si="94"/>
        <v>#DIV/0!</v>
      </c>
      <c r="AH137" s="43" t="e">
        <f t="shared" si="95"/>
        <v>#DIV/0!</v>
      </c>
      <c r="AI137" s="43" t="e">
        <f t="shared" si="96"/>
        <v>#DIV/0!</v>
      </c>
      <c r="AJ137" s="43" t="e">
        <f t="shared" si="97"/>
        <v>#DIV/0!</v>
      </c>
      <c r="AK137" s="43" t="e">
        <f t="shared" si="98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88"/>
        <v>0</v>
      </c>
      <c r="BE137" s="43">
        <f t="shared" si="88"/>
        <v>0</v>
      </c>
      <c r="BF137" s="43">
        <f t="shared" si="88"/>
        <v>0</v>
      </c>
      <c r="BG137" s="43">
        <f t="shared" si="88"/>
        <v>0</v>
      </c>
      <c r="BH137" s="43">
        <f t="shared" si="88"/>
        <v>0</v>
      </c>
      <c r="BI137" s="43">
        <f t="shared" si="88"/>
        <v>0</v>
      </c>
      <c r="BJ137" s="43">
        <f t="shared" si="88"/>
        <v>0</v>
      </c>
      <c r="BK137" s="43">
        <f t="shared" si="88"/>
        <v>0</v>
      </c>
      <c r="BL137" s="43">
        <f t="shared" si="88"/>
        <v>0</v>
      </c>
      <c r="BM137" s="51"/>
      <c r="BN137" s="51"/>
      <c r="BO137" s="51"/>
      <c r="BP137" s="51"/>
      <c r="BQ137" s="51"/>
      <c r="BR137" s="51"/>
      <c r="BS137" s="51"/>
      <c r="BT137" s="51"/>
      <c r="BU137" s="51"/>
      <c r="BV137" s="51" t="e">
        <f t="shared" si="99"/>
        <v>#DIV/0!</v>
      </c>
      <c r="BW137" s="51" t="e">
        <f t="shared" si="100"/>
        <v>#DIV/0!</v>
      </c>
      <c r="BX137" s="51" t="e">
        <f t="shared" si="101"/>
        <v>#DIV/0!</v>
      </c>
      <c r="BY137" s="51" t="e">
        <f t="shared" si="102"/>
        <v>#DIV/0!</v>
      </c>
      <c r="BZ137" s="51" t="e">
        <f t="shared" si="103"/>
        <v>#DIV/0!</v>
      </c>
      <c r="CA137" s="51" t="e">
        <f t="shared" si="104"/>
        <v>#DIV/0!</v>
      </c>
      <c r="CB137" s="51" t="e">
        <f t="shared" si="105"/>
        <v>#DIV/0!</v>
      </c>
      <c r="CC137" s="51" t="e">
        <f t="shared" si="106"/>
        <v>#DIV/0!</v>
      </c>
      <c r="CD137" s="51" t="e">
        <f t="shared" si="107"/>
        <v>#DIV/0!</v>
      </c>
      <c r="CE137" s="53">
        <f t="shared" si="89"/>
        <v>0</v>
      </c>
      <c r="CF137" s="53">
        <f t="shared" si="89"/>
        <v>0</v>
      </c>
      <c r="CG137" s="53">
        <f t="shared" si="89"/>
        <v>0</v>
      </c>
      <c r="CH137" s="53">
        <f t="shared" si="89"/>
        <v>0</v>
      </c>
      <c r="CI137" s="53">
        <f t="shared" si="89"/>
        <v>0</v>
      </c>
      <c r="CJ137" s="53">
        <f t="shared" si="89"/>
        <v>0</v>
      </c>
      <c r="CK137" s="53">
        <f t="shared" si="89"/>
        <v>0</v>
      </c>
      <c r="CL137" s="53">
        <f t="shared" si="89"/>
        <v>0</v>
      </c>
      <c r="CM137" s="53">
        <f t="shared" si="89"/>
        <v>0</v>
      </c>
    </row>
    <row r="138" spans="1:91" x14ac:dyDescent="0.15">
      <c r="A138" s="41">
        <v>136</v>
      </c>
      <c r="B138" s="43">
        <f t="shared" si="110"/>
        <v>1</v>
      </c>
      <c r="C138" s="43">
        <f t="shared" si="109"/>
        <v>1</v>
      </c>
      <c r="D138" s="43">
        <f t="shared" si="109"/>
        <v>1</v>
      </c>
      <c r="E138" s="43">
        <f t="shared" si="109"/>
        <v>1</v>
      </c>
      <c r="F138" s="43">
        <f t="shared" si="109"/>
        <v>1</v>
      </c>
      <c r="G138" s="43">
        <f t="shared" si="109"/>
        <v>1</v>
      </c>
      <c r="H138" s="43">
        <f t="shared" si="109"/>
        <v>1</v>
      </c>
      <c r="I138" s="43">
        <f t="shared" si="109"/>
        <v>1</v>
      </c>
      <c r="J138" s="43">
        <f t="shared" si="109"/>
        <v>1</v>
      </c>
      <c r="K138" s="43" t="e">
        <f>K137+ATM_Conf!$C$5*(T137-AC137)</f>
        <v>#DIV/0!</v>
      </c>
      <c r="L138" s="43" t="e">
        <f>L137+ATM_Conf!$C$5*(U137-AD137)</f>
        <v>#DIV/0!</v>
      </c>
      <c r="M138" s="43" t="e">
        <f>M137+ATM_Conf!$C$5*(V137-AE137)</f>
        <v>#DIV/0!</v>
      </c>
      <c r="N138" s="43" t="e">
        <f>N137+ATM_Conf!$C$5*(W137-AF137)</f>
        <v>#DIV/0!</v>
      </c>
      <c r="O138" s="43" t="e">
        <f>O137+ATM_Conf!$C$5*(X137-AG137)</f>
        <v>#DIV/0!</v>
      </c>
      <c r="P138" s="43" t="e">
        <f>P137+ATM_Conf!$C$5*(Y137-AH137)</f>
        <v>#DIV/0!</v>
      </c>
      <c r="Q138" s="43" t="e">
        <f>Q137+ATM_Conf!$C$5*(Z137-AI137)</f>
        <v>#DIV/0!</v>
      </c>
      <c r="R138" s="43" t="e">
        <f>R137+ATM_Conf!$C$5*(AA137-AJ137)</f>
        <v>#DIV/0!</v>
      </c>
      <c r="S138" s="43" t="e">
        <f>S137+ATM_Conf!$C$5*(AB137-AK137)</f>
        <v>#DIV/0!</v>
      </c>
      <c r="T138" s="43">
        <f t="shared" si="87"/>
        <v>0</v>
      </c>
      <c r="U138" s="43">
        <f t="shared" si="87"/>
        <v>0</v>
      </c>
      <c r="V138" s="43">
        <f t="shared" si="87"/>
        <v>0</v>
      </c>
      <c r="W138" s="43">
        <f t="shared" si="87"/>
        <v>0</v>
      </c>
      <c r="X138" s="43">
        <f t="shared" si="87"/>
        <v>0</v>
      </c>
      <c r="Y138" s="43">
        <f t="shared" si="87"/>
        <v>0</v>
      </c>
      <c r="Z138" s="43">
        <f t="shared" si="87"/>
        <v>0</v>
      </c>
      <c r="AA138" s="43">
        <f t="shared" si="87"/>
        <v>0</v>
      </c>
      <c r="AB138" s="43">
        <f t="shared" si="87"/>
        <v>0</v>
      </c>
      <c r="AC138" s="43" t="e">
        <f t="shared" si="90"/>
        <v>#DIV/0!</v>
      </c>
      <c r="AD138" s="43" t="e">
        <f t="shared" si="91"/>
        <v>#DIV/0!</v>
      </c>
      <c r="AE138" s="43" t="e">
        <f t="shared" si="92"/>
        <v>#DIV/0!</v>
      </c>
      <c r="AF138" s="43" t="e">
        <f t="shared" si="93"/>
        <v>#DIV/0!</v>
      </c>
      <c r="AG138" s="43" t="e">
        <f t="shared" si="94"/>
        <v>#DIV/0!</v>
      </c>
      <c r="AH138" s="43" t="e">
        <f t="shared" si="95"/>
        <v>#DIV/0!</v>
      </c>
      <c r="AI138" s="43" t="e">
        <f t="shared" si="96"/>
        <v>#DIV/0!</v>
      </c>
      <c r="AJ138" s="43" t="e">
        <f t="shared" si="97"/>
        <v>#DIV/0!</v>
      </c>
      <c r="AK138" s="43" t="e">
        <f t="shared" si="98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88"/>
        <v>0</v>
      </c>
      <c r="BE138" s="43">
        <f t="shared" si="88"/>
        <v>0</v>
      </c>
      <c r="BF138" s="43">
        <f t="shared" si="88"/>
        <v>0</v>
      </c>
      <c r="BG138" s="43">
        <f t="shared" si="88"/>
        <v>0</v>
      </c>
      <c r="BH138" s="43">
        <f t="shared" si="88"/>
        <v>0</v>
      </c>
      <c r="BI138" s="43">
        <f t="shared" si="88"/>
        <v>0</v>
      </c>
      <c r="BJ138" s="43">
        <f t="shared" si="88"/>
        <v>0</v>
      </c>
      <c r="BK138" s="43">
        <f t="shared" si="88"/>
        <v>0</v>
      </c>
      <c r="BL138" s="43">
        <f t="shared" si="88"/>
        <v>0</v>
      </c>
      <c r="BM138" s="51"/>
      <c r="BN138" s="51"/>
      <c r="BO138" s="51"/>
      <c r="BP138" s="51"/>
      <c r="BQ138" s="51"/>
      <c r="BR138" s="51"/>
      <c r="BS138" s="51"/>
      <c r="BT138" s="51"/>
      <c r="BU138" s="51"/>
      <c r="BV138" s="51" t="e">
        <f t="shared" si="99"/>
        <v>#DIV/0!</v>
      </c>
      <c r="BW138" s="51" t="e">
        <f t="shared" si="100"/>
        <v>#DIV/0!</v>
      </c>
      <c r="BX138" s="51" t="e">
        <f t="shared" si="101"/>
        <v>#DIV/0!</v>
      </c>
      <c r="BY138" s="51" t="e">
        <f t="shared" si="102"/>
        <v>#DIV/0!</v>
      </c>
      <c r="BZ138" s="51" t="e">
        <f t="shared" si="103"/>
        <v>#DIV/0!</v>
      </c>
      <c r="CA138" s="51" t="e">
        <f t="shared" si="104"/>
        <v>#DIV/0!</v>
      </c>
      <c r="CB138" s="51" t="e">
        <f t="shared" si="105"/>
        <v>#DIV/0!</v>
      </c>
      <c r="CC138" s="51" t="e">
        <f t="shared" si="106"/>
        <v>#DIV/0!</v>
      </c>
      <c r="CD138" s="51" t="e">
        <f t="shared" si="107"/>
        <v>#DIV/0!</v>
      </c>
      <c r="CE138" s="53">
        <f t="shared" si="89"/>
        <v>0</v>
      </c>
      <c r="CF138" s="53">
        <f t="shared" si="89"/>
        <v>0</v>
      </c>
      <c r="CG138" s="53">
        <f t="shared" si="89"/>
        <v>0</v>
      </c>
      <c r="CH138" s="53">
        <f t="shared" si="89"/>
        <v>0</v>
      </c>
      <c r="CI138" s="53">
        <f t="shared" si="89"/>
        <v>0</v>
      </c>
      <c r="CJ138" s="53">
        <f t="shared" si="89"/>
        <v>0</v>
      </c>
      <c r="CK138" s="53">
        <f t="shared" si="89"/>
        <v>0</v>
      </c>
      <c r="CL138" s="53">
        <f t="shared" si="89"/>
        <v>0</v>
      </c>
      <c r="CM138" s="53">
        <f t="shared" si="89"/>
        <v>0</v>
      </c>
    </row>
    <row r="139" spans="1:91" x14ac:dyDescent="0.15">
      <c r="A139" s="41">
        <v>137</v>
      </c>
      <c r="B139" s="43">
        <f t="shared" si="110"/>
        <v>1</v>
      </c>
      <c r="C139" s="43">
        <f t="shared" si="109"/>
        <v>1</v>
      </c>
      <c r="D139" s="43">
        <f t="shared" si="109"/>
        <v>1</v>
      </c>
      <c r="E139" s="43">
        <f t="shared" si="109"/>
        <v>1</v>
      </c>
      <c r="F139" s="43">
        <f t="shared" si="109"/>
        <v>1</v>
      </c>
      <c r="G139" s="43">
        <f t="shared" si="109"/>
        <v>1</v>
      </c>
      <c r="H139" s="43">
        <f t="shared" si="109"/>
        <v>1</v>
      </c>
      <c r="I139" s="43">
        <f t="shared" si="109"/>
        <v>1</v>
      </c>
      <c r="J139" s="43">
        <f t="shared" si="109"/>
        <v>1</v>
      </c>
      <c r="K139" s="43" t="e">
        <f>K138+ATM_Conf!$C$5*(T138-AC138)</f>
        <v>#DIV/0!</v>
      </c>
      <c r="L139" s="43" t="e">
        <f>L138+ATM_Conf!$C$5*(U138-AD138)</f>
        <v>#DIV/0!</v>
      </c>
      <c r="M139" s="43" t="e">
        <f>M138+ATM_Conf!$C$5*(V138-AE138)</f>
        <v>#DIV/0!</v>
      </c>
      <c r="N139" s="43" t="e">
        <f>N138+ATM_Conf!$C$5*(W138-AF138)</f>
        <v>#DIV/0!</v>
      </c>
      <c r="O139" s="43" t="e">
        <f>O138+ATM_Conf!$C$5*(X138-AG138)</f>
        <v>#DIV/0!</v>
      </c>
      <c r="P139" s="43" t="e">
        <f>P138+ATM_Conf!$C$5*(Y138-AH138)</f>
        <v>#DIV/0!</v>
      </c>
      <c r="Q139" s="43" t="e">
        <f>Q138+ATM_Conf!$C$5*(Z138-AI138)</f>
        <v>#DIV/0!</v>
      </c>
      <c r="R139" s="43" t="e">
        <f>R138+ATM_Conf!$C$5*(AA138-AJ138)</f>
        <v>#DIV/0!</v>
      </c>
      <c r="S139" s="43" t="e">
        <f>S138+ATM_Conf!$C$5*(AB138-AK138)</f>
        <v>#DIV/0!</v>
      </c>
      <c r="T139" s="43">
        <f t="shared" si="87"/>
        <v>0</v>
      </c>
      <c r="U139" s="43">
        <f t="shared" si="87"/>
        <v>0</v>
      </c>
      <c r="V139" s="43">
        <f t="shared" si="87"/>
        <v>0</v>
      </c>
      <c r="W139" s="43">
        <f t="shared" si="87"/>
        <v>0</v>
      </c>
      <c r="X139" s="43">
        <f t="shared" si="87"/>
        <v>0</v>
      </c>
      <c r="Y139" s="43">
        <f t="shared" si="87"/>
        <v>0</v>
      </c>
      <c r="Z139" s="43">
        <f t="shared" si="87"/>
        <v>0</v>
      </c>
      <c r="AA139" s="43">
        <f t="shared" si="87"/>
        <v>0</v>
      </c>
      <c r="AB139" s="43">
        <f t="shared" si="87"/>
        <v>0</v>
      </c>
      <c r="AC139" s="43" t="e">
        <f t="shared" si="90"/>
        <v>#DIV/0!</v>
      </c>
      <c r="AD139" s="43" t="e">
        <f t="shared" si="91"/>
        <v>#DIV/0!</v>
      </c>
      <c r="AE139" s="43" t="e">
        <f t="shared" si="92"/>
        <v>#DIV/0!</v>
      </c>
      <c r="AF139" s="43" t="e">
        <f t="shared" si="93"/>
        <v>#DIV/0!</v>
      </c>
      <c r="AG139" s="43" t="e">
        <f t="shared" si="94"/>
        <v>#DIV/0!</v>
      </c>
      <c r="AH139" s="43" t="e">
        <f t="shared" si="95"/>
        <v>#DIV/0!</v>
      </c>
      <c r="AI139" s="43" t="e">
        <f t="shared" si="96"/>
        <v>#DIV/0!</v>
      </c>
      <c r="AJ139" s="43" t="e">
        <f t="shared" si="97"/>
        <v>#DIV/0!</v>
      </c>
      <c r="AK139" s="43" t="e">
        <f t="shared" si="98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88"/>
        <v>0</v>
      </c>
      <c r="BE139" s="43">
        <f t="shared" si="88"/>
        <v>0</v>
      </c>
      <c r="BF139" s="43">
        <f t="shared" si="88"/>
        <v>0</v>
      </c>
      <c r="BG139" s="43">
        <f t="shared" si="88"/>
        <v>0</v>
      </c>
      <c r="BH139" s="43">
        <f t="shared" si="88"/>
        <v>0</v>
      </c>
      <c r="BI139" s="43">
        <f t="shared" si="88"/>
        <v>0</v>
      </c>
      <c r="BJ139" s="43">
        <f t="shared" si="88"/>
        <v>0</v>
      </c>
      <c r="BK139" s="43">
        <f t="shared" si="88"/>
        <v>0</v>
      </c>
      <c r="BL139" s="43">
        <f t="shared" si="88"/>
        <v>0</v>
      </c>
      <c r="BM139" s="51"/>
      <c r="BN139" s="51"/>
      <c r="BO139" s="51"/>
      <c r="BP139" s="51"/>
      <c r="BQ139" s="51"/>
      <c r="BR139" s="51"/>
      <c r="BS139" s="51"/>
      <c r="BT139" s="51"/>
      <c r="BU139" s="51"/>
      <c r="BV139" s="51" t="e">
        <f t="shared" si="99"/>
        <v>#DIV/0!</v>
      </c>
      <c r="BW139" s="51" t="e">
        <f t="shared" si="100"/>
        <v>#DIV/0!</v>
      </c>
      <c r="BX139" s="51" t="e">
        <f t="shared" si="101"/>
        <v>#DIV/0!</v>
      </c>
      <c r="BY139" s="51" t="e">
        <f t="shared" si="102"/>
        <v>#DIV/0!</v>
      </c>
      <c r="BZ139" s="51" t="e">
        <f t="shared" si="103"/>
        <v>#DIV/0!</v>
      </c>
      <c r="CA139" s="51" t="e">
        <f t="shared" si="104"/>
        <v>#DIV/0!</v>
      </c>
      <c r="CB139" s="51" t="e">
        <f t="shared" si="105"/>
        <v>#DIV/0!</v>
      </c>
      <c r="CC139" s="51" t="e">
        <f t="shared" si="106"/>
        <v>#DIV/0!</v>
      </c>
      <c r="CD139" s="51" t="e">
        <f t="shared" si="107"/>
        <v>#DIV/0!</v>
      </c>
      <c r="CE139" s="53">
        <f t="shared" si="89"/>
        <v>0</v>
      </c>
      <c r="CF139" s="53">
        <f t="shared" si="89"/>
        <v>0</v>
      </c>
      <c r="CG139" s="53">
        <f t="shared" si="89"/>
        <v>0</v>
      </c>
      <c r="CH139" s="53">
        <f t="shared" si="89"/>
        <v>0</v>
      </c>
      <c r="CI139" s="53">
        <f t="shared" si="89"/>
        <v>0</v>
      </c>
      <c r="CJ139" s="53">
        <f t="shared" si="89"/>
        <v>0</v>
      </c>
      <c r="CK139" s="53">
        <f t="shared" si="89"/>
        <v>0</v>
      </c>
      <c r="CL139" s="53">
        <f t="shared" si="89"/>
        <v>0</v>
      </c>
      <c r="CM139" s="53">
        <f t="shared" si="89"/>
        <v>0</v>
      </c>
    </row>
    <row r="140" spans="1:91" x14ac:dyDescent="0.15">
      <c r="A140" s="41">
        <v>138</v>
      </c>
      <c r="B140" s="43">
        <f t="shared" si="110"/>
        <v>1</v>
      </c>
      <c r="C140" s="43">
        <f t="shared" si="109"/>
        <v>1</v>
      </c>
      <c r="D140" s="43">
        <f t="shared" si="109"/>
        <v>1</v>
      </c>
      <c r="E140" s="43">
        <f t="shared" si="109"/>
        <v>1</v>
      </c>
      <c r="F140" s="43">
        <f t="shared" si="109"/>
        <v>1</v>
      </c>
      <c r="G140" s="43">
        <f t="shared" si="109"/>
        <v>1</v>
      </c>
      <c r="H140" s="43">
        <f t="shared" si="109"/>
        <v>1</v>
      </c>
      <c r="I140" s="43">
        <f t="shared" si="109"/>
        <v>1</v>
      </c>
      <c r="J140" s="43">
        <f t="shared" si="109"/>
        <v>1</v>
      </c>
      <c r="K140" s="43" t="e">
        <f>K139+ATM_Conf!$C$5*(T139-AC139)</f>
        <v>#DIV/0!</v>
      </c>
      <c r="L140" s="43" t="e">
        <f>L139+ATM_Conf!$C$5*(U139-AD139)</f>
        <v>#DIV/0!</v>
      </c>
      <c r="M140" s="43" t="e">
        <f>M139+ATM_Conf!$C$5*(V139-AE139)</f>
        <v>#DIV/0!</v>
      </c>
      <c r="N140" s="43" t="e">
        <f>N139+ATM_Conf!$C$5*(W139-AF139)</f>
        <v>#DIV/0!</v>
      </c>
      <c r="O140" s="43" t="e">
        <f>O139+ATM_Conf!$C$5*(X139-AG139)</f>
        <v>#DIV/0!</v>
      </c>
      <c r="P140" s="43" t="e">
        <f>P139+ATM_Conf!$C$5*(Y139-AH139)</f>
        <v>#DIV/0!</v>
      </c>
      <c r="Q140" s="43" t="e">
        <f>Q139+ATM_Conf!$C$5*(Z139-AI139)</f>
        <v>#DIV/0!</v>
      </c>
      <c r="R140" s="43" t="e">
        <f>R139+ATM_Conf!$C$5*(AA139-AJ139)</f>
        <v>#DIV/0!</v>
      </c>
      <c r="S140" s="43" t="e">
        <f>S139+ATM_Conf!$C$5*(AB139-AK139)</f>
        <v>#DIV/0!</v>
      </c>
      <c r="T140" s="43">
        <f t="shared" si="87"/>
        <v>0</v>
      </c>
      <c r="U140" s="43">
        <f t="shared" si="87"/>
        <v>0</v>
      </c>
      <c r="V140" s="43">
        <f t="shared" si="87"/>
        <v>0</v>
      </c>
      <c r="W140" s="43">
        <f t="shared" si="87"/>
        <v>0</v>
      </c>
      <c r="X140" s="43">
        <f t="shared" si="87"/>
        <v>0</v>
      </c>
      <c r="Y140" s="43">
        <f t="shared" si="87"/>
        <v>0</v>
      </c>
      <c r="Z140" s="43">
        <f t="shared" si="87"/>
        <v>0</v>
      </c>
      <c r="AA140" s="43">
        <f t="shared" si="87"/>
        <v>0</v>
      </c>
      <c r="AB140" s="43">
        <f t="shared" si="87"/>
        <v>0</v>
      </c>
      <c r="AC140" s="43" t="e">
        <f t="shared" si="90"/>
        <v>#DIV/0!</v>
      </c>
      <c r="AD140" s="43" t="e">
        <f t="shared" si="91"/>
        <v>#DIV/0!</v>
      </c>
      <c r="AE140" s="43" t="e">
        <f t="shared" si="92"/>
        <v>#DIV/0!</v>
      </c>
      <c r="AF140" s="43" t="e">
        <f t="shared" si="93"/>
        <v>#DIV/0!</v>
      </c>
      <c r="AG140" s="43" t="e">
        <f t="shared" si="94"/>
        <v>#DIV/0!</v>
      </c>
      <c r="AH140" s="43" t="e">
        <f t="shared" si="95"/>
        <v>#DIV/0!</v>
      </c>
      <c r="AI140" s="43" t="e">
        <f t="shared" si="96"/>
        <v>#DIV/0!</v>
      </c>
      <c r="AJ140" s="43" t="e">
        <f t="shared" si="97"/>
        <v>#DIV/0!</v>
      </c>
      <c r="AK140" s="43" t="e">
        <f t="shared" si="98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88"/>
        <v>0</v>
      </c>
      <c r="BE140" s="43">
        <f t="shared" si="88"/>
        <v>0</v>
      </c>
      <c r="BF140" s="43">
        <f t="shared" si="88"/>
        <v>0</v>
      </c>
      <c r="BG140" s="43">
        <f t="shared" si="88"/>
        <v>0</v>
      </c>
      <c r="BH140" s="43">
        <f t="shared" si="88"/>
        <v>0</v>
      </c>
      <c r="BI140" s="43">
        <f t="shared" si="88"/>
        <v>0</v>
      </c>
      <c r="BJ140" s="43">
        <f t="shared" si="88"/>
        <v>0</v>
      </c>
      <c r="BK140" s="43">
        <f t="shared" si="88"/>
        <v>0</v>
      </c>
      <c r="BL140" s="43">
        <f t="shared" si="88"/>
        <v>0</v>
      </c>
      <c r="BM140" s="51"/>
      <c r="BN140" s="51"/>
      <c r="BO140" s="51"/>
      <c r="BP140" s="51"/>
      <c r="BQ140" s="51"/>
      <c r="BR140" s="51"/>
      <c r="BS140" s="51"/>
      <c r="BT140" s="51"/>
      <c r="BU140" s="51"/>
      <c r="BV140" s="51" t="e">
        <f t="shared" si="99"/>
        <v>#DIV/0!</v>
      </c>
      <c r="BW140" s="51" t="e">
        <f t="shared" si="100"/>
        <v>#DIV/0!</v>
      </c>
      <c r="BX140" s="51" t="e">
        <f t="shared" si="101"/>
        <v>#DIV/0!</v>
      </c>
      <c r="BY140" s="51" t="e">
        <f t="shared" si="102"/>
        <v>#DIV/0!</v>
      </c>
      <c r="BZ140" s="51" t="e">
        <f t="shared" si="103"/>
        <v>#DIV/0!</v>
      </c>
      <c r="CA140" s="51" t="e">
        <f t="shared" si="104"/>
        <v>#DIV/0!</v>
      </c>
      <c r="CB140" s="51" t="e">
        <f t="shared" si="105"/>
        <v>#DIV/0!</v>
      </c>
      <c r="CC140" s="51" t="e">
        <f t="shared" si="106"/>
        <v>#DIV/0!</v>
      </c>
      <c r="CD140" s="51" t="e">
        <f t="shared" si="107"/>
        <v>#DIV/0!</v>
      </c>
      <c r="CE140" s="53">
        <f t="shared" si="89"/>
        <v>0</v>
      </c>
      <c r="CF140" s="53">
        <f t="shared" si="89"/>
        <v>0</v>
      </c>
      <c r="CG140" s="53">
        <f t="shared" si="89"/>
        <v>0</v>
      </c>
      <c r="CH140" s="53">
        <f t="shared" si="89"/>
        <v>0</v>
      </c>
      <c r="CI140" s="53">
        <f t="shared" si="89"/>
        <v>0</v>
      </c>
      <c r="CJ140" s="53">
        <f t="shared" si="89"/>
        <v>0</v>
      </c>
      <c r="CK140" s="53">
        <f t="shared" si="89"/>
        <v>0</v>
      </c>
      <c r="CL140" s="53">
        <f t="shared" si="89"/>
        <v>0</v>
      </c>
      <c r="CM140" s="53">
        <f t="shared" si="89"/>
        <v>0</v>
      </c>
    </row>
    <row r="141" spans="1:91" x14ac:dyDescent="0.15">
      <c r="A141" s="41">
        <v>139</v>
      </c>
      <c r="B141" s="43">
        <f t="shared" si="110"/>
        <v>1</v>
      </c>
      <c r="C141" s="43">
        <f t="shared" si="109"/>
        <v>1</v>
      </c>
      <c r="D141" s="43">
        <f t="shared" si="109"/>
        <v>1</v>
      </c>
      <c r="E141" s="43">
        <f t="shared" si="109"/>
        <v>1</v>
      </c>
      <c r="F141" s="43">
        <f t="shared" si="109"/>
        <v>1</v>
      </c>
      <c r="G141" s="43">
        <f t="shared" si="109"/>
        <v>1</v>
      </c>
      <c r="H141" s="43">
        <f t="shared" si="109"/>
        <v>1</v>
      </c>
      <c r="I141" s="43">
        <f t="shared" si="109"/>
        <v>1</v>
      </c>
      <c r="J141" s="43">
        <f t="shared" si="109"/>
        <v>1</v>
      </c>
      <c r="K141" s="43" t="e">
        <f>K140+ATM_Conf!$C$5*(T140-AC140)</f>
        <v>#DIV/0!</v>
      </c>
      <c r="L141" s="43" t="e">
        <f>L140+ATM_Conf!$C$5*(U140-AD140)</f>
        <v>#DIV/0!</v>
      </c>
      <c r="M141" s="43" t="e">
        <f>M140+ATM_Conf!$C$5*(V140-AE140)</f>
        <v>#DIV/0!</v>
      </c>
      <c r="N141" s="43" t="e">
        <f>N140+ATM_Conf!$C$5*(W140-AF140)</f>
        <v>#DIV/0!</v>
      </c>
      <c r="O141" s="43" t="e">
        <f>O140+ATM_Conf!$C$5*(X140-AG140)</f>
        <v>#DIV/0!</v>
      </c>
      <c r="P141" s="43" t="e">
        <f>P140+ATM_Conf!$C$5*(Y140-AH140)</f>
        <v>#DIV/0!</v>
      </c>
      <c r="Q141" s="43" t="e">
        <f>Q140+ATM_Conf!$C$5*(Z140-AI140)</f>
        <v>#DIV/0!</v>
      </c>
      <c r="R141" s="43" t="e">
        <f>R140+ATM_Conf!$C$5*(AA140-AJ140)</f>
        <v>#DIV/0!</v>
      </c>
      <c r="S141" s="43" t="e">
        <f>S140+ATM_Conf!$C$5*(AB140-AK140)</f>
        <v>#DIV/0!</v>
      </c>
      <c r="T141" s="43">
        <f t="shared" si="87"/>
        <v>0</v>
      </c>
      <c r="U141" s="43">
        <f t="shared" si="87"/>
        <v>0</v>
      </c>
      <c r="V141" s="43">
        <f t="shared" si="87"/>
        <v>0</v>
      </c>
      <c r="W141" s="43">
        <f t="shared" si="87"/>
        <v>0</v>
      </c>
      <c r="X141" s="43">
        <f t="shared" si="87"/>
        <v>0</v>
      </c>
      <c r="Y141" s="43">
        <f t="shared" si="87"/>
        <v>0</v>
      </c>
      <c r="Z141" s="43">
        <f t="shared" si="87"/>
        <v>0</v>
      </c>
      <c r="AA141" s="43">
        <f t="shared" si="87"/>
        <v>0</v>
      </c>
      <c r="AB141" s="43">
        <f t="shared" si="87"/>
        <v>0</v>
      </c>
      <c r="AC141" s="43" t="e">
        <f t="shared" si="90"/>
        <v>#DIV/0!</v>
      </c>
      <c r="AD141" s="43" t="e">
        <f t="shared" si="91"/>
        <v>#DIV/0!</v>
      </c>
      <c r="AE141" s="43" t="e">
        <f t="shared" si="92"/>
        <v>#DIV/0!</v>
      </c>
      <c r="AF141" s="43" t="e">
        <f t="shared" si="93"/>
        <v>#DIV/0!</v>
      </c>
      <c r="AG141" s="43" t="e">
        <f t="shared" si="94"/>
        <v>#DIV/0!</v>
      </c>
      <c r="AH141" s="43" t="e">
        <f t="shared" si="95"/>
        <v>#DIV/0!</v>
      </c>
      <c r="AI141" s="43" t="e">
        <f t="shared" si="96"/>
        <v>#DIV/0!</v>
      </c>
      <c r="AJ141" s="43" t="e">
        <f t="shared" si="97"/>
        <v>#DIV/0!</v>
      </c>
      <c r="AK141" s="43" t="e">
        <f t="shared" si="98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88"/>
        <v>0</v>
      </c>
      <c r="BE141" s="43">
        <f t="shared" si="88"/>
        <v>0</v>
      </c>
      <c r="BF141" s="43">
        <f t="shared" si="88"/>
        <v>0</v>
      </c>
      <c r="BG141" s="43">
        <f t="shared" si="88"/>
        <v>0</v>
      </c>
      <c r="BH141" s="43">
        <f t="shared" si="88"/>
        <v>0</v>
      </c>
      <c r="BI141" s="43">
        <f t="shared" si="88"/>
        <v>0</v>
      </c>
      <c r="BJ141" s="43">
        <f t="shared" si="88"/>
        <v>0</v>
      </c>
      <c r="BK141" s="43">
        <f t="shared" si="88"/>
        <v>0</v>
      </c>
      <c r="BL141" s="43">
        <f t="shared" si="88"/>
        <v>0</v>
      </c>
      <c r="BM141" s="51"/>
      <c r="BN141" s="51"/>
      <c r="BO141" s="51"/>
      <c r="BP141" s="51"/>
      <c r="BQ141" s="51"/>
      <c r="BR141" s="51"/>
      <c r="BS141" s="51"/>
      <c r="BT141" s="51"/>
      <c r="BU141" s="51"/>
      <c r="BV141" s="51" t="e">
        <f t="shared" si="99"/>
        <v>#DIV/0!</v>
      </c>
      <c r="BW141" s="51" t="e">
        <f t="shared" si="100"/>
        <v>#DIV/0!</v>
      </c>
      <c r="BX141" s="51" t="e">
        <f t="shared" si="101"/>
        <v>#DIV/0!</v>
      </c>
      <c r="BY141" s="51" t="e">
        <f t="shared" si="102"/>
        <v>#DIV/0!</v>
      </c>
      <c r="BZ141" s="51" t="e">
        <f t="shared" si="103"/>
        <v>#DIV/0!</v>
      </c>
      <c r="CA141" s="51" t="e">
        <f t="shared" si="104"/>
        <v>#DIV/0!</v>
      </c>
      <c r="CB141" s="51" t="e">
        <f t="shared" si="105"/>
        <v>#DIV/0!</v>
      </c>
      <c r="CC141" s="51" t="e">
        <f t="shared" si="106"/>
        <v>#DIV/0!</v>
      </c>
      <c r="CD141" s="51" t="e">
        <f t="shared" si="107"/>
        <v>#DIV/0!</v>
      </c>
      <c r="CE141" s="53">
        <f t="shared" si="89"/>
        <v>0</v>
      </c>
      <c r="CF141" s="53">
        <f t="shared" si="89"/>
        <v>0</v>
      </c>
      <c r="CG141" s="53">
        <f t="shared" si="89"/>
        <v>0</v>
      </c>
      <c r="CH141" s="53">
        <f t="shared" si="89"/>
        <v>0</v>
      </c>
      <c r="CI141" s="53">
        <f t="shared" si="89"/>
        <v>0</v>
      </c>
      <c r="CJ141" s="53">
        <f t="shared" si="89"/>
        <v>0</v>
      </c>
      <c r="CK141" s="53">
        <f t="shared" si="89"/>
        <v>0</v>
      </c>
      <c r="CL141" s="53">
        <f t="shared" si="89"/>
        <v>0</v>
      </c>
      <c r="CM141" s="53">
        <f t="shared" si="89"/>
        <v>0</v>
      </c>
    </row>
    <row r="142" spans="1:91" x14ac:dyDescent="0.15">
      <c r="A142" s="41">
        <v>140</v>
      </c>
      <c r="B142" s="43">
        <f t="shared" si="110"/>
        <v>1</v>
      </c>
      <c r="C142" s="43">
        <f t="shared" si="109"/>
        <v>1</v>
      </c>
      <c r="D142" s="43">
        <f t="shared" si="109"/>
        <v>1</v>
      </c>
      <c r="E142" s="43">
        <f t="shared" si="109"/>
        <v>1</v>
      </c>
      <c r="F142" s="43">
        <f t="shared" si="109"/>
        <v>1</v>
      </c>
      <c r="G142" s="43">
        <f t="shared" si="109"/>
        <v>1</v>
      </c>
      <c r="H142" s="43">
        <f t="shared" si="109"/>
        <v>1</v>
      </c>
      <c r="I142" s="43">
        <f t="shared" si="109"/>
        <v>1</v>
      </c>
      <c r="J142" s="43">
        <f t="shared" si="109"/>
        <v>1</v>
      </c>
      <c r="K142" s="43" t="e">
        <f>K141+ATM_Conf!$C$5*(T141-AC141)</f>
        <v>#DIV/0!</v>
      </c>
      <c r="L142" s="43" t="e">
        <f>L141+ATM_Conf!$C$5*(U141-AD141)</f>
        <v>#DIV/0!</v>
      </c>
      <c r="M142" s="43" t="e">
        <f>M141+ATM_Conf!$C$5*(V141-AE141)</f>
        <v>#DIV/0!</v>
      </c>
      <c r="N142" s="43" t="e">
        <f>N141+ATM_Conf!$C$5*(W141-AF141)</f>
        <v>#DIV/0!</v>
      </c>
      <c r="O142" s="43" t="e">
        <f>O141+ATM_Conf!$C$5*(X141-AG141)</f>
        <v>#DIV/0!</v>
      </c>
      <c r="P142" s="43" t="e">
        <f>P141+ATM_Conf!$C$5*(Y141-AH141)</f>
        <v>#DIV/0!</v>
      </c>
      <c r="Q142" s="43" t="e">
        <f>Q141+ATM_Conf!$C$5*(Z141-AI141)</f>
        <v>#DIV/0!</v>
      </c>
      <c r="R142" s="43" t="e">
        <f>R141+ATM_Conf!$C$5*(AA141-AJ141)</f>
        <v>#DIV/0!</v>
      </c>
      <c r="S142" s="43" t="e">
        <f>S141+ATM_Conf!$C$5*(AB141-AK141)</f>
        <v>#DIV/0!</v>
      </c>
      <c r="T142" s="43">
        <f t="shared" si="87"/>
        <v>0</v>
      </c>
      <c r="U142" s="43">
        <f t="shared" si="87"/>
        <v>0</v>
      </c>
      <c r="V142" s="43">
        <f t="shared" si="87"/>
        <v>0</v>
      </c>
      <c r="W142" s="43">
        <f t="shared" si="87"/>
        <v>0</v>
      </c>
      <c r="X142" s="43">
        <f t="shared" si="87"/>
        <v>0</v>
      </c>
      <c r="Y142" s="43">
        <f t="shared" si="87"/>
        <v>0</v>
      </c>
      <c r="Z142" s="43">
        <f t="shared" si="87"/>
        <v>0</v>
      </c>
      <c r="AA142" s="43">
        <f t="shared" si="87"/>
        <v>0</v>
      </c>
      <c r="AB142" s="43">
        <f t="shared" si="87"/>
        <v>0</v>
      </c>
      <c r="AC142" s="43" t="e">
        <f t="shared" si="90"/>
        <v>#DIV/0!</v>
      </c>
      <c r="AD142" s="43" t="e">
        <f t="shared" si="91"/>
        <v>#DIV/0!</v>
      </c>
      <c r="AE142" s="43" t="e">
        <f t="shared" si="92"/>
        <v>#DIV/0!</v>
      </c>
      <c r="AF142" s="43" t="e">
        <f t="shared" si="93"/>
        <v>#DIV/0!</v>
      </c>
      <c r="AG142" s="43" t="e">
        <f t="shared" si="94"/>
        <v>#DIV/0!</v>
      </c>
      <c r="AH142" s="43" t="e">
        <f t="shared" si="95"/>
        <v>#DIV/0!</v>
      </c>
      <c r="AI142" s="43" t="e">
        <f t="shared" si="96"/>
        <v>#DIV/0!</v>
      </c>
      <c r="AJ142" s="43" t="e">
        <f t="shared" si="97"/>
        <v>#DIV/0!</v>
      </c>
      <c r="AK142" s="43" t="e">
        <f t="shared" si="98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88"/>
        <v>0</v>
      </c>
      <c r="BE142" s="43">
        <f t="shared" si="88"/>
        <v>0</v>
      </c>
      <c r="BF142" s="43">
        <f t="shared" si="88"/>
        <v>0</v>
      </c>
      <c r="BG142" s="43">
        <f t="shared" si="88"/>
        <v>0</v>
      </c>
      <c r="BH142" s="43">
        <f t="shared" si="88"/>
        <v>0</v>
      </c>
      <c r="BI142" s="43">
        <f t="shared" si="88"/>
        <v>0</v>
      </c>
      <c r="BJ142" s="43">
        <f t="shared" si="88"/>
        <v>0</v>
      </c>
      <c r="BK142" s="43">
        <f t="shared" si="88"/>
        <v>0</v>
      </c>
      <c r="BL142" s="43">
        <f t="shared" si="88"/>
        <v>0</v>
      </c>
      <c r="BM142" s="51"/>
      <c r="BN142" s="51"/>
      <c r="BO142" s="51"/>
      <c r="BP142" s="51"/>
      <c r="BQ142" s="51"/>
      <c r="BR142" s="51"/>
      <c r="BS142" s="51"/>
      <c r="BT142" s="51"/>
      <c r="BU142" s="51"/>
      <c r="BV142" s="51" t="e">
        <f t="shared" si="99"/>
        <v>#DIV/0!</v>
      </c>
      <c r="BW142" s="51" t="e">
        <f t="shared" si="100"/>
        <v>#DIV/0!</v>
      </c>
      <c r="BX142" s="51" t="e">
        <f t="shared" si="101"/>
        <v>#DIV/0!</v>
      </c>
      <c r="BY142" s="51" t="e">
        <f t="shared" si="102"/>
        <v>#DIV/0!</v>
      </c>
      <c r="BZ142" s="51" t="e">
        <f t="shared" si="103"/>
        <v>#DIV/0!</v>
      </c>
      <c r="CA142" s="51" t="e">
        <f t="shared" si="104"/>
        <v>#DIV/0!</v>
      </c>
      <c r="CB142" s="51" t="e">
        <f t="shared" si="105"/>
        <v>#DIV/0!</v>
      </c>
      <c r="CC142" s="51" t="e">
        <f t="shared" si="106"/>
        <v>#DIV/0!</v>
      </c>
      <c r="CD142" s="51" t="e">
        <f t="shared" si="107"/>
        <v>#DIV/0!</v>
      </c>
      <c r="CE142" s="53">
        <f t="shared" si="89"/>
        <v>0</v>
      </c>
      <c r="CF142" s="53">
        <f t="shared" si="89"/>
        <v>0</v>
      </c>
      <c r="CG142" s="53">
        <f t="shared" si="89"/>
        <v>0</v>
      </c>
      <c r="CH142" s="53">
        <f t="shared" si="89"/>
        <v>0</v>
      </c>
      <c r="CI142" s="53">
        <f t="shared" si="89"/>
        <v>0</v>
      </c>
      <c r="CJ142" s="53">
        <f t="shared" si="89"/>
        <v>0</v>
      </c>
      <c r="CK142" s="53">
        <f t="shared" si="89"/>
        <v>0</v>
      </c>
      <c r="CL142" s="53">
        <f t="shared" si="89"/>
        <v>0</v>
      </c>
      <c r="CM142" s="53">
        <f t="shared" si="89"/>
        <v>0</v>
      </c>
    </row>
    <row r="143" spans="1:91" x14ac:dyDescent="0.15">
      <c r="A143" s="41">
        <v>141</v>
      </c>
      <c r="B143" s="43">
        <f t="shared" si="110"/>
        <v>1</v>
      </c>
      <c r="C143" s="43">
        <f t="shared" si="109"/>
        <v>1</v>
      </c>
      <c r="D143" s="43">
        <f t="shared" si="109"/>
        <v>1</v>
      </c>
      <c r="E143" s="43">
        <f t="shared" si="109"/>
        <v>1</v>
      </c>
      <c r="F143" s="43">
        <f t="shared" si="109"/>
        <v>1</v>
      </c>
      <c r="G143" s="43">
        <f t="shared" si="109"/>
        <v>1</v>
      </c>
      <c r="H143" s="43">
        <f t="shared" si="109"/>
        <v>1</v>
      </c>
      <c r="I143" s="43">
        <f t="shared" si="109"/>
        <v>1</v>
      </c>
      <c r="J143" s="43">
        <f t="shared" si="109"/>
        <v>1</v>
      </c>
      <c r="K143" s="43" t="e">
        <f>K142+ATM_Conf!$C$5*(T142-AC142)</f>
        <v>#DIV/0!</v>
      </c>
      <c r="L143" s="43" t="e">
        <f>L142+ATM_Conf!$C$5*(U142-AD142)</f>
        <v>#DIV/0!</v>
      </c>
      <c r="M143" s="43" t="e">
        <f>M142+ATM_Conf!$C$5*(V142-AE142)</f>
        <v>#DIV/0!</v>
      </c>
      <c r="N143" s="43" t="e">
        <f>N142+ATM_Conf!$C$5*(W142-AF142)</f>
        <v>#DIV/0!</v>
      </c>
      <c r="O143" s="43" t="e">
        <f>O142+ATM_Conf!$C$5*(X142-AG142)</f>
        <v>#DIV/0!</v>
      </c>
      <c r="P143" s="43" t="e">
        <f>P142+ATM_Conf!$C$5*(Y142-AH142)</f>
        <v>#DIV/0!</v>
      </c>
      <c r="Q143" s="43" t="e">
        <f>Q142+ATM_Conf!$C$5*(Z142-AI142)</f>
        <v>#DIV/0!</v>
      </c>
      <c r="R143" s="43" t="e">
        <f>R142+ATM_Conf!$C$5*(AA142-AJ142)</f>
        <v>#DIV/0!</v>
      </c>
      <c r="S143" s="43" t="e">
        <f>S142+ATM_Conf!$C$5*(AB142-AK142)</f>
        <v>#DIV/0!</v>
      </c>
      <c r="T143" s="43">
        <f t="shared" si="87"/>
        <v>0</v>
      </c>
      <c r="U143" s="43">
        <f t="shared" si="87"/>
        <v>0</v>
      </c>
      <c r="V143" s="43">
        <f t="shared" si="87"/>
        <v>0</v>
      </c>
      <c r="W143" s="43">
        <f t="shared" si="87"/>
        <v>0</v>
      </c>
      <c r="X143" s="43">
        <f t="shared" si="87"/>
        <v>0</v>
      </c>
      <c r="Y143" s="43">
        <f t="shared" si="87"/>
        <v>0</v>
      </c>
      <c r="Z143" s="43">
        <f t="shared" si="87"/>
        <v>0</v>
      </c>
      <c r="AA143" s="43">
        <f t="shared" si="87"/>
        <v>0</v>
      </c>
      <c r="AB143" s="43">
        <f t="shared" si="87"/>
        <v>0</v>
      </c>
      <c r="AC143" s="43" t="e">
        <f t="shared" si="90"/>
        <v>#DIV/0!</v>
      </c>
      <c r="AD143" s="43" t="e">
        <f t="shared" si="91"/>
        <v>#DIV/0!</v>
      </c>
      <c r="AE143" s="43" t="e">
        <f t="shared" si="92"/>
        <v>#DIV/0!</v>
      </c>
      <c r="AF143" s="43" t="e">
        <f t="shared" si="93"/>
        <v>#DIV/0!</v>
      </c>
      <c r="AG143" s="43" t="e">
        <f t="shared" si="94"/>
        <v>#DIV/0!</v>
      </c>
      <c r="AH143" s="43" t="e">
        <f t="shared" si="95"/>
        <v>#DIV/0!</v>
      </c>
      <c r="AI143" s="43" t="e">
        <f t="shared" si="96"/>
        <v>#DIV/0!</v>
      </c>
      <c r="AJ143" s="43" t="e">
        <f t="shared" si="97"/>
        <v>#DIV/0!</v>
      </c>
      <c r="AK143" s="43" t="e">
        <f t="shared" si="98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88"/>
        <v>0</v>
      </c>
      <c r="BE143" s="43">
        <f t="shared" si="88"/>
        <v>0</v>
      </c>
      <c r="BF143" s="43">
        <f t="shared" si="88"/>
        <v>0</v>
      </c>
      <c r="BG143" s="43">
        <f t="shared" si="88"/>
        <v>0</v>
      </c>
      <c r="BH143" s="43">
        <f t="shared" si="88"/>
        <v>0</v>
      </c>
      <c r="BI143" s="43">
        <f t="shared" si="88"/>
        <v>0</v>
      </c>
      <c r="BJ143" s="43">
        <f t="shared" si="88"/>
        <v>0</v>
      </c>
      <c r="BK143" s="43">
        <f t="shared" si="88"/>
        <v>0</v>
      </c>
      <c r="BL143" s="43">
        <f t="shared" si="88"/>
        <v>0</v>
      </c>
      <c r="BM143" s="51"/>
      <c r="BN143" s="51"/>
      <c r="BO143" s="51"/>
      <c r="BP143" s="51"/>
      <c r="BQ143" s="51"/>
      <c r="BR143" s="51"/>
      <c r="BS143" s="51"/>
      <c r="BT143" s="51"/>
      <c r="BU143" s="51"/>
      <c r="BV143" s="51" t="e">
        <f t="shared" si="99"/>
        <v>#DIV/0!</v>
      </c>
      <c r="BW143" s="51" t="e">
        <f t="shared" si="100"/>
        <v>#DIV/0!</v>
      </c>
      <c r="BX143" s="51" t="e">
        <f t="shared" si="101"/>
        <v>#DIV/0!</v>
      </c>
      <c r="BY143" s="51" t="e">
        <f t="shared" si="102"/>
        <v>#DIV/0!</v>
      </c>
      <c r="BZ143" s="51" t="e">
        <f t="shared" si="103"/>
        <v>#DIV/0!</v>
      </c>
      <c r="CA143" s="51" t="e">
        <f t="shared" si="104"/>
        <v>#DIV/0!</v>
      </c>
      <c r="CB143" s="51" t="e">
        <f t="shared" si="105"/>
        <v>#DIV/0!</v>
      </c>
      <c r="CC143" s="51" t="e">
        <f t="shared" si="106"/>
        <v>#DIV/0!</v>
      </c>
      <c r="CD143" s="51" t="e">
        <f t="shared" si="107"/>
        <v>#DIV/0!</v>
      </c>
      <c r="CE143" s="53">
        <f t="shared" si="89"/>
        <v>0</v>
      </c>
      <c r="CF143" s="53">
        <f t="shared" si="89"/>
        <v>0</v>
      </c>
      <c r="CG143" s="53">
        <f t="shared" si="89"/>
        <v>0</v>
      </c>
      <c r="CH143" s="53">
        <f t="shared" si="89"/>
        <v>0</v>
      </c>
      <c r="CI143" s="53">
        <f t="shared" si="89"/>
        <v>0</v>
      </c>
      <c r="CJ143" s="53">
        <f t="shared" si="89"/>
        <v>0</v>
      </c>
      <c r="CK143" s="53">
        <f t="shared" si="89"/>
        <v>0</v>
      </c>
      <c r="CL143" s="53">
        <f t="shared" si="89"/>
        <v>0</v>
      </c>
      <c r="CM143" s="53">
        <f t="shared" si="89"/>
        <v>0</v>
      </c>
    </row>
    <row r="144" spans="1:91" x14ac:dyDescent="0.15">
      <c r="A144" s="41">
        <v>142</v>
      </c>
      <c r="B144" s="43">
        <f t="shared" si="110"/>
        <v>1</v>
      </c>
      <c r="C144" s="43">
        <f t="shared" si="109"/>
        <v>1</v>
      </c>
      <c r="D144" s="43">
        <f t="shared" si="109"/>
        <v>1</v>
      </c>
      <c r="E144" s="43">
        <f t="shared" si="109"/>
        <v>1</v>
      </c>
      <c r="F144" s="43">
        <f t="shared" si="109"/>
        <v>1</v>
      </c>
      <c r="G144" s="43">
        <f t="shared" si="109"/>
        <v>1</v>
      </c>
      <c r="H144" s="43">
        <f t="shared" si="109"/>
        <v>1</v>
      </c>
      <c r="I144" s="43">
        <f t="shared" si="109"/>
        <v>1</v>
      </c>
      <c r="J144" s="43">
        <f t="shared" si="109"/>
        <v>1</v>
      </c>
      <c r="K144" s="43" t="e">
        <f>K143+ATM_Conf!$C$5*(T143-AC143)</f>
        <v>#DIV/0!</v>
      </c>
      <c r="L144" s="43" t="e">
        <f>L143+ATM_Conf!$C$5*(U143-AD143)</f>
        <v>#DIV/0!</v>
      </c>
      <c r="M144" s="43" t="e">
        <f>M143+ATM_Conf!$C$5*(V143-AE143)</f>
        <v>#DIV/0!</v>
      </c>
      <c r="N144" s="43" t="e">
        <f>N143+ATM_Conf!$C$5*(W143-AF143)</f>
        <v>#DIV/0!</v>
      </c>
      <c r="O144" s="43" t="e">
        <f>O143+ATM_Conf!$C$5*(X143-AG143)</f>
        <v>#DIV/0!</v>
      </c>
      <c r="P144" s="43" t="e">
        <f>P143+ATM_Conf!$C$5*(Y143-AH143)</f>
        <v>#DIV/0!</v>
      </c>
      <c r="Q144" s="43" t="e">
        <f>Q143+ATM_Conf!$C$5*(Z143-AI143)</f>
        <v>#DIV/0!</v>
      </c>
      <c r="R144" s="43" t="e">
        <f>R143+ATM_Conf!$C$5*(AA143-AJ143)</f>
        <v>#DIV/0!</v>
      </c>
      <c r="S144" s="43" t="e">
        <f>S143+ATM_Conf!$C$5*(AB143-AK143)</f>
        <v>#DIV/0!</v>
      </c>
      <c r="T144" s="43">
        <f t="shared" si="87"/>
        <v>0</v>
      </c>
      <c r="U144" s="43">
        <f t="shared" si="87"/>
        <v>0</v>
      </c>
      <c r="V144" s="43">
        <f t="shared" si="87"/>
        <v>0</v>
      </c>
      <c r="W144" s="43">
        <f t="shared" si="87"/>
        <v>0</v>
      </c>
      <c r="X144" s="43">
        <f t="shared" si="87"/>
        <v>0</v>
      </c>
      <c r="Y144" s="43">
        <f t="shared" si="87"/>
        <v>0</v>
      </c>
      <c r="Z144" s="43">
        <f t="shared" si="87"/>
        <v>0</v>
      </c>
      <c r="AA144" s="43">
        <f t="shared" si="87"/>
        <v>0</v>
      </c>
      <c r="AB144" s="43">
        <f t="shared" si="87"/>
        <v>0</v>
      </c>
      <c r="AC144" s="43" t="e">
        <f t="shared" si="90"/>
        <v>#DIV/0!</v>
      </c>
      <c r="AD144" s="43" t="e">
        <f t="shared" si="91"/>
        <v>#DIV/0!</v>
      </c>
      <c r="AE144" s="43" t="e">
        <f t="shared" si="92"/>
        <v>#DIV/0!</v>
      </c>
      <c r="AF144" s="43" t="e">
        <f t="shared" si="93"/>
        <v>#DIV/0!</v>
      </c>
      <c r="AG144" s="43" t="e">
        <f t="shared" si="94"/>
        <v>#DIV/0!</v>
      </c>
      <c r="AH144" s="43" t="e">
        <f t="shared" si="95"/>
        <v>#DIV/0!</v>
      </c>
      <c r="AI144" s="43" t="e">
        <f t="shared" si="96"/>
        <v>#DIV/0!</v>
      </c>
      <c r="AJ144" s="43" t="e">
        <f t="shared" si="97"/>
        <v>#DIV/0!</v>
      </c>
      <c r="AK144" s="43" t="e">
        <f t="shared" si="98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88"/>
        <v>0</v>
      </c>
      <c r="BE144" s="43">
        <f t="shared" si="88"/>
        <v>0</v>
      </c>
      <c r="BF144" s="43">
        <f t="shared" si="88"/>
        <v>0</v>
      </c>
      <c r="BG144" s="43">
        <f t="shared" si="88"/>
        <v>0</v>
      </c>
      <c r="BH144" s="43">
        <f t="shared" si="88"/>
        <v>0</v>
      </c>
      <c r="BI144" s="43">
        <f t="shared" si="88"/>
        <v>0</v>
      </c>
      <c r="BJ144" s="43">
        <f t="shared" si="88"/>
        <v>0</v>
      </c>
      <c r="BK144" s="43">
        <f t="shared" si="88"/>
        <v>0</v>
      </c>
      <c r="BL144" s="43">
        <f t="shared" si="88"/>
        <v>0</v>
      </c>
      <c r="BM144" s="51"/>
      <c r="BN144" s="51"/>
      <c r="BO144" s="51"/>
      <c r="BP144" s="51"/>
      <c r="BQ144" s="51"/>
      <c r="BR144" s="51"/>
      <c r="BS144" s="51"/>
      <c r="BT144" s="51"/>
      <c r="BU144" s="51"/>
      <c r="BV144" s="51" t="e">
        <f t="shared" si="99"/>
        <v>#DIV/0!</v>
      </c>
      <c r="BW144" s="51" t="e">
        <f t="shared" si="100"/>
        <v>#DIV/0!</v>
      </c>
      <c r="BX144" s="51" t="e">
        <f t="shared" si="101"/>
        <v>#DIV/0!</v>
      </c>
      <c r="BY144" s="51" t="e">
        <f t="shared" si="102"/>
        <v>#DIV/0!</v>
      </c>
      <c r="BZ144" s="51" t="e">
        <f t="shared" si="103"/>
        <v>#DIV/0!</v>
      </c>
      <c r="CA144" s="51" t="e">
        <f t="shared" si="104"/>
        <v>#DIV/0!</v>
      </c>
      <c r="CB144" s="51" t="e">
        <f t="shared" si="105"/>
        <v>#DIV/0!</v>
      </c>
      <c r="CC144" s="51" t="e">
        <f t="shared" si="106"/>
        <v>#DIV/0!</v>
      </c>
      <c r="CD144" s="51" t="e">
        <f t="shared" si="107"/>
        <v>#DIV/0!</v>
      </c>
      <c r="CE144" s="53">
        <f t="shared" si="89"/>
        <v>0</v>
      </c>
      <c r="CF144" s="53">
        <f t="shared" si="89"/>
        <v>0</v>
      </c>
      <c r="CG144" s="53">
        <f t="shared" si="89"/>
        <v>0</v>
      </c>
      <c r="CH144" s="53">
        <f t="shared" si="89"/>
        <v>0</v>
      </c>
      <c r="CI144" s="53">
        <f t="shared" si="89"/>
        <v>0</v>
      </c>
      <c r="CJ144" s="53">
        <f t="shared" si="89"/>
        <v>0</v>
      </c>
      <c r="CK144" s="53">
        <f t="shared" si="89"/>
        <v>0</v>
      </c>
      <c r="CL144" s="53">
        <f t="shared" si="89"/>
        <v>0</v>
      </c>
      <c r="CM144" s="53">
        <f t="shared" si="89"/>
        <v>0</v>
      </c>
    </row>
    <row r="145" spans="1:91" x14ac:dyDescent="0.15">
      <c r="A145" s="41">
        <v>143</v>
      </c>
      <c r="B145" s="43">
        <f t="shared" si="110"/>
        <v>1</v>
      </c>
      <c r="C145" s="43">
        <f t="shared" si="109"/>
        <v>1</v>
      </c>
      <c r="D145" s="43">
        <f t="shared" si="109"/>
        <v>1</v>
      </c>
      <c r="E145" s="43">
        <f t="shared" si="109"/>
        <v>1</v>
      </c>
      <c r="F145" s="43">
        <f t="shared" si="109"/>
        <v>1</v>
      </c>
      <c r="G145" s="43">
        <f t="shared" si="109"/>
        <v>1</v>
      </c>
      <c r="H145" s="43">
        <f t="shared" si="109"/>
        <v>1</v>
      </c>
      <c r="I145" s="43">
        <f t="shared" si="109"/>
        <v>1</v>
      </c>
      <c r="J145" s="43">
        <f t="shared" si="109"/>
        <v>1</v>
      </c>
      <c r="K145" s="43" t="e">
        <f>K144+ATM_Conf!$C$5*(T144-AC144)</f>
        <v>#DIV/0!</v>
      </c>
      <c r="L145" s="43" t="e">
        <f>L144+ATM_Conf!$C$5*(U144-AD144)</f>
        <v>#DIV/0!</v>
      </c>
      <c r="M145" s="43" t="e">
        <f>M144+ATM_Conf!$C$5*(V144-AE144)</f>
        <v>#DIV/0!</v>
      </c>
      <c r="N145" s="43" t="e">
        <f>N144+ATM_Conf!$C$5*(W144-AF144)</f>
        <v>#DIV/0!</v>
      </c>
      <c r="O145" s="43" t="e">
        <f>O144+ATM_Conf!$C$5*(X144-AG144)</f>
        <v>#DIV/0!</v>
      </c>
      <c r="P145" s="43" t="e">
        <f>P144+ATM_Conf!$C$5*(Y144-AH144)</f>
        <v>#DIV/0!</v>
      </c>
      <c r="Q145" s="43" t="e">
        <f>Q144+ATM_Conf!$C$5*(Z144-AI144)</f>
        <v>#DIV/0!</v>
      </c>
      <c r="R145" s="43" t="e">
        <f>R144+ATM_Conf!$C$5*(AA144-AJ144)</f>
        <v>#DIV/0!</v>
      </c>
      <c r="S145" s="43" t="e">
        <f>S144+ATM_Conf!$C$5*(AB144-AK144)</f>
        <v>#DIV/0!</v>
      </c>
      <c r="T145" s="43">
        <f t="shared" si="87"/>
        <v>0</v>
      </c>
      <c r="U145" s="43">
        <f t="shared" si="87"/>
        <v>0</v>
      </c>
      <c r="V145" s="43">
        <f t="shared" si="87"/>
        <v>0</v>
      </c>
      <c r="W145" s="43">
        <f t="shared" si="87"/>
        <v>0</v>
      </c>
      <c r="X145" s="43">
        <f t="shared" si="87"/>
        <v>0</v>
      </c>
      <c r="Y145" s="43">
        <f t="shared" si="87"/>
        <v>0</v>
      </c>
      <c r="Z145" s="43">
        <f t="shared" si="87"/>
        <v>0</v>
      </c>
      <c r="AA145" s="43">
        <f t="shared" si="87"/>
        <v>0</v>
      </c>
      <c r="AB145" s="43">
        <f t="shared" si="87"/>
        <v>0</v>
      </c>
      <c r="AC145" s="43" t="e">
        <f t="shared" si="90"/>
        <v>#DIV/0!</v>
      </c>
      <c r="AD145" s="43" t="e">
        <f t="shared" si="91"/>
        <v>#DIV/0!</v>
      </c>
      <c r="AE145" s="43" t="e">
        <f t="shared" si="92"/>
        <v>#DIV/0!</v>
      </c>
      <c r="AF145" s="43" t="e">
        <f t="shared" si="93"/>
        <v>#DIV/0!</v>
      </c>
      <c r="AG145" s="43" t="e">
        <f t="shared" si="94"/>
        <v>#DIV/0!</v>
      </c>
      <c r="AH145" s="43" t="e">
        <f t="shared" si="95"/>
        <v>#DIV/0!</v>
      </c>
      <c r="AI145" s="43" t="e">
        <f t="shared" si="96"/>
        <v>#DIV/0!</v>
      </c>
      <c r="AJ145" s="43" t="e">
        <f t="shared" si="97"/>
        <v>#DIV/0!</v>
      </c>
      <c r="AK145" s="43" t="e">
        <f t="shared" si="98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88"/>
        <v>0</v>
      </c>
      <c r="BE145" s="43">
        <f t="shared" si="88"/>
        <v>0</v>
      </c>
      <c r="BF145" s="43">
        <f t="shared" si="88"/>
        <v>0</v>
      </c>
      <c r="BG145" s="43">
        <f t="shared" si="88"/>
        <v>0</v>
      </c>
      <c r="BH145" s="43">
        <f t="shared" si="88"/>
        <v>0</v>
      </c>
      <c r="BI145" s="43">
        <f t="shared" si="88"/>
        <v>0</v>
      </c>
      <c r="BJ145" s="43">
        <f t="shared" si="88"/>
        <v>0</v>
      </c>
      <c r="BK145" s="43">
        <f t="shared" si="88"/>
        <v>0</v>
      </c>
      <c r="BL145" s="43">
        <f t="shared" si="88"/>
        <v>0</v>
      </c>
      <c r="BM145" s="51"/>
      <c r="BN145" s="51"/>
      <c r="BO145" s="51"/>
      <c r="BP145" s="51"/>
      <c r="BQ145" s="51"/>
      <c r="BR145" s="51"/>
      <c r="BS145" s="51"/>
      <c r="BT145" s="51"/>
      <c r="BU145" s="51"/>
      <c r="BV145" s="51" t="e">
        <f t="shared" si="99"/>
        <v>#DIV/0!</v>
      </c>
      <c r="BW145" s="51" t="e">
        <f t="shared" si="100"/>
        <v>#DIV/0!</v>
      </c>
      <c r="BX145" s="51" t="e">
        <f t="shared" si="101"/>
        <v>#DIV/0!</v>
      </c>
      <c r="BY145" s="51" t="e">
        <f t="shared" si="102"/>
        <v>#DIV/0!</v>
      </c>
      <c r="BZ145" s="51" t="e">
        <f t="shared" si="103"/>
        <v>#DIV/0!</v>
      </c>
      <c r="CA145" s="51" t="e">
        <f t="shared" si="104"/>
        <v>#DIV/0!</v>
      </c>
      <c r="CB145" s="51" t="e">
        <f t="shared" si="105"/>
        <v>#DIV/0!</v>
      </c>
      <c r="CC145" s="51" t="e">
        <f t="shared" si="106"/>
        <v>#DIV/0!</v>
      </c>
      <c r="CD145" s="51" t="e">
        <f t="shared" si="107"/>
        <v>#DIV/0!</v>
      </c>
      <c r="CE145" s="53">
        <f t="shared" si="89"/>
        <v>0</v>
      </c>
      <c r="CF145" s="53">
        <f t="shared" si="89"/>
        <v>0</v>
      </c>
      <c r="CG145" s="53">
        <f t="shared" si="89"/>
        <v>0</v>
      </c>
      <c r="CH145" s="53">
        <f t="shared" si="89"/>
        <v>0</v>
      </c>
      <c r="CI145" s="53">
        <f t="shared" si="89"/>
        <v>0</v>
      </c>
      <c r="CJ145" s="53">
        <f t="shared" si="89"/>
        <v>0</v>
      </c>
      <c r="CK145" s="53">
        <f t="shared" si="89"/>
        <v>0</v>
      </c>
      <c r="CL145" s="53">
        <f t="shared" si="89"/>
        <v>0</v>
      </c>
      <c r="CM145" s="53">
        <f t="shared" si="89"/>
        <v>0</v>
      </c>
    </row>
    <row r="146" spans="1:91" x14ac:dyDescent="0.15">
      <c r="A146" s="41">
        <v>144</v>
      </c>
      <c r="B146" s="43">
        <f t="shared" si="110"/>
        <v>1</v>
      </c>
      <c r="C146" s="43">
        <f t="shared" si="109"/>
        <v>1</v>
      </c>
      <c r="D146" s="43">
        <f t="shared" si="109"/>
        <v>1</v>
      </c>
      <c r="E146" s="43">
        <f t="shared" si="109"/>
        <v>1</v>
      </c>
      <c r="F146" s="43">
        <f t="shared" si="109"/>
        <v>1</v>
      </c>
      <c r="G146" s="43">
        <f t="shared" si="109"/>
        <v>1</v>
      </c>
      <c r="H146" s="43">
        <f t="shared" si="109"/>
        <v>1</v>
      </c>
      <c r="I146" s="43">
        <f t="shared" si="109"/>
        <v>1</v>
      </c>
      <c r="J146" s="43">
        <f t="shared" si="109"/>
        <v>1</v>
      </c>
      <c r="K146" s="43" t="e">
        <f>K145+ATM_Conf!$C$5*(T145-AC145)</f>
        <v>#DIV/0!</v>
      </c>
      <c r="L146" s="43" t="e">
        <f>L145+ATM_Conf!$C$5*(U145-AD145)</f>
        <v>#DIV/0!</v>
      </c>
      <c r="M146" s="43" t="e">
        <f>M145+ATM_Conf!$C$5*(V145-AE145)</f>
        <v>#DIV/0!</v>
      </c>
      <c r="N146" s="43" t="e">
        <f>N145+ATM_Conf!$C$5*(W145-AF145)</f>
        <v>#DIV/0!</v>
      </c>
      <c r="O146" s="43" t="e">
        <f>O145+ATM_Conf!$C$5*(X145-AG145)</f>
        <v>#DIV/0!</v>
      </c>
      <c r="P146" s="43" t="e">
        <f>P145+ATM_Conf!$C$5*(Y145-AH145)</f>
        <v>#DIV/0!</v>
      </c>
      <c r="Q146" s="43" t="e">
        <f>Q145+ATM_Conf!$C$5*(Z145-AI145)</f>
        <v>#DIV/0!</v>
      </c>
      <c r="R146" s="43" t="e">
        <f>R145+ATM_Conf!$C$5*(AA145-AJ145)</f>
        <v>#DIV/0!</v>
      </c>
      <c r="S146" s="43" t="e">
        <f>S145+ATM_Conf!$C$5*(AB145-AK145)</f>
        <v>#DIV/0!</v>
      </c>
      <c r="T146" s="43">
        <f t="shared" si="87"/>
        <v>0</v>
      </c>
      <c r="U146" s="43">
        <f t="shared" si="87"/>
        <v>0</v>
      </c>
      <c r="V146" s="43">
        <f t="shared" si="87"/>
        <v>0</v>
      </c>
      <c r="W146" s="43">
        <f t="shared" si="87"/>
        <v>0</v>
      </c>
      <c r="X146" s="43">
        <f t="shared" si="87"/>
        <v>0</v>
      </c>
      <c r="Y146" s="43">
        <f t="shared" si="87"/>
        <v>0</v>
      </c>
      <c r="Z146" s="43">
        <f t="shared" si="87"/>
        <v>0</v>
      </c>
      <c r="AA146" s="43">
        <f t="shared" si="87"/>
        <v>0</v>
      </c>
      <c r="AB146" s="43">
        <f t="shared" si="87"/>
        <v>0</v>
      </c>
      <c r="AC146" s="43" t="e">
        <f t="shared" si="90"/>
        <v>#DIV/0!</v>
      </c>
      <c r="AD146" s="43" t="e">
        <f t="shared" si="91"/>
        <v>#DIV/0!</v>
      </c>
      <c r="AE146" s="43" t="e">
        <f t="shared" si="92"/>
        <v>#DIV/0!</v>
      </c>
      <c r="AF146" s="43" t="e">
        <f t="shared" si="93"/>
        <v>#DIV/0!</v>
      </c>
      <c r="AG146" s="43" t="e">
        <f t="shared" si="94"/>
        <v>#DIV/0!</v>
      </c>
      <c r="AH146" s="43" t="e">
        <f t="shared" si="95"/>
        <v>#DIV/0!</v>
      </c>
      <c r="AI146" s="43" t="e">
        <f t="shared" si="96"/>
        <v>#DIV/0!</v>
      </c>
      <c r="AJ146" s="43" t="e">
        <f t="shared" si="97"/>
        <v>#DIV/0!</v>
      </c>
      <c r="AK146" s="43" t="e">
        <f t="shared" si="98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88"/>
        <v>0</v>
      </c>
      <c r="BE146" s="43">
        <f t="shared" si="88"/>
        <v>0</v>
      </c>
      <c r="BF146" s="43">
        <f t="shared" si="88"/>
        <v>0</v>
      </c>
      <c r="BG146" s="43">
        <f t="shared" si="88"/>
        <v>0</v>
      </c>
      <c r="BH146" s="43">
        <f t="shared" si="88"/>
        <v>0</v>
      </c>
      <c r="BI146" s="43">
        <f t="shared" si="88"/>
        <v>0</v>
      </c>
      <c r="BJ146" s="43">
        <f t="shared" si="88"/>
        <v>0</v>
      </c>
      <c r="BK146" s="43">
        <f t="shared" si="88"/>
        <v>0</v>
      </c>
      <c r="BL146" s="43">
        <f t="shared" si="88"/>
        <v>0</v>
      </c>
      <c r="BM146" s="51"/>
      <c r="BN146" s="51"/>
      <c r="BO146" s="51"/>
      <c r="BP146" s="51"/>
      <c r="BQ146" s="51"/>
      <c r="BR146" s="51"/>
      <c r="BS146" s="51"/>
      <c r="BT146" s="51"/>
      <c r="BU146" s="51"/>
      <c r="BV146" s="51" t="e">
        <f t="shared" si="99"/>
        <v>#DIV/0!</v>
      </c>
      <c r="BW146" s="51" t="e">
        <f t="shared" si="100"/>
        <v>#DIV/0!</v>
      </c>
      <c r="BX146" s="51" t="e">
        <f t="shared" si="101"/>
        <v>#DIV/0!</v>
      </c>
      <c r="BY146" s="51" t="e">
        <f t="shared" si="102"/>
        <v>#DIV/0!</v>
      </c>
      <c r="BZ146" s="51" t="e">
        <f t="shared" si="103"/>
        <v>#DIV/0!</v>
      </c>
      <c r="CA146" s="51" t="e">
        <f t="shared" si="104"/>
        <v>#DIV/0!</v>
      </c>
      <c r="CB146" s="51" t="e">
        <f t="shared" si="105"/>
        <v>#DIV/0!</v>
      </c>
      <c r="CC146" s="51" t="e">
        <f t="shared" si="106"/>
        <v>#DIV/0!</v>
      </c>
      <c r="CD146" s="51" t="e">
        <f t="shared" si="107"/>
        <v>#DIV/0!</v>
      </c>
      <c r="CE146" s="53">
        <f t="shared" si="89"/>
        <v>0</v>
      </c>
      <c r="CF146" s="53">
        <f t="shared" si="89"/>
        <v>0</v>
      </c>
      <c r="CG146" s="53">
        <f t="shared" si="89"/>
        <v>0</v>
      </c>
      <c r="CH146" s="53">
        <f t="shared" si="89"/>
        <v>0</v>
      </c>
      <c r="CI146" s="53">
        <f t="shared" si="89"/>
        <v>0</v>
      </c>
      <c r="CJ146" s="53">
        <f t="shared" si="89"/>
        <v>0</v>
      </c>
      <c r="CK146" s="53">
        <f t="shared" si="89"/>
        <v>0</v>
      </c>
      <c r="CL146" s="53">
        <f t="shared" si="89"/>
        <v>0</v>
      </c>
      <c r="CM146" s="53">
        <f t="shared" si="89"/>
        <v>0</v>
      </c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 t="e">
        <f>K146+ATM_Conf!$C$5*(T146-AC146)</f>
        <v>#DIV/0!</v>
      </c>
      <c r="L147" s="43" t="e">
        <f>L146+ATM_Conf!$C$5*(U146-AD146)</f>
        <v>#DIV/0!</v>
      </c>
      <c r="M147" s="43" t="e">
        <f>M146+ATM_Conf!$C$5*(V146-AE146)</f>
        <v>#DIV/0!</v>
      </c>
      <c r="N147" s="43" t="e">
        <f>N146+ATM_Conf!$C$5*(W146-AF146)</f>
        <v>#DIV/0!</v>
      </c>
      <c r="O147" s="43" t="e">
        <f>O146+ATM_Conf!$C$5*(X146-AG146)</f>
        <v>#DIV/0!</v>
      </c>
      <c r="P147" s="43" t="e">
        <f>P146+ATM_Conf!$C$5*(Y146-AH146)</f>
        <v>#DIV/0!</v>
      </c>
      <c r="Q147" s="43" t="e">
        <f>Q146+ATM_Conf!$C$5*(Z146-AI146)</f>
        <v>#DIV/0!</v>
      </c>
      <c r="R147" s="43" t="e">
        <f>R146+ATM_Conf!$C$5*(AA146-AJ146)</f>
        <v>#DIV/0!</v>
      </c>
      <c r="S147" s="43" t="e">
        <f>S146+ATM_Conf!$C$5*(AB146-AK146)</f>
        <v>#DIV/0!</v>
      </c>
      <c r="T147" s="43">
        <f t="shared" si="87"/>
        <v>0</v>
      </c>
      <c r="U147" s="43">
        <f t="shared" si="87"/>
        <v>0</v>
      </c>
      <c r="V147" s="43">
        <f t="shared" si="87"/>
        <v>0</v>
      </c>
      <c r="W147" s="43">
        <f t="shared" si="87"/>
        <v>0</v>
      </c>
      <c r="X147" s="43">
        <f t="shared" si="87"/>
        <v>0</v>
      </c>
      <c r="Y147" s="43">
        <f t="shared" si="87"/>
        <v>0</v>
      </c>
      <c r="Z147" s="43">
        <f t="shared" si="87"/>
        <v>0</v>
      </c>
      <c r="AA147" s="43">
        <f t="shared" si="87"/>
        <v>0</v>
      </c>
      <c r="AB147" s="43">
        <f t="shared" si="87"/>
        <v>0</v>
      </c>
      <c r="AC147" s="43" t="e">
        <f t="shared" si="90"/>
        <v>#DIV/0!</v>
      </c>
      <c r="AD147" s="43" t="e">
        <f t="shared" si="91"/>
        <v>#DIV/0!</v>
      </c>
      <c r="AE147" s="43" t="e">
        <f t="shared" si="92"/>
        <v>#DIV/0!</v>
      </c>
      <c r="AF147" s="43" t="e">
        <f t="shared" si="93"/>
        <v>#DIV/0!</v>
      </c>
      <c r="AG147" s="43" t="e">
        <f t="shared" si="94"/>
        <v>#DIV/0!</v>
      </c>
      <c r="AH147" s="43" t="e">
        <f t="shared" si="95"/>
        <v>#DIV/0!</v>
      </c>
      <c r="AI147" s="43" t="e">
        <f t="shared" si="96"/>
        <v>#DIV/0!</v>
      </c>
      <c r="AJ147" s="43" t="e">
        <f t="shared" si="97"/>
        <v>#DIV/0!</v>
      </c>
      <c r="AK147" s="43" t="e">
        <f t="shared" si="98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88"/>
        <v>0</v>
      </c>
      <c r="BE147" s="43">
        <f t="shared" si="88"/>
        <v>0</v>
      </c>
      <c r="BF147" s="43">
        <f t="shared" si="88"/>
        <v>0</v>
      </c>
      <c r="BG147" s="43">
        <f t="shared" si="88"/>
        <v>0</v>
      </c>
      <c r="BH147" s="43">
        <f t="shared" si="88"/>
        <v>0</v>
      </c>
      <c r="BI147" s="43">
        <f t="shared" si="88"/>
        <v>0</v>
      </c>
      <c r="BJ147" s="43">
        <f t="shared" si="88"/>
        <v>0</v>
      </c>
      <c r="BK147" s="43">
        <f t="shared" si="88"/>
        <v>0</v>
      </c>
      <c r="BL147" s="43">
        <f t="shared" si="88"/>
        <v>0</v>
      </c>
      <c r="BM147" s="51">
        <f>(B147-B135)^2</f>
        <v>0</v>
      </c>
      <c r="BN147" s="51">
        <f t="shared" ref="BN147:BU147" si="111">(C147-C135)^2</f>
        <v>0</v>
      </c>
      <c r="BO147" s="51">
        <f t="shared" si="111"/>
        <v>0</v>
      </c>
      <c r="BP147" s="51">
        <f t="shared" si="111"/>
        <v>0</v>
      </c>
      <c r="BQ147" s="51">
        <f t="shared" si="111"/>
        <v>0</v>
      </c>
      <c r="BR147" s="51">
        <f t="shared" si="111"/>
        <v>0</v>
      </c>
      <c r="BS147" s="51">
        <f t="shared" si="111"/>
        <v>0</v>
      </c>
      <c r="BT147" s="51">
        <f t="shared" si="111"/>
        <v>0</v>
      </c>
      <c r="BU147" s="51">
        <f t="shared" si="111"/>
        <v>0</v>
      </c>
      <c r="BV147" s="51" t="e">
        <f t="shared" si="99"/>
        <v>#DIV/0!</v>
      </c>
      <c r="BW147" s="51" t="e">
        <f t="shared" si="100"/>
        <v>#DIV/0!</v>
      </c>
      <c r="BX147" s="51" t="e">
        <f t="shared" si="101"/>
        <v>#DIV/0!</v>
      </c>
      <c r="BY147" s="51" t="e">
        <f t="shared" si="102"/>
        <v>#DIV/0!</v>
      </c>
      <c r="BZ147" s="51" t="e">
        <f t="shared" si="103"/>
        <v>#DIV/0!</v>
      </c>
      <c r="CA147" s="51" t="e">
        <f t="shared" si="104"/>
        <v>#DIV/0!</v>
      </c>
      <c r="CB147" s="51" t="e">
        <f t="shared" si="105"/>
        <v>#DIV/0!</v>
      </c>
      <c r="CC147" s="51" t="e">
        <f t="shared" si="106"/>
        <v>#DIV/0!</v>
      </c>
      <c r="CD147" s="51" t="e">
        <f t="shared" si="107"/>
        <v>#DIV/0!</v>
      </c>
      <c r="CE147" s="53">
        <f t="shared" si="89"/>
        <v>0</v>
      </c>
      <c r="CF147" s="53">
        <f t="shared" si="89"/>
        <v>0</v>
      </c>
      <c r="CG147" s="53">
        <f t="shared" si="89"/>
        <v>0</v>
      </c>
      <c r="CH147" s="53">
        <f t="shared" si="89"/>
        <v>0</v>
      </c>
      <c r="CI147" s="53">
        <f t="shared" si="89"/>
        <v>0</v>
      </c>
      <c r="CJ147" s="53">
        <f t="shared" si="89"/>
        <v>0</v>
      </c>
      <c r="CK147" s="53">
        <f t="shared" si="89"/>
        <v>0</v>
      </c>
      <c r="CL147" s="53">
        <f t="shared" si="89"/>
        <v>0</v>
      </c>
      <c r="CM147" s="53">
        <f t="shared" si="89"/>
        <v>0</v>
      </c>
    </row>
    <row r="148" spans="1:91" x14ac:dyDescent="0.15">
      <c r="A148" s="41">
        <v>146</v>
      </c>
      <c r="B148" s="43">
        <f>B$147</f>
        <v>1</v>
      </c>
      <c r="C148" s="43">
        <f t="shared" ref="C148:J158" si="112">C$147</f>
        <v>1</v>
      </c>
      <c r="D148" s="43">
        <f t="shared" si="112"/>
        <v>1</v>
      </c>
      <c r="E148" s="43">
        <f t="shared" si="112"/>
        <v>1</v>
      </c>
      <c r="F148" s="43">
        <f t="shared" si="112"/>
        <v>1</v>
      </c>
      <c r="G148" s="43">
        <f t="shared" si="112"/>
        <v>1</v>
      </c>
      <c r="H148" s="43">
        <f t="shared" si="112"/>
        <v>1</v>
      </c>
      <c r="I148" s="43">
        <f t="shared" si="112"/>
        <v>1</v>
      </c>
      <c r="J148" s="43">
        <f t="shared" si="112"/>
        <v>1</v>
      </c>
      <c r="K148" s="43" t="e">
        <f>K147+ATM_Conf!$C$5*(T147-AC147)</f>
        <v>#DIV/0!</v>
      </c>
      <c r="L148" s="43" t="e">
        <f>L147+ATM_Conf!$C$5*(U147-AD147)</f>
        <v>#DIV/0!</v>
      </c>
      <c r="M148" s="43" t="e">
        <f>M147+ATM_Conf!$C$5*(V147-AE147)</f>
        <v>#DIV/0!</v>
      </c>
      <c r="N148" s="43" t="e">
        <f>N147+ATM_Conf!$C$5*(W147-AF147)</f>
        <v>#DIV/0!</v>
      </c>
      <c r="O148" s="43" t="e">
        <f>O147+ATM_Conf!$C$5*(X147-AG147)</f>
        <v>#DIV/0!</v>
      </c>
      <c r="P148" s="43" t="e">
        <f>P147+ATM_Conf!$C$5*(Y147-AH147)</f>
        <v>#DIV/0!</v>
      </c>
      <c r="Q148" s="43" t="e">
        <f>Q147+ATM_Conf!$C$5*(Z147-AI147)</f>
        <v>#DIV/0!</v>
      </c>
      <c r="R148" s="43" t="e">
        <f>R147+ATM_Conf!$C$5*(AA147-AJ147)</f>
        <v>#DIV/0!</v>
      </c>
      <c r="S148" s="43" t="e">
        <f>S147+ATM_Conf!$C$5*(AB147-AK147)</f>
        <v>#DIV/0!</v>
      </c>
      <c r="T148" s="43">
        <f t="shared" si="87"/>
        <v>0</v>
      </c>
      <c r="U148" s="43">
        <f t="shared" si="87"/>
        <v>0</v>
      </c>
      <c r="V148" s="43">
        <f t="shared" si="87"/>
        <v>0</v>
      </c>
      <c r="W148" s="43">
        <f t="shared" si="87"/>
        <v>0</v>
      </c>
      <c r="X148" s="43">
        <f t="shared" si="87"/>
        <v>0</v>
      </c>
      <c r="Y148" s="43">
        <f t="shared" si="87"/>
        <v>0</v>
      </c>
      <c r="Z148" s="43">
        <f t="shared" si="87"/>
        <v>0</v>
      </c>
      <c r="AA148" s="43">
        <f t="shared" si="87"/>
        <v>0</v>
      </c>
      <c r="AB148" s="43">
        <f t="shared" si="87"/>
        <v>0</v>
      </c>
      <c r="AC148" s="43" t="e">
        <f t="shared" si="90"/>
        <v>#DIV/0!</v>
      </c>
      <c r="AD148" s="43" t="e">
        <f t="shared" si="91"/>
        <v>#DIV/0!</v>
      </c>
      <c r="AE148" s="43" t="e">
        <f t="shared" si="92"/>
        <v>#DIV/0!</v>
      </c>
      <c r="AF148" s="43" t="e">
        <f t="shared" si="93"/>
        <v>#DIV/0!</v>
      </c>
      <c r="AG148" s="43" t="e">
        <f t="shared" si="94"/>
        <v>#DIV/0!</v>
      </c>
      <c r="AH148" s="43" t="e">
        <f t="shared" si="95"/>
        <v>#DIV/0!</v>
      </c>
      <c r="AI148" s="43" t="e">
        <f t="shared" si="96"/>
        <v>#DIV/0!</v>
      </c>
      <c r="AJ148" s="43" t="e">
        <f t="shared" si="97"/>
        <v>#DIV/0!</v>
      </c>
      <c r="AK148" s="43" t="e">
        <f t="shared" si="98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88"/>
        <v>0</v>
      </c>
      <c r="BE148" s="43">
        <f t="shared" si="88"/>
        <v>0</v>
      </c>
      <c r="BF148" s="43">
        <f t="shared" si="88"/>
        <v>0</v>
      </c>
      <c r="BG148" s="43">
        <f t="shared" si="88"/>
        <v>0</v>
      </c>
      <c r="BH148" s="43">
        <f t="shared" si="88"/>
        <v>0</v>
      </c>
      <c r="BI148" s="43">
        <f t="shared" si="88"/>
        <v>0</v>
      </c>
      <c r="BJ148" s="43">
        <f t="shared" si="88"/>
        <v>0</v>
      </c>
      <c r="BK148" s="43">
        <f t="shared" si="88"/>
        <v>0</v>
      </c>
      <c r="BL148" s="43">
        <f t="shared" si="88"/>
        <v>0</v>
      </c>
      <c r="BM148" s="51"/>
      <c r="BN148" s="51"/>
      <c r="BO148" s="51"/>
      <c r="BP148" s="51"/>
      <c r="BQ148" s="51"/>
      <c r="BR148" s="51"/>
      <c r="BS148" s="51"/>
      <c r="BT148" s="51"/>
      <c r="BU148" s="51"/>
      <c r="BV148" s="51" t="e">
        <f t="shared" si="99"/>
        <v>#DIV/0!</v>
      </c>
      <c r="BW148" s="51" t="e">
        <f t="shared" si="100"/>
        <v>#DIV/0!</v>
      </c>
      <c r="BX148" s="51" t="e">
        <f t="shared" si="101"/>
        <v>#DIV/0!</v>
      </c>
      <c r="BY148" s="51" t="e">
        <f t="shared" si="102"/>
        <v>#DIV/0!</v>
      </c>
      <c r="BZ148" s="51" t="e">
        <f t="shared" si="103"/>
        <v>#DIV/0!</v>
      </c>
      <c r="CA148" s="51" t="e">
        <f t="shared" si="104"/>
        <v>#DIV/0!</v>
      </c>
      <c r="CB148" s="51" t="e">
        <f t="shared" si="105"/>
        <v>#DIV/0!</v>
      </c>
      <c r="CC148" s="51" t="e">
        <f t="shared" si="106"/>
        <v>#DIV/0!</v>
      </c>
      <c r="CD148" s="51" t="e">
        <f t="shared" si="107"/>
        <v>#DIV/0!</v>
      </c>
      <c r="CE148" s="53">
        <f t="shared" si="89"/>
        <v>0</v>
      </c>
      <c r="CF148" s="53">
        <f t="shared" si="89"/>
        <v>0</v>
      </c>
      <c r="CG148" s="53">
        <f t="shared" si="89"/>
        <v>0</v>
      </c>
      <c r="CH148" s="53">
        <f t="shared" si="89"/>
        <v>0</v>
      </c>
      <c r="CI148" s="53">
        <f t="shared" si="89"/>
        <v>0</v>
      </c>
      <c r="CJ148" s="53">
        <f t="shared" si="89"/>
        <v>0</v>
      </c>
      <c r="CK148" s="53">
        <f t="shared" si="89"/>
        <v>0</v>
      </c>
      <c r="CL148" s="53">
        <f t="shared" si="89"/>
        <v>0</v>
      </c>
      <c r="CM148" s="53">
        <f t="shared" si="89"/>
        <v>0</v>
      </c>
    </row>
    <row r="149" spans="1:91" x14ac:dyDescent="0.15">
      <c r="A149" s="41">
        <v>147</v>
      </c>
      <c r="B149" s="43">
        <f t="shared" ref="B149:B158" si="113">B$147</f>
        <v>1</v>
      </c>
      <c r="C149" s="43">
        <f t="shared" si="112"/>
        <v>1</v>
      </c>
      <c r="D149" s="43">
        <f t="shared" si="112"/>
        <v>1</v>
      </c>
      <c r="E149" s="43">
        <f t="shared" si="112"/>
        <v>1</v>
      </c>
      <c r="F149" s="43">
        <f t="shared" si="112"/>
        <v>1</v>
      </c>
      <c r="G149" s="43">
        <f t="shared" si="112"/>
        <v>1</v>
      </c>
      <c r="H149" s="43">
        <f t="shared" si="112"/>
        <v>1</v>
      </c>
      <c r="I149" s="43">
        <f t="shared" si="112"/>
        <v>1</v>
      </c>
      <c r="J149" s="43">
        <f t="shared" si="112"/>
        <v>1</v>
      </c>
      <c r="K149" s="43" t="e">
        <f>K148+ATM_Conf!$C$5*(T148-AC148)</f>
        <v>#DIV/0!</v>
      </c>
      <c r="L149" s="43" t="e">
        <f>L148+ATM_Conf!$C$5*(U148-AD148)</f>
        <v>#DIV/0!</v>
      </c>
      <c r="M149" s="43" t="e">
        <f>M148+ATM_Conf!$C$5*(V148-AE148)</f>
        <v>#DIV/0!</v>
      </c>
      <c r="N149" s="43" t="e">
        <f>N148+ATM_Conf!$C$5*(W148-AF148)</f>
        <v>#DIV/0!</v>
      </c>
      <c r="O149" s="43" t="e">
        <f>O148+ATM_Conf!$C$5*(X148-AG148)</f>
        <v>#DIV/0!</v>
      </c>
      <c r="P149" s="43" t="e">
        <f>P148+ATM_Conf!$C$5*(Y148-AH148)</f>
        <v>#DIV/0!</v>
      </c>
      <c r="Q149" s="43" t="e">
        <f>Q148+ATM_Conf!$C$5*(Z148-AI148)</f>
        <v>#DIV/0!</v>
      </c>
      <c r="R149" s="43" t="e">
        <f>R148+ATM_Conf!$C$5*(AA148-AJ148)</f>
        <v>#DIV/0!</v>
      </c>
      <c r="S149" s="43" t="e">
        <f>S148+ATM_Conf!$C$5*(AB148-AK148)</f>
        <v>#DIV/0!</v>
      </c>
      <c r="T149" s="43">
        <f t="shared" si="87"/>
        <v>0</v>
      </c>
      <c r="U149" s="43">
        <f t="shared" si="87"/>
        <v>0</v>
      </c>
      <c r="V149" s="43">
        <f t="shared" si="87"/>
        <v>0</v>
      </c>
      <c r="W149" s="43">
        <f t="shared" si="87"/>
        <v>0</v>
      </c>
      <c r="X149" s="43">
        <f t="shared" si="87"/>
        <v>0</v>
      </c>
      <c r="Y149" s="43">
        <f t="shared" si="87"/>
        <v>0</v>
      </c>
      <c r="Z149" s="43">
        <f t="shared" si="87"/>
        <v>0</v>
      </c>
      <c r="AA149" s="43">
        <f t="shared" si="87"/>
        <v>0</v>
      </c>
      <c r="AB149" s="43">
        <f t="shared" si="87"/>
        <v>0</v>
      </c>
      <c r="AC149" s="43" t="e">
        <f t="shared" si="90"/>
        <v>#DIV/0!</v>
      </c>
      <c r="AD149" s="43" t="e">
        <f t="shared" si="91"/>
        <v>#DIV/0!</v>
      </c>
      <c r="AE149" s="43" t="e">
        <f t="shared" si="92"/>
        <v>#DIV/0!</v>
      </c>
      <c r="AF149" s="43" t="e">
        <f t="shared" si="93"/>
        <v>#DIV/0!</v>
      </c>
      <c r="AG149" s="43" t="e">
        <f t="shared" si="94"/>
        <v>#DIV/0!</v>
      </c>
      <c r="AH149" s="43" t="e">
        <f t="shared" si="95"/>
        <v>#DIV/0!</v>
      </c>
      <c r="AI149" s="43" t="e">
        <f t="shared" si="96"/>
        <v>#DIV/0!</v>
      </c>
      <c r="AJ149" s="43" t="e">
        <f t="shared" si="97"/>
        <v>#DIV/0!</v>
      </c>
      <c r="AK149" s="43" t="e">
        <f t="shared" si="98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88"/>
        <v>0</v>
      </c>
      <c r="BE149" s="43">
        <f t="shared" si="88"/>
        <v>0</v>
      </c>
      <c r="BF149" s="43">
        <f t="shared" si="88"/>
        <v>0</v>
      </c>
      <c r="BG149" s="43">
        <f t="shared" si="88"/>
        <v>0</v>
      </c>
      <c r="BH149" s="43">
        <f t="shared" si="88"/>
        <v>0</v>
      </c>
      <c r="BI149" s="43">
        <f t="shared" si="88"/>
        <v>0</v>
      </c>
      <c r="BJ149" s="43">
        <f t="shared" si="88"/>
        <v>0</v>
      </c>
      <c r="BK149" s="43">
        <f t="shared" si="88"/>
        <v>0</v>
      </c>
      <c r="BL149" s="43">
        <f t="shared" si="88"/>
        <v>0</v>
      </c>
      <c r="BM149" s="51"/>
      <c r="BN149" s="51"/>
      <c r="BO149" s="51"/>
      <c r="BP149" s="51"/>
      <c r="BQ149" s="51"/>
      <c r="BR149" s="51"/>
      <c r="BS149" s="51"/>
      <c r="BT149" s="51"/>
      <c r="BU149" s="51"/>
      <c r="BV149" s="51" t="e">
        <f t="shared" si="99"/>
        <v>#DIV/0!</v>
      </c>
      <c r="BW149" s="51" t="e">
        <f t="shared" si="100"/>
        <v>#DIV/0!</v>
      </c>
      <c r="BX149" s="51" t="e">
        <f t="shared" si="101"/>
        <v>#DIV/0!</v>
      </c>
      <c r="BY149" s="51" t="e">
        <f t="shared" si="102"/>
        <v>#DIV/0!</v>
      </c>
      <c r="BZ149" s="51" t="e">
        <f t="shared" si="103"/>
        <v>#DIV/0!</v>
      </c>
      <c r="CA149" s="51" t="e">
        <f t="shared" si="104"/>
        <v>#DIV/0!</v>
      </c>
      <c r="CB149" s="51" t="e">
        <f t="shared" si="105"/>
        <v>#DIV/0!</v>
      </c>
      <c r="CC149" s="51" t="e">
        <f t="shared" si="106"/>
        <v>#DIV/0!</v>
      </c>
      <c r="CD149" s="51" t="e">
        <f t="shared" si="107"/>
        <v>#DIV/0!</v>
      </c>
      <c r="CE149" s="53">
        <f t="shared" si="89"/>
        <v>0</v>
      </c>
      <c r="CF149" s="53">
        <f t="shared" si="89"/>
        <v>0</v>
      </c>
      <c r="CG149" s="53">
        <f t="shared" si="89"/>
        <v>0</v>
      </c>
      <c r="CH149" s="53">
        <f t="shared" si="89"/>
        <v>0</v>
      </c>
      <c r="CI149" s="53">
        <f t="shared" si="89"/>
        <v>0</v>
      </c>
      <c r="CJ149" s="53">
        <f t="shared" si="89"/>
        <v>0</v>
      </c>
      <c r="CK149" s="53">
        <f t="shared" si="89"/>
        <v>0</v>
      </c>
      <c r="CL149" s="53">
        <f t="shared" si="89"/>
        <v>0</v>
      </c>
      <c r="CM149" s="53">
        <f t="shared" si="89"/>
        <v>0</v>
      </c>
    </row>
    <row r="150" spans="1:91" x14ac:dyDescent="0.15">
      <c r="A150" s="41">
        <v>148</v>
      </c>
      <c r="B150" s="43">
        <f t="shared" si="113"/>
        <v>1</v>
      </c>
      <c r="C150" s="43">
        <f t="shared" si="112"/>
        <v>1</v>
      </c>
      <c r="D150" s="43">
        <f t="shared" si="112"/>
        <v>1</v>
      </c>
      <c r="E150" s="43">
        <f t="shared" si="112"/>
        <v>1</v>
      </c>
      <c r="F150" s="43">
        <f t="shared" si="112"/>
        <v>1</v>
      </c>
      <c r="G150" s="43">
        <f t="shared" si="112"/>
        <v>1</v>
      </c>
      <c r="H150" s="43">
        <f t="shared" si="112"/>
        <v>1</v>
      </c>
      <c r="I150" s="43">
        <f t="shared" si="112"/>
        <v>1</v>
      </c>
      <c r="J150" s="43">
        <f t="shared" si="112"/>
        <v>1</v>
      </c>
      <c r="K150" s="43" t="e">
        <f>K149+ATM_Conf!$C$5*(T149-AC149)</f>
        <v>#DIV/0!</v>
      </c>
      <c r="L150" s="43" t="e">
        <f>L149+ATM_Conf!$C$5*(U149-AD149)</f>
        <v>#DIV/0!</v>
      </c>
      <c r="M150" s="43" t="e">
        <f>M149+ATM_Conf!$C$5*(V149-AE149)</f>
        <v>#DIV/0!</v>
      </c>
      <c r="N150" s="43" t="e">
        <f>N149+ATM_Conf!$C$5*(W149-AF149)</f>
        <v>#DIV/0!</v>
      </c>
      <c r="O150" s="43" t="e">
        <f>O149+ATM_Conf!$C$5*(X149-AG149)</f>
        <v>#DIV/0!</v>
      </c>
      <c r="P150" s="43" t="e">
        <f>P149+ATM_Conf!$C$5*(Y149-AH149)</f>
        <v>#DIV/0!</v>
      </c>
      <c r="Q150" s="43" t="e">
        <f>Q149+ATM_Conf!$C$5*(Z149-AI149)</f>
        <v>#DIV/0!</v>
      </c>
      <c r="R150" s="43" t="e">
        <f>R149+ATM_Conf!$C$5*(AA149-AJ149)</f>
        <v>#DIV/0!</v>
      </c>
      <c r="S150" s="43" t="e">
        <f>S149+ATM_Conf!$C$5*(AB149-AK149)</f>
        <v>#DIV/0!</v>
      </c>
      <c r="T150" s="43">
        <f t="shared" si="87"/>
        <v>0</v>
      </c>
      <c r="U150" s="43">
        <f t="shared" si="87"/>
        <v>0</v>
      </c>
      <c r="V150" s="43">
        <f t="shared" si="87"/>
        <v>0</v>
      </c>
      <c r="W150" s="43">
        <f t="shared" si="87"/>
        <v>0</v>
      </c>
      <c r="X150" s="43">
        <f t="shared" si="87"/>
        <v>0</v>
      </c>
      <c r="Y150" s="43">
        <f t="shared" si="87"/>
        <v>0</v>
      </c>
      <c r="Z150" s="43">
        <f t="shared" si="87"/>
        <v>0</v>
      </c>
      <c r="AA150" s="43">
        <f t="shared" si="87"/>
        <v>0</v>
      </c>
      <c r="AB150" s="43">
        <f t="shared" si="87"/>
        <v>0</v>
      </c>
      <c r="AC150" s="43" t="e">
        <f t="shared" si="90"/>
        <v>#DIV/0!</v>
      </c>
      <c r="AD150" s="43" t="e">
        <f t="shared" si="91"/>
        <v>#DIV/0!</v>
      </c>
      <c r="AE150" s="43" t="e">
        <f t="shared" si="92"/>
        <v>#DIV/0!</v>
      </c>
      <c r="AF150" s="43" t="e">
        <f t="shared" si="93"/>
        <v>#DIV/0!</v>
      </c>
      <c r="AG150" s="43" t="e">
        <f t="shared" si="94"/>
        <v>#DIV/0!</v>
      </c>
      <c r="AH150" s="43" t="e">
        <f t="shared" si="95"/>
        <v>#DIV/0!</v>
      </c>
      <c r="AI150" s="43" t="e">
        <f t="shared" si="96"/>
        <v>#DIV/0!</v>
      </c>
      <c r="AJ150" s="43" t="e">
        <f t="shared" si="97"/>
        <v>#DIV/0!</v>
      </c>
      <c r="AK150" s="43" t="e">
        <f t="shared" si="98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88"/>
        <v>0</v>
      </c>
      <c r="BE150" s="43">
        <f t="shared" si="88"/>
        <v>0</v>
      </c>
      <c r="BF150" s="43">
        <f t="shared" si="88"/>
        <v>0</v>
      </c>
      <c r="BG150" s="43">
        <f t="shared" si="88"/>
        <v>0</v>
      </c>
      <c r="BH150" s="43">
        <f t="shared" si="88"/>
        <v>0</v>
      </c>
      <c r="BI150" s="43">
        <f t="shared" si="88"/>
        <v>0</v>
      </c>
      <c r="BJ150" s="43">
        <f t="shared" si="88"/>
        <v>0</v>
      </c>
      <c r="BK150" s="43">
        <f t="shared" si="88"/>
        <v>0</v>
      </c>
      <c r="BL150" s="43">
        <f t="shared" si="88"/>
        <v>0</v>
      </c>
      <c r="BM150" s="51"/>
      <c r="BN150" s="51"/>
      <c r="BO150" s="51"/>
      <c r="BP150" s="51"/>
      <c r="BQ150" s="51"/>
      <c r="BR150" s="51"/>
      <c r="BS150" s="51"/>
      <c r="BT150" s="51"/>
      <c r="BU150" s="51"/>
      <c r="BV150" s="51" t="e">
        <f t="shared" si="99"/>
        <v>#DIV/0!</v>
      </c>
      <c r="BW150" s="51" t="e">
        <f t="shared" si="100"/>
        <v>#DIV/0!</v>
      </c>
      <c r="BX150" s="51" t="e">
        <f t="shared" si="101"/>
        <v>#DIV/0!</v>
      </c>
      <c r="BY150" s="51" t="e">
        <f t="shared" si="102"/>
        <v>#DIV/0!</v>
      </c>
      <c r="BZ150" s="51" t="e">
        <f t="shared" si="103"/>
        <v>#DIV/0!</v>
      </c>
      <c r="CA150" s="51" t="e">
        <f t="shared" si="104"/>
        <v>#DIV/0!</v>
      </c>
      <c r="CB150" s="51" t="e">
        <f t="shared" si="105"/>
        <v>#DIV/0!</v>
      </c>
      <c r="CC150" s="51" t="e">
        <f t="shared" si="106"/>
        <v>#DIV/0!</v>
      </c>
      <c r="CD150" s="51" t="e">
        <f t="shared" si="107"/>
        <v>#DIV/0!</v>
      </c>
      <c r="CE150" s="53">
        <f t="shared" si="89"/>
        <v>0</v>
      </c>
      <c r="CF150" s="53">
        <f t="shared" si="89"/>
        <v>0</v>
      </c>
      <c r="CG150" s="53">
        <f t="shared" si="89"/>
        <v>0</v>
      </c>
      <c r="CH150" s="53">
        <f t="shared" si="89"/>
        <v>0</v>
      </c>
      <c r="CI150" s="53">
        <f t="shared" si="89"/>
        <v>0</v>
      </c>
      <c r="CJ150" s="53">
        <f t="shared" si="89"/>
        <v>0</v>
      </c>
      <c r="CK150" s="53">
        <f t="shared" si="89"/>
        <v>0</v>
      </c>
      <c r="CL150" s="53">
        <f t="shared" si="89"/>
        <v>0</v>
      </c>
      <c r="CM150" s="53">
        <f t="shared" si="89"/>
        <v>0</v>
      </c>
    </row>
    <row r="151" spans="1:91" x14ac:dyDescent="0.15">
      <c r="A151" s="41">
        <v>149</v>
      </c>
      <c r="B151" s="43">
        <f t="shared" si="113"/>
        <v>1</v>
      </c>
      <c r="C151" s="43">
        <f t="shared" si="112"/>
        <v>1</v>
      </c>
      <c r="D151" s="43">
        <f t="shared" si="112"/>
        <v>1</v>
      </c>
      <c r="E151" s="43">
        <f t="shared" si="112"/>
        <v>1</v>
      </c>
      <c r="F151" s="43">
        <f t="shared" si="112"/>
        <v>1</v>
      </c>
      <c r="G151" s="43">
        <f t="shared" si="112"/>
        <v>1</v>
      </c>
      <c r="H151" s="43">
        <f t="shared" si="112"/>
        <v>1</v>
      </c>
      <c r="I151" s="43">
        <f t="shared" si="112"/>
        <v>1</v>
      </c>
      <c r="J151" s="43">
        <f t="shared" si="112"/>
        <v>1</v>
      </c>
      <c r="K151" s="43" t="e">
        <f>K150+ATM_Conf!$C$5*(T150-AC150)</f>
        <v>#DIV/0!</v>
      </c>
      <c r="L151" s="43" t="e">
        <f>L150+ATM_Conf!$C$5*(U150-AD150)</f>
        <v>#DIV/0!</v>
      </c>
      <c r="M151" s="43" t="e">
        <f>M150+ATM_Conf!$C$5*(V150-AE150)</f>
        <v>#DIV/0!</v>
      </c>
      <c r="N151" s="43" t="e">
        <f>N150+ATM_Conf!$C$5*(W150-AF150)</f>
        <v>#DIV/0!</v>
      </c>
      <c r="O151" s="43" t="e">
        <f>O150+ATM_Conf!$C$5*(X150-AG150)</f>
        <v>#DIV/0!</v>
      </c>
      <c r="P151" s="43" t="e">
        <f>P150+ATM_Conf!$C$5*(Y150-AH150)</f>
        <v>#DIV/0!</v>
      </c>
      <c r="Q151" s="43" t="e">
        <f>Q150+ATM_Conf!$C$5*(Z150-AI150)</f>
        <v>#DIV/0!</v>
      </c>
      <c r="R151" s="43" t="e">
        <f>R150+ATM_Conf!$C$5*(AA150-AJ150)</f>
        <v>#DIV/0!</v>
      </c>
      <c r="S151" s="43" t="e">
        <f>S150+ATM_Conf!$C$5*(AB150-AK150)</f>
        <v>#DIV/0!</v>
      </c>
      <c r="T151" s="43">
        <f t="shared" si="87"/>
        <v>0</v>
      </c>
      <c r="U151" s="43">
        <f t="shared" si="87"/>
        <v>0</v>
      </c>
      <c r="V151" s="43">
        <f t="shared" si="87"/>
        <v>0</v>
      </c>
      <c r="W151" s="43">
        <f t="shared" si="87"/>
        <v>0</v>
      </c>
      <c r="X151" s="43">
        <f t="shared" si="87"/>
        <v>0</v>
      </c>
      <c r="Y151" s="43">
        <f t="shared" si="87"/>
        <v>0</v>
      </c>
      <c r="Z151" s="43">
        <f t="shared" si="87"/>
        <v>0</v>
      </c>
      <c r="AA151" s="43">
        <f t="shared" si="87"/>
        <v>0</v>
      </c>
      <c r="AB151" s="43">
        <f t="shared" si="87"/>
        <v>0</v>
      </c>
      <c r="AC151" s="43" t="e">
        <f t="shared" si="90"/>
        <v>#DIV/0!</v>
      </c>
      <c r="AD151" s="43" t="e">
        <f t="shared" si="91"/>
        <v>#DIV/0!</v>
      </c>
      <c r="AE151" s="43" t="e">
        <f t="shared" si="92"/>
        <v>#DIV/0!</v>
      </c>
      <c r="AF151" s="43" t="e">
        <f t="shared" si="93"/>
        <v>#DIV/0!</v>
      </c>
      <c r="AG151" s="43" t="e">
        <f t="shared" si="94"/>
        <v>#DIV/0!</v>
      </c>
      <c r="AH151" s="43" t="e">
        <f t="shared" si="95"/>
        <v>#DIV/0!</v>
      </c>
      <c r="AI151" s="43" t="e">
        <f t="shared" si="96"/>
        <v>#DIV/0!</v>
      </c>
      <c r="AJ151" s="43" t="e">
        <f t="shared" si="97"/>
        <v>#DIV/0!</v>
      </c>
      <c r="AK151" s="43" t="e">
        <f t="shared" si="98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88"/>
        <v>0</v>
      </c>
      <c r="BE151" s="43">
        <f t="shared" si="88"/>
        <v>0</v>
      </c>
      <c r="BF151" s="43">
        <f t="shared" si="88"/>
        <v>0</v>
      </c>
      <c r="BG151" s="43">
        <f t="shared" si="88"/>
        <v>0</v>
      </c>
      <c r="BH151" s="43">
        <f t="shared" si="88"/>
        <v>0</v>
      </c>
      <c r="BI151" s="43">
        <f t="shared" si="88"/>
        <v>0</v>
      </c>
      <c r="BJ151" s="43">
        <f t="shared" si="88"/>
        <v>0</v>
      </c>
      <c r="BK151" s="43">
        <f t="shared" si="88"/>
        <v>0</v>
      </c>
      <c r="BL151" s="43">
        <f t="shared" si="88"/>
        <v>0</v>
      </c>
      <c r="BM151" s="51"/>
      <c r="BN151" s="51"/>
      <c r="BO151" s="51"/>
      <c r="BP151" s="51"/>
      <c r="BQ151" s="51"/>
      <c r="BR151" s="51"/>
      <c r="BS151" s="51"/>
      <c r="BT151" s="51"/>
      <c r="BU151" s="51"/>
      <c r="BV151" s="51" t="e">
        <f t="shared" si="99"/>
        <v>#DIV/0!</v>
      </c>
      <c r="BW151" s="51" t="e">
        <f t="shared" si="100"/>
        <v>#DIV/0!</v>
      </c>
      <c r="BX151" s="51" t="e">
        <f t="shared" si="101"/>
        <v>#DIV/0!</v>
      </c>
      <c r="BY151" s="51" t="e">
        <f t="shared" si="102"/>
        <v>#DIV/0!</v>
      </c>
      <c r="BZ151" s="51" t="e">
        <f t="shared" si="103"/>
        <v>#DIV/0!</v>
      </c>
      <c r="CA151" s="51" t="e">
        <f t="shared" si="104"/>
        <v>#DIV/0!</v>
      </c>
      <c r="CB151" s="51" t="e">
        <f t="shared" si="105"/>
        <v>#DIV/0!</v>
      </c>
      <c r="CC151" s="51" t="e">
        <f t="shared" si="106"/>
        <v>#DIV/0!</v>
      </c>
      <c r="CD151" s="51" t="e">
        <f t="shared" si="107"/>
        <v>#DIV/0!</v>
      </c>
      <c r="CE151" s="53">
        <f t="shared" si="89"/>
        <v>0</v>
      </c>
      <c r="CF151" s="53">
        <f t="shared" si="89"/>
        <v>0</v>
      </c>
      <c r="CG151" s="53">
        <f t="shared" si="89"/>
        <v>0</v>
      </c>
      <c r="CH151" s="53">
        <f t="shared" si="89"/>
        <v>0</v>
      </c>
      <c r="CI151" s="53">
        <f t="shared" si="89"/>
        <v>0</v>
      </c>
      <c r="CJ151" s="53">
        <f t="shared" si="89"/>
        <v>0</v>
      </c>
      <c r="CK151" s="53">
        <f t="shared" si="89"/>
        <v>0</v>
      </c>
      <c r="CL151" s="53">
        <f t="shared" si="89"/>
        <v>0</v>
      </c>
      <c r="CM151" s="53">
        <f t="shared" si="89"/>
        <v>0</v>
      </c>
    </row>
    <row r="152" spans="1:91" x14ac:dyDescent="0.15">
      <c r="A152" s="41">
        <v>150</v>
      </c>
      <c r="B152" s="43">
        <f t="shared" si="113"/>
        <v>1</v>
      </c>
      <c r="C152" s="43">
        <f t="shared" si="112"/>
        <v>1</v>
      </c>
      <c r="D152" s="43">
        <f t="shared" si="112"/>
        <v>1</v>
      </c>
      <c r="E152" s="43">
        <f t="shared" si="112"/>
        <v>1</v>
      </c>
      <c r="F152" s="43">
        <f t="shared" si="112"/>
        <v>1</v>
      </c>
      <c r="G152" s="43">
        <f t="shared" si="112"/>
        <v>1</v>
      </c>
      <c r="H152" s="43">
        <f t="shared" si="112"/>
        <v>1</v>
      </c>
      <c r="I152" s="43">
        <f t="shared" si="112"/>
        <v>1</v>
      </c>
      <c r="J152" s="43">
        <f t="shared" si="112"/>
        <v>1</v>
      </c>
      <c r="K152" s="43" t="e">
        <f>K151+ATM_Conf!$C$5*(T151-AC151)</f>
        <v>#DIV/0!</v>
      </c>
      <c r="L152" s="43" t="e">
        <f>L151+ATM_Conf!$C$5*(U151-AD151)</f>
        <v>#DIV/0!</v>
      </c>
      <c r="M152" s="43" t="e">
        <f>M151+ATM_Conf!$C$5*(V151-AE151)</f>
        <v>#DIV/0!</v>
      </c>
      <c r="N152" s="43" t="e">
        <f>N151+ATM_Conf!$C$5*(W151-AF151)</f>
        <v>#DIV/0!</v>
      </c>
      <c r="O152" s="43" t="e">
        <f>O151+ATM_Conf!$C$5*(X151-AG151)</f>
        <v>#DIV/0!</v>
      </c>
      <c r="P152" s="43" t="e">
        <f>P151+ATM_Conf!$C$5*(Y151-AH151)</f>
        <v>#DIV/0!</v>
      </c>
      <c r="Q152" s="43" t="e">
        <f>Q151+ATM_Conf!$C$5*(Z151-AI151)</f>
        <v>#DIV/0!</v>
      </c>
      <c r="R152" s="43" t="e">
        <f>R151+ATM_Conf!$C$5*(AA151-AJ151)</f>
        <v>#DIV/0!</v>
      </c>
      <c r="S152" s="43" t="e">
        <f>S151+ATM_Conf!$C$5*(AB151-AK151)</f>
        <v>#DIV/0!</v>
      </c>
      <c r="T152" s="43">
        <f t="shared" si="87"/>
        <v>0</v>
      </c>
      <c r="U152" s="43">
        <f t="shared" si="87"/>
        <v>0</v>
      </c>
      <c r="V152" s="43">
        <f t="shared" si="87"/>
        <v>0</v>
      </c>
      <c r="W152" s="43">
        <f t="shared" si="87"/>
        <v>0</v>
      </c>
      <c r="X152" s="43">
        <f t="shared" si="87"/>
        <v>0</v>
      </c>
      <c r="Y152" s="43">
        <f t="shared" si="87"/>
        <v>0</v>
      </c>
      <c r="Z152" s="43">
        <f t="shared" si="87"/>
        <v>0</v>
      </c>
      <c r="AA152" s="43">
        <f t="shared" si="87"/>
        <v>0</v>
      </c>
      <c r="AB152" s="43">
        <f t="shared" si="87"/>
        <v>0</v>
      </c>
      <c r="AC152" s="43" t="e">
        <f t="shared" si="90"/>
        <v>#DIV/0!</v>
      </c>
      <c r="AD152" s="43" t="e">
        <f t="shared" si="91"/>
        <v>#DIV/0!</v>
      </c>
      <c r="AE152" s="43" t="e">
        <f t="shared" si="92"/>
        <v>#DIV/0!</v>
      </c>
      <c r="AF152" s="43" t="e">
        <f t="shared" si="93"/>
        <v>#DIV/0!</v>
      </c>
      <c r="AG152" s="43" t="e">
        <f t="shared" si="94"/>
        <v>#DIV/0!</v>
      </c>
      <c r="AH152" s="43" t="e">
        <f t="shared" si="95"/>
        <v>#DIV/0!</v>
      </c>
      <c r="AI152" s="43" t="e">
        <f t="shared" si="96"/>
        <v>#DIV/0!</v>
      </c>
      <c r="AJ152" s="43" t="e">
        <f t="shared" si="97"/>
        <v>#DIV/0!</v>
      </c>
      <c r="AK152" s="43" t="e">
        <f t="shared" si="98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88"/>
        <v>0</v>
      </c>
      <c r="BE152" s="43">
        <f t="shared" si="88"/>
        <v>0</v>
      </c>
      <c r="BF152" s="43">
        <f t="shared" si="88"/>
        <v>0</v>
      </c>
      <c r="BG152" s="43">
        <f t="shared" si="88"/>
        <v>0</v>
      </c>
      <c r="BH152" s="43">
        <f t="shared" si="88"/>
        <v>0</v>
      </c>
      <c r="BI152" s="43">
        <f t="shared" si="88"/>
        <v>0</v>
      </c>
      <c r="BJ152" s="43">
        <f t="shared" si="88"/>
        <v>0</v>
      </c>
      <c r="BK152" s="43">
        <f t="shared" si="88"/>
        <v>0</v>
      </c>
      <c r="BL152" s="43">
        <f t="shared" si="88"/>
        <v>0</v>
      </c>
      <c r="BM152" s="51"/>
      <c r="BN152" s="51"/>
      <c r="BO152" s="51"/>
      <c r="BP152" s="51"/>
      <c r="BQ152" s="51"/>
      <c r="BR152" s="51"/>
      <c r="BS152" s="51"/>
      <c r="BT152" s="51"/>
      <c r="BU152" s="51"/>
      <c r="BV152" s="51" t="e">
        <f t="shared" si="99"/>
        <v>#DIV/0!</v>
      </c>
      <c r="BW152" s="51" t="e">
        <f t="shared" si="100"/>
        <v>#DIV/0!</v>
      </c>
      <c r="BX152" s="51" t="e">
        <f t="shared" si="101"/>
        <v>#DIV/0!</v>
      </c>
      <c r="BY152" s="51" t="e">
        <f t="shared" si="102"/>
        <v>#DIV/0!</v>
      </c>
      <c r="BZ152" s="51" t="e">
        <f t="shared" si="103"/>
        <v>#DIV/0!</v>
      </c>
      <c r="CA152" s="51" t="e">
        <f t="shared" si="104"/>
        <v>#DIV/0!</v>
      </c>
      <c r="CB152" s="51" t="e">
        <f t="shared" si="105"/>
        <v>#DIV/0!</v>
      </c>
      <c r="CC152" s="51" t="e">
        <f t="shared" si="106"/>
        <v>#DIV/0!</v>
      </c>
      <c r="CD152" s="51" t="e">
        <f t="shared" si="107"/>
        <v>#DIV/0!</v>
      </c>
      <c r="CE152" s="53">
        <f t="shared" si="89"/>
        <v>0</v>
      </c>
      <c r="CF152" s="53">
        <f t="shared" si="89"/>
        <v>0</v>
      </c>
      <c r="CG152" s="53">
        <f t="shared" si="89"/>
        <v>0</v>
      </c>
      <c r="CH152" s="53">
        <f t="shared" si="89"/>
        <v>0</v>
      </c>
      <c r="CI152" s="53">
        <f t="shared" si="89"/>
        <v>0</v>
      </c>
      <c r="CJ152" s="53">
        <f t="shared" si="89"/>
        <v>0</v>
      </c>
      <c r="CK152" s="53">
        <f t="shared" si="89"/>
        <v>0</v>
      </c>
      <c r="CL152" s="53">
        <f t="shared" si="89"/>
        <v>0</v>
      </c>
      <c r="CM152" s="53">
        <f t="shared" si="89"/>
        <v>0</v>
      </c>
    </row>
    <row r="153" spans="1:91" x14ac:dyDescent="0.15">
      <c r="A153" s="41">
        <v>151</v>
      </c>
      <c r="B153" s="43">
        <f t="shared" si="113"/>
        <v>1</v>
      </c>
      <c r="C153" s="43">
        <f t="shared" si="112"/>
        <v>1</v>
      </c>
      <c r="D153" s="43">
        <f t="shared" si="112"/>
        <v>1</v>
      </c>
      <c r="E153" s="43">
        <f t="shared" si="112"/>
        <v>1</v>
      </c>
      <c r="F153" s="43">
        <f t="shared" si="112"/>
        <v>1</v>
      </c>
      <c r="G153" s="43">
        <f t="shared" si="112"/>
        <v>1</v>
      </c>
      <c r="H153" s="43">
        <f t="shared" si="112"/>
        <v>1</v>
      </c>
      <c r="I153" s="43">
        <f t="shared" si="112"/>
        <v>1</v>
      </c>
      <c r="J153" s="43">
        <f t="shared" si="112"/>
        <v>1</v>
      </c>
      <c r="K153" s="43" t="e">
        <f>K152+ATM_Conf!$C$5*(T152-AC152)</f>
        <v>#DIV/0!</v>
      </c>
      <c r="L153" s="43" t="e">
        <f>L152+ATM_Conf!$C$5*(U152-AD152)</f>
        <v>#DIV/0!</v>
      </c>
      <c r="M153" s="43" t="e">
        <f>M152+ATM_Conf!$C$5*(V152-AE152)</f>
        <v>#DIV/0!</v>
      </c>
      <c r="N153" s="43" t="e">
        <f>N152+ATM_Conf!$C$5*(W152-AF152)</f>
        <v>#DIV/0!</v>
      </c>
      <c r="O153" s="43" t="e">
        <f>O152+ATM_Conf!$C$5*(X152-AG152)</f>
        <v>#DIV/0!</v>
      </c>
      <c r="P153" s="43" t="e">
        <f>P152+ATM_Conf!$C$5*(Y152-AH152)</f>
        <v>#DIV/0!</v>
      </c>
      <c r="Q153" s="43" t="e">
        <f>Q152+ATM_Conf!$C$5*(Z152-AI152)</f>
        <v>#DIV/0!</v>
      </c>
      <c r="R153" s="43" t="e">
        <f>R152+ATM_Conf!$C$5*(AA152-AJ152)</f>
        <v>#DIV/0!</v>
      </c>
      <c r="S153" s="43" t="e">
        <f>S152+ATM_Conf!$C$5*(AB152-AK152)</f>
        <v>#DIV/0!</v>
      </c>
      <c r="T153" s="43">
        <f t="shared" si="87"/>
        <v>0</v>
      </c>
      <c r="U153" s="43">
        <f t="shared" si="87"/>
        <v>0</v>
      </c>
      <c r="V153" s="43">
        <f t="shared" si="87"/>
        <v>0</v>
      </c>
      <c r="W153" s="43">
        <f t="shared" si="87"/>
        <v>0</v>
      </c>
      <c r="X153" s="43">
        <f t="shared" si="87"/>
        <v>0</v>
      </c>
      <c r="Y153" s="43">
        <f t="shared" si="87"/>
        <v>0</v>
      </c>
      <c r="Z153" s="43">
        <f t="shared" si="87"/>
        <v>0</v>
      </c>
      <c r="AA153" s="43">
        <f t="shared" si="87"/>
        <v>0</v>
      </c>
      <c r="AB153" s="43">
        <f t="shared" si="87"/>
        <v>0</v>
      </c>
      <c r="AC153" s="43" t="e">
        <f t="shared" si="90"/>
        <v>#DIV/0!</v>
      </c>
      <c r="AD153" s="43" t="e">
        <f t="shared" si="91"/>
        <v>#DIV/0!</v>
      </c>
      <c r="AE153" s="43" t="e">
        <f t="shared" si="92"/>
        <v>#DIV/0!</v>
      </c>
      <c r="AF153" s="43" t="e">
        <f t="shared" si="93"/>
        <v>#DIV/0!</v>
      </c>
      <c r="AG153" s="43" t="e">
        <f t="shared" si="94"/>
        <v>#DIV/0!</v>
      </c>
      <c r="AH153" s="43" t="e">
        <f t="shared" si="95"/>
        <v>#DIV/0!</v>
      </c>
      <c r="AI153" s="43" t="e">
        <f t="shared" si="96"/>
        <v>#DIV/0!</v>
      </c>
      <c r="AJ153" s="43" t="e">
        <f t="shared" si="97"/>
        <v>#DIV/0!</v>
      </c>
      <c r="AK153" s="43" t="e">
        <f t="shared" si="98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88"/>
        <v>0</v>
      </c>
      <c r="BE153" s="43">
        <f t="shared" si="88"/>
        <v>0</v>
      </c>
      <c r="BF153" s="43">
        <f t="shared" si="88"/>
        <v>0</v>
      </c>
      <c r="BG153" s="43">
        <f t="shared" si="88"/>
        <v>0</v>
      </c>
      <c r="BH153" s="43">
        <f t="shared" si="88"/>
        <v>0</v>
      </c>
      <c r="BI153" s="43">
        <f t="shared" si="88"/>
        <v>0</v>
      </c>
      <c r="BJ153" s="43">
        <f t="shared" si="88"/>
        <v>0</v>
      </c>
      <c r="BK153" s="43">
        <f t="shared" si="88"/>
        <v>0</v>
      </c>
      <c r="BL153" s="43">
        <f t="shared" si="88"/>
        <v>0</v>
      </c>
      <c r="BM153" s="51"/>
      <c r="BN153" s="51"/>
      <c r="BO153" s="51"/>
      <c r="BP153" s="51"/>
      <c r="BQ153" s="51"/>
      <c r="BR153" s="51"/>
      <c r="BS153" s="51"/>
      <c r="BT153" s="51"/>
      <c r="BU153" s="51"/>
      <c r="BV153" s="51" t="e">
        <f t="shared" si="99"/>
        <v>#DIV/0!</v>
      </c>
      <c r="BW153" s="51" t="e">
        <f t="shared" si="100"/>
        <v>#DIV/0!</v>
      </c>
      <c r="BX153" s="51" t="e">
        <f t="shared" si="101"/>
        <v>#DIV/0!</v>
      </c>
      <c r="BY153" s="51" t="e">
        <f t="shared" si="102"/>
        <v>#DIV/0!</v>
      </c>
      <c r="BZ153" s="51" t="e">
        <f t="shared" si="103"/>
        <v>#DIV/0!</v>
      </c>
      <c r="CA153" s="51" t="e">
        <f t="shared" si="104"/>
        <v>#DIV/0!</v>
      </c>
      <c r="CB153" s="51" t="e">
        <f t="shared" si="105"/>
        <v>#DIV/0!</v>
      </c>
      <c r="CC153" s="51" t="e">
        <f t="shared" si="106"/>
        <v>#DIV/0!</v>
      </c>
      <c r="CD153" s="51" t="e">
        <f t="shared" si="107"/>
        <v>#DIV/0!</v>
      </c>
      <c r="CE153" s="53">
        <f t="shared" si="89"/>
        <v>0</v>
      </c>
      <c r="CF153" s="53">
        <f t="shared" si="89"/>
        <v>0</v>
      </c>
      <c r="CG153" s="53">
        <f t="shared" si="89"/>
        <v>0</v>
      </c>
      <c r="CH153" s="53">
        <f t="shared" si="89"/>
        <v>0</v>
      </c>
      <c r="CI153" s="53">
        <f t="shared" si="89"/>
        <v>0</v>
      </c>
      <c r="CJ153" s="53">
        <f t="shared" si="89"/>
        <v>0</v>
      </c>
      <c r="CK153" s="53">
        <f t="shared" si="89"/>
        <v>0</v>
      </c>
      <c r="CL153" s="53">
        <f t="shared" si="89"/>
        <v>0</v>
      </c>
      <c r="CM153" s="53">
        <f t="shared" si="89"/>
        <v>0</v>
      </c>
    </row>
    <row r="154" spans="1:91" x14ac:dyDescent="0.15">
      <c r="A154" s="41">
        <v>152</v>
      </c>
      <c r="B154" s="43">
        <f t="shared" si="113"/>
        <v>1</v>
      </c>
      <c r="C154" s="43">
        <f t="shared" si="112"/>
        <v>1</v>
      </c>
      <c r="D154" s="43">
        <f t="shared" si="112"/>
        <v>1</v>
      </c>
      <c r="E154" s="43">
        <f t="shared" si="112"/>
        <v>1</v>
      </c>
      <c r="F154" s="43">
        <f t="shared" si="112"/>
        <v>1</v>
      </c>
      <c r="G154" s="43">
        <f t="shared" si="112"/>
        <v>1</v>
      </c>
      <c r="H154" s="43">
        <f t="shared" si="112"/>
        <v>1</v>
      </c>
      <c r="I154" s="43">
        <f t="shared" si="112"/>
        <v>1</v>
      </c>
      <c r="J154" s="43">
        <f t="shared" si="112"/>
        <v>1</v>
      </c>
      <c r="K154" s="43" t="e">
        <f>K153+ATM_Conf!$C$5*(T153-AC153)</f>
        <v>#DIV/0!</v>
      </c>
      <c r="L154" s="43" t="e">
        <f>L153+ATM_Conf!$C$5*(U153-AD153)</f>
        <v>#DIV/0!</v>
      </c>
      <c r="M154" s="43" t="e">
        <f>M153+ATM_Conf!$C$5*(V153-AE153)</f>
        <v>#DIV/0!</v>
      </c>
      <c r="N154" s="43" t="e">
        <f>N153+ATM_Conf!$C$5*(W153-AF153)</f>
        <v>#DIV/0!</v>
      </c>
      <c r="O154" s="43" t="e">
        <f>O153+ATM_Conf!$C$5*(X153-AG153)</f>
        <v>#DIV/0!</v>
      </c>
      <c r="P154" s="43" t="e">
        <f>P153+ATM_Conf!$C$5*(Y153-AH153)</f>
        <v>#DIV/0!</v>
      </c>
      <c r="Q154" s="43" t="e">
        <f>Q153+ATM_Conf!$C$5*(Z153-AI153)</f>
        <v>#DIV/0!</v>
      </c>
      <c r="R154" s="43" t="e">
        <f>R153+ATM_Conf!$C$5*(AA153-AJ153)</f>
        <v>#DIV/0!</v>
      </c>
      <c r="S154" s="43" t="e">
        <f>S153+ATM_Conf!$C$5*(AB153-AK153)</f>
        <v>#DIV/0!</v>
      </c>
      <c r="T154" s="43">
        <f t="shared" si="87"/>
        <v>0</v>
      </c>
      <c r="U154" s="43">
        <f t="shared" si="87"/>
        <v>0</v>
      </c>
      <c r="V154" s="43">
        <f t="shared" si="87"/>
        <v>0</v>
      </c>
      <c r="W154" s="43">
        <f t="shared" si="87"/>
        <v>0</v>
      </c>
      <c r="X154" s="43">
        <f t="shared" si="87"/>
        <v>0</v>
      </c>
      <c r="Y154" s="43">
        <f t="shared" si="87"/>
        <v>0</v>
      </c>
      <c r="Z154" s="43">
        <f t="shared" si="87"/>
        <v>0</v>
      </c>
      <c r="AA154" s="43">
        <f t="shared" si="87"/>
        <v>0</v>
      </c>
      <c r="AB154" s="43">
        <f t="shared" si="87"/>
        <v>0</v>
      </c>
      <c r="AC154" s="43" t="e">
        <f t="shared" si="90"/>
        <v>#DIV/0!</v>
      </c>
      <c r="AD154" s="43" t="e">
        <f t="shared" si="91"/>
        <v>#DIV/0!</v>
      </c>
      <c r="AE154" s="43" t="e">
        <f t="shared" si="92"/>
        <v>#DIV/0!</v>
      </c>
      <c r="AF154" s="43" t="e">
        <f t="shared" si="93"/>
        <v>#DIV/0!</v>
      </c>
      <c r="AG154" s="43" t="e">
        <f t="shared" si="94"/>
        <v>#DIV/0!</v>
      </c>
      <c r="AH154" s="43" t="e">
        <f t="shared" si="95"/>
        <v>#DIV/0!</v>
      </c>
      <c r="AI154" s="43" t="e">
        <f t="shared" si="96"/>
        <v>#DIV/0!</v>
      </c>
      <c r="AJ154" s="43" t="e">
        <f t="shared" si="97"/>
        <v>#DIV/0!</v>
      </c>
      <c r="AK154" s="43" t="e">
        <f t="shared" si="98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88"/>
        <v>0</v>
      </c>
      <c r="BE154" s="43">
        <f t="shared" si="88"/>
        <v>0</v>
      </c>
      <c r="BF154" s="43">
        <f t="shared" si="88"/>
        <v>0</v>
      </c>
      <c r="BG154" s="43">
        <f t="shared" si="88"/>
        <v>0</v>
      </c>
      <c r="BH154" s="43">
        <f t="shared" si="88"/>
        <v>0</v>
      </c>
      <c r="BI154" s="43">
        <f t="shared" si="88"/>
        <v>0</v>
      </c>
      <c r="BJ154" s="43">
        <f t="shared" si="88"/>
        <v>0</v>
      </c>
      <c r="BK154" s="43">
        <f t="shared" si="88"/>
        <v>0</v>
      </c>
      <c r="BL154" s="43">
        <f t="shared" si="88"/>
        <v>0</v>
      </c>
      <c r="BM154" s="51"/>
      <c r="BN154" s="51"/>
      <c r="BO154" s="51"/>
      <c r="BP154" s="51"/>
      <c r="BQ154" s="51"/>
      <c r="BR154" s="51"/>
      <c r="BS154" s="51"/>
      <c r="BT154" s="51"/>
      <c r="BU154" s="51"/>
      <c r="BV154" s="51" t="e">
        <f t="shared" si="99"/>
        <v>#DIV/0!</v>
      </c>
      <c r="BW154" s="51" t="e">
        <f t="shared" si="100"/>
        <v>#DIV/0!</v>
      </c>
      <c r="BX154" s="51" t="e">
        <f t="shared" si="101"/>
        <v>#DIV/0!</v>
      </c>
      <c r="BY154" s="51" t="e">
        <f t="shared" si="102"/>
        <v>#DIV/0!</v>
      </c>
      <c r="BZ154" s="51" t="e">
        <f t="shared" si="103"/>
        <v>#DIV/0!</v>
      </c>
      <c r="CA154" s="51" t="e">
        <f t="shared" si="104"/>
        <v>#DIV/0!</v>
      </c>
      <c r="CB154" s="51" t="e">
        <f t="shared" si="105"/>
        <v>#DIV/0!</v>
      </c>
      <c r="CC154" s="51" t="e">
        <f t="shared" si="106"/>
        <v>#DIV/0!</v>
      </c>
      <c r="CD154" s="51" t="e">
        <f t="shared" si="107"/>
        <v>#DIV/0!</v>
      </c>
      <c r="CE154" s="53">
        <f t="shared" si="89"/>
        <v>0</v>
      </c>
      <c r="CF154" s="53">
        <f t="shared" si="89"/>
        <v>0</v>
      </c>
      <c r="CG154" s="53">
        <f t="shared" si="89"/>
        <v>0</v>
      </c>
      <c r="CH154" s="53">
        <f t="shared" si="89"/>
        <v>0</v>
      </c>
      <c r="CI154" s="53">
        <f t="shared" si="89"/>
        <v>0</v>
      </c>
      <c r="CJ154" s="53">
        <f t="shared" si="89"/>
        <v>0</v>
      </c>
      <c r="CK154" s="53">
        <f t="shared" si="89"/>
        <v>0</v>
      </c>
      <c r="CL154" s="53">
        <f t="shared" si="89"/>
        <v>0</v>
      </c>
      <c r="CM154" s="53">
        <f t="shared" si="89"/>
        <v>0</v>
      </c>
    </row>
    <row r="155" spans="1:91" x14ac:dyDescent="0.15">
      <c r="A155" s="41">
        <v>153</v>
      </c>
      <c r="B155" s="43">
        <f t="shared" si="113"/>
        <v>1</v>
      </c>
      <c r="C155" s="43">
        <f t="shared" si="112"/>
        <v>1</v>
      </c>
      <c r="D155" s="43">
        <f t="shared" si="112"/>
        <v>1</v>
      </c>
      <c r="E155" s="43">
        <f t="shared" si="112"/>
        <v>1</v>
      </c>
      <c r="F155" s="43">
        <f t="shared" si="112"/>
        <v>1</v>
      </c>
      <c r="G155" s="43">
        <f t="shared" si="112"/>
        <v>1</v>
      </c>
      <c r="H155" s="43">
        <f t="shared" si="112"/>
        <v>1</v>
      </c>
      <c r="I155" s="43">
        <f t="shared" si="112"/>
        <v>1</v>
      </c>
      <c r="J155" s="43">
        <f t="shared" si="112"/>
        <v>1</v>
      </c>
      <c r="K155" s="43" t="e">
        <f>K154+ATM_Conf!$C$5*(T154-AC154)</f>
        <v>#DIV/0!</v>
      </c>
      <c r="L155" s="43" t="e">
        <f>L154+ATM_Conf!$C$5*(U154-AD154)</f>
        <v>#DIV/0!</v>
      </c>
      <c r="M155" s="43" t="e">
        <f>M154+ATM_Conf!$C$5*(V154-AE154)</f>
        <v>#DIV/0!</v>
      </c>
      <c r="N155" s="43" t="e">
        <f>N154+ATM_Conf!$C$5*(W154-AF154)</f>
        <v>#DIV/0!</v>
      </c>
      <c r="O155" s="43" t="e">
        <f>O154+ATM_Conf!$C$5*(X154-AG154)</f>
        <v>#DIV/0!</v>
      </c>
      <c r="P155" s="43" t="e">
        <f>P154+ATM_Conf!$C$5*(Y154-AH154)</f>
        <v>#DIV/0!</v>
      </c>
      <c r="Q155" s="43" t="e">
        <f>Q154+ATM_Conf!$C$5*(Z154-AI154)</f>
        <v>#DIV/0!</v>
      </c>
      <c r="R155" s="43" t="e">
        <f>R154+ATM_Conf!$C$5*(AA154-AJ154)</f>
        <v>#DIV/0!</v>
      </c>
      <c r="S155" s="43" t="e">
        <f>S154+ATM_Conf!$C$5*(AB154-AK154)</f>
        <v>#DIV/0!</v>
      </c>
      <c r="T155" s="43">
        <f t="shared" si="87"/>
        <v>0</v>
      </c>
      <c r="U155" s="43">
        <f t="shared" si="87"/>
        <v>0</v>
      </c>
      <c r="V155" s="43">
        <f t="shared" si="87"/>
        <v>0</v>
      </c>
      <c r="W155" s="43">
        <f t="shared" si="87"/>
        <v>0</v>
      </c>
      <c r="X155" s="43">
        <f t="shared" si="87"/>
        <v>0</v>
      </c>
      <c r="Y155" s="43">
        <f t="shared" si="87"/>
        <v>0</v>
      </c>
      <c r="Z155" s="43">
        <f t="shared" si="87"/>
        <v>0</v>
      </c>
      <c r="AA155" s="43">
        <f t="shared" si="87"/>
        <v>0</v>
      </c>
      <c r="AB155" s="43">
        <f t="shared" si="87"/>
        <v>0</v>
      </c>
      <c r="AC155" s="43" t="e">
        <f t="shared" si="90"/>
        <v>#DIV/0!</v>
      </c>
      <c r="AD155" s="43" t="e">
        <f t="shared" si="91"/>
        <v>#DIV/0!</v>
      </c>
      <c r="AE155" s="43" t="e">
        <f t="shared" si="92"/>
        <v>#DIV/0!</v>
      </c>
      <c r="AF155" s="43" t="e">
        <f t="shared" si="93"/>
        <v>#DIV/0!</v>
      </c>
      <c r="AG155" s="43" t="e">
        <f t="shared" si="94"/>
        <v>#DIV/0!</v>
      </c>
      <c r="AH155" s="43" t="e">
        <f t="shared" si="95"/>
        <v>#DIV/0!</v>
      </c>
      <c r="AI155" s="43" t="e">
        <f t="shared" si="96"/>
        <v>#DIV/0!</v>
      </c>
      <c r="AJ155" s="43" t="e">
        <f t="shared" si="97"/>
        <v>#DIV/0!</v>
      </c>
      <c r="AK155" s="43" t="e">
        <f t="shared" si="98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88"/>
        <v>0</v>
      </c>
      <c r="BE155" s="43">
        <f t="shared" si="88"/>
        <v>0</v>
      </c>
      <c r="BF155" s="43">
        <f t="shared" si="88"/>
        <v>0</v>
      </c>
      <c r="BG155" s="43">
        <f t="shared" si="88"/>
        <v>0</v>
      </c>
      <c r="BH155" s="43">
        <f t="shared" si="88"/>
        <v>0</v>
      </c>
      <c r="BI155" s="43">
        <f t="shared" si="88"/>
        <v>0</v>
      </c>
      <c r="BJ155" s="43">
        <f t="shared" si="88"/>
        <v>0</v>
      </c>
      <c r="BK155" s="43">
        <f t="shared" si="88"/>
        <v>0</v>
      </c>
      <c r="BL155" s="43">
        <f t="shared" si="88"/>
        <v>0</v>
      </c>
      <c r="BM155" s="51"/>
      <c r="BN155" s="51"/>
      <c r="BO155" s="51"/>
      <c r="BP155" s="51"/>
      <c r="BQ155" s="51"/>
      <c r="BR155" s="51"/>
      <c r="BS155" s="51"/>
      <c r="BT155" s="51"/>
      <c r="BU155" s="51"/>
      <c r="BV155" s="51" t="e">
        <f t="shared" si="99"/>
        <v>#DIV/0!</v>
      </c>
      <c r="BW155" s="51" t="e">
        <f t="shared" si="100"/>
        <v>#DIV/0!</v>
      </c>
      <c r="BX155" s="51" t="e">
        <f t="shared" si="101"/>
        <v>#DIV/0!</v>
      </c>
      <c r="BY155" s="51" t="e">
        <f t="shared" si="102"/>
        <v>#DIV/0!</v>
      </c>
      <c r="BZ155" s="51" t="e">
        <f t="shared" si="103"/>
        <v>#DIV/0!</v>
      </c>
      <c r="CA155" s="51" t="e">
        <f t="shared" si="104"/>
        <v>#DIV/0!</v>
      </c>
      <c r="CB155" s="51" t="e">
        <f t="shared" si="105"/>
        <v>#DIV/0!</v>
      </c>
      <c r="CC155" s="51" t="e">
        <f t="shared" si="106"/>
        <v>#DIV/0!</v>
      </c>
      <c r="CD155" s="51" t="e">
        <f t="shared" si="107"/>
        <v>#DIV/0!</v>
      </c>
      <c r="CE155" s="53">
        <f t="shared" si="89"/>
        <v>0</v>
      </c>
      <c r="CF155" s="53">
        <f t="shared" si="89"/>
        <v>0</v>
      </c>
      <c r="CG155" s="53">
        <f t="shared" si="89"/>
        <v>0</v>
      </c>
      <c r="CH155" s="53">
        <f t="shared" si="89"/>
        <v>0</v>
      </c>
      <c r="CI155" s="53">
        <f t="shared" si="89"/>
        <v>0</v>
      </c>
      <c r="CJ155" s="53">
        <f t="shared" si="89"/>
        <v>0</v>
      </c>
      <c r="CK155" s="53">
        <f t="shared" si="89"/>
        <v>0</v>
      </c>
      <c r="CL155" s="53">
        <f t="shared" si="89"/>
        <v>0</v>
      </c>
      <c r="CM155" s="53">
        <f t="shared" si="89"/>
        <v>0</v>
      </c>
    </row>
    <row r="156" spans="1:91" x14ac:dyDescent="0.15">
      <c r="A156" s="41">
        <v>154</v>
      </c>
      <c r="B156" s="43">
        <f t="shared" si="113"/>
        <v>1</v>
      </c>
      <c r="C156" s="43">
        <f t="shared" si="112"/>
        <v>1</v>
      </c>
      <c r="D156" s="43">
        <f t="shared" si="112"/>
        <v>1</v>
      </c>
      <c r="E156" s="43">
        <f t="shared" si="112"/>
        <v>1</v>
      </c>
      <c r="F156" s="43">
        <f t="shared" si="112"/>
        <v>1</v>
      </c>
      <c r="G156" s="43">
        <f t="shared" si="112"/>
        <v>1</v>
      </c>
      <c r="H156" s="43">
        <f t="shared" si="112"/>
        <v>1</v>
      </c>
      <c r="I156" s="43">
        <f t="shared" si="112"/>
        <v>1</v>
      </c>
      <c r="J156" s="43">
        <f t="shared" si="112"/>
        <v>1</v>
      </c>
      <c r="K156" s="43" t="e">
        <f>K155+ATM_Conf!$C$5*(T155-AC155)</f>
        <v>#DIV/0!</v>
      </c>
      <c r="L156" s="43" t="e">
        <f>L155+ATM_Conf!$C$5*(U155-AD155)</f>
        <v>#DIV/0!</v>
      </c>
      <c r="M156" s="43" t="e">
        <f>M155+ATM_Conf!$C$5*(V155-AE155)</f>
        <v>#DIV/0!</v>
      </c>
      <c r="N156" s="43" t="e">
        <f>N155+ATM_Conf!$C$5*(W155-AF155)</f>
        <v>#DIV/0!</v>
      </c>
      <c r="O156" s="43" t="e">
        <f>O155+ATM_Conf!$C$5*(X155-AG155)</f>
        <v>#DIV/0!</v>
      </c>
      <c r="P156" s="43" t="e">
        <f>P155+ATM_Conf!$C$5*(Y155-AH155)</f>
        <v>#DIV/0!</v>
      </c>
      <c r="Q156" s="43" t="e">
        <f>Q155+ATM_Conf!$C$5*(Z155-AI155)</f>
        <v>#DIV/0!</v>
      </c>
      <c r="R156" s="43" t="e">
        <f>R155+ATM_Conf!$C$5*(AA155-AJ155)</f>
        <v>#DIV/0!</v>
      </c>
      <c r="S156" s="43" t="e">
        <f>S155+ATM_Conf!$C$5*(AB155-AK155)</f>
        <v>#DIV/0!</v>
      </c>
      <c r="T156" s="43">
        <f t="shared" si="87"/>
        <v>0</v>
      </c>
      <c r="U156" s="43">
        <f t="shared" si="87"/>
        <v>0</v>
      </c>
      <c r="V156" s="43">
        <f t="shared" si="87"/>
        <v>0</v>
      </c>
      <c r="W156" s="43">
        <f t="shared" si="87"/>
        <v>0</v>
      </c>
      <c r="X156" s="43">
        <f t="shared" si="87"/>
        <v>0</v>
      </c>
      <c r="Y156" s="43">
        <f t="shared" si="87"/>
        <v>0</v>
      </c>
      <c r="Z156" s="43">
        <f t="shared" si="87"/>
        <v>0</v>
      </c>
      <c r="AA156" s="43">
        <f t="shared" si="87"/>
        <v>0</v>
      </c>
      <c r="AB156" s="43">
        <f t="shared" si="87"/>
        <v>0</v>
      </c>
      <c r="AC156" s="43" t="e">
        <f t="shared" si="90"/>
        <v>#DIV/0!</v>
      </c>
      <c r="AD156" s="43" t="e">
        <f t="shared" si="91"/>
        <v>#DIV/0!</v>
      </c>
      <c r="AE156" s="43" t="e">
        <f t="shared" si="92"/>
        <v>#DIV/0!</v>
      </c>
      <c r="AF156" s="43" t="e">
        <f t="shared" si="93"/>
        <v>#DIV/0!</v>
      </c>
      <c r="AG156" s="43" t="e">
        <f t="shared" si="94"/>
        <v>#DIV/0!</v>
      </c>
      <c r="AH156" s="43" t="e">
        <f t="shared" si="95"/>
        <v>#DIV/0!</v>
      </c>
      <c r="AI156" s="43" t="e">
        <f t="shared" si="96"/>
        <v>#DIV/0!</v>
      </c>
      <c r="AJ156" s="43" t="e">
        <f t="shared" si="97"/>
        <v>#DIV/0!</v>
      </c>
      <c r="AK156" s="43" t="e">
        <f t="shared" si="98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88"/>
        <v>0</v>
      </c>
      <c r="BE156" s="43">
        <f t="shared" si="88"/>
        <v>0</v>
      </c>
      <c r="BF156" s="43">
        <f t="shared" si="88"/>
        <v>0</v>
      </c>
      <c r="BG156" s="43">
        <f t="shared" si="88"/>
        <v>0</v>
      </c>
      <c r="BH156" s="43">
        <f t="shared" si="88"/>
        <v>0</v>
      </c>
      <c r="BI156" s="43">
        <f t="shared" si="88"/>
        <v>0</v>
      </c>
      <c r="BJ156" s="43">
        <f t="shared" si="88"/>
        <v>0</v>
      </c>
      <c r="BK156" s="43">
        <f t="shared" si="88"/>
        <v>0</v>
      </c>
      <c r="BL156" s="43">
        <f t="shared" si="88"/>
        <v>0</v>
      </c>
      <c r="BM156" s="51"/>
      <c r="BN156" s="51"/>
      <c r="BO156" s="51"/>
      <c r="BP156" s="51"/>
      <c r="BQ156" s="51"/>
      <c r="BR156" s="51"/>
      <c r="BS156" s="51"/>
      <c r="BT156" s="51"/>
      <c r="BU156" s="51"/>
      <c r="BV156" s="51" t="e">
        <f t="shared" si="99"/>
        <v>#DIV/0!</v>
      </c>
      <c r="BW156" s="51" t="e">
        <f t="shared" si="100"/>
        <v>#DIV/0!</v>
      </c>
      <c r="BX156" s="51" t="e">
        <f t="shared" si="101"/>
        <v>#DIV/0!</v>
      </c>
      <c r="BY156" s="51" t="e">
        <f t="shared" si="102"/>
        <v>#DIV/0!</v>
      </c>
      <c r="BZ156" s="51" t="e">
        <f t="shared" si="103"/>
        <v>#DIV/0!</v>
      </c>
      <c r="CA156" s="51" t="e">
        <f t="shared" si="104"/>
        <v>#DIV/0!</v>
      </c>
      <c r="CB156" s="51" t="e">
        <f t="shared" si="105"/>
        <v>#DIV/0!</v>
      </c>
      <c r="CC156" s="51" t="e">
        <f t="shared" si="106"/>
        <v>#DIV/0!</v>
      </c>
      <c r="CD156" s="51" t="e">
        <f t="shared" si="107"/>
        <v>#DIV/0!</v>
      </c>
      <c r="CE156" s="53">
        <f t="shared" si="89"/>
        <v>0</v>
      </c>
      <c r="CF156" s="53">
        <f t="shared" si="89"/>
        <v>0</v>
      </c>
      <c r="CG156" s="53">
        <f t="shared" si="89"/>
        <v>0</v>
      </c>
      <c r="CH156" s="53">
        <f t="shared" si="89"/>
        <v>0</v>
      </c>
      <c r="CI156" s="53">
        <f t="shared" si="89"/>
        <v>0</v>
      </c>
      <c r="CJ156" s="53">
        <f t="shared" si="89"/>
        <v>0</v>
      </c>
      <c r="CK156" s="53">
        <f t="shared" si="89"/>
        <v>0</v>
      </c>
      <c r="CL156" s="53">
        <f t="shared" si="89"/>
        <v>0</v>
      </c>
      <c r="CM156" s="53">
        <f t="shared" si="89"/>
        <v>0</v>
      </c>
    </row>
    <row r="157" spans="1:91" x14ac:dyDescent="0.15">
      <c r="A157" s="41">
        <v>155</v>
      </c>
      <c r="B157" s="43">
        <f t="shared" si="113"/>
        <v>1</v>
      </c>
      <c r="C157" s="43">
        <f t="shared" si="112"/>
        <v>1</v>
      </c>
      <c r="D157" s="43">
        <f t="shared" si="112"/>
        <v>1</v>
      </c>
      <c r="E157" s="43">
        <f t="shared" si="112"/>
        <v>1</v>
      </c>
      <c r="F157" s="43">
        <f t="shared" si="112"/>
        <v>1</v>
      </c>
      <c r="G157" s="43">
        <f t="shared" si="112"/>
        <v>1</v>
      </c>
      <c r="H157" s="43">
        <f t="shared" si="112"/>
        <v>1</v>
      </c>
      <c r="I157" s="43">
        <f t="shared" si="112"/>
        <v>1</v>
      </c>
      <c r="J157" s="43">
        <f t="shared" si="112"/>
        <v>1</v>
      </c>
      <c r="K157" s="43" t="e">
        <f>K156+ATM_Conf!$C$5*(T156-AC156)</f>
        <v>#DIV/0!</v>
      </c>
      <c r="L157" s="43" t="e">
        <f>L156+ATM_Conf!$C$5*(U156-AD156)</f>
        <v>#DIV/0!</v>
      </c>
      <c r="M157" s="43" t="e">
        <f>M156+ATM_Conf!$C$5*(V156-AE156)</f>
        <v>#DIV/0!</v>
      </c>
      <c r="N157" s="43" t="e">
        <f>N156+ATM_Conf!$C$5*(W156-AF156)</f>
        <v>#DIV/0!</v>
      </c>
      <c r="O157" s="43" t="e">
        <f>O156+ATM_Conf!$C$5*(X156-AG156)</f>
        <v>#DIV/0!</v>
      </c>
      <c r="P157" s="43" t="e">
        <f>P156+ATM_Conf!$C$5*(Y156-AH156)</f>
        <v>#DIV/0!</v>
      </c>
      <c r="Q157" s="43" t="e">
        <f>Q156+ATM_Conf!$C$5*(Z156-AI156)</f>
        <v>#DIV/0!</v>
      </c>
      <c r="R157" s="43" t="e">
        <f>R156+ATM_Conf!$C$5*(AA156-AJ156)</f>
        <v>#DIV/0!</v>
      </c>
      <c r="S157" s="43" t="e">
        <f>S156+ATM_Conf!$C$5*(AB156-AK156)</f>
        <v>#DIV/0!</v>
      </c>
      <c r="T157" s="43">
        <f t="shared" si="87"/>
        <v>0</v>
      </c>
      <c r="U157" s="43">
        <f t="shared" si="87"/>
        <v>0</v>
      </c>
      <c r="V157" s="43">
        <f t="shared" si="87"/>
        <v>0</v>
      </c>
      <c r="W157" s="43">
        <f t="shared" si="87"/>
        <v>0</v>
      </c>
      <c r="X157" s="43">
        <f t="shared" si="87"/>
        <v>0</v>
      </c>
      <c r="Y157" s="43">
        <f t="shared" si="87"/>
        <v>0</v>
      </c>
      <c r="Z157" s="43">
        <f t="shared" si="87"/>
        <v>0</v>
      </c>
      <c r="AA157" s="43">
        <f t="shared" si="87"/>
        <v>0</v>
      </c>
      <c r="AB157" s="43">
        <f t="shared" si="87"/>
        <v>0</v>
      </c>
      <c r="AC157" s="43" t="e">
        <f t="shared" si="90"/>
        <v>#DIV/0!</v>
      </c>
      <c r="AD157" s="43" t="e">
        <f t="shared" si="91"/>
        <v>#DIV/0!</v>
      </c>
      <c r="AE157" s="43" t="e">
        <f t="shared" si="92"/>
        <v>#DIV/0!</v>
      </c>
      <c r="AF157" s="43" t="e">
        <f t="shared" si="93"/>
        <v>#DIV/0!</v>
      </c>
      <c r="AG157" s="43" t="e">
        <f t="shared" si="94"/>
        <v>#DIV/0!</v>
      </c>
      <c r="AH157" s="43" t="e">
        <f t="shared" si="95"/>
        <v>#DIV/0!</v>
      </c>
      <c r="AI157" s="43" t="e">
        <f t="shared" si="96"/>
        <v>#DIV/0!</v>
      </c>
      <c r="AJ157" s="43" t="e">
        <f t="shared" si="97"/>
        <v>#DIV/0!</v>
      </c>
      <c r="AK157" s="43" t="e">
        <f t="shared" si="98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88"/>
        <v>0</v>
      </c>
      <c r="BE157" s="43">
        <f t="shared" si="88"/>
        <v>0</v>
      </c>
      <c r="BF157" s="43">
        <f t="shared" si="88"/>
        <v>0</v>
      </c>
      <c r="BG157" s="43">
        <f t="shared" si="88"/>
        <v>0</v>
      </c>
      <c r="BH157" s="43">
        <f t="shared" si="88"/>
        <v>0</v>
      </c>
      <c r="BI157" s="43">
        <f t="shared" si="88"/>
        <v>0</v>
      </c>
      <c r="BJ157" s="43">
        <f t="shared" si="88"/>
        <v>0</v>
      </c>
      <c r="BK157" s="43">
        <f t="shared" si="88"/>
        <v>0</v>
      </c>
      <c r="BL157" s="43">
        <f t="shared" si="88"/>
        <v>0</v>
      </c>
      <c r="BM157" s="51"/>
      <c r="BN157" s="51"/>
      <c r="BO157" s="51"/>
      <c r="BP157" s="51"/>
      <c r="BQ157" s="51"/>
      <c r="BR157" s="51"/>
      <c r="BS157" s="51"/>
      <c r="BT157" s="51"/>
      <c r="BU157" s="51"/>
      <c r="BV157" s="51" t="e">
        <f t="shared" si="99"/>
        <v>#DIV/0!</v>
      </c>
      <c r="BW157" s="51" t="e">
        <f t="shared" si="100"/>
        <v>#DIV/0!</v>
      </c>
      <c r="BX157" s="51" t="e">
        <f t="shared" si="101"/>
        <v>#DIV/0!</v>
      </c>
      <c r="BY157" s="51" t="e">
        <f t="shared" si="102"/>
        <v>#DIV/0!</v>
      </c>
      <c r="BZ157" s="51" t="e">
        <f t="shared" si="103"/>
        <v>#DIV/0!</v>
      </c>
      <c r="CA157" s="51" t="e">
        <f t="shared" si="104"/>
        <v>#DIV/0!</v>
      </c>
      <c r="CB157" s="51" t="e">
        <f t="shared" si="105"/>
        <v>#DIV/0!</v>
      </c>
      <c r="CC157" s="51" t="e">
        <f t="shared" si="106"/>
        <v>#DIV/0!</v>
      </c>
      <c r="CD157" s="51" t="e">
        <f t="shared" si="107"/>
        <v>#DIV/0!</v>
      </c>
      <c r="CE157" s="53">
        <f t="shared" si="89"/>
        <v>0</v>
      </c>
      <c r="CF157" s="53">
        <f t="shared" si="89"/>
        <v>0</v>
      </c>
      <c r="CG157" s="53">
        <f t="shared" si="89"/>
        <v>0</v>
      </c>
      <c r="CH157" s="53">
        <f t="shared" si="89"/>
        <v>0</v>
      </c>
      <c r="CI157" s="53">
        <f t="shared" si="89"/>
        <v>0</v>
      </c>
      <c r="CJ157" s="53">
        <f t="shared" si="89"/>
        <v>0</v>
      </c>
      <c r="CK157" s="53">
        <f t="shared" si="89"/>
        <v>0</v>
      </c>
      <c r="CL157" s="53">
        <f t="shared" si="89"/>
        <v>0</v>
      </c>
      <c r="CM157" s="53">
        <f t="shared" si="89"/>
        <v>0</v>
      </c>
    </row>
    <row r="158" spans="1:91" x14ac:dyDescent="0.15">
      <c r="A158" s="41">
        <v>156</v>
      </c>
      <c r="B158" s="43">
        <f t="shared" si="113"/>
        <v>1</v>
      </c>
      <c r="C158" s="43">
        <f t="shared" si="112"/>
        <v>1</v>
      </c>
      <c r="D158" s="43">
        <f t="shared" si="112"/>
        <v>1</v>
      </c>
      <c r="E158" s="43">
        <f t="shared" si="112"/>
        <v>1</v>
      </c>
      <c r="F158" s="43">
        <f t="shared" si="112"/>
        <v>1</v>
      </c>
      <c r="G158" s="43">
        <f t="shared" si="112"/>
        <v>1</v>
      </c>
      <c r="H158" s="43">
        <f t="shared" si="112"/>
        <v>1</v>
      </c>
      <c r="I158" s="43">
        <f t="shared" si="112"/>
        <v>1</v>
      </c>
      <c r="J158" s="43">
        <f t="shared" si="112"/>
        <v>1</v>
      </c>
      <c r="K158" s="43" t="e">
        <f>K157+ATM_Conf!$C$5*(T157-AC157)</f>
        <v>#DIV/0!</v>
      </c>
      <c r="L158" s="43" t="e">
        <f>L157+ATM_Conf!$C$5*(U157-AD157)</f>
        <v>#DIV/0!</v>
      </c>
      <c r="M158" s="43" t="e">
        <f>M157+ATM_Conf!$C$5*(V157-AE157)</f>
        <v>#DIV/0!</v>
      </c>
      <c r="N158" s="43" t="e">
        <f>N157+ATM_Conf!$C$5*(W157-AF157)</f>
        <v>#DIV/0!</v>
      </c>
      <c r="O158" s="43" t="e">
        <f>O157+ATM_Conf!$C$5*(X157-AG157)</f>
        <v>#DIV/0!</v>
      </c>
      <c r="P158" s="43" t="e">
        <f>P157+ATM_Conf!$C$5*(Y157-AH157)</f>
        <v>#DIV/0!</v>
      </c>
      <c r="Q158" s="43" t="e">
        <f>Q157+ATM_Conf!$C$5*(Z157-AI157)</f>
        <v>#DIV/0!</v>
      </c>
      <c r="R158" s="43" t="e">
        <f>R157+ATM_Conf!$C$5*(AA157-AJ157)</f>
        <v>#DIV/0!</v>
      </c>
      <c r="S158" s="43" t="e">
        <f>S157+ATM_Conf!$C$5*(AB157-AK157)</f>
        <v>#DIV/0!</v>
      </c>
      <c r="T158" s="43">
        <f t="shared" si="87"/>
        <v>0</v>
      </c>
      <c r="U158" s="43">
        <f t="shared" si="87"/>
        <v>0</v>
      </c>
      <c r="V158" s="43">
        <f t="shared" si="87"/>
        <v>0</v>
      </c>
      <c r="W158" s="43">
        <f t="shared" ref="U158:AB182" si="114">W$3</f>
        <v>0</v>
      </c>
      <c r="X158" s="43">
        <f t="shared" si="114"/>
        <v>0</v>
      </c>
      <c r="Y158" s="43">
        <f t="shared" si="114"/>
        <v>0</v>
      </c>
      <c r="Z158" s="43">
        <f t="shared" si="114"/>
        <v>0</v>
      </c>
      <c r="AA158" s="43">
        <f t="shared" si="114"/>
        <v>0</v>
      </c>
      <c r="AB158" s="43">
        <f t="shared" si="114"/>
        <v>0</v>
      </c>
      <c r="AC158" s="43" t="e">
        <f t="shared" si="90"/>
        <v>#DIV/0!</v>
      </c>
      <c r="AD158" s="43" t="e">
        <f t="shared" si="91"/>
        <v>#DIV/0!</v>
      </c>
      <c r="AE158" s="43" t="e">
        <f t="shared" si="92"/>
        <v>#DIV/0!</v>
      </c>
      <c r="AF158" s="43" t="e">
        <f t="shared" si="93"/>
        <v>#DIV/0!</v>
      </c>
      <c r="AG158" s="43" t="e">
        <f t="shared" si="94"/>
        <v>#DIV/0!</v>
      </c>
      <c r="AH158" s="43" t="e">
        <f t="shared" si="95"/>
        <v>#DIV/0!</v>
      </c>
      <c r="AI158" s="43" t="e">
        <f t="shared" si="96"/>
        <v>#DIV/0!</v>
      </c>
      <c r="AJ158" s="43" t="e">
        <f t="shared" si="97"/>
        <v>#DIV/0!</v>
      </c>
      <c r="AK158" s="43" t="e">
        <f t="shared" si="98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88"/>
        <v>0</v>
      </c>
      <c r="BE158" s="43">
        <f t="shared" si="88"/>
        <v>0</v>
      </c>
      <c r="BF158" s="43">
        <f t="shared" si="88"/>
        <v>0</v>
      </c>
      <c r="BG158" s="43">
        <f t="shared" ref="BE158:BL182" si="115">BG$3</f>
        <v>0</v>
      </c>
      <c r="BH158" s="43">
        <f t="shared" si="115"/>
        <v>0</v>
      </c>
      <c r="BI158" s="43">
        <f t="shared" si="115"/>
        <v>0</v>
      </c>
      <c r="BJ158" s="43">
        <f t="shared" si="115"/>
        <v>0</v>
      </c>
      <c r="BK158" s="43">
        <f t="shared" si="115"/>
        <v>0</v>
      </c>
      <c r="BL158" s="43">
        <f t="shared" si="115"/>
        <v>0</v>
      </c>
      <c r="BM158" s="51"/>
      <c r="BN158" s="51"/>
      <c r="BO158" s="51"/>
      <c r="BP158" s="51"/>
      <c r="BQ158" s="51"/>
      <c r="BR158" s="51"/>
      <c r="BS158" s="51"/>
      <c r="BT158" s="51"/>
      <c r="BU158" s="51"/>
      <c r="BV158" s="51" t="e">
        <f t="shared" si="99"/>
        <v>#DIV/0!</v>
      </c>
      <c r="BW158" s="51" t="e">
        <f t="shared" si="100"/>
        <v>#DIV/0!</v>
      </c>
      <c r="BX158" s="51" t="e">
        <f t="shared" si="101"/>
        <v>#DIV/0!</v>
      </c>
      <c r="BY158" s="51" t="e">
        <f t="shared" si="102"/>
        <v>#DIV/0!</v>
      </c>
      <c r="BZ158" s="51" t="e">
        <f t="shared" si="103"/>
        <v>#DIV/0!</v>
      </c>
      <c r="CA158" s="51" t="e">
        <f t="shared" si="104"/>
        <v>#DIV/0!</v>
      </c>
      <c r="CB158" s="51" t="e">
        <f t="shared" si="105"/>
        <v>#DIV/0!</v>
      </c>
      <c r="CC158" s="51" t="e">
        <f t="shared" si="106"/>
        <v>#DIV/0!</v>
      </c>
      <c r="CD158" s="51" t="e">
        <f t="shared" si="107"/>
        <v>#DIV/0!</v>
      </c>
      <c r="CE158" s="53">
        <f t="shared" si="89"/>
        <v>0</v>
      </c>
      <c r="CF158" s="53">
        <f t="shared" si="89"/>
        <v>0</v>
      </c>
      <c r="CG158" s="53">
        <f t="shared" si="89"/>
        <v>0</v>
      </c>
      <c r="CH158" s="53">
        <f t="shared" ref="CF158:CM181" si="116">CH$3</f>
        <v>0</v>
      </c>
      <c r="CI158" s="53">
        <f t="shared" si="116"/>
        <v>0</v>
      </c>
      <c r="CJ158" s="53">
        <f t="shared" si="116"/>
        <v>0</v>
      </c>
      <c r="CK158" s="53">
        <f t="shared" si="116"/>
        <v>0</v>
      </c>
      <c r="CL158" s="53">
        <f t="shared" si="116"/>
        <v>0</v>
      </c>
      <c r="CM158" s="53">
        <f t="shared" si="116"/>
        <v>0</v>
      </c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 t="e">
        <f>K158+ATM_Conf!$C$5*(T158-AC158)</f>
        <v>#DIV/0!</v>
      </c>
      <c r="L159" s="43" t="e">
        <f>L158+ATM_Conf!$C$5*(U158-AD158)</f>
        <v>#DIV/0!</v>
      </c>
      <c r="M159" s="43" t="e">
        <f>M158+ATM_Conf!$C$5*(V158-AE158)</f>
        <v>#DIV/0!</v>
      </c>
      <c r="N159" s="43" t="e">
        <f>N158+ATM_Conf!$C$5*(W158-AF158)</f>
        <v>#DIV/0!</v>
      </c>
      <c r="O159" s="43" t="e">
        <f>O158+ATM_Conf!$C$5*(X158-AG158)</f>
        <v>#DIV/0!</v>
      </c>
      <c r="P159" s="43" t="e">
        <f>P158+ATM_Conf!$C$5*(Y158-AH158)</f>
        <v>#DIV/0!</v>
      </c>
      <c r="Q159" s="43" t="e">
        <f>Q158+ATM_Conf!$C$5*(Z158-AI158)</f>
        <v>#DIV/0!</v>
      </c>
      <c r="R159" s="43" t="e">
        <f>R158+ATM_Conf!$C$5*(AA158-AJ158)</f>
        <v>#DIV/0!</v>
      </c>
      <c r="S159" s="43" t="e">
        <f>S158+ATM_Conf!$C$5*(AB158-AK158)</f>
        <v>#DIV/0!</v>
      </c>
      <c r="T159" s="43">
        <f t="shared" ref="T159:T182" si="117">T$3</f>
        <v>0</v>
      </c>
      <c r="U159" s="43">
        <f t="shared" si="114"/>
        <v>0</v>
      </c>
      <c r="V159" s="43">
        <f t="shared" si="114"/>
        <v>0</v>
      </c>
      <c r="W159" s="43">
        <f t="shared" si="114"/>
        <v>0</v>
      </c>
      <c r="X159" s="43">
        <f t="shared" si="114"/>
        <v>0</v>
      </c>
      <c r="Y159" s="43">
        <f t="shared" si="114"/>
        <v>0</v>
      </c>
      <c r="Z159" s="43">
        <f t="shared" si="114"/>
        <v>0</v>
      </c>
      <c r="AA159" s="43">
        <f t="shared" si="114"/>
        <v>0</v>
      </c>
      <c r="AB159" s="43">
        <f t="shared" si="114"/>
        <v>0</v>
      </c>
      <c r="AC159" s="43" t="e">
        <f t="shared" si="90"/>
        <v>#DIV/0!</v>
      </c>
      <c r="AD159" s="43" t="e">
        <f t="shared" si="91"/>
        <v>#DIV/0!</v>
      </c>
      <c r="AE159" s="43" t="e">
        <f t="shared" si="92"/>
        <v>#DIV/0!</v>
      </c>
      <c r="AF159" s="43" t="e">
        <f t="shared" si="93"/>
        <v>#DIV/0!</v>
      </c>
      <c r="AG159" s="43" t="e">
        <f t="shared" si="94"/>
        <v>#DIV/0!</v>
      </c>
      <c r="AH159" s="43" t="e">
        <f t="shared" si="95"/>
        <v>#DIV/0!</v>
      </c>
      <c r="AI159" s="43" t="e">
        <f t="shared" si="96"/>
        <v>#DIV/0!</v>
      </c>
      <c r="AJ159" s="43" t="e">
        <f t="shared" si="97"/>
        <v>#DIV/0!</v>
      </c>
      <c r="AK159" s="43" t="e">
        <f t="shared" si="98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118">BD$3</f>
        <v>0</v>
      </c>
      <c r="BE159" s="43">
        <f t="shared" si="115"/>
        <v>0</v>
      </c>
      <c r="BF159" s="43">
        <f t="shared" si="115"/>
        <v>0</v>
      </c>
      <c r="BG159" s="43">
        <f t="shared" si="115"/>
        <v>0</v>
      </c>
      <c r="BH159" s="43">
        <f t="shared" si="115"/>
        <v>0</v>
      </c>
      <c r="BI159" s="43">
        <f t="shared" si="115"/>
        <v>0</v>
      </c>
      <c r="BJ159" s="43">
        <f t="shared" si="115"/>
        <v>0</v>
      </c>
      <c r="BK159" s="43">
        <f t="shared" si="115"/>
        <v>0</v>
      </c>
      <c r="BL159" s="43">
        <f t="shared" si="115"/>
        <v>0</v>
      </c>
      <c r="BM159" s="51">
        <f>(B159-B147)^2</f>
        <v>0</v>
      </c>
      <c r="BN159" s="51">
        <f t="shared" ref="BN159:BU159" si="119">(C159-C147)^2</f>
        <v>0</v>
      </c>
      <c r="BO159" s="51">
        <f t="shared" si="119"/>
        <v>0</v>
      </c>
      <c r="BP159" s="51">
        <f t="shared" si="119"/>
        <v>0</v>
      </c>
      <c r="BQ159" s="51">
        <f t="shared" si="119"/>
        <v>0</v>
      </c>
      <c r="BR159" s="51">
        <f t="shared" si="119"/>
        <v>0</v>
      </c>
      <c r="BS159" s="51">
        <f t="shared" si="119"/>
        <v>0</v>
      </c>
      <c r="BT159" s="51">
        <f t="shared" si="119"/>
        <v>0</v>
      </c>
      <c r="BU159" s="51">
        <f t="shared" si="119"/>
        <v>0</v>
      </c>
      <c r="BV159" s="51" t="e">
        <f t="shared" si="99"/>
        <v>#DIV/0!</v>
      </c>
      <c r="BW159" s="51" t="e">
        <f t="shared" si="100"/>
        <v>#DIV/0!</v>
      </c>
      <c r="BX159" s="51" t="e">
        <f t="shared" si="101"/>
        <v>#DIV/0!</v>
      </c>
      <c r="BY159" s="51" t="e">
        <f t="shared" si="102"/>
        <v>#DIV/0!</v>
      </c>
      <c r="BZ159" s="51" t="e">
        <f t="shared" si="103"/>
        <v>#DIV/0!</v>
      </c>
      <c r="CA159" s="51" t="e">
        <f t="shared" si="104"/>
        <v>#DIV/0!</v>
      </c>
      <c r="CB159" s="51" t="e">
        <f t="shared" si="105"/>
        <v>#DIV/0!</v>
      </c>
      <c r="CC159" s="51" t="e">
        <f t="shared" si="106"/>
        <v>#DIV/0!</v>
      </c>
      <c r="CD159" s="51" t="e">
        <f t="shared" si="107"/>
        <v>#DIV/0!</v>
      </c>
      <c r="CE159" s="53">
        <f t="shared" ref="CE159:CE181" si="120">CE$3</f>
        <v>0</v>
      </c>
      <c r="CF159" s="53">
        <f t="shared" si="116"/>
        <v>0</v>
      </c>
      <c r="CG159" s="53">
        <f t="shared" si="116"/>
        <v>0</v>
      </c>
      <c r="CH159" s="53">
        <f t="shared" si="116"/>
        <v>0</v>
      </c>
      <c r="CI159" s="53">
        <f t="shared" si="116"/>
        <v>0</v>
      </c>
      <c r="CJ159" s="53">
        <f t="shared" si="116"/>
        <v>0</v>
      </c>
      <c r="CK159" s="53">
        <f t="shared" si="116"/>
        <v>0</v>
      </c>
      <c r="CL159" s="53">
        <f t="shared" si="116"/>
        <v>0</v>
      </c>
      <c r="CM159" s="53">
        <f t="shared" si="116"/>
        <v>0</v>
      </c>
    </row>
    <row r="160" spans="1:91" x14ac:dyDescent="0.15">
      <c r="A160" s="41">
        <v>158</v>
      </c>
      <c r="B160" s="43">
        <f>B$159</f>
        <v>1</v>
      </c>
      <c r="C160" s="43">
        <f t="shared" ref="C160:J170" si="121">C$159</f>
        <v>1</v>
      </c>
      <c r="D160" s="43">
        <f t="shared" si="121"/>
        <v>1</v>
      </c>
      <c r="E160" s="43">
        <f t="shared" si="121"/>
        <v>1</v>
      </c>
      <c r="F160" s="43">
        <f t="shared" si="121"/>
        <v>1</v>
      </c>
      <c r="G160" s="43">
        <f t="shared" si="121"/>
        <v>1</v>
      </c>
      <c r="H160" s="43">
        <f t="shared" si="121"/>
        <v>1</v>
      </c>
      <c r="I160" s="43">
        <f t="shared" si="121"/>
        <v>1</v>
      </c>
      <c r="J160" s="43">
        <f t="shared" si="121"/>
        <v>1</v>
      </c>
      <c r="K160" s="43" t="e">
        <f>K159+ATM_Conf!$C$5*(T159-AC159)</f>
        <v>#DIV/0!</v>
      </c>
      <c r="L160" s="43" t="e">
        <f>L159+ATM_Conf!$C$5*(U159-AD159)</f>
        <v>#DIV/0!</v>
      </c>
      <c r="M160" s="43" t="e">
        <f>M159+ATM_Conf!$C$5*(V159-AE159)</f>
        <v>#DIV/0!</v>
      </c>
      <c r="N160" s="43" t="e">
        <f>N159+ATM_Conf!$C$5*(W159-AF159)</f>
        <v>#DIV/0!</v>
      </c>
      <c r="O160" s="43" t="e">
        <f>O159+ATM_Conf!$C$5*(X159-AG159)</f>
        <v>#DIV/0!</v>
      </c>
      <c r="P160" s="43" t="e">
        <f>P159+ATM_Conf!$C$5*(Y159-AH159)</f>
        <v>#DIV/0!</v>
      </c>
      <c r="Q160" s="43" t="e">
        <f>Q159+ATM_Conf!$C$5*(Z159-AI159)</f>
        <v>#DIV/0!</v>
      </c>
      <c r="R160" s="43" t="e">
        <f>R159+ATM_Conf!$C$5*(AA159-AJ159)</f>
        <v>#DIV/0!</v>
      </c>
      <c r="S160" s="43" t="e">
        <f>S159+ATM_Conf!$C$5*(AB159-AK159)</f>
        <v>#DIV/0!</v>
      </c>
      <c r="T160" s="43">
        <f t="shared" si="117"/>
        <v>0</v>
      </c>
      <c r="U160" s="43">
        <f t="shared" si="114"/>
        <v>0</v>
      </c>
      <c r="V160" s="43">
        <f t="shared" si="114"/>
        <v>0</v>
      </c>
      <c r="W160" s="43">
        <f t="shared" si="114"/>
        <v>0</v>
      </c>
      <c r="X160" s="43">
        <f t="shared" si="114"/>
        <v>0</v>
      </c>
      <c r="Y160" s="43">
        <f t="shared" si="114"/>
        <v>0</v>
      </c>
      <c r="Z160" s="43">
        <f t="shared" si="114"/>
        <v>0</v>
      </c>
      <c r="AA160" s="43">
        <f t="shared" si="114"/>
        <v>0</v>
      </c>
      <c r="AB160" s="43">
        <f t="shared" si="114"/>
        <v>0</v>
      </c>
      <c r="AC160" s="43" t="e">
        <f t="shared" si="90"/>
        <v>#DIV/0!</v>
      </c>
      <c r="AD160" s="43" t="e">
        <f t="shared" si="91"/>
        <v>#DIV/0!</v>
      </c>
      <c r="AE160" s="43" t="e">
        <f t="shared" si="92"/>
        <v>#DIV/0!</v>
      </c>
      <c r="AF160" s="43" t="e">
        <f t="shared" si="93"/>
        <v>#DIV/0!</v>
      </c>
      <c r="AG160" s="43" t="e">
        <f t="shared" si="94"/>
        <v>#DIV/0!</v>
      </c>
      <c r="AH160" s="43" t="e">
        <f t="shared" si="95"/>
        <v>#DIV/0!</v>
      </c>
      <c r="AI160" s="43" t="e">
        <f t="shared" si="96"/>
        <v>#DIV/0!</v>
      </c>
      <c r="AJ160" s="43" t="e">
        <f t="shared" si="97"/>
        <v>#DIV/0!</v>
      </c>
      <c r="AK160" s="43" t="e">
        <f t="shared" si="98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118"/>
        <v>0</v>
      </c>
      <c r="BE160" s="43">
        <f t="shared" si="115"/>
        <v>0</v>
      </c>
      <c r="BF160" s="43">
        <f t="shared" si="115"/>
        <v>0</v>
      </c>
      <c r="BG160" s="43">
        <f t="shared" si="115"/>
        <v>0</v>
      </c>
      <c r="BH160" s="43">
        <f t="shared" si="115"/>
        <v>0</v>
      </c>
      <c r="BI160" s="43">
        <f t="shared" si="115"/>
        <v>0</v>
      </c>
      <c r="BJ160" s="43">
        <f t="shared" si="115"/>
        <v>0</v>
      </c>
      <c r="BK160" s="43">
        <f t="shared" si="115"/>
        <v>0</v>
      </c>
      <c r="BL160" s="43">
        <f t="shared" si="115"/>
        <v>0</v>
      </c>
      <c r="BM160" s="51"/>
      <c r="BN160" s="51"/>
      <c r="BO160" s="51"/>
      <c r="BP160" s="51"/>
      <c r="BQ160" s="51"/>
      <c r="BR160" s="51"/>
      <c r="BS160" s="51"/>
      <c r="BT160" s="51"/>
      <c r="BU160" s="51"/>
      <c r="BV160" s="51" t="e">
        <f t="shared" si="99"/>
        <v>#DIV/0!</v>
      </c>
      <c r="BW160" s="51" t="e">
        <f t="shared" si="100"/>
        <v>#DIV/0!</v>
      </c>
      <c r="BX160" s="51" t="e">
        <f t="shared" si="101"/>
        <v>#DIV/0!</v>
      </c>
      <c r="BY160" s="51" t="e">
        <f t="shared" si="102"/>
        <v>#DIV/0!</v>
      </c>
      <c r="BZ160" s="51" t="e">
        <f t="shared" si="103"/>
        <v>#DIV/0!</v>
      </c>
      <c r="CA160" s="51" t="e">
        <f t="shared" si="104"/>
        <v>#DIV/0!</v>
      </c>
      <c r="CB160" s="51" t="e">
        <f t="shared" si="105"/>
        <v>#DIV/0!</v>
      </c>
      <c r="CC160" s="51" t="e">
        <f t="shared" si="106"/>
        <v>#DIV/0!</v>
      </c>
      <c r="CD160" s="51" t="e">
        <f t="shared" si="107"/>
        <v>#DIV/0!</v>
      </c>
      <c r="CE160" s="53">
        <f t="shared" si="120"/>
        <v>0</v>
      </c>
      <c r="CF160" s="53">
        <f t="shared" si="116"/>
        <v>0</v>
      </c>
      <c r="CG160" s="53">
        <f t="shared" si="116"/>
        <v>0</v>
      </c>
      <c r="CH160" s="53">
        <f t="shared" si="116"/>
        <v>0</v>
      </c>
      <c r="CI160" s="53">
        <f t="shared" si="116"/>
        <v>0</v>
      </c>
      <c r="CJ160" s="53">
        <f t="shared" si="116"/>
        <v>0</v>
      </c>
      <c r="CK160" s="53">
        <f t="shared" si="116"/>
        <v>0</v>
      </c>
      <c r="CL160" s="53">
        <f t="shared" si="116"/>
        <v>0</v>
      </c>
      <c r="CM160" s="53">
        <f t="shared" si="116"/>
        <v>0</v>
      </c>
    </row>
    <row r="161" spans="1:91" x14ac:dyDescent="0.15">
      <c r="A161" s="41">
        <v>159</v>
      </c>
      <c r="B161" s="43">
        <f t="shared" ref="B161:B170" si="122">B$159</f>
        <v>1</v>
      </c>
      <c r="C161" s="43">
        <f t="shared" si="121"/>
        <v>1</v>
      </c>
      <c r="D161" s="43">
        <f t="shared" si="121"/>
        <v>1</v>
      </c>
      <c r="E161" s="43">
        <f t="shared" si="121"/>
        <v>1</v>
      </c>
      <c r="F161" s="43">
        <f t="shared" si="121"/>
        <v>1</v>
      </c>
      <c r="G161" s="43">
        <f t="shared" si="121"/>
        <v>1</v>
      </c>
      <c r="H161" s="43">
        <f t="shared" si="121"/>
        <v>1</v>
      </c>
      <c r="I161" s="43">
        <f t="shared" si="121"/>
        <v>1</v>
      </c>
      <c r="J161" s="43">
        <f t="shared" si="121"/>
        <v>1</v>
      </c>
      <c r="K161" s="43" t="e">
        <f>K160+ATM_Conf!$C$5*(T160-AC160)</f>
        <v>#DIV/0!</v>
      </c>
      <c r="L161" s="43" t="e">
        <f>L160+ATM_Conf!$C$5*(U160-AD160)</f>
        <v>#DIV/0!</v>
      </c>
      <c r="M161" s="43" t="e">
        <f>M160+ATM_Conf!$C$5*(V160-AE160)</f>
        <v>#DIV/0!</v>
      </c>
      <c r="N161" s="43" t="e">
        <f>N160+ATM_Conf!$C$5*(W160-AF160)</f>
        <v>#DIV/0!</v>
      </c>
      <c r="O161" s="43" t="e">
        <f>O160+ATM_Conf!$C$5*(X160-AG160)</f>
        <v>#DIV/0!</v>
      </c>
      <c r="P161" s="43" t="e">
        <f>P160+ATM_Conf!$C$5*(Y160-AH160)</f>
        <v>#DIV/0!</v>
      </c>
      <c r="Q161" s="43" t="e">
        <f>Q160+ATM_Conf!$C$5*(Z160-AI160)</f>
        <v>#DIV/0!</v>
      </c>
      <c r="R161" s="43" t="e">
        <f>R160+ATM_Conf!$C$5*(AA160-AJ160)</f>
        <v>#DIV/0!</v>
      </c>
      <c r="S161" s="43" t="e">
        <f>S160+ATM_Conf!$C$5*(AB160-AK160)</f>
        <v>#DIV/0!</v>
      </c>
      <c r="T161" s="43">
        <f t="shared" si="117"/>
        <v>0</v>
      </c>
      <c r="U161" s="43">
        <f t="shared" si="114"/>
        <v>0</v>
      </c>
      <c r="V161" s="43">
        <f t="shared" si="114"/>
        <v>0</v>
      </c>
      <c r="W161" s="43">
        <f t="shared" si="114"/>
        <v>0</v>
      </c>
      <c r="X161" s="43">
        <f t="shared" si="114"/>
        <v>0</v>
      </c>
      <c r="Y161" s="43">
        <f t="shared" si="114"/>
        <v>0</v>
      </c>
      <c r="Z161" s="43">
        <f t="shared" si="114"/>
        <v>0</v>
      </c>
      <c r="AA161" s="43">
        <f t="shared" si="114"/>
        <v>0</v>
      </c>
      <c r="AB161" s="43">
        <f t="shared" si="114"/>
        <v>0</v>
      </c>
      <c r="AC161" s="43" t="e">
        <f t="shared" si="90"/>
        <v>#DIV/0!</v>
      </c>
      <c r="AD161" s="43" t="e">
        <f t="shared" si="91"/>
        <v>#DIV/0!</v>
      </c>
      <c r="AE161" s="43" t="e">
        <f t="shared" si="92"/>
        <v>#DIV/0!</v>
      </c>
      <c r="AF161" s="43" t="e">
        <f t="shared" si="93"/>
        <v>#DIV/0!</v>
      </c>
      <c r="AG161" s="43" t="e">
        <f t="shared" si="94"/>
        <v>#DIV/0!</v>
      </c>
      <c r="AH161" s="43" t="e">
        <f t="shared" si="95"/>
        <v>#DIV/0!</v>
      </c>
      <c r="AI161" s="43" t="e">
        <f t="shared" si="96"/>
        <v>#DIV/0!</v>
      </c>
      <c r="AJ161" s="43" t="e">
        <f t="shared" si="97"/>
        <v>#DIV/0!</v>
      </c>
      <c r="AK161" s="43" t="e">
        <f t="shared" si="98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118"/>
        <v>0</v>
      </c>
      <c r="BE161" s="43">
        <f t="shared" si="115"/>
        <v>0</v>
      </c>
      <c r="BF161" s="43">
        <f t="shared" si="115"/>
        <v>0</v>
      </c>
      <c r="BG161" s="43">
        <f t="shared" si="115"/>
        <v>0</v>
      </c>
      <c r="BH161" s="43">
        <f t="shared" si="115"/>
        <v>0</v>
      </c>
      <c r="BI161" s="43">
        <f t="shared" si="115"/>
        <v>0</v>
      </c>
      <c r="BJ161" s="43">
        <f t="shared" si="115"/>
        <v>0</v>
      </c>
      <c r="BK161" s="43">
        <f t="shared" si="115"/>
        <v>0</v>
      </c>
      <c r="BL161" s="43">
        <f t="shared" si="115"/>
        <v>0</v>
      </c>
      <c r="BM161" s="51"/>
      <c r="BN161" s="51"/>
      <c r="BO161" s="51"/>
      <c r="BP161" s="51"/>
      <c r="BQ161" s="51"/>
      <c r="BR161" s="51"/>
      <c r="BS161" s="51"/>
      <c r="BT161" s="51"/>
      <c r="BU161" s="51"/>
      <c r="BV161" s="51" t="e">
        <f t="shared" si="99"/>
        <v>#DIV/0!</v>
      </c>
      <c r="BW161" s="51" t="e">
        <f t="shared" si="100"/>
        <v>#DIV/0!</v>
      </c>
      <c r="BX161" s="51" t="e">
        <f t="shared" si="101"/>
        <v>#DIV/0!</v>
      </c>
      <c r="BY161" s="51" t="e">
        <f t="shared" si="102"/>
        <v>#DIV/0!</v>
      </c>
      <c r="BZ161" s="51" t="e">
        <f t="shared" si="103"/>
        <v>#DIV/0!</v>
      </c>
      <c r="CA161" s="51" t="e">
        <f t="shared" si="104"/>
        <v>#DIV/0!</v>
      </c>
      <c r="CB161" s="51" t="e">
        <f t="shared" si="105"/>
        <v>#DIV/0!</v>
      </c>
      <c r="CC161" s="51" t="e">
        <f t="shared" si="106"/>
        <v>#DIV/0!</v>
      </c>
      <c r="CD161" s="51" t="e">
        <f t="shared" si="107"/>
        <v>#DIV/0!</v>
      </c>
      <c r="CE161" s="53">
        <f t="shared" si="120"/>
        <v>0</v>
      </c>
      <c r="CF161" s="53">
        <f t="shared" si="116"/>
        <v>0</v>
      </c>
      <c r="CG161" s="53">
        <f t="shared" si="116"/>
        <v>0</v>
      </c>
      <c r="CH161" s="53">
        <f t="shared" si="116"/>
        <v>0</v>
      </c>
      <c r="CI161" s="53">
        <f t="shared" si="116"/>
        <v>0</v>
      </c>
      <c r="CJ161" s="53">
        <f t="shared" si="116"/>
        <v>0</v>
      </c>
      <c r="CK161" s="53">
        <f t="shared" si="116"/>
        <v>0</v>
      </c>
      <c r="CL161" s="53">
        <f t="shared" si="116"/>
        <v>0</v>
      </c>
      <c r="CM161" s="53">
        <f t="shared" si="116"/>
        <v>0</v>
      </c>
    </row>
    <row r="162" spans="1:91" x14ac:dyDescent="0.15">
      <c r="A162" s="41">
        <v>160</v>
      </c>
      <c r="B162" s="43">
        <f t="shared" si="122"/>
        <v>1</v>
      </c>
      <c r="C162" s="43">
        <f t="shared" si="121"/>
        <v>1</v>
      </c>
      <c r="D162" s="43">
        <f t="shared" si="121"/>
        <v>1</v>
      </c>
      <c r="E162" s="43">
        <f t="shared" si="121"/>
        <v>1</v>
      </c>
      <c r="F162" s="43">
        <f t="shared" si="121"/>
        <v>1</v>
      </c>
      <c r="G162" s="43">
        <f t="shared" si="121"/>
        <v>1</v>
      </c>
      <c r="H162" s="43">
        <f t="shared" si="121"/>
        <v>1</v>
      </c>
      <c r="I162" s="43">
        <f t="shared" si="121"/>
        <v>1</v>
      </c>
      <c r="J162" s="43">
        <f t="shared" si="121"/>
        <v>1</v>
      </c>
      <c r="K162" s="43" t="e">
        <f>K161+ATM_Conf!$C$5*(T161-AC161)</f>
        <v>#DIV/0!</v>
      </c>
      <c r="L162" s="43" t="e">
        <f>L161+ATM_Conf!$C$5*(U161-AD161)</f>
        <v>#DIV/0!</v>
      </c>
      <c r="M162" s="43" t="e">
        <f>M161+ATM_Conf!$C$5*(V161-AE161)</f>
        <v>#DIV/0!</v>
      </c>
      <c r="N162" s="43" t="e">
        <f>N161+ATM_Conf!$C$5*(W161-AF161)</f>
        <v>#DIV/0!</v>
      </c>
      <c r="O162" s="43" t="e">
        <f>O161+ATM_Conf!$C$5*(X161-AG161)</f>
        <v>#DIV/0!</v>
      </c>
      <c r="P162" s="43" t="e">
        <f>P161+ATM_Conf!$C$5*(Y161-AH161)</f>
        <v>#DIV/0!</v>
      </c>
      <c r="Q162" s="43" t="e">
        <f>Q161+ATM_Conf!$C$5*(Z161-AI161)</f>
        <v>#DIV/0!</v>
      </c>
      <c r="R162" s="43" t="e">
        <f>R161+ATM_Conf!$C$5*(AA161-AJ161)</f>
        <v>#DIV/0!</v>
      </c>
      <c r="S162" s="43" t="e">
        <f>S161+ATM_Conf!$C$5*(AB161-AK161)</f>
        <v>#DIV/0!</v>
      </c>
      <c r="T162" s="43">
        <f t="shared" si="117"/>
        <v>0</v>
      </c>
      <c r="U162" s="43">
        <f t="shared" si="114"/>
        <v>0</v>
      </c>
      <c r="V162" s="43">
        <f t="shared" si="114"/>
        <v>0</v>
      </c>
      <c r="W162" s="43">
        <f t="shared" si="114"/>
        <v>0</v>
      </c>
      <c r="X162" s="43">
        <f t="shared" si="114"/>
        <v>0</v>
      </c>
      <c r="Y162" s="43">
        <f t="shared" si="114"/>
        <v>0</v>
      </c>
      <c r="Z162" s="43">
        <f t="shared" si="114"/>
        <v>0</v>
      </c>
      <c r="AA162" s="43">
        <f t="shared" si="114"/>
        <v>0</v>
      </c>
      <c r="AB162" s="43">
        <f t="shared" si="114"/>
        <v>0</v>
      </c>
      <c r="AC162" s="43" t="e">
        <f t="shared" si="90"/>
        <v>#DIV/0!</v>
      </c>
      <c r="AD162" s="43" t="e">
        <f t="shared" si="91"/>
        <v>#DIV/0!</v>
      </c>
      <c r="AE162" s="43" t="e">
        <f t="shared" si="92"/>
        <v>#DIV/0!</v>
      </c>
      <c r="AF162" s="43" t="e">
        <f t="shared" si="93"/>
        <v>#DIV/0!</v>
      </c>
      <c r="AG162" s="43" t="e">
        <f t="shared" si="94"/>
        <v>#DIV/0!</v>
      </c>
      <c r="AH162" s="43" t="e">
        <f t="shared" si="95"/>
        <v>#DIV/0!</v>
      </c>
      <c r="AI162" s="43" t="e">
        <f t="shared" si="96"/>
        <v>#DIV/0!</v>
      </c>
      <c r="AJ162" s="43" t="e">
        <f t="shared" si="97"/>
        <v>#DIV/0!</v>
      </c>
      <c r="AK162" s="43" t="e">
        <f t="shared" si="98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118"/>
        <v>0</v>
      </c>
      <c r="BE162" s="43">
        <f t="shared" si="115"/>
        <v>0</v>
      </c>
      <c r="BF162" s="43">
        <f t="shared" si="115"/>
        <v>0</v>
      </c>
      <c r="BG162" s="43">
        <f t="shared" si="115"/>
        <v>0</v>
      </c>
      <c r="BH162" s="43">
        <f t="shared" si="115"/>
        <v>0</v>
      </c>
      <c r="BI162" s="43">
        <f t="shared" si="115"/>
        <v>0</v>
      </c>
      <c r="BJ162" s="43">
        <f t="shared" si="115"/>
        <v>0</v>
      </c>
      <c r="BK162" s="43">
        <f t="shared" si="115"/>
        <v>0</v>
      </c>
      <c r="BL162" s="43">
        <f t="shared" si="115"/>
        <v>0</v>
      </c>
      <c r="BM162" s="51"/>
      <c r="BN162" s="51"/>
      <c r="BO162" s="51"/>
      <c r="BP162" s="51"/>
      <c r="BQ162" s="51"/>
      <c r="BR162" s="51"/>
      <c r="BS162" s="51"/>
      <c r="BT162" s="51"/>
      <c r="BU162" s="51"/>
      <c r="BV162" s="51" t="e">
        <f t="shared" si="99"/>
        <v>#DIV/0!</v>
      </c>
      <c r="BW162" s="51" t="e">
        <f t="shared" si="100"/>
        <v>#DIV/0!</v>
      </c>
      <c r="BX162" s="51" t="e">
        <f t="shared" si="101"/>
        <v>#DIV/0!</v>
      </c>
      <c r="BY162" s="51" t="e">
        <f t="shared" si="102"/>
        <v>#DIV/0!</v>
      </c>
      <c r="BZ162" s="51" t="e">
        <f t="shared" si="103"/>
        <v>#DIV/0!</v>
      </c>
      <c r="CA162" s="51" t="e">
        <f t="shared" si="104"/>
        <v>#DIV/0!</v>
      </c>
      <c r="CB162" s="51" t="e">
        <f t="shared" si="105"/>
        <v>#DIV/0!</v>
      </c>
      <c r="CC162" s="51" t="e">
        <f t="shared" si="106"/>
        <v>#DIV/0!</v>
      </c>
      <c r="CD162" s="51" t="e">
        <f t="shared" si="107"/>
        <v>#DIV/0!</v>
      </c>
      <c r="CE162" s="53">
        <f t="shared" si="120"/>
        <v>0</v>
      </c>
      <c r="CF162" s="53">
        <f t="shared" si="116"/>
        <v>0</v>
      </c>
      <c r="CG162" s="53">
        <f t="shared" si="116"/>
        <v>0</v>
      </c>
      <c r="CH162" s="53">
        <f t="shared" si="116"/>
        <v>0</v>
      </c>
      <c r="CI162" s="53">
        <f t="shared" si="116"/>
        <v>0</v>
      </c>
      <c r="CJ162" s="53">
        <f t="shared" si="116"/>
        <v>0</v>
      </c>
      <c r="CK162" s="53">
        <f t="shared" si="116"/>
        <v>0</v>
      </c>
      <c r="CL162" s="53">
        <f t="shared" si="116"/>
        <v>0</v>
      </c>
      <c r="CM162" s="53">
        <f t="shared" si="116"/>
        <v>0</v>
      </c>
    </row>
    <row r="163" spans="1:91" x14ac:dyDescent="0.15">
      <c r="A163" s="41">
        <v>161</v>
      </c>
      <c r="B163" s="43">
        <f t="shared" si="122"/>
        <v>1</v>
      </c>
      <c r="C163" s="43">
        <f t="shared" si="121"/>
        <v>1</v>
      </c>
      <c r="D163" s="43">
        <f t="shared" si="121"/>
        <v>1</v>
      </c>
      <c r="E163" s="43">
        <f t="shared" si="121"/>
        <v>1</v>
      </c>
      <c r="F163" s="43">
        <f t="shared" si="121"/>
        <v>1</v>
      </c>
      <c r="G163" s="43">
        <f t="shared" si="121"/>
        <v>1</v>
      </c>
      <c r="H163" s="43">
        <f t="shared" si="121"/>
        <v>1</v>
      </c>
      <c r="I163" s="43">
        <f t="shared" si="121"/>
        <v>1</v>
      </c>
      <c r="J163" s="43">
        <f t="shared" si="121"/>
        <v>1</v>
      </c>
      <c r="K163" s="43" t="e">
        <f>K162+ATM_Conf!$C$5*(T162-AC162)</f>
        <v>#DIV/0!</v>
      </c>
      <c r="L163" s="43" t="e">
        <f>L162+ATM_Conf!$C$5*(U162-AD162)</f>
        <v>#DIV/0!</v>
      </c>
      <c r="M163" s="43" t="e">
        <f>M162+ATM_Conf!$C$5*(V162-AE162)</f>
        <v>#DIV/0!</v>
      </c>
      <c r="N163" s="43" t="e">
        <f>N162+ATM_Conf!$C$5*(W162-AF162)</f>
        <v>#DIV/0!</v>
      </c>
      <c r="O163" s="43" t="e">
        <f>O162+ATM_Conf!$C$5*(X162-AG162)</f>
        <v>#DIV/0!</v>
      </c>
      <c r="P163" s="43" t="e">
        <f>P162+ATM_Conf!$C$5*(Y162-AH162)</f>
        <v>#DIV/0!</v>
      </c>
      <c r="Q163" s="43" t="e">
        <f>Q162+ATM_Conf!$C$5*(Z162-AI162)</f>
        <v>#DIV/0!</v>
      </c>
      <c r="R163" s="43" t="e">
        <f>R162+ATM_Conf!$C$5*(AA162-AJ162)</f>
        <v>#DIV/0!</v>
      </c>
      <c r="S163" s="43" t="e">
        <f>S162+ATM_Conf!$C$5*(AB162-AK162)</f>
        <v>#DIV/0!</v>
      </c>
      <c r="T163" s="43">
        <f t="shared" si="117"/>
        <v>0</v>
      </c>
      <c r="U163" s="43">
        <f t="shared" si="114"/>
        <v>0</v>
      </c>
      <c r="V163" s="43">
        <f t="shared" si="114"/>
        <v>0</v>
      </c>
      <c r="W163" s="43">
        <f t="shared" si="114"/>
        <v>0</v>
      </c>
      <c r="X163" s="43">
        <f t="shared" si="114"/>
        <v>0</v>
      </c>
      <c r="Y163" s="43">
        <f t="shared" si="114"/>
        <v>0</v>
      </c>
      <c r="Z163" s="43">
        <f t="shared" si="114"/>
        <v>0</v>
      </c>
      <c r="AA163" s="43">
        <f t="shared" si="114"/>
        <v>0</v>
      </c>
      <c r="AB163" s="43">
        <f t="shared" si="114"/>
        <v>0</v>
      </c>
      <c r="AC163" s="43" t="e">
        <f t="shared" si="90"/>
        <v>#DIV/0!</v>
      </c>
      <c r="AD163" s="43" t="e">
        <f t="shared" si="91"/>
        <v>#DIV/0!</v>
      </c>
      <c r="AE163" s="43" t="e">
        <f t="shared" si="92"/>
        <v>#DIV/0!</v>
      </c>
      <c r="AF163" s="43" t="e">
        <f t="shared" si="93"/>
        <v>#DIV/0!</v>
      </c>
      <c r="AG163" s="43" t="e">
        <f t="shared" si="94"/>
        <v>#DIV/0!</v>
      </c>
      <c r="AH163" s="43" t="e">
        <f t="shared" si="95"/>
        <v>#DIV/0!</v>
      </c>
      <c r="AI163" s="43" t="e">
        <f t="shared" si="96"/>
        <v>#DIV/0!</v>
      </c>
      <c r="AJ163" s="43" t="e">
        <f t="shared" si="97"/>
        <v>#DIV/0!</v>
      </c>
      <c r="AK163" s="43" t="e">
        <f t="shared" si="98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118"/>
        <v>0</v>
      </c>
      <c r="BE163" s="43">
        <f t="shared" si="115"/>
        <v>0</v>
      </c>
      <c r="BF163" s="43">
        <f t="shared" si="115"/>
        <v>0</v>
      </c>
      <c r="BG163" s="43">
        <f t="shared" si="115"/>
        <v>0</v>
      </c>
      <c r="BH163" s="43">
        <f t="shared" si="115"/>
        <v>0</v>
      </c>
      <c r="BI163" s="43">
        <f t="shared" si="115"/>
        <v>0</v>
      </c>
      <c r="BJ163" s="43">
        <f t="shared" si="115"/>
        <v>0</v>
      </c>
      <c r="BK163" s="43">
        <f t="shared" si="115"/>
        <v>0</v>
      </c>
      <c r="BL163" s="43">
        <f t="shared" si="115"/>
        <v>0</v>
      </c>
      <c r="BM163" s="51"/>
      <c r="BN163" s="51"/>
      <c r="BO163" s="51"/>
      <c r="BP163" s="51"/>
      <c r="BQ163" s="51"/>
      <c r="BR163" s="51"/>
      <c r="BS163" s="51"/>
      <c r="BT163" s="51"/>
      <c r="BU163" s="51"/>
      <c r="BV163" s="51" t="e">
        <f t="shared" si="99"/>
        <v>#DIV/0!</v>
      </c>
      <c r="BW163" s="51" t="e">
        <f t="shared" si="100"/>
        <v>#DIV/0!</v>
      </c>
      <c r="BX163" s="51" t="e">
        <f t="shared" si="101"/>
        <v>#DIV/0!</v>
      </c>
      <c r="BY163" s="51" t="e">
        <f t="shared" si="102"/>
        <v>#DIV/0!</v>
      </c>
      <c r="BZ163" s="51" t="e">
        <f t="shared" si="103"/>
        <v>#DIV/0!</v>
      </c>
      <c r="CA163" s="51" t="e">
        <f t="shared" si="104"/>
        <v>#DIV/0!</v>
      </c>
      <c r="CB163" s="51" t="e">
        <f t="shared" si="105"/>
        <v>#DIV/0!</v>
      </c>
      <c r="CC163" s="51" t="e">
        <f t="shared" si="106"/>
        <v>#DIV/0!</v>
      </c>
      <c r="CD163" s="51" t="e">
        <f t="shared" si="107"/>
        <v>#DIV/0!</v>
      </c>
      <c r="CE163" s="53">
        <f t="shared" si="120"/>
        <v>0</v>
      </c>
      <c r="CF163" s="53">
        <f t="shared" si="116"/>
        <v>0</v>
      </c>
      <c r="CG163" s="53">
        <f t="shared" si="116"/>
        <v>0</v>
      </c>
      <c r="CH163" s="53">
        <f t="shared" si="116"/>
        <v>0</v>
      </c>
      <c r="CI163" s="53">
        <f t="shared" si="116"/>
        <v>0</v>
      </c>
      <c r="CJ163" s="53">
        <f t="shared" si="116"/>
        <v>0</v>
      </c>
      <c r="CK163" s="53">
        <f t="shared" si="116"/>
        <v>0</v>
      </c>
      <c r="CL163" s="53">
        <f t="shared" si="116"/>
        <v>0</v>
      </c>
      <c r="CM163" s="53">
        <f t="shared" si="116"/>
        <v>0</v>
      </c>
    </row>
    <row r="164" spans="1:91" x14ac:dyDescent="0.15">
      <c r="A164" s="41">
        <v>162</v>
      </c>
      <c r="B164" s="43">
        <f t="shared" si="122"/>
        <v>1</v>
      </c>
      <c r="C164" s="43">
        <f t="shared" si="121"/>
        <v>1</v>
      </c>
      <c r="D164" s="43">
        <f t="shared" si="121"/>
        <v>1</v>
      </c>
      <c r="E164" s="43">
        <f t="shared" si="121"/>
        <v>1</v>
      </c>
      <c r="F164" s="43">
        <f t="shared" si="121"/>
        <v>1</v>
      </c>
      <c r="G164" s="43">
        <f t="shared" si="121"/>
        <v>1</v>
      </c>
      <c r="H164" s="43">
        <f t="shared" si="121"/>
        <v>1</v>
      </c>
      <c r="I164" s="43">
        <f t="shared" si="121"/>
        <v>1</v>
      </c>
      <c r="J164" s="43">
        <f t="shared" si="121"/>
        <v>1</v>
      </c>
      <c r="K164" s="43" t="e">
        <f>K163+ATM_Conf!$C$5*(T163-AC163)</f>
        <v>#DIV/0!</v>
      </c>
      <c r="L164" s="43" t="e">
        <f>L163+ATM_Conf!$C$5*(U163-AD163)</f>
        <v>#DIV/0!</v>
      </c>
      <c r="M164" s="43" t="e">
        <f>M163+ATM_Conf!$C$5*(V163-AE163)</f>
        <v>#DIV/0!</v>
      </c>
      <c r="N164" s="43" t="e">
        <f>N163+ATM_Conf!$C$5*(W163-AF163)</f>
        <v>#DIV/0!</v>
      </c>
      <c r="O164" s="43" t="e">
        <f>O163+ATM_Conf!$C$5*(X163-AG163)</f>
        <v>#DIV/0!</v>
      </c>
      <c r="P164" s="43" t="e">
        <f>P163+ATM_Conf!$C$5*(Y163-AH163)</f>
        <v>#DIV/0!</v>
      </c>
      <c r="Q164" s="43" t="e">
        <f>Q163+ATM_Conf!$C$5*(Z163-AI163)</f>
        <v>#DIV/0!</v>
      </c>
      <c r="R164" s="43" t="e">
        <f>R163+ATM_Conf!$C$5*(AA163-AJ163)</f>
        <v>#DIV/0!</v>
      </c>
      <c r="S164" s="43" t="e">
        <f>S163+ATM_Conf!$C$5*(AB163-AK163)</f>
        <v>#DIV/0!</v>
      </c>
      <c r="T164" s="43">
        <f t="shared" si="117"/>
        <v>0</v>
      </c>
      <c r="U164" s="43">
        <f t="shared" si="114"/>
        <v>0</v>
      </c>
      <c r="V164" s="43">
        <f t="shared" si="114"/>
        <v>0</v>
      </c>
      <c r="W164" s="43">
        <f t="shared" si="114"/>
        <v>0</v>
      </c>
      <c r="X164" s="43">
        <f t="shared" si="114"/>
        <v>0</v>
      </c>
      <c r="Y164" s="43">
        <f t="shared" si="114"/>
        <v>0</v>
      </c>
      <c r="Z164" s="43">
        <f t="shared" si="114"/>
        <v>0</v>
      </c>
      <c r="AA164" s="43">
        <f t="shared" si="114"/>
        <v>0</v>
      </c>
      <c r="AB164" s="43">
        <f t="shared" si="114"/>
        <v>0</v>
      </c>
      <c r="AC164" s="43" t="e">
        <f t="shared" si="90"/>
        <v>#DIV/0!</v>
      </c>
      <c r="AD164" s="43" t="e">
        <f t="shared" si="91"/>
        <v>#DIV/0!</v>
      </c>
      <c r="AE164" s="43" t="e">
        <f t="shared" si="92"/>
        <v>#DIV/0!</v>
      </c>
      <c r="AF164" s="43" t="e">
        <f t="shared" si="93"/>
        <v>#DIV/0!</v>
      </c>
      <c r="AG164" s="43" t="e">
        <f t="shared" si="94"/>
        <v>#DIV/0!</v>
      </c>
      <c r="AH164" s="43" t="e">
        <f t="shared" si="95"/>
        <v>#DIV/0!</v>
      </c>
      <c r="AI164" s="43" t="e">
        <f t="shared" si="96"/>
        <v>#DIV/0!</v>
      </c>
      <c r="AJ164" s="43" t="e">
        <f t="shared" si="97"/>
        <v>#DIV/0!</v>
      </c>
      <c r="AK164" s="43" t="e">
        <f t="shared" si="98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118"/>
        <v>0</v>
      </c>
      <c r="BE164" s="43">
        <f t="shared" si="115"/>
        <v>0</v>
      </c>
      <c r="BF164" s="43">
        <f t="shared" si="115"/>
        <v>0</v>
      </c>
      <c r="BG164" s="43">
        <f t="shared" si="115"/>
        <v>0</v>
      </c>
      <c r="BH164" s="43">
        <f t="shared" si="115"/>
        <v>0</v>
      </c>
      <c r="BI164" s="43">
        <f t="shared" si="115"/>
        <v>0</v>
      </c>
      <c r="BJ164" s="43">
        <f t="shared" si="115"/>
        <v>0</v>
      </c>
      <c r="BK164" s="43">
        <f t="shared" si="115"/>
        <v>0</v>
      </c>
      <c r="BL164" s="43">
        <f t="shared" si="115"/>
        <v>0</v>
      </c>
      <c r="BM164" s="51"/>
      <c r="BN164" s="51"/>
      <c r="BO164" s="51"/>
      <c r="BP164" s="51"/>
      <c r="BQ164" s="51"/>
      <c r="BR164" s="51"/>
      <c r="BS164" s="51"/>
      <c r="BT164" s="51"/>
      <c r="BU164" s="51"/>
      <c r="BV164" s="51" t="e">
        <f t="shared" si="99"/>
        <v>#DIV/0!</v>
      </c>
      <c r="BW164" s="51" t="e">
        <f t="shared" si="100"/>
        <v>#DIV/0!</v>
      </c>
      <c r="BX164" s="51" t="e">
        <f t="shared" si="101"/>
        <v>#DIV/0!</v>
      </c>
      <c r="BY164" s="51" t="e">
        <f t="shared" si="102"/>
        <v>#DIV/0!</v>
      </c>
      <c r="BZ164" s="51" t="e">
        <f t="shared" si="103"/>
        <v>#DIV/0!</v>
      </c>
      <c r="CA164" s="51" t="e">
        <f t="shared" si="104"/>
        <v>#DIV/0!</v>
      </c>
      <c r="CB164" s="51" t="e">
        <f t="shared" si="105"/>
        <v>#DIV/0!</v>
      </c>
      <c r="CC164" s="51" t="e">
        <f t="shared" si="106"/>
        <v>#DIV/0!</v>
      </c>
      <c r="CD164" s="51" t="e">
        <f t="shared" si="107"/>
        <v>#DIV/0!</v>
      </c>
      <c r="CE164" s="53">
        <f t="shared" si="120"/>
        <v>0</v>
      </c>
      <c r="CF164" s="53">
        <f t="shared" si="116"/>
        <v>0</v>
      </c>
      <c r="CG164" s="53">
        <f t="shared" si="116"/>
        <v>0</v>
      </c>
      <c r="CH164" s="53">
        <f t="shared" si="116"/>
        <v>0</v>
      </c>
      <c r="CI164" s="53">
        <f t="shared" si="116"/>
        <v>0</v>
      </c>
      <c r="CJ164" s="53">
        <f t="shared" si="116"/>
        <v>0</v>
      </c>
      <c r="CK164" s="53">
        <f t="shared" si="116"/>
        <v>0</v>
      </c>
      <c r="CL164" s="53">
        <f t="shared" si="116"/>
        <v>0</v>
      </c>
      <c r="CM164" s="53">
        <f t="shared" si="116"/>
        <v>0</v>
      </c>
    </row>
    <row r="165" spans="1:91" x14ac:dyDescent="0.15">
      <c r="A165" s="41">
        <v>163</v>
      </c>
      <c r="B165" s="43">
        <f t="shared" si="122"/>
        <v>1</v>
      </c>
      <c r="C165" s="43">
        <f t="shared" si="121"/>
        <v>1</v>
      </c>
      <c r="D165" s="43">
        <f t="shared" si="121"/>
        <v>1</v>
      </c>
      <c r="E165" s="43">
        <f t="shared" si="121"/>
        <v>1</v>
      </c>
      <c r="F165" s="43">
        <f t="shared" si="121"/>
        <v>1</v>
      </c>
      <c r="G165" s="43">
        <f t="shared" si="121"/>
        <v>1</v>
      </c>
      <c r="H165" s="43">
        <f t="shared" si="121"/>
        <v>1</v>
      </c>
      <c r="I165" s="43">
        <f t="shared" si="121"/>
        <v>1</v>
      </c>
      <c r="J165" s="43">
        <f t="shared" si="121"/>
        <v>1</v>
      </c>
      <c r="K165" s="43" t="e">
        <f>K164+ATM_Conf!$C$5*(T164-AC164)</f>
        <v>#DIV/0!</v>
      </c>
      <c r="L165" s="43" t="e">
        <f>L164+ATM_Conf!$C$5*(U164-AD164)</f>
        <v>#DIV/0!</v>
      </c>
      <c r="M165" s="43" t="e">
        <f>M164+ATM_Conf!$C$5*(V164-AE164)</f>
        <v>#DIV/0!</v>
      </c>
      <c r="N165" s="43" t="e">
        <f>N164+ATM_Conf!$C$5*(W164-AF164)</f>
        <v>#DIV/0!</v>
      </c>
      <c r="O165" s="43" t="e">
        <f>O164+ATM_Conf!$C$5*(X164-AG164)</f>
        <v>#DIV/0!</v>
      </c>
      <c r="P165" s="43" t="e">
        <f>P164+ATM_Conf!$C$5*(Y164-AH164)</f>
        <v>#DIV/0!</v>
      </c>
      <c r="Q165" s="43" t="e">
        <f>Q164+ATM_Conf!$C$5*(Z164-AI164)</f>
        <v>#DIV/0!</v>
      </c>
      <c r="R165" s="43" t="e">
        <f>R164+ATM_Conf!$C$5*(AA164-AJ164)</f>
        <v>#DIV/0!</v>
      </c>
      <c r="S165" s="43" t="e">
        <f>S164+ATM_Conf!$C$5*(AB164-AK164)</f>
        <v>#DIV/0!</v>
      </c>
      <c r="T165" s="43">
        <f t="shared" si="117"/>
        <v>0</v>
      </c>
      <c r="U165" s="43">
        <f t="shared" si="114"/>
        <v>0</v>
      </c>
      <c r="V165" s="43">
        <f t="shared" si="114"/>
        <v>0</v>
      </c>
      <c r="W165" s="43">
        <f t="shared" si="114"/>
        <v>0</v>
      </c>
      <c r="X165" s="43">
        <f t="shared" si="114"/>
        <v>0</v>
      </c>
      <c r="Y165" s="43">
        <f t="shared" si="114"/>
        <v>0</v>
      </c>
      <c r="Z165" s="43">
        <f t="shared" si="114"/>
        <v>0</v>
      </c>
      <c r="AA165" s="43">
        <f t="shared" si="114"/>
        <v>0</v>
      </c>
      <c r="AB165" s="43">
        <f t="shared" si="114"/>
        <v>0</v>
      </c>
      <c r="AC165" s="43" t="e">
        <f t="shared" si="90"/>
        <v>#DIV/0!</v>
      </c>
      <c r="AD165" s="43" t="e">
        <f t="shared" si="91"/>
        <v>#DIV/0!</v>
      </c>
      <c r="AE165" s="43" t="e">
        <f t="shared" si="92"/>
        <v>#DIV/0!</v>
      </c>
      <c r="AF165" s="43" t="e">
        <f t="shared" si="93"/>
        <v>#DIV/0!</v>
      </c>
      <c r="AG165" s="43" t="e">
        <f t="shared" si="94"/>
        <v>#DIV/0!</v>
      </c>
      <c r="AH165" s="43" t="e">
        <f t="shared" si="95"/>
        <v>#DIV/0!</v>
      </c>
      <c r="AI165" s="43" t="e">
        <f t="shared" si="96"/>
        <v>#DIV/0!</v>
      </c>
      <c r="AJ165" s="43" t="e">
        <f t="shared" si="97"/>
        <v>#DIV/0!</v>
      </c>
      <c r="AK165" s="43" t="e">
        <f t="shared" si="98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118"/>
        <v>0</v>
      </c>
      <c r="BE165" s="43">
        <f t="shared" si="115"/>
        <v>0</v>
      </c>
      <c r="BF165" s="43">
        <f t="shared" si="115"/>
        <v>0</v>
      </c>
      <c r="BG165" s="43">
        <f t="shared" si="115"/>
        <v>0</v>
      </c>
      <c r="BH165" s="43">
        <f t="shared" si="115"/>
        <v>0</v>
      </c>
      <c r="BI165" s="43">
        <f t="shared" si="115"/>
        <v>0</v>
      </c>
      <c r="BJ165" s="43">
        <f t="shared" si="115"/>
        <v>0</v>
      </c>
      <c r="BK165" s="43">
        <f t="shared" si="115"/>
        <v>0</v>
      </c>
      <c r="BL165" s="43">
        <f t="shared" si="115"/>
        <v>0</v>
      </c>
      <c r="BM165" s="51"/>
      <c r="BN165" s="51"/>
      <c r="BO165" s="51"/>
      <c r="BP165" s="51"/>
      <c r="BQ165" s="51"/>
      <c r="BR165" s="51"/>
      <c r="BS165" s="51"/>
      <c r="BT165" s="51"/>
      <c r="BU165" s="51"/>
      <c r="BV165" s="51" t="e">
        <f t="shared" si="99"/>
        <v>#DIV/0!</v>
      </c>
      <c r="BW165" s="51" t="e">
        <f t="shared" si="100"/>
        <v>#DIV/0!</v>
      </c>
      <c r="BX165" s="51" t="e">
        <f t="shared" si="101"/>
        <v>#DIV/0!</v>
      </c>
      <c r="BY165" s="51" t="e">
        <f t="shared" si="102"/>
        <v>#DIV/0!</v>
      </c>
      <c r="BZ165" s="51" t="e">
        <f t="shared" si="103"/>
        <v>#DIV/0!</v>
      </c>
      <c r="CA165" s="51" t="e">
        <f t="shared" si="104"/>
        <v>#DIV/0!</v>
      </c>
      <c r="CB165" s="51" t="e">
        <f t="shared" si="105"/>
        <v>#DIV/0!</v>
      </c>
      <c r="CC165" s="51" t="e">
        <f t="shared" si="106"/>
        <v>#DIV/0!</v>
      </c>
      <c r="CD165" s="51" t="e">
        <f t="shared" si="107"/>
        <v>#DIV/0!</v>
      </c>
      <c r="CE165" s="53">
        <f t="shared" si="120"/>
        <v>0</v>
      </c>
      <c r="CF165" s="53">
        <f t="shared" si="116"/>
        <v>0</v>
      </c>
      <c r="CG165" s="53">
        <f t="shared" si="116"/>
        <v>0</v>
      </c>
      <c r="CH165" s="53">
        <f t="shared" si="116"/>
        <v>0</v>
      </c>
      <c r="CI165" s="53">
        <f t="shared" si="116"/>
        <v>0</v>
      </c>
      <c r="CJ165" s="53">
        <f t="shared" si="116"/>
        <v>0</v>
      </c>
      <c r="CK165" s="53">
        <f t="shared" si="116"/>
        <v>0</v>
      </c>
      <c r="CL165" s="53">
        <f t="shared" si="116"/>
        <v>0</v>
      </c>
      <c r="CM165" s="53">
        <f t="shared" si="116"/>
        <v>0</v>
      </c>
    </row>
    <row r="166" spans="1:91" x14ac:dyDescent="0.15">
      <c r="A166" s="41">
        <v>164</v>
      </c>
      <c r="B166" s="43">
        <f t="shared" si="122"/>
        <v>1</v>
      </c>
      <c r="C166" s="43">
        <f t="shared" si="121"/>
        <v>1</v>
      </c>
      <c r="D166" s="43">
        <f t="shared" si="121"/>
        <v>1</v>
      </c>
      <c r="E166" s="43">
        <f t="shared" si="121"/>
        <v>1</v>
      </c>
      <c r="F166" s="43">
        <f t="shared" si="121"/>
        <v>1</v>
      </c>
      <c r="G166" s="43">
        <f t="shared" si="121"/>
        <v>1</v>
      </c>
      <c r="H166" s="43">
        <f t="shared" si="121"/>
        <v>1</v>
      </c>
      <c r="I166" s="43">
        <f t="shared" si="121"/>
        <v>1</v>
      </c>
      <c r="J166" s="43">
        <f t="shared" si="121"/>
        <v>1</v>
      </c>
      <c r="K166" s="43" t="e">
        <f>K165+ATM_Conf!$C$5*(T165-AC165)</f>
        <v>#DIV/0!</v>
      </c>
      <c r="L166" s="43" t="e">
        <f>L165+ATM_Conf!$C$5*(U165-AD165)</f>
        <v>#DIV/0!</v>
      </c>
      <c r="M166" s="43" t="e">
        <f>M165+ATM_Conf!$C$5*(V165-AE165)</f>
        <v>#DIV/0!</v>
      </c>
      <c r="N166" s="43" t="e">
        <f>N165+ATM_Conf!$C$5*(W165-AF165)</f>
        <v>#DIV/0!</v>
      </c>
      <c r="O166" s="43" t="e">
        <f>O165+ATM_Conf!$C$5*(X165-AG165)</f>
        <v>#DIV/0!</v>
      </c>
      <c r="P166" s="43" t="e">
        <f>P165+ATM_Conf!$C$5*(Y165-AH165)</f>
        <v>#DIV/0!</v>
      </c>
      <c r="Q166" s="43" t="e">
        <f>Q165+ATM_Conf!$C$5*(Z165-AI165)</f>
        <v>#DIV/0!</v>
      </c>
      <c r="R166" s="43" t="e">
        <f>R165+ATM_Conf!$C$5*(AA165-AJ165)</f>
        <v>#DIV/0!</v>
      </c>
      <c r="S166" s="43" t="e">
        <f>S165+ATM_Conf!$C$5*(AB165-AK165)</f>
        <v>#DIV/0!</v>
      </c>
      <c r="T166" s="43">
        <f t="shared" si="117"/>
        <v>0</v>
      </c>
      <c r="U166" s="43">
        <f t="shared" si="114"/>
        <v>0</v>
      </c>
      <c r="V166" s="43">
        <f t="shared" si="114"/>
        <v>0</v>
      </c>
      <c r="W166" s="43">
        <f t="shared" si="114"/>
        <v>0</v>
      </c>
      <c r="X166" s="43">
        <f t="shared" si="114"/>
        <v>0</v>
      </c>
      <c r="Y166" s="43">
        <f t="shared" si="114"/>
        <v>0</v>
      </c>
      <c r="Z166" s="43">
        <f t="shared" si="114"/>
        <v>0</v>
      </c>
      <c r="AA166" s="43">
        <f t="shared" si="114"/>
        <v>0</v>
      </c>
      <c r="AB166" s="43">
        <f t="shared" si="114"/>
        <v>0</v>
      </c>
      <c r="AC166" s="43" t="e">
        <f t="shared" si="90"/>
        <v>#DIV/0!</v>
      </c>
      <c r="AD166" s="43" t="e">
        <f t="shared" si="91"/>
        <v>#DIV/0!</v>
      </c>
      <c r="AE166" s="43" t="e">
        <f t="shared" si="92"/>
        <v>#DIV/0!</v>
      </c>
      <c r="AF166" s="43" t="e">
        <f t="shared" si="93"/>
        <v>#DIV/0!</v>
      </c>
      <c r="AG166" s="43" t="e">
        <f t="shared" si="94"/>
        <v>#DIV/0!</v>
      </c>
      <c r="AH166" s="43" t="e">
        <f t="shared" si="95"/>
        <v>#DIV/0!</v>
      </c>
      <c r="AI166" s="43" t="e">
        <f t="shared" si="96"/>
        <v>#DIV/0!</v>
      </c>
      <c r="AJ166" s="43" t="e">
        <f t="shared" si="97"/>
        <v>#DIV/0!</v>
      </c>
      <c r="AK166" s="43" t="e">
        <f t="shared" si="98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118"/>
        <v>0</v>
      </c>
      <c r="BE166" s="43">
        <f t="shared" si="115"/>
        <v>0</v>
      </c>
      <c r="BF166" s="43">
        <f t="shared" si="115"/>
        <v>0</v>
      </c>
      <c r="BG166" s="43">
        <f t="shared" si="115"/>
        <v>0</v>
      </c>
      <c r="BH166" s="43">
        <f t="shared" si="115"/>
        <v>0</v>
      </c>
      <c r="BI166" s="43">
        <f t="shared" si="115"/>
        <v>0</v>
      </c>
      <c r="BJ166" s="43">
        <f t="shared" si="115"/>
        <v>0</v>
      </c>
      <c r="BK166" s="43">
        <f t="shared" si="115"/>
        <v>0</v>
      </c>
      <c r="BL166" s="43">
        <f t="shared" si="115"/>
        <v>0</v>
      </c>
      <c r="BM166" s="51"/>
      <c r="BN166" s="51"/>
      <c r="BO166" s="51"/>
      <c r="BP166" s="51"/>
      <c r="BQ166" s="51"/>
      <c r="BR166" s="51"/>
      <c r="BS166" s="51"/>
      <c r="BT166" s="51"/>
      <c r="BU166" s="51"/>
      <c r="BV166" s="51" t="e">
        <f t="shared" si="99"/>
        <v>#DIV/0!</v>
      </c>
      <c r="BW166" s="51" t="e">
        <f t="shared" si="100"/>
        <v>#DIV/0!</v>
      </c>
      <c r="BX166" s="51" t="e">
        <f t="shared" si="101"/>
        <v>#DIV/0!</v>
      </c>
      <c r="BY166" s="51" t="e">
        <f t="shared" si="102"/>
        <v>#DIV/0!</v>
      </c>
      <c r="BZ166" s="51" t="e">
        <f t="shared" si="103"/>
        <v>#DIV/0!</v>
      </c>
      <c r="CA166" s="51" t="e">
        <f t="shared" si="104"/>
        <v>#DIV/0!</v>
      </c>
      <c r="CB166" s="51" t="e">
        <f t="shared" si="105"/>
        <v>#DIV/0!</v>
      </c>
      <c r="CC166" s="51" t="e">
        <f t="shared" si="106"/>
        <v>#DIV/0!</v>
      </c>
      <c r="CD166" s="51" t="e">
        <f t="shared" si="107"/>
        <v>#DIV/0!</v>
      </c>
      <c r="CE166" s="53">
        <f t="shared" si="120"/>
        <v>0</v>
      </c>
      <c r="CF166" s="53">
        <f t="shared" si="116"/>
        <v>0</v>
      </c>
      <c r="CG166" s="53">
        <f t="shared" si="116"/>
        <v>0</v>
      </c>
      <c r="CH166" s="53">
        <f t="shared" si="116"/>
        <v>0</v>
      </c>
      <c r="CI166" s="53">
        <f t="shared" si="116"/>
        <v>0</v>
      </c>
      <c r="CJ166" s="53">
        <f t="shared" si="116"/>
        <v>0</v>
      </c>
      <c r="CK166" s="53">
        <f t="shared" si="116"/>
        <v>0</v>
      </c>
      <c r="CL166" s="53">
        <f t="shared" si="116"/>
        <v>0</v>
      </c>
      <c r="CM166" s="53">
        <f t="shared" si="116"/>
        <v>0</v>
      </c>
    </row>
    <row r="167" spans="1:91" x14ac:dyDescent="0.15">
      <c r="A167" s="41">
        <v>165</v>
      </c>
      <c r="B167" s="43">
        <f t="shared" si="122"/>
        <v>1</v>
      </c>
      <c r="C167" s="43">
        <f t="shared" si="121"/>
        <v>1</v>
      </c>
      <c r="D167" s="43">
        <f t="shared" si="121"/>
        <v>1</v>
      </c>
      <c r="E167" s="43">
        <f t="shared" si="121"/>
        <v>1</v>
      </c>
      <c r="F167" s="43">
        <f t="shared" si="121"/>
        <v>1</v>
      </c>
      <c r="G167" s="43">
        <f t="shared" si="121"/>
        <v>1</v>
      </c>
      <c r="H167" s="43">
        <f t="shared" si="121"/>
        <v>1</v>
      </c>
      <c r="I167" s="43">
        <f t="shared" si="121"/>
        <v>1</v>
      </c>
      <c r="J167" s="43">
        <f t="shared" si="121"/>
        <v>1</v>
      </c>
      <c r="K167" s="43" t="e">
        <f>K166+ATM_Conf!$C$5*(T166-AC166)</f>
        <v>#DIV/0!</v>
      </c>
      <c r="L167" s="43" t="e">
        <f>L166+ATM_Conf!$C$5*(U166-AD166)</f>
        <v>#DIV/0!</v>
      </c>
      <c r="M167" s="43" t="e">
        <f>M166+ATM_Conf!$C$5*(V166-AE166)</f>
        <v>#DIV/0!</v>
      </c>
      <c r="N167" s="43" t="e">
        <f>N166+ATM_Conf!$C$5*(W166-AF166)</f>
        <v>#DIV/0!</v>
      </c>
      <c r="O167" s="43" t="e">
        <f>O166+ATM_Conf!$C$5*(X166-AG166)</f>
        <v>#DIV/0!</v>
      </c>
      <c r="P167" s="43" t="e">
        <f>P166+ATM_Conf!$C$5*(Y166-AH166)</f>
        <v>#DIV/0!</v>
      </c>
      <c r="Q167" s="43" t="e">
        <f>Q166+ATM_Conf!$C$5*(Z166-AI166)</f>
        <v>#DIV/0!</v>
      </c>
      <c r="R167" s="43" t="e">
        <f>R166+ATM_Conf!$C$5*(AA166-AJ166)</f>
        <v>#DIV/0!</v>
      </c>
      <c r="S167" s="43" t="e">
        <f>S166+ATM_Conf!$C$5*(AB166-AK166)</f>
        <v>#DIV/0!</v>
      </c>
      <c r="T167" s="43">
        <f t="shared" si="117"/>
        <v>0</v>
      </c>
      <c r="U167" s="43">
        <f t="shared" si="114"/>
        <v>0</v>
      </c>
      <c r="V167" s="43">
        <f t="shared" si="114"/>
        <v>0</v>
      </c>
      <c r="W167" s="43">
        <f t="shared" si="114"/>
        <v>0</v>
      </c>
      <c r="X167" s="43">
        <f t="shared" si="114"/>
        <v>0</v>
      </c>
      <c r="Y167" s="43">
        <f t="shared" si="114"/>
        <v>0</v>
      </c>
      <c r="Z167" s="43">
        <f t="shared" si="114"/>
        <v>0</v>
      </c>
      <c r="AA167" s="43">
        <f t="shared" si="114"/>
        <v>0</v>
      </c>
      <c r="AB167" s="43">
        <f t="shared" si="114"/>
        <v>0</v>
      </c>
      <c r="AC167" s="43" t="e">
        <f t="shared" si="90"/>
        <v>#DIV/0!</v>
      </c>
      <c r="AD167" s="43" t="e">
        <f t="shared" si="91"/>
        <v>#DIV/0!</v>
      </c>
      <c r="AE167" s="43" t="e">
        <f t="shared" si="92"/>
        <v>#DIV/0!</v>
      </c>
      <c r="AF167" s="43" t="e">
        <f t="shared" si="93"/>
        <v>#DIV/0!</v>
      </c>
      <c r="AG167" s="43" t="e">
        <f t="shared" si="94"/>
        <v>#DIV/0!</v>
      </c>
      <c r="AH167" s="43" t="e">
        <f t="shared" si="95"/>
        <v>#DIV/0!</v>
      </c>
      <c r="AI167" s="43" t="e">
        <f t="shared" si="96"/>
        <v>#DIV/0!</v>
      </c>
      <c r="AJ167" s="43" t="e">
        <f t="shared" si="97"/>
        <v>#DIV/0!</v>
      </c>
      <c r="AK167" s="43" t="e">
        <f t="shared" si="98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118"/>
        <v>0</v>
      </c>
      <c r="BE167" s="43">
        <f t="shared" si="115"/>
        <v>0</v>
      </c>
      <c r="BF167" s="43">
        <f t="shared" si="115"/>
        <v>0</v>
      </c>
      <c r="BG167" s="43">
        <f t="shared" si="115"/>
        <v>0</v>
      </c>
      <c r="BH167" s="43">
        <f t="shared" si="115"/>
        <v>0</v>
      </c>
      <c r="BI167" s="43">
        <f t="shared" si="115"/>
        <v>0</v>
      </c>
      <c r="BJ167" s="43">
        <f t="shared" si="115"/>
        <v>0</v>
      </c>
      <c r="BK167" s="43">
        <f t="shared" si="115"/>
        <v>0</v>
      </c>
      <c r="BL167" s="43">
        <f t="shared" si="115"/>
        <v>0</v>
      </c>
      <c r="BM167" s="51"/>
      <c r="BN167" s="51"/>
      <c r="BO167" s="51"/>
      <c r="BP167" s="51"/>
      <c r="BQ167" s="51"/>
      <c r="BR167" s="51"/>
      <c r="BS167" s="51"/>
      <c r="BT167" s="51"/>
      <c r="BU167" s="51"/>
      <c r="BV167" s="51" t="e">
        <f t="shared" si="99"/>
        <v>#DIV/0!</v>
      </c>
      <c r="BW167" s="51" t="e">
        <f t="shared" si="100"/>
        <v>#DIV/0!</v>
      </c>
      <c r="BX167" s="51" t="e">
        <f t="shared" si="101"/>
        <v>#DIV/0!</v>
      </c>
      <c r="BY167" s="51" t="e">
        <f t="shared" si="102"/>
        <v>#DIV/0!</v>
      </c>
      <c r="BZ167" s="51" t="e">
        <f t="shared" si="103"/>
        <v>#DIV/0!</v>
      </c>
      <c r="CA167" s="51" t="e">
        <f t="shared" si="104"/>
        <v>#DIV/0!</v>
      </c>
      <c r="CB167" s="51" t="e">
        <f t="shared" si="105"/>
        <v>#DIV/0!</v>
      </c>
      <c r="CC167" s="51" t="e">
        <f t="shared" si="106"/>
        <v>#DIV/0!</v>
      </c>
      <c r="CD167" s="51" t="e">
        <f t="shared" si="107"/>
        <v>#DIV/0!</v>
      </c>
      <c r="CE167" s="53">
        <f t="shared" si="120"/>
        <v>0</v>
      </c>
      <c r="CF167" s="53">
        <f t="shared" si="116"/>
        <v>0</v>
      </c>
      <c r="CG167" s="53">
        <f t="shared" si="116"/>
        <v>0</v>
      </c>
      <c r="CH167" s="53">
        <f t="shared" si="116"/>
        <v>0</v>
      </c>
      <c r="CI167" s="53">
        <f t="shared" si="116"/>
        <v>0</v>
      </c>
      <c r="CJ167" s="53">
        <f t="shared" si="116"/>
        <v>0</v>
      </c>
      <c r="CK167" s="53">
        <f t="shared" si="116"/>
        <v>0</v>
      </c>
      <c r="CL167" s="53">
        <f t="shared" si="116"/>
        <v>0</v>
      </c>
      <c r="CM167" s="53">
        <f t="shared" si="116"/>
        <v>0</v>
      </c>
    </row>
    <row r="168" spans="1:91" x14ac:dyDescent="0.15">
      <c r="A168" s="41">
        <v>166</v>
      </c>
      <c r="B168" s="43">
        <f t="shared" si="122"/>
        <v>1</v>
      </c>
      <c r="C168" s="43">
        <f t="shared" si="121"/>
        <v>1</v>
      </c>
      <c r="D168" s="43">
        <f t="shared" si="121"/>
        <v>1</v>
      </c>
      <c r="E168" s="43">
        <f t="shared" si="121"/>
        <v>1</v>
      </c>
      <c r="F168" s="43">
        <f t="shared" si="121"/>
        <v>1</v>
      </c>
      <c r="G168" s="43">
        <f t="shared" si="121"/>
        <v>1</v>
      </c>
      <c r="H168" s="43">
        <f t="shared" si="121"/>
        <v>1</v>
      </c>
      <c r="I168" s="43">
        <f t="shared" si="121"/>
        <v>1</v>
      </c>
      <c r="J168" s="43">
        <f t="shared" si="121"/>
        <v>1</v>
      </c>
      <c r="K168" s="43" t="e">
        <f>K167+ATM_Conf!$C$5*(T167-AC167)</f>
        <v>#DIV/0!</v>
      </c>
      <c r="L168" s="43" t="e">
        <f>L167+ATM_Conf!$C$5*(U167-AD167)</f>
        <v>#DIV/0!</v>
      </c>
      <c r="M168" s="43" t="e">
        <f>M167+ATM_Conf!$C$5*(V167-AE167)</f>
        <v>#DIV/0!</v>
      </c>
      <c r="N168" s="43" t="e">
        <f>N167+ATM_Conf!$C$5*(W167-AF167)</f>
        <v>#DIV/0!</v>
      </c>
      <c r="O168" s="43" t="e">
        <f>O167+ATM_Conf!$C$5*(X167-AG167)</f>
        <v>#DIV/0!</v>
      </c>
      <c r="P168" s="43" t="e">
        <f>P167+ATM_Conf!$C$5*(Y167-AH167)</f>
        <v>#DIV/0!</v>
      </c>
      <c r="Q168" s="43" t="e">
        <f>Q167+ATM_Conf!$C$5*(Z167-AI167)</f>
        <v>#DIV/0!</v>
      </c>
      <c r="R168" s="43" t="e">
        <f>R167+ATM_Conf!$C$5*(AA167-AJ167)</f>
        <v>#DIV/0!</v>
      </c>
      <c r="S168" s="43" t="e">
        <f>S167+ATM_Conf!$C$5*(AB167-AK167)</f>
        <v>#DIV/0!</v>
      </c>
      <c r="T168" s="43">
        <f t="shared" si="117"/>
        <v>0</v>
      </c>
      <c r="U168" s="43">
        <f t="shared" si="114"/>
        <v>0</v>
      </c>
      <c r="V168" s="43">
        <f t="shared" si="114"/>
        <v>0</v>
      </c>
      <c r="W168" s="43">
        <f t="shared" si="114"/>
        <v>0</v>
      </c>
      <c r="X168" s="43">
        <f t="shared" si="114"/>
        <v>0</v>
      </c>
      <c r="Y168" s="43">
        <f t="shared" si="114"/>
        <v>0</v>
      </c>
      <c r="Z168" s="43">
        <f t="shared" si="114"/>
        <v>0</v>
      </c>
      <c r="AA168" s="43">
        <f t="shared" si="114"/>
        <v>0</v>
      </c>
      <c r="AB168" s="43">
        <f t="shared" si="114"/>
        <v>0</v>
      </c>
      <c r="AC168" s="43" t="e">
        <f t="shared" si="90"/>
        <v>#DIV/0!</v>
      </c>
      <c r="AD168" s="43" t="e">
        <f t="shared" si="91"/>
        <v>#DIV/0!</v>
      </c>
      <c r="AE168" s="43" t="e">
        <f t="shared" si="92"/>
        <v>#DIV/0!</v>
      </c>
      <c r="AF168" s="43" t="e">
        <f t="shared" si="93"/>
        <v>#DIV/0!</v>
      </c>
      <c r="AG168" s="43" t="e">
        <f t="shared" si="94"/>
        <v>#DIV/0!</v>
      </c>
      <c r="AH168" s="43" t="e">
        <f t="shared" si="95"/>
        <v>#DIV/0!</v>
      </c>
      <c r="AI168" s="43" t="e">
        <f t="shared" si="96"/>
        <v>#DIV/0!</v>
      </c>
      <c r="AJ168" s="43" t="e">
        <f t="shared" si="97"/>
        <v>#DIV/0!</v>
      </c>
      <c r="AK168" s="43" t="e">
        <f t="shared" si="98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118"/>
        <v>0</v>
      </c>
      <c r="BE168" s="43">
        <f t="shared" si="115"/>
        <v>0</v>
      </c>
      <c r="BF168" s="43">
        <f t="shared" si="115"/>
        <v>0</v>
      </c>
      <c r="BG168" s="43">
        <f t="shared" si="115"/>
        <v>0</v>
      </c>
      <c r="BH168" s="43">
        <f t="shared" si="115"/>
        <v>0</v>
      </c>
      <c r="BI168" s="43">
        <f t="shared" si="115"/>
        <v>0</v>
      </c>
      <c r="BJ168" s="43">
        <f t="shared" si="115"/>
        <v>0</v>
      </c>
      <c r="BK168" s="43">
        <f t="shared" si="115"/>
        <v>0</v>
      </c>
      <c r="BL168" s="43">
        <f t="shared" si="115"/>
        <v>0</v>
      </c>
      <c r="BM168" s="51"/>
      <c r="BN168" s="51"/>
      <c r="BO168" s="51"/>
      <c r="BP168" s="51"/>
      <c r="BQ168" s="51"/>
      <c r="BR168" s="51"/>
      <c r="BS168" s="51"/>
      <c r="BT168" s="51"/>
      <c r="BU168" s="51"/>
      <c r="BV168" s="51" t="e">
        <f t="shared" si="99"/>
        <v>#DIV/0!</v>
      </c>
      <c r="BW168" s="51" t="e">
        <f t="shared" si="100"/>
        <v>#DIV/0!</v>
      </c>
      <c r="BX168" s="51" t="e">
        <f t="shared" si="101"/>
        <v>#DIV/0!</v>
      </c>
      <c r="BY168" s="51" t="e">
        <f t="shared" si="102"/>
        <v>#DIV/0!</v>
      </c>
      <c r="BZ168" s="51" t="e">
        <f t="shared" si="103"/>
        <v>#DIV/0!</v>
      </c>
      <c r="CA168" s="51" t="e">
        <f t="shared" si="104"/>
        <v>#DIV/0!</v>
      </c>
      <c r="CB168" s="51" t="e">
        <f t="shared" si="105"/>
        <v>#DIV/0!</v>
      </c>
      <c r="CC168" s="51" t="e">
        <f t="shared" si="106"/>
        <v>#DIV/0!</v>
      </c>
      <c r="CD168" s="51" t="e">
        <f t="shared" si="107"/>
        <v>#DIV/0!</v>
      </c>
      <c r="CE168" s="53">
        <f t="shared" si="120"/>
        <v>0</v>
      </c>
      <c r="CF168" s="53">
        <f t="shared" si="116"/>
        <v>0</v>
      </c>
      <c r="CG168" s="53">
        <f t="shared" si="116"/>
        <v>0</v>
      </c>
      <c r="CH168" s="53">
        <f t="shared" si="116"/>
        <v>0</v>
      </c>
      <c r="CI168" s="53">
        <f t="shared" si="116"/>
        <v>0</v>
      </c>
      <c r="CJ168" s="53">
        <f t="shared" si="116"/>
        <v>0</v>
      </c>
      <c r="CK168" s="53">
        <f t="shared" si="116"/>
        <v>0</v>
      </c>
      <c r="CL168" s="53">
        <f t="shared" si="116"/>
        <v>0</v>
      </c>
      <c r="CM168" s="53">
        <f t="shared" si="116"/>
        <v>0</v>
      </c>
    </row>
    <row r="169" spans="1:91" x14ac:dyDescent="0.15">
      <c r="A169" s="41">
        <v>167</v>
      </c>
      <c r="B169" s="43">
        <f t="shared" si="122"/>
        <v>1</v>
      </c>
      <c r="C169" s="43">
        <f t="shared" si="121"/>
        <v>1</v>
      </c>
      <c r="D169" s="43">
        <f t="shared" si="121"/>
        <v>1</v>
      </c>
      <c r="E169" s="43">
        <f t="shared" si="121"/>
        <v>1</v>
      </c>
      <c r="F169" s="43">
        <f t="shared" si="121"/>
        <v>1</v>
      </c>
      <c r="G169" s="43">
        <f t="shared" si="121"/>
        <v>1</v>
      </c>
      <c r="H169" s="43">
        <f t="shared" si="121"/>
        <v>1</v>
      </c>
      <c r="I169" s="43">
        <f t="shared" si="121"/>
        <v>1</v>
      </c>
      <c r="J169" s="43">
        <f t="shared" si="121"/>
        <v>1</v>
      </c>
      <c r="K169" s="43" t="e">
        <f>K168+ATM_Conf!$C$5*(T168-AC168)</f>
        <v>#DIV/0!</v>
      </c>
      <c r="L169" s="43" t="e">
        <f>L168+ATM_Conf!$C$5*(U168-AD168)</f>
        <v>#DIV/0!</v>
      </c>
      <c r="M169" s="43" t="e">
        <f>M168+ATM_Conf!$C$5*(V168-AE168)</f>
        <v>#DIV/0!</v>
      </c>
      <c r="N169" s="43" t="e">
        <f>N168+ATM_Conf!$C$5*(W168-AF168)</f>
        <v>#DIV/0!</v>
      </c>
      <c r="O169" s="43" t="e">
        <f>O168+ATM_Conf!$C$5*(X168-AG168)</f>
        <v>#DIV/0!</v>
      </c>
      <c r="P169" s="43" t="e">
        <f>P168+ATM_Conf!$C$5*(Y168-AH168)</f>
        <v>#DIV/0!</v>
      </c>
      <c r="Q169" s="43" t="e">
        <f>Q168+ATM_Conf!$C$5*(Z168-AI168)</f>
        <v>#DIV/0!</v>
      </c>
      <c r="R169" s="43" t="e">
        <f>R168+ATM_Conf!$C$5*(AA168-AJ168)</f>
        <v>#DIV/0!</v>
      </c>
      <c r="S169" s="43" t="e">
        <f>S168+ATM_Conf!$C$5*(AB168-AK168)</f>
        <v>#DIV/0!</v>
      </c>
      <c r="T169" s="43">
        <f t="shared" si="117"/>
        <v>0</v>
      </c>
      <c r="U169" s="43">
        <f t="shared" si="114"/>
        <v>0</v>
      </c>
      <c r="V169" s="43">
        <f t="shared" si="114"/>
        <v>0</v>
      </c>
      <c r="W169" s="43">
        <f t="shared" si="114"/>
        <v>0</v>
      </c>
      <c r="X169" s="43">
        <f t="shared" si="114"/>
        <v>0</v>
      </c>
      <c r="Y169" s="43">
        <f t="shared" si="114"/>
        <v>0</v>
      </c>
      <c r="Z169" s="43">
        <f t="shared" si="114"/>
        <v>0</v>
      </c>
      <c r="AA169" s="43">
        <f t="shared" si="114"/>
        <v>0</v>
      </c>
      <c r="AB169" s="43">
        <f t="shared" si="114"/>
        <v>0</v>
      </c>
      <c r="AC169" s="43" t="e">
        <f t="shared" si="90"/>
        <v>#DIV/0!</v>
      </c>
      <c r="AD169" s="43" t="e">
        <f t="shared" si="91"/>
        <v>#DIV/0!</v>
      </c>
      <c r="AE169" s="43" t="e">
        <f t="shared" si="92"/>
        <v>#DIV/0!</v>
      </c>
      <c r="AF169" s="43" t="e">
        <f t="shared" si="93"/>
        <v>#DIV/0!</v>
      </c>
      <c r="AG169" s="43" t="e">
        <f t="shared" si="94"/>
        <v>#DIV/0!</v>
      </c>
      <c r="AH169" s="43" t="e">
        <f t="shared" si="95"/>
        <v>#DIV/0!</v>
      </c>
      <c r="AI169" s="43" t="e">
        <f t="shared" si="96"/>
        <v>#DIV/0!</v>
      </c>
      <c r="AJ169" s="43" t="e">
        <f t="shared" si="97"/>
        <v>#DIV/0!</v>
      </c>
      <c r="AK169" s="43" t="e">
        <f t="shared" si="98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118"/>
        <v>0</v>
      </c>
      <c r="BE169" s="43">
        <f t="shared" si="115"/>
        <v>0</v>
      </c>
      <c r="BF169" s="43">
        <f t="shared" si="115"/>
        <v>0</v>
      </c>
      <c r="BG169" s="43">
        <f t="shared" si="115"/>
        <v>0</v>
      </c>
      <c r="BH169" s="43">
        <f t="shared" si="115"/>
        <v>0</v>
      </c>
      <c r="BI169" s="43">
        <f t="shared" si="115"/>
        <v>0</v>
      </c>
      <c r="BJ169" s="43">
        <f t="shared" si="115"/>
        <v>0</v>
      </c>
      <c r="BK169" s="43">
        <f t="shared" si="115"/>
        <v>0</v>
      </c>
      <c r="BL169" s="43">
        <f t="shared" si="115"/>
        <v>0</v>
      </c>
      <c r="BM169" s="51"/>
      <c r="BN169" s="51"/>
      <c r="BO169" s="51"/>
      <c r="BP169" s="51"/>
      <c r="BQ169" s="51"/>
      <c r="BR169" s="51"/>
      <c r="BS169" s="51"/>
      <c r="BT169" s="51"/>
      <c r="BU169" s="51"/>
      <c r="BV169" s="51" t="e">
        <f t="shared" si="99"/>
        <v>#DIV/0!</v>
      </c>
      <c r="BW169" s="51" t="e">
        <f t="shared" si="100"/>
        <v>#DIV/0!</v>
      </c>
      <c r="BX169" s="51" t="e">
        <f t="shared" si="101"/>
        <v>#DIV/0!</v>
      </c>
      <c r="BY169" s="51" t="e">
        <f t="shared" si="102"/>
        <v>#DIV/0!</v>
      </c>
      <c r="BZ169" s="51" t="e">
        <f t="shared" si="103"/>
        <v>#DIV/0!</v>
      </c>
      <c r="CA169" s="51" t="e">
        <f t="shared" si="104"/>
        <v>#DIV/0!</v>
      </c>
      <c r="CB169" s="51" t="e">
        <f t="shared" si="105"/>
        <v>#DIV/0!</v>
      </c>
      <c r="CC169" s="51" t="e">
        <f t="shared" si="106"/>
        <v>#DIV/0!</v>
      </c>
      <c r="CD169" s="51" t="e">
        <f t="shared" si="107"/>
        <v>#DIV/0!</v>
      </c>
      <c r="CE169" s="53">
        <f t="shared" si="120"/>
        <v>0</v>
      </c>
      <c r="CF169" s="53">
        <f t="shared" si="116"/>
        <v>0</v>
      </c>
      <c r="CG169" s="53">
        <f t="shared" si="116"/>
        <v>0</v>
      </c>
      <c r="CH169" s="53">
        <f t="shared" si="116"/>
        <v>0</v>
      </c>
      <c r="CI169" s="53">
        <f t="shared" si="116"/>
        <v>0</v>
      </c>
      <c r="CJ169" s="53">
        <f t="shared" si="116"/>
        <v>0</v>
      </c>
      <c r="CK169" s="53">
        <f t="shared" si="116"/>
        <v>0</v>
      </c>
      <c r="CL169" s="53">
        <f t="shared" si="116"/>
        <v>0</v>
      </c>
      <c r="CM169" s="53">
        <f t="shared" si="116"/>
        <v>0</v>
      </c>
    </row>
    <row r="170" spans="1:91" x14ac:dyDescent="0.15">
      <c r="A170" s="41">
        <v>168</v>
      </c>
      <c r="B170" s="43">
        <f t="shared" si="122"/>
        <v>1</v>
      </c>
      <c r="C170" s="43">
        <f t="shared" si="121"/>
        <v>1</v>
      </c>
      <c r="D170" s="43">
        <f t="shared" si="121"/>
        <v>1</v>
      </c>
      <c r="E170" s="43">
        <f t="shared" si="121"/>
        <v>1</v>
      </c>
      <c r="F170" s="43">
        <f t="shared" si="121"/>
        <v>1</v>
      </c>
      <c r="G170" s="43">
        <f t="shared" si="121"/>
        <v>1</v>
      </c>
      <c r="H170" s="43">
        <f t="shared" si="121"/>
        <v>1</v>
      </c>
      <c r="I170" s="43">
        <f t="shared" si="121"/>
        <v>1</v>
      </c>
      <c r="J170" s="43">
        <f t="shared" si="121"/>
        <v>1</v>
      </c>
      <c r="K170" s="43" t="e">
        <f>K169+ATM_Conf!$C$5*(T169-AC169)</f>
        <v>#DIV/0!</v>
      </c>
      <c r="L170" s="43" t="e">
        <f>L169+ATM_Conf!$C$5*(U169-AD169)</f>
        <v>#DIV/0!</v>
      </c>
      <c r="M170" s="43" t="e">
        <f>M169+ATM_Conf!$C$5*(V169-AE169)</f>
        <v>#DIV/0!</v>
      </c>
      <c r="N170" s="43" t="e">
        <f>N169+ATM_Conf!$C$5*(W169-AF169)</f>
        <v>#DIV/0!</v>
      </c>
      <c r="O170" s="43" t="e">
        <f>O169+ATM_Conf!$C$5*(X169-AG169)</f>
        <v>#DIV/0!</v>
      </c>
      <c r="P170" s="43" t="e">
        <f>P169+ATM_Conf!$C$5*(Y169-AH169)</f>
        <v>#DIV/0!</v>
      </c>
      <c r="Q170" s="43" t="e">
        <f>Q169+ATM_Conf!$C$5*(Z169-AI169)</f>
        <v>#DIV/0!</v>
      </c>
      <c r="R170" s="43" t="e">
        <f>R169+ATM_Conf!$C$5*(AA169-AJ169)</f>
        <v>#DIV/0!</v>
      </c>
      <c r="S170" s="43" t="e">
        <f>S169+ATM_Conf!$C$5*(AB169-AK169)</f>
        <v>#DIV/0!</v>
      </c>
      <c r="T170" s="43">
        <f t="shared" si="117"/>
        <v>0</v>
      </c>
      <c r="U170" s="43">
        <f t="shared" si="114"/>
        <v>0</v>
      </c>
      <c r="V170" s="43">
        <f t="shared" si="114"/>
        <v>0</v>
      </c>
      <c r="W170" s="43">
        <f t="shared" si="114"/>
        <v>0</v>
      </c>
      <c r="X170" s="43">
        <f t="shared" si="114"/>
        <v>0</v>
      </c>
      <c r="Y170" s="43">
        <f t="shared" si="114"/>
        <v>0</v>
      </c>
      <c r="Z170" s="43">
        <f t="shared" si="114"/>
        <v>0</v>
      </c>
      <c r="AA170" s="43">
        <f t="shared" si="114"/>
        <v>0</v>
      </c>
      <c r="AB170" s="43">
        <f t="shared" si="114"/>
        <v>0</v>
      </c>
      <c r="AC170" s="43" t="e">
        <f t="shared" si="90"/>
        <v>#DIV/0!</v>
      </c>
      <c r="AD170" s="43" t="e">
        <f t="shared" si="91"/>
        <v>#DIV/0!</v>
      </c>
      <c r="AE170" s="43" t="e">
        <f t="shared" si="92"/>
        <v>#DIV/0!</v>
      </c>
      <c r="AF170" s="43" t="e">
        <f t="shared" si="93"/>
        <v>#DIV/0!</v>
      </c>
      <c r="AG170" s="43" t="e">
        <f t="shared" si="94"/>
        <v>#DIV/0!</v>
      </c>
      <c r="AH170" s="43" t="e">
        <f t="shared" si="95"/>
        <v>#DIV/0!</v>
      </c>
      <c r="AI170" s="43" t="e">
        <f t="shared" si="96"/>
        <v>#DIV/0!</v>
      </c>
      <c r="AJ170" s="43" t="e">
        <f t="shared" si="97"/>
        <v>#DIV/0!</v>
      </c>
      <c r="AK170" s="43" t="e">
        <f t="shared" si="98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118"/>
        <v>0</v>
      </c>
      <c r="BE170" s="43">
        <f t="shared" si="115"/>
        <v>0</v>
      </c>
      <c r="BF170" s="43">
        <f t="shared" si="115"/>
        <v>0</v>
      </c>
      <c r="BG170" s="43">
        <f t="shared" si="115"/>
        <v>0</v>
      </c>
      <c r="BH170" s="43">
        <f t="shared" si="115"/>
        <v>0</v>
      </c>
      <c r="BI170" s="43">
        <f t="shared" si="115"/>
        <v>0</v>
      </c>
      <c r="BJ170" s="43">
        <f t="shared" si="115"/>
        <v>0</v>
      </c>
      <c r="BK170" s="43">
        <f t="shared" si="115"/>
        <v>0</v>
      </c>
      <c r="BL170" s="43">
        <f t="shared" si="115"/>
        <v>0</v>
      </c>
      <c r="BM170" s="51"/>
      <c r="BN170" s="51"/>
      <c r="BO170" s="51"/>
      <c r="BP170" s="51"/>
      <c r="BQ170" s="51"/>
      <c r="BR170" s="51"/>
      <c r="BS170" s="51"/>
      <c r="BT170" s="51"/>
      <c r="BU170" s="51"/>
      <c r="BV170" s="51" t="e">
        <f t="shared" si="99"/>
        <v>#DIV/0!</v>
      </c>
      <c r="BW170" s="51" t="e">
        <f t="shared" si="100"/>
        <v>#DIV/0!</v>
      </c>
      <c r="BX170" s="51" t="e">
        <f t="shared" si="101"/>
        <v>#DIV/0!</v>
      </c>
      <c r="BY170" s="51" t="e">
        <f t="shared" si="102"/>
        <v>#DIV/0!</v>
      </c>
      <c r="BZ170" s="51" t="e">
        <f t="shared" si="103"/>
        <v>#DIV/0!</v>
      </c>
      <c r="CA170" s="51" t="e">
        <f t="shared" si="104"/>
        <v>#DIV/0!</v>
      </c>
      <c r="CB170" s="51" t="e">
        <f t="shared" si="105"/>
        <v>#DIV/0!</v>
      </c>
      <c r="CC170" s="51" t="e">
        <f t="shared" si="106"/>
        <v>#DIV/0!</v>
      </c>
      <c r="CD170" s="51" t="e">
        <f t="shared" si="107"/>
        <v>#DIV/0!</v>
      </c>
      <c r="CE170" s="53">
        <f t="shared" si="120"/>
        <v>0</v>
      </c>
      <c r="CF170" s="53">
        <f t="shared" si="116"/>
        <v>0</v>
      </c>
      <c r="CG170" s="53">
        <f t="shared" si="116"/>
        <v>0</v>
      </c>
      <c r="CH170" s="53">
        <f t="shared" si="116"/>
        <v>0</v>
      </c>
      <c r="CI170" s="53">
        <f t="shared" si="116"/>
        <v>0</v>
      </c>
      <c r="CJ170" s="53">
        <f t="shared" si="116"/>
        <v>0</v>
      </c>
      <c r="CK170" s="53">
        <f t="shared" si="116"/>
        <v>0</v>
      </c>
      <c r="CL170" s="53">
        <f t="shared" si="116"/>
        <v>0</v>
      </c>
      <c r="CM170" s="53">
        <f t="shared" si="116"/>
        <v>0</v>
      </c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 t="e">
        <f>K170+ATM_Conf!$C$5*(T170-AC170)</f>
        <v>#DIV/0!</v>
      </c>
      <c r="L171" s="43" t="e">
        <f>L170+ATM_Conf!$C$5*(U170-AD170)</f>
        <v>#DIV/0!</v>
      </c>
      <c r="M171" s="43" t="e">
        <f>M170+ATM_Conf!$C$5*(V170-AE170)</f>
        <v>#DIV/0!</v>
      </c>
      <c r="N171" s="43" t="e">
        <f>N170+ATM_Conf!$C$5*(W170-AF170)</f>
        <v>#DIV/0!</v>
      </c>
      <c r="O171" s="43" t="e">
        <f>O170+ATM_Conf!$C$5*(X170-AG170)</f>
        <v>#DIV/0!</v>
      </c>
      <c r="P171" s="43" t="e">
        <f>P170+ATM_Conf!$C$5*(Y170-AH170)</f>
        <v>#DIV/0!</v>
      </c>
      <c r="Q171" s="43" t="e">
        <f>Q170+ATM_Conf!$C$5*(Z170-AI170)</f>
        <v>#DIV/0!</v>
      </c>
      <c r="R171" s="43" t="e">
        <f>R170+ATM_Conf!$C$5*(AA170-AJ170)</f>
        <v>#DIV/0!</v>
      </c>
      <c r="S171" s="43" t="e">
        <f>S170+ATM_Conf!$C$5*(AB170-AK170)</f>
        <v>#DIV/0!</v>
      </c>
      <c r="T171" s="43">
        <f t="shared" si="117"/>
        <v>0</v>
      </c>
      <c r="U171" s="43">
        <f t="shared" si="114"/>
        <v>0</v>
      </c>
      <c r="V171" s="43">
        <f t="shared" si="114"/>
        <v>0</v>
      </c>
      <c r="W171" s="43">
        <f t="shared" si="114"/>
        <v>0</v>
      </c>
      <c r="X171" s="43">
        <f t="shared" si="114"/>
        <v>0</v>
      </c>
      <c r="Y171" s="43">
        <f t="shared" si="114"/>
        <v>0</v>
      </c>
      <c r="Z171" s="43">
        <f t="shared" si="114"/>
        <v>0</v>
      </c>
      <c r="AA171" s="43">
        <f t="shared" si="114"/>
        <v>0</v>
      </c>
      <c r="AB171" s="43">
        <f t="shared" si="114"/>
        <v>0</v>
      </c>
      <c r="AC171" s="43" t="e">
        <f t="shared" si="90"/>
        <v>#DIV/0!</v>
      </c>
      <c r="AD171" s="43" t="e">
        <f t="shared" si="91"/>
        <v>#DIV/0!</v>
      </c>
      <c r="AE171" s="43" t="e">
        <f t="shared" si="92"/>
        <v>#DIV/0!</v>
      </c>
      <c r="AF171" s="43" t="e">
        <f t="shared" si="93"/>
        <v>#DIV/0!</v>
      </c>
      <c r="AG171" s="43" t="e">
        <f t="shared" si="94"/>
        <v>#DIV/0!</v>
      </c>
      <c r="AH171" s="43" t="e">
        <f t="shared" si="95"/>
        <v>#DIV/0!</v>
      </c>
      <c r="AI171" s="43" t="e">
        <f t="shared" si="96"/>
        <v>#DIV/0!</v>
      </c>
      <c r="AJ171" s="43" t="e">
        <f t="shared" si="97"/>
        <v>#DIV/0!</v>
      </c>
      <c r="AK171" s="43" t="e">
        <f t="shared" si="98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118"/>
        <v>0</v>
      </c>
      <c r="BE171" s="43">
        <f t="shared" si="115"/>
        <v>0</v>
      </c>
      <c r="BF171" s="43">
        <f t="shared" si="115"/>
        <v>0</v>
      </c>
      <c r="BG171" s="43">
        <f t="shared" si="115"/>
        <v>0</v>
      </c>
      <c r="BH171" s="43">
        <f t="shared" si="115"/>
        <v>0</v>
      </c>
      <c r="BI171" s="43">
        <f t="shared" si="115"/>
        <v>0</v>
      </c>
      <c r="BJ171" s="43">
        <f t="shared" si="115"/>
        <v>0</v>
      </c>
      <c r="BK171" s="43">
        <f t="shared" si="115"/>
        <v>0</v>
      </c>
      <c r="BL171" s="43">
        <f t="shared" si="115"/>
        <v>0</v>
      </c>
      <c r="BM171" s="51">
        <f>(B171-B159)^2</f>
        <v>0</v>
      </c>
      <c r="BN171" s="51">
        <f t="shared" ref="BN171:BU171" si="123">(C171-C159)^2</f>
        <v>0</v>
      </c>
      <c r="BO171" s="51">
        <f t="shared" si="123"/>
        <v>0</v>
      </c>
      <c r="BP171" s="51">
        <f t="shared" si="123"/>
        <v>0</v>
      </c>
      <c r="BQ171" s="51">
        <f t="shared" si="123"/>
        <v>0</v>
      </c>
      <c r="BR171" s="51">
        <f t="shared" si="123"/>
        <v>0</v>
      </c>
      <c r="BS171" s="51">
        <f t="shared" si="123"/>
        <v>0</v>
      </c>
      <c r="BT171" s="51">
        <f t="shared" si="123"/>
        <v>0</v>
      </c>
      <c r="BU171" s="51">
        <f t="shared" si="123"/>
        <v>0</v>
      </c>
      <c r="BV171" s="51" t="e">
        <f t="shared" si="99"/>
        <v>#DIV/0!</v>
      </c>
      <c r="BW171" s="51" t="e">
        <f t="shared" si="100"/>
        <v>#DIV/0!</v>
      </c>
      <c r="BX171" s="51" t="e">
        <f t="shared" si="101"/>
        <v>#DIV/0!</v>
      </c>
      <c r="BY171" s="51" t="e">
        <f t="shared" si="102"/>
        <v>#DIV/0!</v>
      </c>
      <c r="BZ171" s="51" t="e">
        <f t="shared" si="103"/>
        <v>#DIV/0!</v>
      </c>
      <c r="CA171" s="51" t="e">
        <f t="shared" si="104"/>
        <v>#DIV/0!</v>
      </c>
      <c r="CB171" s="51" t="e">
        <f t="shared" si="105"/>
        <v>#DIV/0!</v>
      </c>
      <c r="CC171" s="51" t="e">
        <f t="shared" si="106"/>
        <v>#DIV/0!</v>
      </c>
      <c r="CD171" s="51" t="e">
        <f t="shared" si="107"/>
        <v>#DIV/0!</v>
      </c>
      <c r="CE171" s="53">
        <f t="shared" si="120"/>
        <v>0</v>
      </c>
      <c r="CF171" s="53">
        <f t="shared" si="116"/>
        <v>0</v>
      </c>
      <c r="CG171" s="53">
        <f t="shared" si="116"/>
        <v>0</v>
      </c>
      <c r="CH171" s="53">
        <f t="shared" si="116"/>
        <v>0</v>
      </c>
      <c r="CI171" s="53">
        <f t="shared" si="116"/>
        <v>0</v>
      </c>
      <c r="CJ171" s="53">
        <f t="shared" si="116"/>
        <v>0</v>
      </c>
      <c r="CK171" s="53">
        <f t="shared" si="116"/>
        <v>0</v>
      </c>
      <c r="CL171" s="53">
        <f t="shared" si="116"/>
        <v>0</v>
      </c>
      <c r="CM171" s="53">
        <f t="shared" si="116"/>
        <v>0</v>
      </c>
    </row>
    <row r="172" spans="1:91" x14ac:dyDescent="0.15">
      <c r="A172" s="41">
        <v>170</v>
      </c>
      <c r="B172" s="43">
        <f>B$171</f>
        <v>1</v>
      </c>
      <c r="C172" s="43">
        <f t="shared" ref="C172:J182" si="124">C$171</f>
        <v>1</v>
      </c>
      <c r="D172" s="43">
        <f t="shared" si="124"/>
        <v>1</v>
      </c>
      <c r="E172" s="43">
        <f t="shared" si="124"/>
        <v>1</v>
      </c>
      <c r="F172" s="43">
        <f t="shared" si="124"/>
        <v>1</v>
      </c>
      <c r="G172" s="43">
        <f t="shared" si="124"/>
        <v>1</v>
      </c>
      <c r="H172" s="43">
        <f t="shared" si="124"/>
        <v>1</v>
      </c>
      <c r="I172" s="43">
        <f t="shared" si="124"/>
        <v>1</v>
      </c>
      <c r="J172" s="43">
        <f t="shared" si="124"/>
        <v>1</v>
      </c>
      <c r="K172" s="43" t="e">
        <f>K171+ATM_Conf!$C$5*(T171-AC171)</f>
        <v>#DIV/0!</v>
      </c>
      <c r="L172" s="43" t="e">
        <f>L171+ATM_Conf!$C$5*(U171-AD171)</f>
        <v>#DIV/0!</v>
      </c>
      <c r="M172" s="43" t="e">
        <f>M171+ATM_Conf!$C$5*(V171-AE171)</f>
        <v>#DIV/0!</v>
      </c>
      <c r="N172" s="43" t="e">
        <f>N171+ATM_Conf!$C$5*(W171-AF171)</f>
        <v>#DIV/0!</v>
      </c>
      <c r="O172" s="43" t="e">
        <f>O171+ATM_Conf!$C$5*(X171-AG171)</f>
        <v>#DIV/0!</v>
      </c>
      <c r="P172" s="43" t="e">
        <f>P171+ATM_Conf!$C$5*(Y171-AH171)</f>
        <v>#DIV/0!</v>
      </c>
      <c r="Q172" s="43" t="e">
        <f>Q171+ATM_Conf!$C$5*(Z171-AI171)</f>
        <v>#DIV/0!</v>
      </c>
      <c r="R172" s="43" t="e">
        <f>R171+ATM_Conf!$C$5*(AA171-AJ171)</f>
        <v>#DIV/0!</v>
      </c>
      <c r="S172" s="43" t="e">
        <f>S171+ATM_Conf!$C$5*(AB171-AK171)</f>
        <v>#DIV/0!</v>
      </c>
      <c r="T172" s="43">
        <f t="shared" si="117"/>
        <v>0</v>
      </c>
      <c r="U172" s="43">
        <f t="shared" si="114"/>
        <v>0</v>
      </c>
      <c r="V172" s="43">
        <f t="shared" si="114"/>
        <v>0</v>
      </c>
      <c r="W172" s="43">
        <f t="shared" si="114"/>
        <v>0</v>
      </c>
      <c r="X172" s="43">
        <f t="shared" si="114"/>
        <v>0</v>
      </c>
      <c r="Y172" s="43">
        <f t="shared" si="114"/>
        <v>0</v>
      </c>
      <c r="Z172" s="43">
        <f t="shared" si="114"/>
        <v>0</v>
      </c>
      <c r="AA172" s="43">
        <f t="shared" si="114"/>
        <v>0</v>
      </c>
      <c r="AB172" s="43">
        <f t="shared" si="114"/>
        <v>0</v>
      </c>
      <c r="AC172" s="43" t="e">
        <f t="shared" si="90"/>
        <v>#DIV/0!</v>
      </c>
      <c r="AD172" s="43" t="e">
        <f t="shared" si="91"/>
        <v>#DIV/0!</v>
      </c>
      <c r="AE172" s="43" t="e">
        <f t="shared" si="92"/>
        <v>#DIV/0!</v>
      </c>
      <c r="AF172" s="43" t="e">
        <f t="shared" si="93"/>
        <v>#DIV/0!</v>
      </c>
      <c r="AG172" s="43" t="e">
        <f t="shared" si="94"/>
        <v>#DIV/0!</v>
      </c>
      <c r="AH172" s="43" t="e">
        <f t="shared" si="95"/>
        <v>#DIV/0!</v>
      </c>
      <c r="AI172" s="43" t="e">
        <f t="shared" si="96"/>
        <v>#DIV/0!</v>
      </c>
      <c r="AJ172" s="43" t="e">
        <f t="shared" si="97"/>
        <v>#DIV/0!</v>
      </c>
      <c r="AK172" s="43" t="e">
        <f t="shared" si="98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118"/>
        <v>0</v>
      </c>
      <c r="BE172" s="43">
        <f t="shared" si="115"/>
        <v>0</v>
      </c>
      <c r="BF172" s="43">
        <f t="shared" si="115"/>
        <v>0</v>
      </c>
      <c r="BG172" s="43">
        <f t="shared" si="115"/>
        <v>0</v>
      </c>
      <c r="BH172" s="43">
        <f t="shared" si="115"/>
        <v>0</v>
      </c>
      <c r="BI172" s="43">
        <f t="shared" si="115"/>
        <v>0</v>
      </c>
      <c r="BJ172" s="43">
        <f t="shared" si="115"/>
        <v>0</v>
      </c>
      <c r="BK172" s="43">
        <f t="shared" si="115"/>
        <v>0</v>
      </c>
      <c r="BL172" s="43">
        <f t="shared" si="115"/>
        <v>0</v>
      </c>
      <c r="BM172" s="51"/>
      <c r="BN172" s="51"/>
      <c r="BO172" s="51"/>
      <c r="BP172" s="51"/>
      <c r="BQ172" s="51"/>
      <c r="BR172" s="51"/>
      <c r="BS172" s="51"/>
      <c r="BT172" s="51"/>
      <c r="BU172" s="51"/>
      <c r="BV172" s="51" t="e">
        <f t="shared" si="99"/>
        <v>#DIV/0!</v>
      </c>
      <c r="BW172" s="51" t="e">
        <f t="shared" si="100"/>
        <v>#DIV/0!</v>
      </c>
      <c r="BX172" s="51" t="e">
        <f t="shared" si="101"/>
        <v>#DIV/0!</v>
      </c>
      <c r="BY172" s="51" t="e">
        <f t="shared" si="102"/>
        <v>#DIV/0!</v>
      </c>
      <c r="BZ172" s="51" t="e">
        <f t="shared" si="103"/>
        <v>#DIV/0!</v>
      </c>
      <c r="CA172" s="51" t="e">
        <f t="shared" si="104"/>
        <v>#DIV/0!</v>
      </c>
      <c r="CB172" s="51" t="e">
        <f t="shared" si="105"/>
        <v>#DIV/0!</v>
      </c>
      <c r="CC172" s="51" t="e">
        <f t="shared" si="106"/>
        <v>#DIV/0!</v>
      </c>
      <c r="CD172" s="51" t="e">
        <f t="shared" si="107"/>
        <v>#DIV/0!</v>
      </c>
      <c r="CE172" s="53">
        <f t="shared" si="120"/>
        <v>0</v>
      </c>
      <c r="CF172" s="53">
        <f t="shared" si="116"/>
        <v>0</v>
      </c>
      <c r="CG172" s="53">
        <f t="shared" si="116"/>
        <v>0</v>
      </c>
      <c r="CH172" s="53">
        <f t="shared" si="116"/>
        <v>0</v>
      </c>
      <c r="CI172" s="53">
        <f t="shared" si="116"/>
        <v>0</v>
      </c>
      <c r="CJ172" s="53">
        <f t="shared" si="116"/>
        <v>0</v>
      </c>
      <c r="CK172" s="53">
        <f t="shared" si="116"/>
        <v>0</v>
      </c>
      <c r="CL172" s="53">
        <f t="shared" si="116"/>
        <v>0</v>
      </c>
      <c r="CM172" s="53">
        <f t="shared" si="116"/>
        <v>0</v>
      </c>
    </row>
    <row r="173" spans="1:91" x14ac:dyDescent="0.15">
      <c r="A173" s="41">
        <v>171</v>
      </c>
      <c r="B173" s="43">
        <f t="shared" ref="B173:B182" si="125">B$171</f>
        <v>1</v>
      </c>
      <c r="C173" s="43">
        <f t="shared" si="124"/>
        <v>1</v>
      </c>
      <c r="D173" s="43">
        <f t="shared" si="124"/>
        <v>1</v>
      </c>
      <c r="E173" s="43">
        <f t="shared" si="124"/>
        <v>1</v>
      </c>
      <c r="F173" s="43">
        <f t="shared" si="124"/>
        <v>1</v>
      </c>
      <c r="G173" s="43">
        <f t="shared" si="124"/>
        <v>1</v>
      </c>
      <c r="H173" s="43">
        <f t="shared" si="124"/>
        <v>1</v>
      </c>
      <c r="I173" s="43">
        <f t="shared" si="124"/>
        <v>1</v>
      </c>
      <c r="J173" s="43">
        <f t="shared" si="124"/>
        <v>1</v>
      </c>
      <c r="K173" s="43" t="e">
        <f>K172+ATM_Conf!$C$5*(T172-AC172)</f>
        <v>#DIV/0!</v>
      </c>
      <c r="L173" s="43" t="e">
        <f>L172+ATM_Conf!$C$5*(U172-AD172)</f>
        <v>#DIV/0!</v>
      </c>
      <c r="M173" s="43" t="e">
        <f>M172+ATM_Conf!$C$5*(V172-AE172)</f>
        <v>#DIV/0!</v>
      </c>
      <c r="N173" s="43" t="e">
        <f>N172+ATM_Conf!$C$5*(W172-AF172)</f>
        <v>#DIV/0!</v>
      </c>
      <c r="O173" s="43" t="e">
        <f>O172+ATM_Conf!$C$5*(X172-AG172)</f>
        <v>#DIV/0!</v>
      </c>
      <c r="P173" s="43" t="e">
        <f>P172+ATM_Conf!$C$5*(Y172-AH172)</f>
        <v>#DIV/0!</v>
      </c>
      <c r="Q173" s="43" t="e">
        <f>Q172+ATM_Conf!$C$5*(Z172-AI172)</f>
        <v>#DIV/0!</v>
      </c>
      <c r="R173" s="43" t="e">
        <f>R172+ATM_Conf!$C$5*(AA172-AJ172)</f>
        <v>#DIV/0!</v>
      </c>
      <c r="S173" s="43" t="e">
        <f>S172+ATM_Conf!$C$5*(AB172-AK172)</f>
        <v>#DIV/0!</v>
      </c>
      <c r="T173" s="43">
        <f t="shared" si="117"/>
        <v>0</v>
      </c>
      <c r="U173" s="43">
        <f t="shared" si="114"/>
        <v>0</v>
      </c>
      <c r="V173" s="43">
        <f t="shared" si="114"/>
        <v>0</v>
      </c>
      <c r="W173" s="43">
        <f t="shared" si="114"/>
        <v>0</v>
      </c>
      <c r="X173" s="43">
        <f t="shared" si="114"/>
        <v>0</v>
      </c>
      <c r="Y173" s="43">
        <f t="shared" si="114"/>
        <v>0</v>
      </c>
      <c r="Z173" s="43">
        <f t="shared" si="114"/>
        <v>0</v>
      </c>
      <c r="AA173" s="43">
        <f t="shared" si="114"/>
        <v>0</v>
      </c>
      <c r="AB173" s="43">
        <f t="shared" si="114"/>
        <v>0</v>
      </c>
      <c r="AC173" s="43" t="e">
        <f t="shared" si="90"/>
        <v>#DIV/0!</v>
      </c>
      <c r="AD173" s="43" t="e">
        <f t="shared" si="91"/>
        <v>#DIV/0!</v>
      </c>
      <c r="AE173" s="43" t="e">
        <f t="shared" si="92"/>
        <v>#DIV/0!</v>
      </c>
      <c r="AF173" s="43" t="e">
        <f t="shared" si="93"/>
        <v>#DIV/0!</v>
      </c>
      <c r="AG173" s="43" t="e">
        <f t="shared" si="94"/>
        <v>#DIV/0!</v>
      </c>
      <c r="AH173" s="43" t="e">
        <f t="shared" si="95"/>
        <v>#DIV/0!</v>
      </c>
      <c r="AI173" s="43" t="e">
        <f t="shared" si="96"/>
        <v>#DIV/0!</v>
      </c>
      <c r="AJ173" s="43" t="e">
        <f t="shared" si="97"/>
        <v>#DIV/0!</v>
      </c>
      <c r="AK173" s="43" t="e">
        <f t="shared" si="98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118"/>
        <v>0</v>
      </c>
      <c r="BE173" s="43">
        <f t="shared" si="115"/>
        <v>0</v>
      </c>
      <c r="BF173" s="43">
        <f t="shared" si="115"/>
        <v>0</v>
      </c>
      <c r="BG173" s="43">
        <f t="shared" si="115"/>
        <v>0</v>
      </c>
      <c r="BH173" s="43">
        <f t="shared" si="115"/>
        <v>0</v>
      </c>
      <c r="BI173" s="43">
        <f t="shared" si="115"/>
        <v>0</v>
      </c>
      <c r="BJ173" s="43">
        <f t="shared" si="115"/>
        <v>0</v>
      </c>
      <c r="BK173" s="43">
        <f t="shared" si="115"/>
        <v>0</v>
      </c>
      <c r="BL173" s="43">
        <f t="shared" si="115"/>
        <v>0</v>
      </c>
      <c r="BM173" s="51"/>
      <c r="BN173" s="51"/>
      <c r="BO173" s="51"/>
      <c r="BP173" s="51"/>
      <c r="BQ173" s="51"/>
      <c r="BR173" s="51"/>
      <c r="BS173" s="51"/>
      <c r="BT173" s="51"/>
      <c r="BU173" s="51"/>
      <c r="BV173" s="51" t="e">
        <f t="shared" si="99"/>
        <v>#DIV/0!</v>
      </c>
      <c r="BW173" s="51" t="e">
        <f t="shared" si="100"/>
        <v>#DIV/0!</v>
      </c>
      <c r="BX173" s="51" t="e">
        <f t="shared" si="101"/>
        <v>#DIV/0!</v>
      </c>
      <c r="BY173" s="51" t="e">
        <f t="shared" si="102"/>
        <v>#DIV/0!</v>
      </c>
      <c r="BZ173" s="51" t="e">
        <f t="shared" si="103"/>
        <v>#DIV/0!</v>
      </c>
      <c r="CA173" s="51" t="e">
        <f t="shared" si="104"/>
        <v>#DIV/0!</v>
      </c>
      <c r="CB173" s="51" t="e">
        <f t="shared" si="105"/>
        <v>#DIV/0!</v>
      </c>
      <c r="CC173" s="51" t="e">
        <f t="shared" si="106"/>
        <v>#DIV/0!</v>
      </c>
      <c r="CD173" s="51" t="e">
        <f t="shared" si="107"/>
        <v>#DIV/0!</v>
      </c>
      <c r="CE173" s="53">
        <f t="shared" si="120"/>
        <v>0</v>
      </c>
      <c r="CF173" s="53">
        <f t="shared" si="116"/>
        <v>0</v>
      </c>
      <c r="CG173" s="53">
        <f t="shared" si="116"/>
        <v>0</v>
      </c>
      <c r="CH173" s="53">
        <f t="shared" si="116"/>
        <v>0</v>
      </c>
      <c r="CI173" s="53">
        <f t="shared" si="116"/>
        <v>0</v>
      </c>
      <c r="CJ173" s="53">
        <f t="shared" si="116"/>
        <v>0</v>
      </c>
      <c r="CK173" s="53">
        <f t="shared" si="116"/>
        <v>0</v>
      </c>
      <c r="CL173" s="53">
        <f t="shared" si="116"/>
        <v>0</v>
      </c>
      <c r="CM173" s="53">
        <f t="shared" si="116"/>
        <v>0</v>
      </c>
    </row>
    <row r="174" spans="1:91" x14ac:dyDescent="0.15">
      <c r="A174" s="41">
        <v>172</v>
      </c>
      <c r="B174" s="43">
        <f t="shared" si="125"/>
        <v>1</v>
      </c>
      <c r="C174" s="43">
        <f t="shared" si="124"/>
        <v>1</v>
      </c>
      <c r="D174" s="43">
        <f t="shared" si="124"/>
        <v>1</v>
      </c>
      <c r="E174" s="43">
        <f t="shared" si="124"/>
        <v>1</v>
      </c>
      <c r="F174" s="43">
        <f t="shared" si="124"/>
        <v>1</v>
      </c>
      <c r="G174" s="43">
        <f t="shared" si="124"/>
        <v>1</v>
      </c>
      <c r="H174" s="43">
        <f t="shared" si="124"/>
        <v>1</v>
      </c>
      <c r="I174" s="43">
        <f t="shared" si="124"/>
        <v>1</v>
      </c>
      <c r="J174" s="43">
        <f t="shared" si="124"/>
        <v>1</v>
      </c>
      <c r="K174" s="43" t="e">
        <f>K173+ATM_Conf!$C$5*(T173-AC173)</f>
        <v>#DIV/0!</v>
      </c>
      <c r="L174" s="43" t="e">
        <f>L173+ATM_Conf!$C$5*(U173-AD173)</f>
        <v>#DIV/0!</v>
      </c>
      <c r="M174" s="43" t="e">
        <f>M173+ATM_Conf!$C$5*(V173-AE173)</f>
        <v>#DIV/0!</v>
      </c>
      <c r="N174" s="43" t="e">
        <f>N173+ATM_Conf!$C$5*(W173-AF173)</f>
        <v>#DIV/0!</v>
      </c>
      <c r="O174" s="43" t="e">
        <f>O173+ATM_Conf!$C$5*(X173-AG173)</f>
        <v>#DIV/0!</v>
      </c>
      <c r="P174" s="43" t="e">
        <f>P173+ATM_Conf!$C$5*(Y173-AH173)</f>
        <v>#DIV/0!</v>
      </c>
      <c r="Q174" s="43" t="e">
        <f>Q173+ATM_Conf!$C$5*(Z173-AI173)</f>
        <v>#DIV/0!</v>
      </c>
      <c r="R174" s="43" t="e">
        <f>R173+ATM_Conf!$C$5*(AA173-AJ173)</f>
        <v>#DIV/0!</v>
      </c>
      <c r="S174" s="43" t="e">
        <f>S173+ATM_Conf!$C$5*(AB173-AK173)</f>
        <v>#DIV/0!</v>
      </c>
      <c r="T174" s="43">
        <f t="shared" si="117"/>
        <v>0</v>
      </c>
      <c r="U174" s="43">
        <f t="shared" si="114"/>
        <v>0</v>
      </c>
      <c r="V174" s="43">
        <f t="shared" si="114"/>
        <v>0</v>
      </c>
      <c r="W174" s="43">
        <f t="shared" si="114"/>
        <v>0</v>
      </c>
      <c r="X174" s="43">
        <f t="shared" si="114"/>
        <v>0</v>
      </c>
      <c r="Y174" s="43">
        <f t="shared" si="114"/>
        <v>0</v>
      </c>
      <c r="Z174" s="43">
        <f t="shared" si="114"/>
        <v>0</v>
      </c>
      <c r="AA174" s="43">
        <f t="shared" si="114"/>
        <v>0</v>
      </c>
      <c r="AB174" s="43">
        <f t="shared" si="114"/>
        <v>0</v>
      </c>
      <c r="AC174" s="43" t="e">
        <f t="shared" si="90"/>
        <v>#DIV/0!</v>
      </c>
      <c r="AD174" s="43" t="e">
        <f t="shared" si="91"/>
        <v>#DIV/0!</v>
      </c>
      <c r="AE174" s="43" t="e">
        <f t="shared" si="92"/>
        <v>#DIV/0!</v>
      </c>
      <c r="AF174" s="43" t="e">
        <f t="shared" si="93"/>
        <v>#DIV/0!</v>
      </c>
      <c r="AG174" s="43" t="e">
        <f t="shared" si="94"/>
        <v>#DIV/0!</v>
      </c>
      <c r="AH174" s="43" t="e">
        <f t="shared" si="95"/>
        <v>#DIV/0!</v>
      </c>
      <c r="AI174" s="43" t="e">
        <f t="shared" si="96"/>
        <v>#DIV/0!</v>
      </c>
      <c r="AJ174" s="43" t="e">
        <f t="shared" si="97"/>
        <v>#DIV/0!</v>
      </c>
      <c r="AK174" s="43" t="e">
        <f t="shared" si="98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118"/>
        <v>0</v>
      </c>
      <c r="BE174" s="43">
        <f t="shared" si="115"/>
        <v>0</v>
      </c>
      <c r="BF174" s="43">
        <f t="shared" si="115"/>
        <v>0</v>
      </c>
      <c r="BG174" s="43">
        <f t="shared" si="115"/>
        <v>0</v>
      </c>
      <c r="BH174" s="43">
        <f t="shared" si="115"/>
        <v>0</v>
      </c>
      <c r="BI174" s="43">
        <f t="shared" si="115"/>
        <v>0</v>
      </c>
      <c r="BJ174" s="43">
        <f t="shared" si="115"/>
        <v>0</v>
      </c>
      <c r="BK174" s="43">
        <f t="shared" si="115"/>
        <v>0</v>
      </c>
      <c r="BL174" s="43">
        <f t="shared" si="115"/>
        <v>0</v>
      </c>
      <c r="BM174" s="51"/>
      <c r="BN174" s="51"/>
      <c r="BO174" s="51"/>
      <c r="BP174" s="51"/>
      <c r="BQ174" s="51"/>
      <c r="BR174" s="51"/>
      <c r="BS174" s="51"/>
      <c r="BT174" s="51"/>
      <c r="BU174" s="51"/>
      <c r="BV174" s="51" t="e">
        <f t="shared" si="99"/>
        <v>#DIV/0!</v>
      </c>
      <c r="BW174" s="51" t="e">
        <f t="shared" si="100"/>
        <v>#DIV/0!</v>
      </c>
      <c r="BX174" s="51" t="e">
        <f t="shared" si="101"/>
        <v>#DIV/0!</v>
      </c>
      <c r="BY174" s="51" t="e">
        <f t="shared" si="102"/>
        <v>#DIV/0!</v>
      </c>
      <c r="BZ174" s="51" t="e">
        <f t="shared" si="103"/>
        <v>#DIV/0!</v>
      </c>
      <c r="CA174" s="51" t="e">
        <f t="shared" si="104"/>
        <v>#DIV/0!</v>
      </c>
      <c r="CB174" s="51" t="e">
        <f t="shared" si="105"/>
        <v>#DIV/0!</v>
      </c>
      <c r="CC174" s="51" t="e">
        <f t="shared" si="106"/>
        <v>#DIV/0!</v>
      </c>
      <c r="CD174" s="51" t="e">
        <f t="shared" si="107"/>
        <v>#DIV/0!</v>
      </c>
      <c r="CE174" s="53">
        <f t="shared" si="120"/>
        <v>0</v>
      </c>
      <c r="CF174" s="53">
        <f t="shared" si="116"/>
        <v>0</v>
      </c>
      <c r="CG174" s="53">
        <f t="shared" si="116"/>
        <v>0</v>
      </c>
      <c r="CH174" s="53">
        <f t="shared" si="116"/>
        <v>0</v>
      </c>
      <c r="CI174" s="53">
        <f t="shared" si="116"/>
        <v>0</v>
      </c>
      <c r="CJ174" s="53">
        <f t="shared" si="116"/>
        <v>0</v>
      </c>
      <c r="CK174" s="53">
        <f t="shared" si="116"/>
        <v>0</v>
      </c>
      <c r="CL174" s="53">
        <f t="shared" si="116"/>
        <v>0</v>
      </c>
      <c r="CM174" s="53">
        <f t="shared" si="116"/>
        <v>0</v>
      </c>
    </row>
    <row r="175" spans="1:91" x14ac:dyDescent="0.15">
      <c r="A175" s="41">
        <v>173</v>
      </c>
      <c r="B175" s="43">
        <f t="shared" si="125"/>
        <v>1</v>
      </c>
      <c r="C175" s="43">
        <f t="shared" si="124"/>
        <v>1</v>
      </c>
      <c r="D175" s="43">
        <f t="shared" si="124"/>
        <v>1</v>
      </c>
      <c r="E175" s="43">
        <f t="shared" si="124"/>
        <v>1</v>
      </c>
      <c r="F175" s="43">
        <f t="shared" si="124"/>
        <v>1</v>
      </c>
      <c r="G175" s="43">
        <f t="shared" si="124"/>
        <v>1</v>
      </c>
      <c r="H175" s="43">
        <f t="shared" si="124"/>
        <v>1</v>
      </c>
      <c r="I175" s="43">
        <f t="shared" si="124"/>
        <v>1</v>
      </c>
      <c r="J175" s="43">
        <f t="shared" si="124"/>
        <v>1</v>
      </c>
      <c r="K175" s="43" t="e">
        <f>K174+ATM_Conf!$C$5*(T174-AC174)</f>
        <v>#DIV/0!</v>
      </c>
      <c r="L175" s="43" t="e">
        <f>L174+ATM_Conf!$C$5*(U174-AD174)</f>
        <v>#DIV/0!</v>
      </c>
      <c r="M175" s="43" t="e">
        <f>M174+ATM_Conf!$C$5*(V174-AE174)</f>
        <v>#DIV/0!</v>
      </c>
      <c r="N175" s="43" t="e">
        <f>N174+ATM_Conf!$C$5*(W174-AF174)</f>
        <v>#DIV/0!</v>
      </c>
      <c r="O175" s="43" t="e">
        <f>O174+ATM_Conf!$C$5*(X174-AG174)</f>
        <v>#DIV/0!</v>
      </c>
      <c r="P175" s="43" t="e">
        <f>P174+ATM_Conf!$C$5*(Y174-AH174)</f>
        <v>#DIV/0!</v>
      </c>
      <c r="Q175" s="43" t="e">
        <f>Q174+ATM_Conf!$C$5*(Z174-AI174)</f>
        <v>#DIV/0!</v>
      </c>
      <c r="R175" s="43" t="e">
        <f>R174+ATM_Conf!$C$5*(AA174-AJ174)</f>
        <v>#DIV/0!</v>
      </c>
      <c r="S175" s="43" t="e">
        <f>S174+ATM_Conf!$C$5*(AB174-AK174)</f>
        <v>#DIV/0!</v>
      </c>
      <c r="T175" s="43">
        <f t="shared" si="117"/>
        <v>0</v>
      </c>
      <c r="U175" s="43">
        <f t="shared" si="114"/>
        <v>0</v>
      </c>
      <c r="V175" s="43">
        <f t="shared" si="114"/>
        <v>0</v>
      </c>
      <c r="W175" s="43">
        <f t="shared" si="114"/>
        <v>0</v>
      </c>
      <c r="X175" s="43">
        <f t="shared" si="114"/>
        <v>0</v>
      </c>
      <c r="Y175" s="43">
        <f t="shared" si="114"/>
        <v>0</v>
      </c>
      <c r="Z175" s="43">
        <f t="shared" si="114"/>
        <v>0</v>
      </c>
      <c r="AA175" s="43">
        <f t="shared" si="114"/>
        <v>0</v>
      </c>
      <c r="AB175" s="43">
        <f t="shared" si="114"/>
        <v>0</v>
      </c>
      <c r="AC175" s="43" t="e">
        <f t="shared" si="90"/>
        <v>#DIV/0!</v>
      </c>
      <c r="AD175" s="43" t="e">
        <f t="shared" si="91"/>
        <v>#DIV/0!</v>
      </c>
      <c r="AE175" s="43" t="e">
        <f t="shared" si="92"/>
        <v>#DIV/0!</v>
      </c>
      <c r="AF175" s="43" t="e">
        <f t="shared" si="93"/>
        <v>#DIV/0!</v>
      </c>
      <c r="AG175" s="43" t="e">
        <f t="shared" si="94"/>
        <v>#DIV/0!</v>
      </c>
      <c r="AH175" s="43" t="e">
        <f t="shared" si="95"/>
        <v>#DIV/0!</v>
      </c>
      <c r="AI175" s="43" t="e">
        <f t="shared" si="96"/>
        <v>#DIV/0!</v>
      </c>
      <c r="AJ175" s="43" t="e">
        <f t="shared" si="97"/>
        <v>#DIV/0!</v>
      </c>
      <c r="AK175" s="43" t="e">
        <f t="shared" si="98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118"/>
        <v>0</v>
      </c>
      <c r="BE175" s="43">
        <f t="shared" si="115"/>
        <v>0</v>
      </c>
      <c r="BF175" s="43">
        <f t="shared" si="115"/>
        <v>0</v>
      </c>
      <c r="BG175" s="43">
        <f t="shared" si="115"/>
        <v>0</v>
      </c>
      <c r="BH175" s="43">
        <f t="shared" si="115"/>
        <v>0</v>
      </c>
      <c r="BI175" s="43">
        <f t="shared" si="115"/>
        <v>0</v>
      </c>
      <c r="BJ175" s="43">
        <f t="shared" si="115"/>
        <v>0</v>
      </c>
      <c r="BK175" s="43">
        <f t="shared" si="115"/>
        <v>0</v>
      </c>
      <c r="BL175" s="43">
        <f t="shared" si="115"/>
        <v>0</v>
      </c>
      <c r="BM175" s="51"/>
      <c r="BN175" s="51"/>
      <c r="BO175" s="51"/>
      <c r="BP175" s="51"/>
      <c r="BQ175" s="51"/>
      <c r="BR175" s="51"/>
      <c r="BS175" s="51"/>
      <c r="BT175" s="51"/>
      <c r="BU175" s="51"/>
      <c r="BV175" s="51" t="e">
        <f t="shared" si="99"/>
        <v>#DIV/0!</v>
      </c>
      <c r="BW175" s="51" t="e">
        <f t="shared" si="100"/>
        <v>#DIV/0!</v>
      </c>
      <c r="BX175" s="51" t="e">
        <f t="shared" si="101"/>
        <v>#DIV/0!</v>
      </c>
      <c r="BY175" s="51" t="e">
        <f t="shared" si="102"/>
        <v>#DIV/0!</v>
      </c>
      <c r="BZ175" s="51" t="e">
        <f t="shared" si="103"/>
        <v>#DIV/0!</v>
      </c>
      <c r="CA175" s="51" t="e">
        <f t="shared" si="104"/>
        <v>#DIV/0!</v>
      </c>
      <c r="CB175" s="51" t="e">
        <f t="shared" si="105"/>
        <v>#DIV/0!</v>
      </c>
      <c r="CC175" s="51" t="e">
        <f t="shared" si="106"/>
        <v>#DIV/0!</v>
      </c>
      <c r="CD175" s="51" t="e">
        <f t="shared" si="107"/>
        <v>#DIV/0!</v>
      </c>
      <c r="CE175" s="53">
        <f t="shared" si="120"/>
        <v>0</v>
      </c>
      <c r="CF175" s="53">
        <f t="shared" si="116"/>
        <v>0</v>
      </c>
      <c r="CG175" s="53">
        <f t="shared" si="116"/>
        <v>0</v>
      </c>
      <c r="CH175" s="53">
        <f t="shared" si="116"/>
        <v>0</v>
      </c>
      <c r="CI175" s="53">
        <f t="shared" si="116"/>
        <v>0</v>
      </c>
      <c r="CJ175" s="53">
        <f t="shared" si="116"/>
        <v>0</v>
      </c>
      <c r="CK175" s="53">
        <f t="shared" si="116"/>
        <v>0</v>
      </c>
      <c r="CL175" s="53">
        <f t="shared" si="116"/>
        <v>0</v>
      </c>
      <c r="CM175" s="53">
        <f t="shared" si="116"/>
        <v>0</v>
      </c>
    </row>
    <row r="176" spans="1:91" x14ac:dyDescent="0.15">
      <c r="A176" s="41">
        <v>174</v>
      </c>
      <c r="B176" s="43">
        <f t="shared" si="125"/>
        <v>1</v>
      </c>
      <c r="C176" s="43">
        <f t="shared" si="124"/>
        <v>1</v>
      </c>
      <c r="D176" s="43">
        <f t="shared" si="124"/>
        <v>1</v>
      </c>
      <c r="E176" s="43">
        <f t="shared" si="124"/>
        <v>1</v>
      </c>
      <c r="F176" s="43">
        <f t="shared" si="124"/>
        <v>1</v>
      </c>
      <c r="G176" s="43">
        <f t="shared" si="124"/>
        <v>1</v>
      </c>
      <c r="H176" s="43">
        <f t="shared" si="124"/>
        <v>1</v>
      </c>
      <c r="I176" s="43">
        <f t="shared" si="124"/>
        <v>1</v>
      </c>
      <c r="J176" s="43">
        <f t="shared" si="124"/>
        <v>1</v>
      </c>
      <c r="K176" s="43" t="e">
        <f>K175+ATM_Conf!$C$5*(T175-AC175)</f>
        <v>#DIV/0!</v>
      </c>
      <c r="L176" s="43" t="e">
        <f>L175+ATM_Conf!$C$5*(U175-AD175)</f>
        <v>#DIV/0!</v>
      </c>
      <c r="M176" s="43" t="e">
        <f>M175+ATM_Conf!$C$5*(V175-AE175)</f>
        <v>#DIV/0!</v>
      </c>
      <c r="N176" s="43" t="e">
        <f>N175+ATM_Conf!$C$5*(W175-AF175)</f>
        <v>#DIV/0!</v>
      </c>
      <c r="O176" s="43" t="e">
        <f>O175+ATM_Conf!$C$5*(X175-AG175)</f>
        <v>#DIV/0!</v>
      </c>
      <c r="P176" s="43" t="e">
        <f>P175+ATM_Conf!$C$5*(Y175-AH175)</f>
        <v>#DIV/0!</v>
      </c>
      <c r="Q176" s="43" t="e">
        <f>Q175+ATM_Conf!$C$5*(Z175-AI175)</f>
        <v>#DIV/0!</v>
      </c>
      <c r="R176" s="43" t="e">
        <f>R175+ATM_Conf!$C$5*(AA175-AJ175)</f>
        <v>#DIV/0!</v>
      </c>
      <c r="S176" s="43" t="e">
        <f>S175+ATM_Conf!$C$5*(AB175-AK175)</f>
        <v>#DIV/0!</v>
      </c>
      <c r="T176" s="43">
        <f t="shared" si="117"/>
        <v>0</v>
      </c>
      <c r="U176" s="43">
        <f t="shared" si="114"/>
        <v>0</v>
      </c>
      <c r="V176" s="43">
        <f t="shared" si="114"/>
        <v>0</v>
      </c>
      <c r="W176" s="43">
        <f t="shared" si="114"/>
        <v>0</v>
      </c>
      <c r="X176" s="43">
        <f t="shared" si="114"/>
        <v>0</v>
      </c>
      <c r="Y176" s="43">
        <f t="shared" si="114"/>
        <v>0</v>
      </c>
      <c r="Z176" s="43">
        <f t="shared" si="114"/>
        <v>0</v>
      </c>
      <c r="AA176" s="43">
        <f t="shared" si="114"/>
        <v>0</v>
      </c>
      <c r="AB176" s="43">
        <f t="shared" si="114"/>
        <v>0</v>
      </c>
      <c r="AC176" s="43" t="e">
        <f t="shared" si="90"/>
        <v>#DIV/0!</v>
      </c>
      <c r="AD176" s="43" t="e">
        <f t="shared" si="91"/>
        <v>#DIV/0!</v>
      </c>
      <c r="AE176" s="43" t="e">
        <f t="shared" si="92"/>
        <v>#DIV/0!</v>
      </c>
      <c r="AF176" s="43" t="e">
        <f t="shared" si="93"/>
        <v>#DIV/0!</v>
      </c>
      <c r="AG176" s="43" t="e">
        <f t="shared" si="94"/>
        <v>#DIV/0!</v>
      </c>
      <c r="AH176" s="43" t="e">
        <f t="shared" si="95"/>
        <v>#DIV/0!</v>
      </c>
      <c r="AI176" s="43" t="e">
        <f t="shared" si="96"/>
        <v>#DIV/0!</v>
      </c>
      <c r="AJ176" s="43" t="e">
        <f t="shared" si="97"/>
        <v>#DIV/0!</v>
      </c>
      <c r="AK176" s="43" t="e">
        <f t="shared" si="98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118"/>
        <v>0</v>
      </c>
      <c r="BE176" s="43">
        <f t="shared" si="115"/>
        <v>0</v>
      </c>
      <c r="BF176" s="43">
        <f t="shared" si="115"/>
        <v>0</v>
      </c>
      <c r="BG176" s="43">
        <f t="shared" si="115"/>
        <v>0</v>
      </c>
      <c r="BH176" s="43">
        <f t="shared" si="115"/>
        <v>0</v>
      </c>
      <c r="BI176" s="43">
        <f t="shared" si="115"/>
        <v>0</v>
      </c>
      <c r="BJ176" s="43">
        <f t="shared" si="115"/>
        <v>0</v>
      </c>
      <c r="BK176" s="43">
        <f t="shared" si="115"/>
        <v>0</v>
      </c>
      <c r="BL176" s="43">
        <f t="shared" si="115"/>
        <v>0</v>
      </c>
      <c r="BM176" s="51"/>
      <c r="BN176" s="51"/>
      <c r="BO176" s="51"/>
      <c r="BP176" s="51"/>
      <c r="BQ176" s="51"/>
      <c r="BR176" s="51"/>
      <c r="BS176" s="51"/>
      <c r="BT176" s="51"/>
      <c r="BU176" s="51"/>
      <c r="BV176" s="51" t="e">
        <f t="shared" si="99"/>
        <v>#DIV/0!</v>
      </c>
      <c r="BW176" s="51" t="e">
        <f t="shared" si="100"/>
        <v>#DIV/0!</v>
      </c>
      <c r="BX176" s="51" t="e">
        <f t="shared" si="101"/>
        <v>#DIV/0!</v>
      </c>
      <c r="BY176" s="51" t="e">
        <f t="shared" si="102"/>
        <v>#DIV/0!</v>
      </c>
      <c r="BZ176" s="51" t="e">
        <f t="shared" si="103"/>
        <v>#DIV/0!</v>
      </c>
      <c r="CA176" s="51" t="e">
        <f t="shared" si="104"/>
        <v>#DIV/0!</v>
      </c>
      <c r="CB176" s="51" t="e">
        <f t="shared" si="105"/>
        <v>#DIV/0!</v>
      </c>
      <c r="CC176" s="51" t="e">
        <f t="shared" si="106"/>
        <v>#DIV/0!</v>
      </c>
      <c r="CD176" s="51" t="e">
        <f t="shared" si="107"/>
        <v>#DIV/0!</v>
      </c>
      <c r="CE176" s="53">
        <f t="shared" si="120"/>
        <v>0</v>
      </c>
      <c r="CF176" s="53">
        <f t="shared" si="116"/>
        <v>0</v>
      </c>
      <c r="CG176" s="53">
        <f t="shared" si="116"/>
        <v>0</v>
      </c>
      <c r="CH176" s="53">
        <f t="shared" si="116"/>
        <v>0</v>
      </c>
      <c r="CI176" s="53">
        <f t="shared" si="116"/>
        <v>0</v>
      </c>
      <c r="CJ176" s="53">
        <f t="shared" si="116"/>
        <v>0</v>
      </c>
      <c r="CK176" s="53">
        <f t="shared" si="116"/>
        <v>0</v>
      </c>
      <c r="CL176" s="53">
        <f t="shared" si="116"/>
        <v>0</v>
      </c>
      <c r="CM176" s="53">
        <f t="shared" si="116"/>
        <v>0</v>
      </c>
    </row>
    <row r="177" spans="1:91" x14ac:dyDescent="0.15">
      <c r="A177" s="41">
        <v>175</v>
      </c>
      <c r="B177" s="43">
        <f t="shared" si="125"/>
        <v>1</v>
      </c>
      <c r="C177" s="43">
        <f t="shared" si="124"/>
        <v>1</v>
      </c>
      <c r="D177" s="43">
        <f t="shared" si="124"/>
        <v>1</v>
      </c>
      <c r="E177" s="43">
        <f t="shared" si="124"/>
        <v>1</v>
      </c>
      <c r="F177" s="43">
        <f t="shared" si="124"/>
        <v>1</v>
      </c>
      <c r="G177" s="43">
        <f t="shared" si="124"/>
        <v>1</v>
      </c>
      <c r="H177" s="43">
        <f t="shared" si="124"/>
        <v>1</v>
      </c>
      <c r="I177" s="43">
        <f t="shared" si="124"/>
        <v>1</v>
      </c>
      <c r="J177" s="43">
        <f t="shared" si="124"/>
        <v>1</v>
      </c>
      <c r="K177" s="43" t="e">
        <f>K176+ATM_Conf!$C$5*(T176-AC176)</f>
        <v>#DIV/0!</v>
      </c>
      <c r="L177" s="43" t="e">
        <f>L176+ATM_Conf!$C$5*(U176-AD176)</f>
        <v>#DIV/0!</v>
      </c>
      <c r="M177" s="43" t="e">
        <f>M176+ATM_Conf!$C$5*(V176-AE176)</f>
        <v>#DIV/0!</v>
      </c>
      <c r="N177" s="43" t="e">
        <f>N176+ATM_Conf!$C$5*(W176-AF176)</f>
        <v>#DIV/0!</v>
      </c>
      <c r="O177" s="43" t="e">
        <f>O176+ATM_Conf!$C$5*(X176-AG176)</f>
        <v>#DIV/0!</v>
      </c>
      <c r="P177" s="43" t="e">
        <f>P176+ATM_Conf!$C$5*(Y176-AH176)</f>
        <v>#DIV/0!</v>
      </c>
      <c r="Q177" s="43" t="e">
        <f>Q176+ATM_Conf!$C$5*(Z176-AI176)</f>
        <v>#DIV/0!</v>
      </c>
      <c r="R177" s="43" t="e">
        <f>R176+ATM_Conf!$C$5*(AA176-AJ176)</f>
        <v>#DIV/0!</v>
      </c>
      <c r="S177" s="43" t="e">
        <f>S176+ATM_Conf!$C$5*(AB176-AK176)</f>
        <v>#DIV/0!</v>
      </c>
      <c r="T177" s="43">
        <f t="shared" si="117"/>
        <v>0</v>
      </c>
      <c r="U177" s="43">
        <f t="shared" si="114"/>
        <v>0</v>
      </c>
      <c r="V177" s="43">
        <f t="shared" si="114"/>
        <v>0</v>
      </c>
      <c r="W177" s="43">
        <f t="shared" si="114"/>
        <v>0</v>
      </c>
      <c r="X177" s="43">
        <f t="shared" si="114"/>
        <v>0</v>
      </c>
      <c r="Y177" s="43">
        <f t="shared" si="114"/>
        <v>0</v>
      </c>
      <c r="Z177" s="43">
        <f t="shared" si="114"/>
        <v>0</v>
      </c>
      <c r="AA177" s="43">
        <f t="shared" si="114"/>
        <v>0</v>
      </c>
      <c r="AB177" s="43">
        <f t="shared" si="114"/>
        <v>0</v>
      </c>
      <c r="AC177" s="43" t="e">
        <f t="shared" si="90"/>
        <v>#DIV/0!</v>
      </c>
      <c r="AD177" s="43" t="e">
        <f t="shared" si="91"/>
        <v>#DIV/0!</v>
      </c>
      <c r="AE177" s="43" t="e">
        <f t="shared" si="92"/>
        <v>#DIV/0!</v>
      </c>
      <c r="AF177" s="43" t="e">
        <f t="shared" si="93"/>
        <v>#DIV/0!</v>
      </c>
      <c r="AG177" s="43" t="e">
        <f t="shared" si="94"/>
        <v>#DIV/0!</v>
      </c>
      <c r="AH177" s="43" t="e">
        <f t="shared" si="95"/>
        <v>#DIV/0!</v>
      </c>
      <c r="AI177" s="43" t="e">
        <f t="shared" si="96"/>
        <v>#DIV/0!</v>
      </c>
      <c r="AJ177" s="43" t="e">
        <f t="shared" si="97"/>
        <v>#DIV/0!</v>
      </c>
      <c r="AK177" s="43" t="e">
        <f t="shared" si="98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118"/>
        <v>0</v>
      </c>
      <c r="BE177" s="43">
        <f t="shared" si="115"/>
        <v>0</v>
      </c>
      <c r="BF177" s="43">
        <f t="shared" si="115"/>
        <v>0</v>
      </c>
      <c r="BG177" s="43">
        <f t="shared" si="115"/>
        <v>0</v>
      </c>
      <c r="BH177" s="43">
        <f t="shared" si="115"/>
        <v>0</v>
      </c>
      <c r="BI177" s="43">
        <f t="shared" si="115"/>
        <v>0</v>
      </c>
      <c r="BJ177" s="43">
        <f t="shared" si="115"/>
        <v>0</v>
      </c>
      <c r="BK177" s="43">
        <f t="shared" si="115"/>
        <v>0</v>
      </c>
      <c r="BL177" s="43">
        <f t="shared" si="115"/>
        <v>0</v>
      </c>
      <c r="BM177" s="51"/>
      <c r="BN177" s="51"/>
      <c r="BO177" s="51"/>
      <c r="BP177" s="51"/>
      <c r="BQ177" s="51"/>
      <c r="BR177" s="51"/>
      <c r="BS177" s="51"/>
      <c r="BT177" s="51"/>
      <c r="BU177" s="51"/>
      <c r="BV177" s="51" t="e">
        <f t="shared" si="99"/>
        <v>#DIV/0!</v>
      </c>
      <c r="BW177" s="51" t="e">
        <f t="shared" si="100"/>
        <v>#DIV/0!</v>
      </c>
      <c r="BX177" s="51" t="e">
        <f t="shared" si="101"/>
        <v>#DIV/0!</v>
      </c>
      <c r="BY177" s="51" t="e">
        <f t="shared" si="102"/>
        <v>#DIV/0!</v>
      </c>
      <c r="BZ177" s="51" t="e">
        <f t="shared" si="103"/>
        <v>#DIV/0!</v>
      </c>
      <c r="CA177" s="51" t="e">
        <f t="shared" si="104"/>
        <v>#DIV/0!</v>
      </c>
      <c r="CB177" s="51" t="e">
        <f t="shared" si="105"/>
        <v>#DIV/0!</v>
      </c>
      <c r="CC177" s="51" t="e">
        <f t="shared" si="106"/>
        <v>#DIV/0!</v>
      </c>
      <c r="CD177" s="51" t="e">
        <f t="shared" si="107"/>
        <v>#DIV/0!</v>
      </c>
      <c r="CE177" s="53">
        <f t="shared" si="120"/>
        <v>0</v>
      </c>
      <c r="CF177" s="53">
        <f t="shared" si="116"/>
        <v>0</v>
      </c>
      <c r="CG177" s="53">
        <f t="shared" si="116"/>
        <v>0</v>
      </c>
      <c r="CH177" s="53">
        <f t="shared" si="116"/>
        <v>0</v>
      </c>
      <c r="CI177" s="53">
        <f t="shared" si="116"/>
        <v>0</v>
      </c>
      <c r="CJ177" s="53">
        <f t="shared" si="116"/>
        <v>0</v>
      </c>
      <c r="CK177" s="53">
        <f t="shared" si="116"/>
        <v>0</v>
      </c>
      <c r="CL177" s="53">
        <f t="shared" si="116"/>
        <v>0</v>
      </c>
      <c r="CM177" s="53">
        <f t="shared" si="116"/>
        <v>0</v>
      </c>
    </row>
    <row r="178" spans="1:91" x14ac:dyDescent="0.15">
      <c r="A178" s="41">
        <v>176</v>
      </c>
      <c r="B178" s="43">
        <f t="shared" si="125"/>
        <v>1</v>
      </c>
      <c r="C178" s="43">
        <f t="shared" si="124"/>
        <v>1</v>
      </c>
      <c r="D178" s="43">
        <f t="shared" si="124"/>
        <v>1</v>
      </c>
      <c r="E178" s="43">
        <f t="shared" si="124"/>
        <v>1</v>
      </c>
      <c r="F178" s="43">
        <f t="shared" si="124"/>
        <v>1</v>
      </c>
      <c r="G178" s="43">
        <f t="shared" si="124"/>
        <v>1</v>
      </c>
      <c r="H178" s="43">
        <f t="shared" si="124"/>
        <v>1</v>
      </c>
      <c r="I178" s="43">
        <f t="shared" si="124"/>
        <v>1</v>
      </c>
      <c r="J178" s="43">
        <f t="shared" si="124"/>
        <v>1</v>
      </c>
      <c r="K178" s="43" t="e">
        <f>K177+ATM_Conf!$C$5*(T177-AC177)</f>
        <v>#DIV/0!</v>
      </c>
      <c r="L178" s="43" t="e">
        <f>L177+ATM_Conf!$C$5*(U177-AD177)</f>
        <v>#DIV/0!</v>
      </c>
      <c r="M178" s="43" t="e">
        <f>M177+ATM_Conf!$C$5*(V177-AE177)</f>
        <v>#DIV/0!</v>
      </c>
      <c r="N178" s="43" t="e">
        <f>N177+ATM_Conf!$C$5*(W177-AF177)</f>
        <v>#DIV/0!</v>
      </c>
      <c r="O178" s="43" t="e">
        <f>O177+ATM_Conf!$C$5*(X177-AG177)</f>
        <v>#DIV/0!</v>
      </c>
      <c r="P178" s="43" t="e">
        <f>P177+ATM_Conf!$C$5*(Y177-AH177)</f>
        <v>#DIV/0!</v>
      </c>
      <c r="Q178" s="43" t="e">
        <f>Q177+ATM_Conf!$C$5*(Z177-AI177)</f>
        <v>#DIV/0!</v>
      </c>
      <c r="R178" s="43" t="e">
        <f>R177+ATM_Conf!$C$5*(AA177-AJ177)</f>
        <v>#DIV/0!</v>
      </c>
      <c r="S178" s="43" t="e">
        <f>S177+ATM_Conf!$C$5*(AB177-AK177)</f>
        <v>#DIV/0!</v>
      </c>
      <c r="T178" s="43">
        <f t="shared" si="117"/>
        <v>0</v>
      </c>
      <c r="U178" s="43">
        <f t="shared" si="114"/>
        <v>0</v>
      </c>
      <c r="V178" s="43">
        <f t="shared" si="114"/>
        <v>0</v>
      </c>
      <c r="W178" s="43">
        <f t="shared" si="114"/>
        <v>0</v>
      </c>
      <c r="X178" s="43">
        <f t="shared" si="114"/>
        <v>0</v>
      </c>
      <c r="Y178" s="43">
        <f t="shared" si="114"/>
        <v>0</v>
      </c>
      <c r="Z178" s="43">
        <f t="shared" si="114"/>
        <v>0</v>
      </c>
      <c r="AA178" s="43">
        <f t="shared" si="114"/>
        <v>0</v>
      </c>
      <c r="AB178" s="43">
        <f t="shared" si="114"/>
        <v>0</v>
      </c>
      <c r="AC178" s="43" t="e">
        <f t="shared" si="90"/>
        <v>#DIV/0!</v>
      </c>
      <c r="AD178" s="43" t="e">
        <f t="shared" si="91"/>
        <v>#DIV/0!</v>
      </c>
      <c r="AE178" s="43" t="e">
        <f t="shared" si="92"/>
        <v>#DIV/0!</v>
      </c>
      <c r="AF178" s="43" t="e">
        <f t="shared" si="93"/>
        <v>#DIV/0!</v>
      </c>
      <c r="AG178" s="43" t="e">
        <f t="shared" si="94"/>
        <v>#DIV/0!</v>
      </c>
      <c r="AH178" s="43" t="e">
        <f t="shared" si="95"/>
        <v>#DIV/0!</v>
      </c>
      <c r="AI178" s="43" t="e">
        <f t="shared" si="96"/>
        <v>#DIV/0!</v>
      </c>
      <c r="AJ178" s="43" t="e">
        <f t="shared" si="97"/>
        <v>#DIV/0!</v>
      </c>
      <c r="AK178" s="43" t="e">
        <f t="shared" si="98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118"/>
        <v>0</v>
      </c>
      <c r="BE178" s="43">
        <f t="shared" si="115"/>
        <v>0</v>
      </c>
      <c r="BF178" s="43">
        <f t="shared" si="115"/>
        <v>0</v>
      </c>
      <c r="BG178" s="43">
        <f t="shared" si="115"/>
        <v>0</v>
      </c>
      <c r="BH178" s="43">
        <f t="shared" si="115"/>
        <v>0</v>
      </c>
      <c r="BI178" s="43">
        <f t="shared" si="115"/>
        <v>0</v>
      </c>
      <c r="BJ178" s="43">
        <f t="shared" si="115"/>
        <v>0</v>
      </c>
      <c r="BK178" s="43">
        <f t="shared" si="115"/>
        <v>0</v>
      </c>
      <c r="BL178" s="43">
        <f t="shared" si="115"/>
        <v>0</v>
      </c>
      <c r="BM178" s="51"/>
      <c r="BN178" s="51"/>
      <c r="BO178" s="51"/>
      <c r="BP178" s="51"/>
      <c r="BQ178" s="51"/>
      <c r="BR178" s="51"/>
      <c r="BS178" s="51"/>
      <c r="BT178" s="51"/>
      <c r="BU178" s="51"/>
      <c r="BV178" s="51" t="e">
        <f t="shared" si="99"/>
        <v>#DIV/0!</v>
      </c>
      <c r="BW178" s="51" t="e">
        <f t="shared" si="100"/>
        <v>#DIV/0!</v>
      </c>
      <c r="BX178" s="51" t="e">
        <f t="shared" si="101"/>
        <v>#DIV/0!</v>
      </c>
      <c r="BY178" s="51" t="e">
        <f t="shared" si="102"/>
        <v>#DIV/0!</v>
      </c>
      <c r="BZ178" s="51" t="e">
        <f t="shared" si="103"/>
        <v>#DIV/0!</v>
      </c>
      <c r="CA178" s="51" t="e">
        <f t="shared" si="104"/>
        <v>#DIV/0!</v>
      </c>
      <c r="CB178" s="51" t="e">
        <f t="shared" si="105"/>
        <v>#DIV/0!</v>
      </c>
      <c r="CC178" s="51" t="e">
        <f t="shared" si="106"/>
        <v>#DIV/0!</v>
      </c>
      <c r="CD178" s="51" t="e">
        <f t="shared" si="107"/>
        <v>#DIV/0!</v>
      </c>
      <c r="CE178" s="53">
        <f t="shared" si="120"/>
        <v>0</v>
      </c>
      <c r="CF178" s="53">
        <f t="shared" si="116"/>
        <v>0</v>
      </c>
      <c r="CG178" s="53">
        <f t="shared" si="116"/>
        <v>0</v>
      </c>
      <c r="CH178" s="53">
        <f t="shared" si="116"/>
        <v>0</v>
      </c>
      <c r="CI178" s="53">
        <f t="shared" si="116"/>
        <v>0</v>
      </c>
      <c r="CJ178" s="53">
        <f t="shared" si="116"/>
        <v>0</v>
      </c>
      <c r="CK178" s="53">
        <f t="shared" si="116"/>
        <v>0</v>
      </c>
      <c r="CL178" s="53">
        <f t="shared" si="116"/>
        <v>0</v>
      </c>
      <c r="CM178" s="53">
        <f t="shared" si="116"/>
        <v>0</v>
      </c>
    </row>
    <row r="179" spans="1:91" x14ac:dyDescent="0.15">
      <c r="A179" s="41">
        <v>177</v>
      </c>
      <c r="B179" s="43">
        <f t="shared" si="125"/>
        <v>1</v>
      </c>
      <c r="C179" s="43">
        <f t="shared" si="124"/>
        <v>1</v>
      </c>
      <c r="D179" s="43">
        <f t="shared" si="124"/>
        <v>1</v>
      </c>
      <c r="E179" s="43">
        <f t="shared" si="124"/>
        <v>1</v>
      </c>
      <c r="F179" s="43">
        <f t="shared" si="124"/>
        <v>1</v>
      </c>
      <c r="G179" s="43">
        <f t="shared" si="124"/>
        <v>1</v>
      </c>
      <c r="H179" s="43">
        <f t="shared" si="124"/>
        <v>1</v>
      </c>
      <c r="I179" s="43">
        <f t="shared" si="124"/>
        <v>1</v>
      </c>
      <c r="J179" s="43">
        <f t="shared" si="124"/>
        <v>1</v>
      </c>
      <c r="K179" s="43" t="e">
        <f>K178+ATM_Conf!$C$5*(T178-AC178)</f>
        <v>#DIV/0!</v>
      </c>
      <c r="L179" s="43" t="e">
        <f>L178+ATM_Conf!$C$5*(U178-AD178)</f>
        <v>#DIV/0!</v>
      </c>
      <c r="M179" s="43" t="e">
        <f>M178+ATM_Conf!$C$5*(V178-AE178)</f>
        <v>#DIV/0!</v>
      </c>
      <c r="N179" s="43" t="e">
        <f>N178+ATM_Conf!$C$5*(W178-AF178)</f>
        <v>#DIV/0!</v>
      </c>
      <c r="O179" s="43" t="e">
        <f>O178+ATM_Conf!$C$5*(X178-AG178)</f>
        <v>#DIV/0!</v>
      </c>
      <c r="P179" s="43" t="e">
        <f>P178+ATM_Conf!$C$5*(Y178-AH178)</f>
        <v>#DIV/0!</v>
      </c>
      <c r="Q179" s="43" t="e">
        <f>Q178+ATM_Conf!$C$5*(Z178-AI178)</f>
        <v>#DIV/0!</v>
      </c>
      <c r="R179" s="43" t="e">
        <f>R178+ATM_Conf!$C$5*(AA178-AJ178)</f>
        <v>#DIV/0!</v>
      </c>
      <c r="S179" s="43" t="e">
        <f>S178+ATM_Conf!$C$5*(AB178-AK178)</f>
        <v>#DIV/0!</v>
      </c>
      <c r="T179" s="43">
        <f t="shared" si="117"/>
        <v>0</v>
      </c>
      <c r="U179" s="43">
        <f t="shared" si="114"/>
        <v>0</v>
      </c>
      <c r="V179" s="43">
        <f t="shared" si="114"/>
        <v>0</v>
      </c>
      <c r="W179" s="43">
        <f t="shared" si="114"/>
        <v>0</v>
      </c>
      <c r="X179" s="43">
        <f t="shared" si="114"/>
        <v>0</v>
      </c>
      <c r="Y179" s="43">
        <f t="shared" si="114"/>
        <v>0</v>
      </c>
      <c r="Z179" s="43">
        <f t="shared" si="114"/>
        <v>0</v>
      </c>
      <c r="AA179" s="43">
        <f t="shared" si="114"/>
        <v>0</v>
      </c>
      <c r="AB179" s="43">
        <f t="shared" si="114"/>
        <v>0</v>
      </c>
      <c r="AC179" s="43" t="e">
        <f t="shared" si="90"/>
        <v>#DIV/0!</v>
      </c>
      <c r="AD179" s="43" t="e">
        <f t="shared" si="91"/>
        <v>#DIV/0!</v>
      </c>
      <c r="AE179" s="43" t="e">
        <f t="shared" si="92"/>
        <v>#DIV/0!</v>
      </c>
      <c r="AF179" s="43" t="e">
        <f t="shared" si="93"/>
        <v>#DIV/0!</v>
      </c>
      <c r="AG179" s="43" t="e">
        <f t="shared" si="94"/>
        <v>#DIV/0!</v>
      </c>
      <c r="AH179" s="43" t="e">
        <f t="shared" si="95"/>
        <v>#DIV/0!</v>
      </c>
      <c r="AI179" s="43" t="e">
        <f t="shared" si="96"/>
        <v>#DIV/0!</v>
      </c>
      <c r="AJ179" s="43" t="e">
        <f t="shared" si="97"/>
        <v>#DIV/0!</v>
      </c>
      <c r="AK179" s="43" t="e">
        <f t="shared" si="98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118"/>
        <v>0</v>
      </c>
      <c r="BE179" s="43">
        <f t="shared" si="115"/>
        <v>0</v>
      </c>
      <c r="BF179" s="43">
        <f t="shared" si="115"/>
        <v>0</v>
      </c>
      <c r="BG179" s="43">
        <f t="shared" si="115"/>
        <v>0</v>
      </c>
      <c r="BH179" s="43">
        <f t="shared" si="115"/>
        <v>0</v>
      </c>
      <c r="BI179" s="43">
        <f t="shared" si="115"/>
        <v>0</v>
      </c>
      <c r="BJ179" s="43">
        <f t="shared" si="115"/>
        <v>0</v>
      </c>
      <c r="BK179" s="43">
        <f t="shared" si="115"/>
        <v>0</v>
      </c>
      <c r="BL179" s="43">
        <f t="shared" si="115"/>
        <v>0</v>
      </c>
      <c r="BM179" s="51"/>
      <c r="BN179" s="51"/>
      <c r="BO179" s="51"/>
      <c r="BP179" s="51"/>
      <c r="BQ179" s="51"/>
      <c r="BR179" s="51"/>
      <c r="BS179" s="51"/>
      <c r="BT179" s="51"/>
      <c r="BU179" s="51"/>
      <c r="BV179" s="51" t="e">
        <f t="shared" si="99"/>
        <v>#DIV/0!</v>
      </c>
      <c r="BW179" s="51" t="e">
        <f t="shared" si="100"/>
        <v>#DIV/0!</v>
      </c>
      <c r="BX179" s="51" t="e">
        <f t="shared" si="101"/>
        <v>#DIV/0!</v>
      </c>
      <c r="BY179" s="51" t="e">
        <f t="shared" si="102"/>
        <v>#DIV/0!</v>
      </c>
      <c r="BZ179" s="51" t="e">
        <f t="shared" si="103"/>
        <v>#DIV/0!</v>
      </c>
      <c r="CA179" s="51" t="e">
        <f t="shared" si="104"/>
        <v>#DIV/0!</v>
      </c>
      <c r="CB179" s="51" t="e">
        <f t="shared" si="105"/>
        <v>#DIV/0!</v>
      </c>
      <c r="CC179" s="51" t="e">
        <f t="shared" si="106"/>
        <v>#DIV/0!</v>
      </c>
      <c r="CD179" s="51" t="e">
        <f t="shared" si="107"/>
        <v>#DIV/0!</v>
      </c>
      <c r="CE179" s="53">
        <f t="shared" si="120"/>
        <v>0</v>
      </c>
      <c r="CF179" s="53">
        <f t="shared" si="116"/>
        <v>0</v>
      </c>
      <c r="CG179" s="53">
        <f t="shared" si="116"/>
        <v>0</v>
      </c>
      <c r="CH179" s="53">
        <f t="shared" si="116"/>
        <v>0</v>
      </c>
      <c r="CI179" s="53">
        <f t="shared" si="116"/>
        <v>0</v>
      </c>
      <c r="CJ179" s="53">
        <f t="shared" si="116"/>
        <v>0</v>
      </c>
      <c r="CK179" s="53">
        <f t="shared" si="116"/>
        <v>0</v>
      </c>
      <c r="CL179" s="53">
        <f t="shared" si="116"/>
        <v>0</v>
      </c>
      <c r="CM179" s="53">
        <f t="shared" si="116"/>
        <v>0</v>
      </c>
    </row>
    <row r="180" spans="1:91" x14ac:dyDescent="0.15">
      <c r="A180" s="41">
        <v>178</v>
      </c>
      <c r="B180" s="43">
        <f t="shared" si="125"/>
        <v>1</v>
      </c>
      <c r="C180" s="43">
        <f t="shared" si="124"/>
        <v>1</v>
      </c>
      <c r="D180" s="43">
        <f t="shared" si="124"/>
        <v>1</v>
      </c>
      <c r="E180" s="43">
        <f t="shared" si="124"/>
        <v>1</v>
      </c>
      <c r="F180" s="43">
        <f t="shared" si="124"/>
        <v>1</v>
      </c>
      <c r="G180" s="43">
        <f t="shared" si="124"/>
        <v>1</v>
      </c>
      <c r="H180" s="43">
        <f t="shared" si="124"/>
        <v>1</v>
      </c>
      <c r="I180" s="43">
        <f t="shared" si="124"/>
        <v>1</v>
      </c>
      <c r="J180" s="43">
        <f t="shared" si="124"/>
        <v>1</v>
      </c>
      <c r="K180" s="43" t="e">
        <f>K179+ATM_Conf!$C$5*(T179-AC179)</f>
        <v>#DIV/0!</v>
      </c>
      <c r="L180" s="43" t="e">
        <f>L179+ATM_Conf!$C$5*(U179-AD179)</f>
        <v>#DIV/0!</v>
      </c>
      <c r="M180" s="43" t="e">
        <f>M179+ATM_Conf!$C$5*(V179-AE179)</f>
        <v>#DIV/0!</v>
      </c>
      <c r="N180" s="43" t="e">
        <f>N179+ATM_Conf!$C$5*(W179-AF179)</f>
        <v>#DIV/0!</v>
      </c>
      <c r="O180" s="43" t="e">
        <f>O179+ATM_Conf!$C$5*(X179-AG179)</f>
        <v>#DIV/0!</v>
      </c>
      <c r="P180" s="43" t="e">
        <f>P179+ATM_Conf!$C$5*(Y179-AH179)</f>
        <v>#DIV/0!</v>
      </c>
      <c r="Q180" s="43" t="e">
        <f>Q179+ATM_Conf!$C$5*(Z179-AI179)</f>
        <v>#DIV/0!</v>
      </c>
      <c r="R180" s="43" t="e">
        <f>R179+ATM_Conf!$C$5*(AA179-AJ179)</f>
        <v>#DIV/0!</v>
      </c>
      <c r="S180" s="43" t="e">
        <f>S179+ATM_Conf!$C$5*(AB179-AK179)</f>
        <v>#DIV/0!</v>
      </c>
      <c r="T180" s="43">
        <f t="shared" si="117"/>
        <v>0</v>
      </c>
      <c r="U180" s="43">
        <f t="shared" si="114"/>
        <v>0</v>
      </c>
      <c r="V180" s="43">
        <f t="shared" si="114"/>
        <v>0</v>
      </c>
      <c r="W180" s="43">
        <f t="shared" si="114"/>
        <v>0</v>
      </c>
      <c r="X180" s="43">
        <f t="shared" si="114"/>
        <v>0</v>
      </c>
      <c r="Y180" s="43">
        <f t="shared" si="114"/>
        <v>0</v>
      </c>
      <c r="Z180" s="43">
        <f t="shared" si="114"/>
        <v>0</v>
      </c>
      <c r="AA180" s="43">
        <f t="shared" si="114"/>
        <v>0</v>
      </c>
      <c r="AB180" s="43">
        <f t="shared" si="114"/>
        <v>0</v>
      </c>
      <c r="AC180" s="43" t="e">
        <f t="shared" si="90"/>
        <v>#DIV/0!</v>
      </c>
      <c r="AD180" s="43" t="e">
        <f t="shared" si="91"/>
        <v>#DIV/0!</v>
      </c>
      <c r="AE180" s="43" t="e">
        <f t="shared" si="92"/>
        <v>#DIV/0!</v>
      </c>
      <c r="AF180" s="43" t="e">
        <f t="shared" si="93"/>
        <v>#DIV/0!</v>
      </c>
      <c r="AG180" s="43" t="e">
        <f t="shared" si="94"/>
        <v>#DIV/0!</v>
      </c>
      <c r="AH180" s="43" t="e">
        <f t="shared" si="95"/>
        <v>#DIV/0!</v>
      </c>
      <c r="AI180" s="43" t="e">
        <f t="shared" si="96"/>
        <v>#DIV/0!</v>
      </c>
      <c r="AJ180" s="43" t="e">
        <f t="shared" si="97"/>
        <v>#DIV/0!</v>
      </c>
      <c r="AK180" s="43" t="e">
        <f t="shared" si="98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118"/>
        <v>0</v>
      </c>
      <c r="BE180" s="43">
        <f t="shared" si="115"/>
        <v>0</v>
      </c>
      <c r="BF180" s="43">
        <f t="shared" si="115"/>
        <v>0</v>
      </c>
      <c r="BG180" s="43">
        <f t="shared" si="115"/>
        <v>0</v>
      </c>
      <c r="BH180" s="43">
        <f t="shared" si="115"/>
        <v>0</v>
      </c>
      <c r="BI180" s="43">
        <f t="shared" si="115"/>
        <v>0</v>
      </c>
      <c r="BJ180" s="43">
        <f t="shared" si="115"/>
        <v>0</v>
      </c>
      <c r="BK180" s="43">
        <f t="shared" si="115"/>
        <v>0</v>
      </c>
      <c r="BL180" s="43">
        <f t="shared" si="115"/>
        <v>0</v>
      </c>
      <c r="BM180" s="51"/>
      <c r="BN180" s="51"/>
      <c r="BO180" s="51"/>
      <c r="BP180" s="51"/>
      <c r="BQ180" s="51"/>
      <c r="BR180" s="51"/>
      <c r="BS180" s="51"/>
      <c r="BT180" s="51"/>
      <c r="BU180" s="51"/>
      <c r="BV180" s="51" t="e">
        <f t="shared" si="99"/>
        <v>#DIV/0!</v>
      </c>
      <c r="BW180" s="51" t="e">
        <f t="shared" si="100"/>
        <v>#DIV/0!</v>
      </c>
      <c r="BX180" s="51" t="e">
        <f t="shared" si="101"/>
        <v>#DIV/0!</v>
      </c>
      <c r="BY180" s="51" t="e">
        <f t="shared" si="102"/>
        <v>#DIV/0!</v>
      </c>
      <c r="BZ180" s="51" t="e">
        <f t="shared" si="103"/>
        <v>#DIV/0!</v>
      </c>
      <c r="CA180" s="51" t="e">
        <f t="shared" si="104"/>
        <v>#DIV/0!</v>
      </c>
      <c r="CB180" s="51" t="e">
        <f t="shared" si="105"/>
        <v>#DIV/0!</v>
      </c>
      <c r="CC180" s="51" t="e">
        <f t="shared" si="106"/>
        <v>#DIV/0!</v>
      </c>
      <c r="CD180" s="51" t="e">
        <f t="shared" si="107"/>
        <v>#DIV/0!</v>
      </c>
      <c r="CE180" s="53">
        <f t="shared" si="120"/>
        <v>0</v>
      </c>
      <c r="CF180" s="53">
        <f t="shared" si="116"/>
        <v>0</v>
      </c>
      <c r="CG180" s="53">
        <f t="shared" si="116"/>
        <v>0</v>
      </c>
      <c r="CH180" s="53">
        <f t="shared" si="116"/>
        <v>0</v>
      </c>
      <c r="CI180" s="53">
        <f t="shared" si="116"/>
        <v>0</v>
      </c>
      <c r="CJ180" s="53">
        <f t="shared" si="116"/>
        <v>0</v>
      </c>
      <c r="CK180" s="53">
        <f t="shared" si="116"/>
        <v>0</v>
      </c>
      <c r="CL180" s="53">
        <f t="shared" si="116"/>
        <v>0</v>
      </c>
      <c r="CM180" s="53">
        <f t="shared" si="116"/>
        <v>0</v>
      </c>
    </row>
    <row r="181" spans="1:91" x14ac:dyDescent="0.15">
      <c r="A181" s="41">
        <v>179</v>
      </c>
      <c r="B181" s="43">
        <f t="shared" si="125"/>
        <v>1</v>
      </c>
      <c r="C181" s="43">
        <f t="shared" si="124"/>
        <v>1</v>
      </c>
      <c r="D181" s="43">
        <f t="shared" si="124"/>
        <v>1</v>
      </c>
      <c r="E181" s="43">
        <f t="shared" si="124"/>
        <v>1</v>
      </c>
      <c r="F181" s="43">
        <f t="shared" si="124"/>
        <v>1</v>
      </c>
      <c r="G181" s="43">
        <f t="shared" si="124"/>
        <v>1</v>
      </c>
      <c r="H181" s="43">
        <f t="shared" si="124"/>
        <v>1</v>
      </c>
      <c r="I181" s="43">
        <f t="shared" si="124"/>
        <v>1</v>
      </c>
      <c r="J181" s="43">
        <f t="shared" si="124"/>
        <v>1</v>
      </c>
      <c r="K181" s="43" t="e">
        <f>K180+ATM_Conf!$C$5*(T180-AC180)</f>
        <v>#DIV/0!</v>
      </c>
      <c r="L181" s="43" t="e">
        <f>L180+ATM_Conf!$C$5*(U180-AD180)</f>
        <v>#DIV/0!</v>
      </c>
      <c r="M181" s="43" t="e">
        <f>M180+ATM_Conf!$C$5*(V180-AE180)</f>
        <v>#DIV/0!</v>
      </c>
      <c r="N181" s="43" t="e">
        <f>N180+ATM_Conf!$C$5*(W180-AF180)</f>
        <v>#DIV/0!</v>
      </c>
      <c r="O181" s="43" t="e">
        <f>O180+ATM_Conf!$C$5*(X180-AG180)</f>
        <v>#DIV/0!</v>
      </c>
      <c r="P181" s="43" t="e">
        <f>P180+ATM_Conf!$C$5*(Y180-AH180)</f>
        <v>#DIV/0!</v>
      </c>
      <c r="Q181" s="43" t="e">
        <f>Q180+ATM_Conf!$C$5*(Z180-AI180)</f>
        <v>#DIV/0!</v>
      </c>
      <c r="R181" s="43" t="e">
        <f>R180+ATM_Conf!$C$5*(AA180-AJ180)</f>
        <v>#DIV/0!</v>
      </c>
      <c r="S181" s="43" t="e">
        <f>S180+ATM_Conf!$C$5*(AB180-AK180)</f>
        <v>#DIV/0!</v>
      </c>
      <c r="T181" s="43">
        <f t="shared" si="117"/>
        <v>0</v>
      </c>
      <c r="U181" s="43">
        <f t="shared" si="114"/>
        <v>0</v>
      </c>
      <c r="V181" s="43">
        <f t="shared" si="114"/>
        <v>0</v>
      </c>
      <c r="W181" s="43">
        <f t="shared" si="114"/>
        <v>0</v>
      </c>
      <c r="X181" s="43">
        <f t="shared" si="114"/>
        <v>0</v>
      </c>
      <c r="Y181" s="43">
        <f t="shared" si="114"/>
        <v>0</v>
      </c>
      <c r="Z181" s="43">
        <f t="shared" si="114"/>
        <v>0</v>
      </c>
      <c r="AA181" s="43">
        <f t="shared" si="114"/>
        <v>0</v>
      </c>
      <c r="AB181" s="43">
        <f t="shared" si="114"/>
        <v>0</v>
      </c>
      <c r="AC181" s="43" t="e">
        <f t="shared" si="90"/>
        <v>#DIV/0!</v>
      </c>
      <c r="AD181" s="43" t="e">
        <f t="shared" si="91"/>
        <v>#DIV/0!</v>
      </c>
      <c r="AE181" s="43" t="e">
        <f t="shared" si="92"/>
        <v>#DIV/0!</v>
      </c>
      <c r="AF181" s="43" t="e">
        <f t="shared" si="93"/>
        <v>#DIV/0!</v>
      </c>
      <c r="AG181" s="43" t="e">
        <f t="shared" si="94"/>
        <v>#DIV/0!</v>
      </c>
      <c r="AH181" s="43" t="e">
        <f t="shared" si="95"/>
        <v>#DIV/0!</v>
      </c>
      <c r="AI181" s="43" t="e">
        <f t="shared" si="96"/>
        <v>#DIV/0!</v>
      </c>
      <c r="AJ181" s="43" t="e">
        <f t="shared" si="97"/>
        <v>#DIV/0!</v>
      </c>
      <c r="AK181" s="43" t="e">
        <f t="shared" si="98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118"/>
        <v>0</v>
      </c>
      <c r="BE181" s="43">
        <f t="shared" si="115"/>
        <v>0</v>
      </c>
      <c r="BF181" s="43">
        <f t="shared" si="115"/>
        <v>0</v>
      </c>
      <c r="BG181" s="43">
        <f t="shared" si="115"/>
        <v>0</v>
      </c>
      <c r="BH181" s="43">
        <f t="shared" si="115"/>
        <v>0</v>
      </c>
      <c r="BI181" s="43">
        <f t="shared" si="115"/>
        <v>0</v>
      </c>
      <c r="BJ181" s="43">
        <f t="shared" si="115"/>
        <v>0</v>
      </c>
      <c r="BK181" s="43">
        <f t="shared" si="115"/>
        <v>0</v>
      </c>
      <c r="BL181" s="43">
        <f t="shared" si="115"/>
        <v>0</v>
      </c>
      <c r="BM181" s="51"/>
      <c r="BN181" s="51"/>
      <c r="BO181" s="51"/>
      <c r="BP181" s="51"/>
      <c r="BQ181" s="51"/>
      <c r="BR181" s="51"/>
      <c r="BS181" s="51"/>
      <c r="BT181" s="51"/>
      <c r="BU181" s="51"/>
      <c r="BV181" s="51" t="e">
        <f t="shared" si="99"/>
        <v>#DIV/0!</v>
      </c>
      <c r="BW181" s="51" t="e">
        <f t="shared" si="100"/>
        <v>#DIV/0!</v>
      </c>
      <c r="BX181" s="51" t="e">
        <f t="shared" si="101"/>
        <v>#DIV/0!</v>
      </c>
      <c r="BY181" s="51" t="e">
        <f t="shared" si="102"/>
        <v>#DIV/0!</v>
      </c>
      <c r="BZ181" s="51" t="e">
        <f t="shared" si="103"/>
        <v>#DIV/0!</v>
      </c>
      <c r="CA181" s="51" t="e">
        <f t="shared" si="104"/>
        <v>#DIV/0!</v>
      </c>
      <c r="CB181" s="51" t="e">
        <f t="shared" si="105"/>
        <v>#DIV/0!</v>
      </c>
      <c r="CC181" s="51" t="e">
        <f t="shared" si="106"/>
        <v>#DIV/0!</v>
      </c>
      <c r="CD181" s="51" t="e">
        <f t="shared" si="107"/>
        <v>#DIV/0!</v>
      </c>
      <c r="CE181" s="53">
        <f t="shared" si="120"/>
        <v>0</v>
      </c>
      <c r="CF181" s="53">
        <f t="shared" si="116"/>
        <v>0</v>
      </c>
      <c r="CG181" s="53">
        <f t="shared" si="116"/>
        <v>0</v>
      </c>
      <c r="CH181" s="53">
        <f t="shared" si="116"/>
        <v>0</v>
      </c>
      <c r="CI181" s="53">
        <f t="shared" si="116"/>
        <v>0</v>
      </c>
      <c r="CJ181" s="53">
        <f t="shared" si="116"/>
        <v>0</v>
      </c>
      <c r="CK181" s="53">
        <f t="shared" si="116"/>
        <v>0</v>
      </c>
      <c r="CL181" s="53">
        <f t="shared" si="116"/>
        <v>0</v>
      </c>
      <c r="CM181" s="53">
        <f t="shared" si="116"/>
        <v>0</v>
      </c>
    </row>
    <row r="182" spans="1:91" x14ac:dyDescent="0.15">
      <c r="A182" s="41">
        <v>180</v>
      </c>
      <c r="B182" s="43">
        <f t="shared" si="125"/>
        <v>1</v>
      </c>
      <c r="C182" s="43">
        <f t="shared" si="124"/>
        <v>1</v>
      </c>
      <c r="D182" s="43">
        <f t="shared" si="124"/>
        <v>1</v>
      </c>
      <c r="E182" s="43">
        <f t="shared" si="124"/>
        <v>1</v>
      </c>
      <c r="F182" s="43">
        <f t="shared" si="124"/>
        <v>1</v>
      </c>
      <c r="G182" s="43">
        <f t="shared" si="124"/>
        <v>1</v>
      </c>
      <c r="H182" s="43">
        <f t="shared" si="124"/>
        <v>1</v>
      </c>
      <c r="I182" s="43">
        <f t="shared" si="124"/>
        <v>1</v>
      </c>
      <c r="J182" s="43">
        <f t="shared" si="124"/>
        <v>1</v>
      </c>
      <c r="K182" s="43" t="e">
        <f>K181+ATM_Conf!$C$5*(T181-AC181)</f>
        <v>#DIV/0!</v>
      </c>
      <c r="L182" s="43" t="e">
        <f>L181+ATM_Conf!$C$5*(U181-AD181)</f>
        <v>#DIV/0!</v>
      </c>
      <c r="M182" s="43" t="e">
        <f>M181+ATM_Conf!$C$5*(V181-AE181)</f>
        <v>#DIV/0!</v>
      </c>
      <c r="N182" s="43" t="e">
        <f>N181+ATM_Conf!$C$5*(W181-AF181)</f>
        <v>#DIV/0!</v>
      </c>
      <c r="O182" s="43" t="e">
        <f>O181+ATM_Conf!$C$5*(X181-AG181)</f>
        <v>#DIV/0!</v>
      </c>
      <c r="P182" s="43" t="e">
        <f>P181+ATM_Conf!$C$5*(Y181-AH181)</f>
        <v>#DIV/0!</v>
      </c>
      <c r="Q182" s="43" t="e">
        <f>Q181+ATM_Conf!$C$5*(Z181-AI181)</f>
        <v>#DIV/0!</v>
      </c>
      <c r="R182" s="43" t="e">
        <f>R181+ATM_Conf!$C$5*(AA181-AJ181)</f>
        <v>#DIV/0!</v>
      </c>
      <c r="S182" s="43" t="e">
        <f>S181+ATM_Conf!$C$5*(AB181-AK181)</f>
        <v>#DIV/0!</v>
      </c>
      <c r="T182" s="43">
        <f t="shared" si="117"/>
        <v>0</v>
      </c>
      <c r="U182" s="43">
        <f t="shared" si="114"/>
        <v>0</v>
      </c>
      <c r="V182" s="43">
        <f t="shared" si="114"/>
        <v>0</v>
      </c>
      <c r="W182" s="43">
        <f t="shared" si="114"/>
        <v>0</v>
      </c>
      <c r="X182" s="43">
        <f t="shared" si="114"/>
        <v>0</v>
      </c>
      <c r="Y182" s="43">
        <f t="shared" si="114"/>
        <v>0</v>
      </c>
      <c r="Z182" s="43">
        <f t="shared" si="114"/>
        <v>0</v>
      </c>
      <c r="AA182" s="43">
        <f t="shared" si="114"/>
        <v>0</v>
      </c>
      <c r="AB182" s="43">
        <f t="shared" si="114"/>
        <v>0</v>
      </c>
      <c r="AC182" s="43" t="e">
        <f t="shared" si="90"/>
        <v>#DIV/0!</v>
      </c>
      <c r="AD182" s="43" t="e">
        <f t="shared" si="91"/>
        <v>#DIV/0!</v>
      </c>
      <c r="AE182" s="43" t="e">
        <f t="shared" si="92"/>
        <v>#DIV/0!</v>
      </c>
      <c r="AF182" s="43" t="e">
        <f t="shared" si="93"/>
        <v>#DIV/0!</v>
      </c>
      <c r="AG182" s="43" t="e">
        <f t="shared" si="94"/>
        <v>#DIV/0!</v>
      </c>
      <c r="AH182" s="43" t="e">
        <f t="shared" si="95"/>
        <v>#DIV/0!</v>
      </c>
      <c r="AI182" s="43" t="e">
        <f t="shared" si="96"/>
        <v>#DIV/0!</v>
      </c>
      <c r="AJ182" s="43" t="e">
        <f t="shared" si="97"/>
        <v>#DIV/0!</v>
      </c>
      <c r="AK182" s="43" t="e">
        <f t="shared" si="98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118"/>
        <v>0</v>
      </c>
      <c r="BE182" s="43">
        <f t="shared" si="115"/>
        <v>0</v>
      </c>
      <c r="BF182" s="43">
        <f t="shared" si="115"/>
        <v>0</v>
      </c>
      <c r="BG182" s="43">
        <f t="shared" si="115"/>
        <v>0</v>
      </c>
      <c r="BH182" s="43">
        <f t="shared" si="115"/>
        <v>0</v>
      </c>
      <c r="BI182" s="43">
        <f t="shared" si="115"/>
        <v>0</v>
      </c>
      <c r="BJ182" s="43">
        <f t="shared" si="115"/>
        <v>0</v>
      </c>
      <c r="BK182" s="43">
        <f t="shared" si="115"/>
        <v>0</v>
      </c>
      <c r="BL182" s="43">
        <f t="shared" si="115"/>
        <v>0</v>
      </c>
      <c r="BM182" s="54">
        <f>12*SUM(BM3:BU181)</f>
        <v>0</v>
      </c>
      <c r="BN182" s="51"/>
      <c r="BO182" s="51"/>
      <c r="BP182" s="51"/>
      <c r="BQ182" s="51"/>
      <c r="BR182" s="51"/>
      <c r="BS182" s="51"/>
      <c r="BT182" s="51"/>
      <c r="BU182" s="51"/>
      <c r="BV182" s="51" t="e">
        <f t="shared" si="99"/>
        <v>#DIV/0!</v>
      </c>
      <c r="BW182" s="51" t="e">
        <f t="shared" si="100"/>
        <v>#DIV/0!</v>
      </c>
      <c r="BX182" s="51" t="e">
        <f t="shared" si="101"/>
        <v>#DIV/0!</v>
      </c>
      <c r="BY182" s="51" t="e">
        <f t="shared" si="102"/>
        <v>#DIV/0!</v>
      </c>
      <c r="BZ182" s="51" t="e">
        <f t="shared" si="103"/>
        <v>#DIV/0!</v>
      </c>
      <c r="CA182" s="51" t="e">
        <f t="shared" si="104"/>
        <v>#DIV/0!</v>
      </c>
      <c r="CB182" s="51" t="e">
        <f t="shared" si="105"/>
        <v>#DIV/0!</v>
      </c>
      <c r="CC182" s="51" t="e">
        <f t="shared" si="106"/>
        <v>#DIV/0!</v>
      </c>
      <c r="CD182" s="51" t="e">
        <f t="shared" si="107"/>
        <v>#DIV/0!</v>
      </c>
      <c r="CE182" s="53"/>
      <c r="CF182" s="53"/>
      <c r="CG182" s="53"/>
      <c r="CH182" s="53"/>
      <c r="CI182" s="53"/>
      <c r="CJ182" s="53"/>
      <c r="CK182" s="53"/>
      <c r="CL182" s="53"/>
      <c r="CM182" s="53"/>
    </row>
    <row r="183" spans="1:91" x14ac:dyDescent="0.15">
      <c r="K183" s="64" t="e">
        <f>SUM(K4:S182)</f>
        <v>#DIV/0!</v>
      </c>
      <c r="BV183" s="64" t="e">
        <f>SUM(BV4:CD182)</f>
        <v>#DIV/0!</v>
      </c>
    </row>
    <row r="188" spans="1:91" x14ac:dyDescent="0.15">
      <c r="B188" s="124" t="s">
        <v>191</v>
      </c>
      <c r="C188" s="124"/>
      <c r="D188" s="124"/>
      <c r="E188" s="124"/>
      <c r="F188" s="124"/>
      <c r="G188" s="124"/>
      <c r="H188" s="124"/>
      <c r="I188" s="124"/>
      <c r="J188" s="124"/>
      <c r="K188" s="124" t="s">
        <v>200</v>
      </c>
      <c r="L188" s="124"/>
      <c r="M188" s="124"/>
      <c r="N188" s="124"/>
      <c r="O188" s="124"/>
      <c r="P188" s="124"/>
      <c r="Q188" s="124"/>
      <c r="R188" s="124"/>
      <c r="S188" s="124"/>
      <c r="T188" s="124" t="s">
        <v>209</v>
      </c>
      <c r="U188" s="124"/>
      <c r="V188" s="124"/>
      <c r="W188" s="124"/>
      <c r="X188" s="124"/>
      <c r="Y188" s="124"/>
      <c r="Z188" s="124"/>
      <c r="AA188" s="124"/>
      <c r="AB188" s="124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124" t="s">
        <v>257</v>
      </c>
      <c r="C192" s="124"/>
      <c r="D192" s="124"/>
      <c r="E192" s="124"/>
      <c r="F192" s="124"/>
      <c r="G192" s="124"/>
      <c r="H192" s="124"/>
      <c r="I192" s="124"/>
      <c r="J192" s="124"/>
    </row>
    <row r="193" spans="2:10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</row>
    <row r="194" spans="2:10" x14ac:dyDescent="0.15">
      <c r="B194" s="42"/>
      <c r="C194" s="42"/>
      <c r="D194" s="42"/>
      <c r="E194" s="42"/>
      <c r="F194" s="42"/>
      <c r="G194" s="42"/>
      <c r="H194" s="42"/>
      <c r="I194" s="42"/>
      <c r="J194" s="42"/>
    </row>
  </sheetData>
  <mergeCells count="15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zoomScale="70" zoomScaleNormal="70" workbookViewId="0">
      <selection activeCell="L3" sqref="L3"/>
    </sheetView>
  </sheetViews>
  <sheetFormatPr defaultRowHeight="14.25" x14ac:dyDescent="0.15"/>
  <cols>
    <col min="1" max="16384" width="9" style="48"/>
  </cols>
  <sheetData>
    <row r="1" spans="1:28" x14ac:dyDescent="0.15">
      <c r="A1" s="126" t="s">
        <v>188</v>
      </c>
      <c r="B1" s="131" t="s">
        <v>168</v>
      </c>
      <c r="C1" s="132"/>
      <c r="D1" s="132"/>
      <c r="E1" s="132"/>
      <c r="F1" s="132"/>
      <c r="G1" s="132"/>
      <c r="H1" s="132"/>
      <c r="I1" s="132"/>
      <c r="J1" s="132"/>
      <c r="K1" s="133"/>
      <c r="L1" s="124" t="s">
        <v>201</v>
      </c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60"/>
    </row>
    <row r="2" spans="1:28" x14ac:dyDescent="0.15">
      <c r="A2" s="127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60"/>
    </row>
    <row r="3" spans="1:28" x14ac:dyDescent="0.15">
      <c r="A3" s="46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9" t="e">
        <f>(B195-B194+B196)/(A189*Q189)</f>
        <v>#DIV/0!</v>
      </c>
      <c r="M3" s="49" t="e">
        <f t="shared" ref="M3:AA3" si="0">(C195-C194+C196)/(B189*R189)</f>
        <v>#DIV/0!</v>
      </c>
      <c r="N3" s="49" t="e">
        <f t="shared" si="0"/>
        <v>#DIV/0!</v>
      </c>
      <c r="O3" s="49" t="e">
        <f t="shared" si="0"/>
        <v>#DIV/0!</v>
      </c>
      <c r="P3" s="69"/>
      <c r="Q3" s="69"/>
      <c r="R3" s="49" t="e">
        <f t="shared" si="0"/>
        <v>#DIV/0!</v>
      </c>
      <c r="S3" s="49" t="e">
        <f t="shared" si="0"/>
        <v>#DIV/0!</v>
      </c>
      <c r="T3" s="49" t="e">
        <f t="shared" si="0"/>
        <v>#DIV/0!</v>
      </c>
      <c r="U3" s="49" t="e">
        <f t="shared" si="0"/>
        <v>#DIV/0!</v>
      </c>
      <c r="V3" s="49" t="e">
        <f t="shared" si="0"/>
        <v>#DIV/0!</v>
      </c>
      <c r="W3" s="49" t="e">
        <f t="shared" si="0"/>
        <v>#DIV/0!</v>
      </c>
      <c r="X3" s="49" t="e">
        <f t="shared" si="0"/>
        <v>#DIV/0!</v>
      </c>
      <c r="Y3" s="49" t="e">
        <f t="shared" si="0"/>
        <v>#DIV/0!</v>
      </c>
      <c r="Z3" s="49" t="e">
        <f t="shared" si="0"/>
        <v>#DIV/0!</v>
      </c>
      <c r="AA3" s="49" t="e">
        <f t="shared" si="0"/>
        <v>#DIV/0!</v>
      </c>
    </row>
    <row r="4" spans="1:28" x14ac:dyDescent="0.15">
      <c r="A4" s="46">
        <v>2</v>
      </c>
      <c r="B4" s="61"/>
      <c r="C4" s="61"/>
      <c r="D4" s="61"/>
      <c r="E4" s="61"/>
      <c r="F4" s="61"/>
      <c r="G4" s="61"/>
      <c r="H4" s="61"/>
      <c r="I4" s="61"/>
      <c r="J4" s="61"/>
      <c r="K4" s="61"/>
      <c r="L4" s="53" t="e">
        <f>L3+ATM_Conf!$C$5*(Nodes!AB3)/('Off-Ramp'!A189*Q189)</f>
        <v>#DIV/0!</v>
      </c>
      <c r="M4" s="53" t="e">
        <f>M3+ATM_Conf!$C$5*(Nodes!AC3)/('Off-Ramp'!B189*R189)</f>
        <v>#DIV/0!</v>
      </c>
      <c r="N4" s="53" t="e">
        <f>N3+ATM_Conf!$C$5*(Nodes!AD3)/('Off-Ramp'!C189*S189)</f>
        <v>#DIV/0!</v>
      </c>
      <c r="O4" s="53" t="e">
        <f>O3+ATM_Conf!$C$5*(Nodes!AE3)/('Off-Ramp'!D189*T189)</f>
        <v>#DIV/0!</v>
      </c>
      <c r="P4" s="69"/>
      <c r="Q4" s="69"/>
      <c r="R4" s="53" t="e">
        <f>R3+ATM_Conf!$C$5*(Nodes!AH3)/('Off-Ramp'!G189*W189)</f>
        <v>#DIV/0!</v>
      </c>
      <c r="S4" s="53" t="e">
        <f>S3+ATM_Conf!$C$5*(Nodes!AI3)/('Off-Ramp'!H189*X189)</f>
        <v>#DIV/0!</v>
      </c>
      <c r="T4" s="53" t="e">
        <f>T3+ATM_Conf!$C$5*(Nodes!AJ3)/('Off-Ramp'!I189*Y189)</f>
        <v>#DIV/0!</v>
      </c>
      <c r="U4" s="53" t="e">
        <f>U3+ATM_Conf!$C$5*(Nodes!AK3)/('Off-Ramp'!J189*Z189)</f>
        <v>#DIV/0!</v>
      </c>
      <c r="V4" s="53" t="e">
        <f>V3+ATM_Conf!$C$5*(Nodes!AL3)/('Off-Ramp'!K189*AA189)</f>
        <v>#DIV/0!</v>
      </c>
      <c r="W4" s="53" t="e">
        <f>W3+ATM_Conf!$C$5*(Nodes!AM3)/('Off-Ramp'!L189*AB189)</f>
        <v>#DIV/0!</v>
      </c>
      <c r="X4" s="53" t="e">
        <f>X3+ATM_Conf!$C$5*(Nodes!AN3)/('Off-Ramp'!M189*AC189)</f>
        <v>#DIV/0!</v>
      </c>
      <c r="Y4" s="53" t="e">
        <f>Y3+ATM_Conf!$C$5*(Nodes!AO3)/('Off-Ramp'!N189*AD189)</f>
        <v>#DIV/0!</v>
      </c>
      <c r="Z4" s="53" t="e">
        <f>Z3+ATM_Conf!$C$5*(Nodes!AP3)/('Off-Ramp'!O189*AE189)</f>
        <v>#DIV/0!</v>
      </c>
      <c r="AA4" s="53" t="e">
        <f>AA3+ATM_Conf!$C$5*(Nodes!AQ3)/('Off-Ramp'!P189*AF189)</f>
        <v>#DIV/0!</v>
      </c>
    </row>
    <row r="5" spans="1:28" x14ac:dyDescent="0.15">
      <c r="A5" s="46">
        <v>3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53" t="e">
        <f t="shared" ref="L5:L35" si="1">B5/60/A$189</f>
        <v>#DIV/0!</v>
      </c>
      <c r="M5" s="53" t="e">
        <f t="shared" ref="M5:M35" si="2">C5/60/B$189</f>
        <v>#DIV/0!</v>
      </c>
      <c r="N5" s="53" t="e">
        <f t="shared" ref="N5:N35" si="3">D5/60/C$189</f>
        <v>#DIV/0!</v>
      </c>
      <c r="O5" s="53" t="e">
        <f t="shared" ref="O5:O35" si="4">E5/60/D$189</f>
        <v>#DIV/0!</v>
      </c>
      <c r="P5" s="69"/>
      <c r="Q5" s="69"/>
      <c r="R5" s="53" t="e">
        <f t="shared" ref="R5:R35" si="5">H5/60/G$189</f>
        <v>#DIV/0!</v>
      </c>
      <c r="S5" s="53" t="e">
        <f t="shared" ref="S5:S35" si="6">I5/60/H$189</f>
        <v>#DIV/0!</v>
      </c>
      <c r="T5" s="53" t="e">
        <f t="shared" ref="T5:T35" si="7">J5/60/I$189</f>
        <v>#DIV/0!</v>
      </c>
      <c r="U5" s="53" t="e">
        <f t="shared" ref="U5:U67" si="8">K5/60/J$189</f>
        <v>#DIV/0!</v>
      </c>
      <c r="V5" s="53" t="e">
        <f>V4+ATM_Conf!$C$5*(Nodes!AL4)/('Off-Ramp'!K190*AA190)</f>
        <v>#DIV/0!</v>
      </c>
      <c r="W5" s="53" t="e">
        <f>W4+ATM_Conf!$C$5*(Nodes!AM4)/('Off-Ramp'!L190*AB190)</f>
        <v>#DIV/0!</v>
      </c>
      <c r="X5" s="53" t="e">
        <f>X4+ATM_Conf!$C$5*(Nodes!AN4)/('Off-Ramp'!M190*AC190)</f>
        <v>#DIV/0!</v>
      </c>
      <c r="Y5" s="53" t="e">
        <f>Y4+ATM_Conf!$C$5*(Nodes!AO4)/('Off-Ramp'!N190*AD190)</f>
        <v>#DIV/0!</v>
      </c>
      <c r="Z5" s="53" t="e">
        <f>Z4+ATM_Conf!$C$5*(Nodes!AP4)/('Off-Ramp'!O190*AE190)</f>
        <v>#DIV/0!</v>
      </c>
      <c r="AA5" s="53" t="e">
        <f>AA4+ATM_Conf!$C$5*(Nodes!AQ4)/('Off-Ramp'!P190*AF190)</f>
        <v>#DIV/0!</v>
      </c>
    </row>
    <row r="6" spans="1:28" x14ac:dyDescent="0.15">
      <c r="A6" s="46">
        <v>4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53" t="e">
        <f t="shared" si="1"/>
        <v>#DIV/0!</v>
      </c>
      <c r="M6" s="53" t="e">
        <f t="shared" si="2"/>
        <v>#DIV/0!</v>
      </c>
      <c r="N6" s="53" t="e">
        <f t="shared" si="3"/>
        <v>#DIV/0!</v>
      </c>
      <c r="O6" s="53" t="e">
        <f t="shared" si="4"/>
        <v>#DIV/0!</v>
      </c>
      <c r="P6" s="69"/>
      <c r="Q6" s="69"/>
      <c r="R6" s="53" t="e">
        <f t="shared" si="5"/>
        <v>#DIV/0!</v>
      </c>
      <c r="S6" s="53" t="e">
        <f t="shared" si="6"/>
        <v>#DIV/0!</v>
      </c>
      <c r="T6" s="53" t="e">
        <f t="shared" si="7"/>
        <v>#DIV/0!</v>
      </c>
      <c r="U6" s="53" t="e">
        <f t="shared" si="8"/>
        <v>#DIV/0!</v>
      </c>
      <c r="V6" s="53" t="e">
        <f>V5+ATM_Conf!$C$5*(Nodes!AL5)/('Off-Ramp'!K191*AA191)</f>
        <v>#DIV/0!</v>
      </c>
      <c r="W6" s="53" t="e">
        <f>W5+ATM_Conf!$C$5*(Nodes!AM5)/('Off-Ramp'!L191*AB191)</f>
        <v>#DIV/0!</v>
      </c>
      <c r="X6" s="53" t="e">
        <f>X5+ATM_Conf!$C$5*(Nodes!AN5)/('Off-Ramp'!M191*AC191)</f>
        <v>#DIV/0!</v>
      </c>
      <c r="Y6" s="53" t="e">
        <f>Y5+ATM_Conf!$C$5*(Nodes!AO5)/('Off-Ramp'!N191*AD191)</f>
        <v>#DIV/0!</v>
      </c>
      <c r="Z6" s="53" t="e">
        <f>Z5+ATM_Conf!$C$5*(Nodes!AP5)/('Off-Ramp'!O191*AE191)</f>
        <v>#DIV/0!</v>
      </c>
      <c r="AA6" s="53" t="e">
        <f>AA5+ATM_Conf!$C$5*(Nodes!AQ5)/('Off-Ramp'!P191*AF191)</f>
        <v>#DIV/0!</v>
      </c>
    </row>
    <row r="7" spans="1:28" x14ac:dyDescent="0.15">
      <c r="A7" s="46">
        <v>5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53" t="e">
        <f t="shared" si="1"/>
        <v>#DIV/0!</v>
      </c>
      <c r="M7" s="53" t="e">
        <f t="shared" si="2"/>
        <v>#DIV/0!</v>
      </c>
      <c r="N7" s="53" t="e">
        <f t="shared" si="3"/>
        <v>#DIV/0!</v>
      </c>
      <c r="O7" s="53" t="e">
        <f t="shared" si="4"/>
        <v>#DIV/0!</v>
      </c>
      <c r="P7" s="69"/>
      <c r="Q7" s="69"/>
      <c r="R7" s="53" t="e">
        <f t="shared" si="5"/>
        <v>#DIV/0!</v>
      </c>
      <c r="S7" s="53" t="e">
        <f t="shared" si="6"/>
        <v>#DIV/0!</v>
      </c>
      <c r="T7" s="53" t="e">
        <f t="shared" si="7"/>
        <v>#DIV/0!</v>
      </c>
      <c r="U7" s="53" t="e">
        <f t="shared" si="8"/>
        <v>#DIV/0!</v>
      </c>
      <c r="V7" s="53" t="e">
        <f>V6+ATM_Conf!$C$5*(Nodes!AL6)/('Off-Ramp'!K192*AA192)</f>
        <v>#DIV/0!</v>
      </c>
      <c r="W7" s="53" t="e">
        <f>W6+ATM_Conf!$C$5*(Nodes!AM6)/('Off-Ramp'!L192*AB192)</f>
        <v>#DIV/0!</v>
      </c>
      <c r="X7" s="53" t="e">
        <f>X6+ATM_Conf!$C$5*(Nodes!AN6)/('Off-Ramp'!M192*AC192)</f>
        <v>#DIV/0!</v>
      </c>
      <c r="Y7" s="53" t="e">
        <f>Y6+ATM_Conf!$C$5*(Nodes!AO6)/('Off-Ramp'!N192*AD192)</f>
        <v>#DIV/0!</v>
      </c>
      <c r="Z7" s="53" t="e">
        <f>Z6+ATM_Conf!$C$5*(Nodes!AP6)/('Off-Ramp'!O192*AE192)</f>
        <v>#DIV/0!</v>
      </c>
      <c r="AA7" s="53" t="e">
        <f>AA6+ATM_Conf!$C$5*(Nodes!AQ6)/('Off-Ramp'!P192*AF192)</f>
        <v>#DIV/0!</v>
      </c>
    </row>
    <row r="8" spans="1:28" x14ac:dyDescent="0.15">
      <c r="A8" s="46">
        <v>6</v>
      </c>
      <c r="B8" s="61"/>
      <c r="C8" s="61"/>
      <c r="D8" s="61"/>
      <c r="E8" s="61"/>
      <c r="F8" s="61"/>
      <c r="G8" s="61"/>
      <c r="H8" s="61"/>
      <c r="I8" s="61"/>
      <c r="J8" s="61"/>
      <c r="K8" s="61"/>
      <c r="L8" s="53" t="e">
        <f t="shared" si="1"/>
        <v>#DIV/0!</v>
      </c>
      <c r="M8" s="53" t="e">
        <f t="shared" si="2"/>
        <v>#DIV/0!</v>
      </c>
      <c r="N8" s="53" t="e">
        <f t="shared" si="3"/>
        <v>#DIV/0!</v>
      </c>
      <c r="O8" s="53" t="e">
        <f t="shared" si="4"/>
        <v>#DIV/0!</v>
      </c>
      <c r="P8" s="69"/>
      <c r="Q8" s="69"/>
      <c r="R8" s="53" t="e">
        <f t="shared" si="5"/>
        <v>#DIV/0!</v>
      </c>
      <c r="S8" s="53" t="e">
        <f t="shared" si="6"/>
        <v>#DIV/0!</v>
      </c>
      <c r="T8" s="53" t="e">
        <f t="shared" si="7"/>
        <v>#DIV/0!</v>
      </c>
      <c r="U8" s="53" t="e">
        <f t="shared" si="8"/>
        <v>#DIV/0!</v>
      </c>
      <c r="V8" s="53" t="e">
        <f>V7+ATM_Conf!$C$5*(Nodes!AL7)/('Off-Ramp'!K193*AA193)</f>
        <v>#DIV/0!</v>
      </c>
      <c r="W8" s="53" t="e">
        <f>W7+ATM_Conf!$C$5*(Nodes!AM7)/('Off-Ramp'!L193*AB193)</f>
        <v>#DIV/0!</v>
      </c>
      <c r="X8" s="53" t="e">
        <f>X7+ATM_Conf!$C$5*(Nodes!AN7)/('Off-Ramp'!M193*AC193)</f>
        <v>#DIV/0!</v>
      </c>
      <c r="Y8" s="53" t="e">
        <f>Y7+ATM_Conf!$C$5*(Nodes!AO7)/('Off-Ramp'!N193*AD193)</f>
        <v>#DIV/0!</v>
      </c>
      <c r="Z8" s="53" t="e">
        <f>Z7+ATM_Conf!$C$5*(Nodes!AP7)/('Off-Ramp'!O193*AE193)</f>
        <v>#DIV/0!</v>
      </c>
      <c r="AA8" s="53" t="e">
        <f>AA7+ATM_Conf!$C$5*(Nodes!AQ7)/('Off-Ramp'!P193*AF193)</f>
        <v>#DIV/0!</v>
      </c>
    </row>
    <row r="9" spans="1:28" x14ac:dyDescent="0.15">
      <c r="A9" s="46">
        <v>7</v>
      </c>
      <c r="B9" s="61"/>
      <c r="C9" s="61"/>
      <c r="D9" s="61"/>
      <c r="E9" s="61"/>
      <c r="F9" s="61"/>
      <c r="G9" s="61"/>
      <c r="H9" s="61"/>
      <c r="I9" s="61"/>
      <c r="J9" s="61"/>
      <c r="K9" s="61"/>
      <c r="L9" s="53" t="e">
        <f t="shared" si="1"/>
        <v>#DIV/0!</v>
      </c>
      <c r="M9" s="53" t="e">
        <f t="shared" si="2"/>
        <v>#DIV/0!</v>
      </c>
      <c r="N9" s="53" t="e">
        <f t="shared" si="3"/>
        <v>#DIV/0!</v>
      </c>
      <c r="O9" s="53" t="e">
        <f t="shared" si="4"/>
        <v>#DIV/0!</v>
      </c>
      <c r="P9" s="69"/>
      <c r="Q9" s="69"/>
      <c r="R9" s="53" t="e">
        <f t="shared" si="5"/>
        <v>#DIV/0!</v>
      </c>
      <c r="S9" s="53" t="e">
        <f t="shared" si="6"/>
        <v>#DIV/0!</v>
      </c>
      <c r="T9" s="53" t="e">
        <f t="shared" si="7"/>
        <v>#DIV/0!</v>
      </c>
      <c r="U9" s="53" t="e">
        <f t="shared" si="8"/>
        <v>#DIV/0!</v>
      </c>
      <c r="V9" s="53" t="e">
        <f>V8+ATM_Conf!$C$5*(Nodes!AL8)/('Off-Ramp'!K194*AA194)</f>
        <v>#DIV/0!</v>
      </c>
      <c r="W9" s="53" t="e">
        <f>W8+ATM_Conf!$C$5*(Nodes!AM8)/('Off-Ramp'!L194*AB194)</f>
        <v>#DIV/0!</v>
      </c>
      <c r="X9" s="53" t="e">
        <f>X8+ATM_Conf!$C$5*(Nodes!AN8)/('Off-Ramp'!M194*AC194)</f>
        <v>#DIV/0!</v>
      </c>
      <c r="Y9" s="53" t="e">
        <f>Y8+ATM_Conf!$C$5*(Nodes!AO8)/('Off-Ramp'!N194*AD194)</f>
        <v>#DIV/0!</v>
      </c>
      <c r="Z9" s="53" t="e">
        <f>Z8+ATM_Conf!$C$5*(Nodes!AP8)/('Off-Ramp'!O194*AE194)</f>
        <v>#DIV/0!</v>
      </c>
      <c r="AA9" s="53" t="e">
        <f>AA8+ATM_Conf!$C$5*(Nodes!AQ8)/('Off-Ramp'!P194*AF194)</f>
        <v>#DIV/0!</v>
      </c>
    </row>
    <row r="10" spans="1:28" x14ac:dyDescent="0.15">
      <c r="A10" s="46">
        <v>8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53" t="e">
        <f t="shared" si="1"/>
        <v>#DIV/0!</v>
      </c>
      <c r="M10" s="53" t="e">
        <f t="shared" si="2"/>
        <v>#DIV/0!</v>
      </c>
      <c r="N10" s="53" t="e">
        <f t="shared" si="3"/>
        <v>#DIV/0!</v>
      </c>
      <c r="O10" s="53" t="e">
        <f t="shared" si="4"/>
        <v>#DIV/0!</v>
      </c>
      <c r="P10" s="69"/>
      <c r="Q10" s="69"/>
      <c r="R10" s="53" t="e">
        <f t="shared" si="5"/>
        <v>#DIV/0!</v>
      </c>
      <c r="S10" s="53" t="e">
        <f t="shared" si="6"/>
        <v>#DIV/0!</v>
      </c>
      <c r="T10" s="53" t="e">
        <f t="shared" si="7"/>
        <v>#DIV/0!</v>
      </c>
      <c r="U10" s="53" t="e">
        <f t="shared" si="8"/>
        <v>#DIV/0!</v>
      </c>
      <c r="V10" s="53" t="e">
        <f>V9+ATM_Conf!$C$5*(Nodes!AL9)/('Off-Ramp'!K195*AA195)</f>
        <v>#DIV/0!</v>
      </c>
      <c r="W10" s="53" t="e">
        <f>W9+ATM_Conf!$C$5*(Nodes!AM9)/('Off-Ramp'!L195*AB195)</f>
        <v>#DIV/0!</v>
      </c>
      <c r="X10" s="53" t="e">
        <f>X9+ATM_Conf!$C$5*(Nodes!AN9)/('Off-Ramp'!M195*AC195)</f>
        <v>#DIV/0!</v>
      </c>
      <c r="Y10" s="53" t="e">
        <f>Y9+ATM_Conf!$C$5*(Nodes!AO9)/('Off-Ramp'!N195*AD195)</f>
        <v>#DIV/0!</v>
      </c>
      <c r="Z10" s="53" t="e">
        <f>Z9+ATM_Conf!$C$5*(Nodes!AP9)/('Off-Ramp'!O195*AE195)</f>
        <v>#DIV/0!</v>
      </c>
      <c r="AA10" s="53" t="e">
        <f>AA9+ATM_Conf!$C$5*(Nodes!AQ9)/('Off-Ramp'!P195*AF195)</f>
        <v>#DIV/0!</v>
      </c>
    </row>
    <row r="11" spans="1:28" x14ac:dyDescent="0.15">
      <c r="A11" s="46">
        <v>9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53" t="e">
        <f t="shared" si="1"/>
        <v>#DIV/0!</v>
      </c>
      <c r="M11" s="53" t="e">
        <f t="shared" si="2"/>
        <v>#DIV/0!</v>
      </c>
      <c r="N11" s="53" t="e">
        <f t="shared" si="3"/>
        <v>#DIV/0!</v>
      </c>
      <c r="O11" s="53" t="e">
        <f t="shared" si="4"/>
        <v>#DIV/0!</v>
      </c>
      <c r="P11" s="69"/>
      <c r="Q11" s="69"/>
      <c r="R11" s="53" t="e">
        <f t="shared" si="5"/>
        <v>#DIV/0!</v>
      </c>
      <c r="S11" s="53" t="e">
        <f t="shared" si="6"/>
        <v>#DIV/0!</v>
      </c>
      <c r="T11" s="53" t="e">
        <f t="shared" si="7"/>
        <v>#DIV/0!</v>
      </c>
      <c r="U11" s="53" t="e">
        <f t="shared" si="8"/>
        <v>#DIV/0!</v>
      </c>
      <c r="V11" s="53" t="e">
        <f>V10+ATM_Conf!$C$5*(Nodes!AL10)/('Off-Ramp'!K196*AA196)</f>
        <v>#DIV/0!</v>
      </c>
      <c r="W11" s="53" t="e">
        <f>W10+ATM_Conf!$C$5*(Nodes!AM10)/('Off-Ramp'!L196*AB196)</f>
        <v>#DIV/0!</v>
      </c>
      <c r="X11" s="53" t="e">
        <f>X10+ATM_Conf!$C$5*(Nodes!AN10)/('Off-Ramp'!M196*AC196)</f>
        <v>#DIV/0!</v>
      </c>
      <c r="Y11" s="53" t="e">
        <f>Y10+ATM_Conf!$C$5*(Nodes!AO10)/('Off-Ramp'!N196*AD196)</f>
        <v>#DIV/0!</v>
      </c>
      <c r="Z11" s="53" t="e">
        <f>Z10+ATM_Conf!$C$5*(Nodes!AP10)/('Off-Ramp'!O196*AE196)</f>
        <v>#DIV/0!</v>
      </c>
      <c r="AA11" s="53" t="e">
        <f>AA10+ATM_Conf!$C$5*(Nodes!AQ10)/('Off-Ramp'!P196*AF196)</f>
        <v>#DIV/0!</v>
      </c>
    </row>
    <row r="12" spans="1:28" x14ac:dyDescent="0.15">
      <c r="A12" s="46">
        <v>10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53" t="e">
        <f t="shared" si="1"/>
        <v>#DIV/0!</v>
      </c>
      <c r="M12" s="53" t="e">
        <f t="shared" si="2"/>
        <v>#DIV/0!</v>
      </c>
      <c r="N12" s="53" t="e">
        <f t="shared" si="3"/>
        <v>#DIV/0!</v>
      </c>
      <c r="O12" s="53" t="e">
        <f t="shared" si="4"/>
        <v>#DIV/0!</v>
      </c>
      <c r="P12" s="69"/>
      <c r="Q12" s="69"/>
      <c r="R12" s="53" t="e">
        <f t="shared" si="5"/>
        <v>#DIV/0!</v>
      </c>
      <c r="S12" s="53" t="e">
        <f t="shared" si="6"/>
        <v>#DIV/0!</v>
      </c>
      <c r="T12" s="53" t="e">
        <f t="shared" si="7"/>
        <v>#DIV/0!</v>
      </c>
      <c r="U12" s="53" t="e">
        <f t="shared" si="8"/>
        <v>#DIV/0!</v>
      </c>
      <c r="V12" s="53" t="e">
        <f>V11+ATM_Conf!$C$5*(Nodes!AL11)/('Off-Ramp'!K197*AA197)</f>
        <v>#DIV/0!</v>
      </c>
      <c r="W12" s="53" t="e">
        <f>W11+ATM_Conf!$C$5*(Nodes!AM11)/('Off-Ramp'!L197*AB197)</f>
        <v>#DIV/0!</v>
      </c>
      <c r="X12" s="53" t="e">
        <f>X11+ATM_Conf!$C$5*(Nodes!AN11)/('Off-Ramp'!M197*AC197)</f>
        <v>#DIV/0!</v>
      </c>
      <c r="Y12" s="53" t="e">
        <f>Y11+ATM_Conf!$C$5*(Nodes!AO11)/('Off-Ramp'!N197*AD197)</f>
        <v>#DIV/0!</v>
      </c>
      <c r="Z12" s="53" t="e">
        <f>Z11+ATM_Conf!$C$5*(Nodes!AP11)/('Off-Ramp'!O197*AE197)</f>
        <v>#DIV/0!</v>
      </c>
      <c r="AA12" s="53" t="e">
        <f>AA11+ATM_Conf!$C$5*(Nodes!AQ11)/('Off-Ramp'!P197*AF197)</f>
        <v>#DIV/0!</v>
      </c>
    </row>
    <row r="13" spans="1:28" x14ac:dyDescent="0.15">
      <c r="A13" s="46">
        <v>11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53" t="e">
        <f t="shared" si="1"/>
        <v>#DIV/0!</v>
      </c>
      <c r="M13" s="53" t="e">
        <f t="shared" si="2"/>
        <v>#DIV/0!</v>
      </c>
      <c r="N13" s="53" t="e">
        <f t="shared" si="3"/>
        <v>#DIV/0!</v>
      </c>
      <c r="O13" s="53" t="e">
        <f t="shared" si="4"/>
        <v>#DIV/0!</v>
      </c>
      <c r="P13" s="69"/>
      <c r="Q13" s="69"/>
      <c r="R13" s="53" t="e">
        <f t="shared" si="5"/>
        <v>#DIV/0!</v>
      </c>
      <c r="S13" s="53" t="e">
        <f t="shared" si="6"/>
        <v>#DIV/0!</v>
      </c>
      <c r="T13" s="53" t="e">
        <f t="shared" si="7"/>
        <v>#DIV/0!</v>
      </c>
      <c r="U13" s="53" t="e">
        <f t="shared" si="8"/>
        <v>#DIV/0!</v>
      </c>
      <c r="V13" s="53" t="e">
        <f>V12+ATM_Conf!$C$5*(Nodes!AL12)/('Off-Ramp'!K198*AA198)</f>
        <v>#DIV/0!</v>
      </c>
      <c r="W13" s="53" t="e">
        <f>W12+ATM_Conf!$C$5*(Nodes!AM12)/('Off-Ramp'!L198*AB198)</f>
        <v>#DIV/0!</v>
      </c>
      <c r="X13" s="53" t="e">
        <f>X12+ATM_Conf!$C$5*(Nodes!AN12)/('Off-Ramp'!M198*AC198)</f>
        <v>#DIV/0!</v>
      </c>
      <c r="Y13" s="53" t="e">
        <f>Y12+ATM_Conf!$C$5*(Nodes!AO12)/('Off-Ramp'!N198*AD198)</f>
        <v>#DIV/0!</v>
      </c>
      <c r="Z13" s="53" t="e">
        <f>Z12+ATM_Conf!$C$5*(Nodes!AP12)/('Off-Ramp'!O198*AE198)</f>
        <v>#DIV/0!</v>
      </c>
      <c r="AA13" s="53" t="e">
        <f>AA12+ATM_Conf!$C$5*(Nodes!AQ12)/('Off-Ramp'!P198*AF198)</f>
        <v>#DIV/0!</v>
      </c>
    </row>
    <row r="14" spans="1:28" x14ac:dyDescent="0.15">
      <c r="A14" s="46">
        <v>12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53" t="e">
        <f t="shared" si="1"/>
        <v>#DIV/0!</v>
      </c>
      <c r="M14" s="53" t="e">
        <f t="shared" si="2"/>
        <v>#DIV/0!</v>
      </c>
      <c r="N14" s="53" t="e">
        <f t="shared" si="3"/>
        <v>#DIV/0!</v>
      </c>
      <c r="O14" s="53" t="e">
        <f t="shared" si="4"/>
        <v>#DIV/0!</v>
      </c>
      <c r="P14" s="69"/>
      <c r="Q14" s="69"/>
      <c r="R14" s="53" t="e">
        <f t="shared" si="5"/>
        <v>#DIV/0!</v>
      </c>
      <c r="S14" s="53" t="e">
        <f t="shared" si="6"/>
        <v>#DIV/0!</v>
      </c>
      <c r="T14" s="53" t="e">
        <f t="shared" si="7"/>
        <v>#DIV/0!</v>
      </c>
      <c r="U14" s="53" t="e">
        <f t="shared" si="8"/>
        <v>#DIV/0!</v>
      </c>
      <c r="V14" s="53" t="e">
        <f>V13+ATM_Conf!$C$5*(Nodes!AL13)/('Off-Ramp'!K199*AA199)</f>
        <v>#DIV/0!</v>
      </c>
      <c r="W14" s="53" t="e">
        <f>W13+ATM_Conf!$C$5*(Nodes!AM13)/('Off-Ramp'!L199*AB199)</f>
        <v>#DIV/0!</v>
      </c>
      <c r="X14" s="53" t="e">
        <f>X13+ATM_Conf!$C$5*(Nodes!AN13)/('Off-Ramp'!M199*AC199)</f>
        <v>#DIV/0!</v>
      </c>
      <c r="Y14" s="53" t="e">
        <f>Y13+ATM_Conf!$C$5*(Nodes!AO13)/('Off-Ramp'!N199*AD199)</f>
        <v>#DIV/0!</v>
      </c>
      <c r="Z14" s="53" t="e">
        <f>Z13+ATM_Conf!$C$5*(Nodes!AP13)/('Off-Ramp'!O199*AE199)</f>
        <v>#DIV/0!</v>
      </c>
      <c r="AA14" s="53" t="e">
        <f>AA13+ATM_Conf!$C$5*(Nodes!AQ13)/('Off-Ramp'!P199*AF199)</f>
        <v>#DIV/0!</v>
      </c>
    </row>
    <row r="15" spans="1:28" x14ac:dyDescent="0.15">
      <c r="A15" s="46">
        <v>13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53" t="e">
        <f t="shared" si="1"/>
        <v>#DIV/0!</v>
      </c>
      <c r="M15" s="53" t="e">
        <f t="shared" si="2"/>
        <v>#DIV/0!</v>
      </c>
      <c r="N15" s="53" t="e">
        <f t="shared" si="3"/>
        <v>#DIV/0!</v>
      </c>
      <c r="O15" s="53" t="e">
        <f t="shared" si="4"/>
        <v>#DIV/0!</v>
      </c>
      <c r="P15" s="69"/>
      <c r="Q15" s="69"/>
      <c r="R15" s="53" t="e">
        <f t="shared" si="5"/>
        <v>#DIV/0!</v>
      </c>
      <c r="S15" s="53" t="e">
        <f t="shared" si="6"/>
        <v>#DIV/0!</v>
      </c>
      <c r="T15" s="53" t="e">
        <f t="shared" si="7"/>
        <v>#DIV/0!</v>
      </c>
      <c r="U15" s="53" t="e">
        <f t="shared" si="8"/>
        <v>#DIV/0!</v>
      </c>
      <c r="V15" s="53" t="e">
        <f>V14+ATM_Conf!$C$5*(Nodes!AL14)/('Off-Ramp'!K200*AA200)</f>
        <v>#DIV/0!</v>
      </c>
      <c r="W15" s="53" t="e">
        <f>W14+ATM_Conf!$C$5*(Nodes!AM14)/('Off-Ramp'!L200*AB200)</f>
        <v>#DIV/0!</v>
      </c>
      <c r="X15" s="53" t="e">
        <f>X14+ATM_Conf!$C$5*(Nodes!AN14)/('Off-Ramp'!M200*AC200)</f>
        <v>#DIV/0!</v>
      </c>
      <c r="Y15" s="53" t="e">
        <f>Y14+ATM_Conf!$C$5*(Nodes!AO14)/('Off-Ramp'!N200*AD200)</f>
        <v>#DIV/0!</v>
      </c>
      <c r="Z15" s="53" t="e">
        <f>Z14+ATM_Conf!$C$5*(Nodes!AP14)/('Off-Ramp'!O200*AE200)</f>
        <v>#DIV/0!</v>
      </c>
      <c r="AA15" s="53" t="e">
        <f>AA14+ATM_Conf!$C$5*(Nodes!AQ14)/('Off-Ramp'!P200*AF200)</f>
        <v>#DIV/0!</v>
      </c>
    </row>
    <row r="16" spans="1:28" x14ac:dyDescent="0.15">
      <c r="A16" s="46">
        <v>14</v>
      </c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53" t="e">
        <f t="shared" si="1"/>
        <v>#DIV/0!</v>
      </c>
      <c r="M16" s="53" t="e">
        <f t="shared" si="2"/>
        <v>#DIV/0!</v>
      </c>
      <c r="N16" s="53" t="e">
        <f t="shared" si="3"/>
        <v>#DIV/0!</v>
      </c>
      <c r="O16" s="53" t="e">
        <f t="shared" si="4"/>
        <v>#DIV/0!</v>
      </c>
      <c r="P16" s="69"/>
      <c r="Q16" s="69"/>
      <c r="R16" s="53" t="e">
        <f t="shared" si="5"/>
        <v>#DIV/0!</v>
      </c>
      <c r="S16" s="53" t="e">
        <f t="shared" si="6"/>
        <v>#DIV/0!</v>
      </c>
      <c r="T16" s="53" t="e">
        <f t="shared" si="7"/>
        <v>#DIV/0!</v>
      </c>
      <c r="U16" s="53" t="e">
        <f t="shared" si="8"/>
        <v>#DIV/0!</v>
      </c>
      <c r="V16" s="53" t="e">
        <f>V15+ATM_Conf!$C$5*(Nodes!AL15)/('Off-Ramp'!K201*AA201)</f>
        <v>#DIV/0!</v>
      </c>
      <c r="W16" s="53" t="e">
        <f>W15+ATM_Conf!$C$5*(Nodes!AM15)/('Off-Ramp'!L201*AB201)</f>
        <v>#DIV/0!</v>
      </c>
      <c r="X16" s="53" t="e">
        <f>X15+ATM_Conf!$C$5*(Nodes!AN15)/('Off-Ramp'!M201*AC201)</f>
        <v>#DIV/0!</v>
      </c>
      <c r="Y16" s="53" t="e">
        <f>Y15+ATM_Conf!$C$5*(Nodes!AO15)/('Off-Ramp'!N201*AD201)</f>
        <v>#DIV/0!</v>
      </c>
      <c r="Z16" s="53" t="e">
        <f>Z15+ATM_Conf!$C$5*(Nodes!AP15)/('Off-Ramp'!O201*AE201)</f>
        <v>#DIV/0!</v>
      </c>
      <c r="AA16" s="53" t="e">
        <f>AA15+ATM_Conf!$C$5*(Nodes!AQ15)/('Off-Ramp'!P201*AF201)</f>
        <v>#DIV/0!</v>
      </c>
    </row>
    <row r="17" spans="1:27" x14ac:dyDescent="0.15">
      <c r="A17" s="46">
        <v>15</v>
      </c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53" t="e">
        <f t="shared" si="1"/>
        <v>#DIV/0!</v>
      </c>
      <c r="M17" s="53" t="e">
        <f t="shared" si="2"/>
        <v>#DIV/0!</v>
      </c>
      <c r="N17" s="53" t="e">
        <f t="shared" si="3"/>
        <v>#DIV/0!</v>
      </c>
      <c r="O17" s="53" t="e">
        <f t="shared" si="4"/>
        <v>#DIV/0!</v>
      </c>
      <c r="P17" s="69"/>
      <c r="Q17" s="69"/>
      <c r="R17" s="53" t="e">
        <f t="shared" si="5"/>
        <v>#DIV/0!</v>
      </c>
      <c r="S17" s="53" t="e">
        <f t="shared" si="6"/>
        <v>#DIV/0!</v>
      </c>
      <c r="T17" s="53" t="e">
        <f t="shared" si="7"/>
        <v>#DIV/0!</v>
      </c>
      <c r="U17" s="53" t="e">
        <f t="shared" si="8"/>
        <v>#DIV/0!</v>
      </c>
      <c r="V17" s="53" t="e">
        <f>V16+ATM_Conf!$C$5*(Nodes!AL16)/('Off-Ramp'!K202*AA202)</f>
        <v>#DIV/0!</v>
      </c>
      <c r="W17" s="53" t="e">
        <f>W16+ATM_Conf!$C$5*(Nodes!AM16)/('Off-Ramp'!L202*AB202)</f>
        <v>#DIV/0!</v>
      </c>
      <c r="X17" s="53" t="e">
        <f>X16+ATM_Conf!$C$5*(Nodes!AN16)/('Off-Ramp'!M202*AC202)</f>
        <v>#DIV/0!</v>
      </c>
      <c r="Y17" s="53" t="e">
        <f>Y16+ATM_Conf!$C$5*(Nodes!AO16)/('Off-Ramp'!N202*AD202)</f>
        <v>#DIV/0!</v>
      </c>
      <c r="Z17" s="53" t="e">
        <f>Z16+ATM_Conf!$C$5*(Nodes!AP16)/('Off-Ramp'!O202*AE202)</f>
        <v>#DIV/0!</v>
      </c>
      <c r="AA17" s="53" t="e">
        <f>AA16+ATM_Conf!$C$5*(Nodes!AQ16)/('Off-Ramp'!P202*AF202)</f>
        <v>#DIV/0!</v>
      </c>
    </row>
    <row r="18" spans="1:27" x14ac:dyDescent="0.15">
      <c r="A18" s="46">
        <v>16</v>
      </c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53" t="e">
        <f t="shared" si="1"/>
        <v>#DIV/0!</v>
      </c>
      <c r="M18" s="53" t="e">
        <f t="shared" si="2"/>
        <v>#DIV/0!</v>
      </c>
      <c r="N18" s="53" t="e">
        <f t="shared" si="3"/>
        <v>#DIV/0!</v>
      </c>
      <c r="O18" s="53" t="e">
        <f t="shared" si="4"/>
        <v>#DIV/0!</v>
      </c>
      <c r="P18" s="69"/>
      <c r="Q18" s="69"/>
      <c r="R18" s="53" t="e">
        <f t="shared" si="5"/>
        <v>#DIV/0!</v>
      </c>
      <c r="S18" s="53" t="e">
        <f t="shared" si="6"/>
        <v>#DIV/0!</v>
      </c>
      <c r="T18" s="53" t="e">
        <f t="shared" si="7"/>
        <v>#DIV/0!</v>
      </c>
      <c r="U18" s="53" t="e">
        <f t="shared" si="8"/>
        <v>#DIV/0!</v>
      </c>
      <c r="V18" s="53" t="e">
        <f>V17+ATM_Conf!$C$5*(Nodes!AL17)/('Off-Ramp'!K203*AA203)</f>
        <v>#DIV/0!</v>
      </c>
      <c r="W18" s="53" t="e">
        <f>W17+ATM_Conf!$C$5*(Nodes!AM17)/('Off-Ramp'!L203*AB203)</f>
        <v>#DIV/0!</v>
      </c>
      <c r="X18" s="53" t="e">
        <f>X17+ATM_Conf!$C$5*(Nodes!AN17)/('Off-Ramp'!M203*AC203)</f>
        <v>#DIV/0!</v>
      </c>
      <c r="Y18" s="53" t="e">
        <f>Y17+ATM_Conf!$C$5*(Nodes!AO17)/('Off-Ramp'!N203*AD203)</f>
        <v>#DIV/0!</v>
      </c>
      <c r="Z18" s="53" t="e">
        <f>Z17+ATM_Conf!$C$5*(Nodes!AP17)/('Off-Ramp'!O203*AE203)</f>
        <v>#DIV/0!</v>
      </c>
      <c r="AA18" s="53" t="e">
        <f>AA17+ATM_Conf!$C$5*(Nodes!AQ17)/('Off-Ramp'!P203*AF203)</f>
        <v>#DIV/0!</v>
      </c>
    </row>
    <row r="19" spans="1:27" x14ac:dyDescent="0.15">
      <c r="A19" s="46">
        <v>17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53" t="e">
        <f t="shared" si="1"/>
        <v>#DIV/0!</v>
      </c>
      <c r="M19" s="53" t="e">
        <f t="shared" si="2"/>
        <v>#DIV/0!</v>
      </c>
      <c r="N19" s="53" t="e">
        <f t="shared" si="3"/>
        <v>#DIV/0!</v>
      </c>
      <c r="O19" s="53" t="e">
        <f t="shared" si="4"/>
        <v>#DIV/0!</v>
      </c>
      <c r="P19" s="69"/>
      <c r="Q19" s="69"/>
      <c r="R19" s="53" t="e">
        <f t="shared" si="5"/>
        <v>#DIV/0!</v>
      </c>
      <c r="S19" s="53" t="e">
        <f t="shared" si="6"/>
        <v>#DIV/0!</v>
      </c>
      <c r="T19" s="53" t="e">
        <f t="shared" si="7"/>
        <v>#DIV/0!</v>
      </c>
      <c r="U19" s="53" t="e">
        <f t="shared" si="8"/>
        <v>#DIV/0!</v>
      </c>
      <c r="V19" s="53" t="e">
        <f>V18+ATM_Conf!$C$5*(Nodes!AL18)/('Off-Ramp'!K204*AA204)</f>
        <v>#DIV/0!</v>
      </c>
      <c r="W19" s="53" t="e">
        <f>W18+ATM_Conf!$C$5*(Nodes!AM18)/('Off-Ramp'!L204*AB204)</f>
        <v>#DIV/0!</v>
      </c>
      <c r="X19" s="53" t="e">
        <f>X18+ATM_Conf!$C$5*(Nodes!AN18)/('Off-Ramp'!M204*AC204)</f>
        <v>#DIV/0!</v>
      </c>
      <c r="Y19" s="53" t="e">
        <f>Y18+ATM_Conf!$C$5*(Nodes!AO18)/('Off-Ramp'!N204*AD204)</f>
        <v>#DIV/0!</v>
      </c>
      <c r="Z19" s="53" t="e">
        <f>Z18+ATM_Conf!$C$5*(Nodes!AP18)/('Off-Ramp'!O204*AE204)</f>
        <v>#DIV/0!</v>
      </c>
      <c r="AA19" s="53" t="e">
        <f>AA18+ATM_Conf!$C$5*(Nodes!AQ18)/('Off-Ramp'!P204*AF204)</f>
        <v>#DIV/0!</v>
      </c>
    </row>
    <row r="20" spans="1:27" x14ac:dyDescent="0.15">
      <c r="A20" s="46">
        <v>18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53" t="e">
        <f t="shared" si="1"/>
        <v>#DIV/0!</v>
      </c>
      <c r="M20" s="53" t="e">
        <f t="shared" si="2"/>
        <v>#DIV/0!</v>
      </c>
      <c r="N20" s="53" t="e">
        <f t="shared" si="3"/>
        <v>#DIV/0!</v>
      </c>
      <c r="O20" s="53" t="e">
        <f t="shared" si="4"/>
        <v>#DIV/0!</v>
      </c>
      <c r="P20" s="69"/>
      <c r="Q20" s="69"/>
      <c r="R20" s="53" t="e">
        <f t="shared" si="5"/>
        <v>#DIV/0!</v>
      </c>
      <c r="S20" s="53" t="e">
        <f t="shared" si="6"/>
        <v>#DIV/0!</v>
      </c>
      <c r="T20" s="53" t="e">
        <f t="shared" si="7"/>
        <v>#DIV/0!</v>
      </c>
      <c r="U20" s="53" t="e">
        <f t="shared" si="8"/>
        <v>#DIV/0!</v>
      </c>
      <c r="V20" s="53" t="e">
        <f>V19+ATM_Conf!$C$5*(Nodes!AL19)/('Off-Ramp'!K205*AA205)</f>
        <v>#DIV/0!</v>
      </c>
      <c r="W20" s="53" t="e">
        <f>W19+ATM_Conf!$C$5*(Nodes!AM19)/('Off-Ramp'!L205*AB205)</f>
        <v>#DIV/0!</v>
      </c>
      <c r="X20" s="53" t="e">
        <f>X19+ATM_Conf!$C$5*(Nodes!AN19)/('Off-Ramp'!M205*AC205)</f>
        <v>#DIV/0!</v>
      </c>
      <c r="Y20" s="53" t="e">
        <f>Y19+ATM_Conf!$C$5*(Nodes!AO19)/('Off-Ramp'!N205*AD205)</f>
        <v>#DIV/0!</v>
      </c>
      <c r="Z20" s="53" t="e">
        <f>Z19+ATM_Conf!$C$5*(Nodes!AP19)/('Off-Ramp'!O205*AE205)</f>
        <v>#DIV/0!</v>
      </c>
      <c r="AA20" s="53" t="e">
        <f>AA19+ATM_Conf!$C$5*(Nodes!AQ19)/('Off-Ramp'!P205*AF205)</f>
        <v>#DIV/0!</v>
      </c>
    </row>
    <row r="21" spans="1:27" x14ac:dyDescent="0.15">
      <c r="A21" s="46">
        <v>19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53" t="e">
        <f t="shared" si="1"/>
        <v>#DIV/0!</v>
      </c>
      <c r="M21" s="53" t="e">
        <f t="shared" si="2"/>
        <v>#DIV/0!</v>
      </c>
      <c r="N21" s="53" t="e">
        <f t="shared" si="3"/>
        <v>#DIV/0!</v>
      </c>
      <c r="O21" s="53" t="e">
        <f t="shared" si="4"/>
        <v>#DIV/0!</v>
      </c>
      <c r="P21" s="69"/>
      <c r="Q21" s="69"/>
      <c r="R21" s="53" t="e">
        <f t="shared" si="5"/>
        <v>#DIV/0!</v>
      </c>
      <c r="S21" s="53" t="e">
        <f t="shared" si="6"/>
        <v>#DIV/0!</v>
      </c>
      <c r="T21" s="53" t="e">
        <f t="shared" si="7"/>
        <v>#DIV/0!</v>
      </c>
      <c r="U21" s="53" t="e">
        <f t="shared" si="8"/>
        <v>#DIV/0!</v>
      </c>
      <c r="V21" s="53" t="e">
        <f>V20+ATM_Conf!$C$5*(Nodes!AL20)/('Off-Ramp'!K206*AA206)</f>
        <v>#DIV/0!</v>
      </c>
      <c r="W21" s="53" t="e">
        <f>W20+ATM_Conf!$C$5*(Nodes!AM20)/('Off-Ramp'!L206*AB206)</f>
        <v>#DIV/0!</v>
      </c>
      <c r="X21" s="53" t="e">
        <f>X20+ATM_Conf!$C$5*(Nodes!AN20)/('Off-Ramp'!M206*AC206)</f>
        <v>#DIV/0!</v>
      </c>
      <c r="Y21" s="53" t="e">
        <f>Y20+ATM_Conf!$C$5*(Nodes!AO20)/('Off-Ramp'!N206*AD206)</f>
        <v>#DIV/0!</v>
      </c>
      <c r="Z21" s="53" t="e">
        <f>Z20+ATM_Conf!$C$5*(Nodes!AP20)/('Off-Ramp'!O206*AE206)</f>
        <v>#DIV/0!</v>
      </c>
      <c r="AA21" s="53" t="e">
        <f>AA20+ATM_Conf!$C$5*(Nodes!AQ20)/('Off-Ramp'!P206*AF206)</f>
        <v>#DIV/0!</v>
      </c>
    </row>
    <row r="22" spans="1:27" x14ac:dyDescent="0.15">
      <c r="A22" s="46">
        <v>20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53" t="e">
        <f t="shared" si="1"/>
        <v>#DIV/0!</v>
      </c>
      <c r="M22" s="53" t="e">
        <f t="shared" si="2"/>
        <v>#DIV/0!</v>
      </c>
      <c r="N22" s="53" t="e">
        <f t="shared" si="3"/>
        <v>#DIV/0!</v>
      </c>
      <c r="O22" s="53" t="e">
        <f t="shared" si="4"/>
        <v>#DIV/0!</v>
      </c>
      <c r="P22" s="69"/>
      <c r="Q22" s="69"/>
      <c r="R22" s="53" t="e">
        <f t="shared" si="5"/>
        <v>#DIV/0!</v>
      </c>
      <c r="S22" s="53" t="e">
        <f t="shared" si="6"/>
        <v>#DIV/0!</v>
      </c>
      <c r="T22" s="53" t="e">
        <f t="shared" si="7"/>
        <v>#DIV/0!</v>
      </c>
      <c r="U22" s="53" t="e">
        <f t="shared" si="8"/>
        <v>#DIV/0!</v>
      </c>
      <c r="V22" s="53" t="e">
        <f>V21+ATM_Conf!$C$5*(Nodes!AL21)/('Off-Ramp'!K207*AA207)</f>
        <v>#DIV/0!</v>
      </c>
      <c r="W22" s="53" t="e">
        <f>W21+ATM_Conf!$C$5*(Nodes!AM21)/('Off-Ramp'!L207*AB207)</f>
        <v>#DIV/0!</v>
      </c>
      <c r="X22" s="53" t="e">
        <f>X21+ATM_Conf!$C$5*(Nodes!AN21)/('Off-Ramp'!M207*AC207)</f>
        <v>#DIV/0!</v>
      </c>
      <c r="Y22" s="53" t="e">
        <f>Y21+ATM_Conf!$C$5*(Nodes!AO21)/('Off-Ramp'!N207*AD207)</f>
        <v>#DIV/0!</v>
      </c>
      <c r="Z22" s="53" t="e">
        <f>Z21+ATM_Conf!$C$5*(Nodes!AP21)/('Off-Ramp'!O207*AE207)</f>
        <v>#DIV/0!</v>
      </c>
      <c r="AA22" s="53" t="e">
        <f>AA21+ATM_Conf!$C$5*(Nodes!AQ21)/('Off-Ramp'!P207*AF207)</f>
        <v>#DIV/0!</v>
      </c>
    </row>
    <row r="23" spans="1:27" x14ac:dyDescent="0.15">
      <c r="A23" s="46">
        <v>21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53" t="e">
        <f t="shared" si="1"/>
        <v>#DIV/0!</v>
      </c>
      <c r="M23" s="53" t="e">
        <f t="shared" si="2"/>
        <v>#DIV/0!</v>
      </c>
      <c r="N23" s="53" t="e">
        <f t="shared" si="3"/>
        <v>#DIV/0!</v>
      </c>
      <c r="O23" s="53" t="e">
        <f t="shared" si="4"/>
        <v>#DIV/0!</v>
      </c>
      <c r="P23" s="69"/>
      <c r="Q23" s="69"/>
      <c r="R23" s="53" t="e">
        <f t="shared" si="5"/>
        <v>#DIV/0!</v>
      </c>
      <c r="S23" s="53" t="e">
        <f t="shared" si="6"/>
        <v>#DIV/0!</v>
      </c>
      <c r="T23" s="53" t="e">
        <f t="shared" si="7"/>
        <v>#DIV/0!</v>
      </c>
      <c r="U23" s="53" t="e">
        <f t="shared" si="8"/>
        <v>#DIV/0!</v>
      </c>
      <c r="V23" s="53" t="e">
        <f>V22+ATM_Conf!$C$5*(Nodes!AL22)/('Off-Ramp'!K208*AA208)</f>
        <v>#DIV/0!</v>
      </c>
      <c r="W23" s="53" t="e">
        <f>W22+ATM_Conf!$C$5*(Nodes!AM22)/('Off-Ramp'!L208*AB208)</f>
        <v>#DIV/0!</v>
      </c>
      <c r="X23" s="53" t="e">
        <f>X22+ATM_Conf!$C$5*(Nodes!AN22)/('Off-Ramp'!M208*AC208)</f>
        <v>#DIV/0!</v>
      </c>
      <c r="Y23" s="53" t="e">
        <f>Y22+ATM_Conf!$C$5*(Nodes!AO22)/('Off-Ramp'!N208*AD208)</f>
        <v>#DIV/0!</v>
      </c>
      <c r="Z23" s="53" t="e">
        <f>Z22+ATM_Conf!$C$5*(Nodes!AP22)/('Off-Ramp'!O208*AE208)</f>
        <v>#DIV/0!</v>
      </c>
      <c r="AA23" s="53" t="e">
        <f>AA22+ATM_Conf!$C$5*(Nodes!AQ22)/('Off-Ramp'!P208*AF208)</f>
        <v>#DIV/0!</v>
      </c>
    </row>
    <row r="24" spans="1:27" x14ac:dyDescent="0.15">
      <c r="A24" s="46">
        <v>22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53" t="e">
        <f t="shared" si="1"/>
        <v>#DIV/0!</v>
      </c>
      <c r="M24" s="53" t="e">
        <f t="shared" si="2"/>
        <v>#DIV/0!</v>
      </c>
      <c r="N24" s="53" t="e">
        <f t="shared" si="3"/>
        <v>#DIV/0!</v>
      </c>
      <c r="O24" s="53" t="e">
        <f t="shared" si="4"/>
        <v>#DIV/0!</v>
      </c>
      <c r="P24" s="69"/>
      <c r="Q24" s="69"/>
      <c r="R24" s="53" t="e">
        <f t="shared" si="5"/>
        <v>#DIV/0!</v>
      </c>
      <c r="S24" s="53" t="e">
        <f t="shared" si="6"/>
        <v>#DIV/0!</v>
      </c>
      <c r="T24" s="53" t="e">
        <f t="shared" si="7"/>
        <v>#DIV/0!</v>
      </c>
      <c r="U24" s="53" t="e">
        <f t="shared" si="8"/>
        <v>#DIV/0!</v>
      </c>
      <c r="V24" s="53" t="e">
        <f>V23+ATM_Conf!$C$5*(Nodes!AL23)/('Off-Ramp'!K209*AA209)</f>
        <v>#DIV/0!</v>
      </c>
      <c r="W24" s="53" t="e">
        <f>W23+ATM_Conf!$C$5*(Nodes!AM23)/('Off-Ramp'!L209*AB209)</f>
        <v>#DIV/0!</v>
      </c>
      <c r="X24" s="53" t="e">
        <f>X23+ATM_Conf!$C$5*(Nodes!AN23)/('Off-Ramp'!M209*AC209)</f>
        <v>#DIV/0!</v>
      </c>
      <c r="Y24" s="53" t="e">
        <f>Y23+ATM_Conf!$C$5*(Nodes!AO23)/('Off-Ramp'!N209*AD209)</f>
        <v>#DIV/0!</v>
      </c>
      <c r="Z24" s="53" t="e">
        <f>Z23+ATM_Conf!$C$5*(Nodes!AP23)/('Off-Ramp'!O209*AE209)</f>
        <v>#DIV/0!</v>
      </c>
      <c r="AA24" s="53" t="e">
        <f>AA23+ATM_Conf!$C$5*(Nodes!AQ23)/('Off-Ramp'!P209*AF209)</f>
        <v>#DIV/0!</v>
      </c>
    </row>
    <row r="25" spans="1:27" x14ac:dyDescent="0.15">
      <c r="A25" s="46">
        <v>23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53" t="e">
        <f t="shared" si="1"/>
        <v>#DIV/0!</v>
      </c>
      <c r="M25" s="53" t="e">
        <f t="shared" si="2"/>
        <v>#DIV/0!</v>
      </c>
      <c r="N25" s="53" t="e">
        <f t="shared" si="3"/>
        <v>#DIV/0!</v>
      </c>
      <c r="O25" s="53" t="e">
        <f t="shared" si="4"/>
        <v>#DIV/0!</v>
      </c>
      <c r="P25" s="69"/>
      <c r="Q25" s="69"/>
      <c r="R25" s="53" t="e">
        <f t="shared" si="5"/>
        <v>#DIV/0!</v>
      </c>
      <c r="S25" s="53" t="e">
        <f t="shared" si="6"/>
        <v>#DIV/0!</v>
      </c>
      <c r="T25" s="53" t="e">
        <f t="shared" si="7"/>
        <v>#DIV/0!</v>
      </c>
      <c r="U25" s="53" t="e">
        <f t="shared" si="8"/>
        <v>#DIV/0!</v>
      </c>
      <c r="V25" s="53" t="e">
        <f>V24+ATM_Conf!$C$5*(Nodes!AL24)/('Off-Ramp'!K210*AA210)</f>
        <v>#DIV/0!</v>
      </c>
      <c r="W25" s="53" t="e">
        <f>W24+ATM_Conf!$C$5*(Nodes!AM24)/('Off-Ramp'!L210*AB210)</f>
        <v>#DIV/0!</v>
      </c>
      <c r="X25" s="53" t="e">
        <f>X24+ATM_Conf!$C$5*(Nodes!AN24)/('Off-Ramp'!M210*AC210)</f>
        <v>#DIV/0!</v>
      </c>
      <c r="Y25" s="53" t="e">
        <f>Y24+ATM_Conf!$C$5*(Nodes!AO24)/('Off-Ramp'!N210*AD210)</f>
        <v>#DIV/0!</v>
      </c>
      <c r="Z25" s="53" t="e">
        <f>Z24+ATM_Conf!$C$5*(Nodes!AP24)/('Off-Ramp'!O210*AE210)</f>
        <v>#DIV/0!</v>
      </c>
      <c r="AA25" s="53" t="e">
        <f>AA24+ATM_Conf!$C$5*(Nodes!AQ24)/('Off-Ramp'!P210*AF210)</f>
        <v>#DIV/0!</v>
      </c>
    </row>
    <row r="26" spans="1:27" x14ac:dyDescent="0.15">
      <c r="A26" s="46">
        <v>24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53" t="e">
        <f t="shared" si="1"/>
        <v>#DIV/0!</v>
      </c>
      <c r="M26" s="53" t="e">
        <f t="shared" si="2"/>
        <v>#DIV/0!</v>
      </c>
      <c r="N26" s="53" t="e">
        <f t="shared" si="3"/>
        <v>#DIV/0!</v>
      </c>
      <c r="O26" s="53" t="e">
        <f t="shared" si="4"/>
        <v>#DIV/0!</v>
      </c>
      <c r="P26" s="69"/>
      <c r="Q26" s="69"/>
      <c r="R26" s="53" t="e">
        <f t="shared" si="5"/>
        <v>#DIV/0!</v>
      </c>
      <c r="S26" s="53" t="e">
        <f t="shared" si="6"/>
        <v>#DIV/0!</v>
      </c>
      <c r="T26" s="53" t="e">
        <f t="shared" si="7"/>
        <v>#DIV/0!</v>
      </c>
      <c r="U26" s="53" t="e">
        <f t="shared" si="8"/>
        <v>#DIV/0!</v>
      </c>
      <c r="V26" s="53" t="e">
        <f>V25+ATM_Conf!$C$5*(Nodes!AL25)/('Off-Ramp'!K211*AA211)</f>
        <v>#DIV/0!</v>
      </c>
      <c r="W26" s="53" t="e">
        <f>W25+ATM_Conf!$C$5*(Nodes!AM25)/('Off-Ramp'!L211*AB211)</f>
        <v>#DIV/0!</v>
      </c>
      <c r="X26" s="53" t="e">
        <f>X25+ATM_Conf!$C$5*(Nodes!AN25)/('Off-Ramp'!M211*AC211)</f>
        <v>#DIV/0!</v>
      </c>
      <c r="Y26" s="53" t="e">
        <f>Y25+ATM_Conf!$C$5*(Nodes!AO25)/('Off-Ramp'!N211*AD211)</f>
        <v>#DIV/0!</v>
      </c>
      <c r="Z26" s="53" t="e">
        <f>Z25+ATM_Conf!$C$5*(Nodes!AP25)/('Off-Ramp'!O211*AE211)</f>
        <v>#DIV/0!</v>
      </c>
      <c r="AA26" s="53" t="e">
        <f>AA25+ATM_Conf!$C$5*(Nodes!AQ25)/('Off-Ramp'!P211*AF211)</f>
        <v>#DIV/0!</v>
      </c>
    </row>
    <row r="27" spans="1:27" x14ac:dyDescent="0.15">
      <c r="A27" s="46">
        <v>25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53" t="e">
        <f t="shared" si="1"/>
        <v>#DIV/0!</v>
      </c>
      <c r="M27" s="53" t="e">
        <f t="shared" si="2"/>
        <v>#DIV/0!</v>
      </c>
      <c r="N27" s="53" t="e">
        <f t="shared" si="3"/>
        <v>#DIV/0!</v>
      </c>
      <c r="O27" s="53" t="e">
        <f t="shared" si="4"/>
        <v>#DIV/0!</v>
      </c>
      <c r="P27" s="69"/>
      <c r="Q27" s="69"/>
      <c r="R27" s="53" t="e">
        <f t="shared" si="5"/>
        <v>#DIV/0!</v>
      </c>
      <c r="S27" s="53" t="e">
        <f t="shared" si="6"/>
        <v>#DIV/0!</v>
      </c>
      <c r="T27" s="53" t="e">
        <f t="shared" si="7"/>
        <v>#DIV/0!</v>
      </c>
      <c r="U27" s="53" t="e">
        <f t="shared" si="8"/>
        <v>#DIV/0!</v>
      </c>
      <c r="V27" s="53" t="e">
        <f>V26+ATM_Conf!$C$5*(Nodes!AL26)/('Off-Ramp'!K212*AA212)</f>
        <v>#DIV/0!</v>
      </c>
      <c r="W27" s="53" t="e">
        <f>W26+ATM_Conf!$C$5*(Nodes!AM26)/('Off-Ramp'!L212*AB212)</f>
        <v>#DIV/0!</v>
      </c>
      <c r="X27" s="53" t="e">
        <f>X26+ATM_Conf!$C$5*(Nodes!AN26)/('Off-Ramp'!M212*AC212)</f>
        <v>#DIV/0!</v>
      </c>
      <c r="Y27" s="53" t="e">
        <f>Y26+ATM_Conf!$C$5*(Nodes!AO26)/('Off-Ramp'!N212*AD212)</f>
        <v>#DIV/0!</v>
      </c>
      <c r="Z27" s="53" t="e">
        <f>Z26+ATM_Conf!$C$5*(Nodes!AP26)/('Off-Ramp'!O212*AE212)</f>
        <v>#DIV/0!</v>
      </c>
      <c r="AA27" s="53" t="e">
        <f>AA26+ATM_Conf!$C$5*(Nodes!AQ26)/('Off-Ramp'!P212*AF212)</f>
        <v>#DIV/0!</v>
      </c>
    </row>
    <row r="28" spans="1:27" x14ac:dyDescent="0.15">
      <c r="A28" s="46">
        <v>26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53" t="e">
        <f t="shared" si="1"/>
        <v>#DIV/0!</v>
      </c>
      <c r="M28" s="53" t="e">
        <f t="shared" si="2"/>
        <v>#DIV/0!</v>
      </c>
      <c r="N28" s="53" t="e">
        <f t="shared" si="3"/>
        <v>#DIV/0!</v>
      </c>
      <c r="O28" s="53" t="e">
        <f t="shared" si="4"/>
        <v>#DIV/0!</v>
      </c>
      <c r="P28" s="69"/>
      <c r="Q28" s="69"/>
      <c r="R28" s="53" t="e">
        <f t="shared" si="5"/>
        <v>#DIV/0!</v>
      </c>
      <c r="S28" s="53" t="e">
        <f t="shared" si="6"/>
        <v>#DIV/0!</v>
      </c>
      <c r="T28" s="53" t="e">
        <f t="shared" si="7"/>
        <v>#DIV/0!</v>
      </c>
      <c r="U28" s="53" t="e">
        <f t="shared" si="8"/>
        <v>#DIV/0!</v>
      </c>
      <c r="V28" s="53" t="e">
        <f>V27+ATM_Conf!$C$5*(Nodes!AL27)/('Off-Ramp'!K213*AA213)</f>
        <v>#DIV/0!</v>
      </c>
      <c r="W28" s="53" t="e">
        <f>W27+ATM_Conf!$C$5*(Nodes!AM27)/('Off-Ramp'!L213*AB213)</f>
        <v>#DIV/0!</v>
      </c>
      <c r="X28" s="53" t="e">
        <f>X27+ATM_Conf!$C$5*(Nodes!AN27)/('Off-Ramp'!M213*AC213)</f>
        <v>#DIV/0!</v>
      </c>
      <c r="Y28" s="53" t="e">
        <f>Y27+ATM_Conf!$C$5*(Nodes!AO27)/('Off-Ramp'!N213*AD213)</f>
        <v>#DIV/0!</v>
      </c>
      <c r="Z28" s="53" t="e">
        <f>Z27+ATM_Conf!$C$5*(Nodes!AP27)/('Off-Ramp'!O213*AE213)</f>
        <v>#DIV/0!</v>
      </c>
      <c r="AA28" s="53" t="e">
        <f>AA27+ATM_Conf!$C$5*(Nodes!AQ27)/('Off-Ramp'!P213*AF213)</f>
        <v>#DIV/0!</v>
      </c>
    </row>
    <row r="29" spans="1:27" x14ac:dyDescent="0.15">
      <c r="A29" s="46">
        <v>27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53" t="e">
        <f t="shared" si="1"/>
        <v>#DIV/0!</v>
      </c>
      <c r="M29" s="53" t="e">
        <f t="shared" si="2"/>
        <v>#DIV/0!</v>
      </c>
      <c r="N29" s="53" t="e">
        <f t="shared" si="3"/>
        <v>#DIV/0!</v>
      </c>
      <c r="O29" s="53" t="e">
        <f t="shared" si="4"/>
        <v>#DIV/0!</v>
      </c>
      <c r="P29" s="69"/>
      <c r="Q29" s="69"/>
      <c r="R29" s="53" t="e">
        <f t="shared" si="5"/>
        <v>#DIV/0!</v>
      </c>
      <c r="S29" s="53" t="e">
        <f t="shared" si="6"/>
        <v>#DIV/0!</v>
      </c>
      <c r="T29" s="53" t="e">
        <f t="shared" si="7"/>
        <v>#DIV/0!</v>
      </c>
      <c r="U29" s="53" t="e">
        <f t="shared" si="8"/>
        <v>#DIV/0!</v>
      </c>
      <c r="V29" s="53" t="e">
        <f>V28+ATM_Conf!$C$5*(Nodes!AL28)/('Off-Ramp'!K214*AA214)</f>
        <v>#DIV/0!</v>
      </c>
      <c r="W29" s="53" t="e">
        <f>W28+ATM_Conf!$C$5*(Nodes!AM28)/('Off-Ramp'!L214*AB214)</f>
        <v>#DIV/0!</v>
      </c>
      <c r="X29" s="53" t="e">
        <f>X28+ATM_Conf!$C$5*(Nodes!AN28)/('Off-Ramp'!M214*AC214)</f>
        <v>#DIV/0!</v>
      </c>
      <c r="Y29" s="53" t="e">
        <f>Y28+ATM_Conf!$C$5*(Nodes!AO28)/('Off-Ramp'!N214*AD214)</f>
        <v>#DIV/0!</v>
      </c>
      <c r="Z29" s="53" t="e">
        <f>Z28+ATM_Conf!$C$5*(Nodes!AP28)/('Off-Ramp'!O214*AE214)</f>
        <v>#DIV/0!</v>
      </c>
      <c r="AA29" s="53" t="e">
        <f>AA28+ATM_Conf!$C$5*(Nodes!AQ28)/('Off-Ramp'!P214*AF214)</f>
        <v>#DIV/0!</v>
      </c>
    </row>
    <row r="30" spans="1:27" x14ac:dyDescent="0.15">
      <c r="A30" s="46">
        <v>28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53" t="e">
        <f t="shared" si="1"/>
        <v>#DIV/0!</v>
      </c>
      <c r="M30" s="53" t="e">
        <f t="shared" si="2"/>
        <v>#DIV/0!</v>
      </c>
      <c r="N30" s="53" t="e">
        <f t="shared" si="3"/>
        <v>#DIV/0!</v>
      </c>
      <c r="O30" s="53" t="e">
        <f t="shared" si="4"/>
        <v>#DIV/0!</v>
      </c>
      <c r="P30" s="69"/>
      <c r="Q30" s="69"/>
      <c r="R30" s="53" t="e">
        <f t="shared" si="5"/>
        <v>#DIV/0!</v>
      </c>
      <c r="S30" s="53" t="e">
        <f t="shared" si="6"/>
        <v>#DIV/0!</v>
      </c>
      <c r="T30" s="53" t="e">
        <f t="shared" si="7"/>
        <v>#DIV/0!</v>
      </c>
      <c r="U30" s="53" t="e">
        <f t="shared" si="8"/>
        <v>#DIV/0!</v>
      </c>
      <c r="V30" s="53" t="e">
        <f>V29+ATM_Conf!$C$5*(Nodes!AL29)/('Off-Ramp'!K215*AA215)</f>
        <v>#DIV/0!</v>
      </c>
      <c r="W30" s="53" t="e">
        <f>W29+ATM_Conf!$C$5*(Nodes!AM29)/('Off-Ramp'!L215*AB215)</f>
        <v>#DIV/0!</v>
      </c>
      <c r="X30" s="53" t="e">
        <f>X29+ATM_Conf!$C$5*(Nodes!AN29)/('Off-Ramp'!M215*AC215)</f>
        <v>#DIV/0!</v>
      </c>
      <c r="Y30" s="53" t="e">
        <f>Y29+ATM_Conf!$C$5*(Nodes!AO29)/('Off-Ramp'!N215*AD215)</f>
        <v>#DIV/0!</v>
      </c>
      <c r="Z30" s="53" t="e">
        <f>Z29+ATM_Conf!$C$5*(Nodes!AP29)/('Off-Ramp'!O215*AE215)</f>
        <v>#DIV/0!</v>
      </c>
      <c r="AA30" s="53" t="e">
        <f>AA29+ATM_Conf!$C$5*(Nodes!AQ29)/('Off-Ramp'!P215*AF215)</f>
        <v>#DIV/0!</v>
      </c>
    </row>
    <row r="31" spans="1:27" x14ac:dyDescent="0.15">
      <c r="A31" s="46">
        <v>29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53" t="e">
        <f t="shared" si="1"/>
        <v>#DIV/0!</v>
      </c>
      <c r="M31" s="53" t="e">
        <f t="shared" si="2"/>
        <v>#DIV/0!</v>
      </c>
      <c r="N31" s="53" t="e">
        <f t="shared" si="3"/>
        <v>#DIV/0!</v>
      </c>
      <c r="O31" s="53" t="e">
        <f t="shared" si="4"/>
        <v>#DIV/0!</v>
      </c>
      <c r="P31" s="69"/>
      <c r="Q31" s="69"/>
      <c r="R31" s="53" t="e">
        <f t="shared" si="5"/>
        <v>#DIV/0!</v>
      </c>
      <c r="S31" s="53" t="e">
        <f t="shared" si="6"/>
        <v>#DIV/0!</v>
      </c>
      <c r="T31" s="53" t="e">
        <f t="shared" si="7"/>
        <v>#DIV/0!</v>
      </c>
      <c r="U31" s="53" t="e">
        <f t="shared" si="8"/>
        <v>#DIV/0!</v>
      </c>
      <c r="V31" s="53" t="e">
        <f>V30+ATM_Conf!$C$5*(Nodes!AL30)/('Off-Ramp'!K216*AA216)</f>
        <v>#DIV/0!</v>
      </c>
      <c r="W31" s="53" t="e">
        <f>W30+ATM_Conf!$C$5*(Nodes!AM30)/('Off-Ramp'!L216*AB216)</f>
        <v>#DIV/0!</v>
      </c>
      <c r="X31" s="53" t="e">
        <f>X30+ATM_Conf!$C$5*(Nodes!AN30)/('Off-Ramp'!M216*AC216)</f>
        <v>#DIV/0!</v>
      </c>
      <c r="Y31" s="53" t="e">
        <f>Y30+ATM_Conf!$C$5*(Nodes!AO30)/('Off-Ramp'!N216*AD216)</f>
        <v>#DIV/0!</v>
      </c>
      <c r="Z31" s="53" t="e">
        <f>Z30+ATM_Conf!$C$5*(Nodes!AP30)/('Off-Ramp'!O216*AE216)</f>
        <v>#DIV/0!</v>
      </c>
      <c r="AA31" s="53" t="e">
        <f>AA30+ATM_Conf!$C$5*(Nodes!AQ30)/('Off-Ramp'!P216*AF216)</f>
        <v>#DIV/0!</v>
      </c>
    </row>
    <row r="32" spans="1:27" x14ac:dyDescent="0.15">
      <c r="A32" s="46">
        <v>30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53" t="e">
        <f t="shared" si="1"/>
        <v>#DIV/0!</v>
      </c>
      <c r="M32" s="53" t="e">
        <f t="shared" si="2"/>
        <v>#DIV/0!</v>
      </c>
      <c r="N32" s="53" t="e">
        <f t="shared" si="3"/>
        <v>#DIV/0!</v>
      </c>
      <c r="O32" s="53" t="e">
        <f t="shared" si="4"/>
        <v>#DIV/0!</v>
      </c>
      <c r="P32" s="69"/>
      <c r="Q32" s="69"/>
      <c r="R32" s="53" t="e">
        <f t="shared" si="5"/>
        <v>#DIV/0!</v>
      </c>
      <c r="S32" s="53" t="e">
        <f t="shared" si="6"/>
        <v>#DIV/0!</v>
      </c>
      <c r="T32" s="53" t="e">
        <f t="shared" si="7"/>
        <v>#DIV/0!</v>
      </c>
      <c r="U32" s="53" t="e">
        <f t="shared" si="8"/>
        <v>#DIV/0!</v>
      </c>
      <c r="V32" s="53" t="e">
        <f>V31+ATM_Conf!$C$5*(Nodes!AL31)/('Off-Ramp'!K217*AA217)</f>
        <v>#DIV/0!</v>
      </c>
      <c r="W32" s="53" t="e">
        <f>W31+ATM_Conf!$C$5*(Nodes!AM31)/('Off-Ramp'!L217*AB217)</f>
        <v>#DIV/0!</v>
      </c>
      <c r="X32" s="53" t="e">
        <f>X31+ATM_Conf!$C$5*(Nodes!AN31)/('Off-Ramp'!M217*AC217)</f>
        <v>#DIV/0!</v>
      </c>
      <c r="Y32" s="53" t="e">
        <f>Y31+ATM_Conf!$C$5*(Nodes!AO31)/('Off-Ramp'!N217*AD217)</f>
        <v>#DIV/0!</v>
      </c>
      <c r="Z32" s="53" t="e">
        <f>Z31+ATM_Conf!$C$5*(Nodes!AP31)/('Off-Ramp'!O217*AE217)</f>
        <v>#DIV/0!</v>
      </c>
      <c r="AA32" s="53" t="e">
        <f>AA31+ATM_Conf!$C$5*(Nodes!AQ31)/('Off-Ramp'!P217*AF217)</f>
        <v>#DIV/0!</v>
      </c>
    </row>
    <row r="33" spans="1:27" x14ac:dyDescent="0.15">
      <c r="A33" s="46">
        <v>31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53" t="e">
        <f t="shared" si="1"/>
        <v>#DIV/0!</v>
      </c>
      <c r="M33" s="53" t="e">
        <f t="shared" si="2"/>
        <v>#DIV/0!</v>
      </c>
      <c r="N33" s="53" t="e">
        <f t="shared" si="3"/>
        <v>#DIV/0!</v>
      </c>
      <c r="O33" s="53" t="e">
        <f t="shared" si="4"/>
        <v>#DIV/0!</v>
      </c>
      <c r="P33" s="69"/>
      <c r="Q33" s="69"/>
      <c r="R33" s="53" t="e">
        <f t="shared" si="5"/>
        <v>#DIV/0!</v>
      </c>
      <c r="S33" s="53" t="e">
        <f t="shared" si="6"/>
        <v>#DIV/0!</v>
      </c>
      <c r="T33" s="53" t="e">
        <f t="shared" si="7"/>
        <v>#DIV/0!</v>
      </c>
      <c r="U33" s="53" t="e">
        <f t="shared" si="8"/>
        <v>#DIV/0!</v>
      </c>
      <c r="V33" s="53" t="e">
        <f>V32+ATM_Conf!$C$5*(Nodes!AL32)/('Off-Ramp'!K218*AA218)</f>
        <v>#DIV/0!</v>
      </c>
      <c r="W33" s="53" t="e">
        <f>W32+ATM_Conf!$C$5*(Nodes!AM32)/('Off-Ramp'!L218*AB218)</f>
        <v>#DIV/0!</v>
      </c>
      <c r="X33" s="53" t="e">
        <f>X32+ATM_Conf!$C$5*(Nodes!AN32)/('Off-Ramp'!M218*AC218)</f>
        <v>#DIV/0!</v>
      </c>
      <c r="Y33" s="53" t="e">
        <f>Y32+ATM_Conf!$C$5*(Nodes!AO32)/('Off-Ramp'!N218*AD218)</f>
        <v>#DIV/0!</v>
      </c>
      <c r="Z33" s="53" t="e">
        <f>Z32+ATM_Conf!$C$5*(Nodes!AP32)/('Off-Ramp'!O218*AE218)</f>
        <v>#DIV/0!</v>
      </c>
      <c r="AA33" s="53" t="e">
        <f>AA32+ATM_Conf!$C$5*(Nodes!AQ32)/('Off-Ramp'!P218*AF218)</f>
        <v>#DIV/0!</v>
      </c>
    </row>
    <row r="34" spans="1:27" x14ac:dyDescent="0.15">
      <c r="A34" s="46">
        <v>32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53" t="e">
        <f t="shared" si="1"/>
        <v>#DIV/0!</v>
      </c>
      <c r="M34" s="53" t="e">
        <f t="shared" si="2"/>
        <v>#DIV/0!</v>
      </c>
      <c r="N34" s="53" t="e">
        <f t="shared" si="3"/>
        <v>#DIV/0!</v>
      </c>
      <c r="O34" s="53" t="e">
        <f t="shared" si="4"/>
        <v>#DIV/0!</v>
      </c>
      <c r="P34" s="69"/>
      <c r="Q34" s="69"/>
      <c r="R34" s="53" t="e">
        <f t="shared" si="5"/>
        <v>#DIV/0!</v>
      </c>
      <c r="S34" s="53" t="e">
        <f t="shared" si="6"/>
        <v>#DIV/0!</v>
      </c>
      <c r="T34" s="53" t="e">
        <f t="shared" si="7"/>
        <v>#DIV/0!</v>
      </c>
      <c r="U34" s="53" t="e">
        <f t="shared" si="8"/>
        <v>#DIV/0!</v>
      </c>
      <c r="V34" s="53" t="e">
        <f>V33+ATM_Conf!$C$5*(Nodes!AL33)/('Off-Ramp'!K219*AA219)</f>
        <v>#DIV/0!</v>
      </c>
      <c r="W34" s="53" t="e">
        <f>W33+ATM_Conf!$C$5*(Nodes!AM33)/('Off-Ramp'!L219*AB219)</f>
        <v>#DIV/0!</v>
      </c>
      <c r="X34" s="53" t="e">
        <f>X33+ATM_Conf!$C$5*(Nodes!AN33)/('Off-Ramp'!M219*AC219)</f>
        <v>#DIV/0!</v>
      </c>
      <c r="Y34" s="53" t="e">
        <f>Y33+ATM_Conf!$C$5*(Nodes!AO33)/('Off-Ramp'!N219*AD219)</f>
        <v>#DIV/0!</v>
      </c>
      <c r="Z34" s="53" t="e">
        <f>Z33+ATM_Conf!$C$5*(Nodes!AP33)/('Off-Ramp'!O219*AE219)</f>
        <v>#DIV/0!</v>
      </c>
      <c r="AA34" s="53" t="e">
        <f>AA33+ATM_Conf!$C$5*(Nodes!AQ33)/('Off-Ramp'!P219*AF219)</f>
        <v>#DIV/0!</v>
      </c>
    </row>
    <row r="35" spans="1:27" x14ac:dyDescent="0.15">
      <c r="A35" s="46">
        <v>33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53" t="e">
        <f t="shared" si="1"/>
        <v>#DIV/0!</v>
      </c>
      <c r="M35" s="53" t="e">
        <f t="shared" si="2"/>
        <v>#DIV/0!</v>
      </c>
      <c r="N35" s="53" t="e">
        <f t="shared" si="3"/>
        <v>#DIV/0!</v>
      </c>
      <c r="O35" s="53" t="e">
        <f t="shared" si="4"/>
        <v>#DIV/0!</v>
      </c>
      <c r="P35" s="69"/>
      <c r="Q35" s="69"/>
      <c r="R35" s="53" t="e">
        <f t="shared" si="5"/>
        <v>#DIV/0!</v>
      </c>
      <c r="S35" s="53" t="e">
        <f t="shared" si="6"/>
        <v>#DIV/0!</v>
      </c>
      <c r="T35" s="53" t="e">
        <f t="shared" si="7"/>
        <v>#DIV/0!</v>
      </c>
      <c r="U35" s="53" t="e">
        <f t="shared" si="8"/>
        <v>#DIV/0!</v>
      </c>
      <c r="V35" s="53" t="e">
        <f>V34+ATM_Conf!$C$5*(Nodes!AL34)/('Off-Ramp'!K220*AA220)</f>
        <v>#DIV/0!</v>
      </c>
      <c r="W35" s="53" t="e">
        <f>W34+ATM_Conf!$C$5*(Nodes!AM34)/('Off-Ramp'!L220*AB220)</f>
        <v>#DIV/0!</v>
      </c>
      <c r="X35" s="53" t="e">
        <f>X34+ATM_Conf!$C$5*(Nodes!AN34)/('Off-Ramp'!M220*AC220)</f>
        <v>#DIV/0!</v>
      </c>
      <c r="Y35" s="53" t="e">
        <f>Y34+ATM_Conf!$C$5*(Nodes!AO34)/('Off-Ramp'!N220*AD220)</f>
        <v>#DIV/0!</v>
      </c>
      <c r="Z35" s="53" t="e">
        <f>Z34+ATM_Conf!$C$5*(Nodes!AP34)/('Off-Ramp'!O220*AE220)</f>
        <v>#DIV/0!</v>
      </c>
      <c r="AA35" s="53" t="e">
        <f>AA34+ATM_Conf!$C$5*(Nodes!AQ34)/('Off-Ramp'!P220*AF220)</f>
        <v>#DIV/0!</v>
      </c>
    </row>
    <row r="36" spans="1:27" x14ac:dyDescent="0.15">
      <c r="A36" s="46">
        <v>34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53" t="e">
        <f t="shared" ref="L36:L67" si="9">B36/60/A$189</f>
        <v>#DIV/0!</v>
      </c>
      <c r="M36" s="53" t="e">
        <f t="shared" ref="M36:M67" si="10">C36/60/B$189</f>
        <v>#DIV/0!</v>
      </c>
      <c r="N36" s="53" t="e">
        <f t="shared" ref="N36:N67" si="11">D36/60/C$189</f>
        <v>#DIV/0!</v>
      </c>
      <c r="O36" s="53" t="e">
        <f t="shared" ref="O36:O67" si="12">E36/60/D$189</f>
        <v>#DIV/0!</v>
      </c>
      <c r="P36" s="69"/>
      <c r="Q36" s="69"/>
      <c r="R36" s="53" t="e">
        <f t="shared" ref="R36:R67" si="13">H36/60/G$189</f>
        <v>#DIV/0!</v>
      </c>
      <c r="S36" s="53" t="e">
        <f t="shared" ref="S36:S67" si="14">I36/60/H$189</f>
        <v>#DIV/0!</v>
      </c>
      <c r="T36" s="53" t="e">
        <f t="shared" ref="T36:T67" si="15">J36/60/I$189</f>
        <v>#DIV/0!</v>
      </c>
      <c r="U36" s="53" t="e">
        <f t="shared" si="8"/>
        <v>#DIV/0!</v>
      </c>
      <c r="V36" s="53" t="e">
        <f>V35+ATM_Conf!$C$5*(Nodes!AL35)/('Off-Ramp'!K221*AA221)</f>
        <v>#DIV/0!</v>
      </c>
      <c r="W36" s="53" t="e">
        <f>W35+ATM_Conf!$C$5*(Nodes!AM35)/('Off-Ramp'!L221*AB221)</f>
        <v>#DIV/0!</v>
      </c>
      <c r="X36" s="53" t="e">
        <f>X35+ATM_Conf!$C$5*(Nodes!AN35)/('Off-Ramp'!M221*AC221)</f>
        <v>#DIV/0!</v>
      </c>
      <c r="Y36" s="53" t="e">
        <f>Y35+ATM_Conf!$C$5*(Nodes!AO35)/('Off-Ramp'!N221*AD221)</f>
        <v>#DIV/0!</v>
      </c>
      <c r="Z36" s="53" t="e">
        <f>Z35+ATM_Conf!$C$5*(Nodes!AP35)/('Off-Ramp'!O221*AE221)</f>
        <v>#DIV/0!</v>
      </c>
      <c r="AA36" s="53" t="e">
        <f>AA35+ATM_Conf!$C$5*(Nodes!AQ35)/('Off-Ramp'!P221*AF221)</f>
        <v>#DIV/0!</v>
      </c>
    </row>
    <row r="37" spans="1:27" x14ac:dyDescent="0.15">
      <c r="A37" s="46">
        <v>35</v>
      </c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53" t="e">
        <f t="shared" si="9"/>
        <v>#DIV/0!</v>
      </c>
      <c r="M37" s="53" t="e">
        <f t="shared" si="10"/>
        <v>#DIV/0!</v>
      </c>
      <c r="N37" s="53" t="e">
        <f t="shared" si="11"/>
        <v>#DIV/0!</v>
      </c>
      <c r="O37" s="53" t="e">
        <f t="shared" si="12"/>
        <v>#DIV/0!</v>
      </c>
      <c r="P37" s="69"/>
      <c r="Q37" s="69"/>
      <c r="R37" s="53" t="e">
        <f t="shared" si="13"/>
        <v>#DIV/0!</v>
      </c>
      <c r="S37" s="53" t="e">
        <f t="shared" si="14"/>
        <v>#DIV/0!</v>
      </c>
      <c r="T37" s="53" t="e">
        <f t="shared" si="15"/>
        <v>#DIV/0!</v>
      </c>
      <c r="U37" s="53" t="e">
        <f t="shared" si="8"/>
        <v>#DIV/0!</v>
      </c>
      <c r="V37" s="53" t="e">
        <f>V36+ATM_Conf!$C$5*(Nodes!AL36)/('Off-Ramp'!K222*AA222)</f>
        <v>#DIV/0!</v>
      </c>
      <c r="W37" s="53" t="e">
        <f>W36+ATM_Conf!$C$5*(Nodes!AM36)/('Off-Ramp'!L222*AB222)</f>
        <v>#DIV/0!</v>
      </c>
      <c r="X37" s="53" t="e">
        <f>X36+ATM_Conf!$C$5*(Nodes!AN36)/('Off-Ramp'!M222*AC222)</f>
        <v>#DIV/0!</v>
      </c>
      <c r="Y37" s="53" t="e">
        <f>Y36+ATM_Conf!$C$5*(Nodes!AO36)/('Off-Ramp'!N222*AD222)</f>
        <v>#DIV/0!</v>
      </c>
      <c r="Z37" s="53" t="e">
        <f>Z36+ATM_Conf!$C$5*(Nodes!AP36)/('Off-Ramp'!O222*AE222)</f>
        <v>#DIV/0!</v>
      </c>
      <c r="AA37" s="53" t="e">
        <f>AA36+ATM_Conf!$C$5*(Nodes!AQ36)/('Off-Ramp'!P222*AF222)</f>
        <v>#DIV/0!</v>
      </c>
    </row>
    <row r="38" spans="1:27" x14ac:dyDescent="0.15">
      <c r="A38" s="46">
        <v>36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53" t="e">
        <f t="shared" si="9"/>
        <v>#DIV/0!</v>
      </c>
      <c r="M38" s="53" t="e">
        <f t="shared" si="10"/>
        <v>#DIV/0!</v>
      </c>
      <c r="N38" s="53" t="e">
        <f t="shared" si="11"/>
        <v>#DIV/0!</v>
      </c>
      <c r="O38" s="53" t="e">
        <f t="shared" si="12"/>
        <v>#DIV/0!</v>
      </c>
      <c r="P38" s="69"/>
      <c r="Q38" s="69"/>
      <c r="R38" s="53" t="e">
        <f t="shared" si="13"/>
        <v>#DIV/0!</v>
      </c>
      <c r="S38" s="53" t="e">
        <f t="shared" si="14"/>
        <v>#DIV/0!</v>
      </c>
      <c r="T38" s="53" t="e">
        <f t="shared" si="15"/>
        <v>#DIV/0!</v>
      </c>
      <c r="U38" s="53" t="e">
        <f t="shared" si="8"/>
        <v>#DIV/0!</v>
      </c>
      <c r="V38" s="53" t="e">
        <f>V37+ATM_Conf!$C$5*(Nodes!AL37)/('Off-Ramp'!K223*AA223)</f>
        <v>#DIV/0!</v>
      </c>
      <c r="W38" s="53" t="e">
        <f>W37+ATM_Conf!$C$5*(Nodes!AM37)/('Off-Ramp'!L223*AB223)</f>
        <v>#DIV/0!</v>
      </c>
      <c r="X38" s="53" t="e">
        <f>X37+ATM_Conf!$C$5*(Nodes!AN37)/('Off-Ramp'!M223*AC223)</f>
        <v>#DIV/0!</v>
      </c>
      <c r="Y38" s="53" t="e">
        <f>Y37+ATM_Conf!$C$5*(Nodes!AO37)/('Off-Ramp'!N223*AD223)</f>
        <v>#DIV/0!</v>
      </c>
      <c r="Z38" s="53" t="e">
        <f>Z37+ATM_Conf!$C$5*(Nodes!AP37)/('Off-Ramp'!O223*AE223)</f>
        <v>#DIV/0!</v>
      </c>
      <c r="AA38" s="53" t="e">
        <f>AA37+ATM_Conf!$C$5*(Nodes!AQ37)/('Off-Ramp'!P223*AF223)</f>
        <v>#DIV/0!</v>
      </c>
    </row>
    <row r="39" spans="1:27" x14ac:dyDescent="0.15">
      <c r="A39" s="46">
        <v>37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53" t="e">
        <f t="shared" si="9"/>
        <v>#DIV/0!</v>
      </c>
      <c r="M39" s="53" t="e">
        <f t="shared" si="10"/>
        <v>#DIV/0!</v>
      </c>
      <c r="N39" s="53" t="e">
        <f t="shared" si="11"/>
        <v>#DIV/0!</v>
      </c>
      <c r="O39" s="53" t="e">
        <f t="shared" si="12"/>
        <v>#DIV/0!</v>
      </c>
      <c r="P39" s="69"/>
      <c r="Q39" s="69"/>
      <c r="R39" s="53" t="e">
        <f t="shared" si="13"/>
        <v>#DIV/0!</v>
      </c>
      <c r="S39" s="53" t="e">
        <f t="shared" si="14"/>
        <v>#DIV/0!</v>
      </c>
      <c r="T39" s="53" t="e">
        <f t="shared" si="15"/>
        <v>#DIV/0!</v>
      </c>
      <c r="U39" s="53" t="e">
        <f t="shared" si="8"/>
        <v>#DIV/0!</v>
      </c>
      <c r="V39" s="53" t="e">
        <f>V38+ATM_Conf!$C$5*(Nodes!AL38)/('Off-Ramp'!K224*AA224)</f>
        <v>#DIV/0!</v>
      </c>
      <c r="W39" s="53" t="e">
        <f>W38+ATM_Conf!$C$5*(Nodes!AM38)/('Off-Ramp'!L224*AB224)</f>
        <v>#DIV/0!</v>
      </c>
      <c r="X39" s="53" t="e">
        <f>X38+ATM_Conf!$C$5*(Nodes!AN38)/('Off-Ramp'!M224*AC224)</f>
        <v>#DIV/0!</v>
      </c>
      <c r="Y39" s="53" t="e">
        <f>Y38+ATM_Conf!$C$5*(Nodes!AO38)/('Off-Ramp'!N224*AD224)</f>
        <v>#DIV/0!</v>
      </c>
      <c r="Z39" s="53" t="e">
        <f>Z38+ATM_Conf!$C$5*(Nodes!AP38)/('Off-Ramp'!O224*AE224)</f>
        <v>#DIV/0!</v>
      </c>
      <c r="AA39" s="53" t="e">
        <f>AA38+ATM_Conf!$C$5*(Nodes!AQ38)/('Off-Ramp'!P224*AF224)</f>
        <v>#DIV/0!</v>
      </c>
    </row>
    <row r="40" spans="1:27" x14ac:dyDescent="0.15">
      <c r="A40" s="46">
        <v>38</v>
      </c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53" t="e">
        <f t="shared" si="9"/>
        <v>#DIV/0!</v>
      </c>
      <c r="M40" s="53" t="e">
        <f t="shared" si="10"/>
        <v>#DIV/0!</v>
      </c>
      <c r="N40" s="53" t="e">
        <f t="shared" si="11"/>
        <v>#DIV/0!</v>
      </c>
      <c r="O40" s="53" t="e">
        <f t="shared" si="12"/>
        <v>#DIV/0!</v>
      </c>
      <c r="P40" s="69"/>
      <c r="Q40" s="69"/>
      <c r="R40" s="53" t="e">
        <f t="shared" si="13"/>
        <v>#DIV/0!</v>
      </c>
      <c r="S40" s="53" t="e">
        <f t="shared" si="14"/>
        <v>#DIV/0!</v>
      </c>
      <c r="T40" s="53" t="e">
        <f t="shared" si="15"/>
        <v>#DIV/0!</v>
      </c>
      <c r="U40" s="53" t="e">
        <f t="shared" si="8"/>
        <v>#DIV/0!</v>
      </c>
      <c r="V40" s="53" t="e">
        <f>V39+ATM_Conf!$C$5*(Nodes!AL39)/('Off-Ramp'!K225*AA225)</f>
        <v>#DIV/0!</v>
      </c>
      <c r="W40" s="53" t="e">
        <f>W39+ATM_Conf!$C$5*(Nodes!AM39)/('Off-Ramp'!L225*AB225)</f>
        <v>#DIV/0!</v>
      </c>
      <c r="X40" s="53" t="e">
        <f>X39+ATM_Conf!$C$5*(Nodes!AN39)/('Off-Ramp'!M225*AC225)</f>
        <v>#DIV/0!</v>
      </c>
      <c r="Y40" s="53" t="e">
        <f>Y39+ATM_Conf!$C$5*(Nodes!AO39)/('Off-Ramp'!N225*AD225)</f>
        <v>#DIV/0!</v>
      </c>
      <c r="Z40" s="53" t="e">
        <f>Z39+ATM_Conf!$C$5*(Nodes!AP39)/('Off-Ramp'!O225*AE225)</f>
        <v>#DIV/0!</v>
      </c>
      <c r="AA40" s="53" t="e">
        <f>AA39+ATM_Conf!$C$5*(Nodes!AQ39)/('Off-Ramp'!P225*AF225)</f>
        <v>#DIV/0!</v>
      </c>
    </row>
    <row r="41" spans="1:27" x14ac:dyDescent="0.15">
      <c r="A41" s="46">
        <v>39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53" t="e">
        <f t="shared" si="9"/>
        <v>#DIV/0!</v>
      </c>
      <c r="M41" s="53" t="e">
        <f t="shared" si="10"/>
        <v>#DIV/0!</v>
      </c>
      <c r="N41" s="53" t="e">
        <f t="shared" si="11"/>
        <v>#DIV/0!</v>
      </c>
      <c r="O41" s="53" t="e">
        <f t="shared" si="12"/>
        <v>#DIV/0!</v>
      </c>
      <c r="P41" s="69"/>
      <c r="Q41" s="69"/>
      <c r="R41" s="53" t="e">
        <f t="shared" si="13"/>
        <v>#DIV/0!</v>
      </c>
      <c r="S41" s="53" t="e">
        <f t="shared" si="14"/>
        <v>#DIV/0!</v>
      </c>
      <c r="T41" s="53" t="e">
        <f t="shared" si="15"/>
        <v>#DIV/0!</v>
      </c>
      <c r="U41" s="53" t="e">
        <f t="shared" si="8"/>
        <v>#DIV/0!</v>
      </c>
      <c r="V41" s="53" t="e">
        <f>V40+ATM_Conf!$C$5*(Nodes!AL40)/('Off-Ramp'!K226*AA226)</f>
        <v>#DIV/0!</v>
      </c>
      <c r="W41" s="53" t="e">
        <f>W40+ATM_Conf!$C$5*(Nodes!AM40)/('Off-Ramp'!L226*AB226)</f>
        <v>#DIV/0!</v>
      </c>
      <c r="X41" s="53" t="e">
        <f>X40+ATM_Conf!$C$5*(Nodes!AN40)/('Off-Ramp'!M226*AC226)</f>
        <v>#DIV/0!</v>
      </c>
      <c r="Y41" s="53" t="e">
        <f>Y40+ATM_Conf!$C$5*(Nodes!AO40)/('Off-Ramp'!N226*AD226)</f>
        <v>#DIV/0!</v>
      </c>
      <c r="Z41" s="53" t="e">
        <f>Z40+ATM_Conf!$C$5*(Nodes!AP40)/('Off-Ramp'!O226*AE226)</f>
        <v>#DIV/0!</v>
      </c>
      <c r="AA41" s="53" t="e">
        <f>AA40+ATM_Conf!$C$5*(Nodes!AQ40)/('Off-Ramp'!P226*AF226)</f>
        <v>#DIV/0!</v>
      </c>
    </row>
    <row r="42" spans="1:27" x14ac:dyDescent="0.15">
      <c r="A42" s="46">
        <v>40</v>
      </c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53" t="e">
        <f t="shared" si="9"/>
        <v>#DIV/0!</v>
      </c>
      <c r="M42" s="53" t="e">
        <f t="shared" si="10"/>
        <v>#DIV/0!</v>
      </c>
      <c r="N42" s="53" t="e">
        <f t="shared" si="11"/>
        <v>#DIV/0!</v>
      </c>
      <c r="O42" s="53" t="e">
        <f t="shared" si="12"/>
        <v>#DIV/0!</v>
      </c>
      <c r="P42" s="69"/>
      <c r="Q42" s="69"/>
      <c r="R42" s="53" t="e">
        <f t="shared" si="13"/>
        <v>#DIV/0!</v>
      </c>
      <c r="S42" s="53" t="e">
        <f t="shared" si="14"/>
        <v>#DIV/0!</v>
      </c>
      <c r="T42" s="53" t="e">
        <f t="shared" si="15"/>
        <v>#DIV/0!</v>
      </c>
      <c r="U42" s="53" t="e">
        <f t="shared" si="8"/>
        <v>#DIV/0!</v>
      </c>
      <c r="V42" s="53" t="e">
        <f>V41+ATM_Conf!$C$5*(Nodes!AL41)/('Off-Ramp'!K227*AA227)</f>
        <v>#DIV/0!</v>
      </c>
      <c r="W42" s="53" t="e">
        <f>W41+ATM_Conf!$C$5*(Nodes!AM41)/('Off-Ramp'!L227*AB227)</f>
        <v>#DIV/0!</v>
      </c>
      <c r="X42" s="53" t="e">
        <f>X41+ATM_Conf!$C$5*(Nodes!AN41)/('Off-Ramp'!M227*AC227)</f>
        <v>#DIV/0!</v>
      </c>
      <c r="Y42" s="53" t="e">
        <f>Y41+ATM_Conf!$C$5*(Nodes!AO41)/('Off-Ramp'!N227*AD227)</f>
        <v>#DIV/0!</v>
      </c>
      <c r="Z42" s="53" t="e">
        <f>Z41+ATM_Conf!$C$5*(Nodes!AP41)/('Off-Ramp'!O227*AE227)</f>
        <v>#DIV/0!</v>
      </c>
      <c r="AA42" s="53" t="e">
        <f>AA41+ATM_Conf!$C$5*(Nodes!AQ41)/('Off-Ramp'!P227*AF227)</f>
        <v>#DIV/0!</v>
      </c>
    </row>
    <row r="43" spans="1:27" x14ac:dyDescent="0.15">
      <c r="A43" s="46">
        <v>41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53" t="e">
        <f t="shared" si="9"/>
        <v>#DIV/0!</v>
      </c>
      <c r="M43" s="53" t="e">
        <f t="shared" si="10"/>
        <v>#DIV/0!</v>
      </c>
      <c r="N43" s="53" t="e">
        <f t="shared" si="11"/>
        <v>#DIV/0!</v>
      </c>
      <c r="O43" s="53" t="e">
        <f t="shared" si="12"/>
        <v>#DIV/0!</v>
      </c>
      <c r="P43" s="69"/>
      <c r="Q43" s="69"/>
      <c r="R43" s="53" t="e">
        <f t="shared" si="13"/>
        <v>#DIV/0!</v>
      </c>
      <c r="S43" s="53" t="e">
        <f t="shared" si="14"/>
        <v>#DIV/0!</v>
      </c>
      <c r="T43" s="53" t="e">
        <f t="shared" si="15"/>
        <v>#DIV/0!</v>
      </c>
      <c r="U43" s="53" t="e">
        <f t="shared" si="8"/>
        <v>#DIV/0!</v>
      </c>
      <c r="V43" s="53" t="e">
        <f>V42+ATM_Conf!$C$5*(Nodes!AL42)/('Off-Ramp'!K228*AA228)</f>
        <v>#DIV/0!</v>
      </c>
      <c r="W43" s="53" t="e">
        <f>W42+ATM_Conf!$C$5*(Nodes!AM42)/('Off-Ramp'!L228*AB228)</f>
        <v>#DIV/0!</v>
      </c>
      <c r="X43" s="53" t="e">
        <f>X42+ATM_Conf!$C$5*(Nodes!AN42)/('Off-Ramp'!M228*AC228)</f>
        <v>#DIV/0!</v>
      </c>
      <c r="Y43" s="53" t="e">
        <f>Y42+ATM_Conf!$C$5*(Nodes!AO42)/('Off-Ramp'!N228*AD228)</f>
        <v>#DIV/0!</v>
      </c>
      <c r="Z43" s="53" t="e">
        <f>Z42+ATM_Conf!$C$5*(Nodes!AP42)/('Off-Ramp'!O228*AE228)</f>
        <v>#DIV/0!</v>
      </c>
      <c r="AA43" s="53" t="e">
        <f>AA42+ATM_Conf!$C$5*(Nodes!AQ42)/('Off-Ramp'!P228*AF228)</f>
        <v>#DIV/0!</v>
      </c>
    </row>
    <row r="44" spans="1:27" x14ac:dyDescent="0.15">
      <c r="A44" s="46">
        <v>42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53" t="e">
        <f t="shared" si="9"/>
        <v>#DIV/0!</v>
      </c>
      <c r="M44" s="53" t="e">
        <f t="shared" si="10"/>
        <v>#DIV/0!</v>
      </c>
      <c r="N44" s="53" t="e">
        <f t="shared" si="11"/>
        <v>#DIV/0!</v>
      </c>
      <c r="O44" s="53" t="e">
        <f t="shared" si="12"/>
        <v>#DIV/0!</v>
      </c>
      <c r="P44" s="69"/>
      <c r="Q44" s="69"/>
      <c r="R44" s="53" t="e">
        <f t="shared" si="13"/>
        <v>#DIV/0!</v>
      </c>
      <c r="S44" s="53" t="e">
        <f t="shared" si="14"/>
        <v>#DIV/0!</v>
      </c>
      <c r="T44" s="53" t="e">
        <f t="shared" si="15"/>
        <v>#DIV/0!</v>
      </c>
      <c r="U44" s="53" t="e">
        <f t="shared" si="8"/>
        <v>#DIV/0!</v>
      </c>
      <c r="V44" s="53" t="e">
        <f>V43+ATM_Conf!$C$5*(Nodes!AL43)/('Off-Ramp'!K229*AA229)</f>
        <v>#DIV/0!</v>
      </c>
      <c r="W44" s="53" t="e">
        <f>W43+ATM_Conf!$C$5*(Nodes!AM43)/('Off-Ramp'!L229*AB229)</f>
        <v>#DIV/0!</v>
      </c>
      <c r="X44" s="53" t="e">
        <f>X43+ATM_Conf!$C$5*(Nodes!AN43)/('Off-Ramp'!M229*AC229)</f>
        <v>#DIV/0!</v>
      </c>
      <c r="Y44" s="53" t="e">
        <f>Y43+ATM_Conf!$C$5*(Nodes!AO43)/('Off-Ramp'!N229*AD229)</f>
        <v>#DIV/0!</v>
      </c>
      <c r="Z44" s="53" t="e">
        <f>Z43+ATM_Conf!$C$5*(Nodes!AP43)/('Off-Ramp'!O229*AE229)</f>
        <v>#DIV/0!</v>
      </c>
      <c r="AA44" s="53" t="e">
        <f>AA43+ATM_Conf!$C$5*(Nodes!AQ43)/('Off-Ramp'!P229*AF229)</f>
        <v>#DIV/0!</v>
      </c>
    </row>
    <row r="45" spans="1:27" x14ac:dyDescent="0.15">
      <c r="A45" s="46">
        <v>43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53" t="e">
        <f t="shared" si="9"/>
        <v>#DIV/0!</v>
      </c>
      <c r="M45" s="53" t="e">
        <f t="shared" si="10"/>
        <v>#DIV/0!</v>
      </c>
      <c r="N45" s="53" t="e">
        <f t="shared" si="11"/>
        <v>#DIV/0!</v>
      </c>
      <c r="O45" s="53" t="e">
        <f t="shared" si="12"/>
        <v>#DIV/0!</v>
      </c>
      <c r="P45" s="69"/>
      <c r="Q45" s="69"/>
      <c r="R45" s="53" t="e">
        <f t="shared" si="13"/>
        <v>#DIV/0!</v>
      </c>
      <c r="S45" s="53" t="e">
        <f t="shared" si="14"/>
        <v>#DIV/0!</v>
      </c>
      <c r="T45" s="53" t="e">
        <f t="shared" si="15"/>
        <v>#DIV/0!</v>
      </c>
      <c r="U45" s="53" t="e">
        <f t="shared" si="8"/>
        <v>#DIV/0!</v>
      </c>
      <c r="V45" s="53" t="e">
        <f>V44+ATM_Conf!$C$5*(Nodes!AL44)/('Off-Ramp'!K230*AA230)</f>
        <v>#DIV/0!</v>
      </c>
      <c r="W45" s="53" t="e">
        <f>W44+ATM_Conf!$C$5*(Nodes!AM44)/('Off-Ramp'!L230*AB230)</f>
        <v>#DIV/0!</v>
      </c>
      <c r="X45" s="53" t="e">
        <f>X44+ATM_Conf!$C$5*(Nodes!AN44)/('Off-Ramp'!M230*AC230)</f>
        <v>#DIV/0!</v>
      </c>
      <c r="Y45" s="53" t="e">
        <f>Y44+ATM_Conf!$C$5*(Nodes!AO44)/('Off-Ramp'!N230*AD230)</f>
        <v>#DIV/0!</v>
      </c>
      <c r="Z45" s="53" t="e">
        <f>Z44+ATM_Conf!$C$5*(Nodes!AP44)/('Off-Ramp'!O230*AE230)</f>
        <v>#DIV/0!</v>
      </c>
      <c r="AA45" s="53" t="e">
        <f>AA44+ATM_Conf!$C$5*(Nodes!AQ44)/('Off-Ramp'!P230*AF230)</f>
        <v>#DIV/0!</v>
      </c>
    </row>
    <row r="46" spans="1:27" x14ac:dyDescent="0.15">
      <c r="A46" s="46">
        <v>44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53" t="e">
        <f t="shared" si="9"/>
        <v>#DIV/0!</v>
      </c>
      <c r="M46" s="53" t="e">
        <f t="shared" si="10"/>
        <v>#DIV/0!</v>
      </c>
      <c r="N46" s="53" t="e">
        <f t="shared" si="11"/>
        <v>#DIV/0!</v>
      </c>
      <c r="O46" s="53" t="e">
        <f t="shared" si="12"/>
        <v>#DIV/0!</v>
      </c>
      <c r="P46" s="69"/>
      <c r="Q46" s="69"/>
      <c r="R46" s="53" t="e">
        <f t="shared" si="13"/>
        <v>#DIV/0!</v>
      </c>
      <c r="S46" s="53" t="e">
        <f t="shared" si="14"/>
        <v>#DIV/0!</v>
      </c>
      <c r="T46" s="53" t="e">
        <f t="shared" si="15"/>
        <v>#DIV/0!</v>
      </c>
      <c r="U46" s="53" t="e">
        <f t="shared" si="8"/>
        <v>#DIV/0!</v>
      </c>
      <c r="V46" s="53" t="e">
        <f>V45+ATM_Conf!$C$5*(Nodes!AL45)/('Off-Ramp'!K231*AA231)</f>
        <v>#DIV/0!</v>
      </c>
      <c r="W46" s="53" t="e">
        <f>W45+ATM_Conf!$C$5*(Nodes!AM45)/('Off-Ramp'!L231*AB231)</f>
        <v>#DIV/0!</v>
      </c>
      <c r="X46" s="53" t="e">
        <f>X45+ATM_Conf!$C$5*(Nodes!AN45)/('Off-Ramp'!M231*AC231)</f>
        <v>#DIV/0!</v>
      </c>
      <c r="Y46" s="53" t="e">
        <f>Y45+ATM_Conf!$C$5*(Nodes!AO45)/('Off-Ramp'!N231*AD231)</f>
        <v>#DIV/0!</v>
      </c>
      <c r="Z46" s="53" t="e">
        <f>Z45+ATM_Conf!$C$5*(Nodes!AP45)/('Off-Ramp'!O231*AE231)</f>
        <v>#DIV/0!</v>
      </c>
      <c r="AA46" s="53" t="e">
        <f>AA45+ATM_Conf!$C$5*(Nodes!AQ45)/('Off-Ramp'!P231*AF231)</f>
        <v>#DIV/0!</v>
      </c>
    </row>
    <row r="47" spans="1:27" x14ac:dyDescent="0.15">
      <c r="A47" s="46">
        <v>45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53" t="e">
        <f t="shared" si="9"/>
        <v>#DIV/0!</v>
      </c>
      <c r="M47" s="53" t="e">
        <f t="shared" si="10"/>
        <v>#DIV/0!</v>
      </c>
      <c r="N47" s="53" t="e">
        <f t="shared" si="11"/>
        <v>#DIV/0!</v>
      </c>
      <c r="O47" s="53" t="e">
        <f t="shared" si="12"/>
        <v>#DIV/0!</v>
      </c>
      <c r="P47" s="69"/>
      <c r="Q47" s="69"/>
      <c r="R47" s="53" t="e">
        <f t="shared" si="13"/>
        <v>#DIV/0!</v>
      </c>
      <c r="S47" s="53" t="e">
        <f t="shared" si="14"/>
        <v>#DIV/0!</v>
      </c>
      <c r="T47" s="53" t="e">
        <f t="shared" si="15"/>
        <v>#DIV/0!</v>
      </c>
      <c r="U47" s="53" t="e">
        <f t="shared" si="8"/>
        <v>#DIV/0!</v>
      </c>
      <c r="V47" s="53" t="e">
        <f>V46+ATM_Conf!$C$5*(Nodes!AL46)/('Off-Ramp'!K232*AA232)</f>
        <v>#DIV/0!</v>
      </c>
      <c r="W47" s="53" t="e">
        <f>W46+ATM_Conf!$C$5*(Nodes!AM46)/('Off-Ramp'!L232*AB232)</f>
        <v>#DIV/0!</v>
      </c>
      <c r="X47" s="53" t="e">
        <f>X46+ATM_Conf!$C$5*(Nodes!AN46)/('Off-Ramp'!M232*AC232)</f>
        <v>#DIV/0!</v>
      </c>
      <c r="Y47" s="53" t="e">
        <f>Y46+ATM_Conf!$C$5*(Nodes!AO46)/('Off-Ramp'!N232*AD232)</f>
        <v>#DIV/0!</v>
      </c>
      <c r="Z47" s="53" t="e">
        <f>Z46+ATM_Conf!$C$5*(Nodes!AP46)/('Off-Ramp'!O232*AE232)</f>
        <v>#DIV/0!</v>
      </c>
      <c r="AA47" s="53" t="e">
        <f>AA46+ATM_Conf!$C$5*(Nodes!AQ46)/('Off-Ramp'!P232*AF232)</f>
        <v>#DIV/0!</v>
      </c>
    </row>
    <row r="48" spans="1:27" x14ac:dyDescent="0.15">
      <c r="A48" s="46">
        <v>46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53" t="e">
        <f t="shared" si="9"/>
        <v>#DIV/0!</v>
      </c>
      <c r="M48" s="53" t="e">
        <f t="shared" si="10"/>
        <v>#DIV/0!</v>
      </c>
      <c r="N48" s="53" t="e">
        <f t="shared" si="11"/>
        <v>#DIV/0!</v>
      </c>
      <c r="O48" s="53" t="e">
        <f t="shared" si="12"/>
        <v>#DIV/0!</v>
      </c>
      <c r="P48" s="69"/>
      <c r="Q48" s="69"/>
      <c r="R48" s="53" t="e">
        <f t="shared" si="13"/>
        <v>#DIV/0!</v>
      </c>
      <c r="S48" s="53" t="e">
        <f t="shared" si="14"/>
        <v>#DIV/0!</v>
      </c>
      <c r="T48" s="53" t="e">
        <f t="shared" si="15"/>
        <v>#DIV/0!</v>
      </c>
      <c r="U48" s="53" t="e">
        <f t="shared" si="8"/>
        <v>#DIV/0!</v>
      </c>
      <c r="V48" s="53" t="e">
        <f>V47+ATM_Conf!$C$5*(Nodes!AL47)/('Off-Ramp'!K233*AA233)</f>
        <v>#DIV/0!</v>
      </c>
      <c r="W48" s="53" t="e">
        <f>W47+ATM_Conf!$C$5*(Nodes!AM47)/('Off-Ramp'!L233*AB233)</f>
        <v>#DIV/0!</v>
      </c>
      <c r="X48" s="53" t="e">
        <f>X47+ATM_Conf!$C$5*(Nodes!AN47)/('Off-Ramp'!M233*AC233)</f>
        <v>#DIV/0!</v>
      </c>
      <c r="Y48" s="53" t="e">
        <f>Y47+ATM_Conf!$C$5*(Nodes!AO47)/('Off-Ramp'!N233*AD233)</f>
        <v>#DIV/0!</v>
      </c>
      <c r="Z48" s="53" t="e">
        <f>Z47+ATM_Conf!$C$5*(Nodes!AP47)/('Off-Ramp'!O233*AE233)</f>
        <v>#DIV/0!</v>
      </c>
      <c r="AA48" s="53" t="e">
        <f>AA47+ATM_Conf!$C$5*(Nodes!AQ47)/('Off-Ramp'!P233*AF233)</f>
        <v>#DIV/0!</v>
      </c>
    </row>
    <row r="49" spans="1:27" x14ac:dyDescent="0.15">
      <c r="A49" s="46">
        <v>47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53" t="e">
        <f t="shared" si="9"/>
        <v>#DIV/0!</v>
      </c>
      <c r="M49" s="53" t="e">
        <f t="shared" si="10"/>
        <v>#DIV/0!</v>
      </c>
      <c r="N49" s="53" t="e">
        <f t="shared" si="11"/>
        <v>#DIV/0!</v>
      </c>
      <c r="O49" s="53" t="e">
        <f t="shared" si="12"/>
        <v>#DIV/0!</v>
      </c>
      <c r="P49" s="69"/>
      <c r="Q49" s="69"/>
      <c r="R49" s="53" t="e">
        <f t="shared" si="13"/>
        <v>#DIV/0!</v>
      </c>
      <c r="S49" s="53" t="e">
        <f t="shared" si="14"/>
        <v>#DIV/0!</v>
      </c>
      <c r="T49" s="53" t="e">
        <f t="shared" si="15"/>
        <v>#DIV/0!</v>
      </c>
      <c r="U49" s="53" t="e">
        <f t="shared" si="8"/>
        <v>#DIV/0!</v>
      </c>
      <c r="V49" s="53" t="e">
        <f>V48+ATM_Conf!$C$5*(Nodes!AL48)/('Off-Ramp'!K234*AA234)</f>
        <v>#DIV/0!</v>
      </c>
      <c r="W49" s="53" t="e">
        <f>W48+ATM_Conf!$C$5*(Nodes!AM48)/('Off-Ramp'!L234*AB234)</f>
        <v>#DIV/0!</v>
      </c>
      <c r="X49" s="53" t="e">
        <f>X48+ATM_Conf!$C$5*(Nodes!AN48)/('Off-Ramp'!M234*AC234)</f>
        <v>#DIV/0!</v>
      </c>
      <c r="Y49" s="53" t="e">
        <f>Y48+ATM_Conf!$C$5*(Nodes!AO48)/('Off-Ramp'!N234*AD234)</f>
        <v>#DIV/0!</v>
      </c>
      <c r="Z49" s="53" t="e">
        <f>Z48+ATM_Conf!$C$5*(Nodes!AP48)/('Off-Ramp'!O234*AE234)</f>
        <v>#DIV/0!</v>
      </c>
      <c r="AA49" s="53" t="e">
        <f>AA48+ATM_Conf!$C$5*(Nodes!AQ48)/('Off-Ramp'!P234*AF234)</f>
        <v>#DIV/0!</v>
      </c>
    </row>
    <row r="50" spans="1:27" x14ac:dyDescent="0.15">
      <c r="A50" s="46">
        <v>48</v>
      </c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53" t="e">
        <f t="shared" si="9"/>
        <v>#DIV/0!</v>
      </c>
      <c r="M50" s="53" t="e">
        <f t="shared" si="10"/>
        <v>#DIV/0!</v>
      </c>
      <c r="N50" s="53" t="e">
        <f t="shared" si="11"/>
        <v>#DIV/0!</v>
      </c>
      <c r="O50" s="53" t="e">
        <f t="shared" si="12"/>
        <v>#DIV/0!</v>
      </c>
      <c r="P50" s="69"/>
      <c r="Q50" s="69"/>
      <c r="R50" s="53" t="e">
        <f t="shared" si="13"/>
        <v>#DIV/0!</v>
      </c>
      <c r="S50" s="53" t="e">
        <f t="shared" si="14"/>
        <v>#DIV/0!</v>
      </c>
      <c r="T50" s="53" t="e">
        <f t="shared" si="15"/>
        <v>#DIV/0!</v>
      </c>
      <c r="U50" s="53" t="e">
        <f t="shared" si="8"/>
        <v>#DIV/0!</v>
      </c>
      <c r="V50" s="53" t="e">
        <f>V49+ATM_Conf!$C$5*(Nodes!AL49)/('Off-Ramp'!K235*AA235)</f>
        <v>#DIV/0!</v>
      </c>
      <c r="W50" s="53" t="e">
        <f>W49+ATM_Conf!$C$5*(Nodes!AM49)/('Off-Ramp'!L235*AB235)</f>
        <v>#DIV/0!</v>
      </c>
      <c r="X50" s="53" t="e">
        <f>X49+ATM_Conf!$C$5*(Nodes!AN49)/('Off-Ramp'!M235*AC235)</f>
        <v>#DIV/0!</v>
      </c>
      <c r="Y50" s="53" t="e">
        <f>Y49+ATM_Conf!$C$5*(Nodes!AO49)/('Off-Ramp'!N235*AD235)</f>
        <v>#DIV/0!</v>
      </c>
      <c r="Z50" s="53" t="e">
        <f>Z49+ATM_Conf!$C$5*(Nodes!AP49)/('Off-Ramp'!O235*AE235)</f>
        <v>#DIV/0!</v>
      </c>
      <c r="AA50" s="53" t="e">
        <f>AA49+ATM_Conf!$C$5*(Nodes!AQ49)/('Off-Ramp'!P235*AF235)</f>
        <v>#DIV/0!</v>
      </c>
    </row>
    <row r="51" spans="1:27" x14ac:dyDescent="0.15">
      <c r="A51" s="46">
        <v>49</v>
      </c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53" t="e">
        <f t="shared" si="9"/>
        <v>#DIV/0!</v>
      </c>
      <c r="M51" s="53" t="e">
        <f t="shared" si="10"/>
        <v>#DIV/0!</v>
      </c>
      <c r="N51" s="53" t="e">
        <f t="shared" si="11"/>
        <v>#DIV/0!</v>
      </c>
      <c r="O51" s="53" t="e">
        <f t="shared" si="12"/>
        <v>#DIV/0!</v>
      </c>
      <c r="P51" s="69"/>
      <c r="Q51" s="69"/>
      <c r="R51" s="53" t="e">
        <f t="shared" si="13"/>
        <v>#DIV/0!</v>
      </c>
      <c r="S51" s="53" t="e">
        <f t="shared" si="14"/>
        <v>#DIV/0!</v>
      </c>
      <c r="T51" s="53" t="e">
        <f t="shared" si="15"/>
        <v>#DIV/0!</v>
      </c>
      <c r="U51" s="53" t="e">
        <f t="shared" si="8"/>
        <v>#DIV/0!</v>
      </c>
      <c r="V51" s="53" t="e">
        <f>V50+ATM_Conf!$C$5*(Nodes!AL50)/('Off-Ramp'!K236*AA236)</f>
        <v>#DIV/0!</v>
      </c>
      <c r="W51" s="53" t="e">
        <f>W50+ATM_Conf!$C$5*(Nodes!AM50)/('Off-Ramp'!L236*AB236)</f>
        <v>#DIV/0!</v>
      </c>
      <c r="X51" s="53" t="e">
        <f>X50+ATM_Conf!$C$5*(Nodes!AN50)/('Off-Ramp'!M236*AC236)</f>
        <v>#DIV/0!</v>
      </c>
      <c r="Y51" s="53" t="e">
        <f>Y50+ATM_Conf!$C$5*(Nodes!AO50)/('Off-Ramp'!N236*AD236)</f>
        <v>#DIV/0!</v>
      </c>
      <c r="Z51" s="53" t="e">
        <f>Z50+ATM_Conf!$C$5*(Nodes!AP50)/('Off-Ramp'!O236*AE236)</f>
        <v>#DIV/0!</v>
      </c>
      <c r="AA51" s="53" t="e">
        <f>AA50+ATM_Conf!$C$5*(Nodes!AQ50)/('Off-Ramp'!P236*AF236)</f>
        <v>#DIV/0!</v>
      </c>
    </row>
    <row r="52" spans="1:27" x14ac:dyDescent="0.15">
      <c r="A52" s="46">
        <v>50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53" t="e">
        <f t="shared" si="9"/>
        <v>#DIV/0!</v>
      </c>
      <c r="M52" s="53" t="e">
        <f t="shared" si="10"/>
        <v>#DIV/0!</v>
      </c>
      <c r="N52" s="53" t="e">
        <f t="shared" si="11"/>
        <v>#DIV/0!</v>
      </c>
      <c r="O52" s="53" t="e">
        <f t="shared" si="12"/>
        <v>#DIV/0!</v>
      </c>
      <c r="P52" s="69"/>
      <c r="Q52" s="69"/>
      <c r="R52" s="53" t="e">
        <f t="shared" si="13"/>
        <v>#DIV/0!</v>
      </c>
      <c r="S52" s="53" t="e">
        <f t="shared" si="14"/>
        <v>#DIV/0!</v>
      </c>
      <c r="T52" s="53" t="e">
        <f t="shared" si="15"/>
        <v>#DIV/0!</v>
      </c>
      <c r="U52" s="53" t="e">
        <f t="shared" si="8"/>
        <v>#DIV/0!</v>
      </c>
      <c r="V52" s="53" t="e">
        <f>V51+ATM_Conf!$C$5*(Nodes!AL51)/('Off-Ramp'!K237*AA237)</f>
        <v>#DIV/0!</v>
      </c>
      <c r="W52" s="53" t="e">
        <f>W51+ATM_Conf!$C$5*(Nodes!AM51)/('Off-Ramp'!L237*AB237)</f>
        <v>#DIV/0!</v>
      </c>
      <c r="X52" s="53" t="e">
        <f>X51+ATM_Conf!$C$5*(Nodes!AN51)/('Off-Ramp'!M237*AC237)</f>
        <v>#DIV/0!</v>
      </c>
      <c r="Y52" s="53" t="e">
        <f>Y51+ATM_Conf!$C$5*(Nodes!AO51)/('Off-Ramp'!N237*AD237)</f>
        <v>#DIV/0!</v>
      </c>
      <c r="Z52" s="53" t="e">
        <f>Z51+ATM_Conf!$C$5*(Nodes!AP51)/('Off-Ramp'!O237*AE237)</f>
        <v>#DIV/0!</v>
      </c>
      <c r="AA52" s="53" t="e">
        <f>AA51+ATM_Conf!$C$5*(Nodes!AQ51)/('Off-Ramp'!P237*AF237)</f>
        <v>#DIV/0!</v>
      </c>
    </row>
    <row r="53" spans="1:27" x14ac:dyDescent="0.15">
      <c r="A53" s="46">
        <v>51</v>
      </c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53" t="e">
        <f t="shared" si="9"/>
        <v>#DIV/0!</v>
      </c>
      <c r="M53" s="53" t="e">
        <f t="shared" si="10"/>
        <v>#DIV/0!</v>
      </c>
      <c r="N53" s="53" t="e">
        <f t="shared" si="11"/>
        <v>#DIV/0!</v>
      </c>
      <c r="O53" s="53" t="e">
        <f t="shared" si="12"/>
        <v>#DIV/0!</v>
      </c>
      <c r="P53" s="69"/>
      <c r="Q53" s="69"/>
      <c r="R53" s="53" t="e">
        <f t="shared" si="13"/>
        <v>#DIV/0!</v>
      </c>
      <c r="S53" s="53" t="e">
        <f t="shared" si="14"/>
        <v>#DIV/0!</v>
      </c>
      <c r="T53" s="53" t="e">
        <f t="shared" si="15"/>
        <v>#DIV/0!</v>
      </c>
      <c r="U53" s="53" t="e">
        <f t="shared" si="8"/>
        <v>#DIV/0!</v>
      </c>
      <c r="V53" s="53" t="e">
        <f>V52+ATM_Conf!$C$5*(Nodes!AL52)/('Off-Ramp'!K238*AA238)</f>
        <v>#DIV/0!</v>
      </c>
      <c r="W53" s="53" t="e">
        <f>W52+ATM_Conf!$C$5*(Nodes!AM52)/('Off-Ramp'!L238*AB238)</f>
        <v>#DIV/0!</v>
      </c>
      <c r="X53" s="53" t="e">
        <f>X52+ATM_Conf!$C$5*(Nodes!AN52)/('Off-Ramp'!M238*AC238)</f>
        <v>#DIV/0!</v>
      </c>
      <c r="Y53" s="53" t="e">
        <f>Y52+ATM_Conf!$C$5*(Nodes!AO52)/('Off-Ramp'!N238*AD238)</f>
        <v>#DIV/0!</v>
      </c>
      <c r="Z53" s="53" t="e">
        <f>Z52+ATM_Conf!$C$5*(Nodes!AP52)/('Off-Ramp'!O238*AE238)</f>
        <v>#DIV/0!</v>
      </c>
      <c r="AA53" s="53" t="e">
        <f>AA52+ATM_Conf!$C$5*(Nodes!AQ52)/('Off-Ramp'!P238*AF238)</f>
        <v>#DIV/0!</v>
      </c>
    </row>
    <row r="54" spans="1:27" x14ac:dyDescent="0.15">
      <c r="A54" s="46">
        <v>52</v>
      </c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53" t="e">
        <f t="shared" si="9"/>
        <v>#DIV/0!</v>
      </c>
      <c r="M54" s="53" t="e">
        <f t="shared" si="10"/>
        <v>#DIV/0!</v>
      </c>
      <c r="N54" s="53" t="e">
        <f t="shared" si="11"/>
        <v>#DIV/0!</v>
      </c>
      <c r="O54" s="53" t="e">
        <f t="shared" si="12"/>
        <v>#DIV/0!</v>
      </c>
      <c r="P54" s="69"/>
      <c r="Q54" s="69"/>
      <c r="R54" s="53" t="e">
        <f t="shared" si="13"/>
        <v>#DIV/0!</v>
      </c>
      <c r="S54" s="53" t="e">
        <f t="shared" si="14"/>
        <v>#DIV/0!</v>
      </c>
      <c r="T54" s="53" t="e">
        <f t="shared" si="15"/>
        <v>#DIV/0!</v>
      </c>
      <c r="U54" s="53" t="e">
        <f t="shared" si="8"/>
        <v>#DIV/0!</v>
      </c>
      <c r="V54" s="53" t="e">
        <f>V53+ATM_Conf!$C$5*(Nodes!AL53)/('Off-Ramp'!K239*AA239)</f>
        <v>#DIV/0!</v>
      </c>
      <c r="W54" s="53" t="e">
        <f>W53+ATM_Conf!$C$5*(Nodes!AM53)/('Off-Ramp'!L239*AB239)</f>
        <v>#DIV/0!</v>
      </c>
      <c r="X54" s="53" t="e">
        <f>X53+ATM_Conf!$C$5*(Nodes!AN53)/('Off-Ramp'!M239*AC239)</f>
        <v>#DIV/0!</v>
      </c>
      <c r="Y54" s="53" t="e">
        <f>Y53+ATM_Conf!$C$5*(Nodes!AO53)/('Off-Ramp'!N239*AD239)</f>
        <v>#DIV/0!</v>
      </c>
      <c r="Z54" s="53" t="e">
        <f>Z53+ATM_Conf!$C$5*(Nodes!AP53)/('Off-Ramp'!O239*AE239)</f>
        <v>#DIV/0!</v>
      </c>
      <c r="AA54" s="53" t="e">
        <f>AA53+ATM_Conf!$C$5*(Nodes!AQ53)/('Off-Ramp'!P239*AF239)</f>
        <v>#DIV/0!</v>
      </c>
    </row>
    <row r="55" spans="1:27" x14ac:dyDescent="0.15">
      <c r="A55" s="46">
        <v>53</v>
      </c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53" t="e">
        <f t="shared" si="9"/>
        <v>#DIV/0!</v>
      </c>
      <c r="M55" s="53" t="e">
        <f t="shared" si="10"/>
        <v>#DIV/0!</v>
      </c>
      <c r="N55" s="53" t="e">
        <f t="shared" si="11"/>
        <v>#DIV/0!</v>
      </c>
      <c r="O55" s="53" t="e">
        <f t="shared" si="12"/>
        <v>#DIV/0!</v>
      </c>
      <c r="P55" s="69"/>
      <c r="Q55" s="69"/>
      <c r="R55" s="53" t="e">
        <f t="shared" si="13"/>
        <v>#DIV/0!</v>
      </c>
      <c r="S55" s="53" t="e">
        <f t="shared" si="14"/>
        <v>#DIV/0!</v>
      </c>
      <c r="T55" s="53" t="e">
        <f t="shared" si="15"/>
        <v>#DIV/0!</v>
      </c>
      <c r="U55" s="53" t="e">
        <f t="shared" si="8"/>
        <v>#DIV/0!</v>
      </c>
      <c r="V55" s="53" t="e">
        <f>V54+ATM_Conf!$C$5*(Nodes!AL54)/('Off-Ramp'!K240*AA240)</f>
        <v>#DIV/0!</v>
      </c>
      <c r="W55" s="53" t="e">
        <f>W54+ATM_Conf!$C$5*(Nodes!AM54)/('Off-Ramp'!L240*AB240)</f>
        <v>#DIV/0!</v>
      </c>
      <c r="X55" s="53" t="e">
        <f>X54+ATM_Conf!$C$5*(Nodes!AN54)/('Off-Ramp'!M240*AC240)</f>
        <v>#DIV/0!</v>
      </c>
      <c r="Y55" s="53" t="e">
        <f>Y54+ATM_Conf!$C$5*(Nodes!AO54)/('Off-Ramp'!N240*AD240)</f>
        <v>#DIV/0!</v>
      </c>
      <c r="Z55" s="53" t="e">
        <f>Z54+ATM_Conf!$C$5*(Nodes!AP54)/('Off-Ramp'!O240*AE240)</f>
        <v>#DIV/0!</v>
      </c>
      <c r="AA55" s="53" t="e">
        <f>AA54+ATM_Conf!$C$5*(Nodes!AQ54)/('Off-Ramp'!P240*AF240)</f>
        <v>#DIV/0!</v>
      </c>
    </row>
    <row r="56" spans="1:27" x14ac:dyDescent="0.15">
      <c r="A56" s="46">
        <v>54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53" t="e">
        <f t="shared" si="9"/>
        <v>#DIV/0!</v>
      </c>
      <c r="M56" s="53" t="e">
        <f t="shared" si="10"/>
        <v>#DIV/0!</v>
      </c>
      <c r="N56" s="53" t="e">
        <f t="shared" si="11"/>
        <v>#DIV/0!</v>
      </c>
      <c r="O56" s="53" t="e">
        <f t="shared" si="12"/>
        <v>#DIV/0!</v>
      </c>
      <c r="P56" s="69"/>
      <c r="Q56" s="69"/>
      <c r="R56" s="53" t="e">
        <f t="shared" si="13"/>
        <v>#DIV/0!</v>
      </c>
      <c r="S56" s="53" t="e">
        <f t="shared" si="14"/>
        <v>#DIV/0!</v>
      </c>
      <c r="T56" s="53" t="e">
        <f t="shared" si="15"/>
        <v>#DIV/0!</v>
      </c>
      <c r="U56" s="53" t="e">
        <f t="shared" si="8"/>
        <v>#DIV/0!</v>
      </c>
      <c r="V56" s="53" t="e">
        <f>V55+ATM_Conf!$C$5*(Nodes!AL55)/('Off-Ramp'!K241*AA241)</f>
        <v>#DIV/0!</v>
      </c>
      <c r="W56" s="53" t="e">
        <f>W55+ATM_Conf!$C$5*(Nodes!AM55)/('Off-Ramp'!L241*AB241)</f>
        <v>#DIV/0!</v>
      </c>
      <c r="X56" s="53" t="e">
        <f>X55+ATM_Conf!$C$5*(Nodes!AN55)/('Off-Ramp'!M241*AC241)</f>
        <v>#DIV/0!</v>
      </c>
      <c r="Y56" s="53" t="e">
        <f>Y55+ATM_Conf!$C$5*(Nodes!AO55)/('Off-Ramp'!N241*AD241)</f>
        <v>#DIV/0!</v>
      </c>
      <c r="Z56" s="53" t="e">
        <f>Z55+ATM_Conf!$C$5*(Nodes!AP55)/('Off-Ramp'!O241*AE241)</f>
        <v>#DIV/0!</v>
      </c>
      <c r="AA56" s="53" t="e">
        <f>AA55+ATM_Conf!$C$5*(Nodes!AQ55)/('Off-Ramp'!P241*AF241)</f>
        <v>#DIV/0!</v>
      </c>
    </row>
    <row r="57" spans="1:27" x14ac:dyDescent="0.15">
      <c r="A57" s="46">
        <v>55</v>
      </c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53" t="e">
        <f t="shared" si="9"/>
        <v>#DIV/0!</v>
      </c>
      <c r="M57" s="53" t="e">
        <f t="shared" si="10"/>
        <v>#DIV/0!</v>
      </c>
      <c r="N57" s="53" t="e">
        <f t="shared" si="11"/>
        <v>#DIV/0!</v>
      </c>
      <c r="O57" s="53" t="e">
        <f t="shared" si="12"/>
        <v>#DIV/0!</v>
      </c>
      <c r="P57" s="69"/>
      <c r="Q57" s="69"/>
      <c r="R57" s="53" t="e">
        <f t="shared" si="13"/>
        <v>#DIV/0!</v>
      </c>
      <c r="S57" s="53" t="e">
        <f t="shared" si="14"/>
        <v>#DIV/0!</v>
      </c>
      <c r="T57" s="53" t="e">
        <f t="shared" si="15"/>
        <v>#DIV/0!</v>
      </c>
      <c r="U57" s="53" t="e">
        <f t="shared" si="8"/>
        <v>#DIV/0!</v>
      </c>
      <c r="V57" s="53" t="e">
        <f>V56+ATM_Conf!$C$5*(Nodes!AL56)/('Off-Ramp'!K242*AA242)</f>
        <v>#DIV/0!</v>
      </c>
      <c r="W57" s="53" t="e">
        <f>W56+ATM_Conf!$C$5*(Nodes!AM56)/('Off-Ramp'!L242*AB242)</f>
        <v>#DIV/0!</v>
      </c>
      <c r="X57" s="53" t="e">
        <f>X56+ATM_Conf!$C$5*(Nodes!AN56)/('Off-Ramp'!M242*AC242)</f>
        <v>#DIV/0!</v>
      </c>
      <c r="Y57" s="53" t="e">
        <f>Y56+ATM_Conf!$C$5*(Nodes!AO56)/('Off-Ramp'!N242*AD242)</f>
        <v>#DIV/0!</v>
      </c>
      <c r="Z57" s="53" t="e">
        <f>Z56+ATM_Conf!$C$5*(Nodes!AP56)/('Off-Ramp'!O242*AE242)</f>
        <v>#DIV/0!</v>
      </c>
      <c r="AA57" s="53" t="e">
        <f>AA56+ATM_Conf!$C$5*(Nodes!AQ56)/('Off-Ramp'!P242*AF242)</f>
        <v>#DIV/0!</v>
      </c>
    </row>
    <row r="58" spans="1:27" x14ac:dyDescent="0.15">
      <c r="A58" s="46">
        <v>56</v>
      </c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53" t="e">
        <f t="shared" si="9"/>
        <v>#DIV/0!</v>
      </c>
      <c r="M58" s="53" t="e">
        <f t="shared" si="10"/>
        <v>#DIV/0!</v>
      </c>
      <c r="N58" s="53" t="e">
        <f t="shared" si="11"/>
        <v>#DIV/0!</v>
      </c>
      <c r="O58" s="53" t="e">
        <f t="shared" si="12"/>
        <v>#DIV/0!</v>
      </c>
      <c r="P58" s="69"/>
      <c r="Q58" s="69"/>
      <c r="R58" s="53" t="e">
        <f t="shared" si="13"/>
        <v>#DIV/0!</v>
      </c>
      <c r="S58" s="53" t="e">
        <f t="shared" si="14"/>
        <v>#DIV/0!</v>
      </c>
      <c r="T58" s="53" t="e">
        <f t="shared" si="15"/>
        <v>#DIV/0!</v>
      </c>
      <c r="U58" s="53" t="e">
        <f t="shared" si="8"/>
        <v>#DIV/0!</v>
      </c>
      <c r="V58" s="53" t="e">
        <f>V57+ATM_Conf!$C$5*(Nodes!AL57)/('Off-Ramp'!K243*AA243)</f>
        <v>#DIV/0!</v>
      </c>
      <c r="W58" s="53" t="e">
        <f>W57+ATM_Conf!$C$5*(Nodes!AM57)/('Off-Ramp'!L243*AB243)</f>
        <v>#DIV/0!</v>
      </c>
      <c r="X58" s="53" t="e">
        <f>X57+ATM_Conf!$C$5*(Nodes!AN57)/('Off-Ramp'!M243*AC243)</f>
        <v>#DIV/0!</v>
      </c>
      <c r="Y58" s="53" t="e">
        <f>Y57+ATM_Conf!$C$5*(Nodes!AO57)/('Off-Ramp'!N243*AD243)</f>
        <v>#DIV/0!</v>
      </c>
      <c r="Z58" s="53" t="e">
        <f>Z57+ATM_Conf!$C$5*(Nodes!AP57)/('Off-Ramp'!O243*AE243)</f>
        <v>#DIV/0!</v>
      </c>
      <c r="AA58" s="53" t="e">
        <f>AA57+ATM_Conf!$C$5*(Nodes!AQ57)/('Off-Ramp'!P243*AF243)</f>
        <v>#DIV/0!</v>
      </c>
    </row>
    <row r="59" spans="1:27" x14ac:dyDescent="0.15">
      <c r="A59" s="46">
        <v>57</v>
      </c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53" t="e">
        <f t="shared" si="9"/>
        <v>#DIV/0!</v>
      </c>
      <c r="M59" s="53" t="e">
        <f t="shared" si="10"/>
        <v>#DIV/0!</v>
      </c>
      <c r="N59" s="53" t="e">
        <f t="shared" si="11"/>
        <v>#DIV/0!</v>
      </c>
      <c r="O59" s="53" t="e">
        <f t="shared" si="12"/>
        <v>#DIV/0!</v>
      </c>
      <c r="P59" s="69"/>
      <c r="Q59" s="69"/>
      <c r="R59" s="53" t="e">
        <f t="shared" si="13"/>
        <v>#DIV/0!</v>
      </c>
      <c r="S59" s="53" t="e">
        <f t="shared" si="14"/>
        <v>#DIV/0!</v>
      </c>
      <c r="T59" s="53" t="e">
        <f t="shared" si="15"/>
        <v>#DIV/0!</v>
      </c>
      <c r="U59" s="53" t="e">
        <f t="shared" si="8"/>
        <v>#DIV/0!</v>
      </c>
      <c r="V59" s="53" t="e">
        <f>V58+ATM_Conf!$C$5*(Nodes!AL58)/('Off-Ramp'!K244*AA244)</f>
        <v>#DIV/0!</v>
      </c>
      <c r="W59" s="53" t="e">
        <f>W58+ATM_Conf!$C$5*(Nodes!AM58)/('Off-Ramp'!L244*AB244)</f>
        <v>#DIV/0!</v>
      </c>
      <c r="X59" s="53" t="e">
        <f>X58+ATM_Conf!$C$5*(Nodes!AN58)/('Off-Ramp'!M244*AC244)</f>
        <v>#DIV/0!</v>
      </c>
      <c r="Y59" s="53" t="e">
        <f>Y58+ATM_Conf!$C$5*(Nodes!AO58)/('Off-Ramp'!N244*AD244)</f>
        <v>#DIV/0!</v>
      </c>
      <c r="Z59" s="53" t="e">
        <f>Z58+ATM_Conf!$C$5*(Nodes!AP58)/('Off-Ramp'!O244*AE244)</f>
        <v>#DIV/0!</v>
      </c>
      <c r="AA59" s="53" t="e">
        <f>AA58+ATM_Conf!$C$5*(Nodes!AQ58)/('Off-Ramp'!P244*AF244)</f>
        <v>#DIV/0!</v>
      </c>
    </row>
    <row r="60" spans="1:27" x14ac:dyDescent="0.15">
      <c r="A60" s="46">
        <v>58</v>
      </c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53" t="e">
        <f t="shared" si="9"/>
        <v>#DIV/0!</v>
      </c>
      <c r="M60" s="53" t="e">
        <f t="shared" si="10"/>
        <v>#DIV/0!</v>
      </c>
      <c r="N60" s="53" t="e">
        <f t="shared" si="11"/>
        <v>#DIV/0!</v>
      </c>
      <c r="O60" s="53" t="e">
        <f t="shared" si="12"/>
        <v>#DIV/0!</v>
      </c>
      <c r="P60" s="69"/>
      <c r="Q60" s="69"/>
      <c r="R60" s="53" t="e">
        <f t="shared" si="13"/>
        <v>#DIV/0!</v>
      </c>
      <c r="S60" s="53" t="e">
        <f t="shared" si="14"/>
        <v>#DIV/0!</v>
      </c>
      <c r="T60" s="53" t="e">
        <f t="shared" si="15"/>
        <v>#DIV/0!</v>
      </c>
      <c r="U60" s="53" t="e">
        <f t="shared" si="8"/>
        <v>#DIV/0!</v>
      </c>
      <c r="V60" s="53" t="e">
        <f>V59+ATM_Conf!$C$5*(Nodes!AL59)/('Off-Ramp'!K245*AA245)</f>
        <v>#DIV/0!</v>
      </c>
      <c r="W60" s="53" t="e">
        <f>W59+ATM_Conf!$C$5*(Nodes!AM59)/('Off-Ramp'!L245*AB245)</f>
        <v>#DIV/0!</v>
      </c>
      <c r="X60" s="53" t="e">
        <f>X59+ATM_Conf!$C$5*(Nodes!AN59)/('Off-Ramp'!M245*AC245)</f>
        <v>#DIV/0!</v>
      </c>
      <c r="Y60" s="53" t="e">
        <f>Y59+ATM_Conf!$C$5*(Nodes!AO59)/('Off-Ramp'!N245*AD245)</f>
        <v>#DIV/0!</v>
      </c>
      <c r="Z60" s="53" t="e">
        <f>Z59+ATM_Conf!$C$5*(Nodes!AP59)/('Off-Ramp'!O245*AE245)</f>
        <v>#DIV/0!</v>
      </c>
      <c r="AA60" s="53" t="e">
        <f>AA59+ATM_Conf!$C$5*(Nodes!AQ59)/('Off-Ramp'!P245*AF245)</f>
        <v>#DIV/0!</v>
      </c>
    </row>
    <row r="61" spans="1:27" x14ac:dyDescent="0.15">
      <c r="A61" s="46">
        <v>59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53" t="e">
        <f t="shared" si="9"/>
        <v>#DIV/0!</v>
      </c>
      <c r="M61" s="53" t="e">
        <f t="shared" si="10"/>
        <v>#DIV/0!</v>
      </c>
      <c r="N61" s="53" t="e">
        <f t="shared" si="11"/>
        <v>#DIV/0!</v>
      </c>
      <c r="O61" s="53" t="e">
        <f t="shared" si="12"/>
        <v>#DIV/0!</v>
      </c>
      <c r="P61" s="69"/>
      <c r="Q61" s="69"/>
      <c r="R61" s="53" t="e">
        <f t="shared" si="13"/>
        <v>#DIV/0!</v>
      </c>
      <c r="S61" s="53" t="e">
        <f t="shared" si="14"/>
        <v>#DIV/0!</v>
      </c>
      <c r="T61" s="53" t="e">
        <f t="shared" si="15"/>
        <v>#DIV/0!</v>
      </c>
      <c r="U61" s="53" t="e">
        <f t="shared" si="8"/>
        <v>#DIV/0!</v>
      </c>
      <c r="V61" s="53" t="e">
        <f>V60+ATM_Conf!$C$5*(Nodes!AL60)/('Off-Ramp'!K246*AA246)</f>
        <v>#DIV/0!</v>
      </c>
      <c r="W61" s="53" t="e">
        <f>W60+ATM_Conf!$C$5*(Nodes!AM60)/('Off-Ramp'!L246*AB246)</f>
        <v>#DIV/0!</v>
      </c>
      <c r="X61" s="53" t="e">
        <f>X60+ATM_Conf!$C$5*(Nodes!AN60)/('Off-Ramp'!M246*AC246)</f>
        <v>#DIV/0!</v>
      </c>
      <c r="Y61" s="53" t="e">
        <f>Y60+ATM_Conf!$C$5*(Nodes!AO60)/('Off-Ramp'!N246*AD246)</f>
        <v>#DIV/0!</v>
      </c>
      <c r="Z61" s="53" t="e">
        <f>Z60+ATM_Conf!$C$5*(Nodes!AP60)/('Off-Ramp'!O246*AE246)</f>
        <v>#DIV/0!</v>
      </c>
      <c r="AA61" s="53" t="e">
        <f>AA60+ATM_Conf!$C$5*(Nodes!AQ60)/('Off-Ramp'!P246*AF246)</f>
        <v>#DIV/0!</v>
      </c>
    </row>
    <row r="62" spans="1:27" x14ac:dyDescent="0.15">
      <c r="A62" s="46">
        <v>60</v>
      </c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53" t="e">
        <f t="shared" si="9"/>
        <v>#DIV/0!</v>
      </c>
      <c r="M62" s="53" t="e">
        <f t="shared" si="10"/>
        <v>#DIV/0!</v>
      </c>
      <c r="N62" s="53" t="e">
        <f t="shared" si="11"/>
        <v>#DIV/0!</v>
      </c>
      <c r="O62" s="53" t="e">
        <f t="shared" si="12"/>
        <v>#DIV/0!</v>
      </c>
      <c r="P62" s="69"/>
      <c r="Q62" s="69"/>
      <c r="R62" s="53" t="e">
        <f t="shared" si="13"/>
        <v>#DIV/0!</v>
      </c>
      <c r="S62" s="53" t="e">
        <f t="shared" si="14"/>
        <v>#DIV/0!</v>
      </c>
      <c r="T62" s="53" t="e">
        <f t="shared" si="15"/>
        <v>#DIV/0!</v>
      </c>
      <c r="U62" s="53" t="e">
        <f t="shared" si="8"/>
        <v>#DIV/0!</v>
      </c>
      <c r="V62" s="53" t="e">
        <f>V61+ATM_Conf!$C$5*(Nodes!AL61)/('Off-Ramp'!K247*AA247)</f>
        <v>#DIV/0!</v>
      </c>
      <c r="W62" s="53" t="e">
        <f>W61+ATM_Conf!$C$5*(Nodes!AM61)/('Off-Ramp'!L247*AB247)</f>
        <v>#DIV/0!</v>
      </c>
      <c r="X62" s="53" t="e">
        <f>X61+ATM_Conf!$C$5*(Nodes!AN61)/('Off-Ramp'!M247*AC247)</f>
        <v>#DIV/0!</v>
      </c>
      <c r="Y62" s="53" t="e">
        <f>Y61+ATM_Conf!$C$5*(Nodes!AO61)/('Off-Ramp'!N247*AD247)</f>
        <v>#DIV/0!</v>
      </c>
      <c r="Z62" s="53" t="e">
        <f>Z61+ATM_Conf!$C$5*(Nodes!AP61)/('Off-Ramp'!O247*AE247)</f>
        <v>#DIV/0!</v>
      </c>
      <c r="AA62" s="53" t="e">
        <f>AA61+ATM_Conf!$C$5*(Nodes!AQ61)/('Off-Ramp'!P247*AF247)</f>
        <v>#DIV/0!</v>
      </c>
    </row>
    <row r="63" spans="1:27" x14ac:dyDescent="0.15">
      <c r="A63" s="46">
        <v>61</v>
      </c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53" t="e">
        <f t="shared" si="9"/>
        <v>#DIV/0!</v>
      </c>
      <c r="M63" s="53" t="e">
        <f t="shared" si="10"/>
        <v>#DIV/0!</v>
      </c>
      <c r="N63" s="53" t="e">
        <f t="shared" si="11"/>
        <v>#DIV/0!</v>
      </c>
      <c r="O63" s="53" t="e">
        <f t="shared" si="12"/>
        <v>#DIV/0!</v>
      </c>
      <c r="P63" s="69"/>
      <c r="Q63" s="69"/>
      <c r="R63" s="53" t="e">
        <f t="shared" si="13"/>
        <v>#DIV/0!</v>
      </c>
      <c r="S63" s="53" t="e">
        <f t="shared" si="14"/>
        <v>#DIV/0!</v>
      </c>
      <c r="T63" s="53" t="e">
        <f t="shared" si="15"/>
        <v>#DIV/0!</v>
      </c>
      <c r="U63" s="53" t="e">
        <f t="shared" si="8"/>
        <v>#DIV/0!</v>
      </c>
      <c r="V63" s="53" t="e">
        <f>V62+ATM_Conf!$C$5*(Nodes!AL62)/('Off-Ramp'!K248*AA248)</f>
        <v>#DIV/0!</v>
      </c>
      <c r="W63" s="53" t="e">
        <f>W62+ATM_Conf!$C$5*(Nodes!AM62)/('Off-Ramp'!L248*AB248)</f>
        <v>#DIV/0!</v>
      </c>
      <c r="X63" s="53" t="e">
        <f>X62+ATM_Conf!$C$5*(Nodes!AN62)/('Off-Ramp'!M248*AC248)</f>
        <v>#DIV/0!</v>
      </c>
      <c r="Y63" s="53" t="e">
        <f>Y62+ATM_Conf!$C$5*(Nodes!AO62)/('Off-Ramp'!N248*AD248)</f>
        <v>#DIV/0!</v>
      </c>
      <c r="Z63" s="53" t="e">
        <f>Z62+ATM_Conf!$C$5*(Nodes!AP62)/('Off-Ramp'!O248*AE248)</f>
        <v>#DIV/0!</v>
      </c>
      <c r="AA63" s="53" t="e">
        <f>AA62+ATM_Conf!$C$5*(Nodes!AQ62)/('Off-Ramp'!P248*AF248)</f>
        <v>#DIV/0!</v>
      </c>
    </row>
    <row r="64" spans="1:27" x14ac:dyDescent="0.15">
      <c r="A64" s="46">
        <v>62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53" t="e">
        <f t="shared" si="9"/>
        <v>#DIV/0!</v>
      </c>
      <c r="M64" s="53" t="e">
        <f t="shared" si="10"/>
        <v>#DIV/0!</v>
      </c>
      <c r="N64" s="53" t="e">
        <f t="shared" si="11"/>
        <v>#DIV/0!</v>
      </c>
      <c r="O64" s="53" t="e">
        <f t="shared" si="12"/>
        <v>#DIV/0!</v>
      </c>
      <c r="P64" s="69"/>
      <c r="Q64" s="69"/>
      <c r="R64" s="53" t="e">
        <f t="shared" si="13"/>
        <v>#DIV/0!</v>
      </c>
      <c r="S64" s="53" t="e">
        <f t="shared" si="14"/>
        <v>#DIV/0!</v>
      </c>
      <c r="T64" s="53" t="e">
        <f t="shared" si="15"/>
        <v>#DIV/0!</v>
      </c>
      <c r="U64" s="53" t="e">
        <f t="shared" si="8"/>
        <v>#DIV/0!</v>
      </c>
      <c r="V64" s="53" t="e">
        <f>V63+ATM_Conf!$C$5*(Nodes!AL63)/('Off-Ramp'!K249*AA249)</f>
        <v>#DIV/0!</v>
      </c>
      <c r="W64" s="53" t="e">
        <f>W63+ATM_Conf!$C$5*(Nodes!AM63)/('Off-Ramp'!L249*AB249)</f>
        <v>#DIV/0!</v>
      </c>
      <c r="X64" s="53" t="e">
        <f>X63+ATM_Conf!$C$5*(Nodes!AN63)/('Off-Ramp'!M249*AC249)</f>
        <v>#DIV/0!</v>
      </c>
      <c r="Y64" s="53" t="e">
        <f>Y63+ATM_Conf!$C$5*(Nodes!AO63)/('Off-Ramp'!N249*AD249)</f>
        <v>#DIV/0!</v>
      </c>
      <c r="Z64" s="53" t="e">
        <f>Z63+ATM_Conf!$C$5*(Nodes!AP63)/('Off-Ramp'!O249*AE249)</f>
        <v>#DIV/0!</v>
      </c>
      <c r="AA64" s="53" t="e">
        <f>AA63+ATM_Conf!$C$5*(Nodes!AQ63)/('Off-Ramp'!P249*AF249)</f>
        <v>#DIV/0!</v>
      </c>
    </row>
    <row r="65" spans="1:27" x14ac:dyDescent="0.15">
      <c r="A65" s="46">
        <v>63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53" t="e">
        <f t="shared" si="9"/>
        <v>#DIV/0!</v>
      </c>
      <c r="M65" s="53" t="e">
        <f t="shared" si="10"/>
        <v>#DIV/0!</v>
      </c>
      <c r="N65" s="53" t="e">
        <f t="shared" si="11"/>
        <v>#DIV/0!</v>
      </c>
      <c r="O65" s="53" t="e">
        <f t="shared" si="12"/>
        <v>#DIV/0!</v>
      </c>
      <c r="P65" s="69"/>
      <c r="Q65" s="69"/>
      <c r="R65" s="53" t="e">
        <f t="shared" si="13"/>
        <v>#DIV/0!</v>
      </c>
      <c r="S65" s="53" t="e">
        <f t="shared" si="14"/>
        <v>#DIV/0!</v>
      </c>
      <c r="T65" s="53" t="e">
        <f t="shared" si="15"/>
        <v>#DIV/0!</v>
      </c>
      <c r="U65" s="53" t="e">
        <f t="shared" si="8"/>
        <v>#DIV/0!</v>
      </c>
      <c r="V65" s="53" t="e">
        <f>V64+ATM_Conf!$C$5*(Nodes!AL64)/('Off-Ramp'!K250*AA250)</f>
        <v>#DIV/0!</v>
      </c>
      <c r="W65" s="53" t="e">
        <f>W64+ATM_Conf!$C$5*(Nodes!AM64)/('Off-Ramp'!L250*AB250)</f>
        <v>#DIV/0!</v>
      </c>
      <c r="X65" s="53" t="e">
        <f>X64+ATM_Conf!$C$5*(Nodes!AN64)/('Off-Ramp'!M250*AC250)</f>
        <v>#DIV/0!</v>
      </c>
      <c r="Y65" s="53" t="e">
        <f>Y64+ATM_Conf!$C$5*(Nodes!AO64)/('Off-Ramp'!N250*AD250)</f>
        <v>#DIV/0!</v>
      </c>
      <c r="Z65" s="53" t="e">
        <f>Z64+ATM_Conf!$C$5*(Nodes!AP64)/('Off-Ramp'!O250*AE250)</f>
        <v>#DIV/0!</v>
      </c>
      <c r="AA65" s="53" t="e">
        <f>AA64+ATM_Conf!$C$5*(Nodes!AQ64)/('Off-Ramp'!P250*AF250)</f>
        <v>#DIV/0!</v>
      </c>
    </row>
    <row r="66" spans="1:27" x14ac:dyDescent="0.15">
      <c r="A66" s="46">
        <v>64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53" t="e">
        <f t="shared" si="9"/>
        <v>#DIV/0!</v>
      </c>
      <c r="M66" s="53" t="e">
        <f t="shared" si="10"/>
        <v>#DIV/0!</v>
      </c>
      <c r="N66" s="53" t="e">
        <f t="shared" si="11"/>
        <v>#DIV/0!</v>
      </c>
      <c r="O66" s="53" t="e">
        <f t="shared" si="12"/>
        <v>#DIV/0!</v>
      </c>
      <c r="P66" s="69"/>
      <c r="Q66" s="69"/>
      <c r="R66" s="53" t="e">
        <f t="shared" si="13"/>
        <v>#DIV/0!</v>
      </c>
      <c r="S66" s="53" t="e">
        <f t="shared" si="14"/>
        <v>#DIV/0!</v>
      </c>
      <c r="T66" s="53" t="e">
        <f t="shared" si="15"/>
        <v>#DIV/0!</v>
      </c>
      <c r="U66" s="53" t="e">
        <f t="shared" si="8"/>
        <v>#DIV/0!</v>
      </c>
      <c r="V66" s="53" t="e">
        <f>V65+ATM_Conf!$C$5*(Nodes!AL65)/('Off-Ramp'!K251*AA251)</f>
        <v>#DIV/0!</v>
      </c>
      <c r="W66" s="53" t="e">
        <f>W65+ATM_Conf!$C$5*(Nodes!AM65)/('Off-Ramp'!L251*AB251)</f>
        <v>#DIV/0!</v>
      </c>
      <c r="X66" s="53" t="e">
        <f>X65+ATM_Conf!$C$5*(Nodes!AN65)/('Off-Ramp'!M251*AC251)</f>
        <v>#DIV/0!</v>
      </c>
      <c r="Y66" s="53" t="e">
        <f>Y65+ATM_Conf!$C$5*(Nodes!AO65)/('Off-Ramp'!N251*AD251)</f>
        <v>#DIV/0!</v>
      </c>
      <c r="Z66" s="53" t="e">
        <f>Z65+ATM_Conf!$C$5*(Nodes!AP65)/('Off-Ramp'!O251*AE251)</f>
        <v>#DIV/0!</v>
      </c>
      <c r="AA66" s="53" t="e">
        <f>AA65+ATM_Conf!$C$5*(Nodes!AQ65)/('Off-Ramp'!P251*AF251)</f>
        <v>#DIV/0!</v>
      </c>
    </row>
    <row r="67" spans="1:27" x14ac:dyDescent="0.15">
      <c r="A67" s="46">
        <v>65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53" t="e">
        <f t="shared" si="9"/>
        <v>#DIV/0!</v>
      </c>
      <c r="M67" s="53" t="e">
        <f t="shared" si="10"/>
        <v>#DIV/0!</v>
      </c>
      <c r="N67" s="53" t="e">
        <f t="shared" si="11"/>
        <v>#DIV/0!</v>
      </c>
      <c r="O67" s="53" t="e">
        <f t="shared" si="12"/>
        <v>#DIV/0!</v>
      </c>
      <c r="P67" s="69"/>
      <c r="Q67" s="69"/>
      <c r="R67" s="53" t="e">
        <f t="shared" si="13"/>
        <v>#DIV/0!</v>
      </c>
      <c r="S67" s="53" t="e">
        <f t="shared" si="14"/>
        <v>#DIV/0!</v>
      </c>
      <c r="T67" s="53" t="e">
        <f t="shared" si="15"/>
        <v>#DIV/0!</v>
      </c>
      <c r="U67" s="53" t="e">
        <f t="shared" si="8"/>
        <v>#DIV/0!</v>
      </c>
      <c r="V67" s="53" t="e">
        <f>V66+ATM_Conf!$C$5*(Nodes!AL66)/('Off-Ramp'!K252*AA252)</f>
        <v>#DIV/0!</v>
      </c>
      <c r="W67" s="53" t="e">
        <f>W66+ATM_Conf!$C$5*(Nodes!AM66)/('Off-Ramp'!L252*AB252)</f>
        <v>#DIV/0!</v>
      </c>
      <c r="X67" s="53" t="e">
        <f>X66+ATM_Conf!$C$5*(Nodes!AN66)/('Off-Ramp'!M252*AC252)</f>
        <v>#DIV/0!</v>
      </c>
      <c r="Y67" s="53" t="e">
        <f>Y66+ATM_Conf!$C$5*(Nodes!AO66)/('Off-Ramp'!N252*AD252)</f>
        <v>#DIV/0!</v>
      </c>
      <c r="Z67" s="53" t="e">
        <f>Z66+ATM_Conf!$C$5*(Nodes!AP66)/('Off-Ramp'!O252*AE252)</f>
        <v>#DIV/0!</v>
      </c>
      <c r="AA67" s="53" t="e">
        <f>AA66+ATM_Conf!$C$5*(Nodes!AQ66)/('Off-Ramp'!P252*AF252)</f>
        <v>#DIV/0!</v>
      </c>
    </row>
    <row r="68" spans="1:27" x14ac:dyDescent="0.15">
      <c r="A68" s="46">
        <v>66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53" t="e">
        <f t="shared" ref="L68:L99" si="16">B68/60/A$189</f>
        <v>#DIV/0!</v>
      </c>
      <c r="M68" s="53" t="e">
        <f t="shared" ref="M68:M99" si="17">C68/60/B$189</f>
        <v>#DIV/0!</v>
      </c>
      <c r="N68" s="53" t="e">
        <f t="shared" ref="N68:N99" si="18">D68/60/C$189</f>
        <v>#DIV/0!</v>
      </c>
      <c r="O68" s="53" t="e">
        <f t="shared" ref="O68:O99" si="19">E68/60/D$189</f>
        <v>#DIV/0!</v>
      </c>
      <c r="P68" s="69"/>
      <c r="Q68" s="69"/>
      <c r="R68" s="53" t="e">
        <f t="shared" ref="R68:R99" si="20">H68/60/G$189</f>
        <v>#DIV/0!</v>
      </c>
      <c r="S68" s="53" t="e">
        <f t="shared" ref="S68:S99" si="21">I68/60/H$189</f>
        <v>#DIV/0!</v>
      </c>
      <c r="T68" s="53" t="e">
        <f t="shared" ref="T68:T99" si="22">J68/60/I$189</f>
        <v>#DIV/0!</v>
      </c>
      <c r="U68" s="53" t="e">
        <f t="shared" ref="U68:U131" si="23">K68/60/J$189</f>
        <v>#DIV/0!</v>
      </c>
      <c r="V68" s="53" t="e">
        <f>V67+ATM_Conf!$C$5*(Nodes!AL67)/('Off-Ramp'!K253*AA253)</f>
        <v>#DIV/0!</v>
      </c>
      <c r="W68" s="53" t="e">
        <f>W67+ATM_Conf!$C$5*(Nodes!AM67)/('Off-Ramp'!L253*AB253)</f>
        <v>#DIV/0!</v>
      </c>
      <c r="X68" s="53" t="e">
        <f>X67+ATM_Conf!$C$5*(Nodes!AN67)/('Off-Ramp'!M253*AC253)</f>
        <v>#DIV/0!</v>
      </c>
      <c r="Y68" s="53" t="e">
        <f>Y67+ATM_Conf!$C$5*(Nodes!AO67)/('Off-Ramp'!N253*AD253)</f>
        <v>#DIV/0!</v>
      </c>
      <c r="Z68" s="53" t="e">
        <f>Z67+ATM_Conf!$C$5*(Nodes!AP67)/('Off-Ramp'!O253*AE253)</f>
        <v>#DIV/0!</v>
      </c>
      <c r="AA68" s="53" t="e">
        <f>AA67+ATM_Conf!$C$5*(Nodes!AQ67)/('Off-Ramp'!P253*AF253)</f>
        <v>#DIV/0!</v>
      </c>
    </row>
    <row r="69" spans="1:27" x14ac:dyDescent="0.15">
      <c r="A69" s="46">
        <v>67</v>
      </c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53" t="e">
        <f t="shared" si="16"/>
        <v>#DIV/0!</v>
      </c>
      <c r="M69" s="53" t="e">
        <f t="shared" si="17"/>
        <v>#DIV/0!</v>
      </c>
      <c r="N69" s="53" t="e">
        <f t="shared" si="18"/>
        <v>#DIV/0!</v>
      </c>
      <c r="O69" s="53" t="e">
        <f t="shared" si="19"/>
        <v>#DIV/0!</v>
      </c>
      <c r="P69" s="69"/>
      <c r="Q69" s="69"/>
      <c r="R69" s="53" t="e">
        <f t="shared" si="20"/>
        <v>#DIV/0!</v>
      </c>
      <c r="S69" s="53" t="e">
        <f t="shared" si="21"/>
        <v>#DIV/0!</v>
      </c>
      <c r="T69" s="53" t="e">
        <f t="shared" si="22"/>
        <v>#DIV/0!</v>
      </c>
      <c r="U69" s="53" t="e">
        <f t="shared" si="23"/>
        <v>#DIV/0!</v>
      </c>
      <c r="V69" s="53" t="e">
        <f>V68+ATM_Conf!$C$5*(Nodes!AL68)/('Off-Ramp'!K254*AA254)</f>
        <v>#DIV/0!</v>
      </c>
      <c r="W69" s="53" t="e">
        <f>W68+ATM_Conf!$C$5*(Nodes!AM68)/('Off-Ramp'!L254*AB254)</f>
        <v>#DIV/0!</v>
      </c>
      <c r="X69" s="53" t="e">
        <f>X68+ATM_Conf!$C$5*(Nodes!AN68)/('Off-Ramp'!M254*AC254)</f>
        <v>#DIV/0!</v>
      </c>
      <c r="Y69" s="53" t="e">
        <f>Y68+ATM_Conf!$C$5*(Nodes!AO68)/('Off-Ramp'!N254*AD254)</f>
        <v>#DIV/0!</v>
      </c>
      <c r="Z69" s="53" t="e">
        <f>Z68+ATM_Conf!$C$5*(Nodes!AP68)/('Off-Ramp'!O254*AE254)</f>
        <v>#DIV/0!</v>
      </c>
      <c r="AA69" s="53" t="e">
        <f>AA68+ATM_Conf!$C$5*(Nodes!AQ68)/('Off-Ramp'!P254*AF254)</f>
        <v>#DIV/0!</v>
      </c>
    </row>
    <row r="70" spans="1:27" x14ac:dyDescent="0.15">
      <c r="A70" s="46">
        <v>68</v>
      </c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53" t="e">
        <f t="shared" si="16"/>
        <v>#DIV/0!</v>
      </c>
      <c r="M70" s="53" t="e">
        <f t="shared" si="17"/>
        <v>#DIV/0!</v>
      </c>
      <c r="N70" s="53" t="e">
        <f t="shared" si="18"/>
        <v>#DIV/0!</v>
      </c>
      <c r="O70" s="53" t="e">
        <f t="shared" si="19"/>
        <v>#DIV/0!</v>
      </c>
      <c r="P70" s="69"/>
      <c r="Q70" s="69"/>
      <c r="R70" s="53" t="e">
        <f t="shared" si="20"/>
        <v>#DIV/0!</v>
      </c>
      <c r="S70" s="53" t="e">
        <f t="shared" si="21"/>
        <v>#DIV/0!</v>
      </c>
      <c r="T70" s="53" t="e">
        <f t="shared" si="22"/>
        <v>#DIV/0!</v>
      </c>
      <c r="U70" s="53" t="e">
        <f t="shared" si="23"/>
        <v>#DIV/0!</v>
      </c>
      <c r="V70" s="53" t="e">
        <f>V69+ATM_Conf!$C$5*(Nodes!AL69)/('Off-Ramp'!K255*AA255)</f>
        <v>#DIV/0!</v>
      </c>
      <c r="W70" s="53" t="e">
        <f>W69+ATM_Conf!$C$5*(Nodes!AM69)/('Off-Ramp'!L255*AB255)</f>
        <v>#DIV/0!</v>
      </c>
      <c r="X70" s="53" t="e">
        <f>X69+ATM_Conf!$C$5*(Nodes!AN69)/('Off-Ramp'!M255*AC255)</f>
        <v>#DIV/0!</v>
      </c>
      <c r="Y70" s="53" t="e">
        <f>Y69+ATM_Conf!$C$5*(Nodes!AO69)/('Off-Ramp'!N255*AD255)</f>
        <v>#DIV/0!</v>
      </c>
      <c r="Z70" s="53" t="e">
        <f>Z69+ATM_Conf!$C$5*(Nodes!AP69)/('Off-Ramp'!O255*AE255)</f>
        <v>#DIV/0!</v>
      </c>
      <c r="AA70" s="53" t="e">
        <f>AA69+ATM_Conf!$C$5*(Nodes!AQ69)/('Off-Ramp'!P255*AF255)</f>
        <v>#DIV/0!</v>
      </c>
    </row>
    <row r="71" spans="1:27" x14ac:dyDescent="0.15">
      <c r="A71" s="46">
        <v>69</v>
      </c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53" t="e">
        <f t="shared" si="16"/>
        <v>#DIV/0!</v>
      </c>
      <c r="M71" s="53" t="e">
        <f t="shared" si="17"/>
        <v>#DIV/0!</v>
      </c>
      <c r="N71" s="53" t="e">
        <f t="shared" si="18"/>
        <v>#DIV/0!</v>
      </c>
      <c r="O71" s="53" t="e">
        <f t="shared" si="19"/>
        <v>#DIV/0!</v>
      </c>
      <c r="P71" s="69"/>
      <c r="Q71" s="69"/>
      <c r="R71" s="53" t="e">
        <f t="shared" si="20"/>
        <v>#DIV/0!</v>
      </c>
      <c r="S71" s="53" t="e">
        <f t="shared" si="21"/>
        <v>#DIV/0!</v>
      </c>
      <c r="T71" s="53" t="e">
        <f t="shared" si="22"/>
        <v>#DIV/0!</v>
      </c>
      <c r="U71" s="53" t="e">
        <f t="shared" si="23"/>
        <v>#DIV/0!</v>
      </c>
      <c r="V71" s="53" t="e">
        <f>V70+ATM_Conf!$C$5*(Nodes!AL70)/('Off-Ramp'!K256*AA256)</f>
        <v>#DIV/0!</v>
      </c>
      <c r="W71" s="53" t="e">
        <f>W70+ATM_Conf!$C$5*(Nodes!AM70)/('Off-Ramp'!L256*AB256)</f>
        <v>#DIV/0!</v>
      </c>
      <c r="X71" s="53" t="e">
        <f>X70+ATM_Conf!$C$5*(Nodes!AN70)/('Off-Ramp'!M256*AC256)</f>
        <v>#DIV/0!</v>
      </c>
      <c r="Y71" s="53" t="e">
        <f>Y70+ATM_Conf!$C$5*(Nodes!AO70)/('Off-Ramp'!N256*AD256)</f>
        <v>#DIV/0!</v>
      </c>
      <c r="Z71" s="53" t="e">
        <f>Z70+ATM_Conf!$C$5*(Nodes!AP70)/('Off-Ramp'!O256*AE256)</f>
        <v>#DIV/0!</v>
      </c>
      <c r="AA71" s="53" t="e">
        <f>AA70+ATM_Conf!$C$5*(Nodes!AQ70)/('Off-Ramp'!P256*AF256)</f>
        <v>#DIV/0!</v>
      </c>
    </row>
    <row r="72" spans="1:27" x14ac:dyDescent="0.15">
      <c r="A72" s="46">
        <v>70</v>
      </c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53" t="e">
        <f t="shared" si="16"/>
        <v>#DIV/0!</v>
      </c>
      <c r="M72" s="53" t="e">
        <f t="shared" si="17"/>
        <v>#DIV/0!</v>
      </c>
      <c r="N72" s="53" t="e">
        <f t="shared" si="18"/>
        <v>#DIV/0!</v>
      </c>
      <c r="O72" s="53" t="e">
        <f t="shared" si="19"/>
        <v>#DIV/0!</v>
      </c>
      <c r="P72" s="69"/>
      <c r="Q72" s="69"/>
      <c r="R72" s="53" t="e">
        <f t="shared" si="20"/>
        <v>#DIV/0!</v>
      </c>
      <c r="S72" s="53" t="e">
        <f t="shared" si="21"/>
        <v>#DIV/0!</v>
      </c>
      <c r="T72" s="53" t="e">
        <f t="shared" si="22"/>
        <v>#DIV/0!</v>
      </c>
      <c r="U72" s="53" t="e">
        <f t="shared" si="23"/>
        <v>#DIV/0!</v>
      </c>
      <c r="V72" s="53" t="e">
        <f>V71+ATM_Conf!$C$5*(Nodes!AL71)/('Off-Ramp'!K257*AA257)</f>
        <v>#DIV/0!</v>
      </c>
      <c r="W72" s="53" t="e">
        <f>W71+ATM_Conf!$C$5*(Nodes!AM71)/('Off-Ramp'!L257*AB257)</f>
        <v>#DIV/0!</v>
      </c>
      <c r="X72" s="53" t="e">
        <f>X71+ATM_Conf!$C$5*(Nodes!AN71)/('Off-Ramp'!M257*AC257)</f>
        <v>#DIV/0!</v>
      </c>
      <c r="Y72" s="53" t="e">
        <f>Y71+ATM_Conf!$C$5*(Nodes!AO71)/('Off-Ramp'!N257*AD257)</f>
        <v>#DIV/0!</v>
      </c>
      <c r="Z72" s="53" t="e">
        <f>Z71+ATM_Conf!$C$5*(Nodes!AP71)/('Off-Ramp'!O257*AE257)</f>
        <v>#DIV/0!</v>
      </c>
      <c r="AA72" s="53" t="e">
        <f>AA71+ATM_Conf!$C$5*(Nodes!AQ71)/('Off-Ramp'!P257*AF257)</f>
        <v>#DIV/0!</v>
      </c>
    </row>
    <row r="73" spans="1:27" x14ac:dyDescent="0.15">
      <c r="A73" s="46">
        <v>71</v>
      </c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53" t="e">
        <f t="shared" si="16"/>
        <v>#DIV/0!</v>
      </c>
      <c r="M73" s="53" t="e">
        <f t="shared" si="17"/>
        <v>#DIV/0!</v>
      </c>
      <c r="N73" s="53" t="e">
        <f t="shared" si="18"/>
        <v>#DIV/0!</v>
      </c>
      <c r="O73" s="53" t="e">
        <f t="shared" si="19"/>
        <v>#DIV/0!</v>
      </c>
      <c r="P73" s="69"/>
      <c r="Q73" s="69"/>
      <c r="R73" s="53" t="e">
        <f t="shared" si="20"/>
        <v>#DIV/0!</v>
      </c>
      <c r="S73" s="53" t="e">
        <f t="shared" si="21"/>
        <v>#DIV/0!</v>
      </c>
      <c r="T73" s="53" t="e">
        <f t="shared" si="22"/>
        <v>#DIV/0!</v>
      </c>
      <c r="U73" s="53" t="e">
        <f t="shared" si="23"/>
        <v>#DIV/0!</v>
      </c>
      <c r="V73" s="53" t="e">
        <f>V72+ATM_Conf!$C$5*(Nodes!AL72)/('Off-Ramp'!K258*AA258)</f>
        <v>#DIV/0!</v>
      </c>
      <c r="W73" s="53" t="e">
        <f>W72+ATM_Conf!$C$5*(Nodes!AM72)/('Off-Ramp'!L258*AB258)</f>
        <v>#DIV/0!</v>
      </c>
      <c r="X73" s="53" t="e">
        <f>X72+ATM_Conf!$C$5*(Nodes!AN72)/('Off-Ramp'!M258*AC258)</f>
        <v>#DIV/0!</v>
      </c>
      <c r="Y73" s="53" t="e">
        <f>Y72+ATM_Conf!$C$5*(Nodes!AO72)/('Off-Ramp'!N258*AD258)</f>
        <v>#DIV/0!</v>
      </c>
      <c r="Z73" s="53" t="e">
        <f>Z72+ATM_Conf!$C$5*(Nodes!AP72)/('Off-Ramp'!O258*AE258)</f>
        <v>#DIV/0!</v>
      </c>
      <c r="AA73" s="53" t="e">
        <f>AA72+ATM_Conf!$C$5*(Nodes!AQ72)/('Off-Ramp'!P258*AF258)</f>
        <v>#DIV/0!</v>
      </c>
    </row>
    <row r="74" spans="1:27" x14ac:dyDescent="0.15">
      <c r="A74" s="46">
        <v>72</v>
      </c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53" t="e">
        <f t="shared" si="16"/>
        <v>#DIV/0!</v>
      </c>
      <c r="M74" s="53" t="e">
        <f t="shared" si="17"/>
        <v>#DIV/0!</v>
      </c>
      <c r="N74" s="53" t="e">
        <f t="shared" si="18"/>
        <v>#DIV/0!</v>
      </c>
      <c r="O74" s="53" t="e">
        <f t="shared" si="19"/>
        <v>#DIV/0!</v>
      </c>
      <c r="P74" s="69"/>
      <c r="Q74" s="69"/>
      <c r="R74" s="53" t="e">
        <f t="shared" si="20"/>
        <v>#DIV/0!</v>
      </c>
      <c r="S74" s="53" t="e">
        <f t="shared" si="21"/>
        <v>#DIV/0!</v>
      </c>
      <c r="T74" s="53" t="e">
        <f t="shared" si="22"/>
        <v>#DIV/0!</v>
      </c>
      <c r="U74" s="53" t="e">
        <f t="shared" si="23"/>
        <v>#DIV/0!</v>
      </c>
      <c r="V74" s="53" t="e">
        <f>V73+ATM_Conf!$C$5*(Nodes!AL73)/('Off-Ramp'!K259*AA259)</f>
        <v>#DIV/0!</v>
      </c>
      <c r="W74" s="53" t="e">
        <f>W73+ATM_Conf!$C$5*(Nodes!AM73)/('Off-Ramp'!L259*AB259)</f>
        <v>#DIV/0!</v>
      </c>
      <c r="X74" s="53" t="e">
        <f>X73+ATM_Conf!$C$5*(Nodes!AN73)/('Off-Ramp'!M259*AC259)</f>
        <v>#DIV/0!</v>
      </c>
      <c r="Y74" s="53" t="e">
        <f>Y73+ATM_Conf!$C$5*(Nodes!AO73)/('Off-Ramp'!N259*AD259)</f>
        <v>#DIV/0!</v>
      </c>
      <c r="Z74" s="53" t="e">
        <f>Z73+ATM_Conf!$C$5*(Nodes!AP73)/('Off-Ramp'!O259*AE259)</f>
        <v>#DIV/0!</v>
      </c>
      <c r="AA74" s="53" t="e">
        <f>AA73+ATM_Conf!$C$5*(Nodes!AQ73)/('Off-Ramp'!P259*AF259)</f>
        <v>#DIV/0!</v>
      </c>
    </row>
    <row r="75" spans="1:27" x14ac:dyDescent="0.15">
      <c r="A75" s="46">
        <v>73</v>
      </c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53" t="e">
        <f t="shared" si="16"/>
        <v>#DIV/0!</v>
      </c>
      <c r="M75" s="53" t="e">
        <f t="shared" si="17"/>
        <v>#DIV/0!</v>
      </c>
      <c r="N75" s="53" t="e">
        <f t="shared" si="18"/>
        <v>#DIV/0!</v>
      </c>
      <c r="O75" s="53" t="e">
        <f t="shared" si="19"/>
        <v>#DIV/0!</v>
      </c>
      <c r="P75" s="69"/>
      <c r="Q75" s="69"/>
      <c r="R75" s="53" t="e">
        <f t="shared" si="20"/>
        <v>#DIV/0!</v>
      </c>
      <c r="S75" s="53" t="e">
        <f t="shared" si="21"/>
        <v>#DIV/0!</v>
      </c>
      <c r="T75" s="53" t="e">
        <f t="shared" si="22"/>
        <v>#DIV/0!</v>
      </c>
      <c r="U75" s="53" t="e">
        <f t="shared" si="23"/>
        <v>#DIV/0!</v>
      </c>
      <c r="V75" s="53" t="e">
        <f>V74+ATM_Conf!$C$5*(Nodes!AL74)/('Off-Ramp'!K260*AA260)</f>
        <v>#DIV/0!</v>
      </c>
      <c r="W75" s="53" t="e">
        <f>W74+ATM_Conf!$C$5*(Nodes!AM74)/('Off-Ramp'!L260*AB260)</f>
        <v>#DIV/0!</v>
      </c>
      <c r="X75" s="53" t="e">
        <f>X74+ATM_Conf!$C$5*(Nodes!AN74)/('Off-Ramp'!M260*AC260)</f>
        <v>#DIV/0!</v>
      </c>
      <c r="Y75" s="53" t="e">
        <f>Y74+ATM_Conf!$C$5*(Nodes!AO74)/('Off-Ramp'!N260*AD260)</f>
        <v>#DIV/0!</v>
      </c>
      <c r="Z75" s="53" t="e">
        <f>Z74+ATM_Conf!$C$5*(Nodes!AP74)/('Off-Ramp'!O260*AE260)</f>
        <v>#DIV/0!</v>
      </c>
      <c r="AA75" s="53" t="e">
        <f>AA74+ATM_Conf!$C$5*(Nodes!AQ74)/('Off-Ramp'!P260*AF260)</f>
        <v>#DIV/0!</v>
      </c>
    </row>
    <row r="76" spans="1:27" x14ac:dyDescent="0.15">
      <c r="A76" s="46">
        <v>74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53" t="e">
        <f t="shared" si="16"/>
        <v>#DIV/0!</v>
      </c>
      <c r="M76" s="53" t="e">
        <f t="shared" si="17"/>
        <v>#DIV/0!</v>
      </c>
      <c r="N76" s="53" t="e">
        <f t="shared" si="18"/>
        <v>#DIV/0!</v>
      </c>
      <c r="O76" s="53" t="e">
        <f t="shared" si="19"/>
        <v>#DIV/0!</v>
      </c>
      <c r="P76" s="69"/>
      <c r="Q76" s="69"/>
      <c r="R76" s="53" t="e">
        <f t="shared" si="20"/>
        <v>#DIV/0!</v>
      </c>
      <c r="S76" s="53" t="e">
        <f t="shared" si="21"/>
        <v>#DIV/0!</v>
      </c>
      <c r="T76" s="53" t="e">
        <f t="shared" si="22"/>
        <v>#DIV/0!</v>
      </c>
      <c r="U76" s="53" t="e">
        <f t="shared" si="23"/>
        <v>#DIV/0!</v>
      </c>
      <c r="V76" s="53" t="e">
        <f>V75+ATM_Conf!$C$5*(Nodes!AL75)/('Off-Ramp'!K261*AA261)</f>
        <v>#DIV/0!</v>
      </c>
      <c r="W76" s="53" t="e">
        <f>W75+ATM_Conf!$C$5*(Nodes!AM75)/('Off-Ramp'!L261*AB261)</f>
        <v>#DIV/0!</v>
      </c>
      <c r="X76" s="53" t="e">
        <f>X75+ATM_Conf!$C$5*(Nodes!AN75)/('Off-Ramp'!M261*AC261)</f>
        <v>#DIV/0!</v>
      </c>
      <c r="Y76" s="53" t="e">
        <f>Y75+ATM_Conf!$C$5*(Nodes!AO75)/('Off-Ramp'!N261*AD261)</f>
        <v>#DIV/0!</v>
      </c>
      <c r="Z76" s="53" t="e">
        <f>Z75+ATM_Conf!$C$5*(Nodes!AP75)/('Off-Ramp'!O261*AE261)</f>
        <v>#DIV/0!</v>
      </c>
      <c r="AA76" s="53" t="e">
        <f>AA75+ATM_Conf!$C$5*(Nodes!AQ75)/('Off-Ramp'!P261*AF261)</f>
        <v>#DIV/0!</v>
      </c>
    </row>
    <row r="77" spans="1:27" x14ac:dyDescent="0.15">
      <c r="A77" s="46">
        <v>75</v>
      </c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53" t="e">
        <f t="shared" si="16"/>
        <v>#DIV/0!</v>
      </c>
      <c r="M77" s="53" t="e">
        <f t="shared" si="17"/>
        <v>#DIV/0!</v>
      </c>
      <c r="N77" s="53" t="e">
        <f t="shared" si="18"/>
        <v>#DIV/0!</v>
      </c>
      <c r="O77" s="53" t="e">
        <f t="shared" si="19"/>
        <v>#DIV/0!</v>
      </c>
      <c r="P77" s="69"/>
      <c r="Q77" s="69"/>
      <c r="R77" s="53" t="e">
        <f t="shared" si="20"/>
        <v>#DIV/0!</v>
      </c>
      <c r="S77" s="53" t="e">
        <f t="shared" si="21"/>
        <v>#DIV/0!</v>
      </c>
      <c r="T77" s="53" t="e">
        <f t="shared" si="22"/>
        <v>#DIV/0!</v>
      </c>
      <c r="U77" s="53" t="e">
        <f t="shared" si="23"/>
        <v>#DIV/0!</v>
      </c>
      <c r="V77" s="53" t="e">
        <f>V76+ATM_Conf!$C$5*(Nodes!AL76)/('Off-Ramp'!K262*AA262)</f>
        <v>#DIV/0!</v>
      </c>
      <c r="W77" s="53" t="e">
        <f>W76+ATM_Conf!$C$5*(Nodes!AM76)/('Off-Ramp'!L262*AB262)</f>
        <v>#DIV/0!</v>
      </c>
      <c r="X77" s="53" t="e">
        <f>X76+ATM_Conf!$C$5*(Nodes!AN76)/('Off-Ramp'!M262*AC262)</f>
        <v>#DIV/0!</v>
      </c>
      <c r="Y77" s="53" t="e">
        <f>Y76+ATM_Conf!$C$5*(Nodes!AO76)/('Off-Ramp'!N262*AD262)</f>
        <v>#DIV/0!</v>
      </c>
      <c r="Z77" s="53" t="e">
        <f>Z76+ATM_Conf!$C$5*(Nodes!AP76)/('Off-Ramp'!O262*AE262)</f>
        <v>#DIV/0!</v>
      </c>
      <c r="AA77" s="53" t="e">
        <f>AA76+ATM_Conf!$C$5*(Nodes!AQ76)/('Off-Ramp'!P262*AF262)</f>
        <v>#DIV/0!</v>
      </c>
    </row>
    <row r="78" spans="1:27" x14ac:dyDescent="0.15">
      <c r="A78" s="46">
        <v>76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53" t="e">
        <f t="shared" si="16"/>
        <v>#DIV/0!</v>
      </c>
      <c r="M78" s="53" t="e">
        <f t="shared" si="17"/>
        <v>#DIV/0!</v>
      </c>
      <c r="N78" s="53" t="e">
        <f t="shared" si="18"/>
        <v>#DIV/0!</v>
      </c>
      <c r="O78" s="53" t="e">
        <f t="shared" si="19"/>
        <v>#DIV/0!</v>
      </c>
      <c r="P78" s="69"/>
      <c r="Q78" s="69"/>
      <c r="R78" s="53" t="e">
        <f t="shared" si="20"/>
        <v>#DIV/0!</v>
      </c>
      <c r="S78" s="53" t="e">
        <f t="shared" si="21"/>
        <v>#DIV/0!</v>
      </c>
      <c r="T78" s="53" t="e">
        <f t="shared" si="22"/>
        <v>#DIV/0!</v>
      </c>
      <c r="U78" s="53" t="e">
        <f t="shared" si="23"/>
        <v>#DIV/0!</v>
      </c>
      <c r="V78" s="53" t="e">
        <f>V77+ATM_Conf!$C$5*(Nodes!AL77)/('Off-Ramp'!K263*AA263)</f>
        <v>#DIV/0!</v>
      </c>
      <c r="W78" s="53" t="e">
        <f>W77+ATM_Conf!$C$5*(Nodes!AM77)/('Off-Ramp'!L263*AB263)</f>
        <v>#DIV/0!</v>
      </c>
      <c r="X78" s="53" t="e">
        <f>X77+ATM_Conf!$C$5*(Nodes!AN77)/('Off-Ramp'!M263*AC263)</f>
        <v>#DIV/0!</v>
      </c>
      <c r="Y78" s="53" t="e">
        <f>Y77+ATM_Conf!$C$5*(Nodes!AO77)/('Off-Ramp'!N263*AD263)</f>
        <v>#DIV/0!</v>
      </c>
      <c r="Z78" s="53" t="e">
        <f>Z77+ATM_Conf!$C$5*(Nodes!AP77)/('Off-Ramp'!O263*AE263)</f>
        <v>#DIV/0!</v>
      </c>
      <c r="AA78" s="53" t="e">
        <f>AA77+ATM_Conf!$C$5*(Nodes!AQ77)/('Off-Ramp'!P263*AF263)</f>
        <v>#DIV/0!</v>
      </c>
    </row>
    <row r="79" spans="1:27" x14ac:dyDescent="0.15">
      <c r="A79" s="46">
        <v>77</v>
      </c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53" t="e">
        <f t="shared" si="16"/>
        <v>#DIV/0!</v>
      </c>
      <c r="M79" s="53" t="e">
        <f t="shared" si="17"/>
        <v>#DIV/0!</v>
      </c>
      <c r="N79" s="53" t="e">
        <f t="shared" si="18"/>
        <v>#DIV/0!</v>
      </c>
      <c r="O79" s="53" t="e">
        <f t="shared" si="19"/>
        <v>#DIV/0!</v>
      </c>
      <c r="P79" s="69"/>
      <c r="Q79" s="69"/>
      <c r="R79" s="53" t="e">
        <f t="shared" si="20"/>
        <v>#DIV/0!</v>
      </c>
      <c r="S79" s="53" t="e">
        <f t="shared" si="21"/>
        <v>#DIV/0!</v>
      </c>
      <c r="T79" s="53" t="e">
        <f t="shared" si="22"/>
        <v>#DIV/0!</v>
      </c>
      <c r="U79" s="53" t="e">
        <f t="shared" si="23"/>
        <v>#DIV/0!</v>
      </c>
      <c r="V79" s="53" t="e">
        <f>V78+ATM_Conf!$C$5*(Nodes!AL78)/('Off-Ramp'!K264*AA264)</f>
        <v>#DIV/0!</v>
      </c>
      <c r="W79" s="53" t="e">
        <f>W78+ATM_Conf!$C$5*(Nodes!AM78)/('Off-Ramp'!L264*AB264)</f>
        <v>#DIV/0!</v>
      </c>
      <c r="X79" s="53" t="e">
        <f>X78+ATM_Conf!$C$5*(Nodes!AN78)/('Off-Ramp'!M264*AC264)</f>
        <v>#DIV/0!</v>
      </c>
      <c r="Y79" s="53" t="e">
        <f>Y78+ATM_Conf!$C$5*(Nodes!AO78)/('Off-Ramp'!N264*AD264)</f>
        <v>#DIV/0!</v>
      </c>
      <c r="Z79" s="53" t="e">
        <f>Z78+ATM_Conf!$C$5*(Nodes!AP78)/('Off-Ramp'!O264*AE264)</f>
        <v>#DIV/0!</v>
      </c>
      <c r="AA79" s="53" t="e">
        <f>AA78+ATM_Conf!$C$5*(Nodes!AQ78)/('Off-Ramp'!P264*AF264)</f>
        <v>#DIV/0!</v>
      </c>
    </row>
    <row r="80" spans="1:27" x14ac:dyDescent="0.15">
      <c r="A80" s="46">
        <v>78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53" t="e">
        <f t="shared" si="16"/>
        <v>#DIV/0!</v>
      </c>
      <c r="M80" s="53" t="e">
        <f t="shared" si="17"/>
        <v>#DIV/0!</v>
      </c>
      <c r="N80" s="53" t="e">
        <f t="shared" si="18"/>
        <v>#DIV/0!</v>
      </c>
      <c r="O80" s="53" t="e">
        <f t="shared" si="19"/>
        <v>#DIV/0!</v>
      </c>
      <c r="P80" s="69"/>
      <c r="Q80" s="69"/>
      <c r="R80" s="53" t="e">
        <f t="shared" si="20"/>
        <v>#DIV/0!</v>
      </c>
      <c r="S80" s="53" t="e">
        <f t="shared" si="21"/>
        <v>#DIV/0!</v>
      </c>
      <c r="T80" s="53" t="e">
        <f t="shared" si="22"/>
        <v>#DIV/0!</v>
      </c>
      <c r="U80" s="53" t="e">
        <f t="shared" si="23"/>
        <v>#DIV/0!</v>
      </c>
      <c r="V80" s="53" t="e">
        <f>V79+ATM_Conf!$C$5*(Nodes!AL79)/('Off-Ramp'!K265*AA265)</f>
        <v>#DIV/0!</v>
      </c>
      <c r="W80" s="53" t="e">
        <f>W79+ATM_Conf!$C$5*(Nodes!AM79)/('Off-Ramp'!L265*AB265)</f>
        <v>#DIV/0!</v>
      </c>
      <c r="X80" s="53" t="e">
        <f>X79+ATM_Conf!$C$5*(Nodes!AN79)/('Off-Ramp'!M265*AC265)</f>
        <v>#DIV/0!</v>
      </c>
      <c r="Y80" s="53" t="e">
        <f>Y79+ATM_Conf!$C$5*(Nodes!AO79)/('Off-Ramp'!N265*AD265)</f>
        <v>#DIV/0!</v>
      </c>
      <c r="Z80" s="53" t="e">
        <f>Z79+ATM_Conf!$C$5*(Nodes!AP79)/('Off-Ramp'!O265*AE265)</f>
        <v>#DIV/0!</v>
      </c>
      <c r="AA80" s="53" t="e">
        <f>AA79+ATM_Conf!$C$5*(Nodes!AQ79)/('Off-Ramp'!P265*AF265)</f>
        <v>#DIV/0!</v>
      </c>
    </row>
    <row r="81" spans="1:27" x14ac:dyDescent="0.15">
      <c r="A81" s="46">
        <v>79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53" t="e">
        <f t="shared" si="16"/>
        <v>#DIV/0!</v>
      </c>
      <c r="M81" s="53" t="e">
        <f t="shared" si="17"/>
        <v>#DIV/0!</v>
      </c>
      <c r="N81" s="53" t="e">
        <f t="shared" si="18"/>
        <v>#DIV/0!</v>
      </c>
      <c r="O81" s="53" t="e">
        <f t="shared" si="19"/>
        <v>#DIV/0!</v>
      </c>
      <c r="P81" s="69"/>
      <c r="Q81" s="69"/>
      <c r="R81" s="53" t="e">
        <f t="shared" si="20"/>
        <v>#DIV/0!</v>
      </c>
      <c r="S81" s="53" t="e">
        <f t="shared" si="21"/>
        <v>#DIV/0!</v>
      </c>
      <c r="T81" s="53" t="e">
        <f t="shared" si="22"/>
        <v>#DIV/0!</v>
      </c>
      <c r="U81" s="53" t="e">
        <f t="shared" si="23"/>
        <v>#DIV/0!</v>
      </c>
      <c r="V81" s="53" t="e">
        <f>V80+ATM_Conf!$C$5*(Nodes!AL80)/('Off-Ramp'!K266*AA266)</f>
        <v>#DIV/0!</v>
      </c>
      <c r="W81" s="53" t="e">
        <f>W80+ATM_Conf!$C$5*(Nodes!AM80)/('Off-Ramp'!L266*AB266)</f>
        <v>#DIV/0!</v>
      </c>
      <c r="X81" s="53" t="e">
        <f>X80+ATM_Conf!$C$5*(Nodes!AN80)/('Off-Ramp'!M266*AC266)</f>
        <v>#DIV/0!</v>
      </c>
      <c r="Y81" s="53" t="e">
        <f>Y80+ATM_Conf!$C$5*(Nodes!AO80)/('Off-Ramp'!N266*AD266)</f>
        <v>#DIV/0!</v>
      </c>
      <c r="Z81" s="53" t="e">
        <f>Z80+ATM_Conf!$C$5*(Nodes!AP80)/('Off-Ramp'!O266*AE266)</f>
        <v>#DIV/0!</v>
      </c>
      <c r="AA81" s="53" t="e">
        <f>AA80+ATM_Conf!$C$5*(Nodes!AQ80)/('Off-Ramp'!P266*AF266)</f>
        <v>#DIV/0!</v>
      </c>
    </row>
    <row r="82" spans="1:27" x14ac:dyDescent="0.15">
      <c r="A82" s="46">
        <v>80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53" t="e">
        <f t="shared" si="16"/>
        <v>#DIV/0!</v>
      </c>
      <c r="M82" s="53" t="e">
        <f t="shared" si="17"/>
        <v>#DIV/0!</v>
      </c>
      <c r="N82" s="53" t="e">
        <f t="shared" si="18"/>
        <v>#DIV/0!</v>
      </c>
      <c r="O82" s="53" t="e">
        <f t="shared" si="19"/>
        <v>#DIV/0!</v>
      </c>
      <c r="P82" s="69"/>
      <c r="Q82" s="69"/>
      <c r="R82" s="53" t="e">
        <f t="shared" si="20"/>
        <v>#DIV/0!</v>
      </c>
      <c r="S82" s="53" t="e">
        <f t="shared" si="21"/>
        <v>#DIV/0!</v>
      </c>
      <c r="T82" s="53" t="e">
        <f t="shared" si="22"/>
        <v>#DIV/0!</v>
      </c>
      <c r="U82" s="53" t="e">
        <f t="shared" si="23"/>
        <v>#DIV/0!</v>
      </c>
      <c r="V82" s="53" t="e">
        <f>V81+ATM_Conf!$C$5*(Nodes!AL81)/('Off-Ramp'!K267*AA267)</f>
        <v>#DIV/0!</v>
      </c>
      <c r="W82" s="53" t="e">
        <f>W81+ATM_Conf!$C$5*(Nodes!AM81)/('Off-Ramp'!L267*AB267)</f>
        <v>#DIV/0!</v>
      </c>
      <c r="X82" s="53" t="e">
        <f>X81+ATM_Conf!$C$5*(Nodes!AN81)/('Off-Ramp'!M267*AC267)</f>
        <v>#DIV/0!</v>
      </c>
      <c r="Y82" s="53" t="e">
        <f>Y81+ATM_Conf!$C$5*(Nodes!AO81)/('Off-Ramp'!N267*AD267)</f>
        <v>#DIV/0!</v>
      </c>
      <c r="Z82" s="53" t="e">
        <f>Z81+ATM_Conf!$C$5*(Nodes!AP81)/('Off-Ramp'!O267*AE267)</f>
        <v>#DIV/0!</v>
      </c>
      <c r="AA82" s="53" t="e">
        <f>AA81+ATM_Conf!$C$5*(Nodes!AQ81)/('Off-Ramp'!P267*AF267)</f>
        <v>#DIV/0!</v>
      </c>
    </row>
    <row r="83" spans="1:27" x14ac:dyDescent="0.15">
      <c r="A83" s="46">
        <v>81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53" t="e">
        <f t="shared" si="16"/>
        <v>#DIV/0!</v>
      </c>
      <c r="M83" s="53" t="e">
        <f t="shared" si="17"/>
        <v>#DIV/0!</v>
      </c>
      <c r="N83" s="53" t="e">
        <f t="shared" si="18"/>
        <v>#DIV/0!</v>
      </c>
      <c r="O83" s="53" t="e">
        <f t="shared" si="19"/>
        <v>#DIV/0!</v>
      </c>
      <c r="P83" s="69"/>
      <c r="Q83" s="69"/>
      <c r="R83" s="53" t="e">
        <f t="shared" si="20"/>
        <v>#DIV/0!</v>
      </c>
      <c r="S83" s="53" t="e">
        <f t="shared" si="21"/>
        <v>#DIV/0!</v>
      </c>
      <c r="T83" s="53" t="e">
        <f t="shared" si="22"/>
        <v>#DIV/0!</v>
      </c>
      <c r="U83" s="53" t="e">
        <f t="shared" si="23"/>
        <v>#DIV/0!</v>
      </c>
      <c r="V83" s="53" t="e">
        <f>V82+ATM_Conf!$C$5*(Nodes!AL82)/('Off-Ramp'!K268*AA268)</f>
        <v>#DIV/0!</v>
      </c>
      <c r="W83" s="53" t="e">
        <f>W82+ATM_Conf!$C$5*(Nodes!AM82)/('Off-Ramp'!L268*AB268)</f>
        <v>#DIV/0!</v>
      </c>
      <c r="X83" s="53" t="e">
        <f>X82+ATM_Conf!$C$5*(Nodes!AN82)/('Off-Ramp'!M268*AC268)</f>
        <v>#DIV/0!</v>
      </c>
      <c r="Y83" s="53" t="e">
        <f>Y82+ATM_Conf!$C$5*(Nodes!AO82)/('Off-Ramp'!N268*AD268)</f>
        <v>#DIV/0!</v>
      </c>
      <c r="Z83" s="53" t="e">
        <f>Z82+ATM_Conf!$C$5*(Nodes!AP82)/('Off-Ramp'!O268*AE268)</f>
        <v>#DIV/0!</v>
      </c>
      <c r="AA83" s="53" t="e">
        <f>AA82+ATM_Conf!$C$5*(Nodes!AQ82)/('Off-Ramp'!P268*AF268)</f>
        <v>#DIV/0!</v>
      </c>
    </row>
    <row r="84" spans="1:27" x14ac:dyDescent="0.15">
      <c r="A84" s="46">
        <v>82</v>
      </c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53" t="e">
        <f t="shared" si="16"/>
        <v>#DIV/0!</v>
      </c>
      <c r="M84" s="53" t="e">
        <f t="shared" si="17"/>
        <v>#DIV/0!</v>
      </c>
      <c r="N84" s="53" t="e">
        <f t="shared" si="18"/>
        <v>#DIV/0!</v>
      </c>
      <c r="O84" s="53" t="e">
        <f t="shared" si="19"/>
        <v>#DIV/0!</v>
      </c>
      <c r="P84" s="69"/>
      <c r="Q84" s="69"/>
      <c r="R84" s="53" t="e">
        <f t="shared" si="20"/>
        <v>#DIV/0!</v>
      </c>
      <c r="S84" s="53" t="e">
        <f t="shared" si="21"/>
        <v>#DIV/0!</v>
      </c>
      <c r="T84" s="53" t="e">
        <f t="shared" si="22"/>
        <v>#DIV/0!</v>
      </c>
      <c r="U84" s="53" t="e">
        <f t="shared" si="23"/>
        <v>#DIV/0!</v>
      </c>
      <c r="V84" s="53" t="e">
        <f>V83+ATM_Conf!$C$5*(Nodes!AL83)/('Off-Ramp'!K269*AA269)</f>
        <v>#DIV/0!</v>
      </c>
      <c r="W84" s="53" t="e">
        <f>W83+ATM_Conf!$C$5*(Nodes!AM83)/('Off-Ramp'!L269*AB269)</f>
        <v>#DIV/0!</v>
      </c>
      <c r="X84" s="53" t="e">
        <f>X83+ATM_Conf!$C$5*(Nodes!AN83)/('Off-Ramp'!M269*AC269)</f>
        <v>#DIV/0!</v>
      </c>
      <c r="Y84" s="53" t="e">
        <f>Y83+ATM_Conf!$C$5*(Nodes!AO83)/('Off-Ramp'!N269*AD269)</f>
        <v>#DIV/0!</v>
      </c>
      <c r="Z84" s="53" t="e">
        <f>Z83+ATM_Conf!$C$5*(Nodes!AP83)/('Off-Ramp'!O269*AE269)</f>
        <v>#DIV/0!</v>
      </c>
      <c r="AA84" s="53" t="e">
        <f>AA83+ATM_Conf!$C$5*(Nodes!AQ83)/('Off-Ramp'!P269*AF269)</f>
        <v>#DIV/0!</v>
      </c>
    </row>
    <row r="85" spans="1:27" x14ac:dyDescent="0.15">
      <c r="A85" s="46">
        <v>83</v>
      </c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53" t="e">
        <f t="shared" si="16"/>
        <v>#DIV/0!</v>
      </c>
      <c r="M85" s="53" t="e">
        <f t="shared" si="17"/>
        <v>#DIV/0!</v>
      </c>
      <c r="N85" s="53" t="e">
        <f t="shared" si="18"/>
        <v>#DIV/0!</v>
      </c>
      <c r="O85" s="53" t="e">
        <f t="shared" si="19"/>
        <v>#DIV/0!</v>
      </c>
      <c r="P85" s="69"/>
      <c r="Q85" s="69"/>
      <c r="R85" s="53" t="e">
        <f t="shared" si="20"/>
        <v>#DIV/0!</v>
      </c>
      <c r="S85" s="53" t="e">
        <f t="shared" si="21"/>
        <v>#DIV/0!</v>
      </c>
      <c r="T85" s="53" t="e">
        <f t="shared" si="22"/>
        <v>#DIV/0!</v>
      </c>
      <c r="U85" s="53" t="e">
        <f t="shared" si="23"/>
        <v>#DIV/0!</v>
      </c>
      <c r="V85" s="53" t="e">
        <f>V84+ATM_Conf!$C$5*(Nodes!AL84)/('Off-Ramp'!K270*AA270)</f>
        <v>#DIV/0!</v>
      </c>
      <c r="W85" s="53" t="e">
        <f>W84+ATM_Conf!$C$5*(Nodes!AM84)/('Off-Ramp'!L270*AB270)</f>
        <v>#DIV/0!</v>
      </c>
      <c r="X85" s="53" t="e">
        <f>X84+ATM_Conf!$C$5*(Nodes!AN84)/('Off-Ramp'!M270*AC270)</f>
        <v>#DIV/0!</v>
      </c>
      <c r="Y85" s="53" t="e">
        <f>Y84+ATM_Conf!$C$5*(Nodes!AO84)/('Off-Ramp'!N270*AD270)</f>
        <v>#DIV/0!</v>
      </c>
      <c r="Z85" s="53" t="e">
        <f>Z84+ATM_Conf!$C$5*(Nodes!AP84)/('Off-Ramp'!O270*AE270)</f>
        <v>#DIV/0!</v>
      </c>
      <c r="AA85" s="53" t="e">
        <f>AA84+ATM_Conf!$C$5*(Nodes!AQ84)/('Off-Ramp'!P270*AF270)</f>
        <v>#DIV/0!</v>
      </c>
    </row>
    <row r="86" spans="1:27" x14ac:dyDescent="0.15">
      <c r="A86" s="46">
        <v>84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53" t="e">
        <f t="shared" si="16"/>
        <v>#DIV/0!</v>
      </c>
      <c r="M86" s="53" t="e">
        <f t="shared" si="17"/>
        <v>#DIV/0!</v>
      </c>
      <c r="N86" s="53" t="e">
        <f t="shared" si="18"/>
        <v>#DIV/0!</v>
      </c>
      <c r="O86" s="53" t="e">
        <f t="shared" si="19"/>
        <v>#DIV/0!</v>
      </c>
      <c r="P86" s="69"/>
      <c r="Q86" s="69"/>
      <c r="R86" s="53" t="e">
        <f t="shared" si="20"/>
        <v>#DIV/0!</v>
      </c>
      <c r="S86" s="53" t="e">
        <f t="shared" si="21"/>
        <v>#DIV/0!</v>
      </c>
      <c r="T86" s="53" t="e">
        <f t="shared" si="22"/>
        <v>#DIV/0!</v>
      </c>
      <c r="U86" s="53" t="e">
        <f t="shared" si="23"/>
        <v>#DIV/0!</v>
      </c>
      <c r="V86" s="53" t="e">
        <f>V85+ATM_Conf!$C$5*(Nodes!AL85)/('Off-Ramp'!K271*AA271)</f>
        <v>#DIV/0!</v>
      </c>
      <c r="W86" s="53" t="e">
        <f>W85+ATM_Conf!$C$5*(Nodes!AM85)/('Off-Ramp'!L271*AB271)</f>
        <v>#DIV/0!</v>
      </c>
      <c r="X86" s="53" t="e">
        <f>X85+ATM_Conf!$C$5*(Nodes!AN85)/('Off-Ramp'!M271*AC271)</f>
        <v>#DIV/0!</v>
      </c>
      <c r="Y86" s="53" t="e">
        <f>Y85+ATM_Conf!$C$5*(Nodes!AO85)/('Off-Ramp'!N271*AD271)</f>
        <v>#DIV/0!</v>
      </c>
      <c r="Z86" s="53" t="e">
        <f>Z85+ATM_Conf!$C$5*(Nodes!AP85)/('Off-Ramp'!O271*AE271)</f>
        <v>#DIV/0!</v>
      </c>
      <c r="AA86" s="53" t="e">
        <f>AA85+ATM_Conf!$C$5*(Nodes!AQ85)/('Off-Ramp'!P271*AF271)</f>
        <v>#DIV/0!</v>
      </c>
    </row>
    <row r="87" spans="1:27" x14ac:dyDescent="0.15">
      <c r="A87" s="46">
        <v>85</v>
      </c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53" t="e">
        <f t="shared" si="16"/>
        <v>#DIV/0!</v>
      </c>
      <c r="M87" s="53" t="e">
        <f t="shared" si="17"/>
        <v>#DIV/0!</v>
      </c>
      <c r="N87" s="53" t="e">
        <f t="shared" si="18"/>
        <v>#DIV/0!</v>
      </c>
      <c r="O87" s="53" t="e">
        <f t="shared" si="19"/>
        <v>#DIV/0!</v>
      </c>
      <c r="P87" s="69"/>
      <c r="Q87" s="69"/>
      <c r="R87" s="53" t="e">
        <f t="shared" si="20"/>
        <v>#DIV/0!</v>
      </c>
      <c r="S87" s="53" t="e">
        <f t="shared" si="21"/>
        <v>#DIV/0!</v>
      </c>
      <c r="T87" s="53" t="e">
        <f t="shared" si="22"/>
        <v>#DIV/0!</v>
      </c>
      <c r="U87" s="53" t="e">
        <f t="shared" si="23"/>
        <v>#DIV/0!</v>
      </c>
      <c r="V87" s="53" t="e">
        <f>V86+ATM_Conf!$C$5*(Nodes!AL86)/('Off-Ramp'!K272*AA272)</f>
        <v>#DIV/0!</v>
      </c>
      <c r="W87" s="53" t="e">
        <f>W86+ATM_Conf!$C$5*(Nodes!AM86)/('Off-Ramp'!L272*AB272)</f>
        <v>#DIV/0!</v>
      </c>
      <c r="X87" s="53" t="e">
        <f>X86+ATM_Conf!$C$5*(Nodes!AN86)/('Off-Ramp'!M272*AC272)</f>
        <v>#DIV/0!</v>
      </c>
      <c r="Y87" s="53" t="e">
        <f>Y86+ATM_Conf!$C$5*(Nodes!AO86)/('Off-Ramp'!N272*AD272)</f>
        <v>#DIV/0!</v>
      </c>
      <c r="Z87" s="53" t="e">
        <f>Z86+ATM_Conf!$C$5*(Nodes!AP86)/('Off-Ramp'!O272*AE272)</f>
        <v>#DIV/0!</v>
      </c>
      <c r="AA87" s="53" t="e">
        <f>AA86+ATM_Conf!$C$5*(Nodes!AQ86)/('Off-Ramp'!P272*AF272)</f>
        <v>#DIV/0!</v>
      </c>
    </row>
    <row r="88" spans="1:27" x14ac:dyDescent="0.15">
      <c r="A88" s="46">
        <v>86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53" t="e">
        <f t="shared" si="16"/>
        <v>#DIV/0!</v>
      </c>
      <c r="M88" s="53" t="e">
        <f t="shared" si="17"/>
        <v>#DIV/0!</v>
      </c>
      <c r="N88" s="53" t="e">
        <f t="shared" si="18"/>
        <v>#DIV/0!</v>
      </c>
      <c r="O88" s="53" t="e">
        <f t="shared" si="19"/>
        <v>#DIV/0!</v>
      </c>
      <c r="P88" s="69"/>
      <c r="Q88" s="69"/>
      <c r="R88" s="53" t="e">
        <f t="shared" si="20"/>
        <v>#DIV/0!</v>
      </c>
      <c r="S88" s="53" t="e">
        <f t="shared" si="21"/>
        <v>#DIV/0!</v>
      </c>
      <c r="T88" s="53" t="e">
        <f t="shared" si="22"/>
        <v>#DIV/0!</v>
      </c>
      <c r="U88" s="53" t="e">
        <f t="shared" si="23"/>
        <v>#DIV/0!</v>
      </c>
      <c r="V88" s="53" t="e">
        <f>V87+ATM_Conf!$C$5*(Nodes!AL87)/('Off-Ramp'!K273*AA273)</f>
        <v>#DIV/0!</v>
      </c>
      <c r="W88" s="53" t="e">
        <f>W87+ATM_Conf!$C$5*(Nodes!AM87)/('Off-Ramp'!L273*AB273)</f>
        <v>#DIV/0!</v>
      </c>
      <c r="X88" s="53" t="e">
        <f>X87+ATM_Conf!$C$5*(Nodes!AN87)/('Off-Ramp'!M273*AC273)</f>
        <v>#DIV/0!</v>
      </c>
      <c r="Y88" s="53" t="e">
        <f>Y87+ATM_Conf!$C$5*(Nodes!AO87)/('Off-Ramp'!N273*AD273)</f>
        <v>#DIV/0!</v>
      </c>
      <c r="Z88" s="53" t="e">
        <f>Z87+ATM_Conf!$C$5*(Nodes!AP87)/('Off-Ramp'!O273*AE273)</f>
        <v>#DIV/0!</v>
      </c>
      <c r="AA88" s="53" t="e">
        <f>AA87+ATM_Conf!$C$5*(Nodes!AQ87)/('Off-Ramp'!P273*AF273)</f>
        <v>#DIV/0!</v>
      </c>
    </row>
    <row r="89" spans="1:27" x14ac:dyDescent="0.15">
      <c r="A89" s="46">
        <v>87</v>
      </c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53" t="e">
        <f t="shared" si="16"/>
        <v>#DIV/0!</v>
      </c>
      <c r="M89" s="53" t="e">
        <f t="shared" si="17"/>
        <v>#DIV/0!</v>
      </c>
      <c r="N89" s="53" t="e">
        <f t="shared" si="18"/>
        <v>#DIV/0!</v>
      </c>
      <c r="O89" s="53" t="e">
        <f t="shared" si="19"/>
        <v>#DIV/0!</v>
      </c>
      <c r="P89" s="69"/>
      <c r="Q89" s="69"/>
      <c r="R89" s="53" t="e">
        <f t="shared" si="20"/>
        <v>#DIV/0!</v>
      </c>
      <c r="S89" s="53" t="e">
        <f t="shared" si="21"/>
        <v>#DIV/0!</v>
      </c>
      <c r="T89" s="53" t="e">
        <f t="shared" si="22"/>
        <v>#DIV/0!</v>
      </c>
      <c r="U89" s="53" t="e">
        <f t="shared" si="23"/>
        <v>#DIV/0!</v>
      </c>
      <c r="V89" s="53" t="e">
        <f>V88+ATM_Conf!$C$5*(Nodes!AL88)/('Off-Ramp'!K274*AA274)</f>
        <v>#DIV/0!</v>
      </c>
      <c r="W89" s="53" t="e">
        <f>W88+ATM_Conf!$C$5*(Nodes!AM88)/('Off-Ramp'!L274*AB274)</f>
        <v>#DIV/0!</v>
      </c>
      <c r="X89" s="53" t="e">
        <f>X88+ATM_Conf!$C$5*(Nodes!AN88)/('Off-Ramp'!M274*AC274)</f>
        <v>#DIV/0!</v>
      </c>
      <c r="Y89" s="53" t="e">
        <f>Y88+ATM_Conf!$C$5*(Nodes!AO88)/('Off-Ramp'!N274*AD274)</f>
        <v>#DIV/0!</v>
      </c>
      <c r="Z89" s="53" t="e">
        <f>Z88+ATM_Conf!$C$5*(Nodes!AP88)/('Off-Ramp'!O274*AE274)</f>
        <v>#DIV/0!</v>
      </c>
      <c r="AA89" s="53" t="e">
        <f>AA88+ATM_Conf!$C$5*(Nodes!AQ88)/('Off-Ramp'!P274*AF274)</f>
        <v>#DIV/0!</v>
      </c>
    </row>
    <row r="90" spans="1:27" x14ac:dyDescent="0.15">
      <c r="A90" s="46">
        <v>88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53" t="e">
        <f t="shared" si="16"/>
        <v>#DIV/0!</v>
      </c>
      <c r="M90" s="53" t="e">
        <f t="shared" si="17"/>
        <v>#DIV/0!</v>
      </c>
      <c r="N90" s="53" t="e">
        <f t="shared" si="18"/>
        <v>#DIV/0!</v>
      </c>
      <c r="O90" s="53" t="e">
        <f t="shared" si="19"/>
        <v>#DIV/0!</v>
      </c>
      <c r="P90" s="69"/>
      <c r="Q90" s="69"/>
      <c r="R90" s="53" t="e">
        <f t="shared" si="20"/>
        <v>#DIV/0!</v>
      </c>
      <c r="S90" s="53" t="e">
        <f t="shared" si="21"/>
        <v>#DIV/0!</v>
      </c>
      <c r="T90" s="53" t="e">
        <f t="shared" si="22"/>
        <v>#DIV/0!</v>
      </c>
      <c r="U90" s="53" t="e">
        <f t="shared" si="23"/>
        <v>#DIV/0!</v>
      </c>
      <c r="V90" s="53" t="e">
        <f>V89+ATM_Conf!$C$5*(Nodes!AL89)/('Off-Ramp'!K275*AA275)</f>
        <v>#DIV/0!</v>
      </c>
      <c r="W90" s="53" t="e">
        <f>W89+ATM_Conf!$C$5*(Nodes!AM89)/('Off-Ramp'!L275*AB275)</f>
        <v>#DIV/0!</v>
      </c>
      <c r="X90" s="53" t="e">
        <f>X89+ATM_Conf!$C$5*(Nodes!AN89)/('Off-Ramp'!M275*AC275)</f>
        <v>#DIV/0!</v>
      </c>
      <c r="Y90" s="53" t="e">
        <f>Y89+ATM_Conf!$C$5*(Nodes!AO89)/('Off-Ramp'!N275*AD275)</f>
        <v>#DIV/0!</v>
      </c>
      <c r="Z90" s="53" t="e">
        <f>Z89+ATM_Conf!$C$5*(Nodes!AP89)/('Off-Ramp'!O275*AE275)</f>
        <v>#DIV/0!</v>
      </c>
      <c r="AA90" s="53" t="e">
        <f>AA89+ATM_Conf!$C$5*(Nodes!AQ89)/('Off-Ramp'!P275*AF275)</f>
        <v>#DIV/0!</v>
      </c>
    </row>
    <row r="91" spans="1:27" x14ac:dyDescent="0.15">
      <c r="A91" s="46">
        <v>89</v>
      </c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53" t="e">
        <f t="shared" si="16"/>
        <v>#DIV/0!</v>
      </c>
      <c r="M91" s="53" t="e">
        <f t="shared" si="17"/>
        <v>#DIV/0!</v>
      </c>
      <c r="N91" s="53" t="e">
        <f t="shared" si="18"/>
        <v>#DIV/0!</v>
      </c>
      <c r="O91" s="53" t="e">
        <f t="shared" si="19"/>
        <v>#DIV/0!</v>
      </c>
      <c r="P91" s="69"/>
      <c r="Q91" s="69"/>
      <c r="R91" s="53" t="e">
        <f t="shared" si="20"/>
        <v>#DIV/0!</v>
      </c>
      <c r="S91" s="53" t="e">
        <f t="shared" si="21"/>
        <v>#DIV/0!</v>
      </c>
      <c r="T91" s="53" t="e">
        <f t="shared" si="22"/>
        <v>#DIV/0!</v>
      </c>
      <c r="U91" s="53" t="e">
        <f t="shared" si="23"/>
        <v>#DIV/0!</v>
      </c>
      <c r="V91" s="53" t="e">
        <f>V90+ATM_Conf!$C$5*(Nodes!AL90)/('Off-Ramp'!K276*AA276)</f>
        <v>#DIV/0!</v>
      </c>
      <c r="W91" s="53" t="e">
        <f>W90+ATM_Conf!$C$5*(Nodes!AM90)/('Off-Ramp'!L276*AB276)</f>
        <v>#DIV/0!</v>
      </c>
      <c r="X91" s="53" t="e">
        <f>X90+ATM_Conf!$C$5*(Nodes!AN90)/('Off-Ramp'!M276*AC276)</f>
        <v>#DIV/0!</v>
      </c>
      <c r="Y91" s="53" t="e">
        <f>Y90+ATM_Conf!$C$5*(Nodes!AO90)/('Off-Ramp'!N276*AD276)</f>
        <v>#DIV/0!</v>
      </c>
      <c r="Z91" s="53" t="e">
        <f>Z90+ATM_Conf!$C$5*(Nodes!AP90)/('Off-Ramp'!O276*AE276)</f>
        <v>#DIV/0!</v>
      </c>
      <c r="AA91" s="53" t="e">
        <f>AA90+ATM_Conf!$C$5*(Nodes!AQ90)/('Off-Ramp'!P276*AF276)</f>
        <v>#DIV/0!</v>
      </c>
    </row>
    <row r="92" spans="1:27" x14ac:dyDescent="0.15">
      <c r="A92" s="46">
        <v>90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53" t="e">
        <f t="shared" si="16"/>
        <v>#DIV/0!</v>
      </c>
      <c r="M92" s="53" t="e">
        <f t="shared" si="17"/>
        <v>#DIV/0!</v>
      </c>
      <c r="N92" s="53" t="e">
        <f t="shared" si="18"/>
        <v>#DIV/0!</v>
      </c>
      <c r="O92" s="53" t="e">
        <f t="shared" si="19"/>
        <v>#DIV/0!</v>
      </c>
      <c r="P92" s="69"/>
      <c r="Q92" s="69"/>
      <c r="R92" s="53" t="e">
        <f t="shared" si="20"/>
        <v>#DIV/0!</v>
      </c>
      <c r="S92" s="53" t="e">
        <f t="shared" si="21"/>
        <v>#DIV/0!</v>
      </c>
      <c r="T92" s="53" t="e">
        <f t="shared" si="22"/>
        <v>#DIV/0!</v>
      </c>
      <c r="U92" s="53" t="e">
        <f t="shared" si="23"/>
        <v>#DIV/0!</v>
      </c>
      <c r="V92" s="53" t="e">
        <f>V91+ATM_Conf!$C$5*(Nodes!AL91)/('Off-Ramp'!K277*AA277)</f>
        <v>#DIV/0!</v>
      </c>
      <c r="W92" s="53" t="e">
        <f>W91+ATM_Conf!$C$5*(Nodes!AM91)/('Off-Ramp'!L277*AB277)</f>
        <v>#DIV/0!</v>
      </c>
      <c r="X92" s="53" t="e">
        <f>X91+ATM_Conf!$C$5*(Nodes!AN91)/('Off-Ramp'!M277*AC277)</f>
        <v>#DIV/0!</v>
      </c>
      <c r="Y92" s="53" t="e">
        <f>Y91+ATM_Conf!$C$5*(Nodes!AO91)/('Off-Ramp'!N277*AD277)</f>
        <v>#DIV/0!</v>
      </c>
      <c r="Z92" s="53" t="e">
        <f>Z91+ATM_Conf!$C$5*(Nodes!AP91)/('Off-Ramp'!O277*AE277)</f>
        <v>#DIV/0!</v>
      </c>
      <c r="AA92" s="53" t="e">
        <f>AA91+ATM_Conf!$C$5*(Nodes!AQ91)/('Off-Ramp'!P277*AF277)</f>
        <v>#DIV/0!</v>
      </c>
    </row>
    <row r="93" spans="1:27" x14ac:dyDescent="0.15">
      <c r="A93" s="46">
        <v>91</v>
      </c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53" t="e">
        <f t="shared" si="16"/>
        <v>#DIV/0!</v>
      </c>
      <c r="M93" s="53" t="e">
        <f t="shared" si="17"/>
        <v>#DIV/0!</v>
      </c>
      <c r="N93" s="53" t="e">
        <f t="shared" si="18"/>
        <v>#DIV/0!</v>
      </c>
      <c r="O93" s="53" t="e">
        <f t="shared" si="19"/>
        <v>#DIV/0!</v>
      </c>
      <c r="P93" s="69"/>
      <c r="Q93" s="69"/>
      <c r="R93" s="53" t="e">
        <f t="shared" si="20"/>
        <v>#DIV/0!</v>
      </c>
      <c r="S93" s="53" t="e">
        <f t="shared" si="21"/>
        <v>#DIV/0!</v>
      </c>
      <c r="T93" s="53" t="e">
        <f t="shared" si="22"/>
        <v>#DIV/0!</v>
      </c>
      <c r="U93" s="53" t="e">
        <f t="shared" si="23"/>
        <v>#DIV/0!</v>
      </c>
      <c r="V93" s="53" t="e">
        <f>V92+ATM_Conf!$C$5*(Nodes!AL92)/('Off-Ramp'!K278*AA278)</f>
        <v>#DIV/0!</v>
      </c>
      <c r="W93" s="53" t="e">
        <f>W92+ATM_Conf!$C$5*(Nodes!AM92)/('Off-Ramp'!L278*AB278)</f>
        <v>#DIV/0!</v>
      </c>
      <c r="X93" s="53" t="e">
        <f>X92+ATM_Conf!$C$5*(Nodes!AN92)/('Off-Ramp'!M278*AC278)</f>
        <v>#DIV/0!</v>
      </c>
      <c r="Y93" s="53" t="e">
        <f>Y92+ATM_Conf!$C$5*(Nodes!AO92)/('Off-Ramp'!N278*AD278)</f>
        <v>#DIV/0!</v>
      </c>
      <c r="Z93" s="53" t="e">
        <f>Z92+ATM_Conf!$C$5*(Nodes!AP92)/('Off-Ramp'!O278*AE278)</f>
        <v>#DIV/0!</v>
      </c>
      <c r="AA93" s="53" t="e">
        <f>AA92+ATM_Conf!$C$5*(Nodes!AQ92)/('Off-Ramp'!P278*AF278)</f>
        <v>#DIV/0!</v>
      </c>
    </row>
    <row r="94" spans="1:27" x14ac:dyDescent="0.15">
      <c r="A94" s="46">
        <v>92</v>
      </c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53" t="e">
        <f t="shared" si="16"/>
        <v>#DIV/0!</v>
      </c>
      <c r="M94" s="53" t="e">
        <f t="shared" si="17"/>
        <v>#DIV/0!</v>
      </c>
      <c r="N94" s="53" t="e">
        <f t="shared" si="18"/>
        <v>#DIV/0!</v>
      </c>
      <c r="O94" s="53" t="e">
        <f t="shared" si="19"/>
        <v>#DIV/0!</v>
      </c>
      <c r="P94" s="69"/>
      <c r="Q94" s="69"/>
      <c r="R94" s="53" t="e">
        <f t="shared" si="20"/>
        <v>#DIV/0!</v>
      </c>
      <c r="S94" s="53" t="e">
        <f t="shared" si="21"/>
        <v>#DIV/0!</v>
      </c>
      <c r="T94" s="53" t="e">
        <f t="shared" si="22"/>
        <v>#DIV/0!</v>
      </c>
      <c r="U94" s="53" t="e">
        <f t="shared" si="23"/>
        <v>#DIV/0!</v>
      </c>
      <c r="V94" s="53" t="e">
        <f>V93+ATM_Conf!$C$5*(Nodes!AL93)/('Off-Ramp'!K279*AA279)</f>
        <v>#DIV/0!</v>
      </c>
      <c r="W94" s="53" t="e">
        <f>W93+ATM_Conf!$C$5*(Nodes!AM93)/('Off-Ramp'!L279*AB279)</f>
        <v>#DIV/0!</v>
      </c>
      <c r="X94" s="53" t="e">
        <f>X93+ATM_Conf!$C$5*(Nodes!AN93)/('Off-Ramp'!M279*AC279)</f>
        <v>#DIV/0!</v>
      </c>
      <c r="Y94" s="53" t="e">
        <f>Y93+ATM_Conf!$C$5*(Nodes!AO93)/('Off-Ramp'!N279*AD279)</f>
        <v>#DIV/0!</v>
      </c>
      <c r="Z94" s="53" t="e">
        <f>Z93+ATM_Conf!$C$5*(Nodes!AP93)/('Off-Ramp'!O279*AE279)</f>
        <v>#DIV/0!</v>
      </c>
      <c r="AA94" s="53" t="e">
        <f>AA93+ATM_Conf!$C$5*(Nodes!AQ93)/('Off-Ramp'!P279*AF279)</f>
        <v>#DIV/0!</v>
      </c>
    </row>
    <row r="95" spans="1:27" x14ac:dyDescent="0.15">
      <c r="A95" s="46">
        <v>93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53" t="e">
        <f t="shared" si="16"/>
        <v>#DIV/0!</v>
      </c>
      <c r="M95" s="53" t="e">
        <f t="shared" si="17"/>
        <v>#DIV/0!</v>
      </c>
      <c r="N95" s="53" t="e">
        <f t="shared" si="18"/>
        <v>#DIV/0!</v>
      </c>
      <c r="O95" s="53" t="e">
        <f t="shared" si="19"/>
        <v>#DIV/0!</v>
      </c>
      <c r="P95" s="69"/>
      <c r="Q95" s="69"/>
      <c r="R95" s="53" t="e">
        <f t="shared" si="20"/>
        <v>#DIV/0!</v>
      </c>
      <c r="S95" s="53" t="e">
        <f t="shared" si="21"/>
        <v>#DIV/0!</v>
      </c>
      <c r="T95" s="53" t="e">
        <f t="shared" si="22"/>
        <v>#DIV/0!</v>
      </c>
      <c r="U95" s="53" t="e">
        <f t="shared" si="23"/>
        <v>#DIV/0!</v>
      </c>
      <c r="V95" s="53" t="e">
        <f>V94+ATM_Conf!$C$5*(Nodes!AL94)/('Off-Ramp'!K280*AA280)</f>
        <v>#DIV/0!</v>
      </c>
      <c r="W95" s="53" t="e">
        <f>W94+ATM_Conf!$C$5*(Nodes!AM94)/('Off-Ramp'!L280*AB280)</f>
        <v>#DIV/0!</v>
      </c>
      <c r="X95" s="53" t="e">
        <f>X94+ATM_Conf!$C$5*(Nodes!AN94)/('Off-Ramp'!M280*AC280)</f>
        <v>#DIV/0!</v>
      </c>
      <c r="Y95" s="53" t="e">
        <f>Y94+ATM_Conf!$C$5*(Nodes!AO94)/('Off-Ramp'!N280*AD280)</f>
        <v>#DIV/0!</v>
      </c>
      <c r="Z95" s="53" t="e">
        <f>Z94+ATM_Conf!$C$5*(Nodes!AP94)/('Off-Ramp'!O280*AE280)</f>
        <v>#DIV/0!</v>
      </c>
      <c r="AA95" s="53" t="e">
        <f>AA94+ATM_Conf!$C$5*(Nodes!AQ94)/('Off-Ramp'!P280*AF280)</f>
        <v>#DIV/0!</v>
      </c>
    </row>
    <row r="96" spans="1:27" x14ac:dyDescent="0.15">
      <c r="A96" s="46">
        <v>94</v>
      </c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53" t="e">
        <f t="shared" si="16"/>
        <v>#DIV/0!</v>
      </c>
      <c r="M96" s="53" t="e">
        <f t="shared" si="17"/>
        <v>#DIV/0!</v>
      </c>
      <c r="N96" s="53" t="e">
        <f t="shared" si="18"/>
        <v>#DIV/0!</v>
      </c>
      <c r="O96" s="53" t="e">
        <f t="shared" si="19"/>
        <v>#DIV/0!</v>
      </c>
      <c r="P96" s="69"/>
      <c r="Q96" s="69"/>
      <c r="R96" s="53" t="e">
        <f t="shared" si="20"/>
        <v>#DIV/0!</v>
      </c>
      <c r="S96" s="53" t="e">
        <f t="shared" si="21"/>
        <v>#DIV/0!</v>
      </c>
      <c r="T96" s="53" t="e">
        <f t="shared" si="22"/>
        <v>#DIV/0!</v>
      </c>
      <c r="U96" s="53" t="e">
        <f t="shared" si="23"/>
        <v>#DIV/0!</v>
      </c>
      <c r="V96" s="53" t="e">
        <f>V95+ATM_Conf!$C$5*(Nodes!AL95)/('Off-Ramp'!K281*AA281)</f>
        <v>#DIV/0!</v>
      </c>
      <c r="W96" s="53" t="e">
        <f>W95+ATM_Conf!$C$5*(Nodes!AM95)/('Off-Ramp'!L281*AB281)</f>
        <v>#DIV/0!</v>
      </c>
      <c r="X96" s="53" t="e">
        <f>X95+ATM_Conf!$C$5*(Nodes!AN95)/('Off-Ramp'!M281*AC281)</f>
        <v>#DIV/0!</v>
      </c>
      <c r="Y96" s="53" t="e">
        <f>Y95+ATM_Conf!$C$5*(Nodes!AO95)/('Off-Ramp'!N281*AD281)</f>
        <v>#DIV/0!</v>
      </c>
      <c r="Z96" s="53" t="e">
        <f>Z95+ATM_Conf!$C$5*(Nodes!AP95)/('Off-Ramp'!O281*AE281)</f>
        <v>#DIV/0!</v>
      </c>
      <c r="AA96" s="53" t="e">
        <f>AA95+ATM_Conf!$C$5*(Nodes!AQ95)/('Off-Ramp'!P281*AF281)</f>
        <v>#DIV/0!</v>
      </c>
    </row>
    <row r="97" spans="1:27" x14ac:dyDescent="0.15">
      <c r="A97" s="46">
        <v>95</v>
      </c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53" t="e">
        <f t="shared" si="16"/>
        <v>#DIV/0!</v>
      </c>
      <c r="M97" s="53" t="e">
        <f t="shared" si="17"/>
        <v>#DIV/0!</v>
      </c>
      <c r="N97" s="53" t="e">
        <f t="shared" si="18"/>
        <v>#DIV/0!</v>
      </c>
      <c r="O97" s="53" t="e">
        <f t="shared" si="19"/>
        <v>#DIV/0!</v>
      </c>
      <c r="P97" s="69"/>
      <c r="Q97" s="69"/>
      <c r="R97" s="53" t="e">
        <f t="shared" si="20"/>
        <v>#DIV/0!</v>
      </c>
      <c r="S97" s="53" t="e">
        <f t="shared" si="21"/>
        <v>#DIV/0!</v>
      </c>
      <c r="T97" s="53" t="e">
        <f t="shared" si="22"/>
        <v>#DIV/0!</v>
      </c>
      <c r="U97" s="53" t="e">
        <f t="shared" si="23"/>
        <v>#DIV/0!</v>
      </c>
      <c r="V97" s="53" t="e">
        <f>V96+ATM_Conf!$C$5*(Nodes!AL96)/('Off-Ramp'!K282*AA282)</f>
        <v>#DIV/0!</v>
      </c>
      <c r="W97" s="53" t="e">
        <f>W96+ATM_Conf!$C$5*(Nodes!AM96)/('Off-Ramp'!L282*AB282)</f>
        <v>#DIV/0!</v>
      </c>
      <c r="X97" s="53" t="e">
        <f>X96+ATM_Conf!$C$5*(Nodes!AN96)/('Off-Ramp'!M282*AC282)</f>
        <v>#DIV/0!</v>
      </c>
      <c r="Y97" s="53" t="e">
        <f>Y96+ATM_Conf!$C$5*(Nodes!AO96)/('Off-Ramp'!N282*AD282)</f>
        <v>#DIV/0!</v>
      </c>
      <c r="Z97" s="53" t="e">
        <f>Z96+ATM_Conf!$C$5*(Nodes!AP96)/('Off-Ramp'!O282*AE282)</f>
        <v>#DIV/0!</v>
      </c>
      <c r="AA97" s="53" t="e">
        <f>AA96+ATM_Conf!$C$5*(Nodes!AQ96)/('Off-Ramp'!P282*AF282)</f>
        <v>#DIV/0!</v>
      </c>
    </row>
    <row r="98" spans="1:27" x14ac:dyDescent="0.15">
      <c r="A98" s="46">
        <v>96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53" t="e">
        <f t="shared" si="16"/>
        <v>#DIV/0!</v>
      </c>
      <c r="M98" s="53" t="e">
        <f t="shared" si="17"/>
        <v>#DIV/0!</v>
      </c>
      <c r="N98" s="53" t="e">
        <f t="shared" si="18"/>
        <v>#DIV/0!</v>
      </c>
      <c r="O98" s="53" t="e">
        <f t="shared" si="19"/>
        <v>#DIV/0!</v>
      </c>
      <c r="P98" s="69"/>
      <c r="Q98" s="69"/>
      <c r="R98" s="53" t="e">
        <f t="shared" si="20"/>
        <v>#DIV/0!</v>
      </c>
      <c r="S98" s="53" t="e">
        <f t="shared" si="21"/>
        <v>#DIV/0!</v>
      </c>
      <c r="T98" s="53" t="e">
        <f t="shared" si="22"/>
        <v>#DIV/0!</v>
      </c>
      <c r="U98" s="53" t="e">
        <f t="shared" si="23"/>
        <v>#DIV/0!</v>
      </c>
      <c r="V98" s="53" t="e">
        <f>V97+ATM_Conf!$C$5*(Nodes!AL97)/('Off-Ramp'!K283*AA283)</f>
        <v>#DIV/0!</v>
      </c>
      <c r="W98" s="53" t="e">
        <f>W97+ATM_Conf!$C$5*(Nodes!AM97)/('Off-Ramp'!L283*AB283)</f>
        <v>#DIV/0!</v>
      </c>
      <c r="X98" s="53" t="e">
        <f>X97+ATM_Conf!$C$5*(Nodes!AN97)/('Off-Ramp'!M283*AC283)</f>
        <v>#DIV/0!</v>
      </c>
      <c r="Y98" s="53" t="e">
        <f>Y97+ATM_Conf!$C$5*(Nodes!AO97)/('Off-Ramp'!N283*AD283)</f>
        <v>#DIV/0!</v>
      </c>
      <c r="Z98" s="53" t="e">
        <f>Z97+ATM_Conf!$C$5*(Nodes!AP97)/('Off-Ramp'!O283*AE283)</f>
        <v>#DIV/0!</v>
      </c>
      <c r="AA98" s="53" t="e">
        <f>AA97+ATM_Conf!$C$5*(Nodes!AQ97)/('Off-Ramp'!P283*AF283)</f>
        <v>#DIV/0!</v>
      </c>
    </row>
    <row r="99" spans="1:27" x14ac:dyDescent="0.15">
      <c r="A99" s="46">
        <v>97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53" t="e">
        <f t="shared" si="16"/>
        <v>#DIV/0!</v>
      </c>
      <c r="M99" s="53" t="e">
        <f t="shared" si="17"/>
        <v>#DIV/0!</v>
      </c>
      <c r="N99" s="53" t="e">
        <f t="shared" si="18"/>
        <v>#DIV/0!</v>
      </c>
      <c r="O99" s="53" t="e">
        <f t="shared" si="19"/>
        <v>#DIV/0!</v>
      </c>
      <c r="P99" s="69"/>
      <c r="Q99" s="69"/>
      <c r="R99" s="53" t="e">
        <f t="shared" si="20"/>
        <v>#DIV/0!</v>
      </c>
      <c r="S99" s="53" t="e">
        <f t="shared" si="21"/>
        <v>#DIV/0!</v>
      </c>
      <c r="T99" s="53" t="e">
        <f t="shared" si="22"/>
        <v>#DIV/0!</v>
      </c>
      <c r="U99" s="53" t="e">
        <f t="shared" si="23"/>
        <v>#DIV/0!</v>
      </c>
      <c r="V99" s="53" t="e">
        <f>V98+ATM_Conf!$C$5*(Nodes!AL98)/('Off-Ramp'!K284*AA284)</f>
        <v>#DIV/0!</v>
      </c>
      <c r="W99" s="53" t="e">
        <f>W98+ATM_Conf!$C$5*(Nodes!AM98)/('Off-Ramp'!L284*AB284)</f>
        <v>#DIV/0!</v>
      </c>
      <c r="X99" s="53" t="e">
        <f>X98+ATM_Conf!$C$5*(Nodes!AN98)/('Off-Ramp'!M284*AC284)</f>
        <v>#DIV/0!</v>
      </c>
      <c r="Y99" s="53" t="e">
        <f>Y98+ATM_Conf!$C$5*(Nodes!AO98)/('Off-Ramp'!N284*AD284)</f>
        <v>#DIV/0!</v>
      </c>
      <c r="Z99" s="53" t="e">
        <f>Z98+ATM_Conf!$C$5*(Nodes!AP98)/('Off-Ramp'!O284*AE284)</f>
        <v>#DIV/0!</v>
      </c>
      <c r="AA99" s="53" t="e">
        <f>AA98+ATM_Conf!$C$5*(Nodes!AQ98)/('Off-Ramp'!P284*AF284)</f>
        <v>#DIV/0!</v>
      </c>
    </row>
    <row r="100" spans="1:27" x14ac:dyDescent="0.15">
      <c r="A100" s="46">
        <v>98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53" t="e">
        <f t="shared" ref="L100:L131" si="24">B100/60/A$189</f>
        <v>#DIV/0!</v>
      </c>
      <c r="M100" s="53" t="e">
        <f t="shared" ref="M100:M131" si="25">C100/60/B$189</f>
        <v>#DIV/0!</v>
      </c>
      <c r="N100" s="53" t="e">
        <f t="shared" ref="N100:N131" si="26">D100/60/C$189</f>
        <v>#DIV/0!</v>
      </c>
      <c r="O100" s="53" t="e">
        <f t="shared" ref="O100:O131" si="27">E100/60/D$189</f>
        <v>#DIV/0!</v>
      </c>
      <c r="P100" s="69"/>
      <c r="Q100" s="69"/>
      <c r="R100" s="53" t="e">
        <f t="shared" ref="R100:R131" si="28">H100/60/G$189</f>
        <v>#DIV/0!</v>
      </c>
      <c r="S100" s="53" t="e">
        <f t="shared" ref="S100:S131" si="29">I100/60/H$189</f>
        <v>#DIV/0!</v>
      </c>
      <c r="T100" s="53" t="e">
        <f t="shared" ref="T100:T131" si="30">J100/60/I$189</f>
        <v>#DIV/0!</v>
      </c>
      <c r="U100" s="53" t="e">
        <f t="shared" si="23"/>
        <v>#DIV/0!</v>
      </c>
      <c r="V100" s="53" t="e">
        <f>V99+ATM_Conf!$C$5*(Nodes!AL99)/('Off-Ramp'!K285*AA285)</f>
        <v>#DIV/0!</v>
      </c>
      <c r="W100" s="53" t="e">
        <f>W99+ATM_Conf!$C$5*(Nodes!AM99)/('Off-Ramp'!L285*AB285)</f>
        <v>#DIV/0!</v>
      </c>
      <c r="X100" s="53" t="e">
        <f>X99+ATM_Conf!$C$5*(Nodes!AN99)/('Off-Ramp'!M285*AC285)</f>
        <v>#DIV/0!</v>
      </c>
      <c r="Y100" s="53" t="e">
        <f>Y99+ATM_Conf!$C$5*(Nodes!AO99)/('Off-Ramp'!N285*AD285)</f>
        <v>#DIV/0!</v>
      </c>
      <c r="Z100" s="53" t="e">
        <f>Z99+ATM_Conf!$C$5*(Nodes!AP99)/('Off-Ramp'!O285*AE285)</f>
        <v>#DIV/0!</v>
      </c>
      <c r="AA100" s="53" t="e">
        <f>AA99+ATM_Conf!$C$5*(Nodes!AQ99)/('Off-Ramp'!P285*AF285)</f>
        <v>#DIV/0!</v>
      </c>
    </row>
    <row r="101" spans="1:27" x14ac:dyDescent="0.15">
      <c r="A101" s="46">
        <v>99</v>
      </c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53" t="e">
        <f t="shared" si="24"/>
        <v>#DIV/0!</v>
      </c>
      <c r="M101" s="53" t="e">
        <f t="shared" si="25"/>
        <v>#DIV/0!</v>
      </c>
      <c r="N101" s="53" t="e">
        <f t="shared" si="26"/>
        <v>#DIV/0!</v>
      </c>
      <c r="O101" s="53" t="e">
        <f t="shared" si="27"/>
        <v>#DIV/0!</v>
      </c>
      <c r="P101" s="69"/>
      <c r="Q101" s="69"/>
      <c r="R101" s="53" t="e">
        <f t="shared" si="28"/>
        <v>#DIV/0!</v>
      </c>
      <c r="S101" s="53" t="e">
        <f t="shared" si="29"/>
        <v>#DIV/0!</v>
      </c>
      <c r="T101" s="53" t="e">
        <f t="shared" si="30"/>
        <v>#DIV/0!</v>
      </c>
      <c r="U101" s="53" t="e">
        <f t="shared" si="23"/>
        <v>#DIV/0!</v>
      </c>
      <c r="V101" s="53" t="e">
        <f>V100+ATM_Conf!$C$5*(Nodes!AL100)/('Off-Ramp'!K286*AA286)</f>
        <v>#DIV/0!</v>
      </c>
      <c r="W101" s="53" t="e">
        <f>W100+ATM_Conf!$C$5*(Nodes!AM100)/('Off-Ramp'!L286*AB286)</f>
        <v>#DIV/0!</v>
      </c>
      <c r="X101" s="53" t="e">
        <f>X100+ATM_Conf!$C$5*(Nodes!AN100)/('Off-Ramp'!M286*AC286)</f>
        <v>#DIV/0!</v>
      </c>
      <c r="Y101" s="53" t="e">
        <f>Y100+ATM_Conf!$C$5*(Nodes!AO100)/('Off-Ramp'!N286*AD286)</f>
        <v>#DIV/0!</v>
      </c>
      <c r="Z101" s="53" t="e">
        <f>Z100+ATM_Conf!$C$5*(Nodes!AP100)/('Off-Ramp'!O286*AE286)</f>
        <v>#DIV/0!</v>
      </c>
      <c r="AA101" s="53" t="e">
        <f>AA100+ATM_Conf!$C$5*(Nodes!AQ100)/('Off-Ramp'!P286*AF286)</f>
        <v>#DIV/0!</v>
      </c>
    </row>
    <row r="102" spans="1:27" x14ac:dyDescent="0.15">
      <c r="A102" s="46">
        <v>100</v>
      </c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53" t="e">
        <f t="shared" si="24"/>
        <v>#DIV/0!</v>
      </c>
      <c r="M102" s="53" t="e">
        <f t="shared" si="25"/>
        <v>#DIV/0!</v>
      </c>
      <c r="N102" s="53" t="e">
        <f t="shared" si="26"/>
        <v>#DIV/0!</v>
      </c>
      <c r="O102" s="53" t="e">
        <f t="shared" si="27"/>
        <v>#DIV/0!</v>
      </c>
      <c r="P102" s="69"/>
      <c r="Q102" s="69"/>
      <c r="R102" s="53" t="e">
        <f t="shared" si="28"/>
        <v>#DIV/0!</v>
      </c>
      <c r="S102" s="53" t="e">
        <f t="shared" si="29"/>
        <v>#DIV/0!</v>
      </c>
      <c r="T102" s="53" t="e">
        <f t="shared" si="30"/>
        <v>#DIV/0!</v>
      </c>
      <c r="U102" s="53" t="e">
        <f t="shared" si="23"/>
        <v>#DIV/0!</v>
      </c>
      <c r="V102" s="53" t="e">
        <f>V101+ATM_Conf!$C$5*(Nodes!AL101)/('Off-Ramp'!K287*AA287)</f>
        <v>#DIV/0!</v>
      </c>
      <c r="W102" s="53" t="e">
        <f>W101+ATM_Conf!$C$5*(Nodes!AM101)/('Off-Ramp'!L287*AB287)</f>
        <v>#DIV/0!</v>
      </c>
      <c r="X102" s="53" t="e">
        <f>X101+ATM_Conf!$C$5*(Nodes!AN101)/('Off-Ramp'!M287*AC287)</f>
        <v>#DIV/0!</v>
      </c>
      <c r="Y102" s="53" t="e">
        <f>Y101+ATM_Conf!$C$5*(Nodes!AO101)/('Off-Ramp'!N287*AD287)</f>
        <v>#DIV/0!</v>
      </c>
      <c r="Z102" s="53" t="e">
        <f>Z101+ATM_Conf!$C$5*(Nodes!AP101)/('Off-Ramp'!O287*AE287)</f>
        <v>#DIV/0!</v>
      </c>
      <c r="AA102" s="53" t="e">
        <f>AA101+ATM_Conf!$C$5*(Nodes!AQ101)/('Off-Ramp'!P287*AF287)</f>
        <v>#DIV/0!</v>
      </c>
    </row>
    <row r="103" spans="1:27" x14ac:dyDescent="0.15">
      <c r="A103" s="46">
        <v>101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53" t="e">
        <f t="shared" si="24"/>
        <v>#DIV/0!</v>
      </c>
      <c r="M103" s="53" t="e">
        <f t="shared" si="25"/>
        <v>#DIV/0!</v>
      </c>
      <c r="N103" s="53" t="e">
        <f t="shared" si="26"/>
        <v>#DIV/0!</v>
      </c>
      <c r="O103" s="53" t="e">
        <f t="shared" si="27"/>
        <v>#DIV/0!</v>
      </c>
      <c r="P103" s="69"/>
      <c r="Q103" s="69"/>
      <c r="R103" s="53" t="e">
        <f t="shared" si="28"/>
        <v>#DIV/0!</v>
      </c>
      <c r="S103" s="53" t="e">
        <f t="shared" si="29"/>
        <v>#DIV/0!</v>
      </c>
      <c r="T103" s="53" t="e">
        <f t="shared" si="30"/>
        <v>#DIV/0!</v>
      </c>
      <c r="U103" s="53" t="e">
        <f t="shared" si="23"/>
        <v>#DIV/0!</v>
      </c>
      <c r="V103" s="53" t="e">
        <f>V102+ATM_Conf!$C$5*(Nodes!AL102)/('Off-Ramp'!K288*AA288)</f>
        <v>#DIV/0!</v>
      </c>
      <c r="W103" s="53" t="e">
        <f>W102+ATM_Conf!$C$5*(Nodes!AM102)/('Off-Ramp'!L288*AB288)</f>
        <v>#DIV/0!</v>
      </c>
      <c r="X103" s="53" t="e">
        <f>X102+ATM_Conf!$C$5*(Nodes!AN102)/('Off-Ramp'!M288*AC288)</f>
        <v>#DIV/0!</v>
      </c>
      <c r="Y103" s="53" t="e">
        <f>Y102+ATM_Conf!$C$5*(Nodes!AO102)/('Off-Ramp'!N288*AD288)</f>
        <v>#DIV/0!</v>
      </c>
      <c r="Z103" s="53" t="e">
        <f>Z102+ATM_Conf!$C$5*(Nodes!AP102)/('Off-Ramp'!O288*AE288)</f>
        <v>#DIV/0!</v>
      </c>
      <c r="AA103" s="53" t="e">
        <f>AA102+ATM_Conf!$C$5*(Nodes!AQ102)/('Off-Ramp'!P288*AF288)</f>
        <v>#DIV/0!</v>
      </c>
    </row>
    <row r="104" spans="1:27" x14ac:dyDescent="0.15">
      <c r="A104" s="46">
        <v>102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53" t="e">
        <f t="shared" si="24"/>
        <v>#DIV/0!</v>
      </c>
      <c r="M104" s="53" t="e">
        <f t="shared" si="25"/>
        <v>#DIV/0!</v>
      </c>
      <c r="N104" s="53" t="e">
        <f t="shared" si="26"/>
        <v>#DIV/0!</v>
      </c>
      <c r="O104" s="53" t="e">
        <f t="shared" si="27"/>
        <v>#DIV/0!</v>
      </c>
      <c r="P104" s="69"/>
      <c r="Q104" s="69"/>
      <c r="R104" s="53" t="e">
        <f t="shared" si="28"/>
        <v>#DIV/0!</v>
      </c>
      <c r="S104" s="53" t="e">
        <f t="shared" si="29"/>
        <v>#DIV/0!</v>
      </c>
      <c r="T104" s="53" t="e">
        <f t="shared" si="30"/>
        <v>#DIV/0!</v>
      </c>
      <c r="U104" s="53" t="e">
        <f t="shared" si="23"/>
        <v>#DIV/0!</v>
      </c>
      <c r="V104" s="53" t="e">
        <f>V103+ATM_Conf!$C$5*(Nodes!AL103)/('Off-Ramp'!K289*AA289)</f>
        <v>#DIV/0!</v>
      </c>
      <c r="W104" s="53" t="e">
        <f>W103+ATM_Conf!$C$5*(Nodes!AM103)/('Off-Ramp'!L289*AB289)</f>
        <v>#DIV/0!</v>
      </c>
      <c r="X104" s="53" t="e">
        <f>X103+ATM_Conf!$C$5*(Nodes!AN103)/('Off-Ramp'!M289*AC289)</f>
        <v>#DIV/0!</v>
      </c>
      <c r="Y104" s="53" t="e">
        <f>Y103+ATM_Conf!$C$5*(Nodes!AO103)/('Off-Ramp'!N289*AD289)</f>
        <v>#DIV/0!</v>
      </c>
      <c r="Z104" s="53" t="e">
        <f>Z103+ATM_Conf!$C$5*(Nodes!AP103)/('Off-Ramp'!O289*AE289)</f>
        <v>#DIV/0!</v>
      </c>
      <c r="AA104" s="53" t="e">
        <f>AA103+ATM_Conf!$C$5*(Nodes!AQ103)/('Off-Ramp'!P289*AF289)</f>
        <v>#DIV/0!</v>
      </c>
    </row>
    <row r="105" spans="1:27" x14ac:dyDescent="0.15">
      <c r="A105" s="46">
        <v>103</v>
      </c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53" t="e">
        <f t="shared" si="24"/>
        <v>#DIV/0!</v>
      </c>
      <c r="M105" s="53" t="e">
        <f t="shared" si="25"/>
        <v>#DIV/0!</v>
      </c>
      <c r="N105" s="53" t="e">
        <f t="shared" si="26"/>
        <v>#DIV/0!</v>
      </c>
      <c r="O105" s="53" t="e">
        <f t="shared" si="27"/>
        <v>#DIV/0!</v>
      </c>
      <c r="P105" s="69"/>
      <c r="Q105" s="69"/>
      <c r="R105" s="53" t="e">
        <f t="shared" si="28"/>
        <v>#DIV/0!</v>
      </c>
      <c r="S105" s="53" t="e">
        <f t="shared" si="29"/>
        <v>#DIV/0!</v>
      </c>
      <c r="T105" s="53" t="e">
        <f t="shared" si="30"/>
        <v>#DIV/0!</v>
      </c>
      <c r="U105" s="53" t="e">
        <f t="shared" si="23"/>
        <v>#DIV/0!</v>
      </c>
      <c r="V105" s="53" t="e">
        <f>V104+ATM_Conf!$C$5*(Nodes!AL104)/('Off-Ramp'!K290*AA290)</f>
        <v>#DIV/0!</v>
      </c>
      <c r="W105" s="53" t="e">
        <f>W104+ATM_Conf!$C$5*(Nodes!AM104)/('Off-Ramp'!L290*AB290)</f>
        <v>#DIV/0!</v>
      </c>
      <c r="X105" s="53" t="e">
        <f>X104+ATM_Conf!$C$5*(Nodes!AN104)/('Off-Ramp'!M290*AC290)</f>
        <v>#DIV/0!</v>
      </c>
      <c r="Y105" s="53" t="e">
        <f>Y104+ATM_Conf!$C$5*(Nodes!AO104)/('Off-Ramp'!N290*AD290)</f>
        <v>#DIV/0!</v>
      </c>
      <c r="Z105" s="53" t="e">
        <f>Z104+ATM_Conf!$C$5*(Nodes!AP104)/('Off-Ramp'!O290*AE290)</f>
        <v>#DIV/0!</v>
      </c>
      <c r="AA105" s="53" t="e">
        <f>AA104+ATM_Conf!$C$5*(Nodes!AQ104)/('Off-Ramp'!P290*AF290)</f>
        <v>#DIV/0!</v>
      </c>
    </row>
    <row r="106" spans="1:27" x14ac:dyDescent="0.15">
      <c r="A106" s="46">
        <v>104</v>
      </c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53" t="e">
        <f t="shared" si="24"/>
        <v>#DIV/0!</v>
      </c>
      <c r="M106" s="53" t="e">
        <f t="shared" si="25"/>
        <v>#DIV/0!</v>
      </c>
      <c r="N106" s="53" t="e">
        <f t="shared" si="26"/>
        <v>#DIV/0!</v>
      </c>
      <c r="O106" s="53" t="e">
        <f t="shared" si="27"/>
        <v>#DIV/0!</v>
      </c>
      <c r="P106" s="69"/>
      <c r="Q106" s="69"/>
      <c r="R106" s="53" t="e">
        <f t="shared" si="28"/>
        <v>#DIV/0!</v>
      </c>
      <c r="S106" s="53" t="e">
        <f t="shared" si="29"/>
        <v>#DIV/0!</v>
      </c>
      <c r="T106" s="53" t="e">
        <f t="shared" si="30"/>
        <v>#DIV/0!</v>
      </c>
      <c r="U106" s="53" t="e">
        <f t="shared" si="23"/>
        <v>#DIV/0!</v>
      </c>
      <c r="V106" s="53" t="e">
        <f>V105+ATM_Conf!$C$5*(Nodes!AL105)/('Off-Ramp'!K291*AA291)</f>
        <v>#DIV/0!</v>
      </c>
      <c r="W106" s="53" t="e">
        <f>W105+ATM_Conf!$C$5*(Nodes!AM105)/('Off-Ramp'!L291*AB291)</f>
        <v>#DIV/0!</v>
      </c>
      <c r="X106" s="53" t="e">
        <f>X105+ATM_Conf!$C$5*(Nodes!AN105)/('Off-Ramp'!M291*AC291)</f>
        <v>#DIV/0!</v>
      </c>
      <c r="Y106" s="53" t="e">
        <f>Y105+ATM_Conf!$C$5*(Nodes!AO105)/('Off-Ramp'!N291*AD291)</f>
        <v>#DIV/0!</v>
      </c>
      <c r="Z106" s="53" t="e">
        <f>Z105+ATM_Conf!$C$5*(Nodes!AP105)/('Off-Ramp'!O291*AE291)</f>
        <v>#DIV/0!</v>
      </c>
      <c r="AA106" s="53" t="e">
        <f>AA105+ATM_Conf!$C$5*(Nodes!AQ105)/('Off-Ramp'!P291*AF291)</f>
        <v>#DIV/0!</v>
      </c>
    </row>
    <row r="107" spans="1:27" x14ac:dyDescent="0.15">
      <c r="A107" s="46">
        <v>105</v>
      </c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53" t="e">
        <f t="shared" si="24"/>
        <v>#DIV/0!</v>
      </c>
      <c r="M107" s="53" t="e">
        <f t="shared" si="25"/>
        <v>#DIV/0!</v>
      </c>
      <c r="N107" s="53" t="e">
        <f t="shared" si="26"/>
        <v>#DIV/0!</v>
      </c>
      <c r="O107" s="53" t="e">
        <f t="shared" si="27"/>
        <v>#DIV/0!</v>
      </c>
      <c r="P107" s="69"/>
      <c r="Q107" s="69"/>
      <c r="R107" s="53" t="e">
        <f t="shared" si="28"/>
        <v>#DIV/0!</v>
      </c>
      <c r="S107" s="53" t="e">
        <f t="shared" si="29"/>
        <v>#DIV/0!</v>
      </c>
      <c r="T107" s="53" t="e">
        <f t="shared" si="30"/>
        <v>#DIV/0!</v>
      </c>
      <c r="U107" s="53" t="e">
        <f t="shared" si="23"/>
        <v>#DIV/0!</v>
      </c>
      <c r="V107" s="53" t="e">
        <f>V106+ATM_Conf!$C$5*(Nodes!AL106)/('Off-Ramp'!K292*AA292)</f>
        <v>#DIV/0!</v>
      </c>
      <c r="W107" s="53" t="e">
        <f>W106+ATM_Conf!$C$5*(Nodes!AM106)/('Off-Ramp'!L292*AB292)</f>
        <v>#DIV/0!</v>
      </c>
      <c r="X107" s="53" t="e">
        <f>X106+ATM_Conf!$C$5*(Nodes!AN106)/('Off-Ramp'!M292*AC292)</f>
        <v>#DIV/0!</v>
      </c>
      <c r="Y107" s="53" t="e">
        <f>Y106+ATM_Conf!$C$5*(Nodes!AO106)/('Off-Ramp'!N292*AD292)</f>
        <v>#DIV/0!</v>
      </c>
      <c r="Z107" s="53" t="e">
        <f>Z106+ATM_Conf!$C$5*(Nodes!AP106)/('Off-Ramp'!O292*AE292)</f>
        <v>#DIV/0!</v>
      </c>
      <c r="AA107" s="53" t="e">
        <f>AA106+ATM_Conf!$C$5*(Nodes!AQ106)/('Off-Ramp'!P292*AF292)</f>
        <v>#DIV/0!</v>
      </c>
    </row>
    <row r="108" spans="1:27" x14ac:dyDescent="0.15">
      <c r="A108" s="46">
        <v>106</v>
      </c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53" t="e">
        <f t="shared" si="24"/>
        <v>#DIV/0!</v>
      </c>
      <c r="M108" s="53" t="e">
        <f t="shared" si="25"/>
        <v>#DIV/0!</v>
      </c>
      <c r="N108" s="53" t="e">
        <f t="shared" si="26"/>
        <v>#DIV/0!</v>
      </c>
      <c r="O108" s="53" t="e">
        <f t="shared" si="27"/>
        <v>#DIV/0!</v>
      </c>
      <c r="P108" s="69"/>
      <c r="Q108" s="69"/>
      <c r="R108" s="53" t="e">
        <f t="shared" si="28"/>
        <v>#DIV/0!</v>
      </c>
      <c r="S108" s="53" t="e">
        <f t="shared" si="29"/>
        <v>#DIV/0!</v>
      </c>
      <c r="T108" s="53" t="e">
        <f t="shared" si="30"/>
        <v>#DIV/0!</v>
      </c>
      <c r="U108" s="53" t="e">
        <f t="shared" si="23"/>
        <v>#DIV/0!</v>
      </c>
      <c r="V108" s="53" t="e">
        <f>V107+ATM_Conf!$C$5*(Nodes!AL107)/('Off-Ramp'!K293*AA293)</f>
        <v>#DIV/0!</v>
      </c>
      <c r="W108" s="53" t="e">
        <f>W107+ATM_Conf!$C$5*(Nodes!AM107)/('Off-Ramp'!L293*AB293)</f>
        <v>#DIV/0!</v>
      </c>
      <c r="X108" s="53" t="e">
        <f>X107+ATM_Conf!$C$5*(Nodes!AN107)/('Off-Ramp'!M293*AC293)</f>
        <v>#DIV/0!</v>
      </c>
      <c r="Y108" s="53" t="e">
        <f>Y107+ATM_Conf!$C$5*(Nodes!AO107)/('Off-Ramp'!N293*AD293)</f>
        <v>#DIV/0!</v>
      </c>
      <c r="Z108" s="53" t="e">
        <f>Z107+ATM_Conf!$C$5*(Nodes!AP107)/('Off-Ramp'!O293*AE293)</f>
        <v>#DIV/0!</v>
      </c>
      <c r="AA108" s="53" t="e">
        <f>AA107+ATM_Conf!$C$5*(Nodes!AQ107)/('Off-Ramp'!P293*AF293)</f>
        <v>#DIV/0!</v>
      </c>
    </row>
    <row r="109" spans="1:27" x14ac:dyDescent="0.15">
      <c r="A109" s="46">
        <v>107</v>
      </c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53" t="e">
        <f t="shared" si="24"/>
        <v>#DIV/0!</v>
      </c>
      <c r="M109" s="53" t="e">
        <f t="shared" si="25"/>
        <v>#DIV/0!</v>
      </c>
      <c r="N109" s="53" t="e">
        <f t="shared" si="26"/>
        <v>#DIV/0!</v>
      </c>
      <c r="O109" s="53" t="e">
        <f t="shared" si="27"/>
        <v>#DIV/0!</v>
      </c>
      <c r="P109" s="69"/>
      <c r="Q109" s="69"/>
      <c r="R109" s="53" t="e">
        <f t="shared" si="28"/>
        <v>#DIV/0!</v>
      </c>
      <c r="S109" s="53" t="e">
        <f t="shared" si="29"/>
        <v>#DIV/0!</v>
      </c>
      <c r="T109" s="53" t="e">
        <f t="shared" si="30"/>
        <v>#DIV/0!</v>
      </c>
      <c r="U109" s="53" t="e">
        <f t="shared" si="23"/>
        <v>#DIV/0!</v>
      </c>
      <c r="V109" s="53" t="e">
        <f>V108+ATM_Conf!$C$5*(Nodes!AL108)/('Off-Ramp'!K294*AA294)</f>
        <v>#DIV/0!</v>
      </c>
      <c r="W109" s="53" t="e">
        <f>W108+ATM_Conf!$C$5*(Nodes!AM108)/('Off-Ramp'!L294*AB294)</f>
        <v>#DIV/0!</v>
      </c>
      <c r="X109" s="53" t="e">
        <f>X108+ATM_Conf!$C$5*(Nodes!AN108)/('Off-Ramp'!M294*AC294)</f>
        <v>#DIV/0!</v>
      </c>
      <c r="Y109" s="53" t="e">
        <f>Y108+ATM_Conf!$C$5*(Nodes!AO108)/('Off-Ramp'!N294*AD294)</f>
        <v>#DIV/0!</v>
      </c>
      <c r="Z109" s="53" t="e">
        <f>Z108+ATM_Conf!$C$5*(Nodes!AP108)/('Off-Ramp'!O294*AE294)</f>
        <v>#DIV/0!</v>
      </c>
      <c r="AA109" s="53" t="e">
        <f>AA108+ATM_Conf!$C$5*(Nodes!AQ108)/('Off-Ramp'!P294*AF294)</f>
        <v>#DIV/0!</v>
      </c>
    </row>
    <row r="110" spans="1:27" x14ac:dyDescent="0.15">
      <c r="A110" s="46">
        <v>108</v>
      </c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53" t="e">
        <f t="shared" si="24"/>
        <v>#DIV/0!</v>
      </c>
      <c r="M110" s="53" t="e">
        <f t="shared" si="25"/>
        <v>#DIV/0!</v>
      </c>
      <c r="N110" s="53" t="e">
        <f t="shared" si="26"/>
        <v>#DIV/0!</v>
      </c>
      <c r="O110" s="53" t="e">
        <f t="shared" si="27"/>
        <v>#DIV/0!</v>
      </c>
      <c r="P110" s="69"/>
      <c r="Q110" s="69"/>
      <c r="R110" s="53" t="e">
        <f t="shared" si="28"/>
        <v>#DIV/0!</v>
      </c>
      <c r="S110" s="53" t="e">
        <f t="shared" si="29"/>
        <v>#DIV/0!</v>
      </c>
      <c r="T110" s="53" t="e">
        <f t="shared" si="30"/>
        <v>#DIV/0!</v>
      </c>
      <c r="U110" s="53" t="e">
        <f t="shared" si="23"/>
        <v>#DIV/0!</v>
      </c>
      <c r="V110" s="53" t="e">
        <f>V109+ATM_Conf!$C$5*(Nodes!AL109)/('Off-Ramp'!K295*AA295)</f>
        <v>#DIV/0!</v>
      </c>
      <c r="W110" s="53" t="e">
        <f>W109+ATM_Conf!$C$5*(Nodes!AM109)/('Off-Ramp'!L295*AB295)</f>
        <v>#DIV/0!</v>
      </c>
      <c r="X110" s="53" t="e">
        <f>X109+ATM_Conf!$C$5*(Nodes!AN109)/('Off-Ramp'!M295*AC295)</f>
        <v>#DIV/0!</v>
      </c>
      <c r="Y110" s="53" t="e">
        <f>Y109+ATM_Conf!$C$5*(Nodes!AO109)/('Off-Ramp'!N295*AD295)</f>
        <v>#DIV/0!</v>
      </c>
      <c r="Z110" s="53" t="e">
        <f>Z109+ATM_Conf!$C$5*(Nodes!AP109)/('Off-Ramp'!O295*AE295)</f>
        <v>#DIV/0!</v>
      </c>
      <c r="AA110" s="53" t="e">
        <f>AA109+ATM_Conf!$C$5*(Nodes!AQ109)/('Off-Ramp'!P295*AF295)</f>
        <v>#DIV/0!</v>
      </c>
    </row>
    <row r="111" spans="1:27" x14ac:dyDescent="0.15">
      <c r="A111" s="46">
        <v>109</v>
      </c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53" t="e">
        <f t="shared" si="24"/>
        <v>#DIV/0!</v>
      </c>
      <c r="M111" s="53" t="e">
        <f t="shared" si="25"/>
        <v>#DIV/0!</v>
      </c>
      <c r="N111" s="53" t="e">
        <f t="shared" si="26"/>
        <v>#DIV/0!</v>
      </c>
      <c r="O111" s="53" t="e">
        <f t="shared" si="27"/>
        <v>#DIV/0!</v>
      </c>
      <c r="P111" s="69"/>
      <c r="Q111" s="69"/>
      <c r="R111" s="53" t="e">
        <f t="shared" si="28"/>
        <v>#DIV/0!</v>
      </c>
      <c r="S111" s="53" t="e">
        <f t="shared" si="29"/>
        <v>#DIV/0!</v>
      </c>
      <c r="T111" s="53" t="e">
        <f t="shared" si="30"/>
        <v>#DIV/0!</v>
      </c>
      <c r="U111" s="53" t="e">
        <f t="shared" si="23"/>
        <v>#DIV/0!</v>
      </c>
      <c r="V111" s="53" t="e">
        <f>V110+ATM_Conf!$C$5*(Nodes!AL110)/('Off-Ramp'!K296*AA296)</f>
        <v>#DIV/0!</v>
      </c>
      <c r="W111" s="53" t="e">
        <f>W110+ATM_Conf!$C$5*(Nodes!AM110)/('Off-Ramp'!L296*AB296)</f>
        <v>#DIV/0!</v>
      </c>
      <c r="X111" s="53" t="e">
        <f>X110+ATM_Conf!$C$5*(Nodes!AN110)/('Off-Ramp'!M296*AC296)</f>
        <v>#DIV/0!</v>
      </c>
      <c r="Y111" s="53" t="e">
        <f>Y110+ATM_Conf!$C$5*(Nodes!AO110)/('Off-Ramp'!N296*AD296)</f>
        <v>#DIV/0!</v>
      </c>
      <c r="Z111" s="53" t="e">
        <f>Z110+ATM_Conf!$C$5*(Nodes!AP110)/('Off-Ramp'!O296*AE296)</f>
        <v>#DIV/0!</v>
      </c>
      <c r="AA111" s="53" t="e">
        <f>AA110+ATM_Conf!$C$5*(Nodes!AQ110)/('Off-Ramp'!P296*AF296)</f>
        <v>#DIV/0!</v>
      </c>
    </row>
    <row r="112" spans="1:27" x14ac:dyDescent="0.15">
      <c r="A112" s="46">
        <v>110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53" t="e">
        <f t="shared" si="24"/>
        <v>#DIV/0!</v>
      </c>
      <c r="M112" s="53" t="e">
        <f t="shared" si="25"/>
        <v>#DIV/0!</v>
      </c>
      <c r="N112" s="53" t="e">
        <f t="shared" si="26"/>
        <v>#DIV/0!</v>
      </c>
      <c r="O112" s="53" t="e">
        <f t="shared" si="27"/>
        <v>#DIV/0!</v>
      </c>
      <c r="P112" s="69"/>
      <c r="Q112" s="69"/>
      <c r="R112" s="53" t="e">
        <f t="shared" si="28"/>
        <v>#DIV/0!</v>
      </c>
      <c r="S112" s="53" t="e">
        <f t="shared" si="29"/>
        <v>#DIV/0!</v>
      </c>
      <c r="T112" s="53" t="e">
        <f t="shared" si="30"/>
        <v>#DIV/0!</v>
      </c>
      <c r="U112" s="53" t="e">
        <f t="shared" si="23"/>
        <v>#DIV/0!</v>
      </c>
      <c r="V112" s="53" t="e">
        <f>V111+ATM_Conf!$C$5*(Nodes!AL111)/('Off-Ramp'!K297*AA297)</f>
        <v>#DIV/0!</v>
      </c>
      <c r="W112" s="53" t="e">
        <f>W111+ATM_Conf!$C$5*(Nodes!AM111)/('Off-Ramp'!L297*AB297)</f>
        <v>#DIV/0!</v>
      </c>
      <c r="X112" s="53" t="e">
        <f>X111+ATM_Conf!$C$5*(Nodes!AN111)/('Off-Ramp'!M297*AC297)</f>
        <v>#DIV/0!</v>
      </c>
      <c r="Y112" s="53" t="e">
        <f>Y111+ATM_Conf!$C$5*(Nodes!AO111)/('Off-Ramp'!N297*AD297)</f>
        <v>#DIV/0!</v>
      </c>
      <c r="Z112" s="53" t="e">
        <f>Z111+ATM_Conf!$C$5*(Nodes!AP111)/('Off-Ramp'!O297*AE297)</f>
        <v>#DIV/0!</v>
      </c>
      <c r="AA112" s="53" t="e">
        <f>AA111+ATM_Conf!$C$5*(Nodes!AQ111)/('Off-Ramp'!P297*AF297)</f>
        <v>#DIV/0!</v>
      </c>
    </row>
    <row r="113" spans="1:27" x14ac:dyDescent="0.15">
      <c r="A113" s="46">
        <v>111</v>
      </c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53" t="e">
        <f t="shared" si="24"/>
        <v>#DIV/0!</v>
      </c>
      <c r="M113" s="53" t="e">
        <f t="shared" si="25"/>
        <v>#DIV/0!</v>
      </c>
      <c r="N113" s="53" t="e">
        <f t="shared" si="26"/>
        <v>#DIV/0!</v>
      </c>
      <c r="O113" s="53" t="e">
        <f t="shared" si="27"/>
        <v>#DIV/0!</v>
      </c>
      <c r="P113" s="69"/>
      <c r="Q113" s="69"/>
      <c r="R113" s="53" t="e">
        <f t="shared" si="28"/>
        <v>#DIV/0!</v>
      </c>
      <c r="S113" s="53" t="e">
        <f t="shared" si="29"/>
        <v>#DIV/0!</v>
      </c>
      <c r="T113" s="53" t="e">
        <f t="shared" si="30"/>
        <v>#DIV/0!</v>
      </c>
      <c r="U113" s="53" t="e">
        <f t="shared" si="23"/>
        <v>#DIV/0!</v>
      </c>
      <c r="V113" s="53" t="e">
        <f>V112+ATM_Conf!$C$5*(Nodes!AL112)/('Off-Ramp'!K298*AA298)</f>
        <v>#DIV/0!</v>
      </c>
      <c r="W113" s="53" t="e">
        <f>W112+ATM_Conf!$C$5*(Nodes!AM112)/('Off-Ramp'!L298*AB298)</f>
        <v>#DIV/0!</v>
      </c>
      <c r="X113" s="53" t="e">
        <f>X112+ATM_Conf!$C$5*(Nodes!AN112)/('Off-Ramp'!M298*AC298)</f>
        <v>#DIV/0!</v>
      </c>
      <c r="Y113" s="53" t="e">
        <f>Y112+ATM_Conf!$C$5*(Nodes!AO112)/('Off-Ramp'!N298*AD298)</f>
        <v>#DIV/0!</v>
      </c>
      <c r="Z113" s="53" t="e">
        <f>Z112+ATM_Conf!$C$5*(Nodes!AP112)/('Off-Ramp'!O298*AE298)</f>
        <v>#DIV/0!</v>
      </c>
      <c r="AA113" s="53" t="e">
        <f>AA112+ATM_Conf!$C$5*(Nodes!AQ112)/('Off-Ramp'!P298*AF298)</f>
        <v>#DIV/0!</v>
      </c>
    </row>
    <row r="114" spans="1:27" x14ac:dyDescent="0.15">
      <c r="A114" s="46">
        <v>112</v>
      </c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53" t="e">
        <f t="shared" si="24"/>
        <v>#DIV/0!</v>
      </c>
      <c r="M114" s="53" t="e">
        <f t="shared" si="25"/>
        <v>#DIV/0!</v>
      </c>
      <c r="N114" s="53" t="e">
        <f t="shared" si="26"/>
        <v>#DIV/0!</v>
      </c>
      <c r="O114" s="53" t="e">
        <f t="shared" si="27"/>
        <v>#DIV/0!</v>
      </c>
      <c r="P114" s="69"/>
      <c r="Q114" s="69"/>
      <c r="R114" s="53" t="e">
        <f t="shared" si="28"/>
        <v>#DIV/0!</v>
      </c>
      <c r="S114" s="53" t="e">
        <f t="shared" si="29"/>
        <v>#DIV/0!</v>
      </c>
      <c r="T114" s="53" t="e">
        <f t="shared" si="30"/>
        <v>#DIV/0!</v>
      </c>
      <c r="U114" s="53" t="e">
        <f t="shared" si="23"/>
        <v>#DIV/0!</v>
      </c>
      <c r="V114" s="53" t="e">
        <f>V113+ATM_Conf!$C$5*(Nodes!AL113)/('Off-Ramp'!K299*AA299)</f>
        <v>#DIV/0!</v>
      </c>
      <c r="W114" s="53" t="e">
        <f>W113+ATM_Conf!$C$5*(Nodes!AM113)/('Off-Ramp'!L299*AB299)</f>
        <v>#DIV/0!</v>
      </c>
      <c r="X114" s="53" t="e">
        <f>X113+ATM_Conf!$C$5*(Nodes!AN113)/('Off-Ramp'!M299*AC299)</f>
        <v>#DIV/0!</v>
      </c>
      <c r="Y114" s="53" t="e">
        <f>Y113+ATM_Conf!$C$5*(Nodes!AO113)/('Off-Ramp'!N299*AD299)</f>
        <v>#DIV/0!</v>
      </c>
      <c r="Z114" s="53" t="e">
        <f>Z113+ATM_Conf!$C$5*(Nodes!AP113)/('Off-Ramp'!O299*AE299)</f>
        <v>#DIV/0!</v>
      </c>
      <c r="AA114" s="53" t="e">
        <f>AA113+ATM_Conf!$C$5*(Nodes!AQ113)/('Off-Ramp'!P299*AF299)</f>
        <v>#DIV/0!</v>
      </c>
    </row>
    <row r="115" spans="1:27" x14ac:dyDescent="0.15">
      <c r="A115" s="46">
        <v>113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53" t="e">
        <f t="shared" si="24"/>
        <v>#DIV/0!</v>
      </c>
      <c r="M115" s="53" t="e">
        <f t="shared" si="25"/>
        <v>#DIV/0!</v>
      </c>
      <c r="N115" s="53" t="e">
        <f t="shared" si="26"/>
        <v>#DIV/0!</v>
      </c>
      <c r="O115" s="53" t="e">
        <f t="shared" si="27"/>
        <v>#DIV/0!</v>
      </c>
      <c r="P115" s="69"/>
      <c r="Q115" s="69"/>
      <c r="R115" s="53" t="e">
        <f t="shared" si="28"/>
        <v>#DIV/0!</v>
      </c>
      <c r="S115" s="53" t="e">
        <f t="shared" si="29"/>
        <v>#DIV/0!</v>
      </c>
      <c r="T115" s="53" t="e">
        <f t="shared" si="30"/>
        <v>#DIV/0!</v>
      </c>
      <c r="U115" s="53" t="e">
        <f t="shared" si="23"/>
        <v>#DIV/0!</v>
      </c>
      <c r="V115" s="53" t="e">
        <f>V114+ATM_Conf!$C$5*(Nodes!AL114)/('Off-Ramp'!K300*AA300)</f>
        <v>#DIV/0!</v>
      </c>
      <c r="W115" s="53" t="e">
        <f>W114+ATM_Conf!$C$5*(Nodes!AM114)/('Off-Ramp'!L300*AB300)</f>
        <v>#DIV/0!</v>
      </c>
      <c r="X115" s="53" t="e">
        <f>X114+ATM_Conf!$C$5*(Nodes!AN114)/('Off-Ramp'!M300*AC300)</f>
        <v>#DIV/0!</v>
      </c>
      <c r="Y115" s="53" t="e">
        <f>Y114+ATM_Conf!$C$5*(Nodes!AO114)/('Off-Ramp'!N300*AD300)</f>
        <v>#DIV/0!</v>
      </c>
      <c r="Z115" s="53" t="e">
        <f>Z114+ATM_Conf!$C$5*(Nodes!AP114)/('Off-Ramp'!O300*AE300)</f>
        <v>#DIV/0!</v>
      </c>
      <c r="AA115" s="53" t="e">
        <f>AA114+ATM_Conf!$C$5*(Nodes!AQ114)/('Off-Ramp'!P300*AF300)</f>
        <v>#DIV/0!</v>
      </c>
    </row>
    <row r="116" spans="1:27" x14ac:dyDescent="0.15">
      <c r="A116" s="46">
        <v>114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53" t="e">
        <f t="shared" si="24"/>
        <v>#DIV/0!</v>
      </c>
      <c r="M116" s="53" t="e">
        <f t="shared" si="25"/>
        <v>#DIV/0!</v>
      </c>
      <c r="N116" s="53" t="e">
        <f t="shared" si="26"/>
        <v>#DIV/0!</v>
      </c>
      <c r="O116" s="53" t="e">
        <f t="shared" si="27"/>
        <v>#DIV/0!</v>
      </c>
      <c r="P116" s="69"/>
      <c r="Q116" s="69"/>
      <c r="R116" s="53" t="e">
        <f t="shared" si="28"/>
        <v>#DIV/0!</v>
      </c>
      <c r="S116" s="53" t="e">
        <f t="shared" si="29"/>
        <v>#DIV/0!</v>
      </c>
      <c r="T116" s="53" t="e">
        <f t="shared" si="30"/>
        <v>#DIV/0!</v>
      </c>
      <c r="U116" s="53" t="e">
        <f t="shared" si="23"/>
        <v>#DIV/0!</v>
      </c>
      <c r="V116" s="53" t="e">
        <f>V115+ATM_Conf!$C$5*(Nodes!AL115)/('Off-Ramp'!K301*AA301)</f>
        <v>#DIV/0!</v>
      </c>
      <c r="W116" s="53" t="e">
        <f>W115+ATM_Conf!$C$5*(Nodes!AM115)/('Off-Ramp'!L301*AB301)</f>
        <v>#DIV/0!</v>
      </c>
      <c r="X116" s="53" t="e">
        <f>X115+ATM_Conf!$C$5*(Nodes!AN115)/('Off-Ramp'!M301*AC301)</f>
        <v>#DIV/0!</v>
      </c>
      <c r="Y116" s="53" t="e">
        <f>Y115+ATM_Conf!$C$5*(Nodes!AO115)/('Off-Ramp'!N301*AD301)</f>
        <v>#DIV/0!</v>
      </c>
      <c r="Z116" s="53" t="e">
        <f>Z115+ATM_Conf!$C$5*(Nodes!AP115)/('Off-Ramp'!O301*AE301)</f>
        <v>#DIV/0!</v>
      </c>
      <c r="AA116" s="53" t="e">
        <f>AA115+ATM_Conf!$C$5*(Nodes!AQ115)/('Off-Ramp'!P301*AF301)</f>
        <v>#DIV/0!</v>
      </c>
    </row>
    <row r="117" spans="1:27" x14ac:dyDescent="0.15">
      <c r="A117" s="46">
        <v>115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53" t="e">
        <f t="shared" si="24"/>
        <v>#DIV/0!</v>
      </c>
      <c r="M117" s="53" t="e">
        <f t="shared" si="25"/>
        <v>#DIV/0!</v>
      </c>
      <c r="N117" s="53" t="e">
        <f t="shared" si="26"/>
        <v>#DIV/0!</v>
      </c>
      <c r="O117" s="53" t="e">
        <f t="shared" si="27"/>
        <v>#DIV/0!</v>
      </c>
      <c r="P117" s="69"/>
      <c r="Q117" s="69"/>
      <c r="R117" s="53" t="e">
        <f t="shared" si="28"/>
        <v>#DIV/0!</v>
      </c>
      <c r="S117" s="53" t="e">
        <f t="shared" si="29"/>
        <v>#DIV/0!</v>
      </c>
      <c r="T117" s="53" t="e">
        <f t="shared" si="30"/>
        <v>#DIV/0!</v>
      </c>
      <c r="U117" s="53" t="e">
        <f t="shared" si="23"/>
        <v>#DIV/0!</v>
      </c>
      <c r="V117" s="53" t="e">
        <f>V116+ATM_Conf!$C$5*(Nodes!AL116)/('Off-Ramp'!K302*AA302)</f>
        <v>#DIV/0!</v>
      </c>
      <c r="W117" s="53" t="e">
        <f>W116+ATM_Conf!$C$5*(Nodes!AM116)/('Off-Ramp'!L302*AB302)</f>
        <v>#DIV/0!</v>
      </c>
      <c r="X117" s="53" t="e">
        <f>X116+ATM_Conf!$C$5*(Nodes!AN116)/('Off-Ramp'!M302*AC302)</f>
        <v>#DIV/0!</v>
      </c>
      <c r="Y117" s="53" t="e">
        <f>Y116+ATM_Conf!$C$5*(Nodes!AO116)/('Off-Ramp'!N302*AD302)</f>
        <v>#DIV/0!</v>
      </c>
      <c r="Z117" s="53" t="e">
        <f>Z116+ATM_Conf!$C$5*(Nodes!AP116)/('Off-Ramp'!O302*AE302)</f>
        <v>#DIV/0!</v>
      </c>
      <c r="AA117" s="53" t="e">
        <f>AA116+ATM_Conf!$C$5*(Nodes!AQ116)/('Off-Ramp'!P302*AF302)</f>
        <v>#DIV/0!</v>
      </c>
    </row>
    <row r="118" spans="1:27" x14ac:dyDescent="0.15">
      <c r="A118" s="46">
        <v>116</v>
      </c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53" t="e">
        <f t="shared" si="24"/>
        <v>#DIV/0!</v>
      </c>
      <c r="M118" s="53" t="e">
        <f t="shared" si="25"/>
        <v>#DIV/0!</v>
      </c>
      <c r="N118" s="53" t="e">
        <f t="shared" si="26"/>
        <v>#DIV/0!</v>
      </c>
      <c r="O118" s="53" t="e">
        <f t="shared" si="27"/>
        <v>#DIV/0!</v>
      </c>
      <c r="P118" s="69"/>
      <c r="Q118" s="69"/>
      <c r="R118" s="53" t="e">
        <f t="shared" si="28"/>
        <v>#DIV/0!</v>
      </c>
      <c r="S118" s="53" t="e">
        <f t="shared" si="29"/>
        <v>#DIV/0!</v>
      </c>
      <c r="T118" s="53" t="e">
        <f t="shared" si="30"/>
        <v>#DIV/0!</v>
      </c>
      <c r="U118" s="53" t="e">
        <f t="shared" si="23"/>
        <v>#DIV/0!</v>
      </c>
      <c r="V118" s="53" t="e">
        <f>V117+ATM_Conf!$C$5*(Nodes!AL117)/('Off-Ramp'!K303*AA303)</f>
        <v>#DIV/0!</v>
      </c>
      <c r="W118" s="53" t="e">
        <f>W117+ATM_Conf!$C$5*(Nodes!AM117)/('Off-Ramp'!L303*AB303)</f>
        <v>#DIV/0!</v>
      </c>
      <c r="X118" s="53" t="e">
        <f>X117+ATM_Conf!$C$5*(Nodes!AN117)/('Off-Ramp'!M303*AC303)</f>
        <v>#DIV/0!</v>
      </c>
      <c r="Y118" s="53" t="e">
        <f>Y117+ATM_Conf!$C$5*(Nodes!AO117)/('Off-Ramp'!N303*AD303)</f>
        <v>#DIV/0!</v>
      </c>
      <c r="Z118" s="53" t="e">
        <f>Z117+ATM_Conf!$C$5*(Nodes!AP117)/('Off-Ramp'!O303*AE303)</f>
        <v>#DIV/0!</v>
      </c>
      <c r="AA118" s="53" t="e">
        <f>AA117+ATM_Conf!$C$5*(Nodes!AQ117)/('Off-Ramp'!P303*AF303)</f>
        <v>#DIV/0!</v>
      </c>
    </row>
    <row r="119" spans="1:27" x14ac:dyDescent="0.15">
      <c r="A119" s="46">
        <v>117</v>
      </c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53" t="e">
        <f t="shared" si="24"/>
        <v>#DIV/0!</v>
      </c>
      <c r="M119" s="53" t="e">
        <f t="shared" si="25"/>
        <v>#DIV/0!</v>
      </c>
      <c r="N119" s="53" t="e">
        <f t="shared" si="26"/>
        <v>#DIV/0!</v>
      </c>
      <c r="O119" s="53" t="e">
        <f t="shared" si="27"/>
        <v>#DIV/0!</v>
      </c>
      <c r="P119" s="69"/>
      <c r="Q119" s="69"/>
      <c r="R119" s="53" t="e">
        <f t="shared" si="28"/>
        <v>#DIV/0!</v>
      </c>
      <c r="S119" s="53" t="e">
        <f t="shared" si="29"/>
        <v>#DIV/0!</v>
      </c>
      <c r="T119" s="53" t="e">
        <f t="shared" si="30"/>
        <v>#DIV/0!</v>
      </c>
      <c r="U119" s="53" t="e">
        <f t="shared" si="23"/>
        <v>#DIV/0!</v>
      </c>
      <c r="V119" s="53" t="e">
        <f>V118+ATM_Conf!$C$5*(Nodes!AL118)/('Off-Ramp'!K304*AA304)</f>
        <v>#DIV/0!</v>
      </c>
      <c r="W119" s="53" t="e">
        <f>W118+ATM_Conf!$C$5*(Nodes!AM118)/('Off-Ramp'!L304*AB304)</f>
        <v>#DIV/0!</v>
      </c>
      <c r="X119" s="53" t="e">
        <f>X118+ATM_Conf!$C$5*(Nodes!AN118)/('Off-Ramp'!M304*AC304)</f>
        <v>#DIV/0!</v>
      </c>
      <c r="Y119" s="53" t="e">
        <f>Y118+ATM_Conf!$C$5*(Nodes!AO118)/('Off-Ramp'!N304*AD304)</f>
        <v>#DIV/0!</v>
      </c>
      <c r="Z119" s="53" t="e">
        <f>Z118+ATM_Conf!$C$5*(Nodes!AP118)/('Off-Ramp'!O304*AE304)</f>
        <v>#DIV/0!</v>
      </c>
      <c r="AA119" s="53" t="e">
        <f>AA118+ATM_Conf!$C$5*(Nodes!AQ118)/('Off-Ramp'!P304*AF304)</f>
        <v>#DIV/0!</v>
      </c>
    </row>
    <row r="120" spans="1:27" x14ac:dyDescent="0.15">
      <c r="A120" s="46">
        <v>118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53" t="e">
        <f t="shared" si="24"/>
        <v>#DIV/0!</v>
      </c>
      <c r="M120" s="53" t="e">
        <f t="shared" si="25"/>
        <v>#DIV/0!</v>
      </c>
      <c r="N120" s="53" t="e">
        <f t="shared" si="26"/>
        <v>#DIV/0!</v>
      </c>
      <c r="O120" s="53" t="e">
        <f t="shared" si="27"/>
        <v>#DIV/0!</v>
      </c>
      <c r="P120" s="69"/>
      <c r="Q120" s="69"/>
      <c r="R120" s="53" t="e">
        <f t="shared" si="28"/>
        <v>#DIV/0!</v>
      </c>
      <c r="S120" s="53" t="e">
        <f t="shared" si="29"/>
        <v>#DIV/0!</v>
      </c>
      <c r="T120" s="53" t="e">
        <f t="shared" si="30"/>
        <v>#DIV/0!</v>
      </c>
      <c r="U120" s="53" t="e">
        <f t="shared" si="23"/>
        <v>#DIV/0!</v>
      </c>
      <c r="V120" s="53" t="e">
        <f>V119+ATM_Conf!$C$5*(Nodes!AL119)/('Off-Ramp'!K305*AA305)</f>
        <v>#DIV/0!</v>
      </c>
      <c r="W120" s="53" t="e">
        <f>W119+ATM_Conf!$C$5*(Nodes!AM119)/('Off-Ramp'!L305*AB305)</f>
        <v>#DIV/0!</v>
      </c>
      <c r="X120" s="53" t="e">
        <f>X119+ATM_Conf!$C$5*(Nodes!AN119)/('Off-Ramp'!M305*AC305)</f>
        <v>#DIV/0!</v>
      </c>
      <c r="Y120" s="53" t="e">
        <f>Y119+ATM_Conf!$C$5*(Nodes!AO119)/('Off-Ramp'!N305*AD305)</f>
        <v>#DIV/0!</v>
      </c>
      <c r="Z120" s="53" t="e">
        <f>Z119+ATM_Conf!$C$5*(Nodes!AP119)/('Off-Ramp'!O305*AE305)</f>
        <v>#DIV/0!</v>
      </c>
      <c r="AA120" s="53" t="e">
        <f>AA119+ATM_Conf!$C$5*(Nodes!AQ119)/('Off-Ramp'!P305*AF305)</f>
        <v>#DIV/0!</v>
      </c>
    </row>
    <row r="121" spans="1:27" x14ac:dyDescent="0.15">
      <c r="A121" s="46">
        <v>119</v>
      </c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53" t="e">
        <f t="shared" si="24"/>
        <v>#DIV/0!</v>
      </c>
      <c r="M121" s="53" t="e">
        <f t="shared" si="25"/>
        <v>#DIV/0!</v>
      </c>
      <c r="N121" s="53" t="e">
        <f t="shared" si="26"/>
        <v>#DIV/0!</v>
      </c>
      <c r="O121" s="53" t="e">
        <f t="shared" si="27"/>
        <v>#DIV/0!</v>
      </c>
      <c r="P121" s="69"/>
      <c r="Q121" s="69"/>
      <c r="R121" s="53" t="e">
        <f t="shared" si="28"/>
        <v>#DIV/0!</v>
      </c>
      <c r="S121" s="53" t="e">
        <f t="shared" si="29"/>
        <v>#DIV/0!</v>
      </c>
      <c r="T121" s="53" t="e">
        <f t="shared" si="30"/>
        <v>#DIV/0!</v>
      </c>
      <c r="U121" s="53" t="e">
        <f t="shared" si="23"/>
        <v>#DIV/0!</v>
      </c>
      <c r="V121" s="53" t="e">
        <f>V120+ATM_Conf!$C$5*(Nodes!AL120)/('Off-Ramp'!K306*AA306)</f>
        <v>#DIV/0!</v>
      </c>
      <c r="W121" s="53" t="e">
        <f>W120+ATM_Conf!$C$5*(Nodes!AM120)/('Off-Ramp'!L306*AB306)</f>
        <v>#DIV/0!</v>
      </c>
      <c r="X121" s="53" t="e">
        <f>X120+ATM_Conf!$C$5*(Nodes!AN120)/('Off-Ramp'!M306*AC306)</f>
        <v>#DIV/0!</v>
      </c>
      <c r="Y121" s="53" t="e">
        <f>Y120+ATM_Conf!$C$5*(Nodes!AO120)/('Off-Ramp'!N306*AD306)</f>
        <v>#DIV/0!</v>
      </c>
      <c r="Z121" s="53" t="e">
        <f>Z120+ATM_Conf!$C$5*(Nodes!AP120)/('Off-Ramp'!O306*AE306)</f>
        <v>#DIV/0!</v>
      </c>
      <c r="AA121" s="53" t="e">
        <f>AA120+ATM_Conf!$C$5*(Nodes!AQ120)/('Off-Ramp'!P306*AF306)</f>
        <v>#DIV/0!</v>
      </c>
    </row>
    <row r="122" spans="1:27" x14ac:dyDescent="0.15">
      <c r="A122" s="46">
        <v>120</v>
      </c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53" t="e">
        <f t="shared" si="24"/>
        <v>#DIV/0!</v>
      </c>
      <c r="M122" s="53" t="e">
        <f t="shared" si="25"/>
        <v>#DIV/0!</v>
      </c>
      <c r="N122" s="53" t="e">
        <f t="shared" si="26"/>
        <v>#DIV/0!</v>
      </c>
      <c r="O122" s="53" t="e">
        <f t="shared" si="27"/>
        <v>#DIV/0!</v>
      </c>
      <c r="P122" s="69"/>
      <c r="Q122" s="69"/>
      <c r="R122" s="53" t="e">
        <f t="shared" si="28"/>
        <v>#DIV/0!</v>
      </c>
      <c r="S122" s="53" t="e">
        <f t="shared" si="29"/>
        <v>#DIV/0!</v>
      </c>
      <c r="T122" s="53" t="e">
        <f t="shared" si="30"/>
        <v>#DIV/0!</v>
      </c>
      <c r="U122" s="53" t="e">
        <f t="shared" si="23"/>
        <v>#DIV/0!</v>
      </c>
      <c r="V122" s="53" t="e">
        <f>V121+ATM_Conf!$C$5*(Nodes!AL121)/('Off-Ramp'!K307*AA307)</f>
        <v>#DIV/0!</v>
      </c>
      <c r="W122" s="53" t="e">
        <f>W121+ATM_Conf!$C$5*(Nodes!AM121)/('Off-Ramp'!L307*AB307)</f>
        <v>#DIV/0!</v>
      </c>
      <c r="X122" s="53" t="e">
        <f>X121+ATM_Conf!$C$5*(Nodes!AN121)/('Off-Ramp'!M307*AC307)</f>
        <v>#DIV/0!</v>
      </c>
      <c r="Y122" s="53" t="e">
        <f>Y121+ATM_Conf!$C$5*(Nodes!AO121)/('Off-Ramp'!N307*AD307)</f>
        <v>#DIV/0!</v>
      </c>
      <c r="Z122" s="53" t="e">
        <f>Z121+ATM_Conf!$C$5*(Nodes!AP121)/('Off-Ramp'!O307*AE307)</f>
        <v>#DIV/0!</v>
      </c>
      <c r="AA122" s="53" t="e">
        <f>AA121+ATM_Conf!$C$5*(Nodes!AQ121)/('Off-Ramp'!P307*AF307)</f>
        <v>#DIV/0!</v>
      </c>
    </row>
    <row r="123" spans="1:27" x14ac:dyDescent="0.15">
      <c r="A123" s="46">
        <v>121</v>
      </c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53" t="e">
        <f t="shared" si="24"/>
        <v>#DIV/0!</v>
      </c>
      <c r="M123" s="53" t="e">
        <f t="shared" si="25"/>
        <v>#DIV/0!</v>
      </c>
      <c r="N123" s="53" t="e">
        <f t="shared" si="26"/>
        <v>#DIV/0!</v>
      </c>
      <c r="O123" s="53" t="e">
        <f t="shared" si="27"/>
        <v>#DIV/0!</v>
      </c>
      <c r="P123" s="69"/>
      <c r="Q123" s="69"/>
      <c r="R123" s="53" t="e">
        <f t="shared" si="28"/>
        <v>#DIV/0!</v>
      </c>
      <c r="S123" s="53" t="e">
        <f t="shared" si="29"/>
        <v>#DIV/0!</v>
      </c>
      <c r="T123" s="53" t="e">
        <f t="shared" si="30"/>
        <v>#DIV/0!</v>
      </c>
      <c r="U123" s="53" t="e">
        <f t="shared" si="23"/>
        <v>#DIV/0!</v>
      </c>
      <c r="V123" s="53" t="e">
        <f>V122+ATM_Conf!$C$5*(Nodes!AL122)/('Off-Ramp'!K308*AA308)</f>
        <v>#DIV/0!</v>
      </c>
      <c r="W123" s="53" t="e">
        <f>W122+ATM_Conf!$C$5*(Nodes!AM122)/('Off-Ramp'!L308*AB308)</f>
        <v>#DIV/0!</v>
      </c>
      <c r="X123" s="53" t="e">
        <f>X122+ATM_Conf!$C$5*(Nodes!AN122)/('Off-Ramp'!M308*AC308)</f>
        <v>#DIV/0!</v>
      </c>
      <c r="Y123" s="53" t="e">
        <f>Y122+ATM_Conf!$C$5*(Nodes!AO122)/('Off-Ramp'!N308*AD308)</f>
        <v>#DIV/0!</v>
      </c>
      <c r="Z123" s="53" t="e">
        <f>Z122+ATM_Conf!$C$5*(Nodes!AP122)/('Off-Ramp'!O308*AE308)</f>
        <v>#DIV/0!</v>
      </c>
      <c r="AA123" s="53" t="e">
        <f>AA122+ATM_Conf!$C$5*(Nodes!AQ122)/('Off-Ramp'!P308*AF308)</f>
        <v>#DIV/0!</v>
      </c>
    </row>
    <row r="124" spans="1:27" x14ac:dyDescent="0.15">
      <c r="A124" s="46">
        <v>122</v>
      </c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53" t="e">
        <f t="shared" si="24"/>
        <v>#DIV/0!</v>
      </c>
      <c r="M124" s="53" t="e">
        <f t="shared" si="25"/>
        <v>#DIV/0!</v>
      </c>
      <c r="N124" s="53" t="e">
        <f t="shared" si="26"/>
        <v>#DIV/0!</v>
      </c>
      <c r="O124" s="53" t="e">
        <f t="shared" si="27"/>
        <v>#DIV/0!</v>
      </c>
      <c r="P124" s="69"/>
      <c r="Q124" s="69"/>
      <c r="R124" s="53" t="e">
        <f t="shared" si="28"/>
        <v>#DIV/0!</v>
      </c>
      <c r="S124" s="53" t="e">
        <f t="shared" si="29"/>
        <v>#DIV/0!</v>
      </c>
      <c r="T124" s="53" t="e">
        <f t="shared" si="30"/>
        <v>#DIV/0!</v>
      </c>
      <c r="U124" s="53" t="e">
        <f t="shared" si="23"/>
        <v>#DIV/0!</v>
      </c>
      <c r="V124" s="53" t="e">
        <f>V123+ATM_Conf!$C$5*(Nodes!AL123)/('Off-Ramp'!K309*AA309)</f>
        <v>#DIV/0!</v>
      </c>
      <c r="W124" s="53" t="e">
        <f>W123+ATM_Conf!$C$5*(Nodes!AM123)/('Off-Ramp'!L309*AB309)</f>
        <v>#DIV/0!</v>
      </c>
      <c r="X124" s="53" t="e">
        <f>X123+ATM_Conf!$C$5*(Nodes!AN123)/('Off-Ramp'!M309*AC309)</f>
        <v>#DIV/0!</v>
      </c>
      <c r="Y124" s="53" t="e">
        <f>Y123+ATM_Conf!$C$5*(Nodes!AO123)/('Off-Ramp'!N309*AD309)</f>
        <v>#DIV/0!</v>
      </c>
      <c r="Z124" s="53" t="e">
        <f>Z123+ATM_Conf!$C$5*(Nodes!AP123)/('Off-Ramp'!O309*AE309)</f>
        <v>#DIV/0!</v>
      </c>
      <c r="AA124" s="53" t="e">
        <f>AA123+ATM_Conf!$C$5*(Nodes!AQ123)/('Off-Ramp'!P309*AF309)</f>
        <v>#DIV/0!</v>
      </c>
    </row>
    <row r="125" spans="1:27" x14ac:dyDescent="0.15">
      <c r="A125" s="46">
        <v>123</v>
      </c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53" t="e">
        <f t="shared" si="24"/>
        <v>#DIV/0!</v>
      </c>
      <c r="M125" s="53" t="e">
        <f t="shared" si="25"/>
        <v>#DIV/0!</v>
      </c>
      <c r="N125" s="53" t="e">
        <f t="shared" si="26"/>
        <v>#DIV/0!</v>
      </c>
      <c r="O125" s="53" t="e">
        <f t="shared" si="27"/>
        <v>#DIV/0!</v>
      </c>
      <c r="P125" s="69"/>
      <c r="Q125" s="69"/>
      <c r="R125" s="53" t="e">
        <f t="shared" si="28"/>
        <v>#DIV/0!</v>
      </c>
      <c r="S125" s="53" t="e">
        <f t="shared" si="29"/>
        <v>#DIV/0!</v>
      </c>
      <c r="T125" s="53" t="e">
        <f t="shared" si="30"/>
        <v>#DIV/0!</v>
      </c>
      <c r="U125" s="53" t="e">
        <f t="shared" si="23"/>
        <v>#DIV/0!</v>
      </c>
      <c r="V125" s="53" t="e">
        <f>V124+ATM_Conf!$C$5*(Nodes!AL124)/('Off-Ramp'!K310*AA310)</f>
        <v>#DIV/0!</v>
      </c>
      <c r="W125" s="53" t="e">
        <f>W124+ATM_Conf!$C$5*(Nodes!AM124)/('Off-Ramp'!L310*AB310)</f>
        <v>#DIV/0!</v>
      </c>
      <c r="X125" s="53" t="e">
        <f>X124+ATM_Conf!$C$5*(Nodes!AN124)/('Off-Ramp'!M310*AC310)</f>
        <v>#DIV/0!</v>
      </c>
      <c r="Y125" s="53" t="e">
        <f>Y124+ATM_Conf!$C$5*(Nodes!AO124)/('Off-Ramp'!N310*AD310)</f>
        <v>#DIV/0!</v>
      </c>
      <c r="Z125" s="53" t="e">
        <f>Z124+ATM_Conf!$C$5*(Nodes!AP124)/('Off-Ramp'!O310*AE310)</f>
        <v>#DIV/0!</v>
      </c>
      <c r="AA125" s="53" t="e">
        <f>AA124+ATM_Conf!$C$5*(Nodes!AQ124)/('Off-Ramp'!P310*AF310)</f>
        <v>#DIV/0!</v>
      </c>
    </row>
    <row r="126" spans="1:27" x14ac:dyDescent="0.15">
      <c r="A126" s="46">
        <v>124</v>
      </c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53" t="e">
        <f t="shared" si="24"/>
        <v>#DIV/0!</v>
      </c>
      <c r="M126" s="53" t="e">
        <f t="shared" si="25"/>
        <v>#DIV/0!</v>
      </c>
      <c r="N126" s="53" t="e">
        <f t="shared" si="26"/>
        <v>#DIV/0!</v>
      </c>
      <c r="O126" s="53" t="e">
        <f t="shared" si="27"/>
        <v>#DIV/0!</v>
      </c>
      <c r="P126" s="69"/>
      <c r="Q126" s="69"/>
      <c r="R126" s="53" t="e">
        <f t="shared" si="28"/>
        <v>#DIV/0!</v>
      </c>
      <c r="S126" s="53" t="e">
        <f t="shared" si="29"/>
        <v>#DIV/0!</v>
      </c>
      <c r="T126" s="53" t="e">
        <f t="shared" si="30"/>
        <v>#DIV/0!</v>
      </c>
      <c r="U126" s="53" t="e">
        <f t="shared" si="23"/>
        <v>#DIV/0!</v>
      </c>
      <c r="V126" s="53" t="e">
        <f>V125+ATM_Conf!$C$5*(Nodes!AL125)/('Off-Ramp'!K311*AA311)</f>
        <v>#DIV/0!</v>
      </c>
      <c r="W126" s="53" t="e">
        <f>W125+ATM_Conf!$C$5*(Nodes!AM125)/('Off-Ramp'!L311*AB311)</f>
        <v>#DIV/0!</v>
      </c>
      <c r="X126" s="53" t="e">
        <f>X125+ATM_Conf!$C$5*(Nodes!AN125)/('Off-Ramp'!M311*AC311)</f>
        <v>#DIV/0!</v>
      </c>
      <c r="Y126" s="53" t="e">
        <f>Y125+ATM_Conf!$C$5*(Nodes!AO125)/('Off-Ramp'!N311*AD311)</f>
        <v>#DIV/0!</v>
      </c>
      <c r="Z126" s="53" t="e">
        <f>Z125+ATM_Conf!$C$5*(Nodes!AP125)/('Off-Ramp'!O311*AE311)</f>
        <v>#DIV/0!</v>
      </c>
      <c r="AA126" s="53" t="e">
        <f>AA125+ATM_Conf!$C$5*(Nodes!AQ125)/('Off-Ramp'!P311*AF311)</f>
        <v>#DIV/0!</v>
      </c>
    </row>
    <row r="127" spans="1:27" x14ac:dyDescent="0.15">
      <c r="A127" s="46">
        <v>125</v>
      </c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53" t="e">
        <f t="shared" si="24"/>
        <v>#DIV/0!</v>
      </c>
      <c r="M127" s="53" t="e">
        <f t="shared" si="25"/>
        <v>#DIV/0!</v>
      </c>
      <c r="N127" s="53" t="e">
        <f t="shared" si="26"/>
        <v>#DIV/0!</v>
      </c>
      <c r="O127" s="53" t="e">
        <f t="shared" si="27"/>
        <v>#DIV/0!</v>
      </c>
      <c r="P127" s="69"/>
      <c r="Q127" s="69"/>
      <c r="R127" s="53" t="e">
        <f t="shared" si="28"/>
        <v>#DIV/0!</v>
      </c>
      <c r="S127" s="53" t="e">
        <f t="shared" si="29"/>
        <v>#DIV/0!</v>
      </c>
      <c r="T127" s="53" t="e">
        <f t="shared" si="30"/>
        <v>#DIV/0!</v>
      </c>
      <c r="U127" s="53" t="e">
        <f t="shared" si="23"/>
        <v>#DIV/0!</v>
      </c>
      <c r="V127" s="53" t="e">
        <f>V126+ATM_Conf!$C$5*(Nodes!AL126)/('Off-Ramp'!K312*AA312)</f>
        <v>#DIV/0!</v>
      </c>
      <c r="W127" s="53" t="e">
        <f>W126+ATM_Conf!$C$5*(Nodes!AM126)/('Off-Ramp'!L312*AB312)</f>
        <v>#DIV/0!</v>
      </c>
      <c r="X127" s="53" t="e">
        <f>X126+ATM_Conf!$C$5*(Nodes!AN126)/('Off-Ramp'!M312*AC312)</f>
        <v>#DIV/0!</v>
      </c>
      <c r="Y127" s="53" t="e">
        <f>Y126+ATM_Conf!$C$5*(Nodes!AO126)/('Off-Ramp'!N312*AD312)</f>
        <v>#DIV/0!</v>
      </c>
      <c r="Z127" s="53" t="e">
        <f>Z126+ATM_Conf!$C$5*(Nodes!AP126)/('Off-Ramp'!O312*AE312)</f>
        <v>#DIV/0!</v>
      </c>
      <c r="AA127" s="53" t="e">
        <f>AA126+ATM_Conf!$C$5*(Nodes!AQ126)/('Off-Ramp'!P312*AF312)</f>
        <v>#DIV/0!</v>
      </c>
    </row>
    <row r="128" spans="1:27" x14ac:dyDescent="0.15">
      <c r="A128" s="46">
        <v>126</v>
      </c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53" t="e">
        <f t="shared" si="24"/>
        <v>#DIV/0!</v>
      </c>
      <c r="M128" s="53" t="e">
        <f t="shared" si="25"/>
        <v>#DIV/0!</v>
      </c>
      <c r="N128" s="53" t="e">
        <f t="shared" si="26"/>
        <v>#DIV/0!</v>
      </c>
      <c r="O128" s="53" t="e">
        <f t="shared" si="27"/>
        <v>#DIV/0!</v>
      </c>
      <c r="P128" s="69"/>
      <c r="Q128" s="69"/>
      <c r="R128" s="53" t="e">
        <f t="shared" si="28"/>
        <v>#DIV/0!</v>
      </c>
      <c r="S128" s="53" t="e">
        <f t="shared" si="29"/>
        <v>#DIV/0!</v>
      </c>
      <c r="T128" s="53" t="e">
        <f t="shared" si="30"/>
        <v>#DIV/0!</v>
      </c>
      <c r="U128" s="53" t="e">
        <f t="shared" si="23"/>
        <v>#DIV/0!</v>
      </c>
      <c r="V128" s="53" t="e">
        <f>V127+ATM_Conf!$C$5*(Nodes!AL127)/('Off-Ramp'!K313*AA313)</f>
        <v>#DIV/0!</v>
      </c>
      <c r="W128" s="53" t="e">
        <f>W127+ATM_Conf!$C$5*(Nodes!AM127)/('Off-Ramp'!L313*AB313)</f>
        <v>#DIV/0!</v>
      </c>
      <c r="X128" s="53" t="e">
        <f>X127+ATM_Conf!$C$5*(Nodes!AN127)/('Off-Ramp'!M313*AC313)</f>
        <v>#DIV/0!</v>
      </c>
      <c r="Y128" s="53" t="e">
        <f>Y127+ATM_Conf!$C$5*(Nodes!AO127)/('Off-Ramp'!N313*AD313)</f>
        <v>#DIV/0!</v>
      </c>
      <c r="Z128" s="53" t="e">
        <f>Z127+ATM_Conf!$C$5*(Nodes!AP127)/('Off-Ramp'!O313*AE313)</f>
        <v>#DIV/0!</v>
      </c>
      <c r="AA128" s="53" t="e">
        <f>AA127+ATM_Conf!$C$5*(Nodes!AQ127)/('Off-Ramp'!P313*AF313)</f>
        <v>#DIV/0!</v>
      </c>
    </row>
    <row r="129" spans="1:27" x14ac:dyDescent="0.15">
      <c r="A129" s="46">
        <v>127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53" t="e">
        <f t="shared" si="24"/>
        <v>#DIV/0!</v>
      </c>
      <c r="M129" s="53" t="e">
        <f t="shared" si="25"/>
        <v>#DIV/0!</v>
      </c>
      <c r="N129" s="53" t="e">
        <f t="shared" si="26"/>
        <v>#DIV/0!</v>
      </c>
      <c r="O129" s="53" t="e">
        <f t="shared" si="27"/>
        <v>#DIV/0!</v>
      </c>
      <c r="P129" s="69"/>
      <c r="Q129" s="69"/>
      <c r="R129" s="53" t="e">
        <f t="shared" si="28"/>
        <v>#DIV/0!</v>
      </c>
      <c r="S129" s="53" t="e">
        <f t="shared" si="29"/>
        <v>#DIV/0!</v>
      </c>
      <c r="T129" s="53" t="e">
        <f t="shared" si="30"/>
        <v>#DIV/0!</v>
      </c>
      <c r="U129" s="53" t="e">
        <f t="shared" si="23"/>
        <v>#DIV/0!</v>
      </c>
      <c r="V129" s="53" t="e">
        <f>V128+ATM_Conf!$C$5*(Nodes!AL128)/('Off-Ramp'!K314*AA314)</f>
        <v>#DIV/0!</v>
      </c>
      <c r="W129" s="53" t="e">
        <f>W128+ATM_Conf!$C$5*(Nodes!AM128)/('Off-Ramp'!L314*AB314)</f>
        <v>#DIV/0!</v>
      </c>
      <c r="X129" s="53" t="e">
        <f>X128+ATM_Conf!$C$5*(Nodes!AN128)/('Off-Ramp'!M314*AC314)</f>
        <v>#DIV/0!</v>
      </c>
      <c r="Y129" s="53" t="e">
        <f>Y128+ATM_Conf!$C$5*(Nodes!AO128)/('Off-Ramp'!N314*AD314)</f>
        <v>#DIV/0!</v>
      </c>
      <c r="Z129" s="53" t="e">
        <f>Z128+ATM_Conf!$C$5*(Nodes!AP128)/('Off-Ramp'!O314*AE314)</f>
        <v>#DIV/0!</v>
      </c>
      <c r="AA129" s="53" t="e">
        <f>AA128+ATM_Conf!$C$5*(Nodes!AQ128)/('Off-Ramp'!P314*AF314)</f>
        <v>#DIV/0!</v>
      </c>
    </row>
    <row r="130" spans="1:27" x14ac:dyDescent="0.15">
      <c r="A130" s="46">
        <v>128</v>
      </c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53" t="e">
        <f t="shared" si="24"/>
        <v>#DIV/0!</v>
      </c>
      <c r="M130" s="53" t="e">
        <f t="shared" si="25"/>
        <v>#DIV/0!</v>
      </c>
      <c r="N130" s="53" t="e">
        <f t="shared" si="26"/>
        <v>#DIV/0!</v>
      </c>
      <c r="O130" s="53" t="e">
        <f t="shared" si="27"/>
        <v>#DIV/0!</v>
      </c>
      <c r="P130" s="69"/>
      <c r="Q130" s="69"/>
      <c r="R130" s="53" t="e">
        <f t="shared" si="28"/>
        <v>#DIV/0!</v>
      </c>
      <c r="S130" s="53" t="e">
        <f t="shared" si="29"/>
        <v>#DIV/0!</v>
      </c>
      <c r="T130" s="53" t="e">
        <f t="shared" si="30"/>
        <v>#DIV/0!</v>
      </c>
      <c r="U130" s="53" t="e">
        <f t="shared" si="23"/>
        <v>#DIV/0!</v>
      </c>
      <c r="V130" s="53" t="e">
        <f>V129+ATM_Conf!$C$5*(Nodes!AL129)/('Off-Ramp'!K315*AA315)</f>
        <v>#DIV/0!</v>
      </c>
      <c r="W130" s="53" t="e">
        <f>W129+ATM_Conf!$C$5*(Nodes!AM129)/('Off-Ramp'!L315*AB315)</f>
        <v>#DIV/0!</v>
      </c>
      <c r="X130" s="53" t="e">
        <f>X129+ATM_Conf!$C$5*(Nodes!AN129)/('Off-Ramp'!M315*AC315)</f>
        <v>#DIV/0!</v>
      </c>
      <c r="Y130" s="53" t="e">
        <f>Y129+ATM_Conf!$C$5*(Nodes!AO129)/('Off-Ramp'!N315*AD315)</f>
        <v>#DIV/0!</v>
      </c>
      <c r="Z130" s="53" t="e">
        <f>Z129+ATM_Conf!$C$5*(Nodes!AP129)/('Off-Ramp'!O315*AE315)</f>
        <v>#DIV/0!</v>
      </c>
      <c r="AA130" s="53" t="e">
        <f>AA129+ATM_Conf!$C$5*(Nodes!AQ129)/('Off-Ramp'!P315*AF315)</f>
        <v>#DIV/0!</v>
      </c>
    </row>
    <row r="131" spans="1:27" x14ac:dyDescent="0.15">
      <c r="A131" s="46">
        <v>129</v>
      </c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53" t="e">
        <f t="shared" si="24"/>
        <v>#DIV/0!</v>
      </c>
      <c r="M131" s="53" t="e">
        <f t="shared" si="25"/>
        <v>#DIV/0!</v>
      </c>
      <c r="N131" s="53" t="e">
        <f t="shared" si="26"/>
        <v>#DIV/0!</v>
      </c>
      <c r="O131" s="53" t="e">
        <f t="shared" si="27"/>
        <v>#DIV/0!</v>
      </c>
      <c r="P131" s="69"/>
      <c r="Q131" s="69"/>
      <c r="R131" s="53" t="e">
        <f t="shared" si="28"/>
        <v>#DIV/0!</v>
      </c>
      <c r="S131" s="53" t="e">
        <f t="shared" si="29"/>
        <v>#DIV/0!</v>
      </c>
      <c r="T131" s="53" t="e">
        <f t="shared" si="30"/>
        <v>#DIV/0!</v>
      </c>
      <c r="U131" s="53" t="e">
        <f t="shared" si="23"/>
        <v>#DIV/0!</v>
      </c>
      <c r="V131" s="53" t="e">
        <f>V130+ATM_Conf!$C$5*(Nodes!AL130)/('Off-Ramp'!K316*AA316)</f>
        <v>#DIV/0!</v>
      </c>
      <c r="W131" s="53" t="e">
        <f>W130+ATM_Conf!$C$5*(Nodes!AM130)/('Off-Ramp'!L316*AB316)</f>
        <v>#DIV/0!</v>
      </c>
      <c r="X131" s="53" t="e">
        <f>X130+ATM_Conf!$C$5*(Nodes!AN130)/('Off-Ramp'!M316*AC316)</f>
        <v>#DIV/0!</v>
      </c>
      <c r="Y131" s="53" t="e">
        <f>Y130+ATM_Conf!$C$5*(Nodes!AO130)/('Off-Ramp'!N316*AD316)</f>
        <v>#DIV/0!</v>
      </c>
      <c r="Z131" s="53" t="e">
        <f>Z130+ATM_Conf!$C$5*(Nodes!AP130)/('Off-Ramp'!O316*AE316)</f>
        <v>#DIV/0!</v>
      </c>
      <c r="AA131" s="53" t="e">
        <f>AA130+ATM_Conf!$C$5*(Nodes!AQ130)/('Off-Ramp'!P316*AF316)</f>
        <v>#DIV/0!</v>
      </c>
    </row>
    <row r="132" spans="1:27" x14ac:dyDescent="0.15">
      <c r="A132" s="46">
        <v>130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53" t="e">
        <f t="shared" ref="L132:L163" si="31">B132/60/A$189</f>
        <v>#DIV/0!</v>
      </c>
      <c r="M132" s="53" t="e">
        <f t="shared" ref="M132:M163" si="32">C132/60/B$189</f>
        <v>#DIV/0!</v>
      </c>
      <c r="N132" s="53" t="e">
        <f t="shared" ref="N132:N163" si="33">D132/60/C$189</f>
        <v>#DIV/0!</v>
      </c>
      <c r="O132" s="53" t="e">
        <f t="shared" ref="O132:O163" si="34">E132/60/D$189</f>
        <v>#DIV/0!</v>
      </c>
      <c r="P132" s="69"/>
      <c r="Q132" s="69"/>
      <c r="R132" s="53" t="e">
        <f t="shared" ref="R132:R163" si="35">H132/60/G$189</f>
        <v>#DIV/0!</v>
      </c>
      <c r="S132" s="53" t="e">
        <f t="shared" ref="S132:S163" si="36">I132/60/H$189</f>
        <v>#DIV/0!</v>
      </c>
      <c r="T132" s="53" t="e">
        <f t="shared" ref="T132:T163" si="37">J132/60/I$189</f>
        <v>#DIV/0!</v>
      </c>
      <c r="U132" s="53" t="e">
        <f t="shared" ref="U132:U182" si="38">K132/60/J$189</f>
        <v>#DIV/0!</v>
      </c>
      <c r="V132" s="53" t="e">
        <f>V131+ATM_Conf!$C$5*(Nodes!AL131)/('Off-Ramp'!K317*AA317)</f>
        <v>#DIV/0!</v>
      </c>
      <c r="W132" s="53" t="e">
        <f>W131+ATM_Conf!$C$5*(Nodes!AM131)/('Off-Ramp'!L317*AB317)</f>
        <v>#DIV/0!</v>
      </c>
      <c r="X132" s="53" t="e">
        <f>X131+ATM_Conf!$C$5*(Nodes!AN131)/('Off-Ramp'!M317*AC317)</f>
        <v>#DIV/0!</v>
      </c>
      <c r="Y132" s="53" t="e">
        <f>Y131+ATM_Conf!$C$5*(Nodes!AO131)/('Off-Ramp'!N317*AD317)</f>
        <v>#DIV/0!</v>
      </c>
      <c r="Z132" s="53" t="e">
        <f>Z131+ATM_Conf!$C$5*(Nodes!AP131)/('Off-Ramp'!O317*AE317)</f>
        <v>#DIV/0!</v>
      </c>
      <c r="AA132" s="53" t="e">
        <f>AA131+ATM_Conf!$C$5*(Nodes!AQ131)/('Off-Ramp'!P317*AF317)</f>
        <v>#DIV/0!</v>
      </c>
    </row>
    <row r="133" spans="1:27" x14ac:dyDescent="0.15">
      <c r="A133" s="46">
        <v>131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53" t="e">
        <f t="shared" si="31"/>
        <v>#DIV/0!</v>
      </c>
      <c r="M133" s="53" t="e">
        <f t="shared" si="32"/>
        <v>#DIV/0!</v>
      </c>
      <c r="N133" s="53" t="e">
        <f t="shared" si="33"/>
        <v>#DIV/0!</v>
      </c>
      <c r="O133" s="53" t="e">
        <f t="shared" si="34"/>
        <v>#DIV/0!</v>
      </c>
      <c r="P133" s="69"/>
      <c r="Q133" s="69"/>
      <c r="R133" s="53" t="e">
        <f t="shared" si="35"/>
        <v>#DIV/0!</v>
      </c>
      <c r="S133" s="53" t="e">
        <f t="shared" si="36"/>
        <v>#DIV/0!</v>
      </c>
      <c r="T133" s="53" t="e">
        <f t="shared" si="37"/>
        <v>#DIV/0!</v>
      </c>
      <c r="U133" s="53" t="e">
        <f t="shared" si="38"/>
        <v>#DIV/0!</v>
      </c>
      <c r="V133" s="53" t="e">
        <f>V132+ATM_Conf!$C$5*(Nodes!AL132)/('Off-Ramp'!K318*AA318)</f>
        <v>#DIV/0!</v>
      </c>
      <c r="W133" s="53" t="e">
        <f>W132+ATM_Conf!$C$5*(Nodes!AM132)/('Off-Ramp'!L318*AB318)</f>
        <v>#DIV/0!</v>
      </c>
      <c r="X133" s="53" t="e">
        <f>X132+ATM_Conf!$C$5*(Nodes!AN132)/('Off-Ramp'!M318*AC318)</f>
        <v>#DIV/0!</v>
      </c>
      <c r="Y133" s="53" t="e">
        <f>Y132+ATM_Conf!$C$5*(Nodes!AO132)/('Off-Ramp'!N318*AD318)</f>
        <v>#DIV/0!</v>
      </c>
      <c r="Z133" s="53" t="e">
        <f>Z132+ATM_Conf!$C$5*(Nodes!AP132)/('Off-Ramp'!O318*AE318)</f>
        <v>#DIV/0!</v>
      </c>
      <c r="AA133" s="53" t="e">
        <f>AA132+ATM_Conf!$C$5*(Nodes!AQ132)/('Off-Ramp'!P318*AF318)</f>
        <v>#DIV/0!</v>
      </c>
    </row>
    <row r="134" spans="1:27" x14ac:dyDescent="0.15">
      <c r="A134" s="46">
        <v>132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53" t="e">
        <f t="shared" si="31"/>
        <v>#DIV/0!</v>
      </c>
      <c r="M134" s="53" t="e">
        <f t="shared" si="32"/>
        <v>#DIV/0!</v>
      </c>
      <c r="N134" s="53" t="e">
        <f t="shared" si="33"/>
        <v>#DIV/0!</v>
      </c>
      <c r="O134" s="53" t="e">
        <f t="shared" si="34"/>
        <v>#DIV/0!</v>
      </c>
      <c r="P134" s="69"/>
      <c r="Q134" s="69"/>
      <c r="R134" s="53" t="e">
        <f t="shared" si="35"/>
        <v>#DIV/0!</v>
      </c>
      <c r="S134" s="53" t="e">
        <f t="shared" si="36"/>
        <v>#DIV/0!</v>
      </c>
      <c r="T134" s="53" t="e">
        <f t="shared" si="37"/>
        <v>#DIV/0!</v>
      </c>
      <c r="U134" s="53" t="e">
        <f t="shared" si="38"/>
        <v>#DIV/0!</v>
      </c>
      <c r="V134" s="53" t="e">
        <f>V133+ATM_Conf!$C$5*(Nodes!AL133)/('Off-Ramp'!K319*AA319)</f>
        <v>#DIV/0!</v>
      </c>
      <c r="W134" s="53" t="e">
        <f>W133+ATM_Conf!$C$5*(Nodes!AM133)/('Off-Ramp'!L319*AB319)</f>
        <v>#DIV/0!</v>
      </c>
      <c r="X134" s="53" t="e">
        <f>X133+ATM_Conf!$C$5*(Nodes!AN133)/('Off-Ramp'!M319*AC319)</f>
        <v>#DIV/0!</v>
      </c>
      <c r="Y134" s="53" t="e">
        <f>Y133+ATM_Conf!$C$5*(Nodes!AO133)/('Off-Ramp'!N319*AD319)</f>
        <v>#DIV/0!</v>
      </c>
      <c r="Z134" s="53" t="e">
        <f>Z133+ATM_Conf!$C$5*(Nodes!AP133)/('Off-Ramp'!O319*AE319)</f>
        <v>#DIV/0!</v>
      </c>
      <c r="AA134" s="53" t="e">
        <f>AA133+ATM_Conf!$C$5*(Nodes!AQ133)/('Off-Ramp'!P319*AF319)</f>
        <v>#DIV/0!</v>
      </c>
    </row>
    <row r="135" spans="1:27" x14ac:dyDescent="0.15">
      <c r="A135" s="46">
        <v>133</v>
      </c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53" t="e">
        <f t="shared" si="31"/>
        <v>#DIV/0!</v>
      </c>
      <c r="M135" s="53" t="e">
        <f t="shared" si="32"/>
        <v>#DIV/0!</v>
      </c>
      <c r="N135" s="53" t="e">
        <f t="shared" si="33"/>
        <v>#DIV/0!</v>
      </c>
      <c r="O135" s="53" t="e">
        <f t="shared" si="34"/>
        <v>#DIV/0!</v>
      </c>
      <c r="P135" s="69"/>
      <c r="Q135" s="69"/>
      <c r="R135" s="53" t="e">
        <f t="shared" si="35"/>
        <v>#DIV/0!</v>
      </c>
      <c r="S135" s="53" t="e">
        <f t="shared" si="36"/>
        <v>#DIV/0!</v>
      </c>
      <c r="T135" s="53" t="e">
        <f t="shared" si="37"/>
        <v>#DIV/0!</v>
      </c>
      <c r="U135" s="53" t="e">
        <f t="shared" si="38"/>
        <v>#DIV/0!</v>
      </c>
      <c r="V135" s="53" t="e">
        <f>V134+ATM_Conf!$C$5*(Nodes!AL134)/('Off-Ramp'!K320*AA320)</f>
        <v>#DIV/0!</v>
      </c>
      <c r="W135" s="53" t="e">
        <f>W134+ATM_Conf!$C$5*(Nodes!AM134)/('Off-Ramp'!L320*AB320)</f>
        <v>#DIV/0!</v>
      </c>
      <c r="X135" s="53" t="e">
        <f>X134+ATM_Conf!$C$5*(Nodes!AN134)/('Off-Ramp'!M320*AC320)</f>
        <v>#DIV/0!</v>
      </c>
      <c r="Y135" s="53" t="e">
        <f>Y134+ATM_Conf!$C$5*(Nodes!AO134)/('Off-Ramp'!N320*AD320)</f>
        <v>#DIV/0!</v>
      </c>
      <c r="Z135" s="53" t="e">
        <f>Z134+ATM_Conf!$C$5*(Nodes!AP134)/('Off-Ramp'!O320*AE320)</f>
        <v>#DIV/0!</v>
      </c>
      <c r="AA135" s="53" t="e">
        <f>AA134+ATM_Conf!$C$5*(Nodes!AQ134)/('Off-Ramp'!P320*AF320)</f>
        <v>#DIV/0!</v>
      </c>
    </row>
    <row r="136" spans="1:27" x14ac:dyDescent="0.15">
      <c r="A136" s="46">
        <v>134</v>
      </c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53" t="e">
        <f t="shared" si="31"/>
        <v>#DIV/0!</v>
      </c>
      <c r="M136" s="53" t="e">
        <f t="shared" si="32"/>
        <v>#DIV/0!</v>
      </c>
      <c r="N136" s="53" t="e">
        <f t="shared" si="33"/>
        <v>#DIV/0!</v>
      </c>
      <c r="O136" s="53" t="e">
        <f t="shared" si="34"/>
        <v>#DIV/0!</v>
      </c>
      <c r="P136" s="69"/>
      <c r="Q136" s="69"/>
      <c r="R136" s="53" t="e">
        <f t="shared" si="35"/>
        <v>#DIV/0!</v>
      </c>
      <c r="S136" s="53" t="e">
        <f t="shared" si="36"/>
        <v>#DIV/0!</v>
      </c>
      <c r="T136" s="53" t="e">
        <f t="shared" si="37"/>
        <v>#DIV/0!</v>
      </c>
      <c r="U136" s="53" t="e">
        <f t="shared" si="38"/>
        <v>#DIV/0!</v>
      </c>
      <c r="V136" s="53" t="e">
        <f>V135+ATM_Conf!$C$5*(Nodes!AL135)/('Off-Ramp'!K321*AA321)</f>
        <v>#DIV/0!</v>
      </c>
      <c r="W136" s="53" t="e">
        <f>W135+ATM_Conf!$C$5*(Nodes!AM135)/('Off-Ramp'!L321*AB321)</f>
        <v>#DIV/0!</v>
      </c>
      <c r="X136" s="53" t="e">
        <f>X135+ATM_Conf!$C$5*(Nodes!AN135)/('Off-Ramp'!M321*AC321)</f>
        <v>#DIV/0!</v>
      </c>
      <c r="Y136" s="53" t="e">
        <f>Y135+ATM_Conf!$C$5*(Nodes!AO135)/('Off-Ramp'!N321*AD321)</f>
        <v>#DIV/0!</v>
      </c>
      <c r="Z136" s="53" t="e">
        <f>Z135+ATM_Conf!$C$5*(Nodes!AP135)/('Off-Ramp'!O321*AE321)</f>
        <v>#DIV/0!</v>
      </c>
      <c r="AA136" s="53" t="e">
        <f>AA135+ATM_Conf!$C$5*(Nodes!AQ135)/('Off-Ramp'!P321*AF321)</f>
        <v>#DIV/0!</v>
      </c>
    </row>
    <row r="137" spans="1:27" x14ac:dyDescent="0.15">
      <c r="A137" s="46">
        <v>135</v>
      </c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53" t="e">
        <f t="shared" si="31"/>
        <v>#DIV/0!</v>
      </c>
      <c r="M137" s="53" t="e">
        <f t="shared" si="32"/>
        <v>#DIV/0!</v>
      </c>
      <c r="N137" s="53" t="e">
        <f t="shared" si="33"/>
        <v>#DIV/0!</v>
      </c>
      <c r="O137" s="53" t="e">
        <f t="shared" si="34"/>
        <v>#DIV/0!</v>
      </c>
      <c r="P137" s="69"/>
      <c r="Q137" s="69"/>
      <c r="R137" s="53" t="e">
        <f t="shared" si="35"/>
        <v>#DIV/0!</v>
      </c>
      <c r="S137" s="53" t="e">
        <f t="shared" si="36"/>
        <v>#DIV/0!</v>
      </c>
      <c r="T137" s="53" t="e">
        <f t="shared" si="37"/>
        <v>#DIV/0!</v>
      </c>
      <c r="U137" s="53" t="e">
        <f t="shared" si="38"/>
        <v>#DIV/0!</v>
      </c>
      <c r="V137" s="53" t="e">
        <f>V136+ATM_Conf!$C$5*(Nodes!AL136)/('Off-Ramp'!K322*AA322)</f>
        <v>#DIV/0!</v>
      </c>
      <c r="W137" s="53" t="e">
        <f>W136+ATM_Conf!$C$5*(Nodes!AM136)/('Off-Ramp'!L322*AB322)</f>
        <v>#DIV/0!</v>
      </c>
      <c r="X137" s="53" t="e">
        <f>X136+ATM_Conf!$C$5*(Nodes!AN136)/('Off-Ramp'!M322*AC322)</f>
        <v>#DIV/0!</v>
      </c>
      <c r="Y137" s="53" t="e">
        <f>Y136+ATM_Conf!$C$5*(Nodes!AO136)/('Off-Ramp'!N322*AD322)</f>
        <v>#DIV/0!</v>
      </c>
      <c r="Z137" s="53" t="e">
        <f>Z136+ATM_Conf!$C$5*(Nodes!AP136)/('Off-Ramp'!O322*AE322)</f>
        <v>#DIV/0!</v>
      </c>
      <c r="AA137" s="53" t="e">
        <f>AA136+ATM_Conf!$C$5*(Nodes!AQ136)/('Off-Ramp'!P322*AF322)</f>
        <v>#DIV/0!</v>
      </c>
    </row>
    <row r="138" spans="1:27" x14ac:dyDescent="0.15">
      <c r="A138" s="46">
        <v>136</v>
      </c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53" t="e">
        <f t="shared" si="31"/>
        <v>#DIV/0!</v>
      </c>
      <c r="M138" s="53" t="e">
        <f t="shared" si="32"/>
        <v>#DIV/0!</v>
      </c>
      <c r="N138" s="53" t="e">
        <f t="shared" si="33"/>
        <v>#DIV/0!</v>
      </c>
      <c r="O138" s="53" t="e">
        <f t="shared" si="34"/>
        <v>#DIV/0!</v>
      </c>
      <c r="P138" s="69"/>
      <c r="Q138" s="69"/>
      <c r="R138" s="53" t="e">
        <f t="shared" si="35"/>
        <v>#DIV/0!</v>
      </c>
      <c r="S138" s="53" t="e">
        <f t="shared" si="36"/>
        <v>#DIV/0!</v>
      </c>
      <c r="T138" s="53" t="e">
        <f t="shared" si="37"/>
        <v>#DIV/0!</v>
      </c>
      <c r="U138" s="53" t="e">
        <f t="shared" si="38"/>
        <v>#DIV/0!</v>
      </c>
      <c r="V138" s="53" t="e">
        <f>V137+ATM_Conf!$C$5*(Nodes!AL137)/('Off-Ramp'!K323*AA323)</f>
        <v>#DIV/0!</v>
      </c>
      <c r="W138" s="53" t="e">
        <f>W137+ATM_Conf!$C$5*(Nodes!AM137)/('Off-Ramp'!L323*AB323)</f>
        <v>#DIV/0!</v>
      </c>
      <c r="X138" s="53" t="e">
        <f>X137+ATM_Conf!$C$5*(Nodes!AN137)/('Off-Ramp'!M323*AC323)</f>
        <v>#DIV/0!</v>
      </c>
      <c r="Y138" s="53" t="e">
        <f>Y137+ATM_Conf!$C$5*(Nodes!AO137)/('Off-Ramp'!N323*AD323)</f>
        <v>#DIV/0!</v>
      </c>
      <c r="Z138" s="53" t="e">
        <f>Z137+ATM_Conf!$C$5*(Nodes!AP137)/('Off-Ramp'!O323*AE323)</f>
        <v>#DIV/0!</v>
      </c>
      <c r="AA138" s="53" t="e">
        <f>AA137+ATM_Conf!$C$5*(Nodes!AQ137)/('Off-Ramp'!P323*AF323)</f>
        <v>#DIV/0!</v>
      </c>
    </row>
    <row r="139" spans="1:27" x14ac:dyDescent="0.15">
      <c r="A139" s="46">
        <v>137</v>
      </c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53" t="e">
        <f t="shared" si="31"/>
        <v>#DIV/0!</v>
      </c>
      <c r="M139" s="53" t="e">
        <f t="shared" si="32"/>
        <v>#DIV/0!</v>
      </c>
      <c r="N139" s="53" t="e">
        <f t="shared" si="33"/>
        <v>#DIV/0!</v>
      </c>
      <c r="O139" s="53" t="e">
        <f t="shared" si="34"/>
        <v>#DIV/0!</v>
      </c>
      <c r="P139" s="69"/>
      <c r="Q139" s="69"/>
      <c r="R139" s="53" t="e">
        <f t="shared" si="35"/>
        <v>#DIV/0!</v>
      </c>
      <c r="S139" s="53" t="e">
        <f t="shared" si="36"/>
        <v>#DIV/0!</v>
      </c>
      <c r="T139" s="53" t="e">
        <f t="shared" si="37"/>
        <v>#DIV/0!</v>
      </c>
      <c r="U139" s="53" t="e">
        <f t="shared" si="38"/>
        <v>#DIV/0!</v>
      </c>
      <c r="V139" s="53" t="e">
        <f>V138+ATM_Conf!$C$5*(Nodes!AL138)/('Off-Ramp'!K324*AA324)</f>
        <v>#DIV/0!</v>
      </c>
      <c r="W139" s="53" t="e">
        <f>W138+ATM_Conf!$C$5*(Nodes!AM138)/('Off-Ramp'!L324*AB324)</f>
        <v>#DIV/0!</v>
      </c>
      <c r="X139" s="53" t="e">
        <f>X138+ATM_Conf!$C$5*(Nodes!AN138)/('Off-Ramp'!M324*AC324)</f>
        <v>#DIV/0!</v>
      </c>
      <c r="Y139" s="53" t="e">
        <f>Y138+ATM_Conf!$C$5*(Nodes!AO138)/('Off-Ramp'!N324*AD324)</f>
        <v>#DIV/0!</v>
      </c>
      <c r="Z139" s="53" t="e">
        <f>Z138+ATM_Conf!$C$5*(Nodes!AP138)/('Off-Ramp'!O324*AE324)</f>
        <v>#DIV/0!</v>
      </c>
      <c r="AA139" s="53" t="e">
        <f>AA138+ATM_Conf!$C$5*(Nodes!AQ138)/('Off-Ramp'!P324*AF324)</f>
        <v>#DIV/0!</v>
      </c>
    </row>
    <row r="140" spans="1:27" x14ac:dyDescent="0.15">
      <c r="A140" s="46">
        <v>138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53" t="e">
        <f t="shared" si="31"/>
        <v>#DIV/0!</v>
      </c>
      <c r="M140" s="53" t="e">
        <f t="shared" si="32"/>
        <v>#DIV/0!</v>
      </c>
      <c r="N140" s="53" t="e">
        <f t="shared" si="33"/>
        <v>#DIV/0!</v>
      </c>
      <c r="O140" s="53" t="e">
        <f t="shared" si="34"/>
        <v>#DIV/0!</v>
      </c>
      <c r="P140" s="69"/>
      <c r="Q140" s="69"/>
      <c r="R140" s="53" t="e">
        <f t="shared" si="35"/>
        <v>#DIV/0!</v>
      </c>
      <c r="S140" s="53" t="e">
        <f t="shared" si="36"/>
        <v>#DIV/0!</v>
      </c>
      <c r="T140" s="53" t="e">
        <f t="shared" si="37"/>
        <v>#DIV/0!</v>
      </c>
      <c r="U140" s="53" t="e">
        <f t="shared" si="38"/>
        <v>#DIV/0!</v>
      </c>
      <c r="V140" s="53" t="e">
        <f>V139+ATM_Conf!$C$5*(Nodes!AL139)/('Off-Ramp'!K325*AA325)</f>
        <v>#DIV/0!</v>
      </c>
      <c r="W140" s="53" t="e">
        <f>W139+ATM_Conf!$C$5*(Nodes!AM139)/('Off-Ramp'!L325*AB325)</f>
        <v>#DIV/0!</v>
      </c>
      <c r="X140" s="53" t="e">
        <f>X139+ATM_Conf!$C$5*(Nodes!AN139)/('Off-Ramp'!M325*AC325)</f>
        <v>#DIV/0!</v>
      </c>
      <c r="Y140" s="53" t="e">
        <f>Y139+ATM_Conf!$C$5*(Nodes!AO139)/('Off-Ramp'!N325*AD325)</f>
        <v>#DIV/0!</v>
      </c>
      <c r="Z140" s="53" t="e">
        <f>Z139+ATM_Conf!$C$5*(Nodes!AP139)/('Off-Ramp'!O325*AE325)</f>
        <v>#DIV/0!</v>
      </c>
      <c r="AA140" s="53" t="e">
        <f>AA139+ATM_Conf!$C$5*(Nodes!AQ139)/('Off-Ramp'!P325*AF325)</f>
        <v>#DIV/0!</v>
      </c>
    </row>
    <row r="141" spans="1:27" x14ac:dyDescent="0.15">
      <c r="A141" s="46">
        <v>139</v>
      </c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53" t="e">
        <f t="shared" si="31"/>
        <v>#DIV/0!</v>
      </c>
      <c r="M141" s="53" t="e">
        <f t="shared" si="32"/>
        <v>#DIV/0!</v>
      </c>
      <c r="N141" s="53" t="e">
        <f t="shared" si="33"/>
        <v>#DIV/0!</v>
      </c>
      <c r="O141" s="53" t="e">
        <f t="shared" si="34"/>
        <v>#DIV/0!</v>
      </c>
      <c r="P141" s="69"/>
      <c r="Q141" s="69"/>
      <c r="R141" s="53" t="e">
        <f t="shared" si="35"/>
        <v>#DIV/0!</v>
      </c>
      <c r="S141" s="53" t="e">
        <f t="shared" si="36"/>
        <v>#DIV/0!</v>
      </c>
      <c r="T141" s="53" t="e">
        <f t="shared" si="37"/>
        <v>#DIV/0!</v>
      </c>
      <c r="U141" s="53" t="e">
        <f t="shared" si="38"/>
        <v>#DIV/0!</v>
      </c>
      <c r="V141" s="53" t="e">
        <f>V140+ATM_Conf!$C$5*(Nodes!AL140)/('Off-Ramp'!K326*AA326)</f>
        <v>#DIV/0!</v>
      </c>
      <c r="W141" s="53" t="e">
        <f>W140+ATM_Conf!$C$5*(Nodes!AM140)/('Off-Ramp'!L326*AB326)</f>
        <v>#DIV/0!</v>
      </c>
      <c r="X141" s="53" t="e">
        <f>X140+ATM_Conf!$C$5*(Nodes!AN140)/('Off-Ramp'!M326*AC326)</f>
        <v>#DIV/0!</v>
      </c>
      <c r="Y141" s="53" t="e">
        <f>Y140+ATM_Conf!$C$5*(Nodes!AO140)/('Off-Ramp'!N326*AD326)</f>
        <v>#DIV/0!</v>
      </c>
      <c r="Z141" s="53" t="e">
        <f>Z140+ATM_Conf!$C$5*(Nodes!AP140)/('Off-Ramp'!O326*AE326)</f>
        <v>#DIV/0!</v>
      </c>
      <c r="AA141" s="53" t="e">
        <f>AA140+ATM_Conf!$C$5*(Nodes!AQ140)/('Off-Ramp'!P326*AF326)</f>
        <v>#DIV/0!</v>
      </c>
    </row>
    <row r="142" spans="1:27" x14ac:dyDescent="0.15">
      <c r="A142" s="46">
        <v>140</v>
      </c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53" t="e">
        <f t="shared" si="31"/>
        <v>#DIV/0!</v>
      </c>
      <c r="M142" s="53" t="e">
        <f t="shared" si="32"/>
        <v>#DIV/0!</v>
      </c>
      <c r="N142" s="53" t="e">
        <f t="shared" si="33"/>
        <v>#DIV/0!</v>
      </c>
      <c r="O142" s="53" t="e">
        <f t="shared" si="34"/>
        <v>#DIV/0!</v>
      </c>
      <c r="P142" s="69"/>
      <c r="Q142" s="69"/>
      <c r="R142" s="53" t="e">
        <f t="shared" si="35"/>
        <v>#DIV/0!</v>
      </c>
      <c r="S142" s="53" t="e">
        <f t="shared" si="36"/>
        <v>#DIV/0!</v>
      </c>
      <c r="T142" s="53" t="e">
        <f t="shared" si="37"/>
        <v>#DIV/0!</v>
      </c>
      <c r="U142" s="53" t="e">
        <f t="shared" si="38"/>
        <v>#DIV/0!</v>
      </c>
      <c r="V142" s="53" t="e">
        <f>V141+ATM_Conf!$C$5*(Nodes!AL141)/('Off-Ramp'!K327*AA327)</f>
        <v>#DIV/0!</v>
      </c>
      <c r="W142" s="53" t="e">
        <f>W141+ATM_Conf!$C$5*(Nodes!AM141)/('Off-Ramp'!L327*AB327)</f>
        <v>#DIV/0!</v>
      </c>
      <c r="X142" s="53" t="e">
        <f>X141+ATM_Conf!$C$5*(Nodes!AN141)/('Off-Ramp'!M327*AC327)</f>
        <v>#DIV/0!</v>
      </c>
      <c r="Y142" s="53" t="e">
        <f>Y141+ATM_Conf!$C$5*(Nodes!AO141)/('Off-Ramp'!N327*AD327)</f>
        <v>#DIV/0!</v>
      </c>
      <c r="Z142" s="53" t="e">
        <f>Z141+ATM_Conf!$C$5*(Nodes!AP141)/('Off-Ramp'!O327*AE327)</f>
        <v>#DIV/0!</v>
      </c>
      <c r="AA142" s="53" t="e">
        <f>AA141+ATM_Conf!$C$5*(Nodes!AQ141)/('Off-Ramp'!P327*AF327)</f>
        <v>#DIV/0!</v>
      </c>
    </row>
    <row r="143" spans="1:27" x14ac:dyDescent="0.15">
      <c r="A143" s="46">
        <v>141</v>
      </c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53" t="e">
        <f t="shared" si="31"/>
        <v>#DIV/0!</v>
      </c>
      <c r="M143" s="53" t="e">
        <f t="shared" si="32"/>
        <v>#DIV/0!</v>
      </c>
      <c r="N143" s="53" t="e">
        <f t="shared" si="33"/>
        <v>#DIV/0!</v>
      </c>
      <c r="O143" s="53" t="e">
        <f t="shared" si="34"/>
        <v>#DIV/0!</v>
      </c>
      <c r="P143" s="69"/>
      <c r="Q143" s="69"/>
      <c r="R143" s="53" t="e">
        <f t="shared" si="35"/>
        <v>#DIV/0!</v>
      </c>
      <c r="S143" s="53" t="e">
        <f t="shared" si="36"/>
        <v>#DIV/0!</v>
      </c>
      <c r="T143" s="53" t="e">
        <f t="shared" si="37"/>
        <v>#DIV/0!</v>
      </c>
      <c r="U143" s="53" t="e">
        <f t="shared" si="38"/>
        <v>#DIV/0!</v>
      </c>
      <c r="V143" s="53" t="e">
        <f>V142+ATM_Conf!$C$5*(Nodes!AL142)/('Off-Ramp'!K328*AA328)</f>
        <v>#DIV/0!</v>
      </c>
      <c r="W143" s="53" t="e">
        <f>W142+ATM_Conf!$C$5*(Nodes!AM142)/('Off-Ramp'!L328*AB328)</f>
        <v>#DIV/0!</v>
      </c>
      <c r="X143" s="53" t="e">
        <f>X142+ATM_Conf!$C$5*(Nodes!AN142)/('Off-Ramp'!M328*AC328)</f>
        <v>#DIV/0!</v>
      </c>
      <c r="Y143" s="53" t="e">
        <f>Y142+ATM_Conf!$C$5*(Nodes!AO142)/('Off-Ramp'!N328*AD328)</f>
        <v>#DIV/0!</v>
      </c>
      <c r="Z143" s="53" t="e">
        <f>Z142+ATM_Conf!$C$5*(Nodes!AP142)/('Off-Ramp'!O328*AE328)</f>
        <v>#DIV/0!</v>
      </c>
      <c r="AA143" s="53" t="e">
        <f>AA142+ATM_Conf!$C$5*(Nodes!AQ142)/('Off-Ramp'!P328*AF328)</f>
        <v>#DIV/0!</v>
      </c>
    </row>
    <row r="144" spans="1:27" x14ac:dyDescent="0.15">
      <c r="A144" s="46">
        <v>142</v>
      </c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53" t="e">
        <f t="shared" si="31"/>
        <v>#DIV/0!</v>
      </c>
      <c r="M144" s="53" t="e">
        <f t="shared" si="32"/>
        <v>#DIV/0!</v>
      </c>
      <c r="N144" s="53" t="e">
        <f t="shared" si="33"/>
        <v>#DIV/0!</v>
      </c>
      <c r="O144" s="53" t="e">
        <f t="shared" si="34"/>
        <v>#DIV/0!</v>
      </c>
      <c r="P144" s="69"/>
      <c r="Q144" s="69"/>
      <c r="R144" s="53" t="e">
        <f t="shared" si="35"/>
        <v>#DIV/0!</v>
      </c>
      <c r="S144" s="53" t="e">
        <f t="shared" si="36"/>
        <v>#DIV/0!</v>
      </c>
      <c r="T144" s="53" t="e">
        <f t="shared" si="37"/>
        <v>#DIV/0!</v>
      </c>
      <c r="U144" s="53" t="e">
        <f t="shared" si="38"/>
        <v>#DIV/0!</v>
      </c>
      <c r="V144" s="53" t="e">
        <f>V143+ATM_Conf!$C$5*(Nodes!AL143)/('Off-Ramp'!K329*AA329)</f>
        <v>#DIV/0!</v>
      </c>
      <c r="W144" s="53" t="e">
        <f>W143+ATM_Conf!$C$5*(Nodes!AM143)/('Off-Ramp'!L329*AB329)</f>
        <v>#DIV/0!</v>
      </c>
      <c r="X144" s="53" t="e">
        <f>X143+ATM_Conf!$C$5*(Nodes!AN143)/('Off-Ramp'!M329*AC329)</f>
        <v>#DIV/0!</v>
      </c>
      <c r="Y144" s="53" t="e">
        <f>Y143+ATM_Conf!$C$5*(Nodes!AO143)/('Off-Ramp'!N329*AD329)</f>
        <v>#DIV/0!</v>
      </c>
      <c r="Z144" s="53" t="e">
        <f>Z143+ATM_Conf!$C$5*(Nodes!AP143)/('Off-Ramp'!O329*AE329)</f>
        <v>#DIV/0!</v>
      </c>
      <c r="AA144" s="53" t="e">
        <f>AA143+ATM_Conf!$C$5*(Nodes!AQ143)/('Off-Ramp'!P329*AF329)</f>
        <v>#DIV/0!</v>
      </c>
    </row>
    <row r="145" spans="1:27" x14ac:dyDescent="0.15">
      <c r="A145" s="46">
        <v>143</v>
      </c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53" t="e">
        <f t="shared" si="31"/>
        <v>#DIV/0!</v>
      </c>
      <c r="M145" s="53" t="e">
        <f t="shared" si="32"/>
        <v>#DIV/0!</v>
      </c>
      <c r="N145" s="53" t="e">
        <f t="shared" si="33"/>
        <v>#DIV/0!</v>
      </c>
      <c r="O145" s="53" t="e">
        <f t="shared" si="34"/>
        <v>#DIV/0!</v>
      </c>
      <c r="P145" s="69"/>
      <c r="Q145" s="69"/>
      <c r="R145" s="53" t="e">
        <f t="shared" si="35"/>
        <v>#DIV/0!</v>
      </c>
      <c r="S145" s="53" t="e">
        <f t="shared" si="36"/>
        <v>#DIV/0!</v>
      </c>
      <c r="T145" s="53" t="e">
        <f t="shared" si="37"/>
        <v>#DIV/0!</v>
      </c>
      <c r="U145" s="53" t="e">
        <f t="shared" si="38"/>
        <v>#DIV/0!</v>
      </c>
      <c r="V145" s="53" t="e">
        <f>V144+ATM_Conf!$C$5*(Nodes!AL144)/('Off-Ramp'!K330*AA330)</f>
        <v>#DIV/0!</v>
      </c>
      <c r="W145" s="53" t="e">
        <f>W144+ATM_Conf!$C$5*(Nodes!AM144)/('Off-Ramp'!L330*AB330)</f>
        <v>#DIV/0!</v>
      </c>
      <c r="X145" s="53" t="e">
        <f>X144+ATM_Conf!$C$5*(Nodes!AN144)/('Off-Ramp'!M330*AC330)</f>
        <v>#DIV/0!</v>
      </c>
      <c r="Y145" s="53" t="e">
        <f>Y144+ATM_Conf!$C$5*(Nodes!AO144)/('Off-Ramp'!N330*AD330)</f>
        <v>#DIV/0!</v>
      </c>
      <c r="Z145" s="53" t="e">
        <f>Z144+ATM_Conf!$C$5*(Nodes!AP144)/('Off-Ramp'!O330*AE330)</f>
        <v>#DIV/0!</v>
      </c>
      <c r="AA145" s="53" t="e">
        <f>AA144+ATM_Conf!$C$5*(Nodes!AQ144)/('Off-Ramp'!P330*AF330)</f>
        <v>#DIV/0!</v>
      </c>
    </row>
    <row r="146" spans="1:27" x14ac:dyDescent="0.15">
      <c r="A146" s="46">
        <v>144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53" t="e">
        <f t="shared" si="31"/>
        <v>#DIV/0!</v>
      </c>
      <c r="M146" s="53" t="e">
        <f t="shared" si="32"/>
        <v>#DIV/0!</v>
      </c>
      <c r="N146" s="53" t="e">
        <f t="shared" si="33"/>
        <v>#DIV/0!</v>
      </c>
      <c r="O146" s="53" t="e">
        <f t="shared" si="34"/>
        <v>#DIV/0!</v>
      </c>
      <c r="P146" s="69"/>
      <c r="Q146" s="69"/>
      <c r="R146" s="53" t="e">
        <f t="shared" si="35"/>
        <v>#DIV/0!</v>
      </c>
      <c r="S146" s="53" t="e">
        <f t="shared" si="36"/>
        <v>#DIV/0!</v>
      </c>
      <c r="T146" s="53" t="e">
        <f t="shared" si="37"/>
        <v>#DIV/0!</v>
      </c>
      <c r="U146" s="53" t="e">
        <f t="shared" si="38"/>
        <v>#DIV/0!</v>
      </c>
      <c r="V146" s="53" t="e">
        <f>V145+ATM_Conf!$C$5*(Nodes!AL145)/('Off-Ramp'!K331*AA331)</f>
        <v>#DIV/0!</v>
      </c>
      <c r="W146" s="53" t="e">
        <f>W145+ATM_Conf!$C$5*(Nodes!AM145)/('Off-Ramp'!L331*AB331)</f>
        <v>#DIV/0!</v>
      </c>
      <c r="X146" s="53" t="e">
        <f>X145+ATM_Conf!$C$5*(Nodes!AN145)/('Off-Ramp'!M331*AC331)</f>
        <v>#DIV/0!</v>
      </c>
      <c r="Y146" s="53" t="e">
        <f>Y145+ATM_Conf!$C$5*(Nodes!AO145)/('Off-Ramp'!N331*AD331)</f>
        <v>#DIV/0!</v>
      </c>
      <c r="Z146" s="53" t="e">
        <f>Z145+ATM_Conf!$C$5*(Nodes!AP145)/('Off-Ramp'!O331*AE331)</f>
        <v>#DIV/0!</v>
      </c>
      <c r="AA146" s="53" t="e">
        <f>AA145+ATM_Conf!$C$5*(Nodes!AQ145)/('Off-Ramp'!P331*AF331)</f>
        <v>#DIV/0!</v>
      </c>
    </row>
    <row r="147" spans="1:27" x14ac:dyDescent="0.15">
      <c r="A147" s="46">
        <v>145</v>
      </c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53" t="e">
        <f t="shared" si="31"/>
        <v>#DIV/0!</v>
      </c>
      <c r="M147" s="53" t="e">
        <f t="shared" si="32"/>
        <v>#DIV/0!</v>
      </c>
      <c r="N147" s="53" t="e">
        <f t="shared" si="33"/>
        <v>#DIV/0!</v>
      </c>
      <c r="O147" s="53" t="e">
        <f t="shared" si="34"/>
        <v>#DIV/0!</v>
      </c>
      <c r="P147" s="69"/>
      <c r="Q147" s="69"/>
      <c r="R147" s="53" t="e">
        <f t="shared" si="35"/>
        <v>#DIV/0!</v>
      </c>
      <c r="S147" s="53" t="e">
        <f t="shared" si="36"/>
        <v>#DIV/0!</v>
      </c>
      <c r="T147" s="53" t="e">
        <f t="shared" si="37"/>
        <v>#DIV/0!</v>
      </c>
      <c r="U147" s="53" t="e">
        <f t="shared" si="38"/>
        <v>#DIV/0!</v>
      </c>
      <c r="V147" s="53" t="e">
        <f>V146+ATM_Conf!$C$5*(Nodes!AL146)/('Off-Ramp'!K332*AA332)</f>
        <v>#DIV/0!</v>
      </c>
      <c r="W147" s="53" t="e">
        <f>W146+ATM_Conf!$C$5*(Nodes!AM146)/('Off-Ramp'!L332*AB332)</f>
        <v>#DIV/0!</v>
      </c>
      <c r="X147" s="53" t="e">
        <f>X146+ATM_Conf!$C$5*(Nodes!AN146)/('Off-Ramp'!M332*AC332)</f>
        <v>#DIV/0!</v>
      </c>
      <c r="Y147" s="53" t="e">
        <f>Y146+ATM_Conf!$C$5*(Nodes!AO146)/('Off-Ramp'!N332*AD332)</f>
        <v>#DIV/0!</v>
      </c>
      <c r="Z147" s="53" t="e">
        <f>Z146+ATM_Conf!$C$5*(Nodes!AP146)/('Off-Ramp'!O332*AE332)</f>
        <v>#DIV/0!</v>
      </c>
      <c r="AA147" s="53" t="e">
        <f>AA146+ATM_Conf!$C$5*(Nodes!AQ146)/('Off-Ramp'!P332*AF332)</f>
        <v>#DIV/0!</v>
      </c>
    </row>
    <row r="148" spans="1:27" x14ac:dyDescent="0.15">
      <c r="A148" s="46">
        <v>146</v>
      </c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53" t="e">
        <f t="shared" si="31"/>
        <v>#DIV/0!</v>
      </c>
      <c r="M148" s="53" t="e">
        <f t="shared" si="32"/>
        <v>#DIV/0!</v>
      </c>
      <c r="N148" s="53" t="e">
        <f t="shared" si="33"/>
        <v>#DIV/0!</v>
      </c>
      <c r="O148" s="53" t="e">
        <f t="shared" si="34"/>
        <v>#DIV/0!</v>
      </c>
      <c r="P148" s="69"/>
      <c r="Q148" s="69"/>
      <c r="R148" s="53" t="e">
        <f t="shared" si="35"/>
        <v>#DIV/0!</v>
      </c>
      <c r="S148" s="53" t="e">
        <f t="shared" si="36"/>
        <v>#DIV/0!</v>
      </c>
      <c r="T148" s="53" t="e">
        <f t="shared" si="37"/>
        <v>#DIV/0!</v>
      </c>
      <c r="U148" s="53" t="e">
        <f t="shared" si="38"/>
        <v>#DIV/0!</v>
      </c>
      <c r="V148" s="53" t="e">
        <f>V147+ATM_Conf!$C$5*(Nodes!AL147)/('Off-Ramp'!K333*AA333)</f>
        <v>#DIV/0!</v>
      </c>
      <c r="W148" s="53" t="e">
        <f>W147+ATM_Conf!$C$5*(Nodes!AM147)/('Off-Ramp'!L333*AB333)</f>
        <v>#DIV/0!</v>
      </c>
      <c r="X148" s="53" t="e">
        <f>X147+ATM_Conf!$C$5*(Nodes!AN147)/('Off-Ramp'!M333*AC333)</f>
        <v>#DIV/0!</v>
      </c>
      <c r="Y148" s="53" t="e">
        <f>Y147+ATM_Conf!$C$5*(Nodes!AO147)/('Off-Ramp'!N333*AD333)</f>
        <v>#DIV/0!</v>
      </c>
      <c r="Z148" s="53" t="e">
        <f>Z147+ATM_Conf!$C$5*(Nodes!AP147)/('Off-Ramp'!O333*AE333)</f>
        <v>#DIV/0!</v>
      </c>
      <c r="AA148" s="53" t="e">
        <f>AA147+ATM_Conf!$C$5*(Nodes!AQ147)/('Off-Ramp'!P333*AF333)</f>
        <v>#DIV/0!</v>
      </c>
    </row>
    <row r="149" spans="1:27" x14ac:dyDescent="0.15">
      <c r="A149" s="46">
        <v>147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53" t="e">
        <f t="shared" si="31"/>
        <v>#DIV/0!</v>
      </c>
      <c r="M149" s="53" t="e">
        <f t="shared" si="32"/>
        <v>#DIV/0!</v>
      </c>
      <c r="N149" s="53" t="e">
        <f t="shared" si="33"/>
        <v>#DIV/0!</v>
      </c>
      <c r="O149" s="53" t="e">
        <f t="shared" si="34"/>
        <v>#DIV/0!</v>
      </c>
      <c r="P149" s="69"/>
      <c r="Q149" s="69"/>
      <c r="R149" s="53" t="e">
        <f t="shared" si="35"/>
        <v>#DIV/0!</v>
      </c>
      <c r="S149" s="53" t="e">
        <f t="shared" si="36"/>
        <v>#DIV/0!</v>
      </c>
      <c r="T149" s="53" t="e">
        <f t="shared" si="37"/>
        <v>#DIV/0!</v>
      </c>
      <c r="U149" s="53" t="e">
        <f t="shared" si="38"/>
        <v>#DIV/0!</v>
      </c>
      <c r="V149" s="53" t="e">
        <f>V148+ATM_Conf!$C$5*(Nodes!AL148)/('Off-Ramp'!K334*AA334)</f>
        <v>#DIV/0!</v>
      </c>
      <c r="W149" s="53" t="e">
        <f>W148+ATM_Conf!$C$5*(Nodes!AM148)/('Off-Ramp'!L334*AB334)</f>
        <v>#DIV/0!</v>
      </c>
      <c r="X149" s="53" t="e">
        <f>X148+ATM_Conf!$C$5*(Nodes!AN148)/('Off-Ramp'!M334*AC334)</f>
        <v>#DIV/0!</v>
      </c>
      <c r="Y149" s="53" t="e">
        <f>Y148+ATM_Conf!$C$5*(Nodes!AO148)/('Off-Ramp'!N334*AD334)</f>
        <v>#DIV/0!</v>
      </c>
      <c r="Z149" s="53" t="e">
        <f>Z148+ATM_Conf!$C$5*(Nodes!AP148)/('Off-Ramp'!O334*AE334)</f>
        <v>#DIV/0!</v>
      </c>
      <c r="AA149" s="53" t="e">
        <f>AA148+ATM_Conf!$C$5*(Nodes!AQ148)/('Off-Ramp'!P334*AF334)</f>
        <v>#DIV/0!</v>
      </c>
    </row>
    <row r="150" spans="1:27" x14ac:dyDescent="0.15">
      <c r="A150" s="46">
        <v>148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53" t="e">
        <f t="shared" si="31"/>
        <v>#DIV/0!</v>
      </c>
      <c r="M150" s="53" t="e">
        <f t="shared" si="32"/>
        <v>#DIV/0!</v>
      </c>
      <c r="N150" s="53" t="e">
        <f t="shared" si="33"/>
        <v>#DIV/0!</v>
      </c>
      <c r="O150" s="53" t="e">
        <f t="shared" si="34"/>
        <v>#DIV/0!</v>
      </c>
      <c r="P150" s="69"/>
      <c r="Q150" s="69"/>
      <c r="R150" s="53" t="e">
        <f t="shared" si="35"/>
        <v>#DIV/0!</v>
      </c>
      <c r="S150" s="53" t="e">
        <f t="shared" si="36"/>
        <v>#DIV/0!</v>
      </c>
      <c r="T150" s="53" t="e">
        <f t="shared" si="37"/>
        <v>#DIV/0!</v>
      </c>
      <c r="U150" s="53" t="e">
        <f t="shared" si="38"/>
        <v>#DIV/0!</v>
      </c>
      <c r="V150" s="53" t="e">
        <f>V149+ATM_Conf!$C$5*(Nodes!AL149)/('Off-Ramp'!K335*AA335)</f>
        <v>#DIV/0!</v>
      </c>
      <c r="W150" s="53" t="e">
        <f>W149+ATM_Conf!$C$5*(Nodes!AM149)/('Off-Ramp'!L335*AB335)</f>
        <v>#DIV/0!</v>
      </c>
      <c r="X150" s="53" t="e">
        <f>X149+ATM_Conf!$C$5*(Nodes!AN149)/('Off-Ramp'!M335*AC335)</f>
        <v>#DIV/0!</v>
      </c>
      <c r="Y150" s="53" t="e">
        <f>Y149+ATM_Conf!$C$5*(Nodes!AO149)/('Off-Ramp'!N335*AD335)</f>
        <v>#DIV/0!</v>
      </c>
      <c r="Z150" s="53" t="e">
        <f>Z149+ATM_Conf!$C$5*(Nodes!AP149)/('Off-Ramp'!O335*AE335)</f>
        <v>#DIV/0!</v>
      </c>
      <c r="AA150" s="53" t="e">
        <f>AA149+ATM_Conf!$C$5*(Nodes!AQ149)/('Off-Ramp'!P335*AF335)</f>
        <v>#DIV/0!</v>
      </c>
    </row>
    <row r="151" spans="1:27" x14ac:dyDescent="0.15">
      <c r="A151" s="46">
        <v>149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53" t="e">
        <f t="shared" si="31"/>
        <v>#DIV/0!</v>
      </c>
      <c r="M151" s="53" t="e">
        <f t="shared" si="32"/>
        <v>#DIV/0!</v>
      </c>
      <c r="N151" s="53" t="e">
        <f t="shared" si="33"/>
        <v>#DIV/0!</v>
      </c>
      <c r="O151" s="53" t="e">
        <f t="shared" si="34"/>
        <v>#DIV/0!</v>
      </c>
      <c r="P151" s="69"/>
      <c r="Q151" s="69"/>
      <c r="R151" s="53" t="e">
        <f t="shared" si="35"/>
        <v>#DIV/0!</v>
      </c>
      <c r="S151" s="53" t="e">
        <f t="shared" si="36"/>
        <v>#DIV/0!</v>
      </c>
      <c r="T151" s="53" t="e">
        <f t="shared" si="37"/>
        <v>#DIV/0!</v>
      </c>
      <c r="U151" s="53" t="e">
        <f t="shared" si="38"/>
        <v>#DIV/0!</v>
      </c>
      <c r="V151" s="53" t="e">
        <f>V150+ATM_Conf!$C$5*(Nodes!AL150)/('Off-Ramp'!K336*AA336)</f>
        <v>#DIV/0!</v>
      </c>
      <c r="W151" s="53" t="e">
        <f>W150+ATM_Conf!$C$5*(Nodes!AM150)/('Off-Ramp'!L336*AB336)</f>
        <v>#DIV/0!</v>
      </c>
      <c r="X151" s="53" t="e">
        <f>X150+ATM_Conf!$C$5*(Nodes!AN150)/('Off-Ramp'!M336*AC336)</f>
        <v>#DIV/0!</v>
      </c>
      <c r="Y151" s="53" t="e">
        <f>Y150+ATM_Conf!$C$5*(Nodes!AO150)/('Off-Ramp'!N336*AD336)</f>
        <v>#DIV/0!</v>
      </c>
      <c r="Z151" s="53" t="e">
        <f>Z150+ATM_Conf!$C$5*(Nodes!AP150)/('Off-Ramp'!O336*AE336)</f>
        <v>#DIV/0!</v>
      </c>
      <c r="AA151" s="53" t="e">
        <f>AA150+ATM_Conf!$C$5*(Nodes!AQ150)/('Off-Ramp'!P336*AF336)</f>
        <v>#DIV/0!</v>
      </c>
    </row>
    <row r="152" spans="1:27" x14ac:dyDescent="0.15">
      <c r="A152" s="46">
        <v>150</v>
      </c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53" t="e">
        <f t="shared" si="31"/>
        <v>#DIV/0!</v>
      </c>
      <c r="M152" s="53" t="e">
        <f t="shared" si="32"/>
        <v>#DIV/0!</v>
      </c>
      <c r="N152" s="53" t="e">
        <f t="shared" si="33"/>
        <v>#DIV/0!</v>
      </c>
      <c r="O152" s="53" t="e">
        <f t="shared" si="34"/>
        <v>#DIV/0!</v>
      </c>
      <c r="P152" s="69"/>
      <c r="Q152" s="69"/>
      <c r="R152" s="53" t="e">
        <f t="shared" si="35"/>
        <v>#DIV/0!</v>
      </c>
      <c r="S152" s="53" t="e">
        <f t="shared" si="36"/>
        <v>#DIV/0!</v>
      </c>
      <c r="T152" s="53" t="e">
        <f t="shared" si="37"/>
        <v>#DIV/0!</v>
      </c>
      <c r="U152" s="53" t="e">
        <f t="shared" si="38"/>
        <v>#DIV/0!</v>
      </c>
      <c r="V152" s="53" t="e">
        <f>V151+ATM_Conf!$C$5*(Nodes!AL151)/('Off-Ramp'!K337*AA337)</f>
        <v>#DIV/0!</v>
      </c>
      <c r="W152" s="53" t="e">
        <f>W151+ATM_Conf!$C$5*(Nodes!AM151)/('Off-Ramp'!L337*AB337)</f>
        <v>#DIV/0!</v>
      </c>
      <c r="X152" s="53" t="e">
        <f>X151+ATM_Conf!$C$5*(Nodes!AN151)/('Off-Ramp'!M337*AC337)</f>
        <v>#DIV/0!</v>
      </c>
      <c r="Y152" s="53" t="e">
        <f>Y151+ATM_Conf!$C$5*(Nodes!AO151)/('Off-Ramp'!N337*AD337)</f>
        <v>#DIV/0!</v>
      </c>
      <c r="Z152" s="53" t="e">
        <f>Z151+ATM_Conf!$C$5*(Nodes!AP151)/('Off-Ramp'!O337*AE337)</f>
        <v>#DIV/0!</v>
      </c>
      <c r="AA152" s="53" t="e">
        <f>AA151+ATM_Conf!$C$5*(Nodes!AQ151)/('Off-Ramp'!P337*AF337)</f>
        <v>#DIV/0!</v>
      </c>
    </row>
    <row r="153" spans="1:27" x14ac:dyDescent="0.15">
      <c r="A153" s="46">
        <v>151</v>
      </c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53" t="e">
        <f t="shared" si="31"/>
        <v>#DIV/0!</v>
      </c>
      <c r="M153" s="53" t="e">
        <f t="shared" si="32"/>
        <v>#DIV/0!</v>
      </c>
      <c r="N153" s="53" t="e">
        <f t="shared" si="33"/>
        <v>#DIV/0!</v>
      </c>
      <c r="O153" s="53" t="e">
        <f t="shared" si="34"/>
        <v>#DIV/0!</v>
      </c>
      <c r="P153" s="69"/>
      <c r="Q153" s="69"/>
      <c r="R153" s="53" t="e">
        <f t="shared" si="35"/>
        <v>#DIV/0!</v>
      </c>
      <c r="S153" s="53" t="e">
        <f t="shared" si="36"/>
        <v>#DIV/0!</v>
      </c>
      <c r="T153" s="53" t="e">
        <f t="shared" si="37"/>
        <v>#DIV/0!</v>
      </c>
      <c r="U153" s="53" t="e">
        <f t="shared" si="38"/>
        <v>#DIV/0!</v>
      </c>
      <c r="V153" s="53" t="e">
        <f>V152+ATM_Conf!$C$5*(Nodes!AL152)/('Off-Ramp'!K338*AA338)</f>
        <v>#DIV/0!</v>
      </c>
      <c r="W153" s="53" t="e">
        <f>W152+ATM_Conf!$C$5*(Nodes!AM152)/('Off-Ramp'!L338*AB338)</f>
        <v>#DIV/0!</v>
      </c>
      <c r="X153" s="53" t="e">
        <f>X152+ATM_Conf!$C$5*(Nodes!AN152)/('Off-Ramp'!M338*AC338)</f>
        <v>#DIV/0!</v>
      </c>
      <c r="Y153" s="53" t="e">
        <f>Y152+ATM_Conf!$C$5*(Nodes!AO152)/('Off-Ramp'!N338*AD338)</f>
        <v>#DIV/0!</v>
      </c>
      <c r="Z153" s="53" t="e">
        <f>Z152+ATM_Conf!$C$5*(Nodes!AP152)/('Off-Ramp'!O338*AE338)</f>
        <v>#DIV/0!</v>
      </c>
      <c r="AA153" s="53" t="e">
        <f>AA152+ATM_Conf!$C$5*(Nodes!AQ152)/('Off-Ramp'!P338*AF338)</f>
        <v>#DIV/0!</v>
      </c>
    </row>
    <row r="154" spans="1:27" x14ac:dyDescent="0.15">
      <c r="A154" s="46">
        <v>152</v>
      </c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53" t="e">
        <f t="shared" si="31"/>
        <v>#DIV/0!</v>
      </c>
      <c r="M154" s="53" t="e">
        <f t="shared" si="32"/>
        <v>#DIV/0!</v>
      </c>
      <c r="N154" s="53" t="e">
        <f t="shared" si="33"/>
        <v>#DIV/0!</v>
      </c>
      <c r="O154" s="53" t="e">
        <f t="shared" si="34"/>
        <v>#DIV/0!</v>
      </c>
      <c r="P154" s="69"/>
      <c r="Q154" s="69"/>
      <c r="R154" s="53" t="e">
        <f t="shared" si="35"/>
        <v>#DIV/0!</v>
      </c>
      <c r="S154" s="53" t="e">
        <f t="shared" si="36"/>
        <v>#DIV/0!</v>
      </c>
      <c r="T154" s="53" t="e">
        <f t="shared" si="37"/>
        <v>#DIV/0!</v>
      </c>
      <c r="U154" s="53" t="e">
        <f t="shared" si="38"/>
        <v>#DIV/0!</v>
      </c>
      <c r="V154" s="53" t="e">
        <f>V153+ATM_Conf!$C$5*(Nodes!AL153)/('Off-Ramp'!K339*AA339)</f>
        <v>#DIV/0!</v>
      </c>
      <c r="W154" s="53" t="e">
        <f>W153+ATM_Conf!$C$5*(Nodes!AM153)/('Off-Ramp'!L339*AB339)</f>
        <v>#DIV/0!</v>
      </c>
      <c r="X154" s="53" t="e">
        <f>X153+ATM_Conf!$C$5*(Nodes!AN153)/('Off-Ramp'!M339*AC339)</f>
        <v>#DIV/0!</v>
      </c>
      <c r="Y154" s="53" t="e">
        <f>Y153+ATM_Conf!$C$5*(Nodes!AO153)/('Off-Ramp'!N339*AD339)</f>
        <v>#DIV/0!</v>
      </c>
      <c r="Z154" s="53" t="e">
        <f>Z153+ATM_Conf!$C$5*(Nodes!AP153)/('Off-Ramp'!O339*AE339)</f>
        <v>#DIV/0!</v>
      </c>
      <c r="AA154" s="53" t="e">
        <f>AA153+ATM_Conf!$C$5*(Nodes!AQ153)/('Off-Ramp'!P339*AF339)</f>
        <v>#DIV/0!</v>
      </c>
    </row>
    <row r="155" spans="1:27" x14ac:dyDescent="0.15">
      <c r="A155" s="46">
        <v>153</v>
      </c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53" t="e">
        <f t="shared" si="31"/>
        <v>#DIV/0!</v>
      </c>
      <c r="M155" s="53" t="e">
        <f t="shared" si="32"/>
        <v>#DIV/0!</v>
      </c>
      <c r="N155" s="53" t="e">
        <f t="shared" si="33"/>
        <v>#DIV/0!</v>
      </c>
      <c r="O155" s="53" t="e">
        <f t="shared" si="34"/>
        <v>#DIV/0!</v>
      </c>
      <c r="P155" s="69"/>
      <c r="Q155" s="69"/>
      <c r="R155" s="53" t="e">
        <f t="shared" si="35"/>
        <v>#DIV/0!</v>
      </c>
      <c r="S155" s="53" t="e">
        <f t="shared" si="36"/>
        <v>#DIV/0!</v>
      </c>
      <c r="T155" s="53" t="e">
        <f t="shared" si="37"/>
        <v>#DIV/0!</v>
      </c>
      <c r="U155" s="53" t="e">
        <f t="shared" si="38"/>
        <v>#DIV/0!</v>
      </c>
      <c r="V155" s="53" t="e">
        <f>V154+ATM_Conf!$C$5*(Nodes!AL154)/('Off-Ramp'!K340*AA340)</f>
        <v>#DIV/0!</v>
      </c>
      <c r="W155" s="53" t="e">
        <f>W154+ATM_Conf!$C$5*(Nodes!AM154)/('Off-Ramp'!L340*AB340)</f>
        <v>#DIV/0!</v>
      </c>
      <c r="X155" s="53" t="e">
        <f>X154+ATM_Conf!$C$5*(Nodes!AN154)/('Off-Ramp'!M340*AC340)</f>
        <v>#DIV/0!</v>
      </c>
      <c r="Y155" s="53" t="e">
        <f>Y154+ATM_Conf!$C$5*(Nodes!AO154)/('Off-Ramp'!N340*AD340)</f>
        <v>#DIV/0!</v>
      </c>
      <c r="Z155" s="53" t="e">
        <f>Z154+ATM_Conf!$C$5*(Nodes!AP154)/('Off-Ramp'!O340*AE340)</f>
        <v>#DIV/0!</v>
      </c>
      <c r="AA155" s="53" t="e">
        <f>AA154+ATM_Conf!$C$5*(Nodes!AQ154)/('Off-Ramp'!P340*AF340)</f>
        <v>#DIV/0!</v>
      </c>
    </row>
    <row r="156" spans="1:27" x14ac:dyDescent="0.15">
      <c r="A156" s="46">
        <v>154</v>
      </c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53" t="e">
        <f t="shared" si="31"/>
        <v>#DIV/0!</v>
      </c>
      <c r="M156" s="53" t="e">
        <f t="shared" si="32"/>
        <v>#DIV/0!</v>
      </c>
      <c r="N156" s="53" t="e">
        <f t="shared" si="33"/>
        <v>#DIV/0!</v>
      </c>
      <c r="O156" s="53" t="e">
        <f t="shared" si="34"/>
        <v>#DIV/0!</v>
      </c>
      <c r="P156" s="69"/>
      <c r="Q156" s="69"/>
      <c r="R156" s="53" t="e">
        <f t="shared" si="35"/>
        <v>#DIV/0!</v>
      </c>
      <c r="S156" s="53" t="e">
        <f t="shared" si="36"/>
        <v>#DIV/0!</v>
      </c>
      <c r="T156" s="53" t="e">
        <f t="shared" si="37"/>
        <v>#DIV/0!</v>
      </c>
      <c r="U156" s="53" t="e">
        <f t="shared" si="38"/>
        <v>#DIV/0!</v>
      </c>
      <c r="V156" s="53" t="e">
        <f>V155+ATM_Conf!$C$5*(Nodes!AL155)/('Off-Ramp'!K341*AA341)</f>
        <v>#DIV/0!</v>
      </c>
      <c r="W156" s="53" t="e">
        <f>W155+ATM_Conf!$C$5*(Nodes!AM155)/('Off-Ramp'!L341*AB341)</f>
        <v>#DIV/0!</v>
      </c>
      <c r="X156" s="53" t="e">
        <f>X155+ATM_Conf!$C$5*(Nodes!AN155)/('Off-Ramp'!M341*AC341)</f>
        <v>#DIV/0!</v>
      </c>
      <c r="Y156" s="53" t="e">
        <f>Y155+ATM_Conf!$C$5*(Nodes!AO155)/('Off-Ramp'!N341*AD341)</f>
        <v>#DIV/0!</v>
      </c>
      <c r="Z156" s="53" t="e">
        <f>Z155+ATM_Conf!$C$5*(Nodes!AP155)/('Off-Ramp'!O341*AE341)</f>
        <v>#DIV/0!</v>
      </c>
      <c r="AA156" s="53" t="e">
        <f>AA155+ATM_Conf!$C$5*(Nodes!AQ155)/('Off-Ramp'!P341*AF341)</f>
        <v>#DIV/0!</v>
      </c>
    </row>
    <row r="157" spans="1:27" x14ac:dyDescent="0.15">
      <c r="A157" s="46">
        <v>155</v>
      </c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53" t="e">
        <f t="shared" si="31"/>
        <v>#DIV/0!</v>
      </c>
      <c r="M157" s="53" t="e">
        <f t="shared" si="32"/>
        <v>#DIV/0!</v>
      </c>
      <c r="N157" s="53" t="e">
        <f t="shared" si="33"/>
        <v>#DIV/0!</v>
      </c>
      <c r="O157" s="53" t="e">
        <f t="shared" si="34"/>
        <v>#DIV/0!</v>
      </c>
      <c r="P157" s="69"/>
      <c r="Q157" s="69"/>
      <c r="R157" s="53" t="e">
        <f t="shared" si="35"/>
        <v>#DIV/0!</v>
      </c>
      <c r="S157" s="53" t="e">
        <f t="shared" si="36"/>
        <v>#DIV/0!</v>
      </c>
      <c r="T157" s="53" t="e">
        <f t="shared" si="37"/>
        <v>#DIV/0!</v>
      </c>
      <c r="U157" s="53" t="e">
        <f t="shared" si="38"/>
        <v>#DIV/0!</v>
      </c>
      <c r="V157" s="53" t="e">
        <f>V156+ATM_Conf!$C$5*(Nodes!AL156)/('Off-Ramp'!K342*AA342)</f>
        <v>#DIV/0!</v>
      </c>
      <c r="W157" s="53" t="e">
        <f>W156+ATM_Conf!$C$5*(Nodes!AM156)/('Off-Ramp'!L342*AB342)</f>
        <v>#DIV/0!</v>
      </c>
      <c r="X157" s="53" t="e">
        <f>X156+ATM_Conf!$C$5*(Nodes!AN156)/('Off-Ramp'!M342*AC342)</f>
        <v>#DIV/0!</v>
      </c>
      <c r="Y157" s="53" t="e">
        <f>Y156+ATM_Conf!$C$5*(Nodes!AO156)/('Off-Ramp'!N342*AD342)</f>
        <v>#DIV/0!</v>
      </c>
      <c r="Z157" s="53" t="e">
        <f>Z156+ATM_Conf!$C$5*(Nodes!AP156)/('Off-Ramp'!O342*AE342)</f>
        <v>#DIV/0!</v>
      </c>
      <c r="AA157" s="53" t="e">
        <f>AA156+ATM_Conf!$C$5*(Nodes!AQ156)/('Off-Ramp'!P342*AF342)</f>
        <v>#DIV/0!</v>
      </c>
    </row>
    <row r="158" spans="1:27" x14ac:dyDescent="0.15">
      <c r="A158" s="46">
        <v>156</v>
      </c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53" t="e">
        <f t="shared" si="31"/>
        <v>#DIV/0!</v>
      </c>
      <c r="M158" s="53" t="e">
        <f t="shared" si="32"/>
        <v>#DIV/0!</v>
      </c>
      <c r="N158" s="53" t="e">
        <f t="shared" si="33"/>
        <v>#DIV/0!</v>
      </c>
      <c r="O158" s="53" t="e">
        <f t="shared" si="34"/>
        <v>#DIV/0!</v>
      </c>
      <c r="P158" s="69"/>
      <c r="Q158" s="69"/>
      <c r="R158" s="53" t="e">
        <f t="shared" si="35"/>
        <v>#DIV/0!</v>
      </c>
      <c r="S158" s="53" t="e">
        <f t="shared" si="36"/>
        <v>#DIV/0!</v>
      </c>
      <c r="T158" s="53" t="e">
        <f t="shared" si="37"/>
        <v>#DIV/0!</v>
      </c>
      <c r="U158" s="53" t="e">
        <f t="shared" si="38"/>
        <v>#DIV/0!</v>
      </c>
      <c r="V158" s="53" t="e">
        <f>V157+ATM_Conf!$C$5*(Nodes!AL157)/('Off-Ramp'!K343*AA343)</f>
        <v>#DIV/0!</v>
      </c>
      <c r="W158" s="53" t="e">
        <f>W157+ATM_Conf!$C$5*(Nodes!AM157)/('Off-Ramp'!L343*AB343)</f>
        <v>#DIV/0!</v>
      </c>
      <c r="X158" s="53" t="e">
        <f>X157+ATM_Conf!$C$5*(Nodes!AN157)/('Off-Ramp'!M343*AC343)</f>
        <v>#DIV/0!</v>
      </c>
      <c r="Y158" s="53" t="e">
        <f>Y157+ATM_Conf!$C$5*(Nodes!AO157)/('Off-Ramp'!N343*AD343)</f>
        <v>#DIV/0!</v>
      </c>
      <c r="Z158" s="53" t="e">
        <f>Z157+ATM_Conf!$C$5*(Nodes!AP157)/('Off-Ramp'!O343*AE343)</f>
        <v>#DIV/0!</v>
      </c>
      <c r="AA158" s="53" t="e">
        <f>AA157+ATM_Conf!$C$5*(Nodes!AQ157)/('Off-Ramp'!P343*AF343)</f>
        <v>#DIV/0!</v>
      </c>
    </row>
    <row r="159" spans="1:27" x14ac:dyDescent="0.15">
      <c r="A159" s="46">
        <v>157</v>
      </c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53" t="e">
        <f t="shared" si="31"/>
        <v>#DIV/0!</v>
      </c>
      <c r="M159" s="53" t="e">
        <f t="shared" si="32"/>
        <v>#DIV/0!</v>
      </c>
      <c r="N159" s="53" t="e">
        <f t="shared" si="33"/>
        <v>#DIV/0!</v>
      </c>
      <c r="O159" s="53" t="e">
        <f t="shared" si="34"/>
        <v>#DIV/0!</v>
      </c>
      <c r="P159" s="69"/>
      <c r="Q159" s="69"/>
      <c r="R159" s="53" t="e">
        <f t="shared" si="35"/>
        <v>#DIV/0!</v>
      </c>
      <c r="S159" s="53" t="e">
        <f t="shared" si="36"/>
        <v>#DIV/0!</v>
      </c>
      <c r="T159" s="53" t="e">
        <f t="shared" si="37"/>
        <v>#DIV/0!</v>
      </c>
      <c r="U159" s="53" t="e">
        <f t="shared" si="38"/>
        <v>#DIV/0!</v>
      </c>
      <c r="V159" s="53" t="e">
        <f>V158+ATM_Conf!$C$5*(Nodes!AL158)/('Off-Ramp'!K344*AA344)</f>
        <v>#DIV/0!</v>
      </c>
      <c r="W159" s="53" t="e">
        <f>W158+ATM_Conf!$C$5*(Nodes!AM158)/('Off-Ramp'!L344*AB344)</f>
        <v>#DIV/0!</v>
      </c>
      <c r="X159" s="53" t="e">
        <f>X158+ATM_Conf!$C$5*(Nodes!AN158)/('Off-Ramp'!M344*AC344)</f>
        <v>#DIV/0!</v>
      </c>
      <c r="Y159" s="53" t="e">
        <f>Y158+ATM_Conf!$C$5*(Nodes!AO158)/('Off-Ramp'!N344*AD344)</f>
        <v>#DIV/0!</v>
      </c>
      <c r="Z159" s="53" t="e">
        <f>Z158+ATM_Conf!$C$5*(Nodes!AP158)/('Off-Ramp'!O344*AE344)</f>
        <v>#DIV/0!</v>
      </c>
      <c r="AA159" s="53" t="e">
        <f>AA158+ATM_Conf!$C$5*(Nodes!AQ158)/('Off-Ramp'!P344*AF344)</f>
        <v>#DIV/0!</v>
      </c>
    </row>
    <row r="160" spans="1:27" x14ac:dyDescent="0.15">
      <c r="A160" s="46">
        <v>158</v>
      </c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53" t="e">
        <f t="shared" si="31"/>
        <v>#DIV/0!</v>
      </c>
      <c r="M160" s="53" t="e">
        <f t="shared" si="32"/>
        <v>#DIV/0!</v>
      </c>
      <c r="N160" s="53" t="e">
        <f t="shared" si="33"/>
        <v>#DIV/0!</v>
      </c>
      <c r="O160" s="53" t="e">
        <f t="shared" si="34"/>
        <v>#DIV/0!</v>
      </c>
      <c r="P160" s="69"/>
      <c r="Q160" s="69"/>
      <c r="R160" s="53" t="e">
        <f t="shared" si="35"/>
        <v>#DIV/0!</v>
      </c>
      <c r="S160" s="53" t="e">
        <f t="shared" si="36"/>
        <v>#DIV/0!</v>
      </c>
      <c r="T160" s="53" t="e">
        <f t="shared" si="37"/>
        <v>#DIV/0!</v>
      </c>
      <c r="U160" s="53" t="e">
        <f t="shared" si="38"/>
        <v>#DIV/0!</v>
      </c>
      <c r="V160" s="53" t="e">
        <f>V159+ATM_Conf!$C$5*(Nodes!AL159)/('Off-Ramp'!K345*AA345)</f>
        <v>#DIV/0!</v>
      </c>
      <c r="W160" s="53" t="e">
        <f>W159+ATM_Conf!$C$5*(Nodes!AM159)/('Off-Ramp'!L345*AB345)</f>
        <v>#DIV/0!</v>
      </c>
      <c r="X160" s="53" t="e">
        <f>X159+ATM_Conf!$C$5*(Nodes!AN159)/('Off-Ramp'!M345*AC345)</f>
        <v>#DIV/0!</v>
      </c>
      <c r="Y160" s="53" t="e">
        <f>Y159+ATM_Conf!$C$5*(Nodes!AO159)/('Off-Ramp'!N345*AD345)</f>
        <v>#DIV/0!</v>
      </c>
      <c r="Z160" s="53" t="e">
        <f>Z159+ATM_Conf!$C$5*(Nodes!AP159)/('Off-Ramp'!O345*AE345)</f>
        <v>#DIV/0!</v>
      </c>
      <c r="AA160" s="53" t="e">
        <f>AA159+ATM_Conf!$C$5*(Nodes!AQ159)/('Off-Ramp'!P345*AF345)</f>
        <v>#DIV/0!</v>
      </c>
    </row>
    <row r="161" spans="1:27" x14ac:dyDescent="0.15">
      <c r="A161" s="46">
        <v>159</v>
      </c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53" t="e">
        <f t="shared" si="31"/>
        <v>#DIV/0!</v>
      </c>
      <c r="M161" s="53" t="e">
        <f t="shared" si="32"/>
        <v>#DIV/0!</v>
      </c>
      <c r="N161" s="53" t="e">
        <f t="shared" si="33"/>
        <v>#DIV/0!</v>
      </c>
      <c r="O161" s="53" t="e">
        <f t="shared" si="34"/>
        <v>#DIV/0!</v>
      </c>
      <c r="P161" s="69"/>
      <c r="Q161" s="69"/>
      <c r="R161" s="53" t="e">
        <f t="shared" si="35"/>
        <v>#DIV/0!</v>
      </c>
      <c r="S161" s="53" t="e">
        <f t="shared" si="36"/>
        <v>#DIV/0!</v>
      </c>
      <c r="T161" s="53" t="e">
        <f t="shared" si="37"/>
        <v>#DIV/0!</v>
      </c>
      <c r="U161" s="53" t="e">
        <f t="shared" si="38"/>
        <v>#DIV/0!</v>
      </c>
      <c r="V161" s="53" t="e">
        <f>V160+ATM_Conf!$C$5*(Nodes!AL160)/('Off-Ramp'!K346*AA346)</f>
        <v>#DIV/0!</v>
      </c>
      <c r="W161" s="53" t="e">
        <f>W160+ATM_Conf!$C$5*(Nodes!AM160)/('Off-Ramp'!L346*AB346)</f>
        <v>#DIV/0!</v>
      </c>
      <c r="X161" s="53" t="e">
        <f>X160+ATM_Conf!$C$5*(Nodes!AN160)/('Off-Ramp'!M346*AC346)</f>
        <v>#DIV/0!</v>
      </c>
      <c r="Y161" s="53" t="e">
        <f>Y160+ATM_Conf!$C$5*(Nodes!AO160)/('Off-Ramp'!N346*AD346)</f>
        <v>#DIV/0!</v>
      </c>
      <c r="Z161" s="53" t="e">
        <f>Z160+ATM_Conf!$C$5*(Nodes!AP160)/('Off-Ramp'!O346*AE346)</f>
        <v>#DIV/0!</v>
      </c>
      <c r="AA161" s="53" t="e">
        <f>AA160+ATM_Conf!$C$5*(Nodes!AQ160)/('Off-Ramp'!P346*AF346)</f>
        <v>#DIV/0!</v>
      </c>
    </row>
    <row r="162" spans="1:27" x14ac:dyDescent="0.15">
      <c r="A162" s="46">
        <v>160</v>
      </c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53" t="e">
        <f t="shared" si="31"/>
        <v>#DIV/0!</v>
      </c>
      <c r="M162" s="53" t="e">
        <f t="shared" si="32"/>
        <v>#DIV/0!</v>
      </c>
      <c r="N162" s="53" t="e">
        <f t="shared" si="33"/>
        <v>#DIV/0!</v>
      </c>
      <c r="O162" s="53" t="e">
        <f t="shared" si="34"/>
        <v>#DIV/0!</v>
      </c>
      <c r="P162" s="69"/>
      <c r="Q162" s="69"/>
      <c r="R162" s="53" t="e">
        <f t="shared" si="35"/>
        <v>#DIV/0!</v>
      </c>
      <c r="S162" s="53" t="e">
        <f t="shared" si="36"/>
        <v>#DIV/0!</v>
      </c>
      <c r="T162" s="53" t="e">
        <f t="shared" si="37"/>
        <v>#DIV/0!</v>
      </c>
      <c r="U162" s="53" t="e">
        <f t="shared" si="38"/>
        <v>#DIV/0!</v>
      </c>
      <c r="V162" s="53" t="e">
        <f>V161+ATM_Conf!$C$5*(Nodes!AL161)/('Off-Ramp'!K347*AA347)</f>
        <v>#DIV/0!</v>
      </c>
      <c r="W162" s="53" t="e">
        <f>W161+ATM_Conf!$C$5*(Nodes!AM161)/('Off-Ramp'!L347*AB347)</f>
        <v>#DIV/0!</v>
      </c>
      <c r="X162" s="53" t="e">
        <f>X161+ATM_Conf!$C$5*(Nodes!AN161)/('Off-Ramp'!M347*AC347)</f>
        <v>#DIV/0!</v>
      </c>
      <c r="Y162" s="53" t="e">
        <f>Y161+ATM_Conf!$C$5*(Nodes!AO161)/('Off-Ramp'!N347*AD347)</f>
        <v>#DIV/0!</v>
      </c>
      <c r="Z162" s="53" t="e">
        <f>Z161+ATM_Conf!$C$5*(Nodes!AP161)/('Off-Ramp'!O347*AE347)</f>
        <v>#DIV/0!</v>
      </c>
      <c r="AA162" s="53" t="e">
        <f>AA161+ATM_Conf!$C$5*(Nodes!AQ161)/('Off-Ramp'!P347*AF347)</f>
        <v>#DIV/0!</v>
      </c>
    </row>
    <row r="163" spans="1:27" x14ac:dyDescent="0.15">
      <c r="A163" s="46">
        <v>161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53" t="e">
        <f t="shared" si="31"/>
        <v>#DIV/0!</v>
      </c>
      <c r="M163" s="53" t="e">
        <f t="shared" si="32"/>
        <v>#DIV/0!</v>
      </c>
      <c r="N163" s="53" t="e">
        <f t="shared" si="33"/>
        <v>#DIV/0!</v>
      </c>
      <c r="O163" s="53" t="e">
        <f t="shared" si="34"/>
        <v>#DIV/0!</v>
      </c>
      <c r="P163" s="69"/>
      <c r="Q163" s="69"/>
      <c r="R163" s="53" t="e">
        <f t="shared" si="35"/>
        <v>#DIV/0!</v>
      </c>
      <c r="S163" s="53" t="e">
        <f t="shared" si="36"/>
        <v>#DIV/0!</v>
      </c>
      <c r="T163" s="53" t="e">
        <f t="shared" si="37"/>
        <v>#DIV/0!</v>
      </c>
      <c r="U163" s="53" t="e">
        <f t="shared" si="38"/>
        <v>#DIV/0!</v>
      </c>
      <c r="V163" s="53" t="e">
        <f>V162+ATM_Conf!$C$5*(Nodes!AL162)/('Off-Ramp'!K348*AA348)</f>
        <v>#DIV/0!</v>
      </c>
      <c r="W163" s="53" t="e">
        <f>W162+ATM_Conf!$C$5*(Nodes!AM162)/('Off-Ramp'!L348*AB348)</f>
        <v>#DIV/0!</v>
      </c>
      <c r="X163" s="53" t="e">
        <f>X162+ATM_Conf!$C$5*(Nodes!AN162)/('Off-Ramp'!M348*AC348)</f>
        <v>#DIV/0!</v>
      </c>
      <c r="Y163" s="53" t="e">
        <f>Y162+ATM_Conf!$C$5*(Nodes!AO162)/('Off-Ramp'!N348*AD348)</f>
        <v>#DIV/0!</v>
      </c>
      <c r="Z163" s="53" t="e">
        <f>Z162+ATM_Conf!$C$5*(Nodes!AP162)/('Off-Ramp'!O348*AE348)</f>
        <v>#DIV/0!</v>
      </c>
      <c r="AA163" s="53" t="e">
        <f>AA162+ATM_Conf!$C$5*(Nodes!AQ162)/('Off-Ramp'!P348*AF348)</f>
        <v>#DIV/0!</v>
      </c>
    </row>
    <row r="164" spans="1:27" x14ac:dyDescent="0.15">
      <c r="A164" s="46">
        <v>162</v>
      </c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53" t="e">
        <f t="shared" ref="L164:L182" si="39">B164/60/A$189</f>
        <v>#DIV/0!</v>
      </c>
      <c r="M164" s="53" t="e">
        <f t="shared" ref="M164:M182" si="40">C164/60/B$189</f>
        <v>#DIV/0!</v>
      </c>
      <c r="N164" s="53" t="e">
        <f t="shared" ref="N164:N182" si="41">D164/60/C$189</f>
        <v>#DIV/0!</v>
      </c>
      <c r="O164" s="53" t="e">
        <f t="shared" ref="O164:O182" si="42">E164/60/D$189</f>
        <v>#DIV/0!</v>
      </c>
      <c r="P164" s="69"/>
      <c r="Q164" s="69"/>
      <c r="R164" s="53" t="e">
        <f t="shared" ref="R164:R182" si="43">H164/60/G$189</f>
        <v>#DIV/0!</v>
      </c>
      <c r="S164" s="53" t="e">
        <f t="shared" ref="S164:S182" si="44">I164/60/H$189</f>
        <v>#DIV/0!</v>
      </c>
      <c r="T164" s="53" t="e">
        <f t="shared" ref="T164:T182" si="45">J164/60/I$189</f>
        <v>#DIV/0!</v>
      </c>
      <c r="U164" s="53" t="e">
        <f t="shared" si="38"/>
        <v>#DIV/0!</v>
      </c>
      <c r="V164" s="53" t="e">
        <f>V163+ATM_Conf!$C$5*(Nodes!AL163)/('Off-Ramp'!K349*AA349)</f>
        <v>#DIV/0!</v>
      </c>
      <c r="W164" s="53" t="e">
        <f>W163+ATM_Conf!$C$5*(Nodes!AM163)/('Off-Ramp'!L349*AB349)</f>
        <v>#DIV/0!</v>
      </c>
      <c r="X164" s="53" t="e">
        <f>X163+ATM_Conf!$C$5*(Nodes!AN163)/('Off-Ramp'!M349*AC349)</f>
        <v>#DIV/0!</v>
      </c>
      <c r="Y164" s="53" t="e">
        <f>Y163+ATM_Conf!$C$5*(Nodes!AO163)/('Off-Ramp'!N349*AD349)</f>
        <v>#DIV/0!</v>
      </c>
      <c r="Z164" s="53" t="e">
        <f>Z163+ATM_Conf!$C$5*(Nodes!AP163)/('Off-Ramp'!O349*AE349)</f>
        <v>#DIV/0!</v>
      </c>
      <c r="AA164" s="53" t="e">
        <f>AA163+ATM_Conf!$C$5*(Nodes!AQ163)/('Off-Ramp'!P349*AF349)</f>
        <v>#DIV/0!</v>
      </c>
    </row>
    <row r="165" spans="1:27" x14ac:dyDescent="0.15">
      <c r="A165" s="46">
        <v>163</v>
      </c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53" t="e">
        <f t="shared" si="39"/>
        <v>#DIV/0!</v>
      </c>
      <c r="M165" s="53" t="e">
        <f t="shared" si="40"/>
        <v>#DIV/0!</v>
      </c>
      <c r="N165" s="53" t="e">
        <f t="shared" si="41"/>
        <v>#DIV/0!</v>
      </c>
      <c r="O165" s="53" t="e">
        <f t="shared" si="42"/>
        <v>#DIV/0!</v>
      </c>
      <c r="P165" s="69"/>
      <c r="Q165" s="69"/>
      <c r="R165" s="53" t="e">
        <f t="shared" si="43"/>
        <v>#DIV/0!</v>
      </c>
      <c r="S165" s="53" t="e">
        <f t="shared" si="44"/>
        <v>#DIV/0!</v>
      </c>
      <c r="T165" s="53" t="e">
        <f t="shared" si="45"/>
        <v>#DIV/0!</v>
      </c>
      <c r="U165" s="53" t="e">
        <f t="shared" si="38"/>
        <v>#DIV/0!</v>
      </c>
      <c r="V165" s="53" t="e">
        <f>V164+ATM_Conf!$C$5*(Nodes!AL164)/('Off-Ramp'!K350*AA350)</f>
        <v>#DIV/0!</v>
      </c>
      <c r="W165" s="53" t="e">
        <f>W164+ATM_Conf!$C$5*(Nodes!AM164)/('Off-Ramp'!L350*AB350)</f>
        <v>#DIV/0!</v>
      </c>
      <c r="X165" s="53" t="e">
        <f>X164+ATM_Conf!$C$5*(Nodes!AN164)/('Off-Ramp'!M350*AC350)</f>
        <v>#DIV/0!</v>
      </c>
      <c r="Y165" s="53" t="e">
        <f>Y164+ATM_Conf!$C$5*(Nodes!AO164)/('Off-Ramp'!N350*AD350)</f>
        <v>#DIV/0!</v>
      </c>
      <c r="Z165" s="53" t="e">
        <f>Z164+ATM_Conf!$C$5*(Nodes!AP164)/('Off-Ramp'!O350*AE350)</f>
        <v>#DIV/0!</v>
      </c>
      <c r="AA165" s="53" t="e">
        <f>AA164+ATM_Conf!$C$5*(Nodes!AQ164)/('Off-Ramp'!P350*AF350)</f>
        <v>#DIV/0!</v>
      </c>
    </row>
    <row r="166" spans="1:27" x14ac:dyDescent="0.15">
      <c r="A166" s="46">
        <v>164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53" t="e">
        <f t="shared" si="39"/>
        <v>#DIV/0!</v>
      </c>
      <c r="M166" s="53" t="e">
        <f t="shared" si="40"/>
        <v>#DIV/0!</v>
      </c>
      <c r="N166" s="53" t="e">
        <f t="shared" si="41"/>
        <v>#DIV/0!</v>
      </c>
      <c r="O166" s="53" t="e">
        <f t="shared" si="42"/>
        <v>#DIV/0!</v>
      </c>
      <c r="P166" s="69"/>
      <c r="Q166" s="69"/>
      <c r="R166" s="53" t="e">
        <f t="shared" si="43"/>
        <v>#DIV/0!</v>
      </c>
      <c r="S166" s="53" t="e">
        <f t="shared" si="44"/>
        <v>#DIV/0!</v>
      </c>
      <c r="T166" s="53" t="e">
        <f t="shared" si="45"/>
        <v>#DIV/0!</v>
      </c>
      <c r="U166" s="53" t="e">
        <f t="shared" si="38"/>
        <v>#DIV/0!</v>
      </c>
      <c r="V166" s="53" t="e">
        <f>V165+ATM_Conf!$C$5*(Nodes!AL165)/('Off-Ramp'!K351*AA351)</f>
        <v>#DIV/0!</v>
      </c>
      <c r="W166" s="53" t="e">
        <f>W165+ATM_Conf!$C$5*(Nodes!AM165)/('Off-Ramp'!L351*AB351)</f>
        <v>#DIV/0!</v>
      </c>
      <c r="X166" s="53" t="e">
        <f>X165+ATM_Conf!$C$5*(Nodes!AN165)/('Off-Ramp'!M351*AC351)</f>
        <v>#DIV/0!</v>
      </c>
      <c r="Y166" s="53" t="e">
        <f>Y165+ATM_Conf!$C$5*(Nodes!AO165)/('Off-Ramp'!N351*AD351)</f>
        <v>#DIV/0!</v>
      </c>
      <c r="Z166" s="53" t="e">
        <f>Z165+ATM_Conf!$C$5*(Nodes!AP165)/('Off-Ramp'!O351*AE351)</f>
        <v>#DIV/0!</v>
      </c>
      <c r="AA166" s="53" t="e">
        <f>AA165+ATM_Conf!$C$5*(Nodes!AQ165)/('Off-Ramp'!P351*AF351)</f>
        <v>#DIV/0!</v>
      </c>
    </row>
    <row r="167" spans="1:27" x14ac:dyDescent="0.15">
      <c r="A167" s="46">
        <v>165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53" t="e">
        <f t="shared" si="39"/>
        <v>#DIV/0!</v>
      </c>
      <c r="M167" s="53" t="e">
        <f t="shared" si="40"/>
        <v>#DIV/0!</v>
      </c>
      <c r="N167" s="53" t="e">
        <f t="shared" si="41"/>
        <v>#DIV/0!</v>
      </c>
      <c r="O167" s="53" t="e">
        <f t="shared" si="42"/>
        <v>#DIV/0!</v>
      </c>
      <c r="P167" s="69"/>
      <c r="Q167" s="69"/>
      <c r="R167" s="53" t="e">
        <f t="shared" si="43"/>
        <v>#DIV/0!</v>
      </c>
      <c r="S167" s="53" t="e">
        <f t="shared" si="44"/>
        <v>#DIV/0!</v>
      </c>
      <c r="T167" s="53" t="e">
        <f t="shared" si="45"/>
        <v>#DIV/0!</v>
      </c>
      <c r="U167" s="53" t="e">
        <f t="shared" si="38"/>
        <v>#DIV/0!</v>
      </c>
      <c r="V167" s="53" t="e">
        <f>V166+ATM_Conf!$C$5*(Nodes!AL166)/('Off-Ramp'!K352*AA352)</f>
        <v>#DIV/0!</v>
      </c>
      <c r="W167" s="53" t="e">
        <f>W166+ATM_Conf!$C$5*(Nodes!AM166)/('Off-Ramp'!L352*AB352)</f>
        <v>#DIV/0!</v>
      </c>
      <c r="X167" s="53" t="e">
        <f>X166+ATM_Conf!$C$5*(Nodes!AN166)/('Off-Ramp'!M352*AC352)</f>
        <v>#DIV/0!</v>
      </c>
      <c r="Y167" s="53" t="e">
        <f>Y166+ATM_Conf!$C$5*(Nodes!AO166)/('Off-Ramp'!N352*AD352)</f>
        <v>#DIV/0!</v>
      </c>
      <c r="Z167" s="53" t="e">
        <f>Z166+ATM_Conf!$C$5*(Nodes!AP166)/('Off-Ramp'!O352*AE352)</f>
        <v>#DIV/0!</v>
      </c>
      <c r="AA167" s="53" t="e">
        <f>AA166+ATM_Conf!$C$5*(Nodes!AQ166)/('Off-Ramp'!P352*AF352)</f>
        <v>#DIV/0!</v>
      </c>
    </row>
    <row r="168" spans="1:27" x14ac:dyDescent="0.15">
      <c r="A168" s="46">
        <v>166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53" t="e">
        <f t="shared" si="39"/>
        <v>#DIV/0!</v>
      </c>
      <c r="M168" s="53" t="e">
        <f t="shared" si="40"/>
        <v>#DIV/0!</v>
      </c>
      <c r="N168" s="53" t="e">
        <f t="shared" si="41"/>
        <v>#DIV/0!</v>
      </c>
      <c r="O168" s="53" t="e">
        <f t="shared" si="42"/>
        <v>#DIV/0!</v>
      </c>
      <c r="P168" s="69"/>
      <c r="Q168" s="69"/>
      <c r="R168" s="53" t="e">
        <f t="shared" si="43"/>
        <v>#DIV/0!</v>
      </c>
      <c r="S168" s="53" t="e">
        <f t="shared" si="44"/>
        <v>#DIV/0!</v>
      </c>
      <c r="T168" s="53" t="e">
        <f t="shared" si="45"/>
        <v>#DIV/0!</v>
      </c>
      <c r="U168" s="53" t="e">
        <f t="shared" si="38"/>
        <v>#DIV/0!</v>
      </c>
      <c r="V168" s="53" t="e">
        <f>V167+ATM_Conf!$C$5*(Nodes!AL167)/('Off-Ramp'!K353*AA353)</f>
        <v>#DIV/0!</v>
      </c>
      <c r="W168" s="53" t="e">
        <f>W167+ATM_Conf!$C$5*(Nodes!AM167)/('Off-Ramp'!L353*AB353)</f>
        <v>#DIV/0!</v>
      </c>
      <c r="X168" s="53" t="e">
        <f>X167+ATM_Conf!$C$5*(Nodes!AN167)/('Off-Ramp'!M353*AC353)</f>
        <v>#DIV/0!</v>
      </c>
      <c r="Y168" s="53" t="e">
        <f>Y167+ATM_Conf!$C$5*(Nodes!AO167)/('Off-Ramp'!N353*AD353)</f>
        <v>#DIV/0!</v>
      </c>
      <c r="Z168" s="53" t="e">
        <f>Z167+ATM_Conf!$C$5*(Nodes!AP167)/('Off-Ramp'!O353*AE353)</f>
        <v>#DIV/0!</v>
      </c>
      <c r="AA168" s="53" t="e">
        <f>AA167+ATM_Conf!$C$5*(Nodes!AQ167)/('Off-Ramp'!P353*AF353)</f>
        <v>#DIV/0!</v>
      </c>
    </row>
    <row r="169" spans="1:27" x14ac:dyDescent="0.15">
      <c r="A169" s="46">
        <v>167</v>
      </c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53" t="e">
        <f t="shared" si="39"/>
        <v>#DIV/0!</v>
      </c>
      <c r="M169" s="53" t="e">
        <f t="shared" si="40"/>
        <v>#DIV/0!</v>
      </c>
      <c r="N169" s="53" t="e">
        <f t="shared" si="41"/>
        <v>#DIV/0!</v>
      </c>
      <c r="O169" s="53" t="e">
        <f t="shared" si="42"/>
        <v>#DIV/0!</v>
      </c>
      <c r="P169" s="69"/>
      <c r="Q169" s="69"/>
      <c r="R169" s="53" t="e">
        <f t="shared" si="43"/>
        <v>#DIV/0!</v>
      </c>
      <c r="S169" s="53" t="e">
        <f t="shared" si="44"/>
        <v>#DIV/0!</v>
      </c>
      <c r="T169" s="53" t="e">
        <f t="shared" si="45"/>
        <v>#DIV/0!</v>
      </c>
      <c r="U169" s="53" t="e">
        <f t="shared" si="38"/>
        <v>#DIV/0!</v>
      </c>
      <c r="V169" s="53" t="e">
        <f>V168+ATM_Conf!$C$5*(Nodes!AL168)/('Off-Ramp'!K354*AA354)</f>
        <v>#DIV/0!</v>
      </c>
      <c r="W169" s="53" t="e">
        <f>W168+ATM_Conf!$C$5*(Nodes!AM168)/('Off-Ramp'!L354*AB354)</f>
        <v>#DIV/0!</v>
      </c>
      <c r="X169" s="53" t="e">
        <f>X168+ATM_Conf!$C$5*(Nodes!AN168)/('Off-Ramp'!M354*AC354)</f>
        <v>#DIV/0!</v>
      </c>
      <c r="Y169" s="53" t="e">
        <f>Y168+ATM_Conf!$C$5*(Nodes!AO168)/('Off-Ramp'!N354*AD354)</f>
        <v>#DIV/0!</v>
      </c>
      <c r="Z169" s="53" t="e">
        <f>Z168+ATM_Conf!$C$5*(Nodes!AP168)/('Off-Ramp'!O354*AE354)</f>
        <v>#DIV/0!</v>
      </c>
      <c r="AA169" s="53" t="e">
        <f>AA168+ATM_Conf!$C$5*(Nodes!AQ168)/('Off-Ramp'!P354*AF354)</f>
        <v>#DIV/0!</v>
      </c>
    </row>
    <row r="170" spans="1:27" x14ac:dyDescent="0.15">
      <c r="A170" s="46">
        <v>168</v>
      </c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53" t="e">
        <f t="shared" si="39"/>
        <v>#DIV/0!</v>
      </c>
      <c r="M170" s="53" t="e">
        <f t="shared" si="40"/>
        <v>#DIV/0!</v>
      </c>
      <c r="N170" s="53" t="e">
        <f t="shared" si="41"/>
        <v>#DIV/0!</v>
      </c>
      <c r="O170" s="53" t="e">
        <f t="shared" si="42"/>
        <v>#DIV/0!</v>
      </c>
      <c r="P170" s="69"/>
      <c r="Q170" s="69"/>
      <c r="R170" s="53" t="e">
        <f t="shared" si="43"/>
        <v>#DIV/0!</v>
      </c>
      <c r="S170" s="53" t="e">
        <f t="shared" si="44"/>
        <v>#DIV/0!</v>
      </c>
      <c r="T170" s="53" t="e">
        <f t="shared" si="45"/>
        <v>#DIV/0!</v>
      </c>
      <c r="U170" s="53" t="e">
        <f t="shared" si="38"/>
        <v>#DIV/0!</v>
      </c>
      <c r="V170" s="53" t="e">
        <f>V169+ATM_Conf!$C$5*(Nodes!AL169)/('Off-Ramp'!K355*AA355)</f>
        <v>#DIV/0!</v>
      </c>
      <c r="W170" s="53" t="e">
        <f>W169+ATM_Conf!$C$5*(Nodes!AM169)/('Off-Ramp'!L355*AB355)</f>
        <v>#DIV/0!</v>
      </c>
      <c r="X170" s="53" t="e">
        <f>X169+ATM_Conf!$C$5*(Nodes!AN169)/('Off-Ramp'!M355*AC355)</f>
        <v>#DIV/0!</v>
      </c>
      <c r="Y170" s="53" t="e">
        <f>Y169+ATM_Conf!$C$5*(Nodes!AO169)/('Off-Ramp'!N355*AD355)</f>
        <v>#DIV/0!</v>
      </c>
      <c r="Z170" s="53" t="e">
        <f>Z169+ATM_Conf!$C$5*(Nodes!AP169)/('Off-Ramp'!O355*AE355)</f>
        <v>#DIV/0!</v>
      </c>
      <c r="AA170" s="53" t="e">
        <f>AA169+ATM_Conf!$C$5*(Nodes!AQ169)/('Off-Ramp'!P355*AF355)</f>
        <v>#DIV/0!</v>
      </c>
    </row>
    <row r="171" spans="1:27" x14ac:dyDescent="0.15">
      <c r="A171" s="46">
        <v>169</v>
      </c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53" t="e">
        <f t="shared" si="39"/>
        <v>#DIV/0!</v>
      </c>
      <c r="M171" s="53" t="e">
        <f t="shared" si="40"/>
        <v>#DIV/0!</v>
      </c>
      <c r="N171" s="53" t="e">
        <f t="shared" si="41"/>
        <v>#DIV/0!</v>
      </c>
      <c r="O171" s="53" t="e">
        <f t="shared" si="42"/>
        <v>#DIV/0!</v>
      </c>
      <c r="P171" s="69"/>
      <c r="Q171" s="69"/>
      <c r="R171" s="53" t="e">
        <f t="shared" si="43"/>
        <v>#DIV/0!</v>
      </c>
      <c r="S171" s="53" t="e">
        <f t="shared" si="44"/>
        <v>#DIV/0!</v>
      </c>
      <c r="T171" s="53" t="e">
        <f t="shared" si="45"/>
        <v>#DIV/0!</v>
      </c>
      <c r="U171" s="53" t="e">
        <f t="shared" si="38"/>
        <v>#DIV/0!</v>
      </c>
      <c r="V171" s="53" t="e">
        <f>V170+ATM_Conf!$C$5*(Nodes!AL170)/('Off-Ramp'!K356*AA356)</f>
        <v>#DIV/0!</v>
      </c>
      <c r="W171" s="53" t="e">
        <f>W170+ATM_Conf!$C$5*(Nodes!AM170)/('Off-Ramp'!L356*AB356)</f>
        <v>#DIV/0!</v>
      </c>
      <c r="X171" s="53" t="e">
        <f>X170+ATM_Conf!$C$5*(Nodes!AN170)/('Off-Ramp'!M356*AC356)</f>
        <v>#DIV/0!</v>
      </c>
      <c r="Y171" s="53" t="e">
        <f>Y170+ATM_Conf!$C$5*(Nodes!AO170)/('Off-Ramp'!N356*AD356)</f>
        <v>#DIV/0!</v>
      </c>
      <c r="Z171" s="53" t="e">
        <f>Z170+ATM_Conf!$C$5*(Nodes!AP170)/('Off-Ramp'!O356*AE356)</f>
        <v>#DIV/0!</v>
      </c>
      <c r="AA171" s="53" t="e">
        <f>AA170+ATM_Conf!$C$5*(Nodes!AQ170)/('Off-Ramp'!P356*AF356)</f>
        <v>#DIV/0!</v>
      </c>
    </row>
    <row r="172" spans="1:27" x14ac:dyDescent="0.15">
      <c r="A172" s="46">
        <v>170</v>
      </c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53" t="e">
        <f t="shared" si="39"/>
        <v>#DIV/0!</v>
      </c>
      <c r="M172" s="53" t="e">
        <f t="shared" si="40"/>
        <v>#DIV/0!</v>
      </c>
      <c r="N172" s="53" t="e">
        <f t="shared" si="41"/>
        <v>#DIV/0!</v>
      </c>
      <c r="O172" s="53" t="e">
        <f t="shared" si="42"/>
        <v>#DIV/0!</v>
      </c>
      <c r="P172" s="69"/>
      <c r="Q172" s="69"/>
      <c r="R172" s="53" t="e">
        <f t="shared" si="43"/>
        <v>#DIV/0!</v>
      </c>
      <c r="S172" s="53" t="e">
        <f t="shared" si="44"/>
        <v>#DIV/0!</v>
      </c>
      <c r="T172" s="53" t="e">
        <f t="shared" si="45"/>
        <v>#DIV/0!</v>
      </c>
      <c r="U172" s="53" t="e">
        <f t="shared" si="38"/>
        <v>#DIV/0!</v>
      </c>
      <c r="V172" s="53" t="e">
        <f>V171+ATM_Conf!$C$5*(Nodes!AL171)/('Off-Ramp'!K357*AA357)</f>
        <v>#DIV/0!</v>
      </c>
      <c r="W172" s="53" t="e">
        <f>W171+ATM_Conf!$C$5*(Nodes!AM171)/('Off-Ramp'!L357*AB357)</f>
        <v>#DIV/0!</v>
      </c>
      <c r="X172" s="53" t="e">
        <f>X171+ATM_Conf!$C$5*(Nodes!AN171)/('Off-Ramp'!M357*AC357)</f>
        <v>#DIV/0!</v>
      </c>
      <c r="Y172" s="53" t="e">
        <f>Y171+ATM_Conf!$C$5*(Nodes!AO171)/('Off-Ramp'!N357*AD357)</f>
        <v>#DIV/0!</v>
      </c>
      <c r="Z172" s="53" t="e">
        <f>Z171+ATM_Conf!$C$5*(Nodes!AP171)/('Off-Ramp'!O357*AE357)</f>
        <v>#DIV/0!</v>
      </c>
      <c r="AA172" s="53" t="e">
        <f>AA171+ATM_Conf!$C$5*(Nodes!AQ171)/('Off-Ramp'!P357*AF357)</f>
        <v>#DIV/0!</v>
      </c>
    </row>
    <row r="173" spans="1:27" x14ac:dyDescent="0.15">
      <c r="A173" s="46">
        <v>171</v>
      </c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53" t="e">
        <f t="shared" si="39"/>
        <v>#DIV/0!</v>
      </c>
      <c r="M173" s="53" t="e">
        <f t="shared" si="40"/>
        <v>#DIV/0!</v>
      </c>
      <c r="N173" s="53" t="e">
        <f t="shared" si="41"/>
        <v>#DIV/0!</v>
      </c>
      <c r="O173" s="53" t="e">
        <f t="shared" si="42"/>
        <v>#DIV/0!</v>
      </c>
      <c r="P173" s="69"/>
      <c r="Q173" s="69"/>
      <c r="R173" s="53" t="e">
        <f t="shared" si="43"/>
        <v>#DIV/0!</v>
      </c>
      <c r="S173" s="53" t="e">
        <f t="shared" si="44"/>
        <v>#DIV/0!</v>
      </c>
      <c r="T173" s="53" t="e">
        <f t="shared" si="45"/>
        <v>#DIV/0!</v>
      </c>
      <c r="U173" s="53" t="e">
        <f t="shared" si="38"/>
        <v>#DIV/0!</v>
      </c>
      <c r="V173" s="53" t="e">
        <f>V172+ATM_Conf!$C$5*(Nodes!AL172)/('Off-Ramp'!K358*AA358)</f>
        <v>#DIV/0!</v>
      </c>
      <c r="W173" s="53" t="e">
        <f>W172+ATM_Conf!$C$5*(Nodes!AM172)/('Off-Ramp'!L358*AB358)</f>
        <v>#DIV/0!</v>
      </c>
      <c r="X173" s="53" t="e">
        <f>X172+ATM_Conf!$C$5*(Nodes!AN172)/('Off-Ramp'!M358*AC358)</f>
        <v>#DIV/0!</v>
      </c>
      <c r="Y173" s="53" t="e">
        <f>Y172+ATM_Conf!$C$5*(Nodes!AO172)/('Off-Ramp'!N358*AD358)</f>
        <v>#DIV/0!</v>
      </c>
      <c r="Z173" s="53" t="e">
        <f>Z172+ATM_Conf!$C$5*(Nodes!AP172)/('Off-Ramp'!O358*AE358)</f>
        <v>#DIV/0!</v>
      </c>
      <c r="AA173" s="53" t="e">
        <f>AA172+ATM_Conf!$C$5*(Nodes!AQ172)/('Off-Ramp'!P358*AF358)</f>
        <v>#DIV/0!</v>
      </c>
    </row>
    <row r="174" spans="1:27" x14ac:dyDescent="0.15">
      <c r="A174" s="46">
        <v>172</v>
      </c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53" t="e">
        <f t="shared" si="39"/>
        <v>#DIV/0!</v>
      </c>
      <c r="M174" s="53" t="e">
        <f t="shared" si="40"/>
        <v>#DIV/0!</v>
      </c>
      <c r="N174" s="53" t="e">
        <f t="shared" si="41"/>
        <v>#DIV/0!</v>
      </c>
      <c r="O174" s="53" t="e">
        <f t="shared" si="42"/>
        <v>#DIV/0!</v>
      </c>
      <c r="P174" s="69"/>
      <c r="Q174" s="69"/>
      <c r="R174" s="53" t="e">
        <f t="shared" si="43"/>
        <v>#DIV/0!</v>
      </c>
      <c r="S174" s="53" t="e">
        <f t="shared" si="44"/>
        <v>#DIV/0!</v>
      </c>
      <c r="T174" s="53" t="e">
        <f t="shared" si="45"/>
        <v>#DIV/0!</v>
      </c>
      <c r="U174" s="53" t="e">
        <f t="shared" si="38"/>
        <v>#DIV/0!</v>
      </c>
      <c r="V174" s="53" t="e">
        <f>V173+ATM_Conf!$C$5*(Nodes!AL173)/('Off-Ramp'!K359*AA359)</f>
        <v>#DIV/0!</v>
      </c>
      <c r="W174" s="53" t="e">
        <f>W173+ATM_Conf!$C$5*(Nodes!AM173)/('Off-Ramp'!L359*AB359)</f>
        <v>#DIV/0!</v>
      </c>
      <c r="X174" s="53" t="e">
        <f>X173+ATM_Conf!$C$5*(Nodes!AN173)/('Off-Ramp'!M359*AC359)</f>
        <v>#DIV/0!</v>
      </c>
      <c r="Y174" s="53" t="e">
        <f>Y173+ATM_Conf!$C$5*(Nodes!AO173)/('Off-Ramp'!N359*AD359)</f>
        <v>#DIV/0!</v>
      </c>
      <c r="Z174" s="53" t="e">
        <f>Z173+ATM_Conf!$C$5*(Nodes!AP173)/('Off-Ramp'!O359*AE359)</f>
        <v>#DIV/0!</v>
      </c>
      <c r="AA174" s="53" t="e">
        <f>AA173+ATM_Conf!$C$5*(Nodes!AQ173)/('Off-Ramp'!P359*AF359)</f>
        <v>#DIV/0!</v>
      </c>
    </row>
    <row r="175" spans="1:27" x14ac:dyDescent="0.15">
      <c r="A175" s="46">
        <v>173</v>
      </c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53" t="e">
        <f t="shared" si="39"/>
        <v>#DIV/0!</v>
      </c>
      <c r="M175" s="53" t="e">
        <f t="shared" si="40"/>
        <v>#DIV/0!</v>
      </c>
      <c r="N175" s="53" t="e">
        <f t="shared" si="41"/>
        <v>#DIV/0!</v>
      </c>
      <c r="O175" s="53" t="e">
        <f t="shared" si="42"/>
        <v>#DIV/0!</v>
      </c>
      <c r="P175" s="69"/>
      <c r="Q175" s="69"/>
      <c r="R175" s="53" t="e">
        <f t="shared" si="43"/>
        <v>#DIV/0!</v>
      </c>
      <c r="S175" s="53" t="e">
        <f t="shared" si="44"/>
        <v>#DIV/0!</v>
      </c>
      <c r="T175" s="53" t="e">
        <f t="shared" si="45"/>
        <v>#DIV/0!</v>
      </c>
      <c r="U175" s="53" t="e">
        <f t="shared" si="38"/>
        <v>#DIV/0!</v>
      </c>
      <c r="V175" s="53" t="e">
        <f>V174+ATM_Conf!$C$5*(Nodes!AL174)/('Off-Ramp'!K360*AA360)</f>
        <v>#DIV/0!</v>
      </c>
      <c r="W175" s="53" t="e">
        <f>W174+ATM_Conf!$C$5*(Nodes!AM174)/('Off-Ramp'!L360*AB360)</f>
        <v>#DIV/0!</v>
      </c>
      <c r="X175" s="53" t="e">
        <f>X174+ATM_Conf!$C$5*(Nodes!AN174)/('Off-Ramp'!M360*AC360)</f>
        <v>#DIV/0!</v>
      </c>
      <c r="Y175" s="53" t="e">
        <f>Y174+ATM_Conf!$C$5*(Nodes!AO174)/('Off-Ramp'!N360*AD360)</f>
        <v>#DIV/0!</v>
      </c>
      <c r="Z175" s="53" t="e">
        <f>Z174+ATM_Conf!$C$5*(Nodes!AP174)/('Off-Ramp'!O360*AE360)</f>
        <v>#DIV/0!</v>
      </c>
      <c r="AA175" s="53" t="e">
        <f>AA174+ATM_Conf!$C$5*(Nodes!AQ174)/('Off-Ramp'!P360*AF360)</f>
        <v>#DIV/0!</v>
      </c>
    </row>
    <row r="176" spans="1:27" x14ac:dyDescent="0.15">
      <c r="A176" s="46">
        <v>174</v>
      </c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53" t="e">
        <f t="shared" si="39"/>
        <v>#DIV/0!</v>
      </c>
      <c r="M176" s="53" t="e">
        <f t="shared" si="40"/>
        <v>#DIV/0!</v>
      </c>
      <c r="N176" s="53" t="e">
        <f t="shared" si="41"/>
        <v>#DIV/0!</v>
      </c>
      <c r="O176" s="53" t="e">
        <f t="shared" si="42"/>
        <v>#DIV/0!</v>
      </c>
      <c r="P176" s="69"/>
      <c r="Q176" s="69"/>
      <c r="R176" s="53" t="e">
        <f t="shared" si="43"/>
        <v>#DIV/0!</v>
      </c>
      <c r="S176" s="53" t="e">
        <f t="shared" si="44"/>
        <v>#DIV/0!</v>
      </c>
      <c r="T176" s="53" t="e">
        <f t="shared" si="45"/>
        <v>#DIV/0!</v>
      </c>
      <c r="U176" s="53" t="e">
        <f t="shared" si="38"/>
        <v>#DIV/0!</v>
      </c>
      <c r="V176" s="53" t="e">
        <f>V175+ATM_Conf!$C$5*(Nodes!AL175)/('Off-Ramp'!K361*AA361)</f>
        <v>#DIV/0!</v>
      </c>
      <c r="W176" s="53" t="e">
        <f>W175+ATM_Conf!$C$5*(Nodes!AM175)/('Off-Ramp'!L361*AB361)</f>
        <v>#DIV/0!</v>
      </c>
      <c r="X176" s="53" t="e">
        <f>X175+ATM_Conf!$C$5*(Nodes!AN175)/('Off-Ramp'!M361*AC361)</f>
        <v>#DIV/0!</v>
      </c>
      <c r="Y176" s="53" t="e">
        <f>Y175+ATM_Conf!$C$5*(Nodes!AO175)/('Off-Ramp'!N361*AD361)</f>
        <v>#DIV/0!</v>
      </c>
      <c r="Z176" s="53" t="e">
        <f>Z175+ATM_Conf!$C$5*(Nodes!AP175)/('Off-Ramp'!O361*AE361)</f>
        <v>#DIV/0!</v>
      </c>
      <c r="AA176" s="53" t="e">
        <f>AA175+ATM_Conf!$C$5*(Nodes!AQ175)/('Off-Ramp'!P361*AF361)</f>
        <v>#DIV/0!</v>
      </c>
    </row>
    <row r="177" spans="1:32" x14ac:dyDescent="0.15">
      <c r="A177" s="46">
        <v>175</v>
      </c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53" t="e">
        <f t="shared" si="39"/>
        <v>#DIV/0!</v>
      </c>
      <c r="M177" s="53" t="e">
        <f t="shared" si="40"/>
        <v>#DIV/0!</v>
      </c>
      <c r="N177" s="53" t="e">
        <f t="shared" si="41"/>
        <v>#DIV/0!</v>
      </c>
      <c r="O177" s="53" t="e">
        <f t="shared" si="42"/>
        <v>#DIV/0!</v>
      </c>
      <c r="P177" s="69"/>
      <c r="Q177" s="69"/>
      <c r="R177" s="53" t="e">
        <f t="shared" si="43"/>
        <v>#DIV/0!</v>
      </c>
      <c r="S177" s="53" t="e">
        <f t="shared" si="44"/>
        <v>#DIV/0!</v>
      </c>
      <c r="T177" s="53" t="e">
        <f t="shared" si="45"/>
        <v>#DIV/0!</v>
      </c>
      <c r="U177" s="53" t="e">
        <f t="shared" si="38"/>
        <v>#DIV/0!</v>
      </c>
      <c r="V177" s="53" t="e">
        <f>V176+ATM_Conf!$C$5*(Nodes!AL176)/('Off-Ramp'!K362*AA362)</f>
        <v>#DIV/0!</v>
      </c>
      <c r="W177" s="53" t="e">
        <f>W176+ATM_Conf!$C$5*(Nodes!AM176)/('Off-Ramp'!L362*AB362)</f>
        <v>#DIV/0!</v>
      </c>
      <c r="X177" s="53" t="e">
        <f>X176+ATM_Conf!$C$5*(Nodes!AN176)/('Off-Ramp'!M362*AC362)</f>
        <v>#DIV/0!</v>
      </c>
      <c r="Y177" s="53" t="e">
        <f>Y176+ATM_Conf!$C$5*(Nodes!AO176)/('Off-Ramp'!N362*AD362)</f>
        <v>#DIV/0!</v>
      </c>
      <c r="Z177" s="53" t="e">
        <f>Z176+ATM_Conf!$C$5*(Nodes!AP176)/('Off-Ramp'!O362*AE362)</f>
        <v>#DIV/0!</v>
      </c>
      <c r="AA177" s="53" t="e">
        <f>AA176+ATM_Conf!$C$5*(Nodes!AQ176)/('Off-Ramp'!P362*AF362)</f>
        <v>#DIV/0!</v>
      </c>
    </row>
    <row r="178" spans="1:32" x14ac:dyDescent="0.15">
      <c r="A178" s="46">
        <v>176</v>
      </c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53" t="e">
        <f t="shared" si="39"/>
        <v>#DIV/0!</v>
      </c>
      <c r="M178" s="53" t="e">
        <f t="shared" si="40"/>
        <v>#DIV/0!</v>
      </c>
      <c r="N178" s="53" t="e">
        <f t="shared" si="41"/>
        <v>#DIV/0!</v>
      </c>
      <c r="O178" s="53" t="e">
        <f t="shared" si="42"/>
        <v>#DIV/0!</v>
      </c>
      <c r="P178" s="69"/>
      <c r="Q178" s="69"/>
      <c r="R178" s="53" t="e">
        <f t="shared" si="43"/>
        <v>#DIV/0!</v>
      </c>
      <c r="S178" s="53" t="e">
        <f t="shared" si="44"/>
        <v>#DIV/0!</v>
      </c>
      <c r="T178" s="53" t="e">
        <f t="shared" si="45"/>
        <v>#DIV/0!</v>
      </c>
      <c r="U178" s="53" t="e">
        <f t="shared" si="38"/>
        <v>#DIV/0!</v>
      </c>
      <c r="V178" s="53" t="e">
        <f>V177+ATM_Conf!$C$5*(Nodes!AL177)/('Off-Ramp'!K363*AA363)</f>
        <v>#DIV/0!</v>
      </c>
      <c r="W178" s="53" t="e">
        <f>W177+ATM_Conf!$C$5*(Nodes!AM177)/('Off-Ramp'!L363*AB363)</f>
        <v>#DIV/0!</v>
      </c>
      <c r="X178" s="53" t="e">
        <f>X177+ATM_Conf!$C$5*(Nodes!AN177)/('Off-Ramp'!M363*AC363)</f>
        <v>#DIV/0!</v>
      </c>
      <c r="Y178" s="53" t="e">
        <f>Y177+ATM_Conf!$C$5*(Nodes!AO177)/('Off-Ramp'!N363*AD363)</f>
        <v>#DIV/0!</v>
      </c>
      <c r="Z178" s="53" t="e">
        <f>Z177+ATM_Conf!$C$5*(Nodes!AP177)/('Off-Ramp'!O363*AE363)</f>
        <v>#DIV/0!</v>
      </c>
      <c r="AA178" s="53" t="e">
        <f>AA177+ATM_Conf!$C$5*(Nodes!AQ177)/('Off-Ramp'!P363*AF363)</f>
        <v>#DIV/0!</v>
      </c>
    </row>
    <row r="179" spans="1:32" x14ac:dyDescent="0.15">
      <c r="A179" s="46">
        <v>177</v>
      </c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53" t="e">
        <f t="shared" si="39"/>
        <v>#DIV/0!</v>
      </c>
      <c r="M179" s="53" t="e">
        <f t="shared" si="40"/>
        <v>#DIV/0!</v>
      </c>
      <c r="N179" s="53" t="e">
        <f t="shared" si="41"/>
        <v>#DIV/0!</v>
      </c>
      <c r="O179" s="53" t="e">
        <f t="shared" si="42"/>
        <v>#DIV/0!</v>
      </c>
      <c r="P179" s="69"/>
      <c r="Q179" s="69"/>
      <c r="R179" s="53" t="e">
        <f t="shared" si="43"/>
        <v>#DIV/0!</v>
      </c>
      <c r="S179" s="53" t="e">
        <f t="shared" si="44"/>
        <v>#DIV/0!</v>
      </c>
      <c r="T179" s="53" t="e">
        <f t="shared" si="45"/>
        <v>#DIV/0!</v>
      </c>
      <c r="U179" s="53" t="e">
        <f t="shared" si="38"/>
        <v>#DIV/0!</v>
      </c>
      <c r="V179" s="53" t="e">
        <f>V178+ATM_Conf!$C$5*(Nodes!AL178)/('Off-Ramp'!K364*AA364)</f>
        <v>#DIV/0!</v>
      </c>
      <c r="W179" s="53" t="e">
        <f>W178+ATM_Conf!$C$5*(Nodes!AM178)/('Off-Ramp'!L364*AB364)</f>
        <v>#DIV/0!</v>
      </c>
      <c r="X179" s="53" t="e">
        <f>X178+ATM_Conf!$C$5*(Nodes!AN178)/('Off-Ramp'!M364*AC364)</f>
        <v>#DIV/0!</v>
      </c>
      <c r="Y179" s="53" t="e">
        <f>Y178+ATM_Conf!$C$5*(Nodes!AO178)/('Off-Ramp'!N364*AD364)</f>
        <v>#DIV/0!</v>
      </c>
      <c r="Z179" s="53" t="e">
        <f>Z178+ATM_Conf!$C$5*(Nodes!AP178)/('Off-Ramp'!O364*AE364)</f>
        <v>#DIV/0!</v>
      </c>
      <c r="AA179" s="53" t="e">
        <f>AA178+ATM_Conf!$C$5*(Nodes!AQ178)/('Off-Ramp'!P364*AF364)</f>
        <v>#DIV/0!</v>
      </c>
    </row>
    <row r="180" spans="1:32" x14ac:dyDescent="0.15">
      <c r="A180" s="46">
        <v>178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53" t="e">
        <f t="shared" si="39"/>
        <v>#DIV/0!</v>
      </c>
      <c r="M180" s="53" t="e">
        <f t="shared" si="40"/>
        <v>#DIV/0!</v>
      </c>
      <c r="N180" s="53" t="e">
        <f t="shared" si="41"/>
        <v>#DIV/0!</v>
      </c>
      <c r="O180" s="53" t="e">
        <f t="shared" si="42"/>
        <v>#DIV/0!</v>
      </c>
      <c r="P180" s="69"/>
      <c r="Q180" s="69"/>
      <c r="R180" s="53" t="e">
        <f t="shared" si="43"/>
        <v>#DIV/0!</v>
      </c>
      <c r="S180" s="53" t="e">
        <f t="shared" si="44"/>
        <v>#DIV/0!</v>
      </c>
      <c r="T180" s="53" t="e">
        <f t="shared" si="45"/>
        <v>#DIV/0!</v>
      </c>
      <c r="U180" s="53" t="e">
        <f t="shared" si="38"/>
        <v>#DIV/0!</v>
      </c>
      <c r="V180" s="53" t="e">
        <f>V179+ATM_Conf!$C$5*(Nodes!AL179)/('Off-Ramp'!K365*AA365)</f>
        <v>#DIV/0!</v>
      </c>
      <c r="W180" s="53" t="e">
        <f>W179+ATM_Conf!$C$5*(Nodes!AM179)/('Off-Ramp'!L365*AB365)</f>
        <v>#DIV/0!</v>
      </c>
      <c r="X180" s="53" t="e">
        <f>X179+ATM_Conf!$C$5*(Nodes!AN179)/('Off-Ramp'!M365*AC365)</f>
        <v>#DIV/0!</v>
      </c>
      <c r="Y180" s="53" t="e">
        <f>Y179+ATM_Conf!$C$5*(Nodes!AO179)/('Off-Ramp'!N365*AD365)</f>
        <v>#DIV/0!</v>
      </c>
      <c r="Z180" s="53" t="e">
        <f>Z179+ATM_Conf!$C$5*(Nodes!AP179)/('Off-Ramp'!O365*AE365)</f>
        <v>#DIV/0!</v>
      </c>
      <c r="AA180" s="53" t="e">
        <f>AA179+ATM_Conf!$C$5*(Nodes!AQ179)/('Off-Ramp'!P365*AF365)</f>
        <v>#DIV/0!</v>
      </c>
    </row>
    <row r="181" spans="1:32" x14ac:dyDescent="0.15">
      <c r="A181" s="46">
        <v>179</v>
      </c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53" t="e">
        <f t="shared" si="39"/>
        <v>#DIV/0!</v>
      </c>
      <c r="M181" s="53" t="e">
        <f t="shared" si="40"/>
        <v>#DIV/0!</v>
      </c>
      <c r="N181" s="53" t="e">
        <f t="shared" si="41"/>
        <v>#DIV/0!</v>
      </c>
      <c r="O181" s="53" t="e">
        <f t="shared" si="42"/>
        <v>#DIV/0!</v>
      </c>
      <c r="P181" s="69"/>
      <c r="Q181" s="69"/>
      <c r="R181" s="53" t="e">
        <f t="shared" si="43"/>
        <v>#DIV/0!</v>
      </c>
      <c r="S181" s="53" t="e">
        <f t="shared" si="44"/>
        <v>#DIV/0!</v>
      </c>
      <c r="T181" s="53" t="e">
        <f t="shared" si="45"/>
        <v>#DIV/0!</v>
      </c>
      <c r="U181" s="53" t="e">
        <f t="shared" si="38"/>
        <v>#DIV/0!</v>
      </c>
      <c r="V181" s="53" t="e">
        <f>V180+ATM_Conf!$C$5*(Nodes!AL180)/('Off-Ramp'!K366*AA366)</f>
        <v>#DIV/0!</v>
      </c>
      <c r="W181" s="53" t="e">
        <f>W180+ATM_Conf!$C$5*(Nodes!AM180)/('Off-Ramp'!L366*AB366)</f>
        <v>#DIV/0!</v>
      </c>
      <c r="X181" s="53" t="e">
        <f>X180+ATM_Conf!$C$5*(Nodes!AN180)/('Off-Ramp'!M366*AC366)</f>
        <v>#DIV/0!</v>
      </c>
      <c r="Y181" s="53" t="e">
        <f>Y180+ATM_Conf!$C$5*(Nodes!AO180)/('Off-Ramp'!N366*AD366)</f>
        <v>#DIV/0!</v>
      </c>
      <c r="Z181" s="53" t="e">
        <f>Z180+ATM_Conf!$C$5*(Nodes!AP180)/('Off-Ramp'!O366*AE366)</f>
        <v>#DIV/0!</v>
      </c>
      <c r="AA181" s="53" t="e">
        <f>AA180+ATM_Conf!$C$5*(Nodes!AQ180)/('Off-Ramp'!P366*AF366)</f>
        <v>#DIV/0!</v>
      </c>
    </row>
    <row r="182" spans="1:32" x14ac:dyDescent="0.15">
      <c r="A182" s="46">
        <v>180</v>
      </c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53" t="e">
        <f t="shared" si="39"/>
        <v>#DIV/0!</v>
      </c>
      <c r="M182" s="53" t="e">
        <f t="shared" si="40"/>
        <v>#DIV/0!</v>
      </c>
      <c r="N182" s="53" t="e">
        <f t="shared" si="41"/>
        <v>#DIV/0!</v>
      </c>
      <c r="O182" s="53" t="e">
        <f t="shared" si="42"/>
        <v>#DIV/0!</v>
      </c>
      <c r="P182" s="69"/>
      <c r="Q182" s="69"/>
      <c r="R182" s="53" t="e">
        <f t="shared" si="43"/>
        <v>#DIV/0!</v>
      </c>
      <c r="S182" s="53" t="e">
        <f t="shared" si="44"/>
        <v>#DIV/0!</v>
      </c>
      <c r="T182" s="53" t="e">
        <f t="shared" si="45"/>
        <v>#DIV/0!</v>
      </c>
      <c r="U182" s="53" t="e">
        <f t="shared" si="38"/>
        <v>#DIV/0!</v>
      </c>
      <c r="V182" s="53" t="e">
        <f>V181+ATM_Conf!$C$5*(Nodes!AL181)/('Off-Ramp'!K367*AA367)</f>
        <v>#DIV/0!</v>
      </c>
      <c r="W182" s="53" t="e">
        <f>W181+ATM_Conf!$C$5*(Nodes!AM181)/('Off-Ramp'!L367*AB367)</f>
        <v>#DIV/0!</v>
      </c>
      <c r="X182" s="53" t="e">
        <f>X181+ATM_Conf!$C$5*(Nodes!AN181)/('Off-Ramp'!M367*AC367)</f>
        <v>#DIV/0!</v>
      </c>
      <c r="Y182" s="53" t="e">
        <f>Y181+ATM_Conf!$C$5*(Nodes!AO181)/('Off-Ramp'!N367*AD367)</f>
        <v>#DIV/0!</v>
      </c>
      <c r="Z182" s="53" t="e">
        <f>Z181+ATM_Conf!$C$5*(Nodes!AP181)/('Off-Ramp'!O367*AE367)</f>
        <v>#DIV/0!</v>
      </c>
      <c r="AA182" s="53" t="e">
        <f>AA181+ATM_Conf!$C$5*(Nodes!AQ181)/('Off-Ramp'!P367*AF367)</f>
        <v>#DIV/0!</v>
      </c>
    </row>
    <row r="187" spans="1:32" x14ac:dyDescent="0.15">
      <c r="A187" s="124" t="s">
        <v>202</v>
      </c>
      <c r="B187" s="124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 t="s">
        <v>203</v>
      </c>
      <c r="R187" s="124"/>
      <c r="S187" s="124"/>
      <c r="T187" s="124"/>
      <c r="U187" s="124"/>
      <c r="V187" s="124"/>
      <c r="W187" s="124"/>
      <c r="X187" s="124"/>
      <c r="Y187" s="124"/>
      <c r="Z187" s="124"/>
      <c r="AA187" s="124"/>
      <c r="AB187" s="124"/>
      <c r="AC187" s="124"/>
      <c r="AD187" s="124"/>
      <c r="AE187" s="124"/>
      <c r="AF187" s="124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/>
      <c r="B189" s="43"/>
      <c r="C189" s="43"/>
      <c r="D189" s="43"/>
      <c r="E189" s="69"/>
      <c r="F189" s="69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70"/>
      <c r="R189" s="70"/>
      <c r="S189" s="70"/>
      <c r="T189" s="70"/>
      <c r="U189" s="69"/>
      <c r="V189" s="69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</row>
    <row r="192" spans="1:32" x14ac:dyDescent="0.15">
      <c r="A192" s="128" t="s">
        <v>188</v>
      </c>
      <c r="B192" s="129" t="s">
        <v>227</v>
      </c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</row>
    <row r="193" spans="1:19" x14ac:dyDescent="0.15">
      <c r="A193" s="128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9"/>
      <c r="G194" s="69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9"/>
      <c r="G195" s="69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9"/>
      <c r="G196" s="69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</row>
    <row r="200" spans="1:19" x14ac:dyDescent="0.1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</row>
    <row r="201" spans="1:19" x14ac:dyDescent="0.1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</row>
    <row r="202" spans="1:19" x14ac:dyDescent="0.1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</row>
    <row r="203" spans="1:19" x14ac:dyDescent="0.1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P6" sqref="P6"/>
    </sheetView>
  </sheetViews>
  <sheetFormatPr defaultRowHeight="14.25" x14ac:dyDescent="0.15"/>
  <cols>
    <col min="1" max="1" width="11.625" style="48" customWidth="1"/>
    <col min="2" max="16384" width="9" style="48"/>
  </cols>
  <sheetData>
    <row r="1" spans="1:29" ht="15" x14ac:dyDescent="0.15">
      <c r="A1" s="83" t="s">
        <v>172</v>
      </c>
      <c r="B1" s="83" t="s">
        <v>287</v>
      </c>
      <c r="C1" s="83" t="s">
        <v>288</v>
      </c>
      <c r="D1" s="83" t="s">
        <v>289</v>
      </c>
      <c r="E1" s="83" t="s">
        <v>290</v>
      </c>
      <c r="F1" s="83" t="s">
        <v>284</v>
      </c>
      <c r="G1" s="83" t="s">
        <v>291</v>
      </c>
      <c r="H1" s="83" t="s">
        <v>286</v>
      </c>
      <c r="I1" s="83" t="s">
        <v>292</v>
      </c>
      <c r="J1" s="83" t="s">
        <v>285</v>
      </c>
      <c r="K1" s="83" t="s">
        <v>293</v>
      </c>
      <c r="L1" s="83" t="s">
        <v>294</v>
      </c>
      <c r="M1" s="86" t="s">
        <v>303</v>
      </c>
      <c r="Q1" s="68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3"/>
    </row>
    <row r="2" spans="1:29" x14ac:dyDescent="0.15">
      <c r="A2" s="83" t="s">
        <v>287</v>
      </c>
      <c r="B2" s="87" t="s">
        <v>3</v>
      </c>
      <c r="C2" s="92">
        <v>0</v>
      </c>
      <c r="D2" s="89" t="s">
        <v>3</v>
      </c>
      <c r="E2" s="92">
        <v>0</v>
      </c>
      <c r="F2" s="89" t="s">
        <v>3</v>
      </c>
      <c r="G2" s="92">
        <v>0</v>
      </c>
      <c r="H2" s="92">
        <v>0</v>
      </c>
      <c r="I2" s="92">
        <v>0</v>
      </c>
      <c r="J2" s="92">
        <v>0</v>
      </c>
      <c r="K2" s="92">
        <v>0</v>
      </c>
      <c r="L2" s="92">
        <v>0</v>
      </c>
      <c r="Q2" s="68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2"/>
    </row>
    <row r="3" spans="1:29" x14ac:dyDescent="0.15">
      <c r="A3" s="83" t="s">
        <v>288</v>
      </c>
      <c r="B3" s="90" t="s">
        <v>3</v>
      </c>
      <c r="C3" s="91" t="s">
        <v>3</v>
      </c>
      <c r="D3" s="91" t="s">
        <v>3</v>
      </c>
      <c r="E3" s="91" t="s">
        <v>3</v>
      </c>
      <c r="F3" s="91" t="s">
        <v>3</v>
      </c>
      <c r="G3" s="91" t="s">
        <v>3</v>
      </c>
      <c r="H3" s="91" t="s">
        <v>3</v>
      </c>
      <c r="I3" s="91" t="s">
        <v>3</v>
      </c>
      <c r="J3" s="91" t="s">
        <v>3</v>
      </c>
      <c r="K3" s="91" t="s">
        <v>3</v>
      </c>
      <c r="L3" s="91" t="s">
        <v>3</v>
      </c>
      <c r="Q3" s="68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2"/>
    </row>
    <row r="4" spans="1:29" x14ac:dyDescent="0.15">
      <c r="A4" s="83" t="s">
        <v>295</v>
      </c>
      <c r="B4" s="90" t="s">
        <v>3</v>
      </c>
      <c r="C4" s="91" t="s">
        <v>3</v>
      </c>
      <c r="D4" s="91" t="s">
        <v>3</v>
      </c>
      <c r="E4" s="93">
        <v>0</v>
      </c>
      <c r="F4" s="91" t="s">
        <v>3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Q4" s="68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2"/>
    </row>
    <row r="5" spans="1:29" x14ac:dyDescent="0.15">
      <c r="A5" s="83" t="s">
        <v>290</v>
      </c>
      <c r="B5" s="94">
        <v>0</v>
      </c>
      <c r="C5" s="91" t="s">
        <v>3</v>
      </c>
      <c r="D5" s="93">
        <v>0</v>
      </c>
      <c r="E5" s="91" t="s">
        <v>3</v>
      </c>
      <c r="F5" s="91" t="s">
        <v>3</v>
      </c>
      <c r="G5" s="91" t="s">
        <v>3</v>
      </c>
      <c r="H5" s="91" t="s">
        <v>3</v>
      </c>
      <c r="I5" s="91" t="s">
        <v>3</v>
      </c>
      <c r="J5" s="91" t="s">
        <v>3</v>
      </c>
      <c r="K5" s="91" t="s">
        <v>3</v>
      </c>
      <c r="L5" s="91" t="s">
        <v>3</v>
      </c>
      <c r="Q5" s="68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2"/>
    </row>
    <row r="6" spans="1:29" x14ac:dyDescent="0.15">
      <c r="A6" s="83" t="s">
        <v>296</v>
      </c>
      <c r="B6" s="90" t="s">
        <v>3</v>
      </c>
      <c r="C6" s="91" t="s">
        <v>3</v>
      </c>
      <c r="D6" s="91" t="s">
        <v>3</v>
      </c>
      <c r="E6" s="91" t="s">
        <v>3</v>
      </c>
      <c r="F6" s="91" t="s">
        <v>3</v>
      </c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Q6" s="68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2"/>
    </row>
    <row r="7" spans="1:29" x14ac:dyDescent="0.15">
      <c r="A7" s="83" t="s">
        <v>297</v>
      </c>
      <c r="B7" s="94">
        <v>0</v>
      </c>
      <c r="C7" s="91" t="s">
        <v>3</v>
      </c>
      <c r="D7" s="93">
        <v>0</v>
      </c>
      <c r="E7" s="91" t="s">
        <v>3</v>
      </c>
      <c r="F7" s="93">
        <v>0</v>
      </c>
      <c r="G7" s="91" t="s">
        <v>3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Q7" s="68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2"/>
    </row>
    <row r="8" spans="1:29" x14ac:dyDescent="0.15">
      <c r="A8" s="83" t="s">
        <v>298</v>
      </c>
      <c r="B8" s="94">
        <v>0</v>
      </c>
      <c r="C8" s="91" t="s">
        <v>3</v>
      </c>
      <c r="D8" s="93">
        <v>0</v>
      </c>
      <c r="E8" s="91" t="s">
        <v>3</v>
      </c>
      <c r="F8" s="93">
        <v>0</v>
      </c>
      <c r="G8" s="93">
        <v>0</v>
      </c>
      <c r="H8" s="91" t="s">
        <v>3</v>
      </c>
      <c r="I8" s="93">
        <v>0</v>
      </c>
      <c r="J8" s="93">
        <v>0</v>
      </c>
      <c r="K8" s="93">
        <v>0</v>
      </c>
      <c r="L8" s="93">
        <v>0</v>
      </c>
      <c r="Q8" s="68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2"/>
    </row>
    <row r="9" spans="1:29" x14ac:dyDescent="0.15">
      <c r="A9" s="83" t="s">
        <v>299</v>
      </c>
      <c r="B9" s="94">
        <v>0</v>
      </c>
      <c r="C9" s="91" t="s">
        <v>3</v>
      </c>
      <c r="D9" s="93">
        <v>0</v>
      </c>
      <c r="E9" s="91" t="s">
        <v>3</v>
      </c>
      <c r="F9" s="93">
        <v>0</v>
      </c>
      <c r="G9" s="93">
        <v>0</v>
      </c>
      <c r="H9" s="93">
        <v>0</v>
      </c>
      <c r="I9" s="91" t="s">
        <v>3</v>
      </c>
      <c r="J9" s="93">
        <v>0</v>
      </c>
      <c r="K9" s="93">
        <v>0</v>
      </c>
      <c r="L9" s="93">
        <v>0</v>
      </c>
      <c r="Q9" s="68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2"/>
    </row>
    <row r="10" spans="1:29" x14ac:dyDescent="0.15">
      <c r="A10" s="83" t="s">
        <v>285</v>
      </c>
      <c r="B10" s="94">
        <v>0</v>
      </c>
      <c r="C10" s="91" t="s">
        <v>3</v>
      </c>
      <c r="D10" s="93">
        <v>0</v>
      </c>
      <c r="E10" s="91" t="s">
        <v>3</v>
      </c>
      <c r="F10" s="93">
        <v>0</v>
      </c>
      <c r="G10" s="93">
        <v>0</v>
      </c>
      <c r="H10" s="93">
        <v>0</v>
      </c>
      <c r="I10" s="93">
        <v>0</v>
      </c>
      <c r="J10" s="91" t="s">
        <v>3</v>
      </c>
      <c r="K10" s="91" t="s">
        <v>3</v>
      </c>
      <c r="L10" s="91" t="s">
        <v>27</v>
      </c>
      <c r="Q10" s="68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2"/>
    </row>
    <row r="11" spans="1:29" x14ac:dyDescent="0.15">
      <c r="A11" s="83" t="s">
        <v>300</v>
      </c>
      <c r="B11" s="94">
        <v>0</v>
      </c>
      <c r="C11" s="91" t="s">
        <v>3</v>
      </c>
      <c r="D11" s="93">
        <v>0</v>
      </c>
      <c r="E11" s="91" t="s">
        <v>3</v>
      </c>
      <c r="F11" s="93">
        <v>0</v>
      </c>
      <c r="G11" s="93">
        <v>0</v>
      </c>
      <c r="H11" s="93">
        <v>0</v>
      </c>
      <c r="I11" s="93">
        <v>0</v>
      </c>
      <c r="J11" s="91" t="s">
        <v>3</v>
      </c>
      <c r="K11" s="91" t="s">
        <v>3</v>
      </c>
      <c r="L11" s="91" t="s">
        <v>27</v>
      </c>
      <c r="Q11" s="68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2"/>
    </row>
    <row r="12" spans="1:29" x14ac:dyDescent="0.15">
      <c r="A12" s="83" t="s">
        <v>294</v>
      </c>
      <c r="B12" s="94">
        <v>0</v>
      </c>
      <c r="C12" s="91" t="s">
        <v>3</v>
      </c>
      <c r="D12" s="93">
        <v>0</v>
      </c>
      <c r="E12" s="91" t="s">
        <v>3</v>
      </c>
      <c r="F12" s="93">
        <v>0</v>
      </c>
      <c r="G12" s="93">
        <v>0</v>
      </c>
      <c r="H12" s="93">
        <v>0</v>
      </c>
      <c r="I12" s="93">
        <v>0</v>
      </c>
      <c r="J12" s="91" t="s">
        <v>27</v>
      </c>
      <c r="K12" s="91" t="s">
        <v>27</v>
      </c>
      <c r="L12" s="91" t="s">
        <v>27</v>
      </c>
      <c r="Q12" s="68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2"/>
    </row>
    <row r="13" spans="1:29" ht="15" x14ac:dyDescent="0.15">
      <c r="A13" s="86" t="s">
        <v>302</v>
      </c>
      <c r="Q13" s="140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</row>
    <row r="14" spans="1:29" x14ac:dyDescent="0.15"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</row>
    <row r="15" spans="1:29" x14ac:dyDescent="0.15"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</row>
    <row r="16" spans="1:29" x14ac:dyDescent="0.15"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</row>
    <row r="17" spans="1:29" x14ac:dyDescent="0.15">
      <c r="A17" s="46" t="s">
        <v>301</v>
      </c>
      <c r="B17" s="85">
        <v>1</v>
      </c>
      <c r="C17" s="84">
        <v>2</v>
      </c>
      <c r="D17" s="84">
        <v>3</v>
      </c>
      <c r="E17" s="84">
        <v>4</v>
      </c>
      <c r="F17" s="84">
        <v>5</v>
      </c>
      <c r="G17" s="84">
        <v>6</v>
      </c>
      <c r="H17" s="84">
        <v>7</v>
      </c>
      <c r="I17" s="84">
        <v>8</v>
      </c>
      <c r="J17" s="84">
        <v>9</v>
      </c>
      <c r="K17" s="84">
        <v>10</v>
      </c>
      <c r="L17" s="84">
        <v>11</v>
      </c>
      <c r="M17" s="84">
        <v>12</v>
      </c>
      <c r="N17" s="84">
        <v>13</v>
      </c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</row>
    <row r="18" spans="1:29" x14ac:dyDescent="0.15">
      <c r="A18" s="46" t="s">
        <v>195</v>
      </c>
      <c r="B18" s="88" t="e">
        <f>C2/SUM(C2,E2,G2:L2)</f>
        <v>#DIV/0!</v>
      </c>
      <c r="C18" s="91" t="s">
        <v>3</v>
      </c>
      <c r="D18" s="88" t="e">
        <f>SUM(E2,E4)/SUM(E2,G2:L2,E4,G4:L4)</f>
        <v>#DIV/0!</v>
      </c>
      <c r="E18" s="91" t="s">
        <v>3</v>
      </c>
      <c r="F18" s="88" t="e">
        <f>SUM(G2,G4,G6)/SUM(G2:L2,G4:L4,G6:L6,H7:L7)</f>
        <v>#DIV/0!</v>
      </c>
      <c r="G18" s="88" t="e">
        <f>SUM(H2,H4,H6,H7)/SUM(H2:L2,H4:L4,H6:L6,H7:L7,I8:L8)</f>
        <v>#DIV/0!</v>
      </c>
      <c r="H18" s="88" t="e">
        <f>SUM(J2:L2,J4:L4,J6:L6,J7:L7,J8:L8)/SUM(I2:L2,I4:L4,I6:L6,I7:L7,I8:L8,I10:I12)</f>
        <v>#DIV/0!</v>
      </c>
      <c r="I18" s="88" t="e">
        <f>SUM(J9:L9)/SUM(B9,D9,F9:H9,B10:B12,D10:D12,F10:H12)</f>
        <v>#DIV/0!</v>
      </c>
      <c r="J18" s="88" t="e">
        <f>SUM(H9:H12)/SUM(B9:B12,D9:D12,F9:H12,B8,D8,F8:G8)</f>
        <v>#DIV/0!</v>
      </c>
      <c r="K18" s="88" t="e">
        <f>SUM(G8:G12)/SUM(B8:B12,D8:D12,F8:G12,B7,D7,F7)</f>
        <v>#DIV/0!</v>
      </c>
      <c r="L18" s="88" t="e">
        <f>SUM(F7:F12)/SUM(B7:B12,D7:D12,F7:F12)</f>
        <v>#DIV/0!</v>
      </c>
      <c r="M18" s="91" t="s">
        <v>3</v>
      </c>
      <c r="N18" s="88" t="e">
        <f>SUM(D7:D12)/SUM(B7:B12,D7:D12)</f>
        <v>#DIV/0!</v>
      </c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</row>
    <row r="19" spans="1:29" x14ac:dyDescent="0.15">
      <c r="A19" s="46" t="s">
        <v>172</v>
      </c>
      <c r="B19" s="91" t="s">
        <v>3</v>
      </c>
      <c r="C19" s="88">
        <f>SUM(E4,G4:L4)</f>
        <v>0</v>
      </c>
      <c r="D19" s="91" t="s">
        <v>3</v>
      </c>
      <c r="E19" s="88">
        <f>SUM(G6:L6)</f>
        <v>0</v>
      </c>
      <c r="F19" s="88">
        <f>SUM(H7:L7)</f>
        <v>0</v>
      </c>
      <c r="G19" s="88">
        <f>SUM(I8:L8)</f>
        <v>0</v>
      </c>
      <c r="H19" s="88">
        <f>SUM(J9:L9)</f>
        <v>0</v>
      </c>
      <c r="I19" s="88">
        <f>SUM(B10:B12,D10:D12,F10:H12)</f>
        <v>0</v>
      </c>
      <c r="J19" s="88">
        <f>SUM(B8,D8,F8:G8)</f>
        <v>0</v>
      </c>
      <c r="K19" s="88">
        <f>SUM(B7,D7,F7)</f>
        <v>0</v>
      </c>
      <c r="L19" s="91" t="s">
        <v>3</v>
      </c>
      <c r="M19" s="88">
        <f>SUM(B5,D5)</f>
        <v>0</v>
      </c>
      <c r="N19" s="91" t="s">
        <v>3</v>
      </c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</row>
    <row r="20" spans="1:29" x14ac:dyDescent="0.15">
      <c r="A20" s="46" t="s">
        <v>304</v>
      </c>
      <c r="B20" s="88" t="e">
        <f>(C2+SUMPRODUCT(E2,U2)+SUMPRODUCT(G2:L2,W2:AB2))/SUM(C2,E2,G2:L2)</f>
        <v>#VALUE!</v>
      </c>
      <c r="C20" s="91" t="s">
        <v>3</v>
      </c>
      <c r="D20" s="88" t="e">
        <f>SUM(E2,E4,SUM(D21:D26))/SUM(E2,G2:L2,E4,G4:L4)</f>
        <v>#DIV/0!</v>
      </c>
      <c r="E20" s="91" t="s">
        <v>3</v>
      </c>
      <c r="F20" s="88" t="e">
        <f>SUM(G2,G4,G6,SUM(F22:F26))/SUM(G2:L2,G4:L4,G6:L6,H7:L7)</f>
        <v>#DIV/0!</v>
      </c>
      <c r="G20" s="88" t="e">
        <f>SUM(H2,H4,H6,H7,SUM(G23:G26))/SUM(H2:L2,H4:L4,H6:L6,H7:L7,I8:L8)</f>
        <v>#DIV/0!</v>
      </c>
      <c r="H20" s="88" t="e">
        <f>SUM(J2:L2,J4:L4,J6:L6,J7:L7,J8:L8,H26)/SUM(I2:L2,I4:L4,I6:L6,I7:L7,I8:L8,I10:I12)</f>
        <v>#DIV/0!</v>
      </c>
      <c r="I20" s="88" t="e">
        <f>SUM(J9:L9,B9*R9,D9*T9,SUM(I21:I25))/SUM(B9,D9,F9:H9,B10:B12,D10:D12,F10:H12)</f>
        <v>#DIV/0!</v>
      </c>
      <c r="J20" s="88" t="e">
        <f>SUM(H9:H12,SUM(J22:J25))/SUM(B9:B12,D9:D12,F9:H12,B8,D8,F8:G8)</f>
        <v>#DIV/0!</v>
      </c>
      <c r="K20" s="88" t="e">
        <f>SUM(G8:G12,SUM(K23:K25))/SUM(B8:B12,D8:D12,F8:G12,B7,D7,F7)</f>
        <v>#DIV/0!</v>
      </c>
      <c r="L20" s="88" t="e">
        <f>SUM(F7:F12,SUM(L24:L25))/SUM(B7:B12,D7:D12,F7:F12)</f>
        <v>#DIV/0!</v>
      </c>
      <c r="M20" s="91" t="s">
        <v>3</v>
      </c>
      <c r="N20" s="88" t="e">
        <f>SUM(D7:D12,N25)/SUM(B7:B12,D7:D12)</f>
        <v>#DIV/0!</v>
      </c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</row>
    <row r="21" spans="1:29" x14ac:dyDescent="0.15">
      <c r="A21" s="48">
        <v>6</v>
      </c>
      <c r="D21" s="48">
        <f>SUM(G2,G4)*PRD_Conf!T8</f>
        <v>0</v>
      </c>
      <c r="I21" s="48">
        <f>SUM(H9,H12)*PRD_Conf!T23</f>
        <v>0</v>
      </c>
      <c r="O21" s="48">
        <v>7</v>
      </c>
    </row>
    <row r="22" spans="1:29" x14ac:dyDescent="0.15">
      <c r="A22" s="48">
        <v>7</v>
      </c>
      <c r="D22" s="48">
        <f>SUM(H2,H4)*PRD_Conf!T7</f>
        <v>0</v>
      </c>
      <c r="F22" s="48">
        <f>SUM(H2,H4,H6)*PRD_Conf!T13</f>
        <v>0</v>
      </c>
      <c r="I22" s="48">
        <f>SUM(G12,G9)*PRD_Conf!T22</f>
        <v>0</v>
      </c>
      <c r="J22" s="48">
        <f>SUM(G9:G12)*PRD_Conf!T27</f>
        <v>0</v>
      </c>
      <c r="O22" s="48">
        <v>6</v>
      </c>
    </row>
    <row r="23" spans="1:29" x14ac:dyDescent="0.15">
      <c r="A23" s="48">
        <v>8</v>
      </c>
      <c r="D23" s="48">
        <f>(J2+J4)*PRD_Conf!T6</f>
        <v>0</v>
      </c>
      <c r="F23" s="48">
        <f>SUM(J2,J4,J6)*PRD_Conf!T12</f>
        <v>0</v>
      </c>
      <c r="G23" s="48">
        <f>SUM(J2,J4,J6:J7)*PRD_Conf!T17</f>
        <v>0</v>
      </c>
      <c r="I23" s="48">
        <f>SUM(F12,F9)*PRD_Conf!T21</f>
        <v>0</v>
      </c>
      <c r="J23" s="48">
        <f>SUM(F9:F12)*PRD_Conf!T26</f>
        <v>0</v>
      </c>
      <c r="K23" s="48">
        <f>SUM(F8:F12)*PRD_Conf!T30</f>
        <v>0</v>
      </c>
      <c r="O23" s="48">
        <v>4</v>
      </c>
    </row>
    <row r="24" spans="1:29" x14ac:dyDescent="0.15">
      <c r="A24" s="48">
        <v>9</v>
      </c>
      <c r="D24" s="48">
        <f>(K2+K4)*PRD_Conf!T5</f>
        <v>0</v>
      </c>
      <c r="F24" s="48">
        <f>SUM(K2,K4,K6)*PRD_Conf!T11</f>
        <v>0</v>
      </c>
      <c r="G24" s="48">
        <f>SUM(K2,K4,K6:K7)*PRD_Conf!T16</f>
        <v>0</v>
      </c>
      <c r="I24" s="48">
        <f>SUM(D9,D12)*PRD_Conf!T20</f>
        <v>0</v>
      </c>
      <c r="J24" s="48">
        <f>SUM(D9:D12)*PRD_Conf!T25</f>
        <v>0</v>
      </c>
      <c r="K24" s="48">
        <f>SUM(D8:D12)*PRD_Conf!T29</f>
        <v>0</v>
      </c>
      <c r="L24" s="48">
        <f>SUM(D7:D12)*PRD_Conf!T32</f>
        <v>0</v>
      </c>
      <c r="O24" s="48">
        <v>2</v>
      </c>
    </row>
    <row r="25" spans="1:29" x14ac:dyDescent="0.15">
      <c r="A25" s="48">
        <v>11</v>
      </c>
      <c r="D25" s="48">
        <f>(L2+L4)*PRD_Conf!T4</f>
        <v>0</v>
      </c>
      <c r="F25" s="48">
        <f>SUM(L2,L4,L6)*PRD_Conf!T10</f>
        <v>0</v>
      </c>
      <c r="G25" s="48">
        <f>SUM(L2,L4,L6:L7)*PRD_Conf!T15</f>
        <v>0</v>
      </c>
      <c r="I25" s="48">
        <f>SUM(B12,B9)*PRD_Conf!T19</f>
        <v>0</v>
      </c>
      <c r="J25" s="48">
        <f>SUM(B9:B12)*PRD_Conf!T24</f>
        <v>0</v>
      </c>
      <c r="K25" s="48">
        <f>SUM(B8:B12)*PRD_Conf!T28</f>
        <v>0</v>
      </c>
      <c r="L25" s="48">
        <f>SUM(B7:B12)*PRD_Conf!T31</f>
        <v>0</v>
      </c>
      <c r="N25" s="48">
        <f>SUM(B5,B7:B12)*PRD_Conf!T33</f>
        <v>0</v>
      </c>
      <c r="O25" s="48">
        <v>1</v>
      </c>
    </row>
    <row r="26" spans="1:29" x14ac:dyDescent="0.15">
      <c r="A26" s="48">
        <v>10</v>
      </c>
      <c r="D26" s="48">
        <f>(I2+I4)*PRD_Conf!T3</f>
        <v>0</v>
      </c>
      <c r="F26" s="48">
        <f>SUM(I2,I4,I6)*PRD_Conf!T9</f>
        <v>0</v>
      </c>
      <c r="G26" s="48">
        <f>SUM(I2,I4,I6:I7)*PRD_Conf!T14</f>
        <v>0</v>
      </c>
      <c r="H26" s="48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3"/>
  <sheetViews>
    <sheetView topLeftCell="B1" zoomScale="85" zoomScaleNormal="85" workbookViewId="0">
      <selection activeCell="T3" sqref="T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07" t="s">
        <v>166</v>
      </c>
      <c r="B1" s="107" t="s">
        <v>167</v>
      </c>
      <c r="C1" s="135" t="s">
        <v>160</v>
      </c>
      <c r="D1" s="107" t="s">
        <v>165</v>
      </c>
      <c r="E1" s="107"/>
      <c r="F1" s="107"/>
      <c r="G1" s="107"/>
      <c r="H1" s="107"/>
      <c r="I1" s="107"/>
      <c r="J1" s="107"/>
      <c r="K1" s="107"/>
      <c r="L1" s="107" t="s">
        <v>258</v>
      </c>
      <c r="M1" s="107"/>
      <c r="N1" s="107"/>
      <c r="O1" s="107"/>
      <c r="P1" s="107"/>
      <c r="Q1" s="107"/>
      <c r="R1" s="107"/>
      <c r="S1" s="107"/>
      <c r="T1" s="134" t="s">
        <v>305</v>
      </c>
    </row>
    <row r="2" spans="1:20" ht="15" x14ac:dyDescent="0.15">
      <c r="A2" s="107"/>
      <c r="B2" s="107"/>
      <c r="C2" s="107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34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Route_Parts_Conf!H8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Route_Parts_Conf!H13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Route_Parts_Conf!H18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Route_Parts_Conf!H23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Route_Parts_Conf!H27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Route_Parts_Conf!H30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Route_Parts_Conf!H35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Route_Parts_Conf!H38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Route_Parts_Conf!H41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Route_Parts_Conf!H44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Route_Parts_Conf!H46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Route_Parts_Conf!H50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Route_Parts_Conf!H52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Route_Parts_Conf!H54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Route_Parts_Conf!H56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Route_Parts_Conf!H59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  <c r="T20" s="33">
        <f>Route_Parts_Conf!H65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  <c r="T21" s="33">
        <f>Route_Parts_Conf!H71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  <c r="T22" s="33">
        <f>Route_Parts_Conf!H75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  <c r="T23" s="33">
        <f>Route_Parts_Conf!H78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  <c r="T24" s="33">
        <f>Route_Parts_Conf!H81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  <c r="T25" s="33">
        <f>Route_Parts_Conf!H85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  <c r="T26" s="33">
        <f>Route_Parts_Conf!H88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  <c r="T27" s="33">
        <f>Route_Parts_Conf!H90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  <c r="T28" s="33">
        <f>Route_Parts_Conf!H93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  <c r="T29" s="33">
        <f>Route_Parts_Conf!H96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  <c r="T30" s="33">
        <f>Route_Parts_Conf!H98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  <c r="T31" s="33">
        <f>Route_Parts_Conf!H101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  <c r="T32" s="33">
        <f>Route_Parts_Conf!H103</f>
        <v>0</v>
      </c>
    </row>
    <row r="33" spans="1:20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  <c r="T33" s="33">
        <f>Route_Parts_Conf!H105</f>
        <v>0</v>
      </c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06"/>
  <sheetViews>
    <sheetView zoomScaleNormal="100" workbookViewId="0">
      <selection activeCell="H2" sqref="H2"/>
    </sheetView>
  </sheetViews>
  <sheetFormatPr defaultRowHeight="14.25" x14ac:dyDescent="0.15"/>
  <cols>
    <col min="1" max="16384" width="9" style="145"/>
  </cols>
  <sheetData>
    <row r="1" spans="1:8" x14ac:dyDescent="0.15">
      <c r="A1" s="99" t="s">
        <v>259</v>
      </c>
      <c r="B1" s="99" t="s">
        <v>260</v>
      </c>
      <c r="C1" s="136" t="s">
        <v>306</v>
      </c>
      <c r="D1" s="136"/>
      <c r="E1" s="136"/>
      <c r="F1" s="136"/>
      <c r="G1" s="136"/>
      <c r="H1" s="100" t="s">
        <v>307</v>
      </c>
    </row>
    <row r="2" spans="1:8" x14ac:dyDescent="0.15">
      <c r="A2" s="96">
        <v>1</v>
      </c>
      <c r="B2" s="97"/>
      <c r="C2" s="96">
        <v>4</v>
      </c>
      <c r="D2" s="96">
        <v>5</v>
      </c>
      <c r="E2" s="96">
        <v>6</v>
      </c>
      <c r="F2" s="96">
        <v>7</v>
      </c>
      <c r="G2" s="96">
        <v>8</v>
      </c>
      <c r="H2" s="31"/>
    </row>
    <row r="3" spans="1:8" x14ac:dyDescent="0.15">
      <c r="A3" s="96">
        <v>2</v>
      </c>
      <c r="B3" s="97"/>
      <c r="C3" s="96"/>
      <c r="D3" s="96"/>
      <c r="E3" s="96"/>
      <c r="F3" s="96"/>
      <c r="G3" s="96"/>
      <c r="H3" s="31"/>
    </row>
    <row r="4" spans="1:8" x14ac:dyDescent="0.15">
      <c r="A4" s="96">
        <v>3</v>
      </c>
      <c r="B4" s="97"/>
      <c r="C4" s="96"/>
      <c r="D4" s="96"/>
      <c r="E4" s="96"/>
      <c r="F4" s="96"/>
      <c r="G4" s="96"/>
      <c r="H4" s="31"/>
    </row>
    <row r="5" spans="1:8" x14ac:dyDescent="0.15">
      <c r="A5" s="96">
        <v>4</v>
      </c>
      <c r="B5" s="97"/>
      <c r="C5" s="96"/>
      <c r="D5" s="96"/>
      <c r="E5" s="96"/>
      <c r="F5" s="96"/>
      <c r="G5" s="96"/>
      <c r="H5" s="31"/>
    </row>
    <row r="6" spans="1:8" x14ac:dyDescent="0.15">
      <c r="A6" s="96">
        <v>5</v>
      </c>
      <c r="B6" s="97"/>
      <c r="C6" s="96"/>
      <c r="D6" s="96"/>
      <c r="E6" s="96"/>
      <c r="F6" s="96"/>
      <c r="G6" s="96"/>
      <c r="H6" s="31"/>
    </row>
    <row r="7" spans="1:8" x14ac:dyDescent="0.15">
      <c r="A7" s="96">
        <v>6</v>
      </c>
      <c r="B7" s="97"/>
      <c r="C7" s="96"/>
      <c r="D7" s="96"/>
      <c r="E7" s="96"/>
      <c r="F7" s="96"/>
      <c r="G7" s="96"/>
      <c r="H7" s="31"/>
    </row>
    <row r="8" spans="1:8" x14ac:dyDescent="0.15">
      <c r="A8" s="96">
        <v>7</v>
      </c>
      <c r="B8" s="97"/>
      <c r="C8" s="96"/>
      <c r="D8" s="96"/>
      <c r="E8" s="96"/>
      <c r="F8" s="96"/>
      <c r="G8" s="96"/>
      <c r="H8" s="31">
        <f>IF(OR(B2&gt;B3,B2&gt;B4,B2&gt;B5,B2&gt;B6,B2&gt;B7,B2&gt;B8),ATM_Conf!$C$11,0)</f>
        <v>0</v>
      </c>
    </row>
    <row r="9" spans="1:8" x14ac:dyDescent="0.15">
      <c r="A9" s="32">
        <v>8</v>
      </c>
      <c r="B9" s="98"/>
      <c r="C9" s="32"/>
      <c r="D9" s="32"/>
      <c r="E9" s="32"/>
      <c r="F9" s="32"/>
      <c r="G9" s="32"/>
      <c r="H9" s="31"/>
    </row>
    <row r="10" spans="1:8" x14ac:dyDescent="0.15">
      <c r="A10" s="32">
        <v>9</v>
      </c>
      <c r="B10" s="98"/>
      <c r="C10" s="32"/>
      <c r="D10" s="32"/>
      <c r="E10" s="32"/>
      <c r="F10" s="32"/>
      <c r="G10" s="32"/>
      <c r="H10" s="31"/>
    </row>
    <row r="11" spans="1:8" x14ac:dyDescent="0.15">
      <c r="A11" s="32">
        <v>10</v>
      </c>
      <c r="B11" s="98"/>
      <c r="C11" s="32"/>
      <c r="D11" s="32"/>
      <c r="E11" s="32"/>
      <c r="F11" s="32"/>
      <c r="G11" s="32"/>
      <c r="H11" s="31"/>
    </row>
    <row r="12" spans="1:8" x14ac:dyDescent="0.15">
      <c r="A12" s="32">
        <v>11</v>
      </c>
      <c r="B12" s="98"/>
      <c r="C12" s="32"/>
      <c r="D12" s="32"/>
      <c r="E12" s="32"/>
      <c r="F12" s="32"/>
      <c r="G12" s="32"/>
      <c r="H12" s="31"/>
    </row>
    <row r="13" spans="1:8" x14ac:dyDescent="0.15">
      <c r="A13" s="32">
        <v>12</v>
      </c>
      <c r="B13" s="98"/>
      <c r="C13" s="32"/>
      <c r="D13" s="32"/>
      <c r="E13" s="32"/>
      <c r="F13" s="32"/>
      <c r="G13" s="32"/>
      <c r="H13" s="31">
        <f>IF(OR(B9&gt;B10,B9&gt;B11,B9&gt;B12,B9&gt;B13),ATM_Conf!$C$11,0)</f>
        <v>0</v>
      </c>
    </row>
    <row r="14" spans="1:8" x14ac:dyDescent="0.15">
      <c r="A14" s="96">
        <v>13</v>
      </c>
      <c r="B14" s="97"/>
      <c r="C14" s="96"/>
      <c r="D14" s="96"/>
      <c r="E14" s="96"/>
      <c r="F14" s="96"/>
      <c r="G14" s="96"/>
      <c r="H14" s="31"/>
    </row>
    <row r="15" spans="1:8" x14ac:dyDescent="0.15">
      <c r="A15" s="96">
        <v>14</v>
      </c>
      <c r="B15" s="97"/>
      <c r="C15" s="96"/>
      <c r="D15" s="96"/>
      <c r="E15" s="96"/>
      <c r="F15" s="96"/>
      <c r="G15" s="96"/>
      <c r="H15" s="31"/>
    </row>
    <row r="16" spans="1:8" x14ac:dyDescent="0.15">
      <c r="A16" s="96">
        <v>15</v>
      </c>
      <c r="B16" s="97"/>
      <c r="C16" s="96"/>
      <c r="D16" s="96"/>
      <c r="E16" s="96"/>
      <c r="F16" s="96"/>
      <c r="G16" s="96"/>
      <c r="H16" s="31"/>
    </row>
    <row r="17" spans="1:8" x14ac:dyDescent="0.15">
      <c r="A17" s="96">
        <v>16</v>
      </c>
      <c r="B17" s="97"/>
      <c r="C17" s="96"/>
      <c r="D17" s="96"/>
      <c r="E17" s="96"/>
      <c r="F17" s="96"/>
      <c r="G17" s="96"/>
      <c r="H17" s="31"/>
    </row>
    <row r="18" spans="1:8" x14ac:dyDescent="0.15">
      <c r="A18" s="96">
        <v>17</v>
      </c>
      <c r="B18" s="97"/>
      <c r="C18" s="96"/>
      <c r="D18" s="96"/>
      <c r="E18" s="96"/>
      <c r="F18" s="96"/>
      <c r="G18" s="96"/>
      <c r="H18" s="31">
        <f>IF(OR(B14&gt;B15,B14&gt;B16,B14&gt;B17,B14&gt;B18),ATM_Conf!$C$11,0)</f>
        <v>0</v>
      </c>
    </row>
    <row r="19" spans="1:8" x14ac:dyDescent="0.15">
      <c r="A19" s="32">
        <v>18</v>
      </c>
      <c r="B19" s="98"/>
      <c r="C19" s="32"/>
      <c r="D19" s="32"/>
      <c r="E19" s="32"/>
      <c r="F19" s="32"/>
      <c r="G19" s="32"/>
      <c r="H19" s="31"/>
    </row>
    <row r="20" spans="1:8" x14ac:dyDescent="0.15">
      <c r="A20" s="32">
        <v>19</v>
      </c>
      <c r="B20" s="98"/>
      <c r="C20" s="32"/>
      <c r="D20" s="32"/>
      <c r="E20" s="32"/>
      <c r="F20" s="32"/>
      <c r="G20" s="32"/>
      <c r="H20" s="31"/>
    </row>
    <row r="21" spans="1:8" x14ac:dyDescent="0.15">
      <c r="A21" s="32">
        <v>20</v>
      </c>
      <c r="B21" s="98"/>
      <c r="C21" s="32"/>
      <c r="D21" s="32"/>
      <c r="E21" s="32"/>
      <c r="F21" s="32"/>
      <c r="G21" s="32"/>
      <c r="H21" s="31"/>
    </row>
    <row r="22" spans="1:8" x14ac:dyDescent="0.15">
      <c r="A22" s="32">
        <v>21</v>
      </c>
      <c r="B22" s="98"/>
      <c r="C22" s="32"/>
      <c r="D22" s="32"/>
      <c r="E22" s="32"/>
      <c r="F22" s="32"/>
      <c r="G22" s="32"/>
      <c r="H22" s="31"/>
    </row>
    <row r="23" spans="1:8" x14ac:dyDescent="0.15">
      <c r="A23" s="32">
        <v>22</v>
      </c>
      <c r="B23" s="98"/>
      <c r="C23" s="32"/>
      <c r="D23" s="32"/>
      <c r="E23" s="32"/>
      <c r="F23" s="32"/>
      <c r="G23" s="32"/>
      <c r="H23" s="31">
        <f>IF(OR(B19&gt;B20,B19&gt;B21,B19&gt;B22,B19&gt;B23),ATM_Conf!$C$11,0)</f>
        <v>0</v>
      </c>
    </row>
    <row r="24" spans="1:8" x14ac:dyDescent="0.15">
      <c r="A24" s="96">
        <v>23</v>
      </c>
      <c r="B24" s="97"/>
      <c r="C24" s="96"/>
      <c r="D24" s="96"/>
      <c r="E24" s="96"/>
      <c r="F24" s="96"/>
      <c r="G24" s="96"/>
      <c r="H24" s="31"/>
    </row>
    <row r="25" spans="1:8" x14ac:dyDescent="0.15">
      <c r="A25" s="96">
        <v>24</v>
      </c>
      <c r="B25" s="97"/>
      <c r="C25" s="96"/>
      <c r="D25" s="96"/>
      <c r="E25" s="96"/>
      <c r="F25" s="96"/>
      <c r="G25" s="96"/>
      <c r="H25" s="31"/>
    </row>
    <row r="26" spans="1:8" x14ac:dyDescent="0.15">
      <c r="A26" s="96">
        <v>25</v>
      </c>
      <c r="B26" s="97"/>
      <c r="C26" s="96"/>
      <c r="D26" s="96"/>
      <c r="E26" s="96"/>
      <c r="F26" s="96"/>
      <c r="G26" s="96"/>
      <c r="H26" s="31"/>
    </row>
    <row r="27" spans="1:8" x14ac:dyDescent="0.15">
      <c r="A27" s="96">
        <v>26</v>
      </c>
      <c r="B27" s="97"/>
      <c r="C27" s="96"/>
      <c r="D27" s="96"/>
      <c r="E27" s="96"/>
      <c r="F27" s="96"/>
      <c r="G27" s="96"/>
      <c r="H27" s="31">
        <f>IF(OR(B24&gt;B25,B24&gt;B26,B24&gt;B27),ATM_Conf!$C$11,0)</f>
        <v>0</v>
      </c>
    </row>
    <row r="28" spans="1:8" x14ac:dyDescent="0.15">
      <c r="A28" s="32">
        <v>27</v>
      </c>
      <c r="B28" s="98"/>
      <c r="C28" s="32"/>
      <c r="D28" s="32"/>
      <c r="E28" s="32"/>
      <c r="F28" s="32"/>
      <c r="G28" s="32"/>
      <c r="H28" s="31"/>
    </row>
    <row r="29" spans="1:8" x14ac:dyDescent="0.15">
      <c r="A29" s="32">
        <v>28</v>
      </c>
      <c r="B29" s="98"/>
      <c r="C29" s="32"/>
      <c r="D29" s="32"/>
      <c r="E29" s="32"/>
      <c r="F29" s="32"/>
      <c r="G29" s="32"/>
      <c r="H29" s="31"/>
    </row>
    <row r="30" spans="1:8" x14ac:dyDescent="0.15">
      <c r="A30" s="32">
        <v>29</v>
      </c>
      <c r="B30" s="98"/>
      <c r="C30" s="32"/>
      <c r="D30" s="32"/>
      <c r="E30" s="32"/>
      <c r="F30" s="32"/>
      <c r="G30" s="32"/>
      <c r="H30" s="31">
        <f>IF(OR(B28&gt;B29,B28&gt;B30),ATM_Conf!$C$11,0)</f>
        <v>0</v>
      </c>
    </row>
    <row r="31" spans="1:8" x14ac:dyDescent="0.15">
      <c r="A31" s="96">
        <v>30</v>
      </c>
      <c r="B31" s="97"/>
      <c r="C31" s="96"/>
      <c r="D31" s="96"/>
      <c r="E31" s="96"/>
      <c r="F31" s="96"/>
      <c r="G31" s="96"/>
      <c r="H31" s="31"/>
    </row>
    <row r="32" spans="1:8" x14ac:dyDescent="0.15">
      <c r="A32" s="96">
        <v>31</v>
      </c>
      <c r="B32" s="97"/>
      <c r="C32" s="96"/>
      <c r="D32" s="96"/>
      <c r="E32" s="96"/>
      <c r="F32" s="96"/>
      <c r="G32" s="96"/>
      <c r="H32" s="31"/>
    </row>
    <row r="33" spans="1:8" x14ac:dyDescent="0.15">
      <c r="A33" s="96">
        <v>32</v>
      </c>
      <c r="B33" s="97"/>
      <c r="C33" s="96"/>
      <c r="D33" s="96"/>
      <c r="E33" s="96"/>
      <c r="F33" s="96"/>
      <c r="G33" s="96"/>
      <c r="H33" s="31"/>
    </row>
    <row r="34" spans="1:8" x14ac:dyDescent="0.15">
      <c r="A34" s="96">
        <v>33</v>
      </c>
      <c r="B34" s="97"/>
      <c r="C34" s="96"/>
      <c r="D34" s="96"/>
      <c r="E34" s="96"/>
      <c r="F34" s="96"/>
      <c r="G34" s="96"/>
      <c r="H34" s="31"/>
    </row>
    <row r="35" spans="1:8" x14ac:dyDescent="0.15">
      <c r="A35" s="96">
        <v>34</v>
      </c>
      <c r="B35" s="97"/>
      <c r="C35" s="96"/>
      <c r="D35" s="96"/>
      <c r="E35" s="96"/>
      <c r="F35" s="96"/>
      <c r="G35" s="96"/>
      <c r="H35" s="31">
        <f>IF(OR(B31&gt;B32,B31&gt;B33,B31&gt;B34,B31&gt;B35),ATM_Conf!$C$11,0)</f>
        <v>0</v>
      </c>
    </row>
    <row r="36" spans="1:8" x14ac:dyDescent="0.15">
      <c r="A36" s="32">
        <v>35</v>
      </c>
      <c r="B36" s="98"/>
      <c r="C36" s="32"/>
      <c r="D36" s="32"/>
      <c r="E36" s="32"/>
      <c r="F36" s="32"/>
      <c r="G36" s="32"/>
      <c r="H36" s="31"/>
    </row>
    <row r="37" spans="1:8" x14ac:dyDescent="0.15">
      <c r="A37" s="32">
        <v>36</v>
      </c>
      <c r="B37" s="98"/>
      <c r="C37" s="32"/>
      <c r="D37" s="32"/>
      <c r="E37" s="32"/>
      <c r="F37" s="32"/>
      <c r="G37" s="32"/>
      <c r="H37" s="31"/>
    </row>
    <row r="38" spans="1:8" x14ac:dyDescent="0.15">
      <c r="A38" s="32">
        <v>37</v>
      </c>
      <c r="B38" s="98"/>
      <c r="C38" s="32"/>
      <c r="D38" s="32"/>
      <c r="E38" s="32"/>
      <c r="F38" s="32"/>
      <c r="G38" s="32"/>
      <c r="H38" s="31">
        <f>IF(OR(B36&gt;B37,B36&gt;B38),ATM_Conf!$C$11,0)</f>
        <v>0</v>
      </c>
    </row>
    <row r="39" spans="1:8" x14ac:dyDescent="0.15">
      <c r="A39" s="96">
        <v>38</v>
      </c>
      <c r="B39" s="97"/>
      <c r="C39" s="96"/>
      <c r="D39" s="96"/>
      <c r="E39" s="96"/>
      <c r="F39" s="96"/>
      <c r="G39" s="96"/>
      <c r="H39" s="31"/>
    </row>
    <row r="40" spans="1:8" x14ac:dyDescent="0.15">
      <c r="A40" s="96">
        <v>39</v>
      </c>
      <c r="B40" s="97"/>
      <c r="C40" s="96"/>
      <c r="D40" s="96"/>
      <c r="E40" s="96"/>
      <c r="F40" s="96"/>
      <c r="G40" s="96"/>
      <c r="H40" s="31"/>
    </row>
    <row r="41" spans="1:8" x14ac:dyDescent="0.15">
      <c r="A41" s="96">
        <v>40</v>
      </c>
      <c r="B41" s="97"/>
      <c r="C41" s="96"/>
      <c r="D41" s="96"/>
      <c r="E41" s="96"/>
      <c r="F41" s="96"/>
      <c r="G41" s="96"/>
      <c r="H41" s="31">
        <f>IF(OR(B39&gt;B40,B39&gt;B41),ATM_Conf!$C$11,0)</f>
        <v>0</v>
      </c>
    </row>
    <row r="42" spans="1:8" x14ac:dyDescent="0.15">
      <c r="A42" s="32">
        <v>41</v>
      </c>
      <c r="B42" s="98"/>
      <c r="C42" s="32"/>
      <c r="D42" s="32"/>
      <c r="E42" s="32"/>
      <c r="F42" s="32"/>
      <c r="G42" s="32"/>
      <c r="H42" s="31"/>
    </row>
    <row r="43" spans="1:8" x14ac:dyDescent="0.15">
      <c r="A43" s="32">
        <v>42</v>
      </c>
      <c r="B43" s="98"/>
      <c r="C43" s="32"/>
      <c r="D43" s="32"/>
      <c r="E43" s="32"/>
      <c r="F43" s="32"/>
      <c r="G43" s="32"/>
      <c r="H43" s="31"/>
    </row>
    <row r="44" spans="1:8" x14ac:dyDescent="0.15">
      <c r="A44" s="32">
        <v>43</v>
      </c>
      <c r="B44" s="98"/>
      <c r="C44" s="32"/>
      <c r="D44" s="32"/>
      <c r="E44" s="32"/>
      <c r="F44" s="32"/>
      <c r="G44" s="32"/>
      <c r="H44" s="31">
        <f>IF(OR(B42&gt;B43,B42&gt;B44),ATM_Conf!$C$11,0)</f>
        <v>0</v>
      </c>
    </row>
    <row r="45" spans="1:8" x14ac:dyDescent="0.15">
      <c r="A45" s="96">
        <v>44</v>
      </c>
      <c r="B45" s="97"/>
      <c r="C45" s="96"/>
      <c r="D45" s="96"/>
      <c r="E45" s="96"/>
      <c r="F45" s="96"/>
      <c r="G45" s="96"/>
      <c r="H45" s="31"/>
    </row>
    <row r="46" spans="1:8" x14ac:dyDescent="0.15">
      <c r="A46" s="96">
        <v>45</v>
      </c>
      <c r="B46" s="97"/>
      <c r="C46" s="96"/>
      <c r="D46" s="96"/>
      <c r="E46" s="96"/>
      <c r="F46" s="96"/>
      <c r="G46" s="96"/>
      <c r="H46" s="31">
        <f>IF(B45&gt;B46,ATM_Conf!$C$11,0)</f>
        <v>0</v>
      </c>
    </row>
    <row r="47" spans="1:8" x14ac:dyDescent="0.15">
      <c r="A47" s="32">
        <v>46</v>
      </c>
      <c r="B47" s="98"/>
      <c r="C47" s="32"/>
      <c r="D47" s="32"/>
      <c r="E47" s="32"/>
      <c r="F47" s="32"/>
      <c r="G47" s="32"/>
      <c r="H47" s="31"/>
    </row>
    <row r="48" spans="1:8" x14ac:dyDescent="0.15">
      <c r="A48" s="32">
        <v>47</v>
      </c>
      <c r="B48" s="98"/>
      <c r="C48" s="32"/>
      <c r="D48" s="32"/>
      <c r="E48" s="32"/>
      <c r="F48" s="32"/>
      <c r="G48" s="32"/>
      <c r="H48" s="31"/>
    </row>
    <row r="49" spans="1:8" x14ac:dyDescent="0.15">
      <c r="A49" s="32">
        <v>48</v>
      </c>
      <c r="B49" s="98"/>
      <c r="C49" s="32"/>
      <c r="D49" s="32"/>
      <c r="E49" s="32"/>
      <c r="F49" s="32"/>
      <c r="G49" s="32"/>
      <c r="H49" s="31"/>
    </row>
    <row r="50" spans="1:8" x14ac:dyDescent="0.15">
      <c r="A50" s="32">
        <v>49</v>
      </c>
      <c r="B50" s="98"/>
      <c r="C50" s="32"/>
      <c r="D50" s="32"/>
      <c r="E50" s="32"/>
      <c r="F50" s="32"/>
      <c r="G50" s="32"/>
      <c r="H50" s="31">
        <f>IF(OR(B47&gt;B48,B47&gt;B49,B47&gt;B50),ATM_Conf!$C$11,0)</f>
        <v>0</v>
      </c>
    </row>
    <row r="51" spans="1:8" x14ac:dyDescent="0.15">
      <c r="A51" s="96">
        <v>50</v>
      </c>
      <c r="B51" s="97"/>
      <c r="C51" s="96"/>
      <c r="D51" s="96"/>
      <c r="E51" s="96"/>
      <c r="F51" s="96"/>
      <c r="G51" s="96"/>
      <c r="H51" s="31"/>
    </row>
    <row r="52" spans="1:8" x14ac:dyDescent="0.15">
      <c r="A52" s="96">
        <v>51</v>
      </c>
      <c r="B52" s="97"/>
      <c r="C52" s="96"/>
      <c r="D52" s="96"/>
      <c r="E52" s="96"/>
      <c r="F52" s="96"/>
      <c r="G52" s="96"/>
      <c r="H52" s="31">
        <f>IF(B51&gt;B52,ATM_Conf!$C$11,0)</f>
        <v>0</v>
      </c>
    </row>
    <row r="53" spans="1:8" x14ac:dyDescent="0.15">
      <c r="A53" s="32">
        <v>52</v>
      </c>
      <c r="B53" s="98"/>
      <c r="C53" s="32"/>
      <c r="D53" s="32"/>
      <c r="E53" s="32"/>
      <c r="F53" s="32"/>
      <c r="G53" s="32"/>
      <c r="H53" s="31"/>
    </row>
    <row r="54" spans="1:8" x14ac:dyDescent="0.15">
      <c r="A54" s="32">
        <v>53</v>
      </c>
      <c r="B54" s="98"/>
      <c r="C54" s="32"/>
      <c r="D54" s="32"/>
      <c r="E54" s="32"/>
      <c r="F54" s="32"/>
      <c r="G54" s="32"/>
      <c r="H54" s="31">
        <f>IF(B53&gt;B54,ATM_Conf!$C$11,0)</f>
        <v>0</v>
      </c>
    </row>
    <row r="55" spans="1:8" x14ac:dyDescent="0.15">
      <c r="A55" s="96">
        <v>54</v>
      </c>
      <c r="B55" s="97"/>
      <c r="C55" s="96"/>
      <c r="D55" s="96"/>
      <c r="E55" s="96"/>
      <c r="F55" s="96"/>
      <c r="G55" s="96"/>
      <c r="H55" s="31"/>
    </row>
    <row r="56" spans="1:8" x14ac:dyDescent="0.15">
      <c r="A56" s="96">
        <v>55</v>
      </c>
      <c r="B56" s="97"/>
      <c r="C56" s="96"/>
      <c r="D56" s="96"/>
      <c r="E56" s="96"/>
      <c r="F56" s="96"/>
      <c r="G56" s="96"/>
      <c r="H56" s="31">
        <f>IF(B55&gt;B56,ATM_Conf!$C$11,0)</f>
        <v>0</v>
      </c>
    </row>
    <row r="57" spans="1:8" x14ac:dyDescent="0.15">
      <c r="A57" s="32">
        <v>56</v>
      </c>
      <c r="B57" s="98"/>
      <c r="C57" s="32"/>
      <c r="D57" s="32"/>
      <c r="E57" s="32"/>
      <c r="F57" s="32"/>
      <c r="G57" s="32"/>
      <c r="H57" s="31"/>
    </row>
    <row r="58" spans="1:8" x14ac:dyDescent="0.15">
      <c r="A58" s="32">
        <v>57</v>
      </c>
      <c r="B58" s="98"/>
      <c r="C58" s="32"/>
      <c r="D58" s="32"/>
      <c r="E58" s="32"/>
      <c r="F58" s="32"/>
      <c r="G58" s="32"/>
      <c r="H58" s="31"/>
    </row>
    <row r="59" spans="1:8" x14ac:dyDescent="0.15">
      <c r="A59" s="32">
        <v>58</v>
      </c>
      <c r="B59" s="98"/>
      <c r="C59" s="32"/>
      <c r="D59" s="32"/>
      <c r="E59" s="32"/>
      <c r="F59" s="32"/>
      <c r="G59" s="32"/>
      <c r="H59" s="31">
        <f>IF(OR(B57&gt;B58,B57&gt;B59),ATM_Conf!$C$11,0)</f>
        <v>0</v>
      </c>
    </row>
    <row r="60" spans="1:8" x14ac:dyDescent="0.15">
      <c r="A60" s="96">
        <v>59</v>
      </c>
      <c r="B60" s="97"/>
      <c r="C60" s="96"/>
      <c r="D60" s="96"/>
      <c r="E60" s="96"/>
      <c r="F60" s="96"/>
      <c r="G60" s="96"/>
      <c r="H60" s="31"/>
    </row>
    <row r="61" spans="1:8" x14ac:dyDescent="0.15">
      <c r="A61" s="32">
        <v>60</v>
      </c>
      <c r="B61" s="98"/>
      <c r="C61" s="32"/>
      <c r="D61" s="32"/>
      <c r="E61" s="32"/>
      <c r="F61" s="32"/>
      <c r="G61" s="32"/>
      <c r="H61" s="31"/>
    </row>
    <row r="62" spans="1:8" x14ac:dyDescent="0.15">
      <c r="A62" s="32">
        <v>61</v>
      </c>
      <c r="B62" s="98"/>
      <c r="C62" s="32"/>
      <c r="D62" s="32"/>
      <c r="E62" s="32"/>
      <c r="F62" s="32"/>
      <c r="G62" s="32"/>
      <c r="H62" s="31"/>
    </row>
    <row r="63" spans="1:8" x14ac:dyDescent="0.15">
      <c r="A63" s="32">
        <v>62</v>
      </c>
      <c r="B63" s="98"/>
      <c r="C63" s="32"/>
      <c r="D63" s="32"/>
      <c r="E63" s="32"/>
      <c r="F63" s="32"/>
      <c r="G63" s="32"/>
      <c r="H63" s="31"/>
    </row>
    <row r="64" spans="1:8" x14ac:dyDescent="0.15">
      <c r="A64" s="32">
        <v>63</v>
      </c>
      <c r="B64" s="98"/>
      <c r="C64" s="32"/>
      <c r="D64" s="32"/>
      <c r="E64" s="32"/>
      <c r="F64" s="32"/>
      <c r="G64" s="32"/>
      <c r="H64" s="31"/>
    </row>
    <row r="65" spans="1:8" x14ac:dyDescent="0.15">
      <c r="A65" s="32">
        <v>64</v>
      </c>
      <c r="B65" s="98"/>
      <c r="C65" s="32"/>
      <c r="D65" s="32"/>
      <c r="E65" s="32"/>
      <c r="F65" s="32"/>
      <c r="G65" s="32"/>
      <c r="H65" s="31">
        <f>IF(OR(B61&gt;B62,B61&gt;B63,B61&gt;B64,B61&gt;B65),ATM_Conf!$C$11,0)</f>
        <v>0</v>
      </c>
    </row>
    <row r="66" spans="1:8" x14ac:dyDescent="0.15">
      <c r="A66" s="96">
        <v>65</v>
      </c>
      <c r="B66" s="97"/>
      <c r="C66" s="96"/>
      <c r="D66" s="96"/>
      <c r="E66" s="96"/>
      <c r="F66" s="96"/>
      <c r="G66" s="96"/>
      <c r="H66" s="31"/>
    </row>
    <row r="67" spans="1:8" x14ac:dyDescent="0.15">
      <c r="A67" s="96">
        <v>66</v>
      </c>
      <c r="B67" s="97"/>
      <c r="C67" s="96"/>
      <c r="D67" s="96"/>
      <c r="E67" s="96"/>
      <c r="F67" s="96"/>
      <c r="G67" s="96"/>
      <c r="H67" s="31"/>
    </row>
    <row r="68" spans="1:8" x14ac:dyDescent="0.15">
      <c r="A68" s="96">
        <v>67</v>
      </c>
      <c r="B68" s="97"/>
      <c r="C68" s="96"/>
      <c r="D68" s="96"/>
      <c r="E68" s="96"/>
      <c r="F68" s="96"/>
      <c r="G68" s="96"/>
      <c r="H68" s="31"/>
    </row>
    <row r="69" spans="1:8" x14ac:dyDescent="0.15">
      <c r="A69" s="96">
        <v>68</v>
      </c>
      <c r="B69" s="97"/>
      <c r="C69" s="96"/>
      <c r="D69" s="96"/>
      <c r="E69" s="96"/>
      <c r="F69" s="96"/>
      <c r="G69" s="96"/>
      <c r="H69" s="31"/>
    </row>
    <row r="70" spans="1:8" x14ac:dyDescent="0.15">
      <c r="A70" s="96">
        <v>69</v>
      </c>
      <c r="B70" s="97"/>
      <c r="C70" s="96"/>
      <c r="D70" s="96"/>
      <c r="E70" s="96"/>
      <c r="F70" s="96"/>
      <c r="G70" s="96"/>
      <c r="H70" s="31"/>
    </row>
    <row r="71" spans="1:8" x14ac:dyDescent="0.15">
      <c r="A71" s="96">
        <v>70</v>
      </c>
      <c r="B71" s="97"/>
      <c r="C71" s="96"/>
      <c r="D71" s="96"/>
      <c r="E71" s="96"/>
      <c r="F71" s="96"/>
      <c r="G71" s="96"/>
      <c r="H71" s="31">
        <f>IF(OR(B66&gt;B67,B66&gt;B68,B66&gt;B69,B66&gt;B70,B66&gt;B71),ATM_Conf!$C$11,0)</f>
        <v>0</v>
      </c>
    </row>
    <row r="72" spans="1:8" x14ac:dyDescent="0.15">
      <c r="A72" s="32">
        <v>71</v>
      </c>
      <c r="B72" s="98"/>
      <c r="C72" s="32"/>
      <c r="D72" s="32"/>
      <c r="E72" s="32"/>
      <c r="F72" s="32"/>
      <c r="G72" s="32"/>
      <c r="H72" s="31"/>
    </row>
    <row r="73" spans="1:8" x14ac:dyDescent="0.15">
      <c r="A73" s="32">
        <v>72</v>
      </c>
      <c r="B73" s="98"/>
      <c r="C73" s="32"/>
      <c r="D73" s="32"/>
      <c r="E73" s="32"/>
      <c r="F73" s="32"/>
      <c r="G73" s="32"/>
      <c r="H73" s="31"/>
    </row>
    <row r="74" spans="1:8" x14ac:dyDescent="0.15">
      <c r="A74" s="32">
        <v>73</v>
      </c>
      <c r="B74" s="98"/>
      <c r="C74" s="32"/>
      <c r="D74" s="32"/>
      <c r="E74" s="32"/>
      <c r="F74" s="32"/>
      <c r="G74" s="32"/>
      <c r="H74" s="31"/>
    </row>
    <row r="75" spans="1:8" x14ac:dyDescent="0.15">
      <c r="A75" s="32">
        <v>74</v>
      </c>
      <c r="B75" s="98"/>
      <c r="C75" s="32"/>
      <c r="D75" s="32"/>
      <c r="E75" s="32"/>
      <c r="F75" s="32"/>
      <c r="G75" s="32"/>
      <c r="H75" s="31">
        <f>IF(OR(B72&gt;B73,B72&gt;B74,B72&gt;B75),ATM_Conf!$C$11,0)</f>
        <v>0</v>
      </c>
    </row>
    <row r="76" spans="1:8" x14ac:dyDescent="0.15">
      <c r="A76" s="96">
        <v>75</v>
      </c>
      <c r="B76" s="97"/>
      <c r="C76" s="96"/>
      <c r="D76" s="96"/>
      <c r="E76" s="96"/>
      <c r="F76" s="96"/>
      <c r="G76" s="96"/>
      <c r="H76" s="31"/>
    </row>
    <row r="77" spans="1:8" x14ac:dyDescent="0.15">
      <c r="A77" s="96">
        <v>76</v>
      </c>
      <c r="B77" s="97"/>
      <c r="C77" s="96"/>
      <c r="D77" s="96"/>
      <c r="E77" s="96"/>
      <c r="F77" s="96"/>
      <c r="G77" s="96"/>
      <c r="H77" s="31"/>
    </row>
    <row r="78" spans="1:8" x14ac:dyDescent="0.15">
      <c r="A78" s="96">
        <v>77</v>
      </c>
      <c r="B78" s="97"/>
      <c r="C78" s="96"/>
      <c r="D78" s="96"/>
      <c r="E78" s="96"/>
      <c r="F78" s="96"/>
      <c r="G78" s="96"/>
      <c r="H78" s="31">
        <f>IF(OR(B76&gt;B77,B76&gt;B78),ATM_Conf!$C$11,0)</f>
        <v>0</v>
      </c>
    </row>
    <row r="79" spans="1:8" x14ac:dyDescent="0.15">
      <c r="A79" s="32">
        <v>78</v>
      </c>
      <c r="B79" s="98"/>
      <c r="C79" s="32"/>
      <c r="D79" s="32"/>
      <c r="E79" s="32"/>
      <c r="F79" s="32"/>
      <c r="G79" s="32"/>
      <c r="H79" s="31"/>
    </row>
    <row r="80" spans="1:8" x14ac:dyDescent="0.15">
      <c r="A80" s="32">
        <v>79</v>
      </c>
      <c r="B80" s="98"/>
      <c r="C80" s="32"/>
      <c r="D80" s="32"/>
      <c r="E80" s="32"/>
      <c r="F80" s="32"/>
      <c r="G80" s="32"/>
      <c r="H80" s="31"/>
    </row>
    <row r="81" spans="1:8" x14ac:dyDescent="0.15">
      <c r="A81" s="32">
        <v>80</v>
      </c>
      <c r="B81" s="98"/>
      <c r="C81" s="32"/>
      <c r="D81" s="32"/>
      <c r="E81" s="32"/>
      <c r="F81" s="32"/>
      <c r="G81" s="32"/>
      <c r="H81" s="31">
        <f>IF(OR(B79&gt;B80,B79&gt;B81),ATM_Conf!$C$11,0)</f>
        <v>0</v>
      </c>
    </row>
    <row r="82" spans="1:8" x14ac:dyDescent="0.15">
      <c r="A82" s="96">
        <v>81</v>
      </c>
      <c r="B82" s="97"/>
      <c r="C82" s="96"/>
      <c r="D82" s="96"/>
      <c r="E82" s="96"/>
      <c r="F82" s="96"/>
      <c r="G82" s="96"/>
      <c r="H82" s="31"/>
    </row>
    <row r="83" spans="1:8" x14ac:dyDescent="0.15">
      <c r="A83" s="96">
        <v>82</v>
      </c>
      <c r="B83" s="97"/>
      <c r="C83" s="96"/>
      <c r="D83" s="96"/>
      <c r="E83" s="96"/>
      <c r="F83" s="96"/>
      <c r="G83" s="96"/>
      <c r="H83" s="31"/>
    </row>
    <row r="84" spans="1:8" x14ac:dyDescent="0.15">
      <c r="A84" s="96">
        <v>83</v>
      </c>
      <c r="B84" s="97"/>
      <c r="C84" s="96"/>
      <c r="D84" s="96"/>
      <c r="E84" s="96"/>
      <c r="F84" s="96"/>
      <c r="G84" s="96"/>
      <c r="H84" s="31"/>
    </row>
    <row r="85" spans="1:8" x14ac:dyDescent="0.15">
      <c r="A85" s="96">
        <v>84</v>
      </c>
      <c r="B85" s="97"/>
      <c r="C85" s="96"/>
      <c r="D85" s="96"/>
      <c r="E85" s="96"/>
      <c r="F85" s="96"/>
      <c r="G85" s="96"/>
      <c r="H85" s="31">
        <f>IF(OR(B82&gt;B83,B82&gt;B84,B82&gt;B85),ATM_Conf!$C$11,0)</f>
        <v>0</v>
      </c>
    </row>
    <row r="86" spans="1:8" x14ac:dyDescent="0.15">
      <c r="A86" s="32">
        <v>85</v>
      </c>
      <c r="B86" s="98"/>
      <c r="C86" s="32"/>
      <c r="D86" s="32"/>
      <c r="E86" s="32"/>
      <c r="F86" s="32"/>
      <c r="G86" s="32"/>
      <c r="H86" s="31"/>
    </row>
    <row r="87" spans="1:8" x14ac:dyDescent="0.15">
      <c r="A87" s="32">
        <v>86</v>
      </c>
      <c r="B87" s="98"/>
      <c r="C87" s="32"/>
      <c r="D87" s="32"/>
      <c r="E87" s="32"/>
      <c r="F87" s="32"/>
      <c r="G87" s="32"/>
      <c r="H87" s="31"/>
    </row>
    <row r="88" spans="1:8" x14ac:dyDescent="0.15">
      <c r="A88" s="32">
        <v>87</v>
      </c>
      <c r="B88" s="98"/>
      <c r="C88" s="32"/>
      <c r="D88" s="32"/>
      <c r="E88" s="32"/>
      <c r="F88" s="32"/>
      <c r="G88" s="32"/>
      <c r="H88" s="31">
        <f>IF(OR(B86&gt;B87,B86&gt;B88),ATM_Conf!$C$11,0)</f>
        <v>0</v>
      </c>
    </row>
    <row r="89" spans="1:8" x14ac:dyDescent="0.15">
      <c r="A89" s="96">
        <v>88</v>
      </c>
      <c r="B89" s="97"/>
      <c r="C89" s="96"/>
      <c r="D89" s="96"/>
      <c r="E89" s="96"/>
      <c r="F89" s="96"/>
      <c r="G89" s="96"/>
      <c r="H89" s="31"/>
    </row>
    <row r="90" spans="1:8" x14ac:dyDescent="0.15">
      <c r="A90" s="96">
        <v>89</v>
      </c>
      <c r="B90" s="97"/>
      <c r="C90" s="96"/>
      <c r="D90" s="96"/>
      <c r="E90" s="96"/>
      <c r="F90" s="96"/>
      <c r="G90" s="96"/>
      <c r="H90" s="31">
        <f>IF(B89&gt;B90,ATM_Conf!$C$11,0)</f>
        <v>0</v>
      </c>
    </row>
    <row r="91" spans="1:8" x14ac:dyDescent="0.15">
      <c r="A91" s="32">
        <v>90</v>
      </c>
      <c r="B91" s="98"/>
      <c r="C91" s="32"/>
      <c r="D91" s="32"/>
      <c r="E91" s="32"/>
      <c r="F91" s="32"/>
      <c r="G91" s="32"/>
      <c r="H91" s="31"/>
    </row>
    <row r="92" spans="1:8" x14ac:dyDescent="0.15">
      <c r="A92" s="32">
        <v>91</v>
      </c>
      <c r="B92" s="98"/>
      <c r="C92" s="32"/>
      <c r="D92" s="32"/>
      <c r="E92" s="32"/>
      <c r="F92" s="32"/>
      <c r="G92" s="32"/>
      <c r="H92" s="31"/>
    </row>
    <row r="93" spans="1:8" x14ac:dyDescent="0.15">
      <c r="A93" s="32">
        <v>92</v>
      </c>
      <c r="B93" s="98"/>
      <c r="C93" s="32"/>
      <c r="D93" s="32"/>
      <c r="E93" s="32"/>
      <c r="F93" s="32"/>
      <c r="G93" s="32"/>
      <c r="H93" s="31">
        <f>IF(OR(B91&gt;B92,B91&gt;B93),ATM_Conf!$C$11,0)</f>
        <v>0</v>
      </c>
    </row>
    <row r="94" spans="1:8" x14ac:dyDescent="0.15">
      <c r="A94" s="96">
        <v>93</v>
      </c>
      <c r="B94" s="97"/>
      <c r="C94" s="96"/>
      <c r="D94" s="96"/>
      <c r="E94" s="96"/>
      <c r="F94" s="96"/>
      <c r="G94" s="96"/>
      <c r="H94" s="31"/>
    </row>
    <row r="95" spans="1:8" x14ac:dyDescent="0.15">
      <c r="A95" s="96">
        <v>94</v>
      </c>
      <c r="B95" s="97"/>
      <c r="C95" s="96"/>
      <c r="D95" s="96"/>
      <c r="E95" s="96"/>
      <c r="F95" s="96"/>
      <c r="G95" s="96"/>
      <c r="H95" s="31"/>
    </row>
    <row r="96" spans="1:8" x14ac:dyDescent="0.15">
      <c r="A96" s="96">
        <v>95</v>
      </c>
      <c r="B96" s="97"/>
      <c r="C96" s="96"/>
      <c r="D96" s="96"/>
      <c r="E96" s="96"/>
      <c r="F96" s="96"/>
      <c r="G96" s="96"/>
      <c r="H96" s="31">
        <f>IF(OR(B94&gt;B95,B94&gt;B96),ATM_Conf!$C$11,0)</f>
        <v>0</v>
      </c>
    </row>
    <row r="97" spans="1:8" x14ac:dyDescent="0.15">
      <c r="A97" s="32">
        <v>96</v>
      </c>
      <c r="B97" s="98"/>
      <c r="C97" s="32"/>
      <c r="D97" s="32"/>
      <c r="E97" s="32"/>
      <c r="F97" s="32"/>
      <c r="G97" s="32"/>
      <c r="H97" s="31"/>
    </row>
    <row r="98" spans="1:8" x14ac:dyDescent="0.15">
      <c r="A98" s="32">
        <v>97</v>
      </c>
      <c r="B98" s="98"/>
      <c r="C98" s="32"/>
      <c r="D98" s="32"/>
      <c r="E98" s="32"/>
      <c r="F98" s="32"/>
      <c r="G98" s="32"/>
      <c r="H98" s="31">
        <f>IF(B97&gt;B98,ATM_Conf!$C$11,0)</f>
        <v>0</v>
      </c>
    </row>
    <row r="99" spans="1:8" x14ac:dyDescent="0.15">
      <c r="A99" s="96">
        <v>98</v>
      </c>
      <c r="B99" s="97"/>
      <c r="C99" s="96"/>
      <c r="D99" s="96"/>
      <c r="E99" s="96"/>
      <c r="F99" s="96"/>
      <c r="G99" s="96"/>
      <c r="H99" s="31"/>
    </row>
    <row r="100" spans="1:8" x14ac:dyDescent="0.15">
      <c r="A100" s="96">
        <v>99</v>
      </c>
      <c r="B100" s="97"/>
      <c r="C100" s="96"/>
      <c r="D100" s="96"/>
      <c r="E100" s="96"/>
      <c r="F100" s="96"/>
      <c r="G100" s="96"/>
      <c r="H100" s="31"/>
    </row>
    <row r="101" spans="1:8" x14ac:dyDescent="0.15">
      <c r="A101" s="96">
        <v>100</v>
      </c>
      <c r="B101" s="97"/>
      <c r="C101" s="96"/>
      <c r="D101" s="96"/>
      <c r="E101" s="96"/>
      <c r="F101" s="96"/>
      <c r="G101" s="96"/>
      <c r="H101" s="31">
        <f>IF(OR(B99&gt;B100,B99&gt;B101),ATM_Conf!$C$11,0)</f>
        <v>0</v>
      </c>
    </row>
    <row r="102" spans="1:8" x14ac:dyDescent="0.15">
      <c r="A102" s="32">
        <v>101</v>
      </c>
      <c r="B102" s="98"/>
      <c r="C102" s="32"/>
      <c r="D102" s="32"/>
      <c r="E102" s="32"/>
      <c r="F102" s="32"/>
      <c r="G102" s="32"/>
      <c r="H102" s="31"/>
    </row>
    <row r="103" spans="1:8" x14ac:dyDescent="0.15">
      <c r="A103" s="32">
        <v>102</v>
      </c>
      <c r="B103" s="98"/>
      <c r="C103" s="32"/>
      <c r="D103" s="32"/>
      <c r="E103" s="32"/>
      <c r="F103" s="32"/>
      <c r="G103" s="32"/>
      <c r="H103" s="31">
        <f>IF(B102&gt;B103,ATM_Conf!$C$11,0)</f>
        <v>0</v>
      </c>
    </row>
    <row r="104" spans="1:8" x14ac:dyDescent="0.15">
      <c r="A104" s="96">
        <v>103</v>
      </c>
      <c r="B104" s="97"/>
      <c r="C104" s="96"/>
      <c r="D104" s="96"/>
      <c r="E104" s="96"/>
      <c r="F104" s="96"/>
      <c r="G104" s="96"/>
      <c r="H104" s="31"/>
    </row>
    <row r="105" spans="1:8" x14ac:dyDescent="0.15">
      <c r="A105" s="96">
        <v>104</v>
      </c>
      <c r="B105" s="97"/>
      <c r="C105" s="96"/>
      <c r="D105" s="96"/>
      <c r="E105" s="96"/>
      <c r="F105" s="96"/>
      <c r="G105" s="96"/>
      <c r="H105" s="31">
        <f>IF(OR(B104&gt;B105),ATM_Conf!$C$11,0)</f>
        <v>0</v>
      </c>
    </row>
    <row r="106" spans="1:8" ht="15" x14ac:dyDescent="0.15">
      <c r="H106" s="86">
        <f>SUM(H8:H105)</f>
        <v>0</v>
      </c>
    </row>
  </sheetData>
  <mergeCells count="1">
    <mergeCell ref="C1:G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A1117" workbookViewId="0">
      <selection activeCell="B1122" sqref="B1122:L1128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sqref="A1:L1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37" t="s">
        <v>47</v>
      </c>
      <c r="C1" s="138"/>
      <c r="D1" s="139"/>
      <c r="E1" s="137" t="s">
        <v>48</v>
      </c>
      <c r="F1" s="138"/>
      <c r="G1" s="138"/>
      <c r="H1" s="138"/>
      <c r="I1" s="138"/>
      <c r="J1" s="138"/>
      <c r="K1" s="138"/>
      <c r="L1" s="139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37" t="s">
        <v>50</v>
      </c>
      <c r="D1" s="138"/>
      <c r="E1" s="138"/>
      <c r="F1" s="138"/>
      <c r="G1" s="138"/>
      <c r="H1" s="138"/>
      <c r="I1" s="138"/>
      <c r="J1" s="139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B18" sqref="B18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107" t="s">
        <v>146</v>
      </c>
      <c r="C1" s="107"/>
      <c r="D1" s="107"/>
      <c r="E1" s="107"/>
      <c r="F1" s="80" t="s">
        <v>242</v>
      </c>
      <c r="G1" s="80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2"/>
      <c r="G2" s="72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2"/>
      <c r="G3" s="72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2"/>
      <c r="G4" s="72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2"/>
      <c r="G5" s="72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2"/>
      <c r="G6" s="72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2"/>
      <c r="G7" s="72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2"/>
      <c r="G8" s="72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2"/>
      <c r="G9" s="72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2"/>
      <c r="G10" s="72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2"/>
      <c r="G11" s="72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2"/>
      <c r="G12" s="72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2"/>
      <c r="G13" s="72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2"/>
      <c r="G14" s="72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2"/>
      <c r="G15" s="72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2"/>
      <c r="G16" s="72"/>
    </row>
    <row r="18" spans="1:2" ht="15" x14ac:dyDescent="0.15">
      <c r="A18" s="71" t="s">
        <v>239</v>
      </c>
      <c r="B18" s="24" t="s">
        <v>281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18" sqref="B18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80" t="s">
        <v>277</v>
      </c>
      <c r="E1" s="80" t="s">
        <v>278</v>
      </c>
      <c r="F1" s="80" t="s">
        <v>279</v>
      </c>
      <c r="G1" s="80" t="s">
        <v>280</v>
      </c>
    </row>
    <row r="2" spans="1:7" ht="15" x14ac:dyDescent="0.15">
      <c r="A2" s="28">
        <v>1</v>
      </c>
      <c r="B2" s="26">
        <v>1</v>
      </c>
      <c r="C2" s="26" t="s">
        <v>150</v>
      </c>
      <c r="D2" s="72"/>
      <c r="E2" s="72"/>
      <c r="F2" s="25"/>
      <c r="G2" s="25"/>
    </row>
    <row r="3" spans="1:7" ht="15" x14ac:dyDescent="0.15">
      <c r="A3" s="28">
        <v>2</v>
      </c>
      <c r="B3" s="26">
        <v>2</v>
      </c>
      <c r="C3" s="26" t="s">
        <v>151</v>
      </c>
      <c r="D3" s="72"/>
      <c r="E3" s="72"/>
      <c r="F3" s="25"/>
      <c r="G3" s="25"/>
    </row>
    <row r="4" spans="1:7" ht="15" x14ac:dyDescent="0.15">
      <c r="A4" s="28">
        <v>3</v>
      </c>
      <c r="B4" s="26">
        <v>3</v>
      </c>
      <c r="C4" s="26" t="s">
        <v>152</v>
      </c>
      <c r="D4" s="72"/>
      <c r="E4" s="72"/>
      <c r="F4" s="25"/>
      <c r="G4" s="25"/>
    </row>
    <row r="5" spans="1:7" ht="15" x14ac:dyDescent="0.15">
      <c r="A5" s="28">
        <v>4</v>
      </c>
      <c r="B5" s="26">
        <v>4</v>
      </c>
      <c r="C5" s="26" t="s">
        <v>153</v>
      </c>
      <c r="D5" s="72"/>
      <c r="E5" s="72"/>
      <c r="F5" s="25"/>
      <c r="G5" s="25"/>
    </row>
    <row r="6" spans="1:7" ht="15" x14ac:dyDescent="0.15">
      <c r="A6" s="28">
        <v>5</v>
      </c>
      <c r="B6" s="26">
        <v>5</v>
      </c>
      <c r="C6" s="26" t="s">
        <v>154</v>
      </c>
      <c r="D6" s="72"/>
      <c r="E6" s="72"/>
      <c r="F6" s="25"/>
      <c r="G6" s="25"/>
    </row>
    <row r="7" spans="1:7" ht="15" x14ac:dyDescent="0.15">
      <c r="A7" s="28">
        <v>6</v>
      </c>
      <c r="B7" s="26">
        <v>6</v>
      </c>
      <c r="C7" s="26" t="s">
        <v>155</v>
      </c>
      <c r="D7" s="72"/>
      <c r="E7" s="72"/>
      <c r="F7" s="25"/>
      <c r="G7" s="25"/>
    </row>
    <row r="8" spans="1:7" ht="15" x14ac:dyDescent="0.15">
      <c r="A8" s="28">
        <v>7</v>
      </c>
      <c r="B8" s="26">
        <v>7</v>
      </c>
      <c r="C8" s="26" t="s">
        <v>156</v>
      </c>
      <c r="D8" s="72"/>
      <c r="E8" s="72"/>
      <c r="F8" s="25"/>
      <c r="G8" s="25"/>
    </row>
    <row r="9" spans="1:7" ht="15" x14ac:dyDescent="0.15">
      <c r="A9" s="28">
        <v>8</v>
      </c>
      <c r="B9" s="26">
        <v>8</v>
      </c>
      <c r="C9" s="26" t="s">
        <v>157</v>
      </c>
      <c r="D9" s="72"/>
      <c r="E9" s="72"/>
      <c r="F9" s="25"/>
      <c r="G9" s="25"/>
    </row>
    <row r="10" spans="1:7" ht="15" x14ac:dyDescent="0.15">
      <c r="A10" s="28">
        <v>9</v>
      </c>
      <c r="B10" s="26">
        <v>9</v>
      </c>
      <c r="C10" s="26" t="s">
        <v>158</v>
      </c>
      <c r="D10" s="72"/>
      <c r="E10" s="72"/>
      <c r="F10" s="25"/>
      <c r="G10" s="25"/>
    </row>
    <row r="18" spans="1:2" ht="15" x14ac:dyDescent="0.15">
      <c r="A18" s="78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2018-05-01T07:40:30Z</dcterms:modified>
</cp:coreProperties>
</file>