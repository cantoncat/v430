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Documents\粤S41\v430\"/>
    </mc:Choice>
  </mc:AlternateContent>
  <bookViews>
    <workbookView xWindow="0" yWindow="0" windowWidth="11130" windowHeight="8910" tabRatio="623"/>
  </bookViews>
  <sheets>
    <sheet name="Homepage" sheetId="1" r:id="rId1"/>
    <sheet name="AutoPilot" sheetId="29" r:id="rId2"/>
    <sheet name="L9_0" sheetId="85" r:id="rId3"/>
    <sheet name="L9_RM" sheetId="73" r:id="rId4"/>
    <sheet name="L9_VSL" sheetId="78" r:id="rId5"/>
    <sheet name="L9_RM_VSL" sheetId="79" r:id="rId6"/>
    <sheet name="L9_RM_VSL_RR3" sheetId="80" r:id="rId7"/>
    <sheet name="L9_RM_VSL_RR5" sheetId="81" r:id="rId8"/>
    <sheet name="L9_RM_VSL_RR7" sheetId="82" r:id="rId9"/>
    <sheet name="Parameters" sheetId="4" r:id="rId10"/>
    <sheet name="ATM_Conf" sheetId="12" r:id="rId11"/>
    <sheet name="ATMDispatcherConf" sheetId="23" r:id="rId12"/>
    <sheet name="ATMLogConf" sheetId="27" r:id="rId13"/>
    <sheet name="Links" sheetId="25" r:id="rId14"/>
    <sheet name="Nodes" sheetId="19" r:id="rId15"/>
    <sheet name="On-Ramps" sheetId="20" r:id="rId16"/>
    <sheet name="Off-Ramp" sheetId="22" r:id="rId17"/>
    <sheet name="OD" sheetId="26" r:id="rId18"/>
    <sheet name="PRD_Conf" sheetId="15" r:id="rId19"/>
    <sheet name="Route_Parts_Conf" sheetId="24" r:id="rId20"/>
    <sheet name="Aggregated_Data" sheetId="2" r:id="rId21"/>
    <sheet name="IC_Miles" sheetId="3" r:id="rId22"/>
    <sheet name="Input_Conf" sheetId="5" r:id="rId23"/>
    <sheet name="Route_Decisions_Conf" sheetId="6" r:id="rId24"/>
    <sheet name="I_L9" sheetId="53" r:id="rId25"/>
    <sheet name="Comp_Conf" sheetId="7" r:id="rId26"/>
    <sheet name="Incidents_Conf" sheetId="9" r:id="rId27"/>
    <sheet name="DC_Conf" sheetId="10" r:id="rId28"/>
    <sheet name="FCD_Conf" sheetId="11" r:id="rId29"/>
    <sheet name="VSL_Conf" sheetId="13" r:id="rId30"/>
    <sheet name="RM_Conf" sheetId="14" r:id="rId31"/>
  </sheets>
  <functionGroups builtInGroupCount="18"/>
  <definedNames>
    <definedName name="A">ATM_Conf!$C$18</definedName>
    <definedName name="alpha">ATM_Conf!$C$17</definedName>
    <definedName name="b0">Links!$DR$3:$EK$3</definedName>
    <definedName name="beta1">OD!$B$18:$N$18</definedName>
    <definedName name="beta2">OD!$B$20:$N$20</definedName>
    <definedName name="bmin">ATM_Conf!$F$9</definedName>
    <definedName name="bmin_new">Links!$B$187:$U$187</definedName>
    <definedName name="cmdline">AutoPilot!$F$1</definedName>
    <definedName name="continue">AutoPilot!$L$1</definedName>
    <definedName name="countdown">AutoPilot!$E$1</definedName>
    <definedName name="d">OD!$B$19:$N$19</definedName>
    <definedName name="E">ATM_Conf!$C$19</definedName>
    <definedName name="flow1">Links!$B$3</definedName>
    <definedName name="flow10">Links!$K$3</definedName>
    <definedName name="flow11">Links!$L$3</definedName>
    <definedName name="flow12">Links!$M$3</definedName>
    <definedName name="flow13">Links!$N$3</definedName>
    <definedName name="flow14">Links!$O$3</definedName>
    <definedName name="flow15">Links!$P$3</definedName>
    <definedName name="flow16">Links!$Q$3</definedName>
    <definedName name="flow17">Links!$R$3</definedName>
    <definedName name="flow18">Links!$S$3</definedName>
    <definedName name="flow19">Links!$T$3</definedName>
    <definedName name="flow2">Links!$C$3</definedName>
    <definedName name="flow20">Links!$U$3</definedName>
    <definedName name="flow3">Links!$D$3</definedName>
    <definedName name="flow4">Links!$E$3</definedName>
    <definedName name="flow5">Links!$F$3</definedName>
    <definedName name="flow6">Links!$G$3</definedName>
    <definedName name="flow7">Links!$H$3</definedName>
    <definedName name="flow8">Links!$I$3</definedName>
    <definedName name="flow9">Links!$J$3</definedName>
    <definedName name="gamma">ATM_Conf!$C$11</definedName>
    <definedName name="gamma_indicator">PRD_Conf!$T$34</definedName>
    <definedName name="kappa">ATM_Conf!$C$10</definedName>
    <definedName name="lambdal">Links!$B$191:$U$191</definedName>
    <definedName name="lambdaoff">'Off-Ramp'!$B$203:$O$203</definedName>
    <definedName name="link_conf">ATM_Conf!$C$21</definedName>
    <definedName name="Ll">Links!$V$194:$AO$194</definedName>
    <definedName name="Loff">'Off-Ramp'!$B$202:$O$202</definedName>
    <definedName name="Nc">ATM_Conf!$F$7</definedName>
    <definedName name="nexttask">AutoPilot!$L$2</definedName>
    <definedName name="nodes_conf">ATM_Conf!$C$22</definedName>
    <definedName name="Np">ATM_Conf!$F$6</definedName>
    <definedName name="off_ramps_conf">ATM_Conf!$C$24</definedName>
    <definedName name="on_ramps_conf">ATM_Conf!$C$23</definedName>
    <definedName name="phib">ATM_Conf!$C$13</definedName>
    <definedName name="phir">ATM_Conf!$C$12</definedName>
    <definedName name="phiw">ATM_Conf!$C$14</definedName>
    <definedName name="q_in1">'On-Ramps'!$C$205</definedName>
    <definedName name="q_in2">'On-Ramps'!$D$205</definedName>
    <definedName name="q_in3">'On-Ramps'!$E$205</definedName>
    <definedName name="q_in4">'On-Ramps'!$F$205</definedName>
    <definedName name="q_in5">'On-Ramps'!$G$205</definedName>
    <definedName name="q_in6">'On-Ramps'!$H$205</definedName>
    <definedName name="q_in7">'On-Ramps'!$I$205</definedName>
    <definedName name="q_in8">'On-Ramps'!$J$205</definedName>
    <definedName name="q_in9">'On-Ramps'!$K$205</definedName>
    <definedName name="Qc">'On-Ramps'!$K$194:$S$194</definedName>
    <definedName name="qin">'On-Ramps'!$C$205:$K$205</definedName>
    <definedName name="ql">Links!$B$3:$U$3</definedName>
    <definedName name="qoff">'Off-Ramp'!$B$206:$O$206</definedName>
    <definedName name="queue1">'On-Ramps'!$K$3</definedName>
    <definedName name="queue2">'On-Ramps'!$L$3</definedName>
    <definedName name="queue3">'On-Ramps'!$M$3</definedName>
    <definedName name="queue4">'On-Ramps'!$N$3</definedName>
    <definedName name="queue5">'On-Ramps'!$O$3</definedName>
    <definedName name="queue6">'On-Ramps'!$P$3</definedName>
    <definedName name="queue7">'On-Ramps'!$Q$3</definedName>
    <definedName name="queue8">'On-Ramps'!$R$3</definedName>
    <definedName name="queue9">'On-Ramps'!$S$3</definedName>
    <definedName name="r0">'On-Ramps'!$B$3:$J$3</definedName>
    <definedName name="rhocrit">ATM_Conf!$C$7</definedName>
    <definedName name="rhol">Links!$V$3:$AO$3</definedName>
    <definedName name="rhol1">Links!$V$3</definedName>
    <definedName name="rhol10">Links!$AE$3</definedName>
    <definedName name="rhol11">Links!$AF$3</definedName>
    <definedName name="rhol12">Links!$AG$3</definedName>
    <definedName name="rhol13">Links!$AH$3</definedName>
    <definedName name="rhol14">Links!$AI$3</definedName>
    <definedName name="rhol15">Links!$AJ$3</definedName>
    <definedName name="rhol16">Links!$AK$3</definedName>
    <definedName name="rhol17">Links!$AL$3</definedName>
    <definedName name="rhol18">Links!$AM$3</definedName>
    <definedName name="rhol19">Links!$AN$3</definedName>
    <definedName name="rhol2">Links!$W$3</definedName>
    <definedName name="rhol20">Links!$AO$3</definedName>
    <definedName name="rhol3">Links!$X$3</definedName>
    <definedName name="rhol4">Links!$Y$3</definedName>
    <definedName name="rhol5">Links!$Z$3</definedName>
    <definedName name="rhol6">Links!$AA$3</definedName>
    <definedName name="rhol7">Links!$AB$3</definedName>
    <definedName name="rhol8">Links!$AC$3</definedName>
    <definedName name="rhol9">Links!$AD$3</definedName>
    <definedName name="rhomax">ATM_Conf!$C$6</definedName>
    <definedName name="rhooff">'Off-Ramp'!$B$204:$O$204</definedName>
    <definedName name="rm_rate1">'On-Ramps'!$B$3</definedName>
    <definedName name="rm_rate2">'On-Ramps'!$C$3</definedName>
    <definedName name="rm_rate3">'On-Ramps'!$D$3</definedName>
    <definedName name="rm_rate4">'On-Ramps'!$E$3</definedName>
    <definedName name="rm_rate5">'On-Ramps'!$F$3</definedName>
    <definedName name="rm_rate6">'On-Ramps'!$G$3</definedName>
    <definedName name="rm_rate7">'On-Ramps'!$H$3</definedName>
    <definedName name="rm_rate8">'On-Ramps'!$I$3</definedName>
    <definedName name="rm_rate9">'On-Ramps'!$J$3</definedName>
    <definedName name="rmin">ATM_Conf!$F$8</definedName>
    <definedName name="rmin_new">Links!$B$185:$J$185</definedName>
    <definedName name="sample_interval">Parameters!$C$37</definedName>
    <definedName name="solver_eng" localSheetId="10" hidden="1">1</definedName>
    <definedName name="solver_neg" localSheetId="10" hidden="1">1</definedName>
    <definedName name="solver_num" localSheetId="10" hidden="1">0</definedName>
    <definedName name="solver_opt" localSheetId="10" hidden="1">ATM_Conf!$I$3</definedName>
    <definedName name="solver_typ" localSheetId="10" hidden="1">2</definedName>
    <definedName name="solver_val" localSheetId="10" hidden="1">0</definedName>
    <definedName name="solver_ver" localSheetId="10" hidden="1">3</definedName>
    <definedName name="T">ATM_Conf!$C$5</definedName>
    <definedName name="tau">ATM_Conf!$C$8</definedName>
    <definedName name="theta">ATM_Conf!$C$9</definedName>
    <definedName name="velocity1">Links!$AP$3</definedName>
    <definedName name="velocity10">Links!$AY$3</definedName>
    <definedName name="velocity11">Links!$AZ$3</definedName>
    <definedName name="velocity12">Links!$BA$3</definedName>
    <definedName name="velocity13">Links!$BB$3</definedName>
    <definedName name="velocity14">Links!$BC$3</definedName>
    <definedName name="velocity15">Links!$BD$3</definedName>
    <definedName name="velocity16">Links!$BE$3</definedName>
    <definedName name="velocity17">Links!$BF$3</definedName>
    <definedName name="velocity18">Links!$BG$3</definedName>
    <definedName name="velocity19">Links!$BH$3</definedName>
    <definedName name="velocity2">Links!$AQ$3</definedName>
    <definedName name="velocity20">Links!$BI$3</definedName>
    <definedName name="velocity3">Links!$AR$3</definedName>
    <definedName name="velocity4">Links!$AS$3</definedName>
    <definedName name="velocity5">Links!$AT$3</definedName>
    <definedName name="velocity6">Links!$AU$3</definedName>
    <definedName name="velocity7">Links!$AV$3</definedName>
    <definedName name="velocity8">Links!$AW$3</definedName>
    <definedName name="velocity9">Links!$AX$3</definedName>
    <definedName name="vf">ATM_Conf!$F$5</definedName>
    <definedName name="vl">Links!$AP$3:$BI$3</definedName>
    <definedName name="vlink1">Links!$AP$3</definedName>
    <definedName name="voff">'Off-Ramp'!$B$205:$O$205</definedName>
    <definedName name="von">'On-Ramps'!$CE$3:$CM$3</definedName>
    <definedName name="vsl_rate1">Links!$DR$3</definedName>
    <definedName name="vsl_rate10">Links!$EA$3</definedName>
    <definedName name="vsl_rate11">Links!$EB$3</definedName>
    <definedName name="vsl_rate12">Links!$EC$3</definedName>
    <definedName name="vsl_rate13">Links!$ED$3</definedName>
    <definedName name="vsl_rate14">Links!$EE$3</definedName>
    <definedName name="vsl_rate15">Links!$EF$3</definedName>
    <definedName name="vsl_rate16">Links!$EG$3</definedName>
    <definedName name="vsl_rate17">Links!$EH$3</definedName>
    <definedName name="vsl_rate18">Links!$EI$3</definedName>
    <definedName name="vsl_rate19">Links!$EJ$3</definedName>
    <definedName name="vsl_rate2">Links!$DS$3</definedName>
    <definedName name="vsl_rate20">Links!$EK$3</definedName>
    <definedName name="vsl_rate3">Links!$DT$3</definedName>
    <definedName name="vsl_rate4">Links!$DU$3</definedName>
    <definedName name="vsl_rate5">Links!$DV$3</definedName>
    <definedName name="vsl_rate6">Links!$DW$3</definedName>
    <definedName name="vsl_rate7">Links!$DX$3</definedName>
    <definedName name="vsl_rate8">Links!$DY$3</definedName>
    <definedName name="vsl_rate9">Links!$DZ$3</definedName>
    <definedName name="w">'On-Ramps'!$C$198:$O$198</definedName>
    <definedName name="wmax">'On-Ramps'!$C$199:$O$199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5" i="20" l="1"/>
  <c r="E205" i="20"/>
  <c r="F205" i="20"/>
  <c r="G205" i="20"/>
  <c r="H205" i="20"/>
  <c r="I205" i="20"/>
  <c r="J205" i="20"/>
  <c r="K205" i="20"/>
  <c r="C205" i="20"/>
  <c r="J187" i="25" l="1"/>
  <c r="I187" i="25"/>
  <c r="H187" i="25"/>
  <c r="G187" i="25"/>
  <c r="E185" i="25"/>
  <c r="D185" i="25"/>
  <c r="AA196" i="25" l="1"/>
  <c r="B185" i="25" l="1"/>
  <c r="B187" i="25"/>
  <c r="C187" i="25"/>
  <c r="W3" i="25" l="1"/>
  <c r="X3" i="25"/>
  <c r="Y3" i="25"/>
  <c r="Z3" i="25"/>
  <c r="AA3" i="25"/>
  <c r="AD3" i="25"/>
  <c r="AE3" i="25"/>
  <c r="AF3" i="25"/>
  <c r="AG3" i="25"/>
  <c r="AH3" i="25"/>
  <c r="AK3" i="25"/>
  <c r="AL3" i="25"/>
  <c r="AM3" i="25"/>
  <c r="AN3" i="25"/>
  <c r="V3" i="25"/>
  <c r="C3" i="25" l="1"/>
  <c r="D3" i="25"/>
  <c r="E3" i="25"/>
  <c r="F3" i="25"/>
  <c r="G3" i="25"/>
  <c r="H3" i="25"/>
  <c r="I3" i="25"/>
  <c r="J3" i="25"/>
  <c r="K3" i="25"/>
  <c r="L3" i="25"/>
  <c r="M3" i="25"/>
  <c r="N3" i="25"/>
  <c r="O3" i="25"/>
  <c r="P3" i="25"/>
  <c r="Q3" i="25"/>
  <c r="R3" i="25"/>
  <c r="S3" i="25"/>
  <c r="T3" i="25"/>
  <c r="U3" i="25"/>
  <c r="B3" i="25"/>
  <c r="C188" i="25" l="1"/>
  <c r="D188" i="25"/>
  <c r="E188" i="25"/>
  <c r="F188" i="25"/>
  <c r="G188" i="25"/>
  <c r="H188" i="25"/>
  <c r="I188" i="25"/>
  <c r="J188" i="25"/>
  <c r="K188" i="25"/>
  <c r="L188" i="25"/>
  <c r="M188" i="25"/>
  <c r="N188" i="25"/>
  <c r="O188" i="25"/>
  <c r="P188" i="25"/>
  <c r="Q188" i="25"/>
  <c r="R188" i="25"/>
  <c r="S188" i="25"/>
  <c r="T188" i="25"/>
  <c r="U188" i="25"/>
  <c r="B188" i="25"/>
  <c r="V188" i="25" l="1"/>
  <c r="C19" i="26" l="1"/>
  <c r="D21" i="26"/>
  <c r="AO194" i="25" l="1"/>
  <c r="AN194" i="25"/>
  <c r="AI194" i="25"/>
  <c r="AJ194" i="25"/>
  <c r="AH194" i="25"/>
  <c r="AB194" i="25"/>
  <c r="AC194" i="25"/>
  <c r="AA194" i="25"/>
  <c r="W195" i="25"/>
  <c r="X195" i="25"/>
  <c r="Y195" i="25"/>
  <c r="Z195" i="25"/>
  <c r="AA195" i="25"/>
  <c r="AB195" i="25"/>
  <c r="AC195" i="25"/>
  <c r="AD195" i="25"/>
  <c r="AE195" i="25"/>
  <c r="AF195" i="25"/>
  <c r="AG195" i="25"/>
  <c r="AH195" i="25"/>
  <c r="AI195" i="25"/>
  <c r="AJ195" i="25"/>
  <c r="AK195" i="25"/>
  <c r="AL195" i="25"/>
  <c r="AM195" i="25"/>
  <c r="AN195" i="25"/>
  <c r="AO195" i="25"/>
  <c r="V195" i="25"/>
  <c r="AF3" i="20" l="1"/>
  <c r="AG3" i="20"/>
  <c r="AH3" i="20"/>
  <c r="AI3" i="20"/>
  <c r="AJ3" i="20"/>
  <c r="AE3" i="20"/>
  <c r="AD3" i="20"/>
  <c r="AC3" i="20"/>
  <c r="T34" i="15" l="1"/>
  <c r="AK3" i="20"/>
  <c r="X3" i="22" l="1"/>
  <c r="Y3" i="22"/>
  <c r="Z3" i="22"/>
  <c r="AA3" i="22"/>
  <c r="W3" i="22"/>
  <c r="V3" i="22"/>
  <c r="U3" i="22"/>
  <c r="T3" i="22"/>
  <c r="S3" i="22"/>
  <c r="R3" i="22"/>
  <c r="O3" i="22"/>
  <c r="N3" i="22"/>
  <c r="M3" i="22"/>
  <c r="L3" i="22"/>
  <c r="P203" i="25" l="1"/>
  <c r="AJ3" i="25" s="1"/>
  <c r="I203" i="25"/>
  <c r="AC3" i="25" s="1"/>
  <c r="N198" i="20" l="1"/>
  <c r="L198" i="20"/>
  <c r="K198" i="20"/>
  <c r="J198" i="20"/>
  <c r="I198" i="20"/>
  <c r="H198" i="20"/>
  <c r="G198" i="20"/>
  <c r="F198" i="20"/>
  <c r="U203" i="25" l="1"/>
  <c r="AO3" i="25" s="1"/>
  <c r="O203" i="25"/>
  <c r="AI3" i="25" s="1"/>
  <c r="H203" i="25"/>
  <c r="AB3" i="25" s="1"/>
  <c r="M19" i="26" l="1"/>
  <c r="K19" i="26"/>
  <c r="J19" i="26"/>
  <c r="I19" i="26"/>
  <c r="H19" i="26"/>
  <c r="G19" i="26"/>
  <c r="F19" i="26"/>
  <c r="E19" i="26"/>
  <c r="B189" i="22"/>
  <c r="C189" i="22"/>
  <c r="D189" i="22"/>
  <c r="E189" i="22"/>
  <c r="F189" i="22"/>
  <c r="G189" i="22"/>
  <c r="H189" i="22"/>
  <c r="I189" i="22"/>
  <c r="J189" i="22"/>
  <c r="K189" i="22"/>
  <c r="L189" i="22"/>
  <c r="M189" i="22"/>
  <c r="N189" i="22"/>
  <c r="O189" i="22"/>
  <c r="P189" i="22"/>
  <c r="A189" i="22"/>
  <c r="W194" i="25"/>
  <c r="X194" i="25"/>
  <c r="Y194" i="25"/>
  <c r="Z194" i="25"/>
  <c r="AD194" i="25"/>
  <c r="AE194" i="25"/>
  <c r="AF194" i="25"/>
  <c r="AG194" i="25"/>
  <c r="AK194" i="25"/>
  <c r="AL194" i="25"/>
  <c r="AM194" i="25"/>
  <c r="V194" i="25"/>
  <c r="C59" i="24"/>
  <c r="C58" i="24"/>
  <c r="C56" i="24"/>
  <c r="C54" i="24"/>
  <c r="C52" i="24"/>
  <c r="C49" i="24"/>
  <c r="C48" i="24"/>
  <c r="C46" i="24"/>
  <c r="C41" i="24"/>
  <c r="C40" i="24"/>
  <c r="C44" i="24"/>
  <c r="C43" i="24"/>
  <c r="C38" i="24"/>
  <c r="C37" i="24"/>
  <c r="C34" i="24"/>
  <c r="C33" i="24"/>
  <c r="C32" i="24"/>
  <c r="L194" i="20" l="1"/>
  <c r="M194" i="20"/>
  <c r="N194" i="20"/>
  <c r="O194" i="20"/>
  <c r="P194" i="20"/>
  <c r="Q194" i="20"/>
  <c r="R194" i="20"/>
  <c r="S194" i="20"/>
  <c r="K194" i="20"/>
  <c r="U190" i="20" l="1"/>
  <c r="F199" i="20" s="1"/>
  <c r="V190" i="20"/>
  <c r="G199" i="20" s="1"/>
  <c r="W190" i="20"/>
  <c r="H199" i="20" s="1"/>
  <c r="X190" i="20"/>
  <c r="I199" i="20" s="1"/>
  <c r="Y190" i="20"/>
  <c r="J199" i="20" s="1"/>
  <c r="Z190" i="20"/>
  <c r="K199" i="20" s="1"/>
  <c r="AA190" i="20"/>
  <c r="L199" i="20" s="1"/>
  <c r="AB190" i="20"/>
  <c r="N199" i="20" s="1"/>
  <c r="T190" i="20"/>
  <c r="D199" i="20" s="1"/>
  <c r="G203" i="22" l="1"/>
  <c r="H203" i="22"/>
  <c r="I203" i="22"/>
  <c r="J203" i="22"/>
  <c r="K203" i="22"/>
  <c r="L203" i="22"/>
  <c r="M203" i="22"/>
  <c r="N203" i="22"/>
  <c r="O203" i="22"/>
  <c r="F203" i="22"/>
  <c r="C203" i="22"/>
  <c r="D203" i="22"/>
  <c r="E203" i="22"/>
  <c r="B203" i="22"/>
  <c r="O202" i="22"/>
  <c r="G202" i="22"/>
  <c r="H202" i="22"/>
  <c r="I202" i="22"/>
  <c r="J202" i="22"/>
  <c r="K202" i="22"/>
  <c r="L202" i="22"/>
  <c r="M202" i="22"/>
  <c r="N202" i="22"/>
  <c r="E202" i="22"/>
  <c r="F202" i="22"/>
  <c r="C202" i="22"/>
  <c r="D202" i="22"/>
  <c r="B202" i="22"/>
  <c r="B20" i="26" l="1"/>
  <c r="I25" i="26" l="1"/>
  <c r="D22" i="26" l="1"/>
  <c r="N25" i="26"/>
  <c r="N20" i="26" s="1"/>
  <c r="L24" i="26"/>
  <c r="L25" i="26"/>
  <c r="K23" i="26"/>
  <c r="K24" i="26"/>
  <c r="K25" i="26"/>
  <c r="J22" i="26"/>
  <c r="J23" i="26"/>
  <c r="J24" i="26"/>
  <c r="J25" i="26"/>
  <c r="I21" i="26"/>
  <c r="I22" i="26"/>
  <c r="I23" i="26"/>
  <c r="I24" i="26"/>
  <c r="H26" i="26"/>
  <c r="H20" i="26" s="1"/>
  <c r="G23" i="26"/>
  <c r="G24" i="26"/>
  <c r="G25" i="26"/>
  <c r="G26" i="26"/>
  <c r="F22" i="26"/>
  <c r="F23" i="26"/>
  <c r="F24" i="26"/>
  <c r="F25" i="26"/>
  <c r="F26" i="26"/>
  <c r="D23" i="26"/>
  <c r="D24" i="26"/>
  <c r="D25" i="26"/>
  <c r="L20" i="26" l="1"/>
  <c r="F20" i="26"/>
  <c r="G20" i="26"/>
  <c r="K20" i="26"/>
  <c r="I20" i="26"/>
  <c r="J20" i="26"/>
  <c r="B18" i="26"/>
  <c r="K18" i="26"/>
  <c r="J18" i="26"/>
  <c r="I18" i="26"/>
  <c r="H18" i="26"/>
  <c r="G18" i="26"/>
  <c r="F18" i="26"/>
  <c r="D18" i="26"/>
  <c r="N18" i="26"/>
  <c r="L18" i="26"/>
  <c r="D26" i="26" l="1"/>
  <c r="D20" i="26" s="1"/>
  <c r="EL183" i="25"/>
  <c r="L204" i="22" l="1"/>
  <c r="L206" i="22" s="1"/>
  <c r="O204" i="22" l="1"/>
  <c r="O206" i="22" s="1"/>
  <c r="N204" i="22"/>
  <c r="N206" i="22" s="1"/>
  <c r="K204" i="22"/>
  <c r="K206" i="22" s="1"/>
  <c r="C204" i="22"/>
  <c r="C206" i="22" s="1"/>
  <c r="M204" i="22"/>
  <c r="M206" i="22" s="1"/>
  <c r="J204" i="22"/>
  <c r="J206" i="22" s="1"/>
  <c r="I204" i="22"/>
  <c r="I206" i="22" s="1"/>
  <c r="H204" i="22"/>
  <c r="H206" i="22" s="1"/>
  <c r="G204" i="22"/>
  <c r="G206" i="22" s="1"/>
  <c r="F204" i="22"/>
  <c r="F206" i="22" s="1"/>
  <c r="E204" i="22"/>
  <c r="E206" i="22" s="1"/>
  <c r="D204" i="22"/>
  <c r="D206" i="22" s="1"/>
  <c r="B204" i="22"/>
  <c r="B206" i="22" s="1"/>
  <c r="D198" i="20"/>
</calcChain>
</file>

<file path=xl/sharedStrings.xml><?xml version="1.0" encoding="utf-8"?>
<sst xmlns="http://schemas.openxmlformats.org/spreadsheetml/2006/main" count="1158" uniqueCount="528">
  <si>
    <t>entry</t>
    <phoneticPr fontId="1" type="noConversion"/>
  </si>
  <si>
    <t>$</t>
    <phoneticPr fontId="1" type="noConversion"/>
  </si>
  <si>
    <t>$</t>
    <phoneticPr fontId="1" type="noConversion"/>
  </si>
  <si>
    <t>x</t>
    <phoneticPr fontId="1" type="noConversion"/>
  </si>
  <si>
    <t>15机场北</t>
    <phoneticPr fontId="1" type="noConversion"/>
  </si>
  <si>
    <t>13山前</t>
    <phoneticPr fontId="1" type="noConversion"/>
  </si>
  <si>
    <t>?</t>
    <phoneticPr fontId="1" type="noConversion"/>
  </si>
  <si>
    <t>12花山</t>
    <phoneticPr fontId="1" type="noConversion"/>
  </si>
  <si>
    <t>11东湖</t>
    <phoneticPr fontId="1" type="noConversion"/>
  </si>
  <si>
    <t>9太成</t>
    <phoneticPr fontId="1" type="noConversion"/>
  </si>
  <si>
    <t>8人和</t>
    <phoneticPr fontId="1" type="noConversion"/>
  </si>
  <si>
    <t>10机场</t>
    <phoneticPr fontId="1" type="noConversion"/>
  </si>
  <si>
    <t>7蚌湖</t>
    <phoneticPr fontId="1" type="noConversion"/>
  </si>
  <si>
    <t>6平沙</t>
    <phoneticPr fontId="1" type="noConversion"/>
  </si>
  <si>
    <t>4黄石北</t>
    <phoneticPr fontId="1" type="noConversion"/>
  </si>
  <si>
    <t>3黄石南</t>
    <phoneticPr fontId="1" type="noConversion"/>
  </si>
  <si>
    <t>2新市</t>
    <phoneticPr fontId="1" type="noConversion"/>
  </si>
  <si>
    <t>18白云新城</t>
    <phoneticPr fontId="1" type="noConversion"/>
  </si>
  <si>
    <t>1三元里</t>
    <phoneticPr fontId="1" type="noConversion"/>
  </si>
  <si>
    <t>exit</t>
    <phoneticPr fontId="1" type="noConversion"/>
  </si>
  <si>
    <t>15机场北</t>
    <phoneticPr fontId="1" type="noConversion"/>
  </si>
  <si>
    <t>Item</t>
    <phoneticPr fontId="1" type="noConversion"/>
  </si>
  <si>
    <t>Parameter</t>
    <phoneticPr fontId="1" type="noConversion"/>
  </si>
  <si>
    <t>Remarks</t>
    <phoneticPr fontId="1" type="noConversion"/>
  </si>
  <si>
    <t>VISSIM inp</t>
    <phoneticPr fontId="1" type="noConversion"/>
  </si>
  <si>
    <t>Date</t>
    <phoneticPr fontId="1" type="noConversion"/>
  </si>
  <si>
    <t>x</t>
    <phoneticPr fontId="1" type="noConversion"/>
  </si>
  <si>
    <t>$</t>
    <phoneticPr fontId="1" type="noConversion"/>
  </si>
  <si>
    <t>$</t>
    <phoneticPr fontId="1" type="noConversion"/>
  </si>
  <si>
    <t>$</t>
    <phoneticPr fontId="1" type="noConversion"/>
  </si>
  <si>
    <t>Aggregated Data</t>
    <phoneticPr fontId="1" type="noConversion"/>
  </si>
  <si>
    <t>Real Sec. for a single step in VISSIM</t>
  </si>
  <si>
    <t>Steps / Simu Sec.</t>
  </si>
  <si>
    <t>MultiSimulation</t>
    <phoneticPr fontId="1" type="noConversion"/>
  </si>
  <si>
    <t>Times</t>
    <phoneticPr fontId="1" type="noConversion"/>
  </si>
  <si>
    <t>hh:mm:00 (mm can only be 00, 15 30 or 45)</t>
    <phoneticPr fontId="1" type="noConversion"/>
  </si>
  <si>
    <t>CSV File Full Path</t>
    <phoneticPr fontId="1" type="noConversion"/>
  </si>
  <si>
    <t>Full Path</t>
    <phoneticPr fontId="1" type="noConversion"/>
  </si>
  <si>
    <t>Worksheet</t>
    <phoneticPr fontId="1" type="noConversion"/>
  </si>
  <si>
    <t>Category</t>
    <phoneticPr fontId="1" type="noConversion"/>
  </si>
  <si>
    <t>Files</t>
    <phoneticPr fontId="1" type="noConversion"/>
  </si>
  <si>
    <t>Simulation</t>
    <phoneticPr fontId="1" type="noConversion"/>
  </si>
  <si>
    <t>x</t>
    <phoneticPr fontId="1" type="noConversion"/>
  </si>
  <si>
    <t>x</t>
    <phoneticPr fontId="1" type="noConversion"/>
  </si>
  <si>
    <t>x</t>
    <phoneticPr fontId="1" type="noConversion"/>
  </si>
  <si>
    <t>en_sta_id</t>
    <phoneticPr fontId="1" type="noConversion"/>
  </si>
  <si>
    <t>ex_sta_id</t>
    <phoneticPr fontId="1" type="noConversion"/>
  </si>
  <si>
    <t>RD_ID</t>
    <phoneticPr fontId="1" type="noConversion"/>
  </si>
  <si>
    <t>Route No./ex_sta_id</t>
    <phoneticPr fontId="1" type="noConversion"/>
  </si>
  <si>
    <t>Input Configurtion</t>
    <phoneticPr fontId="1" type="noConversion"/>
  </si>
  <si>
    <t>Route Decisions Configuration</t>
    <phoneticPr fontId="1" type="noConversion"/>
  </si>
  <si>
    <t>Validation Criteria</t>
    <phoneticPr fontId="1" type="noConversion"/>
  </si>
  <si>
    <t>Group_ID</t>
    <phoneticPr fontId="1" type="noConversion"/>
  </si>
  <si>
    <t>Group_ID</t>
    <phoneticPr fontId="1" type="noConversion"/>
  </si>
  <si>
    <t>T_Comp_ID</t>
    <phoneticPr fontId="1" type="noConversion"/>
  </si>
  <si>
    <t>Seed</t>
    <phoneticPr fontId="1" type="noConversion"/>
  </si>
  <si>
    <t>Start</t>
    <phoneticPr fontId="1" type="noConversion"/>
  </si>
  <si>
    <t>Resolution</t>
    <phoneticPr fontId="1" type="noConversion"/>
  </si>
  <si>
    <t>Traffic Composition Conf</t>
    <phoneticPr fontId="1" type="noConversion"/>
  </si>
  <si>
    <t>Worksheet</t>
    <phoneticPr fontId="1" type="noConversion"/>
  </si>
  <si>
    <t>Group_ID</t>
    <phoneticPr fontId="1" type="noConversion"/>
  </si>
  <si>
    <t>Period</t>
    <phoneticPr fontId="1" type="noConversion"/>
  </si>
  <si>
    <t>Interval</t>
    <phoneticPr fontId="1" type="noConversion"/>
  </si>
  <si>
    <t>Configuration</t>
    <phoneticPr fontId="1" type="noConversion"/>
  </si>
  <si>
    <t>Worksheet</t>
    <phoneticPr fontId="1" type="noConversion"/>
  </si>
  <si>
    <t>Incidents</t>
    <phoneticPr fontId="1" type="noConversion"/>
  </si>
  <si>
    <t>Configuration</t>
    <phoneticPr fontId="1" type="noConversion"/>
  </si>
  <si>
    <t>Worksheet</t>
    <phoneticPr fontId="1" type="noConversion"/>
  </si>
  <si>
    <t>(Reserved)</t>
    <phoneticPr fontId="1" type="noConversion"/>
  </si>
  <si>
    <t xml:space="preserve">Link No. </t>
    <phoneticPr fontId="1" type="noConversion"/>
  </si>
  <si>
    <t>LINKCOORD/m</t>
    <phoneticPr fontId="1" type="noConversion"/>
  </si>
  <si>
    <t>Lane</t>
    <phoneticPr fontId="1" type="noConversion"/>
  </si>
  <si>
    <t xml:space="preserve">Start/sec. </t>
    <phoneticPr fontId="1" type="noConversion"/>
  </si>
  <si>
    <t xml:space="preserve">End/sec. </t>
    <phoneticPr fontId="1" type="noConversion"/>
  </si>
  <si>
    <t>Switch</t>
    <phoneticPr fontId="1" type="noConversion"/>
  </si>
  <si>
    <t>ON=1 OFF=0</t>
    <phoneticPr fontId="1" type="noConversion"/>
  </si>
  <si>
    <t>Data Collection</t>
    <phoneticPr fontId="1" type="noConversion"/>
  </si>
  <si>
    <t>(No more)</t>
    <phoneticPr fontId="1" type="noConversion"/>
  </si>
  <si>
    <t>Interval</t>
    <phoneticPr fontId="1" type="noConversion"/>
  </si>
  <si>
    <t>Output CSV</t>
    <phoneticPr fontId="1" type="noConversion"/>
  </si>
  <si>
    <t>Parameter</t>
    <phoneticPr fontId="1" type="noConversion"/>
  </si>
  <si>
    <t>Function</t>
    <phoneticPr fontId="1" type="noConversion"/>
  </si>
  <si>
    <t>SUM</t>
    <phoneticPr fontId="1" type="noConversion"/>
  </si>
  <si>
    <t>Floating Car Data</t>
    <phoneticPr fontId="1" type="noConversion"/>
  </si>
  <si>
    <t>%</t>
    <phoneticPr fontId="1" type="noConversion"/>
  </si>
  <si>
    <t>Sample Rate</t>
    <phoneticPr fontId="1" type="noConversion"/>
  </si>
  <si>
    <t>Worksheet</t>
    <phoneticPr fontId="1" type="noConversion"/>
  </si>
  <si>
    <t>header</t>
    <phoneticPr fontId="1" type="noConversion"/>
  </si>
  <si>
    <t>simu_time</t>
    <phoneticPr fontId="1" type="noConversion"/>
  </si>
  <si>
    <t>veh_id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</si>
  <si>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</si>
  <si>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</si>
  <si>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</si>
  <si>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parameter</t>
    <phoneticPr fontId="1" type="noConversion"/>
  </si>
  <si>
    <t>$</t>
    <phoneticPr fontId="1" type="noConversion"/>
  </si>
  <si>
    <t>@</t>
    <phoneticPr fontId="1" type="noConversion"/>
  </si>
  <si>
    <t>LINK</t>
    <phoneticPr fontId="1" type="noConversion"/>
  </si>
  <si>
    <t>LINKCOORD</t>
    <phoneticPr fontId="1" type="noConversion"/>
  </si>
  <si>
    <t>SPEED</t>
    <phoneticPr fontId="1" type="noConversion"/>
  </si>
  <si>
    <t>DO NOT TOUCH THIS</t>
    <phoneticPr fontId="1" type="noConversion"/>
  </si>
  <si>
    <t>Full Path</t>
    <phoneticPr fontId="1" type="noConversion"/>
  </si>
  <si>
    <t>en_ramps</t>
    <phoneticPr fontId="1" type="noConversion"/>
  </si>
  <si>
    <t>max_coord</t>
    <phoneticPr fontId="1" type="noConversion"/>
  </si>
  <si>
    <t>header</t>
    <phoneticPr fontId="1" type="noConversion"/>
  </si>
  <si>
    <t>timefrom</t>
    <phoneticPr fontId="1" type="noConversion"/>
  </si>
  <si>
    <t>dc_id</t>
    <phoneticPr fontId="1" type="noConversion"/>
  </si>
  <si>
    <t>veh_n</t>
    <phoneticPr fontId="1" type="noConversion"/>
  </si>
  <si>
    <t>NVEHICLES</t>
    <phoneticPr fontId="1" type="noConversion"/>
  </si>
  <si>
    <t>DO NOT TOUCH THIS</t>
    <phoneticPr fontId="1" type="noConversion"/>
  </si>
  <si>
    <t>/</t>
    <phoneticPr fontId="1" type="noConversion"/>
  </si>
  <si>
    <t>/</t>
    <phoneticPr fontId="1" type="noConversion"/>
  </si>
  <si>
    <t>Mark</t>
    <phoneticPr fontId="1" type="noConversion"/>
  </si>
  <si>
    <t>name</t>
    <phoneticPr fontId="1" type="noConversion"/>
  </si>
  <si>
    <t>#</t>
    <phoneticPr fontId="1" type="noConversion"/>
  </si>
  <si>
    <t>/</t>
    <phoneticPr fontId="1" type="noConversion"/>
  </si>
  <si>
    <t>Simu sec. This value must equal to the interval you set in VISSIM</t>
    <phoneticPr fontId="1" type="noConversion"/>
  </si>
  <si>
    <t>ATM</t>
    <phoneticPr fontId="1" type="noConversion"/>
  </si>
  <si>
    <t>Configuration</t>
    <phoneticPr fontId="1" type="noConversion"/>
  </si>
  <si>
    <t>Switch</t>
    <phoneticPr fontId="1" type="noConversion"/>
  </si>
  <si>
    <t>RM Conf</t>
    <phoneticPr fontId="1" type="noConversion"/>
  </si>
  <si>
    <t>VSL Conf</t>
    <phoneticPr fontId="1" type="noConversion"/>
  </si>
  <si>
    <t>Routing Conf</t>
    <phoneticPr fontId="1" type="noConversion"/>
  </si>
  <si>
    <t>VMS_Group</t>
    <phoneticPr fontId="1" type="noConversion"/>
  </si>
  <si>
    <t>dsd_id</t>
    <phoneticPr fontId="1" type="noConversion"/>
  </si>
  <si>
    <t>RM_Group</t>
    <phoneticPr fontId="1" type="noConversion"/>
  </si>
  <si>
    <t>sc_id</t>
    <phoneticPr fontId="1" type="noConversion"/>
  </si>
  <si>
    <t>Remarks</t>
    <phoneticPr fontId="1" type="noConversion"/>
  </si>
  <si>
    <t>2N</t>
    <phoneticPr fontId="1" type="noConversion"/>
  </si>
  <si>
    <t>4N</t>
    <phoneticPr fontId="1" type="noConversion"/>
  </si>
  <si>
    <t>6N</t>
    <phoneticPr fontId="1" type="noConversion"/>
  </si>
  <si>
    <t>7N</t>
    <phoneticPr fontId="1" type="noConversion"/>
  </si>
  <si>
    <t>11N</t>
    <phoneticPr fontId="1" type="noConversion"/>
  </si>
  <si>
    <t>11S</t>
    <phoneticPr fontId="1" type="noConversion"/>
  </si>
  <si>
    <t>7S</t>
    <phoneticPr fontId="1" type="noConversion"/>
  </si>
  <si>
    <t>6S</t>
    <phoneticPr fontId="1" type="noConversion"/>
  </si>
  <si>
    <t>3S</t>
    <phoneticPr fontId="1" type="noConversion"/>
  </si>
  <si>
    <t>RD_ID</t>
    <phoneticPr fontId="1" type="noConversion"/>
  </si>
  <si>
    <t>S267</t>
    <phoneticPr fontId="1" type="noConversion"/>
  </si>
  <si>
    <t>S118</t>
    <phoneticPr fontId="1" type="noConversion"/>
  </si>
  <si>
    <t>No-Detour</t>
    <phoneticPr fontId="1" type="noConversion"/>
  </si>
  <si>
    <t>No_ReEntry</t>
    <phoneticPr fontId="1" type="noConversion"/>
  </si>
  <si>
    <t>ReEntry_sta/Route No.</t>
    <phoneticPr fontId="1" type="noConversion"/>
  </si>
  <si>
    <t>Early_ex_sta</t>
    <phoneticPr fontId="1" type="noConversion"/>
  </si>
  <si>
    <t>Dest_sta</t>
    <phoneticPr fontId="1" type="noConversion"/>
  </si>
  <si>
    <t>q</t>
    <phoneticPr fontId="1" type="noConversion"/>
  </si>
  <si>
    <t>k</t>
    <phoneticPr fontId="1" type="noConversion"/>
  </si>
  <si>
    <t>r</t>
    <phoneticPr fontId="1" type="noConversion"/>
  </si>
  <si>
    <t>w</t>
    <phoneticPr fontId="1" type="noConversion"/>
  </si>
  <si>
    <t>d</t>
    <phoneticPr fontId="1" type="noConversion"/>
  </si>
  <si>
    <t>q1</t>
    <phoneticPr fontId="1" type="noConversion"/>
  </si>
  <si>
    <t>q2</t>
    <phoneticPr fontId="1" type="noConversion"/>
  </si>
  <si>
    <t>Patameters</t>
    <phoneticPr fontId="1" type="noConversion"/>
  </si>
  <si>
    <t>T</t>
    <phoneticPr fontId="1" type="noConversion"/>
  </si>
  <si>
    <t xml:space="preserve">interval / sec. </t>
    <phoneticPr fontId="1" type="noConversion"/>
  </si>
  <si>
    <t>density_max</t>
    <phoneticPr fontId="1" type="noConversion"/>
  </si>
  <si>
    <t>density_crit</t>
    <phoneticPr fontId="1" type="noConversion"/>
  </si>
  <si>
    <t>critical</t>
    <phoneticPr fontId="1" type="noConversion"/>
  </si>
  <si>
    <t>tau</t>
    <phoneticPr fontId="1" type="noConversion"/>
  </si>
  <si>
    <t>theta</t>
    <phoneticPr fontId="1" type="noConversion"/>
  </si>
  <si>
    <t>Driver Compliation</t>
    <phoneticPr fontId="1" type="noConversion"/>
  </si>
  <si>
    <t>kappa</t>
    <phoneticPr fontId="1" type="noConversion"/>
  </si>
  <si>
    <t>gamma</t>
    <phoneticPr fontId="1" type="noConversion"/>
  </si>
  <si>
    <t>rho_crit</t>
    <phoneticPr fontId="1" type="noConversion"/>
  </si>
  <si>
    <t>a</t>
    <phoneticPr fontId="1" type="noConversion"/>
  </si>
  <si>
    <t>k</t>
    <phoneticPr fontId="1" type="noConversion"/>
  </si>
  <si>
    <t>dr^2</t>
    <phoneticPr fontId="1" type="noConversion"/>
  </si>
  <si>
    <t>db^2</t>
    <phoneticPr fontId="1" type="noConversion"/>
  </si>
  <si>
    <t>L</t>
    <phoneticPr fontId="1" type="noConversion"/>
  </si>
  <si>
    <t>Q(sum)</t>
    <phoneticPr fontId="1" type="noConversion"/>
  </si>
  <si>
    <t>q_in</t>
    <phoneticPr fontId="1" type="noConversion"/>
  </si>
  <si>
    <t>q_out</t>
    <phoneticPr fontId="1" type="noConversion"/>
  </si>
  <si>
    <t>beta</t>
    <phoneticPr fontId="1" type="noConversion"/>
  </si>
  <si>
    <t>v_virtual</t>
    <phoneticPr fontId="1" type="noConversion"/>
  </si>
  <si>
    <t>rho_virtual</t>
    <phoneticPr fontId="1" type="noConversion"/>
  </si>
  <si>
    <t>Q_cap</t>
    <phoneticPr fontId="1" type="noConversion"/>
  </si>
  <si>
    <t>v</t>
    <phoneticPr fontId="1" type="noConversion"/>
  </si>
  <si>
    <t>lambda</t>
    <phoneticPr fontId="1" type="noConversion"/>
  </si>
  <si>
    <t>rho</t>
    <phoneticPr fontId="1" type="noConversion"/>
  </si>
  <si>
    <t>L</t>
    <phoneticPr fontId="1" type="noConversion"/>
  </si>
  <si>
    <t>lambda</t>
    <phoneticPr fontId="1" type="noConversion"/>
  </si>
  <si>
    <t>phi_r</t>
    <phoneticPr fontId="1" type="noConversion"/>
  </si>
  <si>
    <t>phi_w</t>
    <phoneticPr fontId="1" type="noConversion"/>
  </si>
  <si>
    <t>J</t>
    <phoneticPr fontId="1" type="noConversion"/>
  </si>
  <si>
    <t>TTT</t>
    <phoneticPr fontId="1" type="noConversion"/>
  </si>
  <si>
    <t>dw,wmax</t>
    <phoneticPr fontId="1" type="noConversion"/>
  </si>
  <si>
    <t>w_max</t>
    <phoneticPr fontId="1" type="noConversion"/>
  </si>
  <si>
    <t>0=switch-off</t>
    <phoneticPr fontId="1" type="noConversion"/>
  </si>
  <si>
    <t>0=switch-off</t>
    <phoneticPr fontId="1" type="noConversion"/>
  </si>
  <si>
    <t>0=switch-off</t>
    <phoneticPr fontId="1" type="noConversion"/>
  </si>
  <si>
    <t>phi_b</t>
    <phoneticPr fontId="1" type="noConversion"/>
  </si>
  <si>
    <t>routing</t>
    <phoneticPr fontId="1" type="noConversion"/>
  </si>
  <si>
    <t>1=ON 0=OFF</t>
    <phoneticPr fontId="1" type="noConversion"/>
  </si>
  <si>
    <t>(Reserved)</t>
    <phoneticPr fontId="1" type="noConversion"/>
  </si>
  <si>
    <t>Update_interval</t>
    <phoneticPr fontId="1" type="noConversion"/>
  </si>
  <si>
    <t xml:space="preserve">interval / sec. 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</si>
  <si>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</si>
  <si>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</si>
  <si>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</si>
  <si>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</si>
  <si>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id</t>
    <phoneticPr fontId="1" type="noConversion"/>
  </si>
  <si>
    <t>Form_name</t>
    <phoneticPr fontId="1" type="noConversion"/>
  </si>
  <si>
    <t>cell_r</t>
    <phoneticPr fontId="1" type="noConversion"/>
  </si>
  <si>
    <t>cell_c</t>
    <phoneticPr fontId="1" type="noConversion"/>
  </si>
  <si>
    <t>rho_entry_exit</t>
    <phoneticPr fontId="1" type="noConversion"/>
  </si>
  <si>
    <t>begin</t>
    <phoneticPr fontId="1" type="noConversion"/>
  </si>
  <si>
    <t>end</t>
    <phoneticPr fontId="1" type="noConversion"/>
  </si>
  <si>
    <t>5a</t>
    <phoneticPr fontId="1" type="noConversion"/>
  </si>
  <si>
    <t>5b</t>
    <phoneticPr fontId="1" type="noConversion"/>
  </si>
  <si>
    <t>5c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</si>
  <si>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</si>
  <si>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</si>
  <si>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</si>
  <si>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func=nveh</t>
    <phoneticPr fontId="1" type="noConversion"/>
  </si>
  <si>
    <t>func=mean v</t>
    <phoneticPr fontId="1" type="noConversion"/>
  </si>
  <si>
    <t>Src_Formname</t>
    <phoneticPr fontId="1" type="noConversion"/>
  </si>
  <si>
    <t>src_c</t>
    <phoneticPr fontId="1" type="noConversion"/>
  </si>
  <si>
    <t>src_r</t>
    <phoneticPr fontId="1" type="noConversion"/>
  </si>
  <si>
    <t>SPEED</t>
    <phoneticPr fontId="1" type="noConversion"/>
  </si>
  <si>
    <t>MEAN</t>
    <phoneticPr fontId="1" type="noConversion"/>
  </si>
  <si>
    <t>v_mean</t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</si>
  <si>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type=1 Data Collections</t>
    </r>
    <phoneticPr fontId="1" type="noConversion"/>
  </si>
  <si>
    <r>
      <rPr>
        <b/>
        <u/>
        <sz val="11"/>
        <color rgb="FFFF0000"/>
        <rFont val="Arial"/>
        <family val="2"/>
      </rPr>
      <t>FUNCTION A</t>
    </r>
    <r>
      <rPr>
        <b/>
        <sz val="11"/>
        <color theme="1"/>
        <rFont val="Arial"/>
        <family val="2"/>
      </rPr>
      <t xml:space="preserve"> type=2 Queue Counters</t>
    </r>
    <phoneticPr fontId="1" type="noConversion"/>
  </si>
  <si>
    <t>Links</t>
    <phoneticPr fontId="1" type="noConversion"/>
  </si>
  <si>
    <t>Links</t>
    <phoneticPr fontId="1" type="noConversion"/>
  </si>
  <si>
    <t>On-Ramps</t>
  </si>
  <si>
    <t>On-Ramps</t>
    <phoneticPr fontId="1" type="noConversion"/>
  </si>
  <si>
    <t>On-Ramps</t>
    <phoneticPr fontId="1" type="noConversion"/>
  </si>
  <si>
    <t>Off-Ramp</t>
    <phoneticPr fontId="1" type="noConversion"/>
  </si>
  <si>
    <t>Off-Ramp</t>
    <phoneticPr fontId="1" type="noConversion"/>
  </si>
  <si>
    <t>Off-Ramp</t>
    <phoneticPr fontId="1" type="noConversion"/>
  </si>
  <si>
    <t>On-Ramps</t>
    <phoneticPr fontId="1" type="noConversion"/>
  </si>
  <si>
    <t>L_q</t>
    <phoneticPr fontId="1" type="noConversion"/>
  </si>
  <si>
    <t>ReEntry_sta/Parts ID</t>
    <phoneticPr fontId="1" type="noConversion"/>
  </si>
  <si>
    <t>Route No.</t>
    <phoneticPr fontId="1" type="noConversion"/>
  </si>
  <si>
    <t>ETT</t>
    <phoneticPr fontId="1" type="noConversion"/>
  </si>
  <si>
    <t>rho</t>
    <phoneticPr fontId="1" type="noConversion"/>
  </si>
  <si>
    <t>v</t>
    <phoneticPr fontId="1" type="noConversion"/>
  </si>
  <si>
    <t>v_f</t>
    <phoneticPr fontId="1" type="noConversion"/>
  </si>
  <si>
    <t>b</t>
    <phoneticPr fontId="1" type="noConversion"/>
  </si>
  <si>
    <t>lambda</t>
    <phoneticPr fontId="1" type="noConversion"/>
  </si>
  <si>
    <t>l</t>
    <phoneticPr fontId="1" type="noConversion"/>
  </si>
  <si>
    <t>Nodes</t>
    <phoneticPr fontId="1" type="noConversion"/>
  </si>
  <si>
    <t>Data Dispatcher Conf</t>
    <phoneticPr fontId="1" type="noConversion"/>
  </si>
  <si>
    <t>On_Ramps</t>
    <phoneticPr fontId="1" type="noConversion"/>
  </si>
  <si>
    <t>Off_Ramps</t>
    <phoneticPr fontId="1" type="noConversion"/>
  </si>
  <si>
    <t>Config</t>
    <phoneticPr fontId="1" type="noConversion"/>
  </si>
  <si>
    <t>r_src_r</t>
    <phoneticPr fontId="1" type="noConversion"/>
  </si>
  <si>
    <t>r_src_c</t>
    <phoneticPr fontId="1" type="noConversion"/>
  </si>
  <si>
    <t>q_src_r</t>
    <phoneticPr fontId="1" type="noConversion"/>
  </si>
  <si>
    <t>q_src_c</t>
    <phoneticPr fontId="1" type="noConversion"/>
  </si>
  <si>
    <t>Links</t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</si>
  <si>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</si>
  <si>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8</t>
    </r>
    <r>
      <rPr>
        <sz val="11"/>
        <color theme="1"/>
        <rFont val="等线"/>
        <family val="3"/>
        <charset val="134"/>
      </rPr>
      <t>人和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</si>
  <si>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</si>
  <si>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</t>
    </r>
    <r>
      <rPr>
        <sz val="11"/>
        <color theme="1"/>
        <rFont val="等线"/>
        <family val="3"/>
        <charset val="134"/>
      </rPr>
      <t>三元里</t>
    </r>
    <phoneticPr fontId="1" type="noConversion"/>
  </si>
  <si>
    <r>
      <t>18</t>
    </r>
    <r>
      <rPr>
        <sz val="11"/>
        <color theme="1"/>
        <rFont val="等线"/>
        <family val="3"/>
        <charset val="134"/>
      </rPr>
      <t>白云新城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</si>
  <si>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</si>
  <si>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3</t>
    </r>
    <r>
      <rPr>
        <sz val="11"/>
        <color theme="1"/>
        <rFont val="等线"/>
        <family val="3"/>
        <charset val="134"/>
      </rPr>
      <t>黄石南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</si>
  <si>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</si>
  <si>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</si>
  <si>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</si>
  <si>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r>
      <t>11</t>
    </r>
    <r>
      <rPr>
        <sz val="11"/>
        <color theme="1"/>
        <rFont val="等线"/>
        <family val="3"/>
        <charset val="134"/>
      </rPr>
      <t>东湖</t>
    </r>
    <phoneticPr fontId="1" type="noConversion"/>
  </si>
  <si>
    <r>
      <t>2</t>
    </r>
    <r>
      <rPr>
        <sz val="11"/>
        <color theme="1"/>
        <rFont val="等线"/>
        <family val="3"/>
        <charset val="134"/>
      </rPr>
      <t>新市</t>
    </r>
    <phoneticPr fontId="1" type="noConversion"/>
  </si>
  <si>
    <r>
      <t>4</t>
    </r>
    <r>
      <rPr>
        <sz val="11"/>
        <color theme="1"/>
        <rFont val="等线"/>
        <family val="3"/>
        <charset val="134"/>
      </rPr>
      <t>黄石北</t>
    </r>
    <phoneticPr fontId="1" type="noConversion"/>
  </si>
  <si>
    <r>
      <t>6</t>
    </r>
    <r>
      <rPr>
        <sz val="11"/>
        <color theme="1"/>
        <rFont val="等线"/>
        <family val="3"/>
        <charset val="134"/>
      </rPr>
      <t>平沙</t>
    </r>
    <phoneticPr fontId="1" type="noConversion"/>
  </si>
  <si>
    <r>
      <t>7</t>
    </r>
    <r>
      <rPr>
        <sz val="11"/>
        <color theme="1"/>
        <rFont val="等线"/>
        <family val="3"/>
        <charset val="134"/>
      </rPr>
      <t>蚌湖</t>
    </r>
    <phoneticPr fontId="1" type="noConversion"/>
  </si>
  <si>
    <r>
      <t>10</t>
    </r>
    <r>
      <rPr>
        <sz val="11"/>
        <color theme="1"/>
        <rFont val="等线"/>
        <family val="3"/>
        <charset val="134"/>
      </rPr>
      <t>机场</t>
    </r>
    <phoneticPr fontId="1" type="noConversion"/>
  </si>
  <si>
    <r>
      <t>9</t>
    </r>
    <r>
      <rPr>
        <sz val="11"/>
        <color theme="1"/>
        <rFont val="等线"/>
        <family val="3"/>
        <charset val="134"/>
      </rPr>
      <t>太成</t>
    </r>
    <phoneticPr fontId="1" type="noConversion"/>
  </si>
  <si>
    <t>node</t>
    <phoneticPr fontId="1" type="noConversion"/>
  </si>
  <si>
    <t>A</t>
    <phoneticPr fontId="1" type="noConversion"/>
  </si>
  <si>
    <t>B</t>
    <phoneticPr fontId="1" type="noConversion"/>
  </si>
  <si>
    <t>beta*</t>
    <phoneticPr fontId="1" type="noConversion"/>
  </si>
  <si>
    <t>gamma</t>
    <phoneticPr fontId="1" type="noConversion"/>
  </si>
  <si>
    <t>Parts</t>
    <phoneticPr fontId="1" type="noConversion"/>
  </si>
  <si>
    <t>%%=Links!A198+'On-Ramps'!K183+ATM_Conf!C12*'On-Ramps'!BM182+ATM_Conf!C13*Links!EL183+C14*'On-Ramps'!BV183</t>
    <phoneticPr fontId="1" type="noConversion"/>
  </si>
  <si>
    <t>Q_capacity</t>
    <phoneticPr fontId="1" type="noConversion"/>
  </si>
  <si>
    <t>MATLAB</t>
    <phoneticPr fontId="1" type="noConversion"/>
  </si>
  <si>
    <t>L</t>
    <phoneticPr fontId="1" type="noConversion"/>
  </si>
  <si>
    <t>lambda</t>
    <phoneticPr fontId="1" type="noConversion"/>
  </si>
  <si>
    <t>node</t>
    <phoneticPr fontId="1" type="noConversion"/>
  </si>
  <si>
    <t>w</t>
    <phoneticPr fontId="1" type="noConversion"/>
  </si>
  <si>
    <t>alpha</t>
    <phoneticPr fontId="1" type="noConversion"/>
  </si>
  <si>
    <t>A</t>
    <phoneticPr fontId="1" type="noConversion"/>
  </si>
  <si>
    <t>E</t>
    <phoneticPr fontId="1" type="noConversion"/>
  </si>
  <si>
    <t>vf</t>
    <phoneticPr fontId="1" type="noConversion"/>
  </si>
  <si>
    <t>Np</t>
    <phoneticPr fontId="1" type="noConversion"/>
  </si>
  <si>
    <t>Nc</t>
    <phoneticPr fontId="1" type="noConversion"/>
  </si>
  <si>
    <t>rmin</t>
    <phoneticPr fontId="1" type="noConversion"/>
  </si>
  <si>
    <t>bmin</t>
    <phoneticPr fontId="1" type="noConversion"/>
  </si>
  <si>
    <t>real</t>
    <phoneticPr fontId="1" type="noConversion"/>
  </si>
  <si>
    <t>begin</t>
    <phoneticPr fontId="1" type="noConversion"/>
  </si>
  <si>
    <t>original</t>
    <phoneticPr fontId="1" type="noConversion"/>
  </si>
  <si>
    <t>simu_time</t>
    <phoneticPr fontId="1" type="noConversion"/>
  </si>
  <si>
    <t>rhol20</t>
  </si>
  <si>
    <t>rhol1</t>
    <phoneticPr fontId="1" type="noConversion"/>
  </si>
  <si>
    <t>rhol2</t>
  </si>
  <si>
    <t>rhol3</t>
  </si>
  <si>
    <t>rhol4</t>
  </si>
  <si>
    <t>rhol5</t>
  </si>
  <si>
    <t>rhol6</t>
  </si>
  <si>
    <t>rhol7</t>
  </si>
  <si>
    <t>rhol8</t>
  </si>
  <si>
    <t>rhol9</t>
  </si>
  <si>
    <t>rhol10</t>
  </si>
  <si>
    <t>rhol11</t>
  </si>
  <si>
    <t>rhol12</t>
  </si>
  <si>
    <t>rhol13</t>
  </si>
  <si>
    <t>rhol14</t>
  </si>
  <si>
    <t>rhol15</t>
  </si>
  <si>
    <t>rhol16</t>
  </si>
  <si>
    <t>rhol17</t>
  </si>
  <si>
    <t>rhol18</t>
  </si>
  <si>
    <t>rhol19</t>
  </si>
  <si>
    <t>dt</t>
    <phoneticPr fontId="1" type="noConversion"/>
  </si>
  <si>
    <t>rm_rate1</t>
    <phoneticPr fontId="1" type="noConversion"/>
  </si>
  <si>
    <t>rm_rate2</t>
  </si>
  <si>
    <t>rm_rate3</t>
  </si>
  <si>
    <t>rm_rate4</t>
  </si>
  <si>
    <t>rm_rate5</t>
  </si>
  <si>
    <t>rm_rate6</t>
  </si>
  <si>
    <t>rm_rate7</t>
  </si>
  <si>
    <t>rm_rate8</t>
  </si>
  <si>
    <t>rm_rate9</t>
  </si>
  <si>
    <t>vsl_rate1</t>
    <phoneticPr fontId="1" type="noConversion"/>
  </si>
  <si>
    <t>vsl_rate2</t>
  </si>
  <si>
    <t>vsl_rate3</t>
  </si>
  <si>
    <t>vsl_rate4</t>
  </si>
  <si>
    <t>vsl_rate5</t>
  </si>
  <si>
    <t>vsl_rate6</t>
  </si>
  <si>
    <t>vsl_rate7</t>
  </si>
  <si>
    <t>vsl_rate8</t>
  </si>
  <si>
    <t>vsl_rate9</t>
  </si>
  <si>
    <t>vsl_rate10</t>
  </si>
  <si>
    <t>vsl_rate11</t>
  </si>
  <si>
    <t>vsl_rate12</t>
  </si>
  <si>
    <t>vsl_rate13</t>
  </si>
  <si>
    <t>vsl_rate14</t>
  </si>
  <si>
    <t>vsl_rate15</t>
  </si>
  <si>
    <t>vsl_rate16</t>
  </si>
  <si>
    <t>vsl_rate17</t>
  </si>
  <si>
    <t>vsl_rate18</t>
  </si>
  <si>
    <t>vsl_rate19</t>
  </si>
  <si>
    <t>vsl_rate20</t>
  </si>
  <si>
    <t>flow1</t>
    <phoneticPr fontId="1" type="noConversion"/>
  </si>
  <si>
    <t>flow2</t>
  </si>
  <si>
    <t>flow3</t>
  </si>
  <si>
    <t>flow4</t>
  </si>
  <si>
    <t>flow5</t>
  </si>
  <si>
    <t>flow6</t>
  </si>
  <si>
    <t>flow7</t>
  </si>
  <si>
    <t>flow8</t>
  </si>
  <si>
    <t>flow9</t>
  </si>
  <si>
    <t>flow10</t>
  </si>
  <si>
    <t>flow11</t>
  </si>
  <si>
    <t>flow12</t>
  </si>
  <si>
    <t>flow13</t>
  </si>
  <si>
    <t>flow14</t>
  </si>
  <si>
    <t>flow15</t>
  </si>
  <si>
    <t>flow16</t>
  </si>
  <si>
    <t>flow17</t>
  </si>
  <si>
    <t>flow18</t>
  </si>
  <si>
    <t>flow19</t>
  </si>
  <si>
    <t>flow20</t>
  </si>
  <si>
    <t>velocity1</t>
    <phoneticPr fontId="1" type="noConversion"/>
  </si>
  <si>
    <t>velocity2</t>
  </si>
  <si>
    <t>velocity3</t>
  </si>
  <si>
    <t>velocity4</t>
  </si>
  <si>
    <t>velocity5</t>
  </si>
  <si>
    <t>velocity6</t>
  </si>
  <si>
    <t>velocity7</t>
  </si>
  <si>
    <t>velocity8</t>
  </si>
  <si>
    <t>velocity9</t>
  </si>
  <si>
    <t>velocity10</t>
  </si>
  <si>
    <t>velocity11</t>
  </si>
  <si>
    <t>velocity12</t>
  </si>
  <si>
    <t>velocity13</t>
  </si>
  <si>
    <t>velocity14</t>
  </si>
  <si>
    <t>velocity15</t>
  </si>
  <si>
    <t>velocity16</t>
  </si>
  <si>
    <t>velocity17</t>
  </si>
  <si>
    <t>velocity18</t>
  </si>
  <si>
    <t>velocity19</t>
  </si>
  <si>
    <t>velocity20</t>
  </si>
  <si>
    <t>queue1</t>
    <phoneticPr fontId="1" type="noConversion"/>
  </si>
  <si>
    <t>queue2</t>
  </si>
  <si>
    <t>queue3</t>
  </si>
  <si>
    <t>queue4</t>
  </si>
  <si>
    <t>queue5</t>
  </si>
  <si>
    <t>queue6</t>
  </si>
  <si>
    <t>queue7</t>
  </si>
  <si>
    <t>queue8</t>
  </si>
  <si>
    <t>queue9</t>
  </si>
  <si>
    <t>1=on 0=off</t>
    <phoneticPr fontId="1" type="noConversion"/>
  </si>
  <si>
    <t>@</t>
    <phoneticPr fontId="1" type="noConversion"/>
  </si>
  <si>
    <t>&amp;</t>
    <phoneticPr fontId="1" type="noConversion"/>
  </si>
  <si>
    <t>On-Ramps</t>
    <phoneticPr fontId="1" type="noConversion"/>
  </si>
  <si>
    <t>Links</t>
    <phoneticPr fontId="1" type="noConversion"/>
  </si>
  <si>
    <t>Parts Conf</t>
    <phoneticPr fontId="1" type="noConversion"/>
  </si>
  <si>
    <t>OD Conf</t>
    <phoneticPr fontId="1" type="noConversion"/>
  </si>
  <si>
    <t>switch</t>
    <phoneticPr fontId="1" type="noConversion"/>
  </si>
  <si>
    <t>filename</t>
    <phoneticPr fontId="1" type="noConversion"/>
  </si>
  <si>
    <t>conf</t>
    <phoneticPr fontId="1" type="noConversion"/>
  </si>
  <si>
    <t>Log</t>
    <phoneticPr fontId="1" type="noConversion"/>
  </si>
  <si>
    <t>exitflag</t>
    <phoneticPr fontId="1" type="noConversion"/>
  </si>
  <si>
    <t>$</t>
    <phoneticPr fontId="1" type="noConversion"/>
  </si>
  <si>
    <t>Interval</t>
    <phoneticPr fontId="1" type="noConversion"/>
  </si>
  <si>
    <t xml:space="preserve">sec. </t>
    <phoneticPr fontId="1" type="noConversion"/>
  </si>
  <si>
    <t>k 10s</t>
    <phoneticPr fontId="1" type="noConversion"/>
  </si>
  <si>
    <t>k 10s</t>
    <phoneticPr fontId="1" type="noConversion"/>
  </si>
  <si>
    <t>start-up time</t>
    <phoneticPr fontId="1" type="noConversion"/>
  </si>
  <si>
    <t xml:space="preserve">sec. </t>
    <phoneticPr fontId="1" type="noConversion"/>
  </si>
  <si>
    <t>Links</t>
    <phoneticPr fontId="1" type="noConversion"/>
  </si>
  <si>
    <t>Links</t>
    <phoneticPr fontId="1" type="noConversion"/>
  </si>
  <si>
    <t>w_max</t>
    <phoneticPr fontId="1" type="noConversion"/>
  </si>
  <si>
    <t xml:space="preserve">This parameter must be set in VISSIM GUI manually, otherwise results would only be zero. </t>
    <phoneticPr fontId="1" type="noConversion"/>
  </si>
  <si>
    <t>Category</t>
    <phoneticPr fontId="1" type="noConversion"/>
  </si>
  <si>
    <t>v</t>
    <phoneticPr fontId="1" type="noConversion"/>
  </si>
  <si>
    <t>Off-Ramp</t>
    <phoneticPr fontId="1" type="noConversion"/>
  </si>
  <si>
    <t>q</t>
    <phoneticPr fontId="1" type="noConversion"/>
  </si>
  <si>
    <t>q</t>
    <phoneticPr fontId="1" type="noConversion"/>
  </si>
  <si>
    <t>Data Source</t>
  </si>
  <si>
    <t>CSV File Full Path</t>
  </si>
  <si>
    <t>w_return</t>
    <phoneticPr fontId="1" type="noConversion"/>
  </si>
  <si>
    <t>MATLAB</t>
    <phoneticPr fontId="1" type="noConversion"/>
  </si>
  <si>
    <t>ETT</t>
    <phoneticPr fontId="1" type="noConversion"/>
  </si>
  <si>
    <t>pi</t>
    <phoneticPr fontId="1" type="noConversion"/>
  </si>
  <si>
    <t>pi_tt</t>
    <phoneticPr fontId="1" type="noConversion"/>
  </si>
  <si>
    <t>pi_w</t>
    <phoneticPr fontId="1" type="noConversion"/>
  </si>
  <si>
    <t>!</t>
    <phoneticPr fontId="1" type="noConversion"/>
  </si>
  <si>
    <t>%</t>
    <phoneticPr fontId="1" type="noConversion"/>
  </si>
  <si>
    <t>*</t>
    <phoneticPr fontId="1" type="noConversion"/>
  </si>
  <si>
    <t>Optimization</t>
    <phoneticPr fontId="1" type="noConversion"/>
  </si>
  <si>
    <t>F$</t>
    <phoneticPr fontId="1" type="noConversion"/>
  </si>
  <si>
    <t>ATMDispatcherConf</t>
    <phoneticPr fontId="1" type="noConversion"/>
  </si>
  <si>
    <t>(Not in use)</t>
    <phoneticPr fontId="1" type="noConversion"/>
  </si>
  <si>
    <t>F:\Documents\粤S41\v430\1.inp</t>
    <phoneticPr fontId="1" type="noConversion"/>
  </si>
  <si>
    <t>RM_Conf</t>
    <phoneticPr fontId="1" type="noConversion"/>
  </si>
  <si>
    <t>F:\Documents\粤S41\Day1.csv</t>
    <phoneticPr fontId="1" type="noConversion"/>
  </si>
  <si>
    <t>VSL_Conf</t>
    <phoneticPr fontId="1" type="noConversion"/>
  </si>
  <si>
    <t>PRD_Conf</t>
    <phoneticPr fontId="1" type="noConversion"/>
  </si>
  <si>
    <t>Aggregated_Data</t>
    <phoneticPr fontId="1" type="noConversion"/>
  </si>
  <si>
    <t>Input_Conf</t>
    <phoneticPr fontId="1" type="noConversion"/>
  </si>
  <si>
    <t>Route_Decisions_Conf</t>
    <phoneticPr fontId="1" type="noConversion"/>
  </si>
  <si>
    <t>IC_Miles</t>
    <phoneticPr fontId="1" type="noConversion"/>
  </si>
  <si>
    <t>Comp_Conf</t>
    <phoneticPr fontId="1" type="noConversion"/>
  </si>
  <si>
    <t>17:00:00</t>
    <phoneticPr fontId="1" type="noConversion"/>
  </si>
  <si>
    <t>DC_Conf</t>
    <phoneticPr fontId="1" type="noConversion"/>
  </si>
  <si>
    <t>Route_Parts_Conf</t>
    <phoneticPr fontId="1" type="noConversion"/>
  </si>
  <si>
    <t>OD</t>
    <phoneticPr fontId="1" type="noConversion"/>
  </si>
  <si>
    <t>FCD_Conf</t>
    <phoneticPr fontId="1" type="noConversion"/>
  </si>
  <si>
    <t>ATM_Conf</t>
    <phoneticPr fontId="1" type="noConversion"/>
  </si>
  <si>
    <t>ATMLogConf</t>
    <phoneticPr fontId="1" type="noConversion"/>
  </si>
  <si>
    <t>L19</t>
    <phoneticPr fontId="1" type="noConversion"/>
  </si>
  <si>
    <t>bmin_new</t>
    <phoneticPr fontId="1" type="noConversion"/>
  </si>
  <si>
    <t>rmin_new</t>
    <phoneticPr fontId="1" type="noConversion"/>
  </si>
  <si>
    <t>for lb</t>
    <phoneticPr fontId="1" type="noConversion"/>
  </si>
  <si>
    <t>matlab</t>
    <phoneticPr fontId="1" type="noConversion"/>
  </si>
  <si>
    <t>L9</t>
    <phoneticPr fontId="1" type="noConversion"/>
  </si>
  <si>
    <t>I_L13</t>
    <phoneticPr fontId="1" type="noConversion"/>
  </si>
  <si>
    <t>I_L9</t>
    <phoneticPr fontId="1" type="noConversion"/>
  </si>
  <si>
    <t>I_L9</t>
    <phoneticPr fontId="1" type="noConversion"/>
  </si>
  <si>
    <t>I_L9</t>
    <phoneticPr fontId="1" type="noConversion"/>
  </si>
  <si>
    <t>I_L9</t>
    <phoneticPr fontId="1" type="noConversion"/>
  </si>
  <si>
    <t>I_L9</t>
    <phoneticPr fontId="1" type="noConversion"/>
  </si>
  <si>
    <t>rr</t>
    <phoneticPr fontId="1" type="noConversion"/>
  </si>
  <si>
    <t>r</t>
    <phoneticPr fontId="1" type="noConversion"/>
  </si>
  <si>
    <t>F:\Documents\粤S41\Test\data\small\DC_Test_L9_RM_small.csv</t>
    <phoneticPr fontId="1" type="noConversion"/>
  </si>
  <si>
    <t>F:\Documents\粤S41\Test\data\small\FCD_Test_L9_RM_small.csv</t>
    <phoneticPr fontId="1" type="noConversion"/>
  </si>
  <si>
    <t>F:\Documents\粤S41\Test\data\small\ATM_Test_L19_RM_small.csv</t>
    <phoneticPr fontId="1" type="noConversion"/>
  </si>
  <si>
    <t>F:\Documents\粤S41\Test\data\small\DC_Test_L9_VSL_small.csv</t>
    <phoneticPr fontId="1" type="noConversion"/>
  </si>
  <si>
    <t>F:\Documents\粤S41\Test\data\small\FCD_Test_L9_VSL_small.csv</t>
    <phoneticPr fontId="1" type="noConversion"/>
  </si>
  <si>
    <t>F:\Documents\粤S41\Test\data\small\ATM_Test_L9_VSL_small.csv</t>
    <phoneticPr fontId="1" type="noConversion"/>
  </si>
  <si>
    <t>F:\Documents\粤S41\Test\data\small\DC_Test_L9_RM_VSL_small.csv</t>
    <phoneticPr fontId="1" type="noConversion"/>
  </si>
  <si>
    <t>F:\Documents\粤S41\Test\data\small\FCD_Test_L9_RM_VSL_small.csv</t>
    <phoneticPr fontId="1" type="noConversion"/>
  </si>
  <si>
    <t>F:\Documents\粤S41\Test\data\small\ATM_Test_L9_RM_VSL_small.csv</t>
    <phoneticPr fontId="1" type="noConversion"/>
  </si>
  <si>
    <t>q(measured)</t>
    <phoneticPr fontId="1" type="noConversion"/>
  </si>
  <si>
    <t>q(1h)</t>
    <phoneticPr fontId="1" type="noConversion"/>
  </si>
  <si>
    <t>q_in1</t>
    <phoneticPr fontId="1" type="noConversion"/>
  </si>
  <si>
    <t>q_in2</t>
    <phoneticPr fontId="1" type="noConversion"/>
  </si>
  <si>
    <t>q_in3</t>
  </si>
  <si>
    <t>q_in4</t>
  </si>
  <si>
    <t>q_in5</t>
  </si>
  <si>
    <t>q_in6</t>
  </si>
  <si>
    <t>q_in7</t>
  </si>
  <si>
    <t>q_in8</t>
  </si>
  <si>
    <t>q_in9</t>
  </si>
  <si>
    <t>F:\Documents\粤S41\Test\data\small\DC_Test_L9_RM_VSL_RR7.csv</t>
    <phoneticPr fontId="1" type="noConversion"/>
  </si>
  <si>
    <t>F:\Documents\粤S41\Test\data\small\FCD_Test_L9_RM_VSL_RR7.csv</t>
    <phoneticPr fontId="1" type="noConversion"/>
  </si>
  <si>
    <t>F:\Documents\粤S41\Test\data\small\ATM_Test_L9_RM_VSL_RR7.csv</t>
    <phoneticPr fontId="1" type="noConversion"/>
  </si>
  <si>
    <t>F:\Documents\粤S41\Test\data\small\FCD_Test_L9_0_small.csv</t>
    <phoneticPr fontId="1" type="noConversion"/>
  </si>
  <si>
    <t>F:\Documents\粤S41\Test\data\small\ATM_Test_L19_0_small.csv</t>
    <phoneticPr fontId="1" type="noConversion"/>
  </si>
  <si>
    <t>F:\Documents\粤S41\Test\data\small\DC_Test_L9_0_small.csv</t>
    <phoneticPr fontId="1" type="noConversion"/>
  </si>
  <si>
    <t>F:\Documents\粤S41\Test\data\small\DC_Test_L9_RM_VSL_RR5.csv</t>
    <phoneticPr fontId="1" type="noConversion"/>
  </si>
  <si>
    <t>F:\Documents\粤S41\Test\data\small\FCD_Test_L9_RM_VSL_RR5.csv</t>
    <phoneticPr fontId="1" type="noConversion"/>
  </si>
  <si>
    <t>F:\Documents\粤S41\Test\data\small\ATM_Test_L9_RM_VSL_RR5.csv</t>
    <phoneticPr fontId="1" type="noConversion"/>
  </si>
  <si>
    <t>L9_RM_VSL_RR5</t>
    <phoneticPr fontId="1" type="noConversion"/>
  </si>
  <si>
    <t>L9_RM_VSL_RR7</t>
    <phoneticPr fontId="1" type="noConversion"/>
  </si>
  <si>
    <t>(Not in use)</t>
    <phoneticPr fontId="1" type="noConversion"/>
  </si>
  <si>
    <t>PRD_Conf</t>
    <phoneticPr fontId="1" type="noConversion"/>
  </si>
  <si>
    <t>ATMDispatcherConf</t>
    <phoneticPr fontId="1" type="noConversion"/>
  </si>
  <si>
    <t>OD</t>
    <phoneticPr fontId="1" type="noConversion"/>
  </si>
  <si>
    <t>F:\Documents\粤S41\v430\1.inp</t>
    <phoneticPr fontId="1" type="noConversion"/>
  </si>
  <si>
    <t>F:\Documents\粤S41\Day1.csv</t>
    <phoneticPr fontId="1" type="noConversion"/>
  </si>
  <si>
    <t>Aggregated_Data</t>
    <phoneticPr fontId="1" type="noConversion"/>
  </si>
  <si>
    <t>Input_Conf</t>
    <phoneticPr fontId="1" type="noConversion"/>
  </si>
  <si>
    <t>Route_Decisions_Conf</t>
    <phoneticPr fontId="1" type="noConversion"/>
  </si>
  <si>
    <t>IC_Miles</t>
    <phoneticPr fontId="1" type="noConversion"/>
  </si>
  <si>
    <t>Comp_Conf</t>
    <phoneticPr fontId="1" type="noConversion"/>
  </si>
  <si>
    <t>17:00:00</t>
    <phoneticPr fontId="1" type="noConversion"/>
  </si>
  <si>
    <t>DC_Conf</t>
    <phoneticPr fontId="1" type="noConversion"/>
  </si>
  <si>
    <t>F:\Documents\粤S41\Test\data\small\DC_Test_L9_RM_VSL_RR7.csv</t>
    <phoneticPr fontId="1" type="noConversion"/>
  </si>
  <si>
    <t>I_L9</t>
    <phoneticPr fontId="1" type="noConversion"/>
  </si>
  <si>
    <t>F:\Documents\粤S41\Test\data\small\FCD_Test_L9_RM_VSL_RR7.csv</t>
    <phoneticPr fontId="1" type="noConversion"/>
  </si>
  <si>
    <t>FCD_Conf</t>
    <phoneticPr fontId="1" type="noConversion"/>
  </si>
  <si>
    <t>F$</t>
    <phoneticPr fontId="1" type="noConversion"/>
  </si>
  <si>
    <t>ATM_Conf</t>
    <phoneticPr fontId="1" type="noConversion"/>
  </si>
  <si>
    <t>RM_Conf</t>
    <phoneticPr fontId="1" type="noConversion"/>
  </si>
  <si>
    <t>VSL_Conf</t>
    <phoneticPr fontId="1" type="noConversion"/>
  </si>
  <si>
    <t>Links</t>
    <phoneticPr fontId="1" type="noConversion"/>
  </si>
  <si>
    <t>Nodes</t>
    <phoneticPr fontId="1" type="noConversion"/>
  </si>
  <si>
    <t>On-Ramps</t>
    <phoneticPr fontId="1" type="noConversion"/>
  </si>
  <si>
    <t>Off-Ramp</t>
    <phoneticPr fontId="1" type="noConversion"/>
  </si>
  <si>
    <t>Route_Parts_Conf</t>
    <phoneticPr fontId="1" type="noConversion"/>
  </si>
  <si>
    <t>F:\Documents\粤S41\Test\data\small\ATM_Test_L9_RM_VSL_RR7.csv</t>
    <phoneticPr fontId="1" type="noConversion"/>
  </si>
  <si>
    <t>ATMLogConf</t>
    <phoneticPr fontId="1" type="noConversion"/>
  </si>
  <si>
    <t>F:\Documents\粤S41\Test\data\small\DC_Test_L9_RM_VSL_RR3.csv</t>
    <phoneticPr fontId="1" type="noConversion"/>
  </si>
  <si>
    <t>F:\Documents\粤S41\Test\data\small\FCD_Test_L9_RM_VSL_RR3.csv</t>
    <phoneticPr fontId="1" type="noConversion"/>
  </si>
  <si>
    <t>F:\Documents\粤S41\Test\data\small\ATM_Test_L9_RM_VSL_RR3.csv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</si>
</sst>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等线"/>
      <family val="3"/>
      <charset val="134"/>
    </font>
    <font>
      <sz val="11"/>
      <color theme="0"/>
      <name val="等线"/>
      <family val="3"/>
      <charset val="134"/>
    </font>
    <font>
      <sz val="11"/>
      <color rgb="FF000000"/>
      <name val="宋体"/>
      <family val="3"/>
      <charset val="134"/>
    </font>
    <font>
      <b/>
      <sz val="11"/>
      <color theme="1"/>
      <name val="等线"/>
      <family val="3"/>
      <charset val="134"/>
    </font>
    <font>
      <b/>
      <sz val="11"/>
      <name val="等线"/>
      <family val="3"/>
      <charset val="134"/>
    </font>
    <font>
      <strike/>
      <sz val="11"/>
      <color theme="1"/>
      <name val="等线"/>
      <family val="3"/>
      <charset val="134"/>
    </font>
    <font>
      <b/>
      <strike/>
      <sz val="11"/>
      <color theme="1"/>
      <name val="等线"/>
      <family val="3"/>
      <charset val="134"/>
    </font>
    <font>
      <b/>
      <sz val="11"/>
      <color theme="0"/>
      <name val="等线"/>
      <family val="3"/>
      <charset val="134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b/>
      <sz val="11"/>
      <color rgb="FFFF0000"/>
      <name val="Arial"/>
      <family val="2"/>
    </font>
    <font>
      <b/>
      <u/>
      <sz val="11"/>
      <color rgb="FFFF0000"/>
      <name val="Arial"/>
      <family val="2"/>
    </font>
    <font>
      <sz val="11"/>
      <name val="Arial"/>
      <family val="2"/>
    </font>
    <font>
      <b/>
      <sz val="11"/>
      <color rgb="FFFFFF00"/>
      <name val="Arial"/>
      <family val="2"/>
    </font>
    <font>
      <b/>
      <sz val="11"/>
      <name val="Arial"/>
      <family val="2"/>
    </font>
    <font>
      <sz val="11"/>
      <color rgb="FFFF0000"/>
      <name val="Arial"/>
      <family val="2"/>
    </font>
    <font>
      <b/>
      <u/>
      <sz val="12"/>
      <color rgb="FFFF6600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163">
    <xf numFmtId="0" fontId="0" fillId="0" borderId="0" xfId="0">
      <alignment vertical="center"/>
    </xf>
    <xf numFmtId="0" fontId="2" fillId="3" borderId="1" xfId="0" applyFont="1" applyFill="1" applyBorder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2" fillId="4" borderId="1" xfId="0" applyFont="1" applyFill="1" applyBorder="1">
      <alignment vertical="center"/>
    </xf>
    <xf numFmtId="0" fontId="2" fillId="8" borderId="1" xfId="0" applyFont="1" applyFill="1" applyBorder="1">
      <alignment vertical="center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>
      <alignment vertical="center"/>
    </xf>
    <xf numFmtId="0" fontId="2" fillId="9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5" fillId="6" borderId="1" xfId="0" applyFont="1" applyFill="1" applyBorder="1">
      <alignment vertical="center"/>
    </xf>
    <xf numFmtId="49" fontId="5" fillId="6" borderId="1" xfId="0" applyNumberFormat="1" applyFont="1" applyFill="1" applyBorder="1" applyAlignment="1">
      <alignment horizontal="left" vertical="center"/>
    </xf>
    <xf numFmtId="0" fontId="7" fillId="10" borderId="1" xfId="0" applyFont="1" applyFill="1" applyBorder="1">
      <alignment vertical="center"/>
    </xf>
    <xf numFmtId="0" fontId="8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0" fontId="2" fillId="0" borderId="0" xfId="0" applyFont="1">
      <alignment vertical="center"/>
    </xf>
    <xf numFmtId="0" fontId="9" fillId="7" borderId="0" xfId="0" applyFont="1" applyFill="1" applyAlignment="1">
      <alignment horizontal="center" vertical="center"/>
    </xf>
    <xf numFmtId="0" fontId="2" fillId="2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11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10" fillId="12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  <xf numFmtId="0" fontId="10" fillId="13" borderId="1" xfId="0" applyFont="1" applyFill="1" applyBorder="1" applyAlignment="1">
      <alignment horizontal="center" vertical="center"/>
    </xf>
    <xf numFmtId="0" fontId="10" fillId="16" borderId="1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11" fillId="2" borderId="4" xfId="0" applyFont="1" applyFill="1" applyBorder="1" applyAlignment="1">
      <alignment horizontal="center" vertical="center"/>
    </xf>
    <xf numFmtId="0" fontId="11" fillId="9" borderId="4" xfId="0" applyFont="1" applyFill="1" applyBorder="1" applyAlignment="1">
      <alignment horizontal="center" vertical="center"/>
    </xf>
    <xf numFmtId="0" fontId="11" fillId="14" borderId="4" xfId="0" applyFont="1" applyFill="1" applyBorder="1" applyAlignment="1">
      <alignment horizontal="center" vertical="center"/>
    </xf>
    <xf numFmtId="0" fontId="11" fillId="17" borderId="4" xfId="0" applyFont="1" applyFill="1" applyBorder="1" applyAlignment="1">
      <alignment horizontal="center" vertical="center"/>
    </xf>
    <xf numFmtId="0" fontId="10" fillId="18" borderId="1" xfId="0" applyFont="1" applyFill="1" applyBorder="1" applyAlignment="1">
      <alignment horizontal="center" vertical="center"/>
    </xf>
    <xf numFmtId="0" fontId="10" fillId="18" borderId="1" xfId="0" applyFont="1" applyFill="1" applyBorder="1">
      <alignment vertical="center"/>
    </xf>
    <xf numFmtId="0" fontId="10" fillId="16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19" borderId="1" xfId="0" applyFont="1" applyFill="1" applyBorder="1">
      <alignment vertical="center"/>
    </xf>
    <xf numFmtId="0" fontId="10" fillId="13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0" borderId="0" xfId="0" applyFont="1">
      <alignment vertical="center"/>
    </xf>
    <xf numFmtId="0" fontId="10" fillId="4" borderId="1" xfId="0" applyFont="1" applyFill="1" applyBorder="1">
      <alignment vertical="center"/>
    </xf>
    <xf numFmtId="0" fontId="10" fillId="0" borderId="11" xfId="0" applyFont="1" applyBorder="1">
      <alignment vertical="center"/>
    </xf>
    <xf numFmtId="0" fontId="10" fillId="21" borderId="1" xfId="0" applyFont="1" applyFill="1" applyBorder="1">
      <alignment vertical="center"/>
    </xf>
    <xf numFmtId="0" fontId="10" fillId="16" borderId="0" xfId="0" applyFont="1" applyFill="1">
      <alignment vertical="center"/>
    </xf>
    <xf numFmtId="0" fontId="10" fillId="5" borderId="1" xfId="0" applyFont="1" applyFill="1" applyBorder="1">
      <alignment vertical="center"/>
    </xf>
    <xf numFmtId="0" fontId="12" fillId="7" borderId="1" xfId="0" applyFont="1" applyFill="1" applyBorder="1">
      <alignment vertical="center"/>
    </xf>
    <xf numFmtId="0" fontId="0" fillId="23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19" borderId="1" xfId="0" applyFill="1" applyBorder="1">
      <alignment vertical="center"/>
    </xf>
    <xf numFmtId="0" fontId="0" fillId="5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0" borderId="0" xfId="0">
      <alignment vertical="center"/>
    </xf>
    <xf numFmtId="0" fontId="0" fillId="10" borderId="1" xfId="0" applyFill="1" applyBorder="1">
      <alignment vertical="center"/>
    </xf>
    <xf numFmtId="0" fontId="12" fillId="7" borderId="0" xfId="0" applyFont="1" applyFill="1">
      <alignment vertical="center"/>
    </xf>
    <xf numFmtId="0" fontId="14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3" fillId="24" borderId="1" xfId="0" applyFont="1" applyFill="1" applyBorder="1" applyAlignment="1">
      <alignment horizontal="center" vertical="center"/>
    </xf>
    <xf numFmtId="0" fontId="10" fillId="0" borderId="0" xfId="0" applyFont="1" applyFill="1" applyBorder="1">
      <alignment vertical="center"/>
    </xf>
    <xf numFmtId="0" fontId="10" fillId="10" borderId="1" xfId="0" applyFont="1" applyFill="1" applyBorder="1">
      <alignment vertical="center"/>
    </xf>
    <xf numFmtId="0" fontId="10" fillId="12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0" fillId="25" borderId="1" xfId="0" applyFont="1" applyFill="1" applyBorder="1" applyAlignment="1">
      <alignment horizontal="center" vertical="center"/>
    </xf>
    <xf numFmtId="0" fontId="10" fillId="14" borderId="1" xfId="0" applyFont="1" applyFill="1" applyBorder="1">
      <alignment vertical="center"/>
    </xf>
    <xf numFmtId="0" fontId="10" fillId="8" borderId="1" xfId="0" applyFont="1" applyFill="1" applyBorder="1">
      <alignment vertical="center"/>
    </xf>
    <xf numFmtId="0" fontId="13" fillId="26" borderId="1" xfId="0" applyFont="1" applyFill="1" applyBorder="1" applyAlignment="1">
      <alignment horizontal="center" vertical="center"/>
    </xf>
    <xf numFmtId="0" fontId="10" fillId="26" borderId="1" xfId="0" applyFont="1" applyFill="1" applyBorder="1">
      <alignment vertical="center"/>
    </xf>
    <xf numFmtId="0" fontId="11" fillId="3" borderId="1" xfId="0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vertical="center"/>
    </xf>
    <xf numFmtId="0" fontId="10" fillId="9" borderId="1" xfId="0" applyFont="1" applyFill="1" applyBorder="1">
      <alignment vertical="center"/>
    </xf>
    <xf numFmtId="0" fontId="10" fillId="17" borderId="1" xfId="0" applyFont="1" applyFill="1" applyBorder="1">
      <alignment vertical="center"/>
    </xf>
    <xf numFmtId="0" fontId="10" fillId="17" borderId="2" xfId="0" applyFont="1" applyFill="1" applyBorder="1">
      <alignment vertical="center"/>
    </xf>
    <xf numFmtId="0" fontId="17" fillId="7" borderId="0" xfId="0" applyFont="1" applyFill="1" applyAlignment="1">
      <alignment horizontal="center" vertical="center"/>
    </xf>
    <xf numFmtId="0" fontId="12" fillId="26" borderId="3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  <xf numFmtId="0" fontId="12" fillId="26" borderId="4" xfId="0" applyFont="1" applyFill="1" applyBorder="1" applyAlignment="1">
      <alignment horizontal="center" vertical="center"/>
    </xf>
    <xf numFmtId="0" fontId="12" fillId="26" borderId="2" xfId="0" applyFont="1" applyFill="1" applyBorder="1" applyAlignment="1">
      <alignment horizontal="center" vertical="center"/>
    </xf>
    <xf numFmtId="0" fontId="12" fillId="26" borderId="1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14" borderId="1" xfId="0" applyFont="1" applyFill="1" applyBorder="1">
      <alignment vertical="center"/>
    </xf>
    <xf numFmtId="0" fontId="10" fillId="19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0" fillId="8" borderId="1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0" fontId="16" fillId="0" borderId="0" xfId="0" applyFont="1" applyFill="1" applyBorder="1">
      <alignment vertical="center"/>
    </xf>
    <xf numFmtId="0" fontId="18" fillId="0" borderId="0" xfId="0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3" fontId="10" fillId="0" borderId="0" xfId="0" applyNumberFormat="1" applyFont="1" applyFill="1" applyBorder="1">
      <alignment vertical="center"/>
    </xf>
    <xf numFmtId="0" fontId="19" fillId="0" borderId="0" xfId="0" applyFont="1" applyFill="1" applyBorder="1">
      <alignment vertical="center"/>
    </xf>
    <xf numFmtId="0" fontId="18" fillId="3" borderId="1" xfId="0" applyFont="1" applyFill="1" applyBorder="1">
      <alignment vertical="center"/>
    </xf>
    <xf numFmtId="0" fontId="11" fillId="6" borderId="1" xfId="0" applyFont="1" applyFill="1" applyBorder="1" applyAlignment="1">
      <alignment horizontal="left" vertical="center"/>
    </xf>
    <xf numFmtId="0" fontId="11" fillId="6" borderId="1" xfId="0" applyFont="1" applyFill="1" applyBorder="1">
      <alignment vertical="center"/>
    </xf>
    <xf numFmtId="0" fontId="10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28" borderId="1" xfId="0" applyFont="1" applyFill="1" applyBorder="1">
      <alignment vertical="center"/>
    </xf>
    <xf numFmtId="0" fontId="10" fillId="19" borderId="0" xfId="0" applyFont="1" applyFill="1">
      <alignment vertical="center"/>
    </xf>
    <xf numFmtId="0" fontId="10" fillId="21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2" fillId="5" borderId="1" xfId="0" applyFont="1" applyFill="1" applyBorder="1">
      <alignment vertical="center"/>
    </xf>
    <xf numFmtId="0" fontId="5" fillId="6" borderId="1" xfId="0" applyFont="1" applyFill="1" applyBorder="1" applyAlignment="1">
      <alignment horizontal="left" vertical="center"/>
    </xf>
    <xf numFmtId="0" fontId="19" fillId="21" borderId="0" xfId="0" applyFont="1" applyFill="1" applyBorder="1">
      <alignment vertical="center"/>
    </xf>
    <xf numFmtId="0" fontId="10" fillId="3" borderId="0" xfId="0" applyFont="1" applyFill="1" applyBorder="1">
      <alignment vertical="center"/>
    </xf>
    <xf numFmtId="0" fontId="10" fillId="29" borderId="0" xfId="0" applyFont="1" applyFill="1" applyBorder="1">
      <alignment vertical="center"/>
    </xf>
    <xf numFmtId="0" fontId="0" fillId="3" borderId="0" xfId="0" applyFill="1">
      <alignment vertical="center"/>
    </xf>
    <xf numFmtId="0" fontId="0" fillId="8" borderId="0" xfId="0" applyFill="1">
      <alignment vertical="center"/>
    </xf>
    <xf numFmtId="0" fontId="10" fillId="3" borderId="0" xfId="0" applyFont="1" applyFill="1">
      <alignment vertical="center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5" borderId="10" xfId="0" applyFont="1" applyFill="1" applyBorder="1" applyAlignment="1">
      <alignment horizontal="center" vertical="center" wrapText="1"/>
    </xf>
    <xf numFmtId="0" fontId="2" fillId="5" borderId="4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10" fillId="5" borderId="7" xfId="0" applyFont="1" applyFill="1" applyBorder="1" applyAlignment="1">
      <alignment horizontal="center" vertical="center" wrapText="1"/>
    </xf>
    <xf numFmtId="0" fontId="10" fillId="5" borderId="10" xfId="0" applyFont="1" applyFill="1" applyBorder="1" applyAlignment="1">
      <alignment horizontal="center" vertical="center" wrapText="1"/>
    </xf>
    <xf numFmtId="0" fontId="10" fillId="5" borderId="4" xfId="0" applyFont="1" applyFill="1" applyBorder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26" borderId="1" xfId="0" applyFont="1" applyFill="1" applyBorder="1" applyAlignment="1">
      <alignment horizontal="center" vertical="center"/>
    </xf>
    <xf numFmtId="0" fontId="10" fillId="17" borderId="5" xfId="0" applyFont="1" applyFill="1" applyBorder="1" applyAlignment="1">
      <alignment horizontal="center" vertical="center"/>
    </xf>
    <xf numFmtId="0" fontId="10" fillId="17" borderId="6" xfId="0" applyFont="1" applyFill="1" applyBorder="1" applyAlignment="1">
      <alignment horizontal="center" vertical="center"/>
    </xf>
    <xf numFmtId="0" fontId="10" fillId="17" borderId="2" xfId="0" applyFont="1" applyFill="1" applyBorder="1" applyAlignment="1">
      <alignment horizontal="center" vertical="center"/>
    </xf>
    <xf numFmtId="0" fontId="10" fillId="22" borderId="5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2" borderId="2" xfId="0" applyFont="1" applyFill="1" applyBorder="1" applyAlignment="1">
      <alignment horizontal="center" vertical="center"/>
    </xf>
    <xf numFmtId="0" fontId="10" fillId="2" borderId="7" xfId="0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0" fontId="0" fillId="17" borderId="12" xfId="0" applyFill="1" applyBorder="1" applyAlignment="1">
      <alignment horizontal="center" vertical="center"/>
    </xf>
    <xf numFmtId="0" fontId="0" fillId="17" borderId="11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6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10" fillId="17" borderId="1" xfId="0" applyFont="1" applyFill="1" applyBorder="1" applyAlignment="1">
      <alignment horizontal="center" vertical="center"/>
    </xf>
    <xf numFmtId="0" fontId="10" fillId="20" borderId="1" xfId="0" applyFont="1" applyFill="1" applyBorder="1" applyAlignment="1">
      <alignment horizontal="center" vertical="center"/>
    </xf>
    <xf numFmtId="0" fontId="10" fillId="16" borderId="7" xfId="0" applyFont="1" applyFill="1" applyBorder="1" applyAlignment="1">
      <alignment horizontal="center" vertical="center"/>
    </xf>
    <xf numFmtId="0" fontId="10" fillId="16" borderId="4" xfId="0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0" fillId="17" borderId="12" xfId="0" applyFont="1" applyFill="1" applyBorder="1" applyAlignment="1">
      <alignment horizontal="center" vertical="center"/>
    </xf>
    <xf numFmtId="0" fontId="10" fillId="17" borderId="11" xfId="0" applyFont="1" applyFill="1" applyBorder="1" applyAlignment="1">
      <alignment horizontal="center" vertical="center"/>
    </xf>
    <xf numFmtId="0" fontId="10" fillId="17" borderId="13" xfId="0" applyFont="1" applyFill="1" applyBorder="1" applyAlignment="1">
      <alignment horizontal="center" vertical="center"/>
    </xf>
    <xf numFmtId="0" fontId="10" fillId="17" borderId="0" xfId="0" applyFont="1" applyFill="1" applyBorder="1" applyAlignment="1">
      <alignment horizontal="center" vertical="center"/>
    </xf>
    <xf numFmtId="0" fontId="10" fillId="17" borderId="9" xfId="0" applyFont="1" applyFill="1" applyBorder="1" applyAlignment="1">
      <alignment horizontal="center" vertical="center"/>
    </xf>
    <xf numFmtId="0" fontId="18" fillId="2" borderId="1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12" fillId="27" borderId="1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99CCFF"/>
      <color rgb="FFFF00FF"/>
      <color rgb="FFFFCCFF"/>
      <color rgb="FFFF99F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161925</xdr:rowOff>
        </xdr:from>
        <xdr:to>
          <xdr:col>3</xdr:col>
          <xdr:colOff>0</xdr:colOff>
          <xdr:row>5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Load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19050</xdr:rowOff>
        </xdr:from>
        <xdr:to>
          <xdr:col>5</xdr:col>
          <xdr:colOff>676275</xdr:colOff>
          <xdr:row>5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152400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200" b="1" i="0" u="sng" strike="noStrike" baseline="0">
                  <a:solidFill>
                    <a:srgbClr val="FF6600"/>
                  </a:solidFill>
                  <a:latin typeface="Arial"/>
                  <a:cs typeface="Arial"/>
                </a:rPr>
                <a:t>Emergency 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28575</xdr:rowOff>
        </xdr:from>
        <xdr:to>
          <xdr:col>5</xdr:col>
          <xdr:colOff>676275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AutoPilot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3.5" x14ac:dyDescent="0.15"/>
  <sheetData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CSV">
                <anchor moveWithCells="1" sizeWithCells="1">
                  <from>
                    <xdr:col>1</xdr:col>
                    <xdr:colOff>19050</xdr:colOff>
                    <xdr:row>2</xdr:row>
                    <xdr:rowOff>161925</xdr:rowOff>
                  </from>
                  <to>
                    <xdr:col>3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SimulationA">
                <anchor moveWithCells="1" sizeWithCells="1">
                  <from>
                    <xdr:col>3</xdr:col>
                    <xdr:colOff>647700</xdr:colOff>
                    <xdr:row>3</xdr:row>
                    <xdr:rowOff>19050</xdr:rowOff>
                  </from>
                  <to>
                    <xdr:col>5</xdr:col>
                    <xdr:colOff>676275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mergencyStop">
                <anchor moveWithCells="1" sizeWithCells="1">
                  <from>
                    <xdr:col>1</xdr:col>
                    <xdr:colOff>0</xdr:colOff>
                    <xdr:row>12</xdr:row>
                    <xdr:rowOff>152400</xdr:rowOff>
                  </from>
                  <to>
                    <xdr:col>3</xdr:col>
                    <xdr:colOff>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utoPilot">
                <anchor moveWithCells="1" sizeWithCells="1">
                  <from>
                    <xdr:col>4</xdr:col>
                    <xdr:colOff>0</xdr:colOff>
                    <xdr:row>7</xdr:row>
                    <xdr:rowOff>28575</xdr:rowOff>
                  </from>
                  <to>
                    <xdr:col>5</xdr:col>
                    <xdr:colOff>676275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L7"/>
  <sheetViews>
    <sheetView workbookViewId="0">
      <selection activeCell="A3" sqref="A3"/>
    </sheetView>
  </sheetViews>
  <sheetFormatPr defaultRowHeight="13.5" x14ac:dyDescent="0.15"/>
  <sheetData>
    <row r="1" spans="1:12" x14ac:dyDescent="0.15">
      <c r="A1" t="s">
        <v>495</v>
      </c>
      <c r="E1" s="117">
        <v>30</v>
      </c>
      <c r="F1" s="116"/>
      <c r="L1">
        <v>1</v>
      </c>
    </row>
    <row r="2" spans="1:12" x14ac:dyDescent="0.15">
      <c r="A2" s="59" t="s">
        <v>496</v>
      </c>
    </row>
    <row r="6" spans="1:12" x14ac:dyDescent="0.15">
      <c r="A6" s="59"/>
    </row>
    <row r="7" spans="1:12" x14ac:dyDescent="0.15">
      <c r="A7" s="59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C37"/>
  <sheetViews>
    <sheetView workbookViewId="0">
      <selection activeCell="A18" sqref="A18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1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0.5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0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491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459</v>
      </c>
      <c r="B20" s="103" t="s">
        <v>222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226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489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490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0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C37"/>
  <sheetViews>
    <sheetView workbookViewId="0">
      <selection activeCell="A33" sqref="A33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1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0.5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0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466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462</v>
      </c>
      <c r="B20" s="103" t="s">
        <v>250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467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468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C37"/>
  <sheetViews>
    <sheetView workbookViewId="0">
      <selection activeCell="A17" sqref="A17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1</v>
      </c>
    </row>
    <row r="5" spans="1:3" ht="15" x14ac:dyDescent="0.15">
      <c r="A5" s="112" t="s">
        <v>441</v>
      </c>
      <c r="B5" s="102">
        <v>180</v>
      </c>
      <c r="C5" s="102">
        <v>0.5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0.5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0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469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461</v>
      </c>
      <c r="B20" s="103" t="s">
        <v>223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470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471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C37"/>
  <sheetViews>
    <sheetView workbookViewId="0">
      <selection activeCell="B11" sqref="B11:B13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0.5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0.5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0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472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463</v>
      </c>
      <c r="B20" s="103" t="s">
        <v>223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473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474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C37"/>
  <sheetViews>
    <sheetView topLeftCell="A13" workbookViewId="0">
      <selection activeCell="B31" sqref="B31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0.5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0.3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1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525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459</v>
      </c>
      <c r="B20" s="103" t="s">
        <v>223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526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527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C37"/>
  <sheetViews>
    <sheetView topLeftCell="A4" workbookViewId="0">
      <selection activeCell="B31" sqref="B31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0.5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0.5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1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492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458</v>
      </c>
      <c r="B20" s="103" t="s">
        <v>223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493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494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C37"/>
  <sheetViews>
    <sheetView workbookViewId="0">
      <selection activeCell="B24" sqref="B24"/>
    </sheetView>
  </sheetViews>
  <sheetFormatPr defaultRowHeight="13.5" x14ac:dyDescent="0.15"/>
  <cols>
    <col min="1" max="1" width="44.75" style="59" customWidth="1"/>
    <col min="2" max="2" width="40.75" style="59" customWidth="1"/>
    <col min="3" max="3" width="20.375" style="59" customWidth="1"/>
    <col min="4" max="16384" width="9" style="59"/>
  </cols>
  <sheetData>
    <row r="1" spans="1:3" ht="15" x14ac:dyDescent="0.15">
      <c r="A1" s="112" t="s">
        <v>435</v>
      </c>
      <c r="B1" s="102" t="s">
        <v>436</v>
      </c>
      <c r="C1" s="102">
        <v>120</v>
      </c>
    </row>
    <row r="2" spans="1:3" ht="15" x14ac:dyDescent="0.15">
      <c r="A2" s="112" t="s">
        <v>437</v>
      </c>
      <c r="B2" s="102" t="s">
        <v>438</v>
      </c>
      <c r="C2" s="102">
        <v>60</v>
      </c>
    </row>
    <row r="3" spans="1:3" ht="15" x14ac:dyDescent="0.15">
      <c r="A3" s="17" t="s">
        <v>434</v>
      </c>
      <c r="B3" s="102" t="s">
        <v>439</v>
      </c>
      <c r="C3" s="102">
        <v>36</v>
      </c>
    </row>
    <row r="4" spans="1:3" ht="15" x14ac:dyDescent="0.15">
      <c r="A4" s="112" t="s">
        <v>440</v>
      </c>
      <c r="B4" s="102">
        <v>10</v>
      </c>
      <c r="C4" s="102">
        <v>0.3</v>
      </c>
    </row>
    <row r="5" spans="1:3" ht="15" x14ac:dyDescent="0.15">
      <c r="A5" s="112" t="s">
        <v>441</v>
      </c>
      <c r="B5" s="102">
        <v>180</v>
      </c>
      <c r="C5" s="102">
        <v>0.5</v>
      </c>
    </row>
    <row r="6" spans="1:3" ht="15" x14ac:dyDescent="0.15">
      <c r="A6" s="112" t="s">
        <v>442</v>
      </c>
      <c r="B6" s="102">
        <v>33.5</v>
      </c>
    </row>
    <row r="7" spans="1:3" ht="15" x14ac:dyDescent="0.15">
      <c r="A7" s="112" t="s">
        <v>443</v>
      </c>
      <c r="B7" s="102">
        <v>18</v>
      </c>
    </row>
    <row r="8" spans="1:3" ht="15" x14ac:dyDescent="0.15">
      <c r="A8" s="14" t="s">
        <v>444</v>
      </c>
      <c r="B8" s="102">
        <v>60</v>
      </c>
    </row>
    <row r="9" spans="1:3" ht="15" x14ac:dyDescent="0.15">
      <c r="A9" s="112">
        <v>58</v>
      </c>
      <c r="B9" s="102">
        <v>40</v>
      </c>
    </row>
    <row r="10" spans="1:3" ht="15" x14ac:dyDescent="0.15">
      <c r="A10" s="112">
        <v>0</v>
      </c>
      <c r="B10" s="102">
        <v>0.7</v>
      </c>
    </row>
    <row r="11" spans="1:3" ht="15" x14ac:dyDescent="0.15">
      <c r="A11" s="15" t="s">
        <v>445</v>
      </c>
      <c r="B11" s="102">
        <v>0.4</v>
      </c>
    </row>
    <row r="12" spans="1:3" ht="15" x14ac:dyDescent="0.15">
      <c r="A12" s="112">
        <v>9000</v>
      </c>
      <c r="B12" s="102">
        <v>0.4</v>
      </c>
    </row>
    <row r="13" spans="1:3" ht="15" x14ac:dyDescent="0.15">
      <c r="A13" s="17" t="s">
        <v>434</v>
      </c>
      <c r="B13" s="102">
        <v>0.4</v>
      </c>
    </row>
    <row r="14" spans="1:3" ht="15" x14ac:dyDescent="0.15">
      <c r="A14" s="112">
        <v>1</v>
      </c>
      <c r="B14" s="102">
        <v>1</v>
      </c>
    </row>
    <row r="15" spans="1:3" ht="15" x14ac:dyDescent="0.15">
      <c r="A15" s="112" t="s">
        <v>446</v>
      </c>
      <c r="B15" s="102"/>
    </row>
    <row r="16" spans="1:3" ht="15" x14ac:dyDescent="0.15">
      <c r="A16" s="112">
        <v>120</v>
      </c>
      <c r="B16" s="102">
        <v>1.867</v>
      </c>
    </row>
    <row r="17" spans="1:2" ht="15" x14ac:dyDescent="0.15">
      <c r="A17" s="112" t="s">
        <v>486</v>
      </c>
      <c r="B17" s="102">
        <v>0.7</v>
      </c>
    </row>
    <row r="18" spans="1:2" ht="15" x14ac:dyDescent="0.15">
      <c r="A18" s="112">
        <v>1</v>
      </c>
      <c r="B18" s="102">
        <v>1.9</v>
      </c>
    </row>
    <row r="19" spans="1:2" ht="15" x14ac:dyDescent="0.15">
      <c r="A19" s="112"/>
      <c r="B19" s="103" t="s">
        <v>433</v>
      </c>
    </row>
    <row r="20" spans="1:2" ht="15" x14ac:dyDescent="0.15">
      <c r="A20" s="112" t="s">
        <v>460</v>
      </c>
      <c r="B20" s="103" t="s">
        <v>223</v>
      </c>
    </row>
    <row r="21" spans="1:2" ht="15" x14ac:dyDescent="0.15">
      <c r="A21" s="112">
        <v>1</v>
      </c>
      <c r="B21" s="103" t="s">
        <v>241</v>
      </c>
    </row>
    <row r="22" spans="1:2" ht="15" x14ac:dyDescent="0.15">
      <c r="A22" s="112"/>
      <c r="B22" s="103" t="s">
        <v>230</v>
      </c>
    </row>
    <row r="23" spans="1:2" ht="15" x14ac:dyDescent="0.15">
      <c r="A23" s="112"/>
      <c r="B23" s="103" t="s">
        <v>227</v>
      </c>
    </row>
    <row r="24" spans="1:2" ht="15" x14ac:dyDescent="0.15">
      <c r="A24" s="112"/>
      <c r="B24" s="103" t="s">
        <v>447</v>
      </c>
    </row>
    <row r="25" spans="1:2" ht="15" x14ac:dyDescent="0.15">
      <c r="A25" s="112">
        <v>10</v>
      </c>
      <c r="B25" s="103" t="s">
        <v>448</v>
      </c>
    </row>
    <row r="26" spans="1:2" ht="15" x14ac:dyDescent="0.15">
      <c r="A26" s="112" t="s">
        <v>487</v>
      </c>
      <c r="B26" s="102"/>
    </row>
    <row r="27" spans="1:2" ht="15" x14ac:dyDescent="0.15">
      <c r="A27" s="112" t="s">
        <v>449</v>
      </c>
      <c r="B27" s="102"/>
    </row>
    <row r="28" spans="1:2" ht="15" x14ac:dyDescent="0.15">
      <c r="A28" s="112">
        <v>0</v>
      </c>
      <c r="B28" s="102"/>
    </row>
    <row r="29" spans="1:2" ht="15" x14ac:dyDescent="0.15">
      <c r="A29" s="112">
        <v>15</v>
      </c>
      <c r="B29" s="102">
        <v>1</v>
      </c>
    </row>
    <row r="30" spans="1:2" ht="14.25" x14ac:dyDescent="0.15">
      <c r="A30" s="112" t="s">
        <v>432</v>
      </c>
      <c r="B30" s="112" t="s">
        <v>488</v>
      </c>
    </row>
    <row r="31" spans="1:2" ht="15" x14ac:dyDescent="0.15">
      <c r="A31" s="112" t="s">
        <v>450</v>
      </c>
      <c r="B31" s="102" t="s">
        <v>451</v>
      </c>
    </row>
    <row r="32" spans="1:2" ht="14.25" x14ac:dyDescent="0.15">
      <c r="A32" s="112">
        <v>1</v>
      </c>
    </row>
    <row r="33" spans="1:1" ht="14.25" x14ac:dyDescent="0.15">
      <c r="A33" s="112"/>
    </row>
    <row r="34" spans="1:1" ht="14.25" x14ac:dyDescent="0.15">
      <c r="A34" s="112"/>
    </row>
    <row r="35" spans="1:1" ht="14.25" x14ac:dyDescent="0.15">
      <c r="A35" s="112">
        <v>1</v>
      </c>
    </row>
    <row r="36" spans="1:1" ht="14.25" x14ac:dyDescent="0.15">
      <c r="A36" s="112">
        <v>120</v>
      </c>
    </row>
    <row r="37" spans="1:1" ht="14.25" x14ac:dyDescent="0.15">
      <c r="A37" s="112">
        <v>2700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K38"/>
  <sheetViews>
    <sheetView workbookViewId="0">
      <selection activeCell="C34" sqref="C34"/>
    </sheetView>
  </sheetViews>
  <sheetFormatPr defaultRowHeight="13.5" x14ac:dyDescent="0.15"/>
  <cols>
    <col min="1" max="1" width="10.625" customWidth="1"/>
    <col min="2" max="2" width="25.5" customWidth="1"/>
    <col min="3" max="3" width="34.125" customWidth="1"/>
    <col min="4" max="4" width="43.875" customWidth="1"/>
  </cols>
  <sheetData>
    <row r="1" spans="1:115" ht="14.25" x14ac:dyDescent="0.15">
      <c r="A1" s="13" t="s">
        <v>415</v>
      </c>
      <c r="B1" s="13" t="s">
        <v>21</v>
      </c>
      <c r="C1" s="13" t="s">
        <v>22</v>
      </c>
      <c r="D1" s="13" t="s">
        <v>23</v>
      </c>
    </row>
    <row r="2" spans="1:115" ht="14.25" x14ac:dyDescent="0.15">
      <c r="A2" s="125" t="s">
        <v>40</v>
      </c>
      <c r="B2" s="6" t="s">
        <v>24</v>
      </c>
      <c r="C2" s="7" t="s">
        <v>501</v>
      </c>
      <c r="D2" s="6" t="s">
        <v>37</v>
      </c>
    </row>
    <row r="3" spans="1:115" ht="14.25" x14ac:dyDescent="0.15">
      <c r="A3" s="125"/>
      <c r="B3" s="111" t="s">
        <v>420</v>
      </c>
      <c r="C3" s="112" t="s">
        <v>502</v>
      </c>
      <c r="D3" s="111" t="s">
        <v>421</v>
      </c>
      <c r="CR3">
        <v>1</v>
      </c>
      <c r="CS3">
        <v>1</v>
      </c>
      <c r="CT3">
        <v>1</v>
      </c>
      <c r="CU3">
        <v>1</v>
      </c>
      <c r="CV3">
        <v>1</v>
      </c>
      <c r="CW3">
        <v>1</v>
      </c>
      <c r="CX3">
        <v>1</v>
      </c>
      <c r="CY3">
        <v>1</v>
      </c>
      <c r="CZ3">
        <v>1</v>
      </c>
      <c r="DA3">
        <v>1</v>
      </c>
      <c r="DB3">
        <v>1</v>
      </c>
      <c r="DC3">
        <v>1</v>
      </c>
      <c r="DD3">
        <v>1</v>
      </c>
      <c r="DE3">
        <v>1</v>
      </c>
      <c r="DF3">
        <v>1</v>
      </c>
      <c r="DG3">
        <v>1</v>
      </c>
      <c r="DH3">
        <v>1</v>
      </c>
      <c r="DI3">
        <v>1</v>
      </c>
      <c r="DJ3">
        <v>1</v>
      </c>
      <c r="DK3">
        <v>1</v>
      </c>
    </row>
    <row r="4" spans="1:115" ht="14.25" x14ac:dyDescent="0.15">
      <c r="A4" s="125"/>
      <c r="B4" s="16" t="s">
        <v>25</v>
      </c>
      <c r="C4" s="17" t="s">
        <v>497</v>
      </c>
      <c r="D4" s="18"/>
    </row>
    <row r="5" spans="1:115" ht="14.25" x14ac:dyDescent="0.15">
      <c r="A5" s="125"/>
      <c r="B5" s="6" t="s">
        <v>30</v>
      </c>
      <c r="C5" s="7" t="s">
        <v>503</v>
      </c>
      <c r="D5" s="6" t="s">
        <v>38</v>
      </c>
    </row>
    <row r="6" spans="1:115" ht="14.25" x14ac:dyDescent="0.15">
      <c r="A6" s="125"/>
      <c r="B6" s="6" t="s">
        <v>49</v>
      </c>
      <c r="C6" s="7" t="s">
        <v>504</v>
      </c>
      <c r="D6" s="6" t="s">
        <v>38</v>
      </c>
    </row>
    <row r="7" spans="1:115" ht="14.25" x14ac:dyDescent="0.15">
      <c r="A7" s="125"/>
      <c r="B7" s="6" t="s">
        <v>50</v>
      </c>
      <c r="C7" s="7" t="s">
        <v>505</v>
      </c>
      <c r="D7" s="6" t="s">
        <v>38</v>
      </c>
    </row>
    <row r="8" spans="1:115" ht="14.25" x14ac:dyDescent="0.15">
      <c r="A8" s="125"/>
      <c r="B8" s="6" t="s">
        <v>51</v>
      </c>
      <c r="C8" s="7" t="s">
        <v>506</v>
      </c>
      <c r="D8" s="6" t="s">
        <v>38</v>
      </c>
    </row>
    <row r="9" spans="1:115" ht="14.25" x14ac:dyDescent="0.15">
      <c r="A9" s="125"/>
      <c r="B9" s="6" t="s">
        <v>58</v>
      </c>
      <c r="C9" s="14" t="s">
        <v>507</v>
      </c>
      <c r="D9" s="6" t="s">
        <v>59</v>
      </c>
    </row>
    <row r="10" spans="1:115" ht="14.25" x14ac:dyDescent="0.15">
      <c r="A10" s="125" t="s">
        <v>41</v>
      </c>
      <c r="B10" s="6" t="s">
        <v>55</v>
      </c>
      <c r="C10" s="7">
        <v>58</v>
      </c>
      <c r="D10" s="6"/>
    </row>
    <row r="11" spans="1:115" ht="14.25" x14ac:dyDescent="0.15">
      <c r="A11" s="125"/>
      <c r="B11" s="6" t="s">
        <v>33</v>
      </c>
      <c r="C11" s="7">
        <v>0</v>
      </c>
      <c r="D11" s="6" t="s">
        <v>34</v>
      </c>
    </row>
    <row r="12" spans="1:115" ht="14.25" x14ac:dyDescent="0.15">
      <c r="A12" s="125"/>
      <c r="B12" s="6" t="s">
        <v>56</v>
      </c>
      <c r="C12" s="15" t="s">
        <v>508</v>
      </c>
      <c r="D12" s="6" t="s">
        <v>35</v>
      </c>
    </row>
    <row r="13" spans="1:115" ht="14.25" x14ac:dyDescent="0.15">
      <c r="A13" s="125"/>
      <c r="B13" s="6" t="s">
        <v>61</v>
      </c>
      <c r="C13" s="7">
        <v>9000</v>
      </c>
      <c r="D13" s="6"/>
    </row>
    <row r="14" spans="1:115" ht="14.25" x14ac:dyDescent="0.15">
      <c r="A14" s="125"/>
      <c r="B14" s="16" t="s">
        <v>62</v>
      </c>
      <c r="C14" s="17" t="s">
        <v>497</v>
      </c>
      <c r="D14" s="16" t="s">
        <v>31</v>
      </c>
    </row>
    <row r="15" spans="1:115" ht="14.25" x14ac:dyDescent="0.15">
      <c r="A15" s="125"/>
      <c r="B15" s="6" t="s">
        <v>57</v>
      </c>
      <c r="C15" s="7">
        <v>1</v>
      </c>
      <c r="D15" s="6" t="s">
        <v>32</v>
      </c>
    </row>
    <row r="16" spans="1:115" ht="14.25" x14ac:dyDescent="0.15">
      <c r="A16" s="125" t="s">
        <v>76</v>
      </c>
      <c r="B16" s="6" t="s">
        <v>63</v>
      </c>
      <c r="C16" s="7" t="s">
        <v>509</v>
      </c>
      <c r="D16" s="6" t="s">
        <v>64</v>
      </c>
    </row>
    <row r="17" spans="1:4" ht="14.25" x14ac:dyDescent="0.15">
      <c r="A17" s="125"/>
      <c r="B17" s="6" t="s">
        <v>78</v>
      </c>
      <c r="C17" s="7">
        <v>120</v>
      </c>
      <c r="D17" s="6" t="s">
        <v>414</v>
      </c>
    </row>
    <row r="18" spans="1:4" ht="14.25" x14ac:dyDescent="0.15">
      <c r="A18" s="125"/>
      <c r="B18" s="6" t="s">
        <v>79</v>
      </c>
      <c r="C18" s="7" t="s">
        <v>510</v>
      </c>
      <c r="D18" s="6" t="s">
        <v>36</v>
      </c>
    </row>
    <row r="19" spans="1:4" ht="14.25" x14ac:dyDescent="0.15">
      <c r="A19" s="125"/>
      <c r="B19" s="6" t="s">
        <v>74</v>
      </c>
      <c r="C19" s="7">
        <v>1</v>
      </c>
      <c r="D19" s="6" t="s">
        <v>75</v>
      </c>
    </row>
    <row r="20" spans="1:4" ht="14.25" x14ac:dyDescent="0.15">
      <c r="A20" s="125"/>
      <c r="B20" s="6" t="s">
        <v>192</v>
      </c>
      <c r="C20" s="7"/>
      <c r="D20" s="6"/>
    </row>
    <row r="21" spans="1:4" ht="14.25" x14ac:dyDescent="0.15">
      <c r="A21" s="119" t="s">
        <v>65</v>
      </c>
      <c r="B21" s="6" t="s">
        <v>66</v>
      </c>
      <c r="C21" s="7" t="s">
        <v>511</v>
      </c>
      <c r="D21" s="6" t="s">
        <v>67</v>
      </c>
    </row>
    <row r="22" spans="1:4" ht="14.25" x14ac:dyDescent="0.15">
      <c r="A22" s="120"/>
      <c r="B22" s="6" t="s">
        <v>74</v>
      </c>
      <c r="C22" s="7">
        <v>1</v>
      </c>
      <c r="D22" s="6" t="s">
        <v>75</v>
      </c>
    </row>
    <row r="23" spans="1:4" ht="14.25" x14ac:dyDescent="0.15">
      <c r="A23" s="120"/>
      <c r="B23" s="6" t="s">
        <v>68</v>
      </c>
      <c r="C23" s="7"/>
      <c r="D23" s="6"/>
    </row>
    <row r="24" spans="1:4" ht="14.25" x14ac:dyDescent="0.15">
      <c r="A24" s="120"/>
      <c r="B24" s="6" t="s">
        <v>68</v>
      </c>
      <c r="C24" s="7"/>
      <c r="D24" s="6"/>
    </row>
    <row r="25" spans="1:4" ht="14.25" x14ac:dyDescent="0.15">
      <c r="A25" s="120"/>
      <c r="B25" s="6" t="s">
        <v>68</v>
      </c>
      <c r="C25" s="7"/>
      <c r="D25" s="6"/>
    </row>
    <row r="26" spans="1:4" ht="14.25" customHeight="1" x14ac:dyDescent="0.15">
      <c r="A26" s="122" t="s">
        <v>83</v>
      </c>
      <c r="B26" s="6" t="s">
        <v>85</v>
      </c>
      <c r="C26" s="7">
        <v>10</v>
      </c>
      <c r="D26" s="6" t="s">
        <v>84</v>
      </c>
    </row>
    <row r="27" spans="1:4" ht="14.25" x14ac:dyDescent="0.15">
      <c r="A27" s="123"/>
      <c r="B27" s="6" t="s">
        <v>79</v>
      </c>
      <c r="C27" s="7" t="s">
        <v>512</v>
      </c>
      <c r="D27" s="6" t="s">
        <v>100</v>
      </c>
    </row>
    <row r="28" spans="1:4" ht="14.25" x14ac:dyDescent="0.15">
      <c r="A28" s="123"/>
      <c r="B28" s="6" t="s">
        <v>66</v>
      </c>
      <c r="C28" s="7" t="s">
        <v>513</v>
      </c>
      <c r="D28" s="6" t="s">
        <v>86</v>
      </c>
    </row>
    <row r="29" spans="1:4" ht="14.25" x14ac:dyDescent="0.15">
      <c r="A29" s="123"/>
      <c r="B29" s="6" t="s">
        <v>74</v>
      </c>
      <c r="C29" s="7">
        <v>0</v>
      </c>
      <c r="D29" s="6" t="s">
        <v>75</v>
      </c>
    </row>
    <row r="30" spans="1:4" ht="28.5" x14ac:dyDescent="0.15">
      <c r="A30" s="123"/>
      <c r="B30" s="6" t="s">
        <v>62</v>
      </c>
      <c r="C30" s="7">
        <v>15</v>
      </c>
      <c r="D30" s="22" t="s">
        <v>115</v>
      </c>
    </row>
    <row r="31" spans="1:4" ht="14.25" x14ac:dyDescent="0.15">
      <c r="A31" s="124"/>
      <c r="B31" s="6" t="s">
        <v>111</v>
      </c>
      <c r="C31" s="7" t="s">
        <v>514</v>
      </c>
      <c r="D31" s="6"/>
    </row>
    <row r="32" spans="1:4" ht="14.25" x14ac:dyDescent="0.15">
      <c r="A32" s="119" t="s">
        <v>116</v>
      </c>
      <c r="B32" s="6" t="s">
        <v>117</v>
      </c>
      <c r="C32" s="7" t="s">
        <v>515</v>
      </c>
      <c r="D32" s="6"/>
    </row>
    <row r="33" spans="1:4" ht="14.25" x14ac:dyDescent="0.15">
      <c r="A33" s="120"/>
      <c r="B33" s="6" t="s">
        <v>431</v>
      </c>
      <c r="C33" s="7">
        <v>1</v>
      </c>
      <c r="D33" s="6" t="s">
        <v>75</v>
      </c>
    </row>
    <row r="34" spans="1:4" ht="14.25" x14ac:dyDescent="0.15">
      <c r="A34" s="120"/>
      <c r="B34" s="6"/>
      <c r="C34" s="7"/>
      <c r="D34" s="6"/>
    </row>
    <row r="35" spans="1:4" ht="14.25" x14ac:dyDescent="0.15">
      <c r="A35" s="120"/>
      <c r="B35" s="6"/>
      <c r="C35" s="7"/>
      <c r="D35" s="6"/>
    </row>
    <row r="36" spans="1:4" ht="14.25" x14ac:dyDescent="0.15">
      <c r="A36" s="120"/>
      <c r="B36" s="6" t="s">
        <v>118</v>
      </c>
      <c r="C36" s="7">
        <v>1</v>
      </c>
      <c r="D36" s="6" t="s">
        <v>75</v>
      </c>
    </row>
    <row r="37" spans="1:4" ht="14.25" x14ac:dyDescent="0.15">
      <c r="A37" s="120"/>
      <c r="B37" s="6" t="s">
        <v>405</v>
      </c>
      <c r="C37" s="7">
        <v>120</v>
      </c>
      <c r="D37" s="6" t="s">
        <v>406</v>
      </c>
    </row>
    <row r="38" spans="1:4" ht="14.25" x14ac:dyDescent="0.15">
      <c r="A38" s="121"/>
      <c r="B38" s="6" t="s">
        <v>409</v>
      </c>
      <c r="C38" s="7">
        <v>2700</v>
      </c>
      <c r="D38" s="6" t="s">
        <v>410</v>
      </c>
    </row>
  </sheetData>
  <dataConsolidate/>
  <mergeCells count="6">
    <mergeCell ref="A32:A38"/>
    <mergeCell ref="A26:A31"/>
    <mergeCell ref="A2:A9"/>
    <mergeCell ref="A10:A15"/>
    <mergeCell ref="A16:A20"/>
    <mergeCell ref="A21:A25"/>
  </mergeCells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32"/>
  <sheetViews>
    <sheetView workbookViewId="0">
      <selection activeCell="C32" sqref="C32"/>
    </sheetView>
  </sheetViews>
  <sheetFormatPr defaultRowHeight="14.25" x14ac:dyDescent="0.15"/>
  <cols>
    <col min="1" max="1" width="11.25" style="47" customWidth="1"/>
    <col min="2" max="2" width="26.375" style="47" customWidth="1"/>
    <col min="3" max="3" width="29.5" style="47" customWidth="1"/>
    <col min="4" max="4" width="17.5" style="47" customWidth="1"/>
    <col min="5" max="5" width="14.125" style="47" customWidth="1"/>
    <col min="6" max="6" width="27.375" style="47" customWidth="1"/>
    <col min="7" max="7" width="11" style="47" customWidth="1"/>
    <col min="8" max="8" width="9" style="47"/>
    <col min="9" max="9" width="9.625" style="47" bestFit="1" customWidth="1"/>
    <col min="10" max="16384" width="9" style="47"/>
  </cols>
  <sheetData>
    <row r="1" spans="1:9" ht="15" x14ac:dyDescent="0.15">
      <c r="A1" s="101" t="s">
        <v>39</v>
      </c>
      <c r="B1" s="101" t="s">
        <v>21</v>
      </c>
      <c r="C1" s="101" t="s">
        <v>22</v>
      </c>
      <c r="D1" s="101" t="s">
        <v>23</v>
      </c>
    </row>
    <row r="2" spans="1:9" ht="15" x14ac:dyDescent="0.15">
      <c r="A2" s="126" t="s">
        <v>40</v>
      </c>
      <c r="B2" s="52" t="s">
        <v>119</v>
      </c>
      <c r="C2" s="102" t="s">
        <v>516</v>
      </c>
      <c r="D2" s="52"/>
    </row>
    <row r="3" spans="1:9" ht="15" x14ac:dyDescent="0.15">
      <c r="A3" s="127"/>
      <c r="B3" s="52" t="s">
        <v>120</v>
      </c>
      <c r="C3" s="102" t="s">
        <v>517</v>
      </c>
      <c r="D3" s="52"/>
      <c r="H3" s="62" t="s">
        <v>182</v>
      </c>
      <c r="I3" s="63" t="s">
        <v>274</v>
      </c>
    </row>
    <row r="4" spans="1:9" ht="15" x14ac:dyDescent="0.15">
      <c r="A4" s="128"/>
      <c r="B4" s="52" t="s">
        <v>121</v>
      </c>
      <c r="C4" s="102" t="s">
        <v>498</v>
      </c>
      <c r="D4" s="52"/>
    </row>
    <row r="5" spans="1:9" ht="15" x14ac:dyDescent="0.15">
      <c r="A5" s="129" t="s">
        <v>151</v>
      </c>
      <c r="B5" s="52" t="s">
        <v>152</v>
      </c>
      <c r="C5" s="102">
        <v>10</v>
      </c>
      <c r="D5" s="52" t="s">
        <v>153</v>
      </c>
      <c r="E5" s="52" t="s">
        <v>284</v>
      </c>
      <c r="F5" s="102">
        <v>120</v>
      </c>
      <c r="G5" s="52"/>
    </row>
    <row r="6" spans="1:9" ht="15" x14ac:dyDescent="0.15">
      <c r="A6" s="129"/>
      <c r="B6" s="52" t="s">
        <v>154</v>
      </c>
      <c r="C6" s="102">
        <v>180</v>
      </c>
      <c r="D6" s="52"/>
      <c r="E6" s="52" t="s">
        <v>285</v>
      </c>
      <c r="F6" s="102">
        <v>60</v>
      </c>
      <c r="G6" s="52" t="s">
        <v>407</v>
      </c>
    </row>
    <row r="7" spans="1:9" ht="15" x14ac:dyDescent="0.15">
      <c r="A7" s="129"/>
      <c r="B7" s="52" t="s">
        <v>155</v>
      </c>
      <c r="C7" s="102">
        <v>33.5</v>
      </c>
      <c r="D7" s="52" t="s">
        <v>156</v>
      </c>
      <c r="E7" s="52" t="s">
        <v>286</v>
      </c>
      <c r="F7" s="102">
        <v>36</v>
      </c>
      <c r="G7" s="52" t="s">
        <v>408</v>
      </c>
    </row>
    <row r="8" spans="1:9" ht="15" x14ac:dyDescent="0.15">
      <c r="A8" s="129"/>
      <c r="B8" s="52" t="s">
        <v>157</v>
      </c>
      <c r="C8" s="102">
        <v>18</v>
      </c>
      <c r="D8" s="52"/>
      <c r="E8" s="52" t="s">
        <v>287</v>
      </c>
      <c r="F8" s="102">
        <v>0.3</v>
      </c>
      <c r="G8" s="52"/>
    </row>
    <row r="9" spans="1:9" ht="15" x14ac:dyDescent="0.15">
      <c r="A9" s="129"/>
      <c r="B9" s="52" t="s">
        <v>158</v>
      </c>
      <c r="C9" s="102">
        <v>60</v>
      </c>
      <c r="D9" s="52"/>
      <c r="E9" s="52" t="s">
        <v>288</v>
      </c>
      <c r="F9" s="102">
        <v>0.5</v>
      </c>
      <c r="G9" s="52"/>
    </row>
    <row r="10" spans="1:9" ht="15" x14ac:dyDescent="0.15">
      <c r="A10" s="129"/>
      <c r="B10" s="52" t="s">
        <v>160</v>
      </c>
      <c r="C10" s="102">
        <v>40</v>
      </c>
      <c r="D10" s="52"/>
    </row>
    <row r="11" spans="1:9" ht="15" x14ac:dyDescent="0.15">
      <c r="A11" s="129"/>
      <c r="B11" s="52" t="s">
        <v>161</v>
      </c>
      <c r="C11" s="102">
        <v>0.7</v>
      </c>
      <c r="D11" s="52" t="s">
        <v>159</v>
      </c>
    </row>
    <row r="12" spans="1:9" ht="15" x14ac:dyDescent="0.15">
      <c r="A12" s="129"/>
      <c r="B12" s="52" t="s">
        <v>180</v>
      </c>
      <c r="C12" s="102">
        <v>0.4</v>
      </c>
      <c r="D12" s="52" t="s">
        <v>186</v>
      </c>
    </row>
    <row r="13" spans="1:9" ht="15" x14ac:dyDescent="0.15">
      <c r="A13" s="129"/>
      <c r="B13" s="52" t="s">
        <v>189</v>
      </c>
      <c r="C13" s="102">
        <v>0.4</v>
      </c>
      <c r="D13" s="52" t="s">
        <v>187</v>
      </c>
    </row>
    <row r="14" spans="1:9" ht="15" x14ac:dyDescent="0.15">
      <c r="A14" s="129"/>
      <c r="B14" s="52" t="s">
        <v>181</v>
      </c>
      <c r="C14" s="102">
        <v>0.4</v>
      </c>
      <c r="D14" s="52" t="s">
        <v>188</v>
      </c>
    </row>
    <row r="15" spans="1:9" ht="15" x14ac:dyDescent="0.15">
      <c r="A15" s="129"/>
      <c r="B15" s="52" t="s">
        <v>190</v>
      </c>
      <c r="C15" s="102">
        <v>1</v>
      </c>
      <c r="D15" s="52" t="s">
        <v>191</v>
      </c>
    </row>
    <row r="16" spans="1:9" ht="15" x14ac:dyDescent="0.15">
      <c r="A16" s="129"/>
      <c r="B16" s="52" t="s">
        <v>193</v>
      </c>
      <c r="C16" s="102"/>
      <c r="D16" s="52" t="s">
        <v>194</v>
      </c>
    </row>
    <row r="17" spans="1:4" ht="15" x14ac:dyDescent="0.15">
      <c r="A17" s="129"/>
      <c r="B17" s="52" t="s">
        <v>281</v>
      </c>
      <c r="C17" s="102">
        <v>1.867</v>
      </c>
      <c r="D17" s="52"/>
    </row>
    <row r="18" spans="1:4" ht="15" x14ac:dyDescent="0.15">
      <c r="A18" s="129"/>
      <c r="B18" s="52" t="s">
        <v>282</v>
      </c>
      <c r="C18" s="102">
        <v>0.7</v>
      </c>
      <c r="D18" s="52"/>
    </row>
    <row r="19" spans="1:4" ht="15" x14ac:dyDescent="0.15">
      <c r="A19" s="129"/>
      <c r="B19" s="52" t="s">
        <v>283</v>
      </c>
      <c r="C19" s="102">
        <v>1.9</v>
      </c>
      <c r="D19" s="52"/>
    </row>
    <row r="20" spans="1:4" ht="15" x14ac:dyDescent="0.15">
      <c r="A20" s="129" t="s">
        <v>245</v>
      </c>
      <c r="B20" s="52" t="s">
        <v>242</v>
      </c>
      <c r="C20" s="103" t="s">
        <v>499</v>
      </c>
      <c r="D20" s="52"/>
    </row>
    <row r="21" spans="1:4" ht="15" x14ac:dyDescent="0.15">
      <c r="A21" s="129"/>
      <c r="B21" s="52" t="s">
        <v>222</v>
      </c>
      <c r="C21" s="103" t="s">
        <v>518</v>
      </c>
      <c r="D21" s="52"/>
    </row>
    <row r="22" spans="1:4" ht="15" x14ac:dyDescent="0.15">
      <c r="A22" s="129"/>
      <c r="B22" s="52" t="s">
        <v>241</v>
      </c>
      <c r="C22" s="103" t="s">
        <v>519</v>
      </c>
      <c r="D22" s="52"/>
    </row>
    <row r="23" spans="1:4" ht="15" x14ac:dyDescent="0.15">
      <c r="A23" s="129"/>
      <c r="B23" s="52" t="s">
        <v>243</v>
      </c>
      <c r="C23" s="103" t="s">
        <v>520</v>
      </c>
      <c r="D23" s="52"/>
    </row>
    <row r="24" spans="1:4" ht="15" x14ac:dyDescent="0.15">
      <c r="A24" s="129"/>
      <c r="B24" s="52" t="s">
        <v>244</v>
      </c>
      <c r="C24" s="103" t="s">
        <v>521</v>
      </c>
      <c r="D24" s="52"/>
    </row>
    <row r="25" spans="1:4" ht="15" x14ac:dyDescent="0.15">
      <c r="A25" s="129"/>
      <c r="B25" s="52" t="s">
        <v>397</v>
      </c>
      <c r="C25" s="103" t="s">
        <v>522</v>
      </c>
      <c r="D25" s="52"/>
    </row>
    <row r="26" spans="1:4" ht="15" x14ac:dyDescent="0.15">
      <c r="A26" s="129"/>
      <c r="B26" s="52" t="s">
        <v>398</v>
      </c>
      <c r="C26" s="103" t="s">
        <v>500</v>
      </c>
      <c r="D26" s="52"/>
    </row>
    <row r="27" spans="1:4" ht="15" x14ac:dyDescent="0.15">
      <c r="A27" s="129"/>
      <c r="B27" s="52"/>
      <c r="C27" s="102"/>
      <c r="D27" s="52"/>
    </row>
    <row r="28" spans="1:4" ht="15" x14ac:dyDescent="0.15">
      <c r="A28" s="129"/>
      <c r="B28" s="52"/>
      <c r="C28" s="102"/>
      <c r="D28" s="52"/>
    </row>
    <row r="29" spans="1:4" ht="15" x14ac:dyDescent="0.15">
      <c r="A29" s="129"/>
      <c r="B29" s="52"/>
      <c r="C29" s="102"/>
      <c r="D29" s="52"/>
    </row>
    <row r="30" spans="1:4" ht="15" x14ac:dyDescent="0.15">
      <c r="A30" s="129" t="s">
        <v>402</v>
      </c>
      <c r="B30" s="52" t="s">
        <v>399</v>
      </c>
      <c r="C30" s="102">
        <v>1</v>
      </c>
      <c r="D30" s="52" t="s">
        <v>392</v>
      </c>
    </row>
    <row r="31" spans="1:4" x14ac:dyDescent="0.15">
      <c r="A31" s="129"/>
      <c r="B31" s="52" t="s">
        <v>400</v>
      </c>
      <c r="C31" s="7" t="s">
        <v>523</v>
      </c>
      <c r="D31" s="52"/>
    </row>
    <row r="32" spans="1:4" ht="15" x14ac:dyDescent="0.15">
      <c r="A32" s="129"/>
      <c r="B32" s="52" t="s">
        <v>401</v>
      </c>
      <c r="C32" s="102" t="s">
        <v>524</v>
      </c>
      <c r="D32" s="52"/>
    </row>
  </sheetData>
  <mergeCells count="4">
    <mergeCell ref="A2:A4"/>
    <mergeCell ref="A5:A19"/>
    <mergeCell ref="A20:A29"/>
    <mergeCell ref="A30:A32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P76"/>
  <sheetViews>
    <sheetView workbookViewId="0">
      <selection activeCell="D83" sqref="D83"/>
    </sheetView>
  </sheetViews>
  <sheetFormatPr defaultRowHeight="14.25" x14ac:dyDescent="0.15"/>
  <cols>
    <col min="1" max="1" width="9" style="47"/>
    <col min="2" max="2" width="12.875" style="47" customWidth="1"/>
    <col min="3" max="5" width="9" style="47"/>
    <col min="6" max="6" width="11" style="47" customWidth="1"/>
    <col min="7" max="9" width="9" style="47"/>
    <col min="10" max="10" width="13.125" style="47" customWidth="1"/>
    <col min="11" max="13" width="9" style="47"/>
    <col min="14" max="14" width="13.5" style="47" customWidth="1"/>
    <col min="15" max="16384" width="9" style="47"/>
  </cols>
  <sheetData>
    <row r="1" spans="1:16" ht="15" x14ac:dyDescent="0.15">
      <c r="A1" s="130" t="s">
        <v>220</v>
      </c>
      <c r="B1" s="130"/>
      <c r="C1" s="130"/>
      <c r="D1" s="130"/>
      <c r="E1" s="130"/>
      <c r="F1" s="130"/>
      <c r="G1" s="130"/>
      <c r="H1" s="130"/>
      <c r="I1" s="130" t="s">
        <v>221</v>
      </c>
      <c r="J1" s="130"/>
      <c r="K1" s="130"/>
      <c r="L1" s="130"/>
      <c r="M1" s="130"/>
      <c r="N1" s="130"/>
      <c r="O1" s="130"/>
      <c r="P1" s="130"/>
    </row>
    <row r="2" spans="1:16" ht="15" x14ac:dyDescent="0.15">
      <c r="A2" s="131" t="s">
        <v>212</v>
      </c>
      <c r="B2" s="131"/>
      <c r="C2" s="131"/>
      <c r="D2" s="131"/>
      <c r="E2" s="131" t="s">
        <v>213</v>
      </c>
      <c r="F2" s="131"/>
      <c r="G2" s="131"/>
      <c r="H2" s="131"/>
      <c r="I2" s="131" t="s">
        <v>212</v>
      </c>
      <c r="J2" s="131"/>
      <c r="K2" s="131"/>
      <c r="L2" s="131"/>
      <c r="M2" s="132"/>
      <c r="N2" s="132"/>
      <c r="O2" s="132"/>
      <c r="P2" s="132"/>
    </row>
    <row r="3" spans="1:16" ht="15" x14ac:dyDescent="0.15">
      <c r="A3" s="64" t="s">
        <v>195</v>
      </c>
      <c r="B3" s="64" t="s">
        <v>196</v>
      </c>
      <c r="C3" s="64" t="s">
        <v>197</v>
      </c>
      <c r="D3" s="64" t="s">
        <v>198</v>
      </c>
      <c r="E3" s="64" t="s">
        <v>199</v>
      </c>
      <c r="F3" s="64" t="s">
        <v>200</v>
      </c>
      <c r="G3" s="64" t="s">
        <v>201</v>
      </c>
      <c r="H3" s="64" t="s">
        <v>202</v>
      </c>
      <c r="I3" s="64" t="s">
        <v>195</v>
      </c>
      <c r="J3" s="64" t="s">
        <v>196</v>
      </c>
      <c r="K3" s="64" t="s">
        <v>197</v>
      </c>
      <c r="L3" s="64" t="s">
        <v>198</v>
      </c>
      <c r="M3" s="72"/>
      <c r="N3" s="72"/>
      <c r="O3" s="72"/>
      <c r="P3" s="72"/>
    </row>
    <row r="4" spans="1:16" x14ac:dyDescent="0.15">
      <c r="A4" s="70">
        <v>1</v>
      </c>
      <c r="B4" s="70" t="s">
        <v>222</v>
      </c>
      <c r="C4" s="70">
        <v>203</v>
      </c>
      <c r="D4" s="70">
        <v>2</v>
      </c>
      <c r="E4" s="71">
        <v>171</v>
      </c>
      <c r="F4" s="71" t="s">
        <v>417</v>
      </c>
      <c r="G4" s="71">
        <v>205</v>
      </c>
      <c r="H4" s="71">
        <v>2</v>
      </c>
      <c r="I4" s="70">
        <v>1</v>
      </c>
      <c r="J4" s="70" t="s">
        <v>224</v>
      </c>
      <c r="K4" s="70">
        <v>3</v>
      </c>
      <c r="L4" s="70">
        <v>11</v>
      </c>
      <c r="M4" s="73"/>
      <c r="N4" s="73"/>
      <c r="O4" s="73"/>
      <c r="P4" s="73"/>
    </row>
    <row r="5" spans="1:16" x14ac:dyDescent="0.15">
      <c r="A5" s="70">
        <v>7</v>
      </c>
      <c r="B5" s="70" t="s">
        <v>222</v>
      </c>
      <c r="C5" s="70">
        <v>204</v>
      </c>
      <c r="D5" s="70">
        <v>2</v>
      </c>
      <c r="E5" s="71">
        <v>173</v>
      </c>
      <c r="F5" s="71" t="s">
        <v>227</v>
      </c>
      <c r="G5" s="71">
        <v>205</v>
      </c>
      <c r="H5" s="71">
        <v>3</v>
      </c>
      <c r="I5" s="70">
        <v>2</v>
      </c>
      <c r="J5" s="70" t="s">
        <v>224</v>
      </c>
      <c r="K5" s="70">
        <v>3</v>
      </c>
      <c r="L5" s="70">
        <v>12</v>
      </c>
      <c r="M5" s="73"/>
      <c r="N5" s="73"/>
      <c r="O5" s="73"/>
      <c r="P5" s="73"/>
    </row>
    <row r="6" spans="1:16" x14ac:dyDescent="0.15">
      <c r="A6" s="70">
        <v>10</v>
      </c>
      <c r="B6" s="70" t="s">
        <v>222</v>
      </c>
      <c r="C6" s="70">
        <v>203</v>
      </c>
      <c r="D6" s="70">
        <v>3</v>
      </c>
      <c r="E6" s="71">
        <v>175</v>
      </c>
      <c r="F6" s="71" t="s">
        <v>227</v>
      </c>
      <c r="G6" s="71">
        <v>205</v>
      </c>
      <c r="H6" s="71">
        <v>4</v>
      </c>
      <c r="I6" s="70">
        <v>3</v>
      </c>
      <c r="J6" s="70" t="s">
        <v>224</v>
      </c>
      <c r="K6" s="70">
        <v>3</v>
      </c>
      <c r="L6" s="70">
        <v>13</v>
      </c>
      <c r="M6" s="73"/>
      <c r="N6" s="73"/>
      <c r="O6" s="73"/>
      <c r="P6" s="73"/>
    </row>
    <row r="7" spans="1:16" x14ac:dyDescent="0.15">
      <c r="A7" s="70">
        <v>16</v>
      </c>
      <c r="B7" s="70" t="s">
        <v>222</v>
      </c>
      <c r="C7" s="70">
        <v>204</v>
      </c>
      <c r="D7" s="70">
        <v>3</v>
      </c>
      <c r="E7" s="71">
        <v>177</v>
      </c>
      <c r="F7" s="71" t="s">
        <v>227</v>
      </c>
      <c r="G7" s="71">
        <v>205</v>
      </c>
      <c r="H7" s="71">
        <v>5</v>
      </c>
      <c r="I7" s="70">
        <v>4</v>
      </c>
      <c r="J7" s="70" t="s">
        <v>224</v>
      </c>
      <c r="K7" s="70">
        <v>3</v>
      </c>
      <c r="L7" s="70">
        <v>14</v>
      </c>
      <c r="M7" s="73"/>
      <c r="N7" s="73"/>
      <c r="O7" s="73"/>
      <c r="P7" s="73"/>
    </row>
    <row r="8" spans="1:16" x14ac:dyDescent="0.15">
      <c r="A8" s="70">
        <v>19</v>
      </c>
      <c r="B8" s="70" t="s">
        <v>222</v>
      </c>
      <c r="C8" s="70">
        <v>203</v>
      </c>
      <c r="D8" s="70">
        <v>4</v>
      </c>
      <c r="E8" s="71">
        <v>180</v>
      </c>
      <c r="F8" s="71" t="s">
        <v>227</v>
      </c>
      <c r="G8" s="71">
        <v>205</v>
      </c>
      <c r="H8" s="71">
        <v>10</v>
      </c>
      <c r="I8" s="70">
        <v>5</v>
      </c>
      <c r="J8" s="70" t="s">
        <v>224</v>
      </c>
      <c r="K8" s="70">
        <v>3</v>
      </c>
      <c r="L8" s="70">
        <v>15</v>
      </c>
      <c r="M8" s="73"/>
      <c r="N8" s="73"/>
      <c r="O8" s="73"/>
      <c r="P8" s="73"/>
    </row>
    <row r="9" spans="1:16" x14ac:dyDescent="0.15">
      <c r="A9" s="70">
        <v>25</v>
      </c>
      <c r="B9" s="70" t="s">
        <v>222</v>
      </c>
      <c r="C9" s="70">
        <v>204</v>
      </c>
      <c r="D9" s="70">
        <v>4</v>
      </c>
      <c r="E9" s="71">
        <v>183</v>
      </c>
      <c r="F9" s="71" t="s">
        <v>227</v>
      </c>
      <c r="G9" s="71">
        <v>205</v>
      </c>
      <c r="H9" s="71">
        <v>11</v>
      </c>
      <c r="I9" s="70">
        <v>6</v>
      </c>
      <c r="J9" s="70" t="s">
        <v>224</v>
      </c>
      <c r="K9" s="70">
        <v>3</v>
      </c>
      <c r="L9" s="70">
        <v>16</v>
      </c>
      <c r="M9" s="73"/>
      <c r="N9" s="73"/>
      <c r="O9" s="73"/>
      <c r="P9" s="73"/>
    </row>
    <row r="10" spans="1:16" x14ac:dyDescent="0.15">
      <c r="A10" s="70">
        <v>28</v>
      </c>
      <c r="B10" s="70" t="s">
        <v>222</v>
      </c>
      <c r="C10" s="70">
        <v>203</v>
      </c>
      <c r="D10" s="70">
        <v>5</v>
      </c>
      <c r="E10" s="71">
        <v>185</v>
      </c>
      <c r="F10" s="71" t="s">
        <v>227</v>
      </c>
      <c r="G10" s="71">
        <v>205</v>
      </c>
      <c r="H10" s="71">
        <v>12</v>
      </c>
      <c r="I10" s="70">
        <v>7</v>
      </c>
      <c r="J10" s="70" t="s">
        <v>224</v>
      </c>
      <c r="K10" s="70">
        <v>3</v>
      </c>
      <c r="L10" s="70">
        <v>17</v>
      </c>
      <c r="M10" s="73"/>
      <c r="N10" s="73"/>
      <c r="O10" s="73"/>
      <c r="P10" s="73"/>
    </row>
    <row r="11" spans="1:16" x14ac:dyDescent="0.15">
      <c r="A11" s="70">
        <v>34</v>
      </c>
      <c r="B11" s="70" t="s">
        <v>222</v>
      </c>
      <c r="C11" s="70">
        <v>204</v>
      </c>
      <c r="D11" s="70">
        <v>5</v>
      </c>
      <c r="E11" s="71">
        <v>187</v>
      </c>
      <c r="F11" s="71" t="s">
        <v>227</v>
      </c>
      <c r="G11" s="71">
        <v>205</v>
      </c>
      <c r="H11" s="71">
        <v>13</v>
      </c>
      <c r="I11" s="70">
        <v>8</v>
      </c>
      <c r="J11" s="70" t="s">
        <v>224</v>
      </c>
      <c r="K11" s="70">
        <v>3</v>
      </c>
      <c r="L11" s="70">
        <v>18</v>
      </c>
      <c r="M11" s="73"/>
      <c r="N11" s="73"/>
      <c r="O11" s="73"/>
      <c r="P11" s="73"/>
    </row>
    <row r="12" spans="1:16" x14ac:dyDescent="0.15">
      <c r="A12" s="70">
        <v>37</v>
      </c>
      <c r="B12" s="70" t="s">
        <v>222</v>
      </c>
      <c r="C12" s="70">
        <v>203</v>
      </c>
      <c r="D12" s="70">
        <v>6</v>
      </c>
      <c r="E12" s="71">
        <v>189</v>
      </c>
      <c r="F12" s="71" t="s">
        <v>227</v>
      </c>
      <c r="G12" s="71">
        <v>205</v>
      </c>
      <c r="H12" s="71">
        <v>14</v>
      </c>
      <c r="I12" s="70">
        <v>9</v>
      </c>
      <c r="J12" s="70" t="s">
        <v>224</v>
      </c>
      <c r="K12" s="70">
        <v>3</v>
      </c>
      <c r="L12" s="70">
        <v>19</v>
      </c>
      <c r="M12" s="73"/>
      <c r="N12" s="73"/>
      <c r="O12" s="73"/>
      <c r="P12" s="73"/>
    </row>
    <row r="13" spans="1:16" x14ac:dyDescent="0.15">
      <c r="A13" s="70">
        <v>43</v>
      </c>
      <c r="B13" s="70" t="s">
        <v>222</v>
      </c>
      <c r="C13" s="70">
        <v>204</v>
      </c>
      <c r="D13" s="70">
        <v>6</v>
      </c>
      <c r="E13" s="71">
        <v>191</v>
      </c>
      <c r="F13" s="71" t="s">
        <v>417</v>
      </c>
      <c r="G13" s="71">
        <v>205</v>
      </c>
      <c r="H13" s="71">
        <v>15</v>
      </c>
      <c r="I13" s="70">
        <v>-1</v>
      </c>
      <c r="J13" s="70"/>
      <c r="K13" s="70"/>
      <c r="L13" s="70"/>
      <c r="M13" s="73"/>
      <c r="N13" s="73"/>
      <c r="O13" s="73"/>
      <c r="P13" s="73"/>
    </row>
    <row r="14" spans="1:16" x14ac:dyDescent="0.15">
      <c r="A14" s="70">
        <v>46</v>
      </c>
      <c r="B14" s="70" t="s">
        <v>222</v>
      </c>
      <c r="C14" s="70">
        <v>203</v>
      </c>
      <c r="D14" s="70">
        <v>7</v>
      </c>
      <c r="E14" s="71">
        <v>194</v>
      </c>
      <c r="F14" s="71" t="s">
        <v>227</v>
      </c>
      <c r="G14" s="71">
        <v>205</v>
      </c>
      <c r="H14" s="71">
        <v>6</v>
      </c>
      <c r="I14" s="70"/>
      <c r="J14" s="70"/>
      <c r="K14" s="70"/>
      <c r="L14" s="70"/>
      <c r="M14" s="73"/>
      <c r="N14" s="73"/>
      <c r="O14" s="73"/>
      <c r="P14" s="73"/>
    </row>
    <row r="15" spans="1:16" x14ac:dyDescent="0.15">
      <c r="A15" s="70">
        <v>210</v>
      </c>
      <c r="B15" s="70" t="s">
        <v>222</v>
      </c>
      <c r="C15" s="70">
        <v>204</v>
      </c>
      <c r="D15" s="70">
        <v>7</v>
      </c>
      <c r="E15" s="71">
        <v>198</v>
      </c>
      <c r="F15" s="71" t="s">
        <v>417</v>
      </c>
      <c r="G15" s="71">
        <v>205</v>
      </c>
      <c r="H15" s="71">
        <v>7</v>
      </c>
      <c r="I15" s="70"/>
      <c r="J15" s="70"/>
      <c r="K15" s="70"/>
      <c r="L15" s="70"/>
      <c r="M15" s="73"/>
      <c r="N15" s="73"/>
      <c r="O15" s="73"/>
      <c r="P15" s="73"/>
    </row>
    <row r="16" spans="1:16" x14ac:dyDescent="0.15">
      <c r="A16" s="70">
        <v>214</v>
      </c>
      <c r="B16" s="70" t="s">
        <v>222</v>
      </c>
      <c r="C16" s="70">
        <v>204</v>
      </c>
      <c r="D16" s="70">
        <v>8</v>
      </c>
      <c r="E16" s="71">
        <v>202</v>
      </c>
      <c r="F16" s="71" t="s">
        <v>417</v>
      </c>
      <c r="G16" s="71">
        <v>205</v>
      </c>
      <c r="H16" s="71">
        <v>8</v>
      </c>
      <c r="I16" s="70"/>
      <c r="J16" s="70"/>
      <c r="K16" s="70"/>
      <c r="L16" s="70"/>
      <c r="M16" s="73"/>
      <c r="N16" s="73"/>
      <c r="O16" s="73"/>
      <c r="P16" s="73"/>
    </row>
    <row r="17" spans="1:8" x14ac:dyDescent="0.15">
      <c r="A17" s="70">
        <v>54</v>
      </c>
      <c r="B17" s="70" t="s">
        <v>222</v>
      </c>
      <c r="C17" s="70">
        <v>204</v>
      </c>
      <c r="D17" s="70">
        <v>9</v>
      </c>
      <c r="E17" s="71">
        <v>205</v>
      </c>
      <c r="F17" s="71" t="s">
        <v>227</v>
      </c>
      <c r="G17" s="71">
        <v>205</v>
      </c>
      <c r="H17" s="71">
        <v>9</v>
      </c>
    </row>
    <row r="18" spans="1:8" x14ac:dyDescent="0.15">
      <c r="A18" s="70">
        <v>58</v>
      </c>
      <c r="B18" s="70" t="s">
        <v>222</v>
      </c>
      <c r="C18" s="70">
        <v>203</v>
      </c>
      <c r="D18" s="70">
        <v>10</v>
      </c>
      <c r="E18" s="47">
        <v>-1</v>
      </c>
    </row>
    <row r="19" spans="1:8" x14ac:dyDescent="0.15">
      <c r="A19" s="70">
        <v>66</v>
      </c>
      <c r="B19" s="70" t="s">
        <v>222</v>
      </c>
      <c r="C19" s="70">
        <v>204</v>
      </c>
      <c r="D19" s="70">
        <v>10</v>
      </c>
      <c r="E19" s="71">
        <v>4</v>
      </c>
      <c r="F19" s="71" t="s">
        <v>223</v>
      </c>
      <c r="G19" s="71">
        <v>3</v>
      </c>
      <c r="H19" s="71">
        <v>42</v>
      </c>
    </row>
    <row r="20" spans="1:8" x14ac:dyDescent="0.15">
      <c r="A20" s="70">
        <v>70</v>
      </c>
      <c r="B20" s="70" t="s">
        <v>222</v>
      </c>
      <c r="C20" s="70">
        <v>203</v>
      </c>
      <c r="D20" s="70">
        <v>11</v>
      </c>
      <c r="E20" s="71">
        <v>13</v>
      </c>
      <c r="F20" s="71" t="s">
        <v>223</v>
      </c>
      <c r="G20" s="71">
        <v>3</v>
      </c>
      <c r="H20" s="71">
        <v>43</v>
      </c>
    </row>
    <row r="21" spans="1:8" x14ac:dyDescent="0.15">
      <c r="A21" s="70">
        <v>78</v>
      </c>
      <c r="B21" s="70" t="s">
        <v>222</v>
      </c>
      <c r="C21" s="70">
        <v>204</v>
      </c>
      <c r="D21" s="70">
        <v>11</v>
      </c>
      <c r="E21" s="71">
        <v>22</v>
      </c>
      <c r="F21" s="71" t="s">
        <v>223</v>
      </c>
      <c r="G21" s="71">
        <v>3</v>
      </c>
      <c r="H21" s="71">
        <v>44</v>
      </c>
    </row>
    <row r="22" spans="1:8" x14ac:dyDescent="0.15">
      <c r="A22" s="70">
        <v>82</v>
      </c>
      <c r="B22" s="70" t="s">
        <v>222</v>
      </c>
      <c r="C22" s="70">
        <v>203</v>
      </c>
      <c r="D22" s="70">
        <v>12</v>
      </c>
      <c r="E22" s="71">
        <v>31</v>
      </c>
      <c r="F22" s="71" t="s">
        <v>223</v>
      </c>
      <c r="G22" s="71">
        <v>3</v>
      </c>
      <c r="H22" s="71">
        <v>45</v>
      </c>
    </row>
    <row r="23" spans="1:8" x14ac:dyDescent="0.15">
      <c r="A23" s="70">
        <v>90</v>
      </c>
      <c r="B23" s="70" t="s">
        <v>222</v>
      </c>
      <c r="C23" s="70">
        <v>204</v>
      </c>
      <c r="D23" s="70">
        <v>12</v>
      </c>
      <c r="E23" s="71">
        <v>40</v>
      </c>
      <c r="F23" s="71" t="s">
        <v>223</v>
      </c>
      <c r="G23" s="71">
        <v>3</v>
      </c>
      <c r="H23" s="71">
        <v>46</v>
      </c>
    </row>
    <row r="24" spans="1:8" x14ac:dyDescent="0.15">
      <c r="A24" s="70">
        <v>94</v>
      </c>
      <c r="B24" s="70" t="s">
        <v>222</v>
      </c>
      <c r="C24" s="70">
        <v>203</v>
      </c>
      <c r="D24" s="70">
        <v>13</v>
      </c>
      <c r="E24" s="71">
        <v>206</v>
      </c>
      <c r="F24" s="71" t="s">
        <v>223</v>
      </c>
      <c r="G24" s="71">
        <v>3</v>
      </c>
      <c r="H24" s="71">
        <v>47</v>
      </c>
    </row>
    <row r="25" spans="1:8" x14ac:dyDescent="0.15">
      <c r="A25" s="70">
        <v>102</v>
      </c>
      <c r="B25" s="70" t="s">
        <v>222</v>
      </c>
      <c r="C25" s="70">
        <v>204</v>
      </c>
      <c r="D25" s="70">
        <v>13</v>
      </c>
      <c r="E25" s="71">
        <v>50</v>
      </c>
      <c r="F25" s="71" t="s">
        <v>223</v>
      </c>
      <c r="G25" s="71">
        <v>3</v>
      </c>
      <c r="H25" s="71">
        <v>48</v>
      </c>
    </row>
    <row r="26" spans="1:8" x14ac:dyDescent="0.15">
      <c r="A26" s="70">
        <v>106</v>
      </c>
      <c r="B26" s="70" t="s">
        <v>222</v>
      </c>
      <c r="C26" s="70">
        <v>203</v>
      </c>
      <c r="D26" s="70">
        <v>14</v>
      </c>
      <c r="E26" s="71">
        <v>218</v>
      </c>
      <c r="F26" s="71" t="s">
        <v>223</v>
      </c>
      <c r="G26" s="71">
        <v>3</v>
      </c>
      <c r="H26" s="71">
        <v>49</v>
      </c>
    </row>
    <row r="27" spans="1:8" x14ac:dyDescent="0.15">
      <c r="A27" s="70">
        <v>226</v>
      </c>
      <c r="B27" s="70" t="s">
        <v>222</v>
      </c>
      <c r="C27" s="70">
        <v>204</v>
      </c>
      <c r="D27" s="70">
        <v>14</v>
      </c>
      <c r="E27" s="71">
        <v>62</v>
      </c>
      <c r="F27" s="71" t="s">
        <v>223</v>
      </c>
      <c r="G27" s="71">
        <v>3</v>
      </c>
      <c r="H27" s="71">
        <v>50</v>
      </c>
    </row>
    <row r="28" spans="1:8" x14ac:dyDescent="0.15">
      <c r="A28" s="70">
        <v>230</v>
      </c>
      <c r="B28" s="70" t="s">
        <v>222</v>
      </c>
      <c r="C28" s="70">
        <v>204</v>
      </c>
      <c r="D28" s="70">
        <v>15</v>
      </c>
      <c r="E28" s="71">
        <v>74</v>
      </c>
      <c r="F28" s="71" t="s">
        <v>223</v>
      </c>
      <c r="G28" s="71">
        <v>3</v>
      </c>
      <c r="H28" s="71">
        <v>51</v>
      </c>
    </row>
    <row r="29" spans="1:8" x14ac:dyDescent="0.15">
      <c r="A29" s="70">
        <v>114</v>
      </c>
      <c r="B29" s="70" t="s">
        <v>222</v>
      </c>
      <c r="C29" s="70">
        <v>204</v>
      </c>
      <c r="D29" s="70">
        <v>16</v>
      </c>
      <c r="E29" s="71">
        <v>86</v>
      </c>
      <c r="F29" s="71" t="s">
        <v>223</v>
      </c>
      <c r="G29" s="71">
        <v>3</v>
      </c>
      <c r="H29" s="71">
        <v>52</v>
      </c>
    </row>
    <row r="30" spans="1:8" x14ac:dyDescent="0.15">
      <c r="A30" s="70">
        <v>118</v>
      </c>
      <c r="B30" s="70" t="s">
        <v>222</v>
      </c>
      <c r="C30" s="70">
        <v>203</v>
      </c>
      <c r="D30" s="70">
        <v>17</v>
      </c>
      <c r="E30" s="71">
        <v>98</v>
      </c>
      <c r="F30" s="71" t="s">
        <v>223</v>
      </c>
      <c r="G30" s="71">
        <v>3</v>
      </c>
      <c r="H30" s="71">
        <v>53</v>
      </c>
    </row>
    <row r="31" spans="1:8" x14ac:dyDescent="0.15">
      <c r="A31" s="70">
        <v>124</v>
      </c>
      <c r="B31" s="70" t="s">
        <v>222</v>
      </c>
      <c r="C31" s="70">
        <v>204</v>
      </c>
      <c r="D31" s="70">
        <v>17</v>
      </c>
      <c r="E31" s="71">
        <v>222</v>
      </c>
      <c r="F31" s="71" t="s">
        <v>411</v>
      </c>
      <c r="G31" s="71">
        <v>3</v>
      </c>
      <c r="H31" s="71">
        <v>54</v>
      </c>
    </row>
    <row r="32" spans="1:8" x14ac:dyDescent="0.15">
      <c r="A32" s="70">
        <v>127</v>
      </c>
      <c r="B32" s="70" t="s">
        <v>222</v>
      </c>
      <c r="C32" s="70">
        <v>203</v>
      </c>
      <c r="D32" s="70">
        <v>18</v>
      </c>
      <c r="E32" s="71">
        <v>110</v>
      </c>
      <c r="F32" s="71" t="s">
        <v>223</v>
      </c>
      <c r="G32" s="71">
        <v>3</v>
      </c>
      <c r="H32" s="71">
        <v>55</v>
      </c>
    </row>
    <row r="33" spans="1:8" x14ac:dyDescent="0.15">
      <c r="A33" s="70">
        <v>133</v>
      </c>
      <c r="B33" s="70" t="s">
        <v>222</v>
      </c>
      <c r="C33" s="70">
        <v>204</v>
      </c>
      <c r="D33" s="70">
        <v>18</v>
      </c>
      <c r="E33" s="71">
        <v>234</v>
      </c>
      <c r="F33" s="71" t="s">
        <v>411</v>
      </c>
      <c r="G33" s="71">
        <v>3</v>
      </c>
      <c r="H33" s="71">
        <v>56</v>
      </c>
    </row>
    <row r="34" spans="1:8" x14ac:dyDescent="0.15">
      <c r="A34" s="70">
        <v>136</v>
      </c>
      <c r="B34" s="70" t="s">
        <v>222</v>
      </c>
      <c r="C34" s="70">
        <v>203</v>
      </c>
      <c r="D34" s="70">
        <v>19</v>
      </c>
      <c r="E34" s="71">
        <v>121</v>
      </c>
      <c r="F34" s="71" t="s">
        <v>223</v>
      </c>
      <c r="G34" s="71">
        <v>3</v>
      </c>
      <c r="H34" s="71">
        <v>57</v>
      </c>
    </row>
    <row r="35" spans="1:8" x14ac:dyDescent="0.15">
      <c r="A35" s="70">
        <v>142</v>
      </c>
      <c r="B35" s="70" t="s">
        <v>222</v>
      </c>
      <c r="C35" s="70">
        <v>204</v>
      </c>
      <c r="D35" s="70">
        <v>19</v>
      </c>
      <c r="E35" s="71">
        <v>130</v>
      </c>
      <c r="F35" s="71" t="s">
        <v>223</v>
      </c>
      <c r="G35" s="71">
        <v>3</v>
      </c>
      <c r="H35" s="71">
        <v>58</v>
      </c>
    </row>
    <row r="36" spans="1:8" x14ac:dyDescent="0.15">
      <c r="A36" s="70">
        <v>145</v>
      </c>
      <c r="B36" s="70" t="s">
        <v>222</v>
      </c>
      <c r="C36" s="70">
        <v>203</v>
      </c>
      <c r="D36" s="70">
        <v>20</v>
      </c>
      <c r="E36" s="71">
        <v>139</v>
      </c>
      <c r="F36" s="71" t="s">
        <v>223</v>
      </c>
      <c r="G36" s="71">
        <v>3</v>
      </c>
      <c r="H36" s="71">
        <v>59</v>
      </c>
    </row>
    <row r="37" spans="1:8" x14ac:dyDescent="0.15">
      <c r="A37" s="70">
        <v>148</v>
      </c>
      <c r="B37" s="70" t="s">
        <v>222</v>
      </c>
      <c r="C37" s="70">
        <v>204</v>
      </c>
      <c r="D37" s="70">
        <v>20</v>
      </c>
      <c r="E37" s="71">
        <v>148</v>
      </c>
      <c r="F37" s="71" t="s">
        <v>223</v>
      </c>
      <c r="G37" s="71">
        <v>3</v>
      </c>
      <c r="H37" s="71">
        <v>60</v>
      </c>
    </row>
    <row r="38" spans="1:8" x14ac:dyDescent="0.15">
      <c r="A38" s="70">
        <v>151</v>
      </c>
      <c r="B38" s="70" t="s">
        <v>222</v>
      </c>
      <c r="C38" s="70">
        <v>204</v>
      </c>
      <c r="D38" s="70">
        <v>21</v>
      </c>
      <c r="E38" s="71">
        <v>151</v>
      </c>
      <c r="F38" s="71" t="s">
        <v>412</v>
      </c>
      <c r="G38" s="71">
        <v>3</v>
      </c>
      <c r="H38" s="71">
        <v>61</v>
      </c>
    </row>
    <row r="39" spans="1:8" x14ac:dyDescent="0.15">
      <c r="A39" s="70">
        <v>170</v>
      </c>
      <c r="B39" s="70" t="s">
        <v>228</v>
      </c>
      <c r="C39" s="70">
        <v>194</v>
      </c>
      <c r="D39" s="70">
        <v>2</v>
      </c>
      <c r="E39" s="71">
        <v>154</v>
      </c>
      <c r="F39" s="71" t="s">
        <v>230</v>
      </c>
      <c r="G39" s="71">
        <v>3</v>
      </c>
      <c r="H39" s="71">
        <v>83</v>
      </c>
    </row>
    <row r="40" spans="1:8" x14ac:dyDescent="0.15">
      <c r="A40" s="70">
        <v>171</v>
      </c>
      <c r="B40" s="70" t="s">
        <v>228</v>
      </c>
      <c r="C40" s="70">
        <v>195</v>
      </c>
      <c r="D40" s="70">
        <v>2</v>
      </c>
      <c r="E40" s="71">
        <v>156</v>
      </c>
      <c r="F40" s="71" t="s">
        <v>225</v>
      </c>
      <c r="G40" s="71">
        <v>3</v>
      </c>
      <c r="H40" s="71">
        <v>84</v>
      </c>
    </row>
    <row r="41" spans="1:8" x14ac:dyDescent="0.15">
      <c r="A41" s="70">
        <v>172</v>
      </c>
      <c r="B41" s="70" t="s">
        <v>228</v>
      </c>
      <c r="C41" s="70">
        <v>194</v>
      </c>
      <c r="D41" s="70">
        <v>3</v>
      </c>
      <c r="E41" s="71">
        <v>158</v>
      </c>
      <c r="F41" s="71" t="s">
        <v>225</v>
      </c>
      <c r="G41" s="71">
        <v>3</v>
      </c>
      <c r="H41" s="71">
        <v>85</v>
      </c>
    </row>
    <row r="42" spans="1:8" x14ac:dyDescent="0.15">
      <c r="A42" s="70">
        <v>173</v>
      </c>
      <c r="B42" s="70" t="s">
        <v>227</v>
      </c>
      <c r="C42" s="70">
        <v>195</v>
      </c>
      <c r="D42" s="70">
        <v>3</v>
      </c>
      <c r="E42" s="71">
        <v>159</v>
      </c>
      <c r="F42" s="71" t="s">
        <v>225</v>
      </c>
      <c r="G42" s="71">
        <v>3</v>
      </c>
      <c r="H42" s="71">
        <v>86</v>
      </c>
    </row>
    <row r="43" spans="1:8" x14ac:dyDescent="0.15">
      <c r="A43" s="70">
        <v>174</v>
      </c>
      <c r="B43" s="70" t="s">
        <v>228</v>
      </c>
      <c r="C43" s="70">
        <v>194</v>
      </c>
      <c r="D43" s="70">
        <v>4</v>
      </c>
      <c r="E43" s="71">
        <v>161</v>
      </c>
      <c r="F43" s="71" t="s">
        <v>225</v>
      </c>
      <c r="G43" s="71">
        <v>3</v>
      </c>
      <c r="H43" s="71">
        <v>87</v>
      </c>
    </row>
    <row r="44" spans="1:8" x14ac:dyDescent="0.15">
      <c r="A44" s="70">
        <v>175</v>
      </c>
      <c r="B44" s="70" t="s">
        <v>228</v>
      </c>
      <c r="C44" s="70">
        <v>195</v>
      </c>
      <c r="D44" s="70">
        <v>4</v>
      </c>
      <c r="E44" s="71">
        <v>162</v>
      </c>
      <c r="F44" s="71" t="s">
        <v>225</v>
      </c>
      <c r="G44" s="71">
        <v>3</v>
      </c>
      <c r="H44" s="71">
        <v>88</v>
      </c>
    </row>
    <row r="45" spans="1:8" x14ac:dyDescent="0.15">
      <c r="A45" s="70">
        <v>176</v>
      </c>
      <c r="B45" s="70" t="s">
        <v>228</v>
      </c>
      <c r="C45" s="70">
        <v>194</v>
      </c>
      <c r="D45" s="70">
        <v>5</v>
      </c>
      <c r="E45" s="71">
        <v>165</v>
      </c>
      <c r="F45" s="71" t="s">
        <v>225</v>
      </c>
      <c r="G45" s="71">
        <v>3</v>
      </c>
      <c r="H45" s="71">
        <v>89</v>
      </c>
    </row>
    <row r="46" spans="1:8" x14ac:dyDescent="0.15">
      <c r="A46" s="70">
        <v>177</v>
      </c>
      <c r="B46" s="70" t="s">
        <v>228</v>
      </c>
      <c r="C46" s="70">
        <v>195</v>
      </c>
      <c r="D46" s="70">
        <v>5</v>
      </c>
      <c r="E46" s="71">
        <v>167</v>
      </c>
      <c r="F46" s="71" t="s">
        <v>226</v>
      </c>
      <c r="G46" s="71">
        <v>3</v>
      </c>
      <c r="H46" s="71">
        <v>90</v>
      </c>
    </row>
    <row r="47" spans="1:8" x14ac:dyDescent="0.15">
      <c r="A47" s="70">
        <v>178</v>
      </c>
      <c r="B47" s="70" t="s">
        <v>228</v>
      </c>
      <c r="C47" s="70">
        <v>194</v>
      </c>
      <c r="D47" s="70">
        <v>12</v>
      </c>
      <c r="E47" s="71">
        <v>169</v>
      </c>
      <c r="F47" s="71" t="s">
        <v>225</v>
      </c>
      <c r="G47" s="71">
        <v>3</v>
      </c>
      <c r="H47" s="71">
        <v>91</v>
      </c>
    </row>
    <row r="48" spans="1:8" x14ac:dyDescent="0.15">
      <c r="A48" s="70">
        <v>180</v>
      </c>
      <c r="B48" s="70" t="s">
        <v>229</v>
      </c>
      <c r="C48" s="70">
        <v>195</v>
      </c>
      <c r="D48" s="70">
        <v>12</v>
      </c>
    </row>
    <row r="49" spans="1:4" x14ac:dyDescent="0.15">
      <c r="A49" s="70">
        <v>182</v>
      </c>
      <c r="B49" s="70" t="s">
        <v>228</v>
      </c>
      <c r="C49" s="70">
        <v>194</v>
      </c>
      <c r="D49" s="70">
        <v>13</v>
      </c>
    </row>
    <row r="50" spans="1:4" x14ac:dyDescent="0.15">
      <c r="A50" s="70">
        <v>183</v>
      </c>
      <c r="B50" s="70" t="s">
        <v>228</v>
      </c>
      <c r="C50" s="70">
        <v>195</v>
      </c>
      <c r="D50" s="70">
        <v>13</v>
      </c>
    </row>
    <row r="51" spans="1:4" x14ac:dyDescent="0.15">
      <c r="A51" s="70">
        <v>184</v>
      </c>
      <c r="B51" s="70" t="s">
        <v>228</v>
      </c>
      <c r="C51" s="70">
        <v>194</v>
      </c>
      <c r="D51" s="70">
        <v>14</v>
      </c>
    </row>
    <row r="52" spans="1:4" x14ac:dyDescent="0.15">
      <c r="A52" s="70">
        <v>185</v>
      </c>
      <c r="B52" s="70" t="s">
        <v>229</v>
      </c>
      <c r="C52" s="70">
        <v>195</v>
      </c>
      <c r="D52" s="70">
        <v>14</v>
      </c>
    </row>
    <row r="53" spans="1:4" x14ac:dyDescent="0.15">
      <c r="A53" s="70">
        <v>186</v>
      </c>
      <c r="B53" s="70" t="s">
        <v>228</v>
      </c>
      <c r="C53" s="70">
        <v>194</v>
      </c>
      <c r="D53" s="70">
        <v>15</v>
      </c>
    </row>
    <row r="54" spans="1:4" x14ac:dyDescent="0.15">
      <c r="A54" s="70">
        <v>187</v>
      </c>
      <c r="B54" s="70" t="s">
        <v>228</v>
      </c>
      <c r="C54" s="70">
        <v>195</v>
      </c>
      <c r="D54" s="70">
        <v>15</v>
      </c>
    </row>
    <row r="55" spans="1:4" x14ac:dyDescent="0.15">
      <c r="A55" s="70">
        <v>188</v>
      </c>
      <c r="B55" s="70" t="s">
        <v>227</v>
      </c>
      <c r="C55" s="70">
        <v>194</v>
      </c>
      <c r="D55" s="70">
        <v>16</v>
      </c>
    </row>
    <row r="56" spans="1:4" x14ac:dyDescent="0.15">
      <c r="A56" s="70">
        <v>189</v>
      </c>
      <c r="B56" s="70" t="s">
        <v>228</v>
      </c>
      <c r="C56" s="70">
        <v>195</v>
      </c>
      <c r="D56" s="70">
        <v>16</v>
      </c>
    </row>
    <row r="57" spans="1:4" x14ac:dyDescent="0.15">
      <c r="A57" s="70">
        <v>190</v>
      </c>
      <c r="B57" s="70" t="s">
        <v>228</v>
      </c>
      <c r="C57" s="70">
        <v>194</v>
      </c>
      <c r="D57" s="70">
        <v>17</v>
      </c>
    </row>
    <row r="58" spans="1:4" x14ac:dyDescent="0.15">
      <c r="A58" s="70">
        <v>191</v>
      </c>
      <c r="B58" s="70" t="s">
        <v>228</v>
      </c>
      <c r="C58" s="70">
        <v>195</v>
      </c>
      <c r="D58" s="70">
        <v>17</v>
      </c>
    </row>
    <row r="59" spans="1:4" x14ac:dyDescent="0.15">
      <c r="A59" s="70">
        <v>192</v>
      </c>
      <c r="B59" s="70" t="s">
        <v>227</v>
      </c>
      <c r="C59" s="70">
        <v>194</v>
      </c>
      <c r="D59" s="70">
        <v>8</v>
      </c>
    </row>
    <row r="60" spans="1:4" x14ac:dyDescent="0.15">
      <c r="A60" s="70">
        <v>194</v>
      </c>
      <c r="B60" s="70" t="s">
        <v>228</v>
      </c>
      <c r="C60" s="70">
        <v>195</v>
      </c>
      <c r="D60" s="70">
        <v>8</v>
      </c>
    </row>
    <row r="61" spans="1:4" x14ac:dyDescent="0.15">
      <c r="A61" s="70">
        <v>196</v>
      </c>
      <c r="B61" s="70" t="s">
        <v>228</v>
      </c>
      <c r="C61" s="70">
        <v>194</v>
      </c>
      <c r="D61" s="70">
        <v>9</v>
      </c>
    </row>
    <row r="62" spans="1:4" x14ac:dyDescent="0.15">
      <c r="A62" s="70">
        <v>198</v>
      </c>
      <c r="B62" s="70" t="s">
        <v>228</v>
      </c>
      <c r="C62" s="70">
        <v>195</v>
      </c>
      <c r="D62" s="70">
        <v>9</v>
      </c>
    </row>
    <row r="63" spans="1:4" x14ac:dyDescent="0.15">
      <c r="A63" s="70">
        <v>200</v>
      </c>
      <c r="B63" s="70" t="s">
        <v>228</v>
      </c>
      <c r="C63" s="70">
        <v>194</v>
      </c>
      <c r="D63" s="70">
        <v>10</v>
      </c>
    </row>
    <row r="64" spans="1:4" x14ac:dyDescent="0.15">
      <c r="A64" s="70">
        <v>202</v>
      </c>
      <c r="B64" s="70" t="s">
        <v>228</v>
      </c>
      <c r="C64" s="70">
        <v>195</v>
      </c>
      <c r="D64" s="70">
        <v>10</v>
      </c>
    </row>
    <row r="65" spans="1:4" x14ac:dyDescent="0.15">
      <c r="A65" s="70">
        <v>204</v>
      </c>
      <c r="B65" s="70" t="s">
        <v>228</v>
      </c>
      <c r="C65" s="70">
        <v>194</v>
      </c>
      <c r="D65" s="70">
        <v>11</v>
      </c>
    </row>
    <row r="66" spans="1:4" x14ac:dyDescent="0.15">
      <c r="A66" s="70">
        <v>205</v>
      </c>
      <c r="B66" s="70" t="s">
        <v>228</v>
      </c>
      <c r="C66" s="70">
        <v>195</v>
      </c>
      <c r="D66" s="70">
        <v>11</v>
      </c>
    </row>
    <row r="67" spans="1:4" x14ac:dyDescent="0.15">
      <c r="A67" s="70">
        <v>154</v>
      </c>
      <c r="B67" s="70" t="s">
        <v>225</v>
      </c>
      <c r="C67" s="70">
        <v>204</v>
      </c>
      <c r="D67" s="70">
        <v>3</v>
      </c>
    </row>
    <row r="68" spans="1:4" x14ac:dyDescent="0.15">
      <c r="A68" s="70">
        <v>156</v>
      </c>
      <c r="B68" s="70" t="s">
        <v>225</v>
      </c>
      <c r="C68" s="70">
        <v>204</v>
      </c>
      <c r="D68" s="70">
        <v>4</v>
      </c>
    </row>
    <row r="69" spans="1:4" x14ac:dyDescent="0.15">
      <c r="A69" s="70">
        <v>158</v>
      </c>
      <c r="B69" s="70" t="s">
        <v>225</v>
      </c>
      <c r="C69" s="70">
        <v>204</v>
      </c>
      <c r="D69" s="70">
        <v>5</v>
      </c>
    </row>
    <row r="70" spans="1:4" x14ac:dyDescent="0.15">
      <c r="A70" s="70">
        <v>159</v>
      </c>
      <c r="B70" s="70" t="s">
        <v>225</v>
      </c>
      <c r="C70" s="70">
        <v>204</v>
      </c>
      <c r="D70" s="70">
        <v>6</v>
      </c>
    </row>
    <row r="71" spans="1:4" x14ac:dyDescent="0.15">
      <c r="A71" s="70">
        <v>161</v>
      </c>
      <c r="B71" s="70" t="s">
        <v>225</v>
      </c>
      <c r="C71" s="70">
        <v>204</v>
      </c>
      <c r="D71" s="70">
        <v>7</v>
      </c>
    </row>
    <row r="72" spans="1:4" x14ac:dyDescent="0.15">
      <c r="A72" s="70">
        <v>162</v>
      </c>
      <c r="B72" s="70" t="s">
        <v>225</v>
      </c>
      <c r="C72" s="70">
        <v>204</v>
      </c>
      <c r="D72" s="70">
        <v>8</v>
      </c>
    </row>
    <row r="73" spans="1:4" x14ac:dyDescent="0.15">
      <c r="A73" s="70">
        <v>165</v>
      </c>
      <c r="B73" s="70" t="s">
        <v>225</v>
      </c>
      <c r="C73" s="70">
        <v>204</v>
      </c>
      <c r="D73" s="70">
        <v>9</v>
      </c>
    </row>
    <row r="74" spans="1:4" x14ac:dyDescent="0.15">
      <c r="A74" s="70">
        <v>167</v>
      </c>
      <c r="B74" s="70" t="s">
        <v>225</v>
      </c>
      <c r="C74" s="70">
        <v>204</v>
      </c>
      <c r="D74" s="70">
        <v>10</v>
      </c>
    </row>
    <row r="75" spans="1:4" x14ac:dyDescent="0.15">
      <c r="A75" s="70">
        <v>169</v>
      </c>
      <c r="B75" s="70" t="s">
        <v>225</v>
      </c>
      <c r="C75" s="70">
        <v>204</v>
      </c>
      <c r="D75" s="70">
        <v>11</v>
      </c>
    </row>
    <row r="76" spans="1:4" x14ac:dyDescent="0.15">
      <c r="A76" s="47">
        <v>-1</v>
      </c>
    </row>
  </sheetData>
  <mergeCells count="6">
    <mergeCell ref="A1:H1"/>
    <mergeCell ref="I1:P1"/>
    <mergeCell ref="A2:D2"/>
    <mergeCell ref="E2:H2"/>
    <mergeCell ref="I2:L2"/>
    <mergeCell ref="M2:P2"/>
  </mergeCells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J2"/>
  <sheetViews>
    <sheetView zoomScale="85" zoomScaleNormal="85" workbookViewId="0">
      <selection activeCell="DL4" sqref="DL4"/>
    </sheetView>
  </sheetViews>
  <sheetFormatPr defaultRowHeight="13.5" x14ac:dyDescent="0.15"/>
  <sheetData>
    <row r="1" spans="1:114" x14ac:dyDescent="0.15">
      <c r="A1" t="s">
        <v>292</v>
      </c>
      <c r="B1" t="s">
        <v>314</v>
      </c>
      <c r="C1" s="59" t="s">
        <v>315</v>
      </c>
      <c r="D1" s="59" t="s">
        <v>316</v>
      </c>
      <c r="E1" s="59" t="s">
        <v>317</v>
      </c>
      <c r="F1" s="59" t="s">
        <v>318</v>
      </c>
      <c r="G1" s="59" t="s">
        <v>319</v>
      </c>
      <c r="H1" s="59" t="s">
        <v>320</v>
      </c>
      <c r="I1" s="59" t="s">
        <v>321</v>
      </c>
      <c r="J1" s="59" t="s">
        <v>322</v>
      </c>
      <c r="K1" t="s">
        <v>323</v>
      </c>
      <c r="L1" s="59" t="s">
        <v>324</v>
      </c>
      <c r="M1" s="59" t="s">
        <v>325</v>
      </c>
      <c r="N1" s="59" t="s">
        <v>326</v>
      </c>
      <c r="O1" s="59" t="s">
        <v>327</v>
      </c>
      <c r="P1" s="59" t="s">
        <v>328</v>
      </c>
      <c r="Q1" s="59" t="s">
        <v>329</v>
      </c>
      <c r="R1" s="59" t="s">
        <v>330</v>
      </c>
      <c r="S1" s="59" t="s">
        <v>331</v>
      </c>
      <c r="T1" s="59" t="s">
        <v>332</v>
      </c>
      <c r="U1" s="59" t="s">
        <v>333</v>
      </c>
      <c r="V1" s="59" t="s">
        <v>334</v>
      </c>
      <c r="W1" s="59" t="s">
        <v>335</v>
      </c>
      <c r="X1" s="59" t="s">
        <v>336</v>
      </c>
      <c r="Y1" s="59" t="s">
        <v>337</v>
      </c>
      <c r="Z1" s="59" t="s">
        <v>338</v>
      </c>
      <c r="AA1" s="59" t="s">
        <v>339</v>
      </c>
      <c r="AB1" s="59" t="s">
        <v>340</v>
      </c>
      <c r="AC1" s="59" t="s">
        <v>341</v>
      </c>
      <c r="AD1" s="59" t="s">
        <v>342</v>
      </c>
      <c r="AE1" t="s">
        <v>343</v>
      </c>
      <c r="AF1" s="59" t="s">
        <v>344</v>
      </c>
      <c r="AG1" s="59" t="s">
        <v>345</v>
      </c>
      <c r="AH1" s="59" t="s">
        <v>346</v>
      </c>
      <c r="AI1" s="59" t="s">
        <v>347</v>
      </c>
      <c r="AJ1" s="59" t="s">
        <v>348</v>
      </c>
      <c r="AK1" s="59" t="s">
        <v>349</v>
      </c>
      <c r="AL1" s="59" t="s">
        <v>350</v>
      </c>
      <c r="AM1" s="59" t="s">
        <v>351</v>
      </c>
      <c r="AN1" s="59" t="s">
        <v>352</v>
      </c>
      <c r="AO1" s="59" t="s">
        <v>353</v>
      </c>
      <c r="AP1" s="59" t="s">
        <v>354</v>
      </c>
      <c r="AQ1" s="59" t="s">
        <v>355</v>
      </c>
      <c r="AR1" s="59" t="s">
        <v>356</v>
      </c>
      <c r="AS1" s="59" t="s">
        <v>357</v>
      </c>
      <c r="AT1" s="59" t="s">
        <v>358</v>
      </c>
      <c r="AU1" s="59" t="s">
        <v>359</v>
      </c>
      <c r="AV1" s="59" t="s">
        <v>360</v>
      </c>
      <c r="AW1" s="59" t="s">
        <v>361</v>
      </c>
      <c r="AX1" s="59" t="s">
        <v>362</v>
      </c>
      <c r="AY1" t="s">
        <v>294</v>
      </c>
      <c r="AZ1" s="59" t="s">
        <v>295</v>
      </c>
      <c r="BA1" s="59" t="s">
        <v>296</v>
      </c>
      <c r="BB1" s="59" t="s">
        <v>297</v>
      </c>
      <c r="BC1" s="59" t="s">
        <v>298</v>
      </c>
      <c r="BD1" s="59" t="s">
        <v>299</v>
      </c>
      <c r="BE1" s="59" t="s">
        <v>300</v>
      </c>
      <c r="BF1" s="59" t="s">
        <v>301</v>
      </c>
      <c r="BG1" s="59" t="s">
        <v>302</v>
      </c>
      <c r="BH1" s="59" t="s">
        <v>303</v>
      </c>
      <c r="BI1" s="59" t="s">
        <v>304</v>
      </c>
      <c r="BJ1" s="59" t="s">
        <v>305</v>
      </c>
      <c r="BK1" s="59" t="s">
        <v>306</v>
      </c>
      <c r="BL1" s="59" t="s">
        <v>307</v>
      </c>
      <c r="BM1" s="59" t="s">
        <v>308</v>
      </c>
      <c r="BN1" s="59" t="s">
        <v>309</v>
      </c>
      <c r="BO1" s="59" t="s">
        <v>310</v>
      </c>
      <c r="BP1" s="59" t="s">
        <v>311</v>
      </c>
      <c r="BQ1" s="59" t="s">
        <v>312</v>
      </c>
      <c r="BR1" s="59" t="s">
        <v>293</v>
      </c>
      <c r="BS1" t="s">
        <v>363</v>
      </c>
      <c r="BT1" s="59" t="s">
        <v>364</v>
      </c>
      <c r="BU1" s="59" t="s">
        <v>365</v>
      </c>
      <c r="BV1" s="59" t="s">
        <v>366</v>
      </c>
      <c r="BW1" s="59" t="s">
        <v>367</v>
      </c>
      <c r="BX1" s="59" t="s">
        <v>368</v>
      </c>
      <c r="BY1" s="59" t="s">
        <v>369</v>
      </c>
      <c r="BZ1" s="59" t="s">
        <v>370</v>
      </c>
      <c r="CA1" s="59" t="s">
        <v>371</v>
      </c>
      <c r="CB1" s="59" t="s">
        <v>372</v>
      </c>
      <c r="CC1" s="59" t="s">
        <v>373</v>
      </c>
      <c r="CD1" s="59" t="s">
        <v>374</v>
      </c>
      <c r="CE1" s="59" t="s">
        <v>375</v>
      </c>
      <c r="CF1" s="59" t="s">
        <v>376</v>
      </c>
      <c r="CG1" s="59" t="s">
        <v>377</v>
      </c>
      <c r="CH1" s="59" t="s">
        <v>378</v>
      </c>
      <c r="CI1" s="59" t="s">
        <v>379</v>
      </c>
      <c r="CJ1" s="59" t="s">
        <v>380</v>
      </c>
      <c r="CK1" s="59" t="s">
        <v>381</v>
      </c>
      <c r="CL1" s="59" t="s">
        <v>382</v>
      </c>
      <c r="CM1" t="s">
        <v>383</v>
      </c>
      <c r="CN1" s="59" t="s">
        <v>384</v>
      </c>
      <c r="CO1" s="59" t="s">
        <v>385</v>
      </c>
      <c r="CP1" s="59" t="s">
        <v>386</v>
      </c>
      <c r="CQ1" s="59" t="s">
        <v>387</v>
      </c>
      <c r="CR1" s="59" t="s">
        <v>388</v>
      </c>
      <c r="CS1" s="59" t="s">
        <v>389</v>
      </c>
      <c r="CT1" s="59" t="s">
        <v>390</v>
      </c>
      <c r="CU1" s="59" t="s">
        <v>391</v>
      </c>
      <c r="CV1" s="59" t="s">
        <v>477</v>
      </c>
      <c r="CW1" s="59" t="s">
        <v>478</v>
      </c>
      <c r="CX1" s="59" t="s">
        <v>479</v>
      </c>
      <c r="CY1" s="59" t="s">
        <v>480</v>
      </c>
      <c r="CZ1" s="59" t="s">
        <v>481</v>
      </c>
      <c r="DA1" s="59" t="s">
        <v>482</v>
      </c>
      <c r="DB1" s="59" t="s">
        <v>483</v>
      </c>
      <c r="DC1" s="59" t="s">
        <v>484</v>
      </c>
      <c r="DD1" s="59" t="s">
        <v>485</v>
      </c>
      <c r="DE1" t="s">
        <v>313</v>
      </c>
      <c r="DF1" t="s">
        <v>403</v>
      </c>
      <c r="DG1" t="s">
        <v>425</v>
      </c>
      <c r="DH1" t="s">
        <v>426</v>
      </c>
      <c r="DI1" t="s">
        <v>427</v>
      </c>
      <c r="DJ1" t="s">
        <v>464</v>
      </c>
    </row>
    <row r="2" spans="1:114" x14ac:dyDescent="0.15">
      <c r="A2" t="s">
        <v>393</v>
      </c>
      <c r="B2" t="s">
        <v>395</v>
      </c>
      <c r="C2" s="59" t="s">
        <v>395</v>
      </c>
      <c r="D2" s="59" t="s">
        <v>395</v>
      </c>
      <c r="E2" s="59" t="s">
        <v>395</v>
      </c>
      <c r="F2" s="59" t="s">
        <v>395</v>
      </c>
      <c r="G2" s="59" t="s">
        <v>395</v>
      </c>
      <c r="H2" s="59" t="s">
        <v>395</v>
      </c>
      <c r="I2" s="59" t="s">
        <v>395</v>
      </c>
      <c r="J2" s="59" t="s">
        <v>395</v>
      </c>
      <c r="K2" t="s">
        <v>396</v>
      </c>
      <c r="L2" s="59" t="s">
        <v>396</v>
      </c>
      <c r="M2" s="59" t="s">
        <v>396</v>
      </c>
      <c r="N2" s="59" t="s">
        <v>396</v>
      </c>
      <c r="O2" s="59" t="s">
        <v>396</v>
      </c>
      <c r="P2" s="59" t="s">
        <v>396</v>
      </c>
      <c r="Q2" s="59" t="s">
        <v>396</v>
      </c>
      <c r="R2" s="59" t="s">
        <v>396</v>
      </c>
      <c r="S2" s="59" t="s">
        <v>396</v>
      </c>
      <c r="T2" s="59" t="s">
        <v>396</v>
      </c>
      <c r="U2" s="59" t="s">
        <v>396</v>
      </c>
      <c r="V2" s="59" t="s">
        <v>396</v>
      </c>
      <c r="W2" s="59" t="s">
        <v>396</v>
      </c>
      <c r="X2" s="59" t="s">
        <v>396</v>
      </c>
      <c r="Y2" s="59" t="s">
        <v>396</v>
      </c>
      <c r="Z2" s="59" t="s">
        <v>396</v>
      </c>
      <c r="AA2" s="59" t="s">
        <v>396</v>
      </c>
      <c r="AB2" s="59" t="s">
        <v>396</v>
      </c>
      <c r="AC2" s="59" t="s">
        <v>396</v>
      </c>
      <c r="AD2" s="59" t="s">
        <v>396</v>
      </c>
      <c r="AE2" s="59" t="s">
        <v>396</v>
      </c>
      <c r="AF2" s="59" t="s">
        <v>396</v>
      </c>
      <c r="AG2" s="59" t="s">
        <v>396</v>
      </c>
      <c r="AH2" s="59" t="s">
        <v>396</v>
      </c>
      <c r="AI2" s="59" t="s">
        <v>396</v>
      </c>
      <c r="AJ2" s="59" t="s">
        <v>396</v>
      </c>
      <c r="AK2" s="59" t="s">
        <v>396</v>
      </c>
      <c r="AL2" s="59" t="s">
        <v>396</v>
      </c>
      <c r="AM2" s="59" t="s">
        <v>396</v>
      </c>
      <c r="AN2" s="59" t="s">
        <v>396</v>
      </c>
      <c r="AO2" s="59" t="s">
        <v>396</v>
      </c>
      <c r="AP2" s="59" t="s">
        <v>396</v>
      </c>
      <c r="AQ2" s="59" t="s">
        <v>396</v>
      </c>
      <c r="AR2" s="59" t="s">
        <v>396</v>
      </c>
      <c r="AS2" s="59" t="s">
        <v>396</v>
      </c>
      <c r="AT2" s="59" t="s">
        <v>396</v>
      </c>
      <c r="AU2" s="59" t="s">
        <v>396</v>
      </c>
      <c r="AV2" s="59" t="s">
        <v>396</v>
      </c>
      <c r="AW2" s="59" t="s">
        <v>396</v>
      </c>
      <c r="AX2" s="59" t="s">
        <v>396</v>
      </c>
      <c r="AY2" s="59" t="s">
        <v>396</v>
      </c>
      <c r="AZ2" s="59" t="s">
        <v>396</v>
      </c>
      <c r="BA2" s="59" t="s">
        <v>396</v>
      </c>
      <c r="BB2" s="59" t="s">
        <v>396</v>
      </c>
      <c r="BC2" s="59" t="s">
        <v>396</v>
      </c>
      <c r="BD2" s="59" t="s">
        <v>396</v>
      </c>
      <c r="BE2" s="59" t="s">
        <v>396</v>
      </c>
      <c r="BF2" s="59" t="s">
        <v>396</v>
      </c>
      <c r="BG2" s="59" t="s">
        <v>396</v>
      </c>
      <c r="BH2" s="59" t="s">
        <v>396</v>
      </c>
      <c r="BI2" s="59" t="s">
        <v>396</v>
      </c>
      <c r="BJ2" s="59" t="s">
        <v>396</v>
      </c>
      <c r="BK2" s="59" t="s">
        <v>396</v>
      </c>
      <c r="BL2" s="59" t="s">
        <v>396</v>
      </c>
      <c r="BM2" s="59" t="s">
        <v>396</v>
      </c>
      <c r="BN2" s="59" t="s">
        <v>396</v>
      </c>
      <c r="BO2" s="59" t="s">
        <v>396</v>
      </c>
      <c r="BP2" s="59" t="s">
        <v>396</v>
      </c>
      <c r="BQ2" s="59" t="s">
        <v>396</v>
      </c>
      <c r="BR2" s="59" t="s">
        <v>396</v>
      </c>
      <c r="BS2" s="59" t="s">
        <v>396</v>
      </c>
      <c r="BT2" s="59" t="s">
        <v>396</v>
      </c>
      <c r="BU2" s="59" t="s">
        <v>396</v>
      </c>
      <c r="BV2" s="59" t="s">
        <v>396</v>
      </c>
      <c r="BW2" s="59" t="s">
        <v>396</v>
      </c>
      <c r="BX2" s="59" t="s">
        <v>396</v>
      </c>
      <c r="BY2" s="59" t="s">
        <v>396</v>
      </c>
      <c r="BZ2" s="59" t="s">
        <v>396</v>
      </c>
      <c r="CA2" s="59" t="s">
        <v>396</v>
      </c>
      <c r="CB2" s="59" t="s">
        <v>396</v>
      </c>
      <c r="CC2" s="59" t="s">
        <v>396</v>
      </c>
      <c r="CD2" s="59" t="s">
        <v>396</v>
      </c>
      <c r="CE2" s="59" t="s">
        <v>396</v>
      </c>
      <c r="CF2" s="59" t="s">
        <v>396</v>
      </c>
      <c r="CG2" s="59" t="s">
        <v>396</v>
      </c>
      <c r="CH2" s="59" t="s">
        <v>396</v>
      </c>
      <c r="CI2" s="59" t="s">
        <v>396</v>
      </c>
      <c r="CJ2" s="59" t="s">
        <v>396</v>
      </c>
      <c r="CK2" s="59" t="s">
        <v>396</v>
      </c>
      <c r="CL2" s="59" t="s">
        <v>396</v>
      </c>
      <c r="CM2" t="s">
        <v>225</v>
      </c>
      <c r="CN2" s="59" t="s">
        <v>225</v>
      </c>
      <c r="CO2" s="59" t="s">
        <v>225</v>
      </c>
      <c r="CP2" s="59" t="s">
        <v>225</v>
      </c>
      <c r="CQ2" s="59" t="s">
        <v>225</v>
      </c>
      <c r="CR2" s="59" t="s">
        <v>225</v>
      </c>
      <c r="CS2" s="59" t="s">
        <v>225</v>
      </c>
      <c r="CT2" s="59" t="s">
        <v>225</v>
      </c>
      <c r="CU2" s="59" t="s">
        <v>225</v>
      </c>
      <c r="CV2" s="59" t="s">
        <v>225</v>
      </c>
      <c r="CW2" s="59" t="s">
        <v>225</v>
      </c>
      <c r="CX2" s="59" t="s">
        <v>225</v>
      </c>
      <c r="CY2" s="59" t="s">
        <v>225</v>
      </c>
      <c r="CZ2" s="59" t="s">
        <v>225</v>
      </c>
      <c r="DA2" s="59" t="s">
        <v>225</v>
      </c>
      <c r="DB2" s="59" t="s">
        <v>225</v>
      </c>
      <c r="DC2" s="59" t="s">
        <v>225</v>
      </c>
      <c r="DD2" s="59" t="s">
        <v>225</v>
      </c>
      <c r="DE2" t="s">
        <v>394</v>
      </c>
      <c r="DF2" t="s">
        <v>404</v>
      </c>
      <c r="DG2" t="s">
        <v>428</v>
      </c>
      <c r="DH2" t="s">
        <v>429</v>
      </c>
      <c r="DI2" t="s">
        <v>430</v>
      </c>
      <c r="DJ2" t="s">
        <v>465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E205"/>
  <sheetViews>
    <sheetView zoomScale="70" zoomScaleNormal="70" workbookViewId="0">
      <selection activeCell="V3" sqref="V3"/>
    </sheetView>
  </sheetViews>
  <sheetFormatPr defaultRowHeight="14.25" x14ac:dyDescent="0.15"/>
  <cols>
    <col min="1" max="16" width="9" style="47"/>
    <col min="17" max="39" width="9" style="65"/>
    <col min="40" max="40" width="9.625" style="65" customWidth="1"/>
    <col min="41" max="121" width="9" style="65"/>
    <col min="122" max="16384" width="9" style="47"/>
  </cols>
  <sheetData>
    <row r="1" spans="1:161" x14ac:dyDescent="0.15">
      <c r="A1" s="139" t="s">
        <v>164</v>
      </c>
      <c r="B1" s="133" t="s">
        <v>144</v>
      </c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  <c r="O1" s="134"/>
      <c r="P1" s="134"/>
      <c r="Q1" s="134"/>
      <c r="R1" s="134"/>
      <c r="S1" s="134"/>
      <c r="T1" s="134"/>
      <c r="U1" s="135"/>
      <c r="V1" s="133" t="s">
        <v>235</v>
      </c>
      <c r="W1" s="134"/>
      <c r="X1" s="134"/>
      <c r="Y1" s="134"/>
      <c r="Z1" s="134"/>
      <c r="AA1" s="134"/>
      <c r="AB1" s="134"/>
      <c r="AC1" s="134"/>
      <c r="AD1" s="134"/>
      <c r="AE1" s="134"/>
      <c r="AF1" s="134"/>
      <c r="AG1" s="134"/>
      <c r="AH1" s="134"/>
      <c r="AI1" s="134"/>
      <c r="AJ1" s="134"/>
      <c r="AK1" s="134"/>
      <c r="AL1" s="134"/>
      <c r="AM1" s="134"/>
      <c r="AN1" s="134"/>
      <c r="AO1" s="135"/>
      <c r="AP1" s="133" t="s">
        <v>236</v>
      </c>
      <c r="AQ1" s="134"/>
      <c r="AR1" s="134"/>
      <c r="AS1" s="134"/>
      <c r="AT1" s="134"/>
      <c r="AU1" s="134"/>
      <c r="AV1" s="134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5"/>
      <c r="BJ1" s="133" t="s">
        <v>237</v>
      </c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5"/>
      <c r="CD1" s="133" t="s">
        <v>162</v>
      </c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5"/>
      <c r="CX1" s="133" t="s">
        <v>163</v>
      </c>
      <c r="CY1" s="134"/>
      <c r="CZ1" s="134"/>
      <c r="DA1" s="134"/>
      <c r="DB1" s="134"/>
      <c r="DC1" s="134"/>
      <c r="DD1" s="134"/>
      <c r="DE1" s="134"/>
      <c r="DF1" s="134"/>
      <c r="DG1" s="134"/>
      <c r="DH1" s="134"/>
      <c r="DI1" s="134"/>
      <c r="DJ1" s="134"/>
      <c r="DK1" s="134"/>
      <c r="DL1" s="134"/>
      <c r="DM1" s="134"/>
      <c r="DN1" s="134"/>
      <c r="DO1" s="134"/>
      <c r="DP1" s="134"/>
      <c r="DQ1" s="135"/>
      <c r="DR1" s="133" t="s">
        <v>238</v>
      </c>
      <c r="DS1" s="134"/>
      <c r="DT1" s="134"/>
      <c r="DU1" s="134"/>
      <c r="DV1" s="134"/>
      <c r="DW1" s="134"/>
      <c r="DX1" s="134"/>
      <c r="DY1" s="134"/>
      <c r="DZ1" s="134"/>
      <c r="EA1" s="134"/>
      <c r="EB1" s="134"/>
      <c r="EC1" s="134"/>
      <c r="ED1" s="134"/>
      <c r="EE1" s="134"/>
      <c r="EF1" s="134"/>
      <c r="EG1" s="134"/>
      <c r="EH1" s="134"/>
      <c r="EI1" s="134"/>
      <c r="EJ1" s="134"/>
      <c r="EK1" s="135"/>
      <c r="EL1" s="136" t="s">
        <v>166</v>
      </c>
      <c r="EM1" s="137"/>
      <c r="EN1" s="137"/>
      <c r="EO1" s="137"/>
      <c r="EP1" s="137"/>
      <c r="EQ1" s="137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8"/>
    </row>
    <row r="2" spans="1:161" x14ac:dyDescent="0.15">
      <c r="A2" s="14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11</v>
      </c>
      <c r="M2" s="40">
        <v>12</v>
      </c>
      <c r="N2" s="40">
        <v>13</v>
      </c>
      <c r="O2" s="40">
        <v>14</v>
      </c>
      <c r="P2" s="40">
        <v>15</v>
      </c>
      <c r="Q2" s="40">
        <v>16</v>
      </c>
      <c r="R2" s="40">
        <v>17</v>
      </c>
      <c r="S2" s="40">
        <v>18</v>
      </c>
      <c r="T2" s="40">
        <v>19</v>
      </c>
      <c r="U2" s="40">
        <v>20</v>
      </c>
      <c r="V2" s="40">
        <v>1</v>
      </c>
      <c r="W2" s="40">
        <v>2</v>
      </c>
      <c r="X2" s="40">
        <v>3</v>
      </c>
      <c r="Y2" s="40">
        <v>4</v>
      </c>
      <c r="Z2" s="40">
        <v>5</v>
      </c>
      <c r="AA2" s="40">
        <v>6</v>
      </c>
      <c r="AB2" s="40">
        <v>7</v>
      </c>
      <c r="AC2" s="40">
        <v>8</v>
      </c>
      <c r="AD2" s="40">
        <v>9</v>
      </c>
      <c r="AE2" s="40">
        <v>10</v>
      </c>
      <c r="AF2" s="40">
        <v>11</v>
      </c>
      <c r="AG2" s="40">
        <v>12</v>
      </c>
      <c r="AH2" s="40">
        <v>13</v>
      </c>
      <c r="AI2" s="40">
        <v>14</v>
      </c>
      <c r="AJ2" s="40">
        <v>15</v>
      </c>
      <c r="AK2" s="40">
        <v>16</v>
      </c>
      <c r="AL2" s="40">
        <v>17</v>
      </c>
      <c r="AM2" s="40">
        <v>18</v>
      </c>
      <c r="AN2" s="40">
        <v>19</v>
      </c>
      <c r="AO2" s="40">
        <v>20</v>
      </c>
      <c r="AP2" s="40">
        <v>1</v>
      </c>
      <c r="AQ2" s="40">
        <v>2</v>
      </c>
      <c r="AR2" s="40">
        <v>3</v>
      </c>
      <c r="AS2" s="40">
        <v>4</v>
      </c>
      <c r="AT2" s="40">
        <v>5</v>
      </c>
      <c r="AU2" s="40">
        <v>6</v>
      </c>
      <c r="AV2" s="40">
        <v>7</v>
      </c>
      <c r="AW2" s="40">
        <v>8</v>
      </c>
      <c r="AX2" s="40">
        <v>9</v>
      </c>
      <c r="AY2" s="40">
        <v>10</v>
      </c>
      <c r="AZ2" s="40">
        <v>11</v>
      </c>
      <c r="BA2" s="40">
        <v>12</v>
      </c>
      <c r="BB2" s="40">
        <v>13</v>
      </c>
      <c r="BC2" s="40">
        <v>14</v>
      </c>
      <c r="BD2" s="40">
        <v>15</v>
      </c>
      <c r="BE2" s="40">
        <v>16</v>
      </c>
      <c r="BF2" s="40">
        <v>17</v>
      </c>
      <c r="BG2" s="40">
        <v>18</v>
      </c>
      <c r="BH2" s="40">
        <v>19</v>
      </c>
      <c r="BI2" s="40">
        <v>20</v>
      </c>
      <c r="BJ2" s="40">
        <v>1</v>
      </c>
      <c r="BK2" s="40">
        <v>2</v>
      </c>
      <c r="BL2" s="40">
        <v>3</v>
      </c>
      <c r="BM2" s="40">
        <v>4</v>
      </c>
      <c r="BN2" s="40">
        <v>5</v>
      </c>
      <c r="BO2" s="40">
        <v>6</v>
      </c>
      <c r="BP2" s="40">
        <v>7</v>
      </c>
      <c r="BQ2" s="40">
        <v>8</v>
      </c>
      <c r="BR2" s="40">
        <v>9</v>
      </c>
      <c r="BS2" s="40">
        <v>10</v>
      </c>
      <c r="BT2" s="40">
        <v>11</v>
      </c>
      <c r="BU2" s="40">
        <v>12</v>
      </c>
      <c r="BV2" s="40">
        <v>13</v>
      </c>
      <c r="BW2" s="40">
        <v>14</v>
      </c>
      <c r="BX2" s="40">
        <v>15</v>
      </c>
      <c r="BY2" s="40">
        <v>16</v>
      </c>
      <c r="BZ2" s="40">
        <v>17</v>
      </c>
      <c r="CA2" s="40">
        <v>18</v>
      </c>
      <c r="CB2" s="40">
        <v>19</v>
      </c>
      <c r="CC2" s="40">
        <v>20</v>
      </c>
      <c r="CD2" s="40">
        <v>1</v>
      </c>
      <c r="CE2" s="40">
        <v>2</v>
      </c>
      <c r="CF2" s="40">
        <v>3</v>
      </c>
      <c r="CG2" s="40">
        <v>4</v>
      </c>
      <c r="CH2" s="40">
        <v>5</v>
      </c>
      <c r="CI2" s="40">
        <v>6</v>
      </c>
      <c r="CJ2" s="40">
        <v>7</v>
      </c>
      <c r="CK2" s="40">
        <v>8</v>
      </c>
      <c r="CL2" s="40">
        <v>9</v>
      </c>
      <c r="CM2" s="40">
        <v>10</v>
      </c>
      <c r="CN2" s="40">
        <v>11</v>
      </c>
      <c r="CO2" s="40">
        <v>12</v>
      </c>
      <c r="CP2" s="40">
        <v>13</v>
      </c>
      <c r="CQ2" s="40">
        <v>14</v>
      </c>
      <c r="CR2" s="40">
        <v>15</v>
      </c>
      <c r="CS2" s="40">
        <v>16</v>
      </c>
      <c r="CT2" s="40">
        <v>17</v>
      </c>
      <c r="CU2" s="40">
        <v>18</v>
      </c>
      <c r="CV2" s="40">
        <v>19</v>
      </c>
      <c r="CW2" s="40">
        <v>20</v>
      </c>
      <c r="CX2" s="40">
        <v>1</v>
      </c>
      <c r="CY2" s="40">
        <v>2</v>
      </c>
      <c r="CZ2" s="40">
        <v>3</v>
      </c>
      <c r="DA2" s="40">
        <v>4</v>
      </c>
      <c r="DB2" s="40">
        <v>5</v>
      </c>
      <c r="DC2" s="40">
        <v>6</v>
      </c>
      <c r="DD2" s="40">
        <v>7</v>
      </c>
      <c r="DE2" s="40">
        <v>8</v>
      </c>
      <c r="DF2" s="40">
        <v>9</v>
      </c>
      <c r="DG2" s="40">
        <v>10</v>
      </c>
      <c r="DH2" s="40">
        <v>11</v>
      </c>
      <c r="DI2" s="40">
        <v>12</v>
      </c>
      <c r="DJ2" s="40">
        <v>13</v>
      </c>
      <c r="DK2" s="40">
        <v>14</v>
      </c>
      <c r="DL2" s="40">
        <v>15</v>
      </c>
      <c r="DM2" s="40">
        <v>16</v>
      </c>
      <c r="DN2" s="40">
        <v>17</v>
      </c>
      <c r="DO2" s="40">
        <v>18</v>
      </c>
      <c r="DP2" s="40">
        <v>19</v>
      </c>
      <c r="DQ2" s="40">
        <v>20</v>
      </c>
      <c r="DR2" s="40">
        <v>1</v>
      </c>
      <c r="DS2" s="40">
        <v>2</v>
      </c>
      <c r="DT2" s="40">
        <v>3</v>
      </c>
      <c r="DU2" s="40">
        <v>4</v>
      </c>
      <c r="DV2" s="40">
        <v>5</v>
      </c>
      <c r="DW2" s="40">
        <v>6</v>
      </c>
      <c r="DX2" s="40">
        <v>7</v>
      </c>
      <c r="DY2" s="40">
        <v>8</v>
      </c>
      <c r="DZ2" s="40">
        <v>9</v>
      </c>
      <c r="EA2" s="40">
        <v>10</v>
      </c>
      <c r="EB2" s="40">
        <v>11</v>
      </c>
      <c r="EC2" s="40">
        <v>12</v>
      </c>
      <c r="ED2" s="40">
        <v>13</v>
      </c>
      <c r="EE2" s="40">
        <v>14</v>
      </c>
      <c r="EF2" s="40">
        <v>15</v>
      </c>
      <c r="EG2" s="40">
        <v>16</v>
      </c>
      <c r="EH2" s="40">
        <v>17</v>
      </c>
      <c r="EI2" s="40">
        <v>18</v>
      </c>
      <c r="EJ2" s="40">
        <v>19</v>
      </c>
      <c r="EK2" s="40">
        <v>20</v>
      </c>
      <c r="EL2" s="48">
        <v>1</v>
      </c>
      <c r="EM2" s="48">
        <v>2</v>
      </c>
      <c r="EN2" s="48">
        <v>3</v>
      </c>
      <c r="EO2" s="48">
        <v>4</v>
      </c>
      <c r="EP2" s="48">
        <v>5</v>
      </c>
      <c r="EQ2" s="48">
        <v>6</v>
      </c>
      <c r="ER2" s="48">
        <v>7</v>
      </c>
      <c r="ES2" s="48">
        <v>8</v>
      </c>
      <c r="ET2" s="48">
        <v>9</v>
      </c>
      <c r="EU2" s="48">
        <v>10</v>
      </c>
      <c r="EV2" s="48">
        <v>11</v>
      </c>
      <c r="EW2" s="48">
        <v>12</v>
      </c>
      <c r="EX2" s="48">
        <v>13</v>
      </c>
      <c r="EY2" s="48">
        <v>14</v>
      </c>
      <c r="EZ2" s="48">
        <v>15</v>
      </c>
      <c r="FA2" s="48">
        <v>16</v>
      </c>
      <c r="FB2" s="48">
        <v>17</v>
      </c>
      <c r="FC2" s="48">
        <v>18</v>
      </c>
      <c r="FD2" s="48">
        <v>19</v>
      </c>
      <c r="FE2" s="48">
        <v>20</v>
      </c>
    </row>
    <row r="3" spans="1:161" x14ac:dyDescent="0.15">
      <c r="A3" s="46">
        <v>1</v>
      </c>
      <c r="B3" s="43">
        <f t="shared" ref="B3:U3" si="0">B204*3600/sample_interval</f>
        <v>0</v>
      </c>
      <c r="C3" s="43">
        <f t="shared" si="0"/>
        <v>0</v>
      </c>
      <c r="D3" s="43">
        <f t="shared" si="0"/>
        <v>0</v>
      </c>
      <c r="E3" s="43">
        <f t="shared" si="0"/>
        <v>0</v>
      </c>
      <c r="F3" s="43">
        <f t="shared" si="0"/>
        <v>0</v>
      </c>
      <c r="G3" s="43">
        <f t="shared" si="0"/>
        <v>0</v>
      </c>
      <c r="H3" s="43">
        <f t="shared" si="0"/>
        <v>0</v>
      </c>
      <c r="I3" s="43">
        <f t="shared" si="0"/>
        <v>0</v>
      </c>
      <c r="J3" s="43">
        <f t="shared" si="0"/>
        <v>0</v>
      </c>
      <c r="K3" s="43">
        <f t="shared" si="0"/>
        <v>0</v>
      </c>
      <c r="L3" s="43">
        <f t="shared" si="0"/>
        <v>0</v>
      </c>
      <c r="M3" s="43">
        <f t="shared" si="0"/>
        <v>0</v>
      </c>
      <c r="N3" s="43">
        <f t="shared" si="0"/>
        <v>0</v>
      </c>
      <c r="O3" s="43">
        <f t="shared" si="0"/>
        <v>0</v>
      </c>
      <c r="P3" s="43">
        <f t="shared" si="0"/>
        <v>0</v>
      </c>
      <c r="Q3" s="43">
        <f t="shared" si="0"/>
        <v>0</v>
      </c>
      <c r="R3" s="43">
        <f t="shared" si="0"/>
        <v>0</v>
      </c>
      <c r="S3" s="43">
        <f t="shared" si="0"/>
        <v>0</v>
      </c>
      <c r="T3" s="43">
        <f t="shared" si="0"/>
        <v>0</v>
      </c>
      <c r="U3" s="43">
        <f t="shared" si="0"/>
        <v>0</v>
      </c>
      <c r="V3" s="48">
        <f>(MAX((B205+B203-B204),1))/(B191*V195)</f>
        <v>0.14997146792822666</v>
      </c>
      <c r="W3" s="48">
        <f t="shared" ref="W3:AO3" si="1">(MAX((C205+C203-C204),1))/(C191*W195)</f>
        <v>0.37796151747013723</v>
      </c>
      <c r="X3" s="48">
        <f t="shared" si="1"/>
        <v>0.39782042147482377</v>
      </c>
      <c r="Y3" s="48">
        <f t="shared" si="1"/>
        <v>0.14702448898698364</v>
      </c>
      <c r="Z3" s="48">
        <f t="shared" si="1"/>
        <v>0.10770574274095604</v>
      </c>
      <c r="AA3" s="48">
        <f t="shared" si="1"/>
        <v>0.1019757599539559</v>
      </c>
      <c r="AB3" s="48">
        <f t="shared" si="1"/>
        <v>8.99036736079495E-2</v>
      </c>
      <c r="AC3" s="48">
        <f t="shared" si="1"/>
        <v>0.14226038088225335</v>
      </c>
      <c r="AD3" s="48">
        <f t="shared" si="1"/>
        <v>5.6022308531435701E-2</v>
      </c>
      <c r="AE3" s="48">
        <f t="shared" si="1"/>
        <v>3.9568594691287394E-2</v>
      </c>
      <c r="AF3" s="48">
        <f t="shared" si="1"/>
        <v>0.11676192104185262</v>
      </c>
      <c r="AG3" s="48">
        <f t="shared" si="1"/>
        <v>5.704608091142295E-2</v>
      </c>
      <c r="AH3" s="48">
        <f t="shared" si="1"/>
        <v>9.804817459791422E-2</v>
      </c>
      <c r="AI3" s="48">
        <f t="shared" si="1"/>
        <v>9.0122566690699346E-2</v>
      </c>
      <c r="AJ3" s="48">
        <f t="shared" si="1"/>
        <v>0.10164456845985306</v>
      </c>
      <c r="AK3" s="48">
        <f t="shared" si="1"/>
        <v>0.11376141069609812</v>
      </c>
      <c r="AL3" s="48">
        <f t="shared" si="1"/>
        <v>0.14710617873900875</v>
      </c>
      <c r="AM3" s="48">
        <f t="shared" si="1"/>
        <v>1.2322950015650167</v>
      </c>
      <c r="AN3" s="48">
        <f t="shared" si="1"/>
        <v>0.14139247837260652</v>
      </c>
      <c r="AO3" s="48">
        <f t="shared" si="1"/>
        <v>0.16273530711732631</v>
      </c>
      <c r="AP3" s="42">
        <v>0</v>
      </c>
      <c r="AQ3" s="42">
        <v>0</v>
      </c>
      <c r="AR3" s="42">
        <v>0</v>
      </c>
      <c r="AS3" s="42">
        <v>0</v>
      </c>
      <c r="AT3" s="42">
        <v>0</v>
      </c>
      <c r="AU3" s="42">
        <v>0</v>
      </c>
      <c r="AV3" s="42">
        <v>0</v>
      </c>
      <c r="AW3" s="42">
        <v>0</v>
      </c>
      <c r="AX3" s="42">
        <v>0</v>
      </c>
      <c r="AY3" s="42">
        <v>0</v>
      </c>
      <c r="AZ3" s="42">
        <v>0</v>
      </c>
      <c r="BA3" s="42">
        <v>0</v>
      </c>
      <c r="BB3" s="42">
        <v>0</v>
      </c>
      <c r="BC3" s="42">
        <v>0</v>
      </c>
      <c r="BD3" s="42">
        <v>0</v>
      </c>
      <c r="BE3" s="42">
        <v>0</v>
      </c>
      <c r="BF3" s="42">
        <v>0</v>
      </c>
      <c r="BG3" s="42">
        <v>0</v>
      </c>
      <c r="BH3" s="42">
        <v>0</v>
      </c>
      <c r="BI3" s="42">
        <v>0</v>
      </c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43"/>
      <c r="CE3" s="43"/>
      <c r="CF3" s="43"/>
      <c r="CG3" s="43"/>
      <c r="CH3" s="43"/>
      <c r="CI3" s="43"/>
      <c r="CJ3" s="43"/>
      <c r="CK3" s="43"/>
      <c r="CL3" s="43"/>
      <c r="CM3" s="43"/>
      <c r="CN3" s="43"/>
      <c r="CO3" s="43"/>
      <c r="CP3" s="43"/>
      <c r="CQ3" s="43"/>
      <c r="CR3" s="43">
        <v>1</v>
      </c>
      <c r="CS3" s="43"/>
      <c r="CT3" s="43"/>
      <c r="CU3" s="43"/>
      <c r="CV3" s="43"/>
      <c r="CW3" s="43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45">
        <v>1</v>
      </c>
      <c r="DS3" s="45">
        <v>1</v>
      </c>
      <c r="DT3" s="45">
        <v>1</v>
      </c>
      <c r="DU3" s="45">
        <v>1</v>
      </c>
      <c r="DV3" s="45">
        <v>1</v>
      </c>
      <c r="DW3" s="45">
        <v>0.75</v>
      </c>
      <c r="DX3" s="45">
        <v>0.5</v>
      </c>
      <c r="DY3" s="45">
        <v>0.79166666666666663</v>
      </c>
      <c r="DZ3" s="45">
        <v>0.75</v>
      </c>
      <c r="EA3" s="45">
        <v>1</v>
      </c>
      <c r="EB3" s="45">
        <v>1</v>
      </c>
      <c r="EC3" s="45">
        <v>1</v>
      </c>
      <c r="ED3" s="45">
        <v>1</v>
      </c>
      <c r="EE3" s="45">
        <v>1</v>
      </c>
      <c r="EF3" s="45">
        <v>1</v>
      </c>
      <c r="EG3" s="45">
        <v>1</v>
      </c>
      <c r="EH3" s="45">
        <v>1</v>
      </c>
      <c r="EI3" s="45">
        <v>1</v>
      </c>
      <c r="EJ3" s="45">
        <v>1</v>
      </c>
      <c r="EK3" s="45">
        <v>1</v>
      </c>
      <c r="EL3" s="50"/>
      <c r="EM3" s="50"/>
      <c r="EN3" s="50"/>
      <c r="EO3" s="50"/>
      <c r="EP3" s="50"/>
      <c r="EQ3" s="50"/>
      <c r="ER3" s="50"/>
      <c r="ES3" s="50"/>
      <c r="ET3" s="50"/>
      <c r="EU3" s="50"/>
      <c r="EV3" s="50"/>
      <c r="EW3" s="50"/>
      <c r="EX3" s="50"/>
      <c r="EY3" s="50"/>
      <c r="EZ3" s="50"/>
      <c r="FA3" s="50"/>
      <c r="FB3" s="50"/>
      <c r="FC3" s="50"/>
      <c r="FD3" s="50"/>
      <c r="FE3" s="50"/>
    </row>
    <row r="4" spans="1:161" x14ac:dyDescent="0.15">
      <c r="A4" s="46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52"/>
      <c r="CC4" s="52"/>
      <c r="CD4" s="43"/>
      <c r="CE4" s="43"/>
      <c r="CF4" s="43"/>
      <c r="CG4" s="43"/>
      <c r="CH4" s="43"/>
      <c r="CI4" s="43"/>
      <c r="CJ4" s="43"/>
      <c r="CK4" s="43"/>
      <c r="CL4" s="43"/>
      <c r="CM4" s="43"/>
      <c r="CN4" s="43"/>
      <c r="CO4" s="43"/>
      <c r="CP4" s="43"/>
      <c r="CQ4" s="43"/>
      <c r="CR4" s="43">
        <v>1</v>
      </c>
      <c r="CS4" s="43"/>
      <c r="CT4" s="43"/>
      <c r="CU4" s="43"/>
      <c r="CV4" s="43"/>
      <c r="CW4" s="43"/>
      <c r="CX4" s="52"/>
      <c r="CY4" s="52"/>
      <c r="CZ4" s="52"/>
      <c r="DA4" s="52"/>
      <c r="DB4" s="52"/>
      <c r="DC4" s="52"/>
      <c r="DD4" s="52"/>
      <c r="DE4" s="52"/>
      <c r="DF4" s="52"/>
      <c r="DG4" s="52"/>
      <c r="DH4" s="52"/>
      <c r="DI4" s="52"/>
      <c r="DJ4" s="52"/>
      <c r="DK4" s="52"/>
      <c r="DL4" s="52"/>
      <c r="DM4" s="52"/>
      <c r="DN4" s="52"/>
      <c r="DO4" s="52"/>
      <c r="DP4" s="52"/>
      <c r="DQ4" s="52"/>
      <c r="DR4" s="43">
        <v>1</v>
      </c>
      <c r="DS4" s="43">
        <v>1</v>
      </c>
      <c r="DT4" s="43">
        <v>1</v>
      </c>
      <c r="DU4" s="43">
        <v>1</v>
      </c>
      <c r="DV4" s="43">
        <v>1</v>
      </c>
      <c r="DW4" s="43">
        <v>1</v>
      </c>
      <c r="DX4" s="43">
        <v>1</v>
      </c>
      <c r="DY4" s="43">
        <v>1</v>
      </c>
      <c r="DZ4" s="43">
        <v>1</v>
      </c>
      <c r="EA4" s="43">
        <v>1</v>
      </c>
      <c r="EB4" s="43">
        <v>1</v>
      </c>
      <c r="EC4" s="43">
        <v>1</v>
      </c>
      <c r="ED4" s="43">
        <v>1</v>
      </c>
      <c r="EE4" s="43">
        <v>1</v>
      </c>
      <c r="EF4" s="43">
        <v>1</v>
      </c>
      <c r="EG4" s="43">
        <v>1</v>
      </c>
      <c r="EH4" s="43">
        <v>1</v>
      </c>
      <c r="EI4" s="43">
        <v>1</v>
      </c>
      <c r="EJ4" s="43">
        <v>1</v>
      </c>
      <c r="EK4" s="43">
        <v>1</v>
      </c>
      <c r="EL4" s="50"/>
      <c r="EM4" s="50"/>
      <c r="EN4" s="50"/>
      <c r="EO4" s="50"/>
      <c r="EP4" s="50"/>
      <c r="EQ4" s="50"/>
      <c r="ER4" s="50"/>
      <c r="ES4" s="50"/>
      <c r="ET4" s="50"/>
      <c r="EU4" s="50"/>
      <c r="EV4" s="50"/>
      <c r="EW4" s="50"/>
      <c r="EX4" s="50"/>
      <c r="EY4" s="50"/>
      <c r="EZ4" s="50"/>
      <c r="FA4" s="50"/>
      <c r="FB4" s="50"/>
      <c r="FC4" s="50"/>
      <c r="FD4" s="50"/>
      <c r="FE4" s="50"/>
    </row>
    <row r="5" spans="1:161" x14ac:dyDescent="0.15">
      <c r="A5" s="46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43"/>
      <c r="CE5" s="43"/>
      <c r="CF5" s="43"/>
      <c r="CG5" s="43"/>
      <c r="CH5" s="43"/>
      <c r="CI5" s="43"/>
      <c r="CJ5" s="43"/>
      <c r="CK5" s="43"/>
      <c r="CL5" s="43"/>
      <c r="CM5" s="43"/>
      <c r="CN5" s="43"/>
      <c r="CO5" s="43"/>
      <c r="CP5" s="43"/>
      <c r="CQ5" s="43"/>
      <c r="CR5" s="43">
        <v>1</v>
      </c>
      <c r="CS5" s="43"/>
      <c r="CT5" s="43"/>
      <c r="CU5" s="43"/>
      <c r="CV5" s="43"/>
      <c r="CW5" s="43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43">
        <v>1</v>
      </c>
      <c r="DS5" s="43">
        <v>1</v>
      </c>
      <c r="DT5" s="43">
        <v>1</v>
      </c>
      <c r="DU5" s="43">
        <v>1</v>
      </c>
      <c r="DV5" s="43">
        <v>1</v>
      </c>
      <c r="DW5" s="43">
        <v>1</v>
      </c>
      <c r="DX5" s="43">
        <v>1</v>
      </c>
      <c r="DY5" s="43">
        <v>1</v>
      </c>
      <c r="DZ5" s="43">
        <v>1</v>
      </c>
      <c r="EA5" s="43">
        <v>1</v>
      </c>
      <c r="EB5" s="43">
        <v>1</v>
      </c>
      <c r="EC5" s="43">
        <v>1</v>
      </c>
      <c r="ED5" s="43">
        <v>1</v>
      </c>
      <c r="EE5" s="43">
        <v>1</v>
      </c>
      <c r="EF5" s="43">
        <v>1</v>
      </c>
      <c r="EG5" s="43">
        <v>1</v>
      </c>
      <c r="EH5" s="43">
        <v>1</v>
      </c>
      <c r="EI5" s="43">
        <v>1</v>
      </c>
      <c r="EJ5" s="43">
        <v>1</v>
      </c>
      <c r="EK5" s="43">
        <v>1</v>
      </c>
      <c r="EL5" s="50"/>
      <c r="EM5" s="50"/>
      <c r="EN5" s="50"/>
      <c r="EO5" s="50"/>
      <c r="EP5" s="50"/>
      <c r="EQ5" s="50"/>
      <c r="ER5" s="50"/>
      <c r="ES5" s="50"/>
      <c r="ET5" s="50"/>
      <c r="EU5" s="50"/>
      <c r="EV5" s="50"/>
      <c r="EW5" s="50"/>
      <c r="EX5" s="50"/>
      <c r="EY5" s="50"/>
      <c r="EZ5" s="50"/>
      <c r="FA5" s="50"/>
      <c r="FB5" s="50"/>
      <c r="FC5" s="50"/>
      <c r="FD5" s="50"/>
      <c r="FE5" s="50"/>
    </row>
    <row r="6" spans="1:161" x14ac:dyDescent="0.15">
      <c r="A6" s="46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52"/>
      <c r="W6" s="52"/>
      <c r="X6" s="52"/>
      <c r="Y6" s="52"/>
      <c r="Z6" s="52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M6" s="52"/>
      <c r="AN6" s="52"/>
      <c r="AO6" s="52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52"/>
      <c r="BK6" s="52"/>
      <c r="BL6" s="52"/>
      <c r="BM6" s="52"/>
      <c r="BN6" s="52"/>
      <c r="BO6" s="52"/>
      <c r="BP6" s="52"/>
      <c r="BQ6" s="52"/>
      <c r="BR6" s="52"/>
      <c r="BS6" s="52"/>
      <c r="BT6" s="52"/>
      <c r="BU6" s="52"/>
      <c r="BV6" s="52"/>
      <c r="BW6" s="52"/>
      <c r="BX6" s="52"/>
      <c r="BY6" s="52"/>
      <c r="BZ6" s="52"/>
      <c r="CA6" s="52"/>
      <c r="CB6" s="52"/>
      <c r="CC6" s="52"/>
      <c r="CD6" s="43"/>
      <c r="CE6" s="43"/>
      <c r="CF6" s="43"/>
      <c r="CG6" s="43"/>
      <c r="CH6" s="43"/>
      <c r="CI6" s="43"/>
      <c r="CJ6" s="43"/>
      <c r="CK6" s="43"/>
      <c r="CL6" s="43"/>
      <c r="CM6" s="43"/>
      <c r="CN6" s="43"/>
      <c r="CO6" s="43"/>
      <c r="CP6" s="43"/>
      <c r="CQ6" s="43"/>
      <c r="CR6" s="43">
        <v>1</v>
      </c>
      <c r="CS6" s="43"/>
      <c r="CT6" s="43"/>
      <c r="CU6" s="43"/>
      <c r="CV6" s="43"/>
      <c r="CW6" s="43"/>
      <c r="CX6" s="52"/>
      <c r="CY6" s="52"/>
      <c r="CZ6" s="52"/>
      <c r="DA6" s="52"/>
      <c r="DB6" s="52"/>
      <c r="DC6" s="52"/>
      <c r="DD6" s="52"/>
      <c r="DE6" s="52"/>
      <c r="DF6" s="52"/>
      <c r="DG6" s="52"/>
      <c r="DH6" s="52"/>
      <c r="DI6" s="52"/>
      <c r="DJ6" s="52"/>
      <c r="DK6" s="52"/>
      <c r="DL6" s="52"/>
      <c r="DM6" s="52"/>
      <c r="DN6" s="52"/>
      <c r="DO6" s="52"/>
      <c r="DP6" s="52"/>
      <c r="DQ6" s="52"/>
      <c r="DR6" s="43">
        <v>1</v>
      </c>
      <c r="DS6" s="43">
        <v>1</v>
      </c>
      <c r="DT6" s="43">
        <v>1</v>
      </c>
      <c r="DU6" s="43">
        <v>1</v>
      </c>
      <c r="DV6" s="43">
        <v>1</v>
      </c>
      <c r="DW6" s="43">
        <v>1</v>
      </c>
      <c r="DX6" s="43">
        <v>1</v>
      </c>
      <c r="DY6" s="43">
        <v>1</v>
      </c>
      <c r="DZ6" s="43">
        <v>1</v>
      </c>
      <c r="EA6" s="43">
        <v>1</v>
      </c>
      <c r="EB6" s="43">
        <v>1</v>
      </c>
      <c r="EC6" s="43">
        <v>1</v>
      </c>
      <c r="ED6" s="43">
        <v>1</v>
      </c>
      <c r="EE6" s="43">
        <v>1</v>
      </c>
      <c r="EF6" s="43">
        <v>1</v>
      </c>
      <c r="EG6" s="43">
        <v>1</v>
      </c>
      <c r="EH6" s="43">
        <v>1</v>
      </c>
      <c r="EI6" s="43">
        <v>1</v>
      </c>
      <c r="EJ6" s="43">
        <v>1</v>
      </c>
      <c r="EK6" s="43">
        <v>1</v>
      </c>
      <c r="EL6" s="50"/>
      <c r="EM6" s="50"/>
      <c r="EN6" s="50"/>
      <c r="EO6" s="50"/>
      <c r="EP6" s="50"/>
      <c r="EQ6" s="50"/>
      <c r="ER6" s="50"/>
      <c r="ES6" s="50"/>
      <c r="ET6" s="50"/>
      <c r="EU6" s="50"/>
      <c r="EV6" s="50"/>
      <c r="EW6" s="50"/>
      <c r="EX6" s="50"/>
      <c r="EY6" s="50"/>
      <c r="EZ6" s="50"/>
      <c r="FA6" s="50"/>
      <c r="FB6" s="50"/>
      <c r="FC6" s="50"/>
      <c r="FD6" s="50"/>
      <c r="FE6" s="50"/>
    </row>
    <row r="7" spans="1:161" x14ac:dyDescent="0.15">
      <c r="A7" s="46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52"/>
      <c r="W7" s="52"/>
      <c r="X7" s="52"/>
      <c r="Y7" s="52"/>
      <c r="Z7" s="52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M7" s="52"/>
      <c r="AN7" s="52"/>
      <c r="AO7" s="52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52"/>
      <c r="BK7" s="52"/>
      <c r="BL7" s="52"/>
      <c r="BM7" s="52"/>
      <c r="BN7" s="52"/>
      <c r="BO7" s="52"/>
      <c r="BP7" s="52"/>
      <c r="BQ7" s="52"/>
      <c r="BR7" s="52"/>
      <c r="BS7" s="52"/>
      <c r="BT7" s="52"/>
      <c r="BU7" s="52"/>
      <c r="BV7" s="52"/>
      <c r="BW7" s="52"/>
      <c r="BX7" s="52"/>
      <c r="BY7" s="52"/>
      <c r="BZ7" s="52"/>
      <c r="CA7" s="52"/>
      <c r="CB7" s="52"/>
      <c r="CC7" s="52"/>
      <c r="CD7" s="43"/>
      <c r="CE7" s="43"/>
      <c r="CF7" s="43"/>
      <c r="CG7" s="43"/>
      <c r="CH7" s="43"/>
      <c r="CI7" s="43"/>
      <c r="CJ7" s="43"/>
      <c r="CK7" s="43"/>
      <c r="CL7" s="43"/>
      <c r="CM7" s="43"/>
      <c r="CN7" s="43"/>
      <c r="CO7" s="43"/>
      <c r="CP7" s="43"/>
      <c r="CQ7" s="43"/>
      <c r="CR7" s="43">
        <v>1</v>
      </c>
      <c r="CS7" s="43"/>
      <c r="CT7" s="43"/>
      <c r="CU7" s="43"/>
      <c r="CV7" s="43"/>
      <c r="CW7" s="43"/>
      <c r="CX7" s="52"/>
      <c r="CY7" s="52"/>
      <c r="CZ7" s="52"/>
      <c r="DA7" s="52"/>
      <c r="DB7" s="52"/>
      <c r="DC7" s="52"/>
      <c r="DD7" s="52"/>
      <c r="DE7" s="52"/>
      <c r="DF7" s="52"/>
      <c r="DG7" s="52"/>
      <c r="DH7" s="52"/>
      <c r="DI7" s="52"/>
      <c r="DJ7" s="52"/>
      <c r="DK7" s="52"/>
      <c r="DL7" s="52"/>
      <c r="DM7" s="52"/>
      <c r="DN7" s="52"/>
      <c r="DO7" s="52"/>
      <c r="DP7" s="52"/>
      <c r="DQ7" s="52"/>
      <c r="DR7" s="43">
        <v>1</v>
      </c>
      <c r="DS7" s="43">
        <v>1</v>
      </c>
      <c r="DT7" s="43">
        <v>1</v>
      </c>
      <c r="DU7" s="43">
        <v>1</v>
      </c>
      <c r="DV7" s="43">
        <v>1</v>
      </c>
      <c r="DW7" s="43">
        <v>1</v>
      </c>
      <c r="DX7" s="43">
        <v>1</v>
      </c>
      <c r="DY7" s="43">
        <v>1</v>
      </c>
      <c r="DZ7" s="43">
        <v>1</v>
      </c>
      <c r="EA7" s="43">
        <v>1</v>
      </c>
      <c r="EB7" s="43">
        <v>1</v>
      </c>
      <c r="EC7" s="43">
        <v>1</v>
      </c>
      <c r="ED7" s="43">
        <v>1</v>
      </c>
      <c r="EE7" s="43">
        <v>1</v>
      </c>
      <c r="EF7" s="43">
        <v>1</v>
      </c>
      <c r="EG7" s="43">
        <v>1</v>
      </c>
      <c r="EH7" s="43">
        <v>1</v>
      </c>
      <c r="EI7" s="43">
        <v>1</v>
      </c>
      <c r="EJ7" s="43">
        <v>1</v>
      </c>
      <c r="EK7" s="43">
        <v>1</v>
      </c>
      <c r="EL7" s="50"/>
      <c r="EM7" s="50"/>
      <c r="EN7" s="50"/>
      <c r="EO7" s="50"/>
      <c r="EP7" s="50"/>
      <c r="EQ7" s="50"/>
      <c r="ER7" s="50"/>
      <c r="ES7" s="50"/>
      <c r="ET7" s="50"/>
      <c r="EU7" s="50"/>
      <c r="EV7" s="50"/>
      <c r="EW7" s="50"/>
      <c r="EX7" s="50"/>
      <c r="EY7" s="50"/>
      <c r="EZ7" s="50"/>
      <c r="FA7" s="50"/>
      <c r="FB7" s="50"/>
      <c r="FC7" s="50"/>
      <c r="FD7" s="50"/>
      <c r="FE7" s="50"/>
    </row>
    <row r="8" spans="1:161" x14ac:dyDescent="0.15">
      <c r="A8" s="46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52"/>
      <c r="CC8" s="52"/>
      <c r="CD8" s="43"/>
      <c r="CE8" s="43"/>
      <c r="CF8" s="43"/>
      <c r="CG8" s="43"/>
      <c r="CH8" s="43"/>
      <c r="CI8" s="43"/>
      <c r="CJ8" s="43"/>
      <c r="CK8" s="43"/>
      <c r="CL8" s="43"/>
      <c r="CM8" s="43"/>
      <c r="CN8" s="43"/>
      <c r="CO8" s="43"/>
      <c r="CP8" s="43"/>
      <c r="CQ8" s="43"/>
      <c r="CR8" s="43">
        <v>1</v>
      </c>
      <c r="CS8" s="43"/>
      <c r="CT8" s="43"/>
      <c r="CU8" s="43"/>
      <c r="CV8" s="43"/>
      <c r="CW8" s="43"/>
      <c r="CX8" s="52"/>
      <c r="CY8" s="52"/>
      <c r="CZ8" s="52"/>
      <c r="DA8" s="52"/>
      <c r="DB8" s="52"/>
      <c r="DC8" s="52"/>
      <c r="DD8" s="52"/>
      <c r="DE8" s="52"/>
      <c r="DF8" s="52"/>
      <c r="DG8" s="52"/>
      <c r="DH8" s="52"/>
      <c r="DI8" s="52"/>
      <c r="DJ8" s="52"/>
      <c r="DK8" s="52"/>
      <c r="DL8" s="52"/>
      <c r="DM8" s="52"/>
      <c r="DN8" s="52"/>
      <c r="DO8" s="52"/>
      <c r="DP8" s="52"/>
      <c r="DQ8" s="52"/>
      <c r="DR8" s="43">
        <v>1</v>
      </c>
      <c r="DS8" s="43">
        <v>1</v>
      </c>
      <c r="DT8" s="43">
        <v>1</v>
      </c>
      <c r="DU8" s="43">
        <v>1</v>
      </c>
      <c r="DV8" s="43">
        <v>1</v>
      </c>
      <c r="DW8" s="43">
        <v>1</v>
      </c>
      <c r="DX8" s="43">
        <v>1</v>
      </c>
      <c r="DY8" s="43">
        <v>1</v>
      </c>
      <c r="DZ8" s="43">
        <v>1</v>
      </c>
      <c r="EA8" s="43">
        <v>1</v>
      </c>
      <c r="EB8" s="43">
        <v>1</v>
      </c>
      <c r="EC8" s="43">
        <v>1</v>
      </c>
      <c r="ED8" s="43">
        <v>1</v>
      </c>
      <c r="EE8" s="43">
        <v>1</v>
      </c>
      <c r="EF8" s="43">
        <v>1</v>
      </c>
      <c r="EG8" s="43">
        <v>1</v>
      </c>
      <c r="EH8" s="43">
        <v>1</v>
      </c>
      <c r="EI8" s="43">
        <v>1</v>
      </c>
      <c r="EJ8" s="43">
        <v>1</v>
      </c>
      <c r="EK8" s="43">
        <v>1</v>
      </c>
      <c r="EL8" s="50"/>
      <c r="EM8" s="50"/>
      <c r="EN8" s="50"/>
      <c r="EO8" s="50"/>
      <c r="EP8" s="50"/>
      <c r="EQ8" s="50"/>
      <c r="ER8" s="50"/>
      <c r="ES8" s="50"/>
      <c r="ET8" s="50"/>
      <c r="EU8" s="50"/>
      <c r="EV8" s="50"/>
      <c r="EW8" s="50"/>
      <c r="EX8" s="50"/>
      <c r="EY8" s="50"/>
      <c r="EZ8" s="50"/>
      <c r="FA8" s="50"/>
      <c r="FB8" s="50"/>
      <c r="FC8" s="50"/>
      <c r="FD8" s="50"/>
      <c r="FE8" s="50"/>
    </row>
    <row r="9" spans="1:161" x14ac:dyDescent="0.15">
      <c r="A9" s="46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43"/>
      <c r="CE9" s="43"/>
      <c r="CF9" s="43"/>
      <c r="CG9" s="43"/>
      <c r="CH9" s="43"/>
      <c r="CI9" s="43"/>
      <c r="CJ9" s="43"/>
      <c r="CK9" s="43"/>
      <c r="CL9" s="43"/>
      <c r="CM9" s="43"/>
      <c r="CN9" s="43"/>
      <c r="CO9" s="43"/>
      <c r="CP9" s="43"/>
      <c r="CQ9" s="43"/>
      <c r="CR9" s="43">
        <v>1</v>
      </c>
      <c r="CS9" s="43"/>
      <c r="CT9" s="43"/>
      <c r="CU9" s="43"/>
      <c r="CV9" s="43"/>
      <c r="CW9" s="43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43">
        <v>1</v>
      </c>
      <c r="DS9" s="43">
        <v>1</v>
      </c>
      <c r="DT9" s="43">
        <v>1</v>
      </c>
      <c r="DU9" s="43">
        <v>1</v>
      </c>
      <c r="DV9" s="43">
        <v>1</v>
      </c>
      <c r="DW9" s="43">
        <v>1</v>
      </c>
      <c r="DX9" s="43">
        <v>1</v>
      </c>
      <c r="DY9" s="43">
        <v>1</v>
      </c>
      <c r="DZ9" s="43">
        <v>1</v>
      </c>
      <c r="EA9" s="43">
        <v>1</v>
      </c>
      <c r="EB9" s="43">
        <v>1</v>
      </c>
      <c r="EC9" s="43">
        <v>1</v>
      </c>
      <c r="ED9" s="43">
        <v>1</v>
      </c>
      <c r="EE9" s="43">
        <v>1</v>
      </c>
      <c r="EF9" s="43">
        <v>1</v>
      </c>
      <c r="EG9" s="43">
        <v>1</v>
      </c>
      <c r="EH9" s="43">
        <v>1</v>
      </c>
      <c r="EI9" s="43">
        <v>1</v>
      </c>
      <c r="EJ9" s="43">
        <v>1</v>
      </c>
      <c r="EK9" s="43">
        <v>1</v>
      </c>
      <c r="EL9" s="50"/>
      <c r="EM9" s="50"/>
      <c r="EN9" s="50"/>
      <c r="EO9" s="50"/>
      <c r="EP9" s="50"/>
      <c r="EQ9" s="50"/>
      <c r="ER9" s="50"/>
      <c r="ES9" s="50"/>
      <c r="ET9" s="50"/>
      <c r="EU9" s="50"/>
      <c r="EV9" s="50"/>
      <c r="EW9" s="50"/>
      <c r="EX9" s="50"/>
      <c r="EY9" s="50"/>
      <c r="EZ9" s="50"/>
      <c r="FA9" s="50"/>
      <c r="FB9" s="50"/>
      <c r="FC9" s="50"/>
      <c r="FD9" s="50"/>
      <c r="FE9" s="50"/>
    </row>
    <row r="10" spans="1:161" x14ac:dyDescent="0.15">
      <c r="A10" s="46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52"/>
      <c r="W10" s="52"/>
      <c r="X10" s="52"/>
      <c r="Y10" s="52"/>
      <c r="Z10" s="52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M10" s="52"/>
      <c r="AN10" s="52"/>
      <c r="AO10" s="52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52"/>
      <c r="BK10" s="52"/>
      <c r="BL10" s="52"/>
      <c r="BM10" s="52"/>
      <c r="BN10" s="52"/>
      <c r="BO10" s="52"/>
      <c r="BP10" s="52"/>
      <c r="BQ10" s="52"/>
      <c r="BR10" s="52"/>
      <c r="BS10" s="52"/>
      <c r="BT10" s="52"/>
      <c r="BU10" s="52"/>
      <c r="BV10" s="52"/>
      <c r="BW10" s="52"/>
      <c r="BX10" s="52"/>
      <c r="BY10" s="52"/>
      <c r="BZ10" s="52"/>
      <c r="CA10" s="52"/>
      <c r="CB10" s="52"/>
      <c r="CC10" s="52"/>
      <c r="CD10" s="43"/>
      <c r="CE10" s="43"/>
      <c r="CF10" s="43"/>
      <c r="CG10" s="43"/>
      <c r="CH10" s="43"/>
      <c r="CI10" s="43"/>
      <c r="CJ10" s="43"/>
      <c r="CK10" s="43"/>
      <c r="CL10" s="43"/>
      <c r="CM10" s="43"/>
      <c r="CN10" s="43"/>
      <c r="CO10" s="43"/>
      <c r="CP10" s="43"/>
      <c r="CQ10" s="43"/>
      <c r="CR10" s="43">
        <v>1</v>
      </c>
      <c r="CS10" s="43"/>
      <c r="CT10" s="43"/>
      <c r="CU10" s="43"/>
      <c r="CV10" s="43"/>
      <c r="CW10" s="43"/>
      <c r="CX10" s="52"/>
      <c r="CY10" s="52"/>
      <c r="CZ10" s="52"/>
      <c r="DA10" s="52"/>
      <c r="DB10" s="52"/>
      <c r="DC10" s="52"/>
      <c r="DD10" s="52"/>
      <c r="DE10" s="52"/>
      <c r="DF10" s="52"/>
      <c r="DG10" s="52"/>
      <c r="DH10" s="52"/>
      <c r="DI10" s="52"/>
      <c r="DJ10" s="52"/>
      <c r="DK10" s="52"/>
      <c r="DL10" s="52"/>
      <c r="DM10" s="52"/>
      <c r="DN10" s="52"/>
      <c r="DO10" s="52"/>
      <c r="DP10" s="52"/>
      <c r="DQ10" s="52"/>
      <c r="DR10" s="43">
        <v>1</v>
      </c>
      <c r="DS10" s="43">
        <v>1</v>
      </c>
      <c r="DT10" s="43">
        <v>1</v>
      </c>
      <c r="DU10" s="43">
        <v>1</v>
      </c>
      <c r="DV10" s="43">
        <v>1</v>
      </c>
      <c r="DW10" s="43">
        <v>1</v>
      </c>
      <c r="DX10" s="43">
        <v>1</v>
      </c>
      <c r="DY10" s="43">
        <v>1</v>
      </c>
      <c r="DZ10" s="43">
        <v>1</v>
      </c>
      <c r="EA10" s="43">
        <v>1</v>
      </c>
      <c r="EB10" s="43">
        <v>1</v>
      </c>
      <c r="EC10" s="43">
        <v>1</v>
      </c>
      <c r="ED10" s="43">
        <v>1</v>
      </c>
      <c r="EE10" s="43">
        <v>1</v>
      </c>
      <c r="EF10" s="43">
        <v>1</v>
      </c>
      <c r="EG10" s="43">
        <v>1</v>
      </c>
      <c r="EH10" s="43">
        <v>1</v>
      </c>
      <c r="EI10" s="43">
        <v>1</v>
      </c>
      <c r="EJ10" s="43">
        <v>1</v>
      </c>
      <c r="EK10" s="43">
        <v>1</v>
      </c>
      <c r="EL10" s="50"/>
      <c r="EM10" s="50"/>
      <c r="EN10" s="50"/>
      <c r="EO10" s="50"/>
      <c r="EP10" s="50"/>
      <c r="EQ10" s="50"/>
      <c r="ER10" s="50"/>
      <c r="ES10" s="50"/>
      <c r="ET10" s="50"/>
      <c r="EU10" s="50"/>
      <c r="EV10" s="50"/>
      <c r="EW10" s="50"/>
      <c r="EX10" s="50"/>
      <c r="EY10" s="50"/>
      <c r="EZ10" s="50"/>
      <c r="FA10" s="50"/>
      <c r="FB10" s="50"/>
      <c r="FC10" s="50"/>
      <c r="FD10" s="50"/>
      <c r="FE10" s="50"/>
    </row>
    <row r="11" spans="1:161" x14ac:dyDescent="0.15">
      <c r="A11" s="46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2"/>
      <c r="BV11" s="52"/>
      <c r="BW11" s="52"/>
      <c r="BX11" s="52"/>
      <c r="BY11" s="52"/>
      <c r="BZ11" s="52"/>
      <c r="CA11" s="52"/>
      <c r="CB11" s="52"/>
      <c r="CC11" s="52"/>
      <c r="CD11" s="43"/>
      <c r="CE11" s="43"/>
      <c r="CF11" s="43"/>
      <c r="CG11" s="43"/>
      <c r="CH11" s="43"/>
      <c r="CI11" s="43"/>
      <c r="CJ11" s="43"/>
      <c r="CK11" s="43"/>
      <c r="CL11" s="43"/>
      <c r="CM11" s="43"/>
      <c r="CN11" s="43"/>
      <c r="CO11" s="43"/>
      <c r="CP11" s="43"/>
      <c r="CQ11" s="43"/>
      <c r="CR11" s="43">
        <v>1</v>
      </c>
      <c r="CS11" s="43"/>
      <c r="CT11" s="43"/>
      <c r="CU11" s="43"/>
      <c r="CV11" s="43"/>
      <c r="CW11" s="43"/>
      <c r="CX11" s="52"/>
      <c r="CY11" s="52"/>
      <c r="CZ11" s="52"/>
      <c r="DA11" s="52"/>
      <c r="DB11" s="52"/>
      <c r="DC11" s="52"/>
      <c r="DD11" s="52"/>
      <c r="DE11" s="52"/>
      <c r="DF11" s="52"/>
      <c r="DG11" s="52"/>
      <c r="DH11" s="52"/>
      <c r="DI11" s="52"/>
      <c r="DJ11" s="52"/>
      <c r="DK11" s="52"/>
      <c r="DL11" s="52"/>
      <c r="DM11" s="52"/>
      <c r="DN11" s="52"/>
      <c r="DO11" s="52"/>
      <c r="DP11" s="52"/>
      <c r="DQ11" s="52"/>
      <c r="DR11" s="43">
        <v>1</v>
      </c>
      <c r="DS11" s="43">
        <v>1</v>
      </c>
      <c r="DT11" s="43">
        <v>1</v>
      </c>
      <c r="DU11" s="43">
        <v>1</v>
      </c>
      <c r="DV11" s="43">
        <v>1</v>
      </c>
      <c r="DW11" s="43">
        <v>1</v>
      </c>
      <c r="DX11" s="43">
        <v>1</v>
      </c>
      <c r="DY11" s="43">
        <v>1</v>
      </c>
      <c r="DZ11" s="43">
        <v>1</v>
      </c>
      <c r="EA11" s="43">
        <v>1</v>
      </c>
      <c r="EB11" s="43">
        <v>1</v>
      </c>
      <c r="EC11" s="43">
        <v>1</v>
      </c>
      <c r="ED11" s="43">
        <v>1</v>
      </c>
      <c r="EE11" s="43">
        <v>1</v>
      </c>
      <c r="EF11" s="43">
        <v>1</v>
      </c>
      <c r="EG11" s="43">
        <v>1</v>
      </c>
      <c r="EH11" s="43">
        <v>1</v>
      </c>
      <c r="EI11" s="43">
        <v>1</v>
      </c>
      <c r="EJ11" s="43">
        <v>1</v>
      </c>
      <c r="EK11" s="43">
        <v>1</v>
      </c>
      <c r="EL11" s="50"/>
      <c r="EM11" s="50"/>
      <c r="EN11" s="50"/>
      <c r="EO11" s="50"/>
      <c r="EP11" s="50"/>
      <c r="EQ11" s="50"/>
      <c r="ER11" s="50"/>
      <c r="ES11" s="50"/>
      <c r="ET11" s="50"/>
      <c r="EU11" s="50"/>
      <c r="EV11" s="50"/>
      <c r="EW11" s="50"/>
      <c r="EX11" s="50"/>
      <c r="EY11" s="50"/>
      <c r="EZ11" s="50"/>
      <c r="FA11" s="50"/>
      <c r="FB11" s="50"/>
      <c r="FC11" s="50"/>
      <c r="FD11" s="50"/>
      <c r="FE11" s="50"/>
    </row>
    <row r="12" spans="1:161" x14ac:dyDescent="0.15">
      <c r="A12" s="46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52"/>
      <c r="CC12" s="52"/>
      <c r="CD12" s="43"/>
      <c r="CE12" s="43"/>
      <c r="CF12" s="43"/>
      <c r="CG12" s="43"/>
      <c r="CH12" s="43"/>
      <c r="CI12" s="43"/>
      <c r="CJ12" s="43"/>
      <c r="CK12" s="43"/>
      <c r="CL12" s="43"/>
      <c r="CM12" s="43"/>
      <c r="CN12" s="43"/>
      <c r="CO12" s="43"/>
      <c r="CP12" s="43"/>
      <c r="CQ12" s="43"/>
      <c r="CR12" s="43">
        <v>1</v>
      </c>
      <c r="CS12" s="43"/>
      <c r="CT12" s="43"/>
      <c r="CU12" s="43"/>
      <c r="CV12" s="43"/>
      <c r="CW12" s="43"/>
      <c r="CX12" s="52"/>
      <c r="CY12" s="52"/>
      <c r="CZ12" s="52"/>
      <c r="DA12" s="52"/>
      <c r="DB12" s="52"/>
      <c r="DC12" s="52"/>
      <c r="DD12" s="52"/>
      <c r="DE12" s="52"/>
      <c r="DF12" s="52"/>
      <c r="DG12" s="52"/>
      <c r="DH12" s="52"/>
      <c r="DI12" s="52"/>
      <c r="DJ12" s="52"/>
      <c r="DK12" s="52"/>
      <c r="DL12" s="52"/>
      <c r="DM12" s="52"/>
      <c r="DN12" s="52"/>
      <c r="DO12" s="52"/>
      <c r="DP12" s="52"/>
      <c r="DQ12" s="52"/>
      <c r="DR12" s="43">
        <v>1</v>
      </c>
      <c r="DS12" s="43">
        <v>1</v>
      </c>
      <c r="DT12" s="43">
        <v>1</v>
      </c>
      <c r="DU12" s="43">
        <v>1</v>
      </c>
      <c r="DV12" s="43">
        <v>1</v>
      </c>
      <c r="DW12" s="43">
        <v>1</v>
      </c>
      <c r="DX12" s="43">
        <v>1</v>
      </c>
      <c r="DY12" s="43">
        <v>1</v>
      </c>
      <c r="DZ12" s="43">
        <v>1</v>
      </c>
      <c r="EA12" s="43">
        <v>1</v>
      </c>
      <c r="EB12" s="43">
        <v>1</v>
      </c>
      <c r="EC12" s="43">
        <v>1</v>
      </c>
      <c r="ED12" s="43">
        <v>1</v>
      </c>
      <c r="EE12" s="43">
        <v>1</v>
      </c>
      <c r="EF12" s="43">
        <v>1</v>
      </c>
      <c r="EG12" s="43">
        <v>1</v>
      </c>
      <c r="EH12" s="43">
        <v>1</v>
      </c>
      <c r="EI12" s="43">
        <v>1</v>
      </c>
      <c r="EJ12" s="43">
        <v>1</v>
      </c>
      <c r="EK12" s="43">
        <v>1</v>
      </c>
      <c r="EL12" s="50"/>
      <c r="EM12" s="50"/>
      <c r="EN12" s="50"/>
      <c r="EO12" s="50"/>
      <c r="EP12" s="50"/>
      <c r="EQ12" s="50"/>
      <c r="ER12" s="50"/>
      <c r="ES12" s="50"/>
      <c r="ET12" s="50"/>
      <c r="EU12" s="50"/>
      <c r="EV12" s="50"/>
      <c r="EW12" s="50"/>
      <c r="EX12" s="50"/>
      <c r="EY12" s="50"/>
      <c r="EZ12" s="50"/>
      <c r="FA12" s="50"/>
      <c r="FB12" s="50"/>
      <c r="FC12" s="50"/>
      <c r="FD12" s="50"/>
      <c r="FE12" s="50"/>
    </row>
    <row r="13" spans="1:161" x14ac:dyDescent="0.15">
      <c r="A13" s="46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43"/>
      <c r="CE13" s="43"/>
      <c r="CF13" s="43"/>
      <c r="CG13" s="43"/>
      <c r="CH13" s="43"/>
      <c r="CI13" s="43"/>
      <c r="CJ13" s="43"/>
      <c r="CK13" s="43"/>
      <c r="CL13" s="43"/>
      <c r="CM13" s="43"/>
      <c r="CN13" s="43"/>
      <c r="CO13" s="43"/>
      <c r="CP13" s="43"/>
      <c r="CQ13" s="43"/>
      <c r="CR13" s="43">
        <v>1</v>
      </c>
      <c r="CS13" s="43"/>
      <c r="CT13" s="43"/>
      <c r="CU13" s="43"/>
      <c r="CV13" s="43"/>
      <c r="CW13" s="43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43">
        <v>1</v>
      </c>
      <c r="DS13" s="43">
        <v>1</v>
      </c>
      <c r="DT13" s="43">
        <v>1</v>
      </c>
      <c r="DU13" s="43">
        <v>1</v>
      </c>
      <c r="DV13" s="43">
        <v>1</v>
      </c>
      <c r="DW13" s="43">
        <v>1</v>
      </c>
      <c r="DX13" s="43">
        <v>1</v>
      </c>
      <c r="DY13" s="43">
        <v>1</v>
      </c>
      <c r="DZ13" s="43">
        <v>1</v>
      </c>
      <c r="EA13" s="43">
        <v>1</v>
      </c>
      <c r="EB13" s="43">
        <v>1</v>
      </c>
      <c r="EC13" s="43">
        <v>1</v>
      </c>
      <c r="ED13" s="43">
        <v>1</v>
      </c>
      <c r="EE13" s="43">
        <v>1</v>
      </c>
      <c r="EF13" s="43">
        <v>1</v>
      </c>
      <c r="EG13" s="43">
        <v>1</v>
      </c>
      <c r="EH13" s="43">
        <v>1</v>
      </c>
      <c r="EI13" s="43">
        <v>1</v>
      </c>
      <c r="EJ13" s="43">
        <v>1</v>
      </c>
      <c r="EK13" s="43">
        <v>1</v>
      </c>
      <c r="EL13" s="50"/>
      <c r="EM13" s="50"/>
      <c r="EN13" s="50"/>
      <c r="EO13" s="50"/>
      <c r="EP13" s="50"/>
      <c r="EQ13" s="50"/>
      <c r="ER13" s="50"/>
      <c r="ES13" s="50"/>
      <c r="ET13" s="50"/>
      <c r="EU13" s="50"/>
      <c r="EV13" s="50"/>
      <c r="EW13" s="50"/>
      <c r="EX13" s="50"/>
      <c r="EY13" s="50"/>
      <c r="EZ13" s="50"/>
      <c r="FA13" s="50"/>
      <c r="FB13" s="50"/>
      <c r="FC13" s="50"/>
      <c r="FD13" s="50"/>
      <c r="FE13" s="50"/>
    </row>
    <row r="14" spans="1:161" x14ac:dyDescent="0.15">
      <c r="A14" s="46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52"/>
      <c r="W14" s="52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2"/>
      <c r="AI14" s="52"/>
      <c r="AJ14" s="52"/>
      <c r="AK14" s="52"/>
      <c r="AL14" s="52"/>
      <c r="AM14" s="52"/>
      <c r="AN14" s="52"/>
      <c r="AO14" s="52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52"/>
      <c r="BK14" s="52"/>
      <c r="BL14" s="52"/>
      <c r="BM14" s="52"/>
      <c r="BN14" s="52"/>
      <c r="BO14" s="52"/>
      <c r="BP14" s="52"/>
      <c r="BQ14" s="52"/>
      <c r="BR14" s="52"/>
      <c r="BS14" s="52"/>
      <c r="BT14" s="52"/>
      <c r="BU14" s="52"/>
      <c r="BV14" s="52"/>
      <c r="BW14" s="52"/>
      <c r="BX14" s="52"/>
      <c r="BY14" s="52"/>
      <c r="BZ14" s="52"/>
      <c r="CA14" s="52"/>
      <c r="CB14" s="52"/>
      <c r="CC14" s="52"/>
      <c r="CD14" s="43"/>
      <c r="CE14" s="43"/>
      <c r="CF14" s="43"/>
      <c r="CG14" s="43"/>
      <c r="CH14" s="43"/>
      <c r="CI14" s="43"/>
      <c r="CJ14" s="43"/>
      <c r="CK14" s="43"/>
      <c r="CL14" s="43"/>
      <c r="CM14" s="43"/>
      <c r="CN14" s="43"/>
      <c r="CO14" s="43"/>
      <c r="CP14" s="43"/>
      <c r="CQ14" s="43"/>
      <c r="CR14" s="43">
        <v>1</v>
      </c>
      <c r="CS14" s="43"/>
      <c r="CT14" s="43"/>
      <c r="CU14" s="43"/>
      <c r="CV14" s="43"/>
      <c r="CW14" s="43"/>
      <c r="CX14" s="52"/>
      <c r="CY14" s="52"/>
      <c r="CZ14" s="52"/>
      <c r="DA14" s="52"/>
      <c r="DB14" s="52"/>
      <c r="DC14" s="52"/>
      <c r="DD14" s="52"/>
      <c r="DE14" s="52"/>
      <c r="DF14" s="52"/>
      <c r="DG14" s="52"/>
      <c r="DH14" s="52"/>
      <c r="DI14" s="52"/>
      <c r="DJ14" s="52"/>
      <c r="DK14" s="52"/>
      <c r="DL14" s="52"/>
      <c r="DM14" s="52"/>
      <c r="DN14" s="52"/>
      <c r="DO14" s="52"/>
      <c r="DP14" s="52"/>
      <c r="DQ14" s="52"/>
      <c r="DR14" s="43">
        <v>1</v>
      </c>
      <c r="DS14" s="43">
        <v>1</v>
      </c>
      <c r="DT14" s="43">
        <v>1</v>
      </c>
      <c r="DU14" s="43">
        <v>1</v>
      </c>
      <c r="DV14" s="43">
        <v>1</v>
      </c>
      <c r="DW14" s="43">
        <v>1</v>
      </c>
      <c r="DX14" s="43">
        <v>1</v>
      </c>
      <c r="DY14" s="43">
        <v>1</v>
      </c>
      <c r="DZ14" s="43">
        <v>1</v>
      </c>
      <c r="EA14" s="43">
        <v>1</v>
      </c>
      <c r="EB14" s="43">
        <v>1</v>
      </c>
      <c r="EC14" s="43">
        <v>1</v>
      </c>
      <c r="ED14" s="43">
        <v>1</v>
      </c>
      <c r="EE14" s="43">
        <v>1</v>
      </c>
      <c r="EF14" s="43">
        <v>1</v>
      </c>
      <c r="EG14" s="43">
        <v>1</v>
      </c>
      <c r="EH14" s="43">
        <v>1</v>
      </c>
      <c r="EI14" s="43">
        <v>1</v>
      </c>
      <c r="EJ14" s="43">
        <v>1</v>
      </c>
      <c r="EK14" s="43">
        <v>1</v>
      </c>
      <c r="EL14" s="50"/>
      <c r="EM14" s="50"/>
      <c r="EN14" s="50"/>
      <c r="EO14" s="50"/>
      <c r="EP14" s="50"/>
      <c r="EQ14" s="50"/>
      <c r="ER14" s="50"/>
      <c r="ES14" s="50"/>
      <c r="ET14" s="50"/>
      <c r="EU14" s="50"/>
      <c r="EV14" s="50"/>
      <c r="EW14" s="50"/>
      <c r="EX14" s="50"/>
      <c r="EY14" s="50"/>
      <c r="EZ14" s="50"/>
      <c r="FA14" s="50"/>
      <c r="FB14" s="50"/>
      <c r="FC14" s="50"/>
      <c r="FD14" s="50"/>
      <c r="FE14" s="50"/>
    </row>
    <row r="15" spans="1:161" x14ac:dyDescent="0.15">
      <c r="A15" s="46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2"/>
      <c r="BV15" s="52"/>
      <c r="BW15" s="52"/>
      <c r="BX15" s="52"/>
      <c r="BY15" s="52"/>
      <c r="BZ15" s="52"/>
      <c r="CA15" s="52"/>
      <c r="CB15" s="52"/>
      <c r="CC15" s="52"/>
      <c r="CD15" s="43"/>
      <c r="CE15" s="43"/>
      <c r="CF15" s="43"/>
      <c r="CG15" s="43"/>
      <c r="CH15" s="43"/>
      <c r="CI15" s="43"/>
      <c r="CJ15" s="43"/>
      <c r="CK15" s="43"/>
      <c r="CL15" s="43"/>
      <c r="CM15" s="43"/>
      <c r="CN15" s="43"/>
      <c r="CO15" s="43"/>
      <c r="CP15" s="43"/>
      <c r="CQ15" s="43"/>
      <c r="CR15" s="43">
        <v>1</v>
      </c>
      <c r="CS15" s="43"/>
      <c r="CT15" s="43"/>
      <c r="CU15" s="43"/>
      <c r="CV15" s="43"/>
      <c r="CW15" s="43"/>
      <c r="CX15" s="52"/>
      <c r="CY15" s="52"/>
      <c r="CZ15" s="52"/>
      <c r="DA15" s="52"/>
      <c r="DB15" s="52"/>
      <c r="DC15" s="52"/>
      <c r="DD15" s="52"/>
      <c r="DE15" s="52"/>
      <c r="DF15" s="52"/>
      <c r="DG15" s="52"/>
      <c r="DH15" s="52"/>
      <c r="DI15" s="52"/>
      <c r="DJ15" s="52"/>
      <c r="DK15" s="52"/>
      <c r="DL15" s="52"/>
      <c r="DM15" s="52"/>
      <c r="DN15" s="52"/>
      <c r="DO15" s="52"/>
      <c r="DP15" s="52"/>
      <c r="DQ15" s="52"/>
      <c r="DR15" s="45">
        <v>1</v>
      </c>
      <c r="DS15" s="45">
        <v>1</v>
      </c>
      <c r="DT15" s="45">
        <v>1</v>
      </c>
      <c r="DU15" s="45">
        <v>1</v>
      </c>
      <c r="DV15" s="45">
        <v>1</v>
      </c>
      <c r="DW15" s="45">
        <v>1</v>
      </c>
      <c r="DX15" s="45">
        <v>1</v>
      </c>
      <c r="DY15" s="45">
        <v>1</v>
      </c>
      <c r="DZ15" s="45">
        <v>1</v>
      </c>
      <c r="EA15" s="45">
        <v>1</v>
      </c>
      <c r="EB15" s="45">
        <v>1</v>
      </c>
      <c r="EC15" s="45">
        <v>1</v>
      </c>
      <c r="ED15" s="45">
        <v>1</v>
      </c>
      <c r="EE15" s="45">
        <v>1</v>
      </c>
      <c r="EF15" s="45">
        <v>1</v>
      </c>
      <c r="EG15" s="45">
        <v>1</v>
      </c>
      <c r="EH15" s="45">
        <v>1</v>
      </c>
      <c r="EI15" s="45">
        <v>1</v>
      </c>
      <c r="EJ15" s="45">
        <v>1</v>
      </c>
      <c r="EK15" s="45">
        <v>1</v>
      </c>
      <c r="EL15" s="50"/>
      <c r="EM15" s="50"/>
      <c r="EN15" s="50"/>
      <c r="EO15" s="50"/>
      <c r="EP15" s="50"/>
      <c r="EQ15" s="50"/>
      <c r="ER15" s="50"/>
      <c r="ES15" s="50"/>
      <c r="ET15" s="50"/>
      <c r="EU15" s="50"/>
      <c r="EV15" s="50"/>
      <c r="EW15" s="50"/>
      <c r="EX15" s="50"/>
      <c r="EY15" s="50"/>
      <c r="EZ15" s="50"/>
      <c r="FA15" s="50"/>
      <c r="FB15" s="50"/>
      <c r="FC15" s="50"/>
      <c r="FD15" s="50"/>
      <c r="FE15" s="50"/>
    </row>
    <row r="16" spans="1:161" x14ac:dyDescent="0.15">
      <c r="A16" s="46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52"/>
      <c r="W16" s="52"/>
      <c r="X16" s="52"/>
      <c r="Y16" s="52"/>
      <c r="Z16" s="52"/>
      <c r="AA16" s="52"/>
      <c r="AB16" s="52"/>
      <c r="AC16" s="52"/>
      <c r="AD16" s="52"/>
      <c r="AE16" s="52"/>
      <c r="AF16" s="52"/>
      <c r="AG16" s="52"/>
      <c r="AH16" s="52"/>
      <c r="AI16" s="52"/>
      <c r="AJ16" s="52"/>
      <c r="AK16" s="52"/>
      <c r="AL16" s="52"/>
      <c r="AM16" s="52"/>
      <c r="AN16" s="52"/>
      <c r="AO16" s="52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52"/>
      <c r="BK16" s="52"/>
      <c r="BL16" s="52"/>
      <c r="BM16" s="52"/>
      <c r="BN16" s="52"/>
      <c r="BO16" s="52"/>
      <c r="BP16" s="52"/>
      <c r="BQ16" s="52"/>
      <c r="BR16" s="52"/>
      <c r="BS16" s="52"/>
      <c r="BT16" s="52"/>
      <c r="BU16" s="52"/>
      <c r="BV16" s="52"/>
      <c r="BW16" s="52"/>
      <c r="BX16" s="52"/>
      <c r="BY16" s="52"/>
      <c r="BZ16" s="52"/>
      <c r="CA16" s="52"/>
      <c r="CB16" s="52"/>
      <c r="CC16" s="52"/>
      <c r="CD16" s="43"/>
      <c r="CE16" s="43"/>
      <c r="CF16" s="43"/>
      <c r="CG16" s="43"/>
      <c r="CH16" s="43"/>
      <c r="CI16" s="43"/>
      <c r="CJ16" s="43"/>
      <c r="CK16" s="43"/>
      <c r="CL16" s="43"/>
      <c r="CM16" s="43"/>
      <c r="CN16" s="43"/>
      <c r="CO16" s="43"/>
      <c r="CP16" s="43"/>
      <c r="CQ16" s="43"/>
      <c r="CR16" s="43">
        <v>1</v>
      </c>
      <c r="CS16" s="43"/>
      <c r="CT16" s="43"/>
      <c r="CU16" s="43"/>
      <c r="CV16" s="43"/>
      <c r="CW16" s="43"/>
      <c r="CX16" s="52"/>
      <c r="CY16" s="52"/>
      <c r="CZ16" s="52"/>
      <c r="DA16" s="52"/>
      <c r="DB16" s="52"/>
      <c r="DC16" s="52"/>
      <c r="DD16" s="52"/>
      <c r="DE16" s="52"/>
      <c r="DF16" s="52"/>
      <c r="DG16" s="52"/>
      <c r="DH16" s="52"/>
      <c r="DI16" s="52"/>
      <c r="DJ16" s="52"/>
      <c r="DK16" s="52"/>
      <c r="DL16" s="52"/>
      <c r="DM16" s="52"/>
      <c r="DN16" s="52"/>
      <c r="DO16" s="52"/>
      <c r="DP16" s="52"/>
      <c r="DQ16" s="52"/>
      <c r="DR16" s="43">
        <v>1</v>
      </c>
      <c r="DS16" s="43">
        <v>1</v>
      </c>
      <c r="DT16" s="43">
        <v>1</v>
      </c>
      <c r="DU16" s="43">
        <v>1</v>
      </c>
      <c r="DV16" s="43">
        <v>1</v>
      </c>
      <c r="DW16" s="43">
        <v>1</v>
      </c>
      <c r="DX16" s="43">
        <v>1</v>
      </c>
      <c r="DY16" s="43">
        <v>1</v>
      </c>
      <c r="DZ16" s="43">
        <v>1</v>
      </c>
      <c r="EA16" s="43">
        <v>1</v>
      </c>
      <c r="EB16" s="43">
        <v>1</v>
      </c>
      <c r="EC16" s="43">
        <v>1</v>
      </c>
      <c r="ED16" s="43">
        <v>1</v>
      </c>
      <c r="EE16" s="43">
        <v>1</v>
      </c>
      <c r="EF16" s="43">
        <v>1</v>
      </c>
      <c r="EG16" s="43">
        <v>1</v>
      </c>
      <c r="EH16" s="43">
        <v>1</v>
      </c>
      <c r="EI16" s="43">
        <v>1</v>
      </c>
      <c r="EJ16" s="43">
        <v>1</v>
      </c>
      <c r="EK16" s="43">
        <v>1</v>
      </c>
      <c r="EL16" s="50"/>
      <c r="EM16" s="50"/>
      <c r="EN16" s="50"/>
      <c r="EO16" s="50"/>
      <c r="EP16" s="50"/>
      <c r="EQ16" s="50"/>
      <c r="ER16" s="50"/>
      <c r="ES16" s="50"/>
      <c r="ET16" s="50"/>
      <c r="EU16" s="50"/>
      <c r="EV16" s="50"/>
      <c r="EW16" s="50"/>
      <c r="EX16" s="50"/>
      <c r="EY16" s="50"/>
      <c r="EZ16" s="50"/>
      <c r="FA16" s="50"/>
      <c r="FB16" s="50"/>
      <c r="FC16" s="50"/>
      <c r="FD16" s="50"/>
      <c r="FE16" s="50"/>
    </row>
    <row r="17" spans="1:161" x14ac:dyDescent="0.15">
      <c r="A17" s="46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  <c r="BX17" s="52"/>
      <c r="BY17" s="52"/>
      <c r="BZ17" s="52"/>
      <c r="CA17" s="52"/>
      <c r="CB17" s="52"/>
      <c r="CC17" s="52"/>
      <c r="CD17" s="43"/>
      <c r="CE17" s="43"/>
      <c r="CF17" s="43"/>
      <c r="CG17" s="43"/>
      <c r="CH17" s="43"/>
      <c r="CI17" s="43"/>
      <c r="CJ17" s="43"/>
      <c r="CK17" s="43"/>
      <c r="CL17" s="43"/>
      <c r="CM17" s="43"/>
      <c r="CN17" s="43"/>
      <c r="CO17" s="43"/>
      <c r="CP17" s="43"/>
      <c r="CQ17" s="43"/>
      <c r="CR17" s="43">
        <v>1</v>
      </c>
      <c r="CS17" s="43"/>
      <c r="CT17" s="43"/>
      <c r="CU17" s="43"/>
      <c r="CV17" s="43"/>
      <c r="CW17" s="43"/>
      <c r="CX17" s="52"/>
      <c r="CY17" s="52"/>
      <c r="CZ17" s="52"/>
      <c r="DA17" s="52"/>
      <c r="DB17" s="52"/>
      <c r="DC17" s="52"/>
      <c r="DD17" s="52"/>
      <c r="DE17" s="52"/>
      <c r="DF17" s="52"/>
      <c r="DG17" s="52"/>
      <c r="DH17" s="52"/>
      <c r="DI17" s="52"/>
      <c r="DJ17" s="52"/>
      <c r="DK17" s="52"/>
      <c r="DL17" s="52"/>
      <c r="DM17" s="52"/>
      <c r="DN17" s="52"/>
      <c r="DO17" s="52"/>
      <c r="DP17" s="52"/>
      <c r="DQ17" s="52"/>
      <c r="DR17" s="43">
        <v>1</v>
      </c>
      <c r="DS17" s="43">
        <v>1</v>
      </c>
      <c r="DT17" s="43">
        <v>1</v>
      </c>
      <c r="DU17" s="43">
        <v>1</v>
      </c>
      <c r="DV17" s="43">
        <v>1</v>
      </c>
      <c r="DW17" s="43">
        <v>1</v>
      </c>
      <c r="DX17" s="43">
        <v>1</v>
      </c>
      <c r="DY17" s="43">
        <v>1</v>
      </c>
      <c r="DZ17" s="43">
        <v>1</v>
      </c>
      <c r="EA17" s="43">
        <v>1</v>
      </c>
      <c r="EB17" s="43">
        <v>1</v>
      </c>
      <c r="EC17" s="43">
        <v>1</v>
      </c>
      <c r="ED17" s="43">
        <v>1</v>
      </c>
      <c r="EE17" s="43">
        <v>1</v>
      </c>
      <c r="EF17" s="43">
        <v>1</v>
      </c>
      <c r="EG17" s="43">
        <v>1</v>
      </c>
      <c r="EH17" s="43">
        <v>1</v>
      </c>
      <c r="EI17" s="43">
        <v>1</v>
      </c>
      <c r="EJ17" s="43">
        <v>1</v>
      </c>
      <c r="EK17" s="43">
        <v>1</v>
      </c>
      <c r="EL17" s="50"/>
      <c r="EM17" s="50"/>
      <c r="EN17" s="50"/>
      <c r="EO17" s="50"/>
      <c r="EP17" s="50"/>
      <c r="EQ17" s="50"/>
      <c r="ER17" s="50"/>
      <c r="ES17" s="50"/>
      <c r="ET17" s="50"/>
      <c r="EU17" s="50"/>
      <c r="EV17" s="50"/>
      <c r="EW17" s="50"/>
      <c r="EX17" s="50"/>
      <c r="EY17" s="50"/>
      <c r="EZ17" s="50"/>
      <c r="FA17" s="50"/>
      <c r="FB17" s="50"/>
      <c r="FC17" s="50"/>
      <c r="FD17" s="50"/>
      <c r="FE17" s="50"/>
    </row>
    <row r="18" spans="1:161" x14ac:dyDescent="0.15">
      <c r="A18" s="46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  <c r="BX18" s="52"/>
      <c r="BY18" s="52"/>
      <c r="BZ18" s="52"/>
      <c r="CA18" s="52"/>
      <c r="CB18" s="52"/>
      <c r="CC18" s="52"/>
      <c r="CD18" s="43"/>
      <c r="CE18" s="43"/>
      <c r="CF18" s="43"/>
      <c r="CG18" s="43"/>
      <c r="CH18" s="43"/>
      <c r="CI18" s="43"/>
      <c r="CJ18" s="43"/>
      <c r="CK18" s="43"/>
      <c r="CL18" s="43"/>
      <c r="CM18" s="43"/>
      <c r="CN18" s="43"/>
      <c r="CO18" s="43"/>
      <c r="CP18" s="43"/>
      <c r="CQ18" s="43"/>
      <c r="CR18" s="43">
        <v>1</v>
      </c>
      <c r="CS18" s="43"/>
      <c r="CT18" s="43"/>
      <c r="CU18" s="43"/>
      <c r="CV18" s="43"/>
      <c r="CW18" s="43"/>
      <c r="CX18" s="52"/>
      <c r="CY18" s="52"/>
      <c r="CZ18" s="52"/>
      <c r="DA18" s="52"/>
      <c r="DB18" s="52"/>
      <c r="DC18" s="52"/>
      <c r="DD18" s="52"/>
      <c r="DE18" s="52"/>
      <c r="DF18" s="52"/>
      <c r="DG18" s="52"/>
      <c r="DH18" s="52"/>
      <c r="DI18" s="52"/>
      <c r="DJ18" s="52"/>
      <c r="DK18" s="52"/>
      <c r="DL18" s="52"/>
      <c r="DM18" s="52"/>
      <c r="DN18" s="52"/>
      <c r="DO18" s="52"/>
      <c r="DP18" s="52"/>
      <c r="DQ18" s="52"/>
      <c r="DR18" s="43">
        <v>1</v>
      </c>
      <c r="DS18" s="43">
        <v>1</v>
      </c>
      <c r="DT18" s="43">
        <v>1</v>
      </c>
      <c r="DU18" s="43">
        <v>1</v>
      </c>
      <c r="DV18" s="43">
        <v>1</v>
      </c>
      <c r="DW18" s="43">
        <v>1</v>
      </c>
      <c r="DX18" s="43">
        <v>1</v>
      </c>
      <c r="DY18" s="43">
        <v>1</v>
      </c>
      <c r="DZ18" s="43">
        <v>1</v>
      </c>
      <c r="EA18" s="43">
        <v>1</v>
      </c>
      <c r="EB18" s="43">
        <v>1</v>
      </c>
      <c r="EC18" s="43">
        <v>1</v>
      </c>
      <c r="ED18" s="43">
        <v>1</v>
      </c>
      <c r="EE18" s="43">
        <v>1</v>
      </c>
      <c r="EF18" s="43">
        <v>1</v>
      </c>
      <c r="EG18" s="43">
        <v>1</v>
      </c>
      <c r="EH18" s="43">
        <v>1</v>
      </c>
      <c r="EI18" s="43">
        <v>1</v>
      </c>
      <c r="EJ18" s="43">
        <v>1</v>
      </c>
      <c r="EK18" s="43">
        <v>1</v>
      </c>
      <c r="EL18" s="50"/>
      <c r="EM18" s="50"/>
      <c r="EN18" s="50"/>
      <c r="EO18" s="50"/>
      <c r="EP18" s="50"/>
      <c r="EQ18" s="50"/>
      <c r="ER18" s="50"/>
      <c r="ES18" s="50"/>
      <c r="ET18" s="50"/>
      <c r="EU18" s="50"/>
      <c r="EV18" s="50"/>
      <c r="EW18" s="50"/>
      <c r="EX18" s="50"/>
      <c r="EY18" s="50"/>
      <c r="EZ18" s="50"/>
      <c r="FA18" s="50"/>
      <c r="FB18" s="50"/>
      <c r="FC18" s="50"/>
      <c r="FD18" s="50"/>
      <c r="FE18" s="50"/>
    </row>
    <row r="19" spans="1:161" x14ac:dyDescent="0.15">
      <c r="A19" s="46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2"/>
      <c r="BV19" s="52"/>
      <c r="BW19" s="52"/>
      <c r="BX19" s="52"/>
      <c r="BY19" s="52"/>
      <c r="BZ19" s="52"/>
      <c r="CA19" s="52"/>
      <c r="CB19" s="52"/>
      <c r="CC19" s="52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>
        <v>1</v>
      </c>
      <c r="CS19" s="43"/>
      <c r="CT19" s="43"/>
      <c r="CU19" s="43"/>
      <c r="CV19" s="43"/>
      <c r="CW19" s="43"/>
      <c r="CX19" s="52"/>
      <c r="CY19" s="52"/>
      <c r="CZ19" s="52"/>
      <c r="DA19" s="52"/>
      <c r="DB19" s="52"/>
      <c r="DC19" s="52"/>
      <c r="DD19" s="52"/>
      <c r="DE19" s="52"/>
      <c r="DF19" s="52"/>
      <c r="DG19" s="52"/>
      <c r="DH19" s="52"/>
      <c r="DI19" s="52"/>
      <c r="DJ19" s="52"/>
      <c r="DK19" s="52"/>
      <c r="DL19" s="52"/>
      <c r="DM19" s="52"/>
      <c r="DN19" s="52"/>
      <c r="DO19" s="52"/>
      <c r="DP19" s="52"/>
      <c r="DQ19" s="52"/>
      <c r="DR19" s="43">
        <v>1</v>
      </c>
      <c r="DS19" s="43">
        <v>1</v>
      </c>
      <c r="DT19" s="43">
        <v>1</v>
      </c>
      <c r="DU19" s="43">
        <v>1</v>
      </c>
      <c r="DV19" s="43">
        <v>1</v>
      </c>
      <c r="DW19" s="43">
        <v>1</v>
      </c>
      <c r="DX19" s="43">
        <v>1</v>
      </c>
      <c r="DY19" s="43">
        <v>1</v>
      </c>
      <c r="DZ19" s="43">
        <v>1</v>
      </c>
      <c r="EA19" s="43">
        <v>1</v>
      </c>
      <c r="EB19" s="43">
        <v>1</v>
      </c>
      <c r="EC19" s="43">
        <v>1</v>
      </c>
      <c r="ED19" s="43">
        <v>1</v>
      </c>
      <c r="EE19" s="43">
        <v>1</v>
      </c>
      <c r="EF19" s="43">
        <v>1</v>
      </c>
      <c r="EG19" s="43">
        <v>1</v>
      </c>
      <c r="EH19" s="43">
        <v>1</v>
      </c>
      <c r="EI19" s="43">
        <v>1</v>
      </c>
      <c r="EJ19" s="43">
        <v>1</v>
      </c>
      <c r="EK19" s="43">
        <v>1</v>
      </c>
      <c r="EL19" s="50"/>
      <c r="EM19" s="50"/>
      <c r="EN19" s="50"/>
      <c r="EO19" s="50"/>
      <c r="EP19" s="50"/>
      <c r="EQ19" s="50"/>
      <c r="ER19" s="50"/>
      <c r="ES19" s="50"/>
      <c r="ET19" s="50"/>
      <c r="EU19" s="50"/>
      <c r="EV19" s="50"/>
      <c r="EW19" s="50"/>
      <c r="EX19" s="50"/>
      <c r="EY19" s="50"/>
      <c r="EZ19" s="50"/>
      <c r="FA19" s="50"/>
      <c r="FB19" s="50"/>
      <c r="FC19" s="50"/>
      <c r="FD19" s="50"/>
      <c r="FE19" s="50"/>
    </row>
    <row r="20" spans="1:161" x14ac:dyDescent="0.15">
      <c r="A20" s="46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52"/>
      <c r="BK20" s="52"/>
      <c r="BL20" s="52"/>
      <c r="BM20" s="52"/>
      <c r="BN20" s="52"/>
      <c r="BO20" s="52"/>
      <c r="BP20" s="52"/>
      <c r="BQ20" s="52"/>
      <c r="BR20" s="52"/>
      <c r="BS20" s="52"/>
      <c r="BT20" s="52"/>
      <c r="BU20" s="52"/>
      <c r="BV20" s="52"/>
      <c r="BW20" s="52"/>
      <c r="BX20" s="52"/>
      <c r="BY20" s="52"/>
      <c r="BZ20" s="52"/>
      <c r="CA20" s="52"/>
      <c r="CB20" s="52"/>
      <c r="CC20" s="52"/>
      <c r="CD20" s="43"/>
      <c r="CE20" s="43"/>
      <c r="CF20" s="43"/>
      <c r="CG20" s="43"/>
      <c r="CH20" s="43"/>
      <c r="CI20" s="43"/>
      <c r="CJ20" s="43"/>
      <c r="CK20" s="43"/>
      <c r="CL20" s="43"/>
      <c r="CM20" s="43"/>
      <c r="CN20" s="43"/>
      <c r="CO20" s="43"/>
      <c r="CP20" s="43"/>
      <c r="CQ20" s="43"/>
      <c r="CR20" s="43">
        <v>1</v>
      </c>
      <c r="CS20" s="43"/>
      <c r="CT20" s="43"/>
      <c r="CU20" s="43"/>
      <c r="CV20" s="43"/>
      <c r="CW20" s="43"/>
      <c r="CX20" s="52"/>
      <c r="CY20" s="52"/>
      <c r="CZ20" s="52"/>
      <c r="DA20" s="52"/>
      <c r="DB20" s="52"/>
      <c r="DC20" s="52"/>
      <c r="DD20" s="52"/>
      <c r="DE20" s="52"/>
      <c r="DF20" s="52"/>
      <c r="DG20" s="52"/>
      <c r="DH20" s="52"/>
      <c r="DI20" s="52"/>
      <c r="DJ20" s="52"/>
      <c r="DK20" s="52"/>
      <c r="DL20" s="52"/>
      <c r="DM20" s="52"/>
      <c r="DN20" s="52"/>
      <c r="DO20" s="52"/>
      <c r="DP20" s="52"/>
      <c r="DQ20" s="52"/>
      <c r="DR20" s="43">
        <v>1</v>
      </c>
      <c r="DS20" s="43">
        <v>1</v>
      </c>
      <c r="DT20" s="43">
        <v>1</v>
      </c>
      <c r="DU20" s="43">
        <v>1</v>
      </c>
      <c r="DV20" s="43">
        <v>1</v>
      </c>
      <c r="DW20" s="43">
        <v>1</v>
      </c>
      <c r="DX20" s="43">
        <v>1</v>
      </c>
      <c r="DY20" s="43">
        <v>1</v>
      </c>
      <c r="DZ20" s="43">
        <v>1</v>
      </c>
      <c r="EA20" s="43">
        <v>1</v>
      </c>
      <c r="EB20" s="43">
        <v>1</v>
      </c>
      <c r="EC20" s="43">
        <v>1</v>
      </c>
      <c r="ED20" s="43">
        <v>1</v>
      </c>
      <c r="EE20" s="43">
        <v>1</v>
      </c>
      <c r="EF20" s="43">
        <v>1</v>
      </c>
      <c r="EG20" s="43">
        <v>1</v>
      </c>
      <c r="EH20" s="43">
        <v>1</v>
      </c>
      <c r="EI20" s="43">
        <v>1</v>
      </c>
      <c r="EJ20" s="43">
        <v>1</v>
      </c>
      <c r="EK20" s="43">
        <v>1</v>
      </c>
      <c r="EL20" s="50"/>
      <c r="EM20" s="50"/>
      <c r="EN20" s="50"/>
      <c r="EO20" s="50"/>
      <c r="EP20" s="50"/>
      <c r="EQ20" s="50"/>
      <c r="ER20" s="50"/>
      <c r="ES20" s="50"/>
      <c r="ET20" s="50"/>
      <c r="EU20" s="50"/>
      <c r="EV20" s="50"/>
      <c r="EW20" s="50"/>
      <c r="EX20" s="50"/>
      <c r="EY20" s="50"/>
      <c r="EZ20" s="50"/>
      <c r="FA20" s="50"/>
      <c r="FB20" s="50"/>
      <c r="FC20" s="50"/>
      <c r="FD20" s="50"/>
      <c r="FE20" s="50"/>
    </row>
    <row r="21" spans="1:161" x14ac:dyDescent="0.15">
      <c r="A21" s="46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2"/>
      <c r="BV21" s="52"/>
      <c r="BW21" s="52"/>
      <c r="BX21" s="52"/>
      <c r="BY21" s="52"/>
      <c r="BZ21" s="52"/>
      <c r="CA21" s="52"/>
      <c r="CB21" s="52"/>
      <c r="CC21" s="52"/>
      <c r="CD21" s="43"/>
      <c r="CE21" s="43"/>
      <c r="CF21" s="43"/>
      <c r="CG21" s="43"/>
      <c r="CH21" s="43"/>
      <c r="CI21" s="43"/>
      <c r="CJ21" s="43"/>
      <c r="CK21" s="43"/>
      <c r="CL21" s="43"/>
      <c r="CM21" s="43"/>
      <c r="CN21" s="43"/>
      <c r="CO21" s="43"/>
      <c r="CP21" s="43"/>
      <c r="CQ21" s="43"/>
      <c r="CR21" s="43">
        <v>1</v>
      </c>
      <c r="CS21" s="43"/>
      <c r="CT21" s="43"/>
      <c r="CU21" s="43"/>
      <c r="CV21" s="43"/>
      <c r="CW21" s="43"/>
      <c r="CX21" s="52"/>
      <c r="CY21" s="52"/>
      <c r="CZ21" s="52"/>
      <c r="DA21" s="52"/>
      <c r="DB21" s="52"/>
      <c r="DC21" s="52"/>
      <c r="DD21" s="52"/>
      <c r="DE21" s="52"/>
      <c r="DF21" s="52"/>
      <c r="DG21" s="52"/>
      <c r="DH21" s="52"/>
      <c r="DI21" s="52"/>
      <c r="DJ21" s="52"/>
      <c r="DK21" s="52"/>
      <c r="DL21" s="52"/>
      <c r="DM21" s="52"/>
      <c r="DN21" s="52"/>
      <c r="DO21" s="52"/>
      <c r="DP21" s="52"/>
      <c r="DQ21" s="52"/>
      <c r="DR21" s="43">
        <v>1</v>
      </c>
      <c r="DS21" s="43">
        <v>1</v>
      </c>
      <c r="DT21" s="43">
        <v>1</v>
      </c>
      <c r="DU21" s="43">
        <v>1</v>
      </c>
      <c r="DV21" s="43">
        <v>1</v>
      </c>
      <c r="DW21" s="43">
        <v>1</v>
      </c>
      <c r="DX21" s="43">
        <v>1</v>
      </c>
      <c r="DY21" s="43">
        <v>1</v>
      </c>
      <c r="DZ21" s="43">
        <v>1</v>
      </c>
      <c r="EA21" s="43">
        <v>1</v>
      </c>
      <c r="EB21" s="43">
        <v>1</v>
      </c>
      <c r="EC21" s="43">
        <v>1</v>
      </c>
      <c r="ED21" s="43">
        <v>1</v>
      </c>
      <c r="EE21" s="43">
        <v>1</v>
      </c>
      <c r="EF21" s="43">
        <v>1</v>
      </c>
      <c r="EG21" s="43">
        <v>1</v>
      </c>
      <c r="EH21" s="43">
        <v>1</v>
      </c>
      <c r="EI21" s="43">
        <v>1</v>
      </c>
      <c r="EJ21" s="43">
        <v>1</v>
      </c>
      <c r="EK21" s="43">
        <v>1</v>
      </c>
      <c r="EL21" s="50"/>
      <c r="EM21" s="50"/>
      <c r="EN21" s="50"/>
      <c r="EO21" s="50"/>
      <c r="EP21" s="50"/>
      <c r="EQ21" s="50"/>
      <c r="ER21" s="50"/>
      <c r="ES21" s="50"/>
      <c r="ET21" s="50"/>
      <c r="EU21" s="50"/>
      <c r="EV21" s="50"/>
      <c r="EW21" s="50"/>
      <c r="EX21" s="50"/>
      <c r="EY21" s="50"/>
      <c r="EZ21" s="50"/>
      <c r="FA21" s="50"/>
      <c r="FB21" s="50"/>
      <c r="FC21" s="50"/>
      <c r="FD21" s="50"/>
      <c r="FE21" s="50"/>
    </row>
    <row r="22" spans="1:161" x14ac:dyDescent="0.15">
      <c r="A22" s="46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  <c r="BX22" s="52"/>
      <c r="BY22" s="52"/>
      <c r="BZ22" s="52"/>
      <c r="CA22" s="52"/>
      <c r="CB22" s="52"/>
      <c r="CC22" s="52"/>
      <c r="CD22" s="43"/>
      <c r="CE22" s="43"/>
      <c r="CF22" s="43"/>
      <c r="CG22" s="43"/>
      <c r="CH22" s="43"/>
      <c r="CI22" s="43"/>
      <c r="CJ22" s="43"/>
      <c r="CK22" s="43"/>
      <c r="CL22" s="43"/>
      <c r="CM22" s="43"/>
      <c r="CN22" s="43"/>
      <c r="CO22" s="43"/>
      <c r="CP22" s="43"/>
      <c r="CQ22" s="43"/>
      <c r="CR22" s="43">
        <v>1</v>
      </c>
      <c r="CS22" s="43"/>
      <c r="CT22" s="43"/>
      <c r="CU22" s="43"/>
      <c r="CV22" s="43"/>
      <c r="CW22" s="43"/>
      <c r="CX22" s="52"/>
      <c r="CY22" s="52"/>
      <c r="CZ22" s="52"/>
      <c r="DA22" s="52"/>
      <c r="DB22" s="52"/>
      <c r="DC22" s="52"/>
      <c r="DD22" s="52"/>
      <c r="DE22" s="52"/>
      <c r="DF22" s="52"/>
      <c r="DG22" s="52"/>
      <c r="DH22" s="52"/>
      <c r="DI22" s="52"/>
      <c r="DJ22" s="52"/>
      <c r="DK22" s="52"/>
      <c r="DL22" s="52"/>
      <c r="DM22" s="52"/>
      <c r="DN22" s="52"/>
      <c r="DO22" s="52"/>
      <c r="DP22" s="52"/>
      <c r="DQ22" s="52"/>
      <c r="DR22" s="43">
        <v>1</v>
      </c>
      <c r="DS22" s="43">
        <v>1</v>
      </c>
      <c r="DT22" s="43">
        <v>1</v>
      </c>
      <c r="DU22" s="43">
        <v>1</v>
      </c>
      <c r="DV22" s="43">
        <v>1</v>
      </c>
      <c r="DW22" s="43">
        <v>1</v>
      </c>
      <c r="DX22" s="43">
        <v>1</v>
      </c>
      <c r="DY22" s="43">
        <v>1</v>
      </c>
      <c r="DZ22" s="43">
        <v>1</v>
      </c>
      <c r="EA22" s="43">
        <v>1</v>
      </c>
      <c r="EB22" s="43">
        <v>1</v>
      </c>
      <c r="EC22" s="43">
        <v>1</v>
      </c>
      <c r="ED22" s="43">
        <v>1</v>
      </c>
      <c r="EE22" s="43">
        <v>1</v>
      </c>
      <c r="EF22" s="43">
        <v>1</v>
      </c>
      <c r="EG22" s="43">
        <v>1</v>
      </c>
      <c r="EH22" s="43">
        <v>1</v>
      </c>
      <c r="EI22" s="43">
        <v>1</v>
      </c>
      <c r="EJ22" s="43">
        <v>1</v>
      </c>
      <c r="EK22" s="43">
        <v>1</v>
      </c>
      <c r="EL22" s="50"/>
      <c r="EM22" s="50"/>
      <c r="EN22" s="50"/>
      <c r="EO22" s="50"/>
      <c r="EP22" s="50"/>
      <c r="EQ22" s="50"/>
      <c r="ER22" s="50"/>
      <c r="ES22" s="50"/>
      <c r="ET22" s="50"/>
      <c r="EU22" s="50"/>
      <c r="EV22" s="50"/>
      <c r="EW22" s="50"/>
      <c r="EX22" s="50"/>
      <c r="EY22" s="50"/>
      <c r="EZ22" s="50"/>
      <c r="FA22" s="50"/>
      <c r="FB22" s="50"/>
      <c r="FC22" s="50"/>
      <c r="FD22" s="50"/>
      <c r="FE22" s="50"/>
    </row>
    <row r="23" spans="1:161" x14ac:dyDescent="0.15">
      <c r="A23" s="46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2"/>
      <c r="BV23" s="52"/>
      <c r="BW23" s="52"/>
      <c r="BX23" s="52"/>
      <c r="BY23" s="52"/>
      <c r="BZ23" s="52"/>
      <c r="CA23" s="52"/>
      <c r="CB23" s="52"/>
      <c r="CC23" s="52"/>
      <c r="CD23" s="43"/>
      <c r="CE23" s="43"/>
      <c r="CF23" s="43"/>
      <c r="CG23" s="43"/>
      <c r="CH23" s="43"/>
      <c r="CI23" s="43"/>
      <c r="CJ23" s="43"/>
      <c r="CK23" s="43"/>
      <c r="CL23" s="43"/>
      <c r="CM23" s="43"/>
      <c r="CN23" s="43"/>
      <c r="CO23" s="43"/>
      <c r="CP23" s="43"/>
      <c r="CQ23" s="43"/>
      <c r="CR23" s="43"/>
      <c r="CS23" s="43"/>
      <c r="CT23" s="43"/>
      <c r="CU23" s="43"/>
      <c r="CV23" s="43"/>
      <c r="CW23" s="43"/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43">
        <v>1</v>
      </c>
      <c r="DS23" s="43">
        <v>1</v>
      </c>
      <c r="DT23" s="43">
        <v>1</v>
      </c>
      <c r="DU23" s="43">
        <v>1</v>
      </c>
      <c r="DV23" s="43">
        <v>1</v>
      </c>
      <c r="DW23" s="43">
        <v>1</v>
      </c>
      <c r="DX23" s="43">
        <v>1</v>
      </c>
      <c r="DY23" s="43">
        <v>1</v>
      </c>
      <c r="DZ23" s="43">
        <v>1</v>
      </c>
      <c r="EA23" s="43">
        <v>1</v>
      </c>
      <c r="EB23" s="43">
        <v>1</v>
      </c>
      <c r="EC23" s="43">
        <v>1</v>
      </c>
      <c r="ED23" s="43">
        <v>1</v>
      </c>
      <c r="EE23" s="43">
        <v>1</v>
      </c>
      <c r="EF23" s="43">
        <v>1</v>
      </c>
      <c r="EG23" s="43">
        <v>1</v>
      </c>
      <c r="EH23" s="43">
        <v>1</v>
      </c>
      <c r="EI23" s="43">
        <v>1</v>
      </c>
      <c r="EJ23" s="43">
        <v>1</v>
      </c>
      <c r="EK23" s="43">
        <v>1</v>
      </c>
      <c r="EL23" s="50"/>
      <c r="EM23" s="50"/>
      <c r="EN23" s="50"/>
      <c r="EO23" s="50"/>
      <c r="EP23" s="50"/>
      <c r="EQ23" s="50"/>
      <c r="ER23" s="50"/>
      <c r="ES23" s="50"/>
      <c r="ET23" s="50"/>
      <c r="EU23" s="50"/>
      <c r="EV23" s="50"/>
      <c r="EW23" s="50"/>
      <c r="EX23" s="50"/>
      <c r="EY23" s="50"/>
      <c r="EZ23" s="50"/>
      <c r="FA23" s="50"/>
      <c r="FB23" s="50"/>
      <c r="FC23" s="50"/>
      <c r="FD23" s="50"/>
      <c r="FE23" s="50"/>
    </row>
    <row r="24" spans="1:161" x14ac:dyDescent="0.15">
      <c r="A24" s="46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52"/>
      <c r="W24" s="52"/>
      <c r="X24" s="52"/>
      <c r="Y24" s="52"/>
      <c r="Z24" s="52"/>
      <c r="AA24" s="52"/>
      <c r="AB24" s="52"/>
      <c r="AC24" s="52"/>
      <c r="AD24" s="52"/>
      <c r="AE24" s="52"/>
      <c r="AF24" s="52"/>
      <c r="AG24" s="52"/>
      <c r="AH24" s="52"/>
      <c r="AI24" s="52"/>
      <c r="AJ24" s="52"/>
      <c r="AK24" s="52"/>
      <c r="AL24" s="52"/>
      <c r="AM24" s="52"/>
      <c r="AN24" s="52"/>
      <c r="AO24" s="52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52"/>
      <c r="CC24" s="52"/>
      <c r="CD24" s="43"/>
      <c r="CE24" s="43"/>
      <c r="CF24" s="43"/>
      <c r="CG24" s="43"/>
      <c r="CH24" s="43"/>
      <c r="CI24" s="43"/>
      <c r="CJ24" s="43"/>
      <c r="CK24" s="43"/>
      <c r="CL24" s="43"/>
      <c r="CM24" s="43"/>
      <c r="CN24" s="43"/>
      <c r="CO24" s="43"/>
      <c r="CP24" s="43"/>
      <c r="CQ24" s="43"/>
      <c r="CR24" s="43"/>
      <c r="CS24" s="43"/>
      <c r="CT24" s="43"/>
      <c r="CU24" s="43"/>
      <c r="CV24" s="43"/>
      <c r="CW24" s="43"/>
      <c r="CX24" s="52"/>
      <c r="CY24" s="52"/>
      <c r="CZ24" s="52"/>
      <c r="DA24" s="52"/>
      <c r="DB24" s="52"/>
      <c r="DC24" s="52"/>
      <c r="DD24" s="52"/>
      <c r="DE24" s="52"/>
      <c r="DF24" s="52"/>
      <c r="DG24" s="52"/>
      <c r="DH24" s="52"/>
      <c r="DI24" s="52"/>
      <c r="DJ24" s="52"/>
      <c r="DK24" s="52"/>
      <c r="DL24" s="52"/>
      <c r="DM24" s="52"/>
      <c r="DN24" s="52"/>
      <c r="DO24" s="52"/>
      <c r="DP24" s="52"/>
      <c r="DQ24" s="52"/>
      <c r="DR24" s="43">
        <v>1</v>
      </c>
      <c r="DS24" s="43">
        <v>1</v>
      </c>
      <c r="DT24" s="43">
        <v>1</v>
      </c>
      <c r="DU24" s="43">
        <v>1</v>
      </c>
      <c r="DV24" s="43">
        <v>1</v>
      </c>
      <c r="DW24" s="43">
        <v>1</v>
      </c>
      <c r="DX24" s="43">
        <v>1</v>
      </c>
      <c r="DY24" s="43">
        <v>1</v>
      </c>
      <c r="DZ24" s="43">
        <v>1</v>
      </c>
      <c r="EA24" s="43">
        <v>1</v>
      </c>
      <c r="EB24" s="43">
        <v>1</v>
      </c>
      <c r="EC24" s="43">
        <v>1</v>
      </c>
      <c r="ED24" s="43">
        <v>1</v>
      </c>
      <c r="EE24" s="43">
        <v>1</v>
      </c>
      <c r="EF24" s="43">
        <v>1</v>
      </c>
      <c r="EG24" s="43">
        <v>1</v>
      </c>
      <c r="EH24" s="43">
        <v>1</v>
      </c>
      <c r="EI24" s="43">
        <v>1</v>
      </c>
      <c r="EJ24" s="43">
        <v>1</v>
      </c>
      <c r="EK24" s="43">
        <v>1</v>
      </c>
      <c r="EL24" s="50"/>
      <c r="EM24" s="50"/>
      <c r="EN24" s="50"/>
      <c r="EO24" s="50"/>
      <c r="EP24" s="50"/>
      <c r="EQ24" s="50"/>
      <c r="ER24" s="50"/>
      <c r="ES24" s="50"/>
      <c r="ET24" s="50"/>
      <c r="EU24" s="50"/>
      <c r="EV24" s="50"/>
      <c r="EW24" s="50"/>
      <c r="EX24" s="50"/>
      <c r="EY24" s="50"/>
      <c r="EZ24" s="50"/>
      <c r="FA24" s="50"/>
      <c r="FB24" s="50"/>
      <c r="FC24" s="50"/>
      <c r="FD24" s="50"/>
      <c r="FE24" s="50"/>
    </row>
    <row r="25" spans="1:161" x14ac:dyDescent="0.15">
      <c r="A25" s="46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43"/>
      <c r="CE25" s="43"/>
      <c r="CF25" s="43"/>
      <c r="CG25" s="43"/>
      <c r="CH25" s="43"/>
      <c r="CI25" s="43"/>
      <c r="CJ25" s="43"/>
      <c r="CK25" s="43"/>
      <c r="CL25" s="43"/>
      <c r="CM25" s="43"/>
      <c r="CN25" s="43"/>
      <c r="CO25" s="43"/>
      <c r="CP25" s="43"/>
      <c r="CQ25" s="43"/>
      <c r="CR25" s="43"/>
      <c r="CS25" s="43"/>
      <c r="CT25" s="43"/>
      <c r="CU25" s="43"/>
      <c r="CV25" s="43"/>
      <c r="CW25" s="43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43">
        <v>1</v>
      </c>
      <c r="DS25" s="43">
        <v>1</v>
      </c>
      <c r="DT25" s="43">
        <v>1</v>
      </c>
      <c r="DU25" s="43">
        <v>1</v>
      </c>
      <c r="DV25" s="43">
        <v>1</v>
      </c>
      <c r="DW25" s="43">
        <v>1</v>
      </c>
      <c r="DX25" s="43">
        <v>1</v>
      </c>
      <c r="DY25" s="43">
        <v>1</v>
      </c>
      <c r="DZ25" s="43">
        <v>1</v>
      </c>
      <c r="EA25" s="43">
        <v>1</v>
      </c>
      <c r="EB25" s="43">
        <v>1</v>
      </c>
      <c r="EC25" s="43">
        <v>1</v>
      </c>
      <c r="ED25" s="43">
        <v>1</v>
      </c>
      <c r="EE25" s="43">
        <v>1</v>
      </c>
      <c r="EF25" s="43">
        <v>1</v>
      </c>
      <c r="EG25" s="43">
        <v>1</v>
      </c>
      <c r="EH25" s="43">
        <v>1</v>
      </c>
      <c r="EI25" s="43">
        <v>1</v>
      </c>
      <c r="EJ25" s="43">
        <v>1</v>
      </c>
      <c r="EK25" s="43">
        <v>1</v>
      </c>
      <c r="EL25" s="50"/>
      <c r="EM25" s="50"/>
      <c r="EN25" s="50"/>
      <c r="EO25" s="50"/>
      <c r="EP25" s="50"/>
      <c r="EQ25" s="50"/>
      <c r="ER25" s="50"/>
      <c r="ES25" s="50"/>
      <c r="ET25" s="50"/>
      <c r="EU25" s="50"/>
      <c r="EV25" s="50"/>
      <c r="EW25" s="50"/>
      <c r="EX25" s="50"/>
      <c r="EY25" s="50"/>
      <c r="EZ25" s="50"/>
      <c r="FA25" s="50"/>
      <c r="FB25" s="50"/>
      <c r="FC25" s="50"/>
      <c r="FD25" s="50"/>
      <c r="FE25" s="50"/>
    </row>
    <row r="26" spans="1:161" x14ac:dyDescent="0.15">
      <c r="A26" s="46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52"/>
      <c r="W26" s="52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52"/>
      <c r="CC26" s="52"/>
      <c r="CD26" s="43"/>
      <c r="CE26" s="43"/>
      <c r="CF26" s="43"/>
      <c r="CG26" s="43"/>
      <c r="CH26" s="43"/>
      <c r="CI26" s="43"/>
      <c r="CJ26" s="43"/>
      <c r="CK26" s="43"/>
      <c r="CL26" s="43"/>
      <c r="CM26" s="43"/>
      <c r="CN26" s="43"/>
      <c r="CO26" s="43"/>
      <c r="CP26" s="43"/>
      <c r="CQ26" s="43"/>
      <c r="CR26" s="43"/>
      <c r="CS26" s="43"/>
      <c r="CT26" s="43"/>
      <c r="CU26" s="43"/>
      <c r="CV26" s="43"/>
      <c r="CW26" s="43"/>
      <c r="CX26" s="52"/>
      <c r="CY26" s="52"/>
      <c r="CZ26" s="52"/>
      <c r="DA26" s="52"/>
      <c r="DB26" s="52"/>
      <c r="DC26" s="52"/>
      <c r="DD26" s="52"/>
      <c r="DE26" s="52"/>
      <c r="DF26" s="52"/>
      <c r="DG26" s="52"/>
      <c r="DH26" s="52"/>
      <c r="DI26" s="52"/>
      <c r="DJ26" s="52"/>
      <c r="DK26" s="52"/>
      <c r="DL26" s="52"/>
      <c r="DM26" s="52"/>
      <c r="DN26" s="52"/>
      <c r="DO26" s="52"/>
      <c r="DP26" s="52"/>
      <c r="DQ26" s="52"/>
      <c r="DR26" s="43">
        <v>1</v>
      </c>
      <c r="DS26" s="43">
        <v>1</v>
      </c>
      <c r="DT26" s="43">
        <v>1</v>
      </c>
      <c r="DU26" s="43">
        <v>1</v>
      </c>
      <c r="DV26" s="43">
        <v>1</v>
      </c>
      <c r="DW26" s="43">
        <v>1</v>
      </c>
      <c r="DX26" s="43">
        <v>1</v>
      </c>
      <c r="DY26" s="43">
        <v>1</v>
      </c>
      <c r="DZ26" s="43">
        <v>1</v>
      </c>
      <c r="EA26" s="43">
        <v>1</v>
      </c>
      <c r="EB26" s="43">
        <v>1</v>
      </c>
      <c r="EC26" s="43">
        <v>1</v>
      </c>
      <c r="ED26" s="43">
        <v>1</v>
      </c>
      <c r="EE26" s="43">
        <v>1</v>
      </c>
      <c r="EF26" s="43">
        <v>1</v>
      </c>
      <c r="EG26" s="43">
        <v>1</v>
      </c>
      <c r="EH26" s="43">
        <v>1</v>
      </c>
      <c r="EI26" s="43">
        <v>1</v>
      </c>
      <c r="EJ26" s="43">
        <v>1</v>
      </c>
      <c r="EK26" s="43">
        <v>1</v>
      </c>
      <c r="EL26" s="50"/>
      <c r="EM26" s="50"/>
      <c r="EN26" s="50"/>
      <c r="EO26" s="50"/>
      <c r="EP26" s="50"/>
      <c r="EQ26" s="50"/>
      <c r="ER26" s="50"/>
      <c r="ES26" s="50"/>
      <c r="ET26" s="50"/>
      <c r="EU26" s="50"/>
      <c r="EV26" s="50"/>
      <c r="EW26" s="50"/>
      <c r="EX26" s="50"/>
      <c r="EY26" s="50"/>
      <c r="EZ26" s="50"/>
      <c r="FA26" s="50"/>
      <c r="FB26" s="50"/>
      <c r="FC26" s="50"/>
      <c r="FD26" s="50"/>
      <c r="FE26" s="50"/>
    </row>
    <row r="27" spans="1:161" x14ac:dyDescent="0.15">
      <c r="A27" s="46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43"/>
      <c r="CE27" s="43"/>
      <c r="CF27" s="43"/>
      <c r="CG27" s="43"/>
      <c r="CH27" s="43"/>
      <c r="CI27" s="43"/>
      <c r="CJ27" s="43"/>
      <c r="CK27" s="43"/>
      <c r="CL27" s="43"/>
      <c r="CM27" s="43"/>
      <c r="CN27" s="43"/>
      <c r="CO27" s="43"/>
      <c r="CP27" s="43"/>
      <c r="CQ27" s="43"/>
      <c r="CR27" s="43"/>
      <c r="CS27" s="43"/>
      <c r="CT27" s="43"/>
      <c r="CU27" s="43"/>
      <c r="CV27" s="43"/>
      <c r="CW27" s="43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45">
        <v>1</v>
      </c>
      <c r="DS27" s="45">
        <v>1</v>
      </c>
      <c r="DT27" s="45">
        <v>1</v>
      </c>
      <c r="DU27" s="45">
        <v>1</v>
      </c>
      <c r="DV27" s="45">
        <v>1</v>
      </c>
      <c r="DW27" s="45">
        <v>1</v>
      </c>
      <c r="DX27" s="45">
        <v>1</v>
      </c>
      <c r="DY27" s="45">
        <v>1</v>
      </c>
      <c r="DZ27" s="45">
        <v>1</v>
      </c>
      <c r="EA27" s="45">
        <v>1</v>
      </c>
      <c r="EB27" s="45">
        <v>1</v>
      </c>
      <c r="EC27" s="45">
        <v>1</v>
      </c>
      <c r="ED27" s="45">
        <v>1</v>
      </c>
      <c r="EE27" s="45">
        <v>1</v>
      </c>
      <c r="EF27" s="45">
        <v>1</v>
      </c>
      <c r="EG27" s="45">
        <v>1</v>
      </c>
      <c r="EH27" s="45">
        <v>1</v>
      </c>
      <c r="EI27" s="45">
        <v>1</v>
      </c>
      <c r="EJ27" s="45">
        <v>1</v>
      </c>
      <c r="EK27" s="45">
        <v>1</v>
      </c>
      <c r="EL27" s="50"/>
      <c r="EM27" s="50"/>
      <c r="EN27" s="50"/>
      <c r="EO27" s="50"/>
      <c r="EP27" s="50"/>
      <c r="EQ27" s="50"/>
      <c r="ER27" s="50"/>
      <c r="ES27" s="50"/>
      <c r="ET27" s="50"/>
      <c r="EU27" s="50"/>
      <c r="EV27" s="50"/>
      <c r="EW27" s="50"/>
      <c r="EX27" s="50"/>
      <c r="EY27" s="50"/>
      <c r="EZ27" s="50"/>
      <c r="FA27" s="50"/>
      <c r="FB27" s="50"/>
      <c r="FC27" s="50"/>
      <c r="FD27" s="50"/>
      <c r="FE27" s="50"/>
    </row>
    <row r="28" spans="1:161" x14ac:dyDescent="0.15">
      <c r="A28" s="46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  <c r="BX28" s="52"/>
      <c r="BY28" s="52"/>
      <c r="BZ28" s="52"/>
      <c r="CA28" s="52"/>
      <c r="CB28" s="52"/>
      <c r="CC28" s="52"/>
      <c r="CD28" s="43"/>
      <c r="CE28" s="43"/>
      <c r="CF28" s="43"/>
      <c r="CG28" s="43"/>
      <c r="CH28" s="43"/>
      <c r="CI28" s="43"/>
      <c r="CJ28" s="43"/>
      <c r="CK28" s="43"/>
      <c r="CL28" s="43"/>
      <c r="CM28" s="43"/>
      <c r="CN28" s="43"/>
      <c r="CO28" s="43"/>
      <c r="CP28" s="43"/>
      <c r="CQ28" s="43"/>
      <c r="CR28" s="43"/>
      <c r="CS28" s="43"/>
      <c r="CT28" s="43"/>
      <c r="CU28" s="43"/>
      <c r="CV28" s="43"/>
      <c r="CW28" s="43"/>
      <c r="CX28" s="52"/>
      <c r="CY28" s="52"/>
      <c r="CZ28" s="52"/>
      <c r="DA28" s="52"/>
      <c r="DB28" s="52"/>
      <c r="DC28" s="52"/>
      <c r="DD28" s="52"/>
      <c r="DE28" s="52"/>
      <c r="DF28" s="52"/>
      <c r="DG28" s="52"/>
      <c r="DH28" s="52"/>
      <c r="DI28" s="52"/>
      <c r="DJ28" s="52"/>
      <c r="DK28" s="52"/>
      <c r="DL28" s="52"/>
      <c r="DM28" s="52"/>
      <c r="DN28" s="52"/>
      <c r="DO28" s="52"/>
      <c r="DP28" s="52"/>
      <c r="DQ28" s="52"/>
      <c r="DR28" s="43">
        <v>1</v>
      </c>
      <c r="DS28" s="43">
        <v>1</v>
      </c>
      <c r="DT28" s="43">
        <v>1</v>
      </c>
      <c r="DU28" s="43">
        <v>1</v>
      </c>
      <c r="DV28" s="43">
        <v>1</v>
      </c>
      <c r="DW28" s="43">
        <v>1</v>
      </c>
      <c r="DX28" s="43">
        <v>1</v>
      </c>
      <c r="DY28" s="43">
        <v>1</v>
      </c>
      <c r="DZ28" s="43">
        <v>1</v>
      </c>
      <c r="EA28" s="43">
        <v>1</v>
      </c>
      <c r="EB28" s="43">
        <v>1</v>
      </c>
      <c r="EC28" s="43">
        <v>1</v>
      </c>
      <c r="ED28" s="43">
        <v>1</v>
      </c>
      <c r="EE28" s="43">
        <v>1</v>
      </c>
      <c r="EF28" s="43">
        <v>1</v>
      </c>
      <c r="EG28" s="43">
        <v>1</v>
      </c>
      <c r="EH28" s="43">
        <v>1</v>
      </c>
      <c r="EI28" s="43">
        <v>1</v>
      </c>
      <c r="EJ28" s="43">
        <v>1</v>
      </c>
      <c r="EK28" s="43">
        <v>1</v>
      </c>
      <c r="EL28" s="50"/>
      <c r="EM28" s="50"/>
      <c r="EN28" s="50"/>
      <c r="EO28" s="50"/>
      <c r="EP28" s="50"/>
      <c r="EQ28" s="50"/>
      <c r="ER28" s="50"/>
      <c r="ES28" s="50"/>
      <c r="ET28" s="50"/>
      <c r="EU28" s="50"/>
      <c r="EV28" s="50"/>
      <c r="EW28" s="50"/>
      <c r="EX28" s="50"/>
      <c r="EY28" s="50"/>
      <c r="EZ28" s="50"/>
      <c r="FA28" s="50"/>
      <c r="FB28" s="50"/>
      <c r="FC28" s="50"/>
      <c r="FD28" s="50"/>
      <c r="FE28" s="50"/>
    </row>
    <row r="29" spans="1:161" x14ac:dyDescent="0.15">
      <c r="A29" s="46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52"/>
      <c r="W29" s="52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52"/>
      <c r="BK29" s="52"/>
      <c r="BL29" s="52"/>
      <c r="BM29" s="52"/>
      <c r="BN29" s="52"/>
      <c r="BO29" s="52"/>
      <c r="BP29" s="52"/>
      <c r="BQ29" s="52"/>
      <c r="BR29" s="52"/>
      <c r="BS29" s="52"/>
      <c r="BT29" s="52"/>
      <c r="BU29" s="52"/>
      <c r="BV29" s="52"/>
      <c r="BW29" s="52"/>
      <c r="BX29" s="52"/>
      <c r="BY29" s="52"/>
      <c r="BZ29" s="52"/>
      <c r="CA29" s="52"/>
      <c r="CB29" s="52"/>
      <c r="CC29" s="52"/>
      <c r="CD29" s="43"/>
      <c r="CE29" s="43"/>
      <c r="CF29" s="43"/>
      <c r="CG29" s="43"/>
      <c r="CH29" s="43"/>
      <c r="CI29" s="43"/>
      <c r="CJ29" s="43"/>
      <c r="CK29" s="43"/>
      <c r="CL29" s="43"/>
      <c r="CM29" s="43"/>
      <c r="CN29" s="43"/>
      <c r="CO29" s="43"/>
      <c r="CP29" s="43"/>
      <c r="CQ29" s="43"/>
      <c r="CR29" s="43"/>
      <c r="CS29" s="43"/>
      <c r="CT29" s="43"/>
      <c r="CU29" s="43"/>
      <c r="CV29" s="43"/>
      <c r="CW29" s="43"/>
      <c r="CX29" s="52"/>
      <c r="CY29" s="52"/>
      <c r="CZ29" s="52"/>
      <c r="DA29" s="52"/>
      <c r="DB29" s="52"/>
      <c r="DC29" s="52"/>
      <c r="DD29" s="52"/>
      <c r="DE29" s="52"/>
      <c r="DF29" s="52"/>
      <c r="DG29" s="52"/>
      <c r="DH29" s="52"/>
      <c r="DI29" s="52"/>
      <c r="DJ29" s="52"/>
      <c r="DK29" s="52"/>
      <c r="DL29" s="52"/>
      <c r="DM29" s="52"/>
      <c r="DN29" s="52"/>
      <c r="DO29" s="52"/>
      <c r="DP29" s="52"/>
      <c r="DQ29" s="52"/>
      <c r="DR29" s="43">
        <v>1</v>
      </c>
      <c r="DS29" s="43">
        <v>1</v>
      </c>
      <c r="DT29" s="43">
        <v>1</v>
      </c>
      <c r="DU29" s="43">
        <v>1</v>
      </c>
      <c r="DV29" s="43">
        <v>1</v>
      </c>
      <c r="DW29" s="43">
        <v>1</v>
      </c>
      <c r="DX29" s="43">
        <v>1</v>
      </c>
      <c r="DY29" s="43">
        <v>1</v>
      </c>
      <c r="DZ29" s="43">
        <v>1</v>
      </c>
      <c r="EA29" s="43">
        <v>1</v>
      </c>
      <c r="EB29" s="43">
        <v>1</v>
      </c>
      <c r="EC29" s="43">
        <v>1</v>
      </c>
      <c r="ED29" s="43">
        <v>1</v>
      </c>
      <c r="EE29" s="43">
        <v>1</v>
      </c>
      <c r="EF29" s="43">
        <v>1</v>
      </c>
      <c r="EG29" s="43">
        <v>1</v>
      </c>
      <c r="EH29" s="43">
        <v>1</v>
      </c>
      <c r="EI29" s="43">
        <v>1</v>
      </c>
      <c r="EJ29" s="43">
        <v>1</v>
      </c>
      <c r="EK29" s="43">
        <v>1</v>
      </c>
      <c r="EL29" s="50"/>
      <c r="EM29" s="50"/>
      <c r="EN29" s="50"/>
      <c r="EO29" s="50"/>
      <c r="EP29" s="50"/>
      <c r="EQ29" s="50"/>
      <c r="ER29" s="50"/>
      <c r="ES29" s="50"/>
      <c r="ET29" s="50"/>
      <c r="EU29" s="50"/>
      <c r="EV29" s="50"/>
      <c r="EW29" s="50"/>
      <c r="EX29" s="50"/>
      <c r="EY29" s="50"/>
      <c r="EZ29" s="50"/>
      <c r="FA29" s="50"/>
      <c r="FB29" s="50"/>
      <c r="FC29" s="50"/>
      <c r="FD29" s="50"/>
      <c r="FE29" s="50"/>
    </row>
    <row r="30" spans="1:161" x14ac:dyDescent="0.15">
      <c r="A30" s="46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52"/>
      <c r="W30" s="52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52"/>
      <c r="BK30" s="52"/>
      <c r="BL30" s="52"/>
      <c r="BM30" s="52"/>
      <c r="BN30" s="52"/>
      <c r="BO30" s="52"/>
      <c r="BP30" s="52"/>
      <c r="BQ30" s="52"/>
      <c r="BR30" s="52"/>
      <c r="BS30" s="52"/>
      <c r="BT30" s="52"/>
      <c r="BU30" s="52"/>
      <c r="BV30" s="52"/>
      <c r="BW30" s="52"/>
      <c r="BX30" s="52"/>
      <c r="BY30" s="52"/>
      <c r="BZ30" s="52"/>
      <c r="CA30" s="52"/>
      <c r="CB30" s="52"/>
      <c r="CC30" s="52"/>
      <c r="CD30" s="43"/>
      <c r="CE30" s="43"/>
      <c r="CF30" s="43"/>
      <c r="CG30" s="43"/>
      <c r="CH30" s="43"/>
      <c r="CI30" s="43"/>
      <c r="CJ30" s="43"/>
      <c r="CK30" s="43"/>
      <c r="CL30" s="43"/>
      <c r="CM30" s="43"/>
      <c r="CN30" s="43"/>
      <c r="CO30" s="43"/>
      <c r="CP30" s="43"/>
      <c r="CQ30" s="43"/>
      <c r="CR30" s="43"/>
      <c r="CS30" s="43"/>
      <c r="CT30" s="43"/>
      <c r="CU30" s="43"/>
      <c r="CV30" s="43"/>
      <c r="CW30" s="43"/>
      <c r="CX30" s="52"/>
      <c r="CY30" s="52"/>
      <c r="CZ30" s="52"/>
      <c r="DA30" s="52"/>
      <c r="DB30" s="52"/>
      <c r="DC30" s="52"/>
      <c r="DD30" s="52"/>
      <c r="DE30" s="52"/>
      <c r="DF30" s="52"/>
      <c r="DG30" s="52"/>
      <c r="DH30" s="52"/>
      <c r="DI30" s="52"/>
      <c r="DJ30" s="52"/>
      <c r="DK30" s="52"/>
      <c r="DL30" s="52"/>
      <c r="DM30" s="52"/>
      <c r="DN30" s="52"/>
      <c r="DO30" s="52"/>
      <c r="DP30" s="52"/>
      <c r="DQ30" s="52"/>
      <c r="DR30" s="43">
        <v>1</v>
      </c>
      <c r="DS30" s="43">
        <v>1</v>
      </c>
      <c r="DT30" s="43">
        <v>1</v>
      </c>
      <c r="DU30" s="43">
        <v>1</v>
      </c>
      <c r="DV30" s="43">
        <v>1</v>
      </c>
      <c r="DW30" s="43">
        <v>1</v>
      </c>
      <c r="DX30" s="43">
        <v>1</v>
      </c>
      <c r="DY30" s="43">
        <v>1</v>
      </c>
      <c r="DZ30" s="43">
        <v>1</v>
      </c>
      <c r="EA30" s="43">
        <v>1</v>
      </c>
      <c r="EB30" s="43">
        <v>1</v>
      </c>
      <c r="EC30" s="43">
        <v>1</v>
      </c>
      <c r="ED30" s="43">
        <v>1</v>
      </c>
      <c r="EE30" s="43">
        <v>1</v>
      </c>
      <c r="EF30" s="43">
        <v>1</v>
      </c>
      <c r="EG30" s="43">
        <v>1</v>
      </c>
      <c r="EH30" s="43">
        <v>1</v>
      </c>
      <c r="EI30" s="43">
        <v>1</v>
      </c>
      <c r="EJ30" s="43">
        <v>1</v>
      </c>
      <c r="EK30" s="43">
        <v>1</v>
      </c>
      <c r="EL30" s="50"/>
      <c r="EM30" s="50"/>
      <c r="EN30" s="50"/>
      <c r="EO30" s="50"/>
      <c r="EP30" s="50"/>
      <c r="EQ30" s="50"/>
      <c r="ER30" s="50"/>
      <c r="ES30" s="50"/>
      <c r="ET30" s="50"/>
      <c r="EU30" s="50"/>
      <c r="EV30" s="50"/>
      <c r="EW30" s="50"/>
      <c r="EX30" s="50"/>
      <c r="EY30" s="50"/>
      <c r="EZ30" s="50"/>
      <c r="FA30" s="50"/>
      <c r="FB30" s="50"/>
      <c r="FC30" s="50"/>
      <c r="FD30" s="50"/>
      <c r="FE30" s="50"/>
    </row>
    <row r="31" spans="1:161" x14ac:dyDescent="0.15">
      <c r="A31" s="46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52"/>
      <c r="W31" s="52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52"/>
      <c r="BK31" s="52"/>
      <c r="BL31" s="52"/>
      <c r="BM31" s="52"/>
      <c r="BN31" s="52"/>
      <c r="BO31" s="52"/>
      <c r="BP31" s="52"/>
      <c r="BQ31" s="52"/>
      <c r="BR31" s="52"/>
      <c r="BS31" s="52"/>
      <c r="BT31" s="52"/>
      <c r="BU31" s="52"/>
      <c r="BV31" s="52"/>
      <c r="BW31" s="52"/>
      <c r="BX31" s="52"/>
      <c r="BY31" s="52"/>
      <c r="BZ31" s="52"/>
      <c r="CA31" s="52"/>
      <c r="CB31" s="52"/>
      <c r="CC31" s="52"/>
      <c r="CD31" s="43"/>
      <c r="CE31" s="43"/>
      <c r="CF31" s="43"/>
      <c r="CG31" s="43"/>
      <c r="CH31" s="43"/>
      <c r="CI31" s="43"/>
      <c r="CJ31" s="43"/>
      <c r="CK31" s="43"/>
      <c r="CL31" s="43"/>
      <c r="CM31" s="43"/>
      <c r="CN31" s="43"/>
      <c r="CO31" s="43"/>
      <c r="CP31" s="43"/>
      <c r="CQ31" s="43"/>
      <c r="CR31" s="43"/>
      <c r="CS31" s="43"/>
      <c r="CT31" s="43"/>
      <c r="CU31" s="43"/>
      <c r="CV31" s="43"/>
      <c r="CW31" s="43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43">
        <v>1</v>
      </c>
      <c r="DS31" s="43">
        <v>1</v>
      </c>
      <c r="DT31" s="43">
        <v>1</v>
      </c>
      <c r="DU31" s="43">
        <v>1</v>
      </c>
      <c r="DV31" s="43">
        <v>1</v>
      </c>
      <c r="DW31" s="43">
        <v>1</v>
      </c>
      <c r="DX31" s="43">
        <v>1</v>
      </c>
      <c r="DY31" s="43">
        <v>1</v>
      </c>
      <c r="DZ31" s="43">
        <v>1</v>
      </c>
      <c r="EA31" s="43">
        <v>1</v>
      </c>
      <c r="EB31" s="43">
        <v>1</v>
      </c>
      <c r="EC31" s="43">
        <v>1</v>
      </c>
      <c r="ED31" s="43">
        <v>1</v>
      </c>
      <c r="EE31" s="43">
        <v>1</v>
      </c>
      <c r="EF31" s="43">
        <v>1</v>
      </c>
      <c r="EG31" s="43">
        <v>1</v>
      </c>
      <c r="EH31" s="43">
        <v>1</v>
      </c>
      <c r="EI31" s="43">
        <v>1</v>
      </c>
      <c r="EJ31" s="43">
        <v>1</v>
      </c>
      <c r="EK31" s="43">
        <v>1</v>
      </c>
      <c r="EL31" s="50"/>
      <c r="EM31" s="50"/>
      <c r="EN31" s="50"/>
      <c r="EO31" s="50"/>
      <c r="EP31" s="50"/>
      <c r="EQ31" s="50"/>
      <c r="ER31" s="50"/>
      <c r="ES31" s="50"/>
      <c r="ET31" s="50"/>
      <c r="EU31" s="50"/>
      <c r="EV31" s="50"/>
      <c r="EW31" s="50"/>
      <c r="EX31" s="50"/>
      <c r="EY31" s="50"/>
      <c r="EZ31" s="50"/>
      <c r="FA31" s="50"/>
      <c r="FB31" s="50"/>
      <c r="FC31" s="50"/>
      <c r="FD31" s="50"/>
      <c r="FE31" s="50"/>
    </row>
    <row r="32" spans="1:161" x14ac:dyDescent="0.15">
      <c r="A32" s="46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52"/>
      <c r="CC32" s="52"/>
      <c r="CD32" s="43"/>
      <c r="CE32" s="43"/>
      <c r="CF32" s="43"/>
      <c r="CG32" s="43"/>
      <c r="CH32" s="43"/>
      <c r="CI32" s="43"/>
      <c r="CJ32" s="43"/>
      <c r="CK32" s="43"/>
      <c r="CL32" s="43"/>
      <c r="CM32" s="43"/>
      <c r="CN32" s="43"/>
      <c r="CO32" s="43"/>
      <c r="CP32" s="43"/>
      <c r="CQ32" s="43"/>
      <c r="CR32" s="43"/>
      <c r="CS32" s="43"/>
      <c r="CT32" s="43"/>
      <c r="CU32" s="43"/>
      <c r="CV32" s="43"/>
      <c r="CW32" s="43"/>
      <c r="CX32" s="52"/>
      <c r="CY32" s="52"/>
      <c r="CZ32" s="52"/>
      <c r="DA32" s="52"/>
      <c r="DB32" s="52"/>
      <c r="DC32" s="52"/>
      <c r="DD32" s="52"/>
      <c r="DE32" s="52"/>
      <c r="DF32" s="52"/>
      <c r="DG32" s="52"/>
      <c r="DH32" s="52"/>
      <c r="DI32" s="52"/>
      <c r="DJ32" s="52"/>
      <c r="DK32" s="52"/>
      <c r="DL32" s="52"/>
      <c r="DM32" s="52"/>
      <c r="DN32" s="52"/>
      <c r="DO32" s="52"/>
      <c r="DP32" s="52"/>
      <c r="DQ32" s="52"/>
      <c r="DR32" s="43">
        <v>1</v>
      </c>
      <c r="DS32" s="43">
        <v>1</v>
      </c>
      <c r="DT32" s="43">
        <v>1</v>
      </c>
      <c r="DU32" s="43">
        <v>1</v>
      </c>
      <c r="DV32" s="43">
        <v>1</v>
      </c>
      <c r="DW32" s="43">
        <v>1</v>
      </c>
      <c r="DX32" s="43">
        <v>1</v>
      </c>
      <c r="DY32" s="43">
        <v>1</v>
      </c>
      <c r="DZ32" s="43">
        <v>1</v>
      </c>
      <c r="EA32" s="43">
        <v>1</v>
      </c>
      <c r="EB32" s="43">
        <v>1</v>
      </c>
      <c r="EC32" s="43">
        <v>1</v>
      </c>
      <c r="ED32" s="43">
        <v>1</v>
      </c>
      <c r="EE32" s="43">
        <v>1</v>
      </c>
      <c r="EF32" s="43">
        <v>1</v>
      </c>
      <c r="EG32" s="43">
        <v>1</v>
      </c>
      <c r="EH32" s="43">
        <v>1</v>
      </c>
      <c r="EI32" s="43">
        <v>1</v>
      </c>
      <c r="EJ32" s="43">
        <v>1</v>
      </c>
      <c r="EK32" s="43">
        <v>1</v>
      </c>
      <c r="EL32" s="50"/>
      <c r="EM32" s="50"/>
      <c r="EN32" s="50"/>
      <c r="EO32" s="50"/>
      <c r="EP32" s="50"/>
      <c r="EQ32" s="50"/>
      <c r="ER32" s="50"/>
      <c r="ES32" s="50"/>
      <c r="ET32" s="50"/>
      <c r="EU32" s="50"/>
      <c r="EV32" s="50"/>
      <c r="EW32" s="50"/>
      <c r="EX32" s="50"/>
      <c r="EY32" s="50"/>
      <c r="EZ32" s="50"/>
      <c r="FA32" s="50"/>
      <c r="FB32" s="50"/>
      <c r="FC32" s="50"/>
      <c r="FD32" s="50"/>
      <c r="FE32" s="50"/>
    </row>
    <row r="33" spans="1:161" x14ac:dyDescent="0.15">
      <c r="A33" s="46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52"/>
      <c r="W33" s="52"/>
      <c r="X33" s="52"/>
      <c r="Y33" s="52"/>
      <c r="Z33" s="52"/>
      <c r="AA33" s="52"/>
      <c r="AB33" s="52"/>
      <c r="AC33" s="52"/>
      <c r="AD33" s="52"/>
      <c r="AE33" s="52"/>
      <c r="AF33" s="52"/>
      <c r="AG33" s="52"/>
      <c r="AH33" s="52"/>
      <c r="AI33" s="52"/>
      <c r="AJ33" s="52"/>
      <c r="AK33" s="52"/>
      <c r="AL33" s="52"/>
      <c r="AM33" s="52"/>
      <c r="AN33" s="52"/>
      <c r="AO33" s="52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52"/>
      <c r="BK33" s="52"/>
      <c r="BL33" s="52"/>
      <c r="BM33" s="52"/>
      <c r="BN33" s="52"/>
      <c r="BO33" s="52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43"/>
      <c r="CE33" s="43"/>
      <c r="CF33" s="43"/>
      <c r="CG33" s="43"/>
      <c r="CH33" s="43"/>
      <c r="CI33" s="43"/>
      <c r="CJ33" s="43"/>
      <c r="CK33" s="43"/>
      <c r="CL33" s="43"/>
      <c r="CM33" s="43"/>
      <c r="CN33" s="43"/>
      <c r="CO33" s="43"/>
      <c r="CP33" s="43"/>
      <c r="CQ33" s="43"/>
      <c r="CR33" s="43"/>
      <c r="CS33" s="43"/>
      <c r="CT33" s="43"/>
      <c r="CU33" s="43"/>
      <c r="CV33" s="43"/>
      <c r="CW33" s="43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43">
        <v>1</v>
      </c>
      <c r="DS33" s="43">
        <v>1</v>
      </c>
      <c r="DT33" s="43">
        <v>1</v>
      </c>
      <c r="DU33" s="43">
        <v>1</v>
      </c>
      <c r="DV33" s="43">
        <v>1</v>
      </c>
      <c r="DW33" s="43">
        <v>1</v>
      </c>
      <c r="DX33" s="43">
        <v>1</v>
      </c>
      <c r="DY33" s="43">
        <v>1</v>
      </c>
      <c r="DZ33" s="43">
        <v>1</v>
      </c>
      <c r="EA33" s="43">
        <v>1</v>
      </c>
      <c r="EB33" s="43">
        <v>1</v>
      </c>
      <c r="EC33" s="43">
        <v>1</v>
      </c>
      <c r="ED33" s="43">
        <v>1</v>
      </c>
      <c r="EE33" s="43">
        <v>1</v>
      </c>
      <c r="EF33" s="43">
        <v>1</v>
      </c>
      <c r="EG33" s="43">
        <v>1</v>
      </c>
      <c r="EH33" s="43">
        <v>1</v>
      </c>
      <c r="EI33" s="43">
        <v>1</v>
      </c>
      <c r="EJ33" s="43">
        <v>1</v>
      </c>
      <c r="EK33" s="43">
        <v>1</v>
      </c>
      <c r="EL33" s="50"/>
      <c r="EM33" s="50"/>
      <c r="EN33" s="50"/>
      <c r="EO33" s="50"/>
      <c r="EP33" s="50"/>
      <c r="EQ33" s="50"/>
      <c r="ER33" s="50"/>
      <c r="ES33" s="50"/>
      <c r="ET33" s="50"/>
      <c r="EU33" s="50"/>
      <c r="EV33" s="50"/>
      <c r="EW33" s="50"/>
      <c r="EX33" s="50"/>
      <c r="EY33" s="50"/>
      <c r="EZ33" s="50"/>
      <c r="FA33" s="50"/>
      <c r="FB33" s="50"/>
      <c r="FC33" s="50"/>
      <c r="FD33" s="50"/>
      <c r="FE33" s="50"/>
    </row>
    <row r="34" spans="1:161" x14ac:dyDescent="0.15">
      <c r="A34" s="46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52"/>
      <c r="W34" s="52"/>
      <c r="X34" s="52"/>
      <c r="Y34" s="52"/>
      <c r="Z34" s="52"/>
      <c r="AA34" s="52"/>
      <c r="AB34" s="52"/>
      <c r="AC34" s="52"/>
      <c r="AD34" s="52"/>
      <c r="AE34" s="52"/>
      <c r="AF34" s="52"/>
      <c r="AG34" s="52"/>
      <c r="AH34" s="52"/>
      <c r="AI34" s="52"/>
      <c r="AJ34" s="52"/>
      <c r="AK34" s="52"/>
      <c r="AL34" s="52"/>
      <c r="AM34" s="52"/>
      <c r="AN34" s="52"/>
      <c r="AO34" s="52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52"/>
      <c r="CC34" s="52"/>
      <c r="CD34" s="43"/>
      <c r="CE34" s="43"/>
      <c r="CF34" s="43"/>
      <c r="CG34" s="43"/>
      <c r="CH34" s="43"/>
      <c r="CI34" s="43"/>
      <c r="CJ34" s="43"/>
      <c r="CK34" s="43"/>
      <c r="CL34" s="43"/>
      <c r="CM34" s="43"/>
      <c r="CN34" s="43"/>
      <c r="CO34" s="43"/>
      <c r="CP34" s="43"/>
      <c r="CQ34" s="43"/>
      <c r="CR34" s="43"/>
      <c r="CS34" s="43"/>
      <c r="CT34" s="43"/>
      <c r="CU34" s="43"/>
      <c r="CV34" s="43"/>
      <c r="CW34" s="43"/>
      <c r="CX34" s="52"/>
      <c r="CY34" s="52"/>
      <c r="CZ34" s="52"/>
      <c r="DA34" s="52"/>
      <c r="DB34" s="52"/>
      <c r="DC34" s="52"/>
      <c r="DD34" s="52"/>
      <c r="DE34" s="52"/>
      <c r="DF34" s="52"/>
      <c r="DG34" s="52"/>
      <c r="DH34" s="52"/>
      <c r="DI34" s="52"/>
      <c r="DJ34" s="52"/>
      <c r="DK34" s="52"/>
      <c r="DL34" s="52"/>
      <c r="DM34" s="52"/>
      <c r="DN34" s="52"/>
      <c r="DO34" s="52"/>
      <c r="DP34" s="52"/>
      <c r="DQ34" s="52"/>
      <c r="DR34" s="43">
        <v>1</v>
      </c>
      <c r="DS34" s="43">
        <v>1</v>
      </c>
      <c r="DT34" s="43">
        <v>1</v>
      </c>
      <c r="DU34" s="43">
        <v>1</v>
      </c>
      <c r="DV34" s="43">
        <v>1</v>
      </c>
      <c r="DW34" s="43">
        <v>1</v>
      </c>
      <c r="DX34" s="43">
        <v>1</v>
      </c>
      <c r="DY34" s="43">
        <v>1</v>
      </c>
      <c r="DZ34" s="43">
        <v>1</v>
      </c>
      <c r="EA34" s="43">
        <v>1</v>
      </c>
      <c r="EB34" s="43">
        <v>1</v>
      </c>
      <c r="EC34" s="43">
        <v>1</v>
      </c>
      <c r="ED34" s="43">
        <v>1</v>
      </c>
      <c r="EE34" s="43">
        <v>1</v>
      </c>
      <c r="EF34" s="43">
        <v>1</v>
      </c>
      <c r="EG34" s="43">
        <v>1</v>
      </c>
      <c r="EH34" s="43">
        <v>1</v>
      </c>
      <c r="EI34" s="43">
        <v>1</v>
      </c>
      <c r="EJ34" s="43">
        <v>1</v>
      </c>
      <c r="EK34" s="43">
        <v>1</v>
      </c>
      <c r="EL34" s="50"/>
      <c r="EM34" s="50"/>
      <c r="EN34" s="50"/>
      <c r="EO34" s="50"/>
      <c r="EP34" s="50"/>
      <c r="EQ34" s="50"/>
      <c r="ER34" s="50"/>
      <c r="ES34" s="50"/>
      <c r="ET34" s="50"/>
      <c r="EU34" s="50"/>
      <c r="EV34" s="50"/>
      <c r="EW34" s="50"/>
      <c r="EX34" s="50"/>
      <c r="EY34" s="50"/>
      <c r="EZ34" s="50"/>
      <c r="FA34" s="50"/>
      <c r="FB34" s="50"/>
      <c r="FC34" s="50"/>
      <c r="FD34" s="50"/>
      <c r="FE34" s="50"/>
    </row>
    <row r="35" spans="1:161" x14ac:dyDescent="0.15">
      <c r="A35" s="46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43"/>
      <c r="CE35" s="43"/>
      <c r="CF35" s="43"/>
      <c r="CG35" s="43"/>
      <c r="CH35" s="43"/>
      <c r="CI35" s="43"/>
      <c r="CJ35" s="43"/>
      <c r="CK35" s="43"/>
      <c r="CL35" s="43"/>
      <c r="CM35" s="43"/>
      <c r="CN35" s="43"/>
      <c r="CO35" s="43"/>
      <c r="CP35" s="43"/>
      <c r="CQ35" s="43"/>
      <c r="CR35" s="43"/>
      <c r="CS35" s="43"/>
      <c r="CT35" s="43"/>
      <c r="CU35" s="43"/>
      <c r="CV35" s="43"/>
      <c r="CW35" s="43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43">
        <v>1</v>
      </c>
      <c r="DS35" s="43">
        <v>1</v>
      </c>
      <c r="DT35" s="43">
        <v>1</v>
      </c>
      <c r="DU35" s="43">
        <v>1</v>
      </c>
      <c r="DV35" s="43">
        <v>1</v>
      </c>
      <c r="DW35" s="43">
        <v>1</v>
      </c>
      <c r="DX35" s="43">
        <v>1</v>
      </c>
      <c r="DY35" s="43">
        <v>1</v>
      </c>
      <c r="DZ35" s="43">
        <v>1</v>
      </c>
      <c r="EA35" s="43">
        <v>1</v>
      </c>
      <c r="EB35" s="43">
        <v>1</v>
      </c>
      <c r="EC35" s="43">
        <v>1</v>
      </c>
      <c r="ED35" s="43">
        <v>1</v>
      </c>
      <c r="EE35" s="43">
        <v>1</v>
      </c>
      <c r="EF35" s="43">
        <v>1</v>
      </c>
      <c r="EG35" s="43">
        <v>1</v>
      </c>
      <c r="EH35" s="43">
        <v>1</v>
      </c>
      <c r="EI35" s="43">
        <v>1</v>
      </c>
      <c r="EJ35" s="43">
        <v>1</v>
      </c>
      <c r="EK35" s="43">
        <v>1</v>
      </c>
      <c r="EL35" s="50"/>
      <c r="EM35" s="50"/>
      <c r="EN35" s="50"/>
      <c r="EO35" s="50"/>
      <c r="EP35" s="50"/>
      <c r="EQ35" s="50"/>
      <c r="ER35" s="50"/>
      <c r="ES35" s="50"/>
      <c r="ET35" s="50"/>
      <c r="EU35" s="50"/>
      <c r="EV35" s="50"/>
      <c r="EW35" s="50"/>
      <c r="EX35" s="50"/>
      <c r="EY35" s="50"/>
      <c r="EZ35" s="50"/>
      <c r="FA35" s="50"/>
      <c r="FB35" s="50"/>
      <c r="FC35" s="50"/>
      <c r="FD35" s="50"/>
      <c r="FE35" s="50"/>
    </row>
    <row r="36" spans="1:161" x14ac:dyDescent="0.15">
      <c r="A36" s="46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52"/>
      <c r="W36" s="52"/>
      <c r="X36" s="52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52"/>
      <c r="BK36" s="52"/>
      <c r="BL36" s="52"/>
      <c r="BM36" s="52"/>
      <c r="BN36" s="52"/>
      <c r="BO36" s="52"/>
      <c r="BP36" s="52"/>
      <c r="BQ36" s="52"/>
      <c r="BR36" s="52"/>
      <c r="BS36" s="52"/>
      <c r="BT36" s="52"/>
      <c r="BU36" s="52"/>
      <c r="BV36" s="52"/>
      <c r="BW36" s="52"/>
      <c r="BX36" s="52"/>
      <c r="BY36" s="52"/>
      <c r="BZ36" s="52"/>
      <c r="CA36" s="52"/>
      <c r="CB36" s="52"/>
      <c r="CC36" s="52"/>
      <c r="CD36" s="43"/>
      <c r="CE36" s="43"/>
      <c r="CF36" s="43"/>
      <c r="CG36" s="43"/>
      <c r="CH36" s="43"/>
      <c r="CI36" s="43"/>
      <c r="CJ36" s="43"/>
      <c r="CK36" s="43"/>
      <c r="CL36" s="43"/>
      <c r="CM36" s="43"/>
      <c r="CN36" s="43"/>
      <c r="CO36" s="43"/>
      <c r="CP36" s="43"/>
      <c r="CQ36" s="43"/>
      <c r="CR36" s="43"/>
      <c r="CS36" s="43"/>
      <c r="CT36" s="43"/>
      <c r="CU36" s="43"/>
      <c r="CV36" s="43"/>
      <c r="CW36" s="43"/>
      <c r="CX36" s="52"/>
      <c r="CY36" s="52"/>
      <c r="CZ36" s="52"/>
      <c r="DA36" s="52"/>
      <c r="DB36" s="52"/>
      <c r="DC36" s="52"/>
      <c r="DD36" s="52"/>
      <c r="DE36" s="52"/>
      <c r="DF36" s="52"/>
      <c r="DG36" s="52"/>
      <c r="DH36" s="52"/>
      <c r="DI36" s="52"/>
      <c r="DJ36" s="52"/>
      <c r="DK36" s="52"/>
      <c r="DL36" s="52"/>
      <c r="DM36" s="52"/>
      <c r="DN36" s="52"/>
      <c r="DO36" s="52"/>
      <c r="DP36" s="52"/>
      <c r="DQ36" s="52"/>
      <c r="DR36" s="43">
        <v>1</v>
      </c>
      <c r="DS36" s="43">
        <v>1</v>
      </c>
      <c r="DT36" s="43">
        <v>1</v>
      </c>
      <c r="DU36" s="43">
        <v>1</v>
      </c>
      <c r="DV36" s="43">
        <v>1</v>
      </c>
      <c r="DW36" s="43">
        <v>1</v>
      </c>
      <c r="DX36" s="43">
        <v>1</v>
      </c>
      <c r="DY36" s="43">
        <v>1</v>
      </c>
      <c r="DZ36" s="43">
        <v>1</v>
      </c>
      <c r="EA36" s="43">
        <v>1</v>
      </c>
      <c r="EB36" s="43">
        <v>1</v>
      </c>
      <c r="EC36" s="43">
        <v>1</v>
      </c>
      <c r="ED36" s="43">
        <v>1</v>
      </c>
      <c r="EE36" s="43">
        <v>1</v>
      </c>
      <c r="EF36" s="43">
        <v>1</v>
      </c>
      <c r="EG36" s="43">
        <v>1</v>
      </c>
      <c r="EH36" s="43">
        <v>1</v>
      </c>
      <c r="EI36" s="43">
        <v>1</v>
      </c>
      <c r="EJ36" s="43">
        <v>1</v>
      </c>
      <c r="EK36" s="43">
        <v>1</v>
      </c>
      <c r="EL36" s="50"/>
      <c r="EM36" s="50"/>
      <c r="EN36" s="50"/>
      <c r="EO36" s="50"/>
      <c r="EP36" s="50"/>
      <c r="EQ36" s="50"/>
      <c r="ER36" s="50"/>
      <c r="ES36" s="50"/>
      <c r="ET36" s="50"/>
      <c r="EU36" s="50"/>
      <c r="EV36" s="50"/>
      <c r="EW36" s="50"/>
      <c r="EX36" s="50"/>
      <c r="EY36" s="50"/>
      <c r="EZ36" s="50"/>
      <c r="FA36" s="50"/>
      <c r="FB36" s="50"/>
      <c r="FC36" s="50"/>
      <c r="FD36" s="50"/>
      <c r="FE36" s="50"/>
    </row>
    <row r="37" spans="1:161" x14ac:dyDescent="0.15">
      <c r="A37" s="46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  <c r="BX37" s="52"/>
      <c r="BY37" s="52"/>
      <c r="BZ37" s="52"/>
      <c r="CA37" s="52"/>
      <c r="CB37" s="52"/>
      <c r="CC37" s="52"/>
      <c r="CD37" s="43"/>
      <c r="CE37" s="43"/>
      <c r="CF37" s="43"/>
      <c r="CG37" s="43"/>
      <c r="CH37" s="43"/>
      <c r="CI37" s="43"/>
      <c r="CJ37" s="43"/>
      <c r="CK37" s="43"/>
      <c r="CL37" s="43"/>
      <c r="CM37" s="43"/>
      <c r="CN37" s="43"/>
      <c r="CO37" s="43"/>
      <c r="CP37" s="43"/>
      <c r="CQ37" s="43"/>
      <c r="CR37" s="43"/>
      <c r="CS37" s="43"/>
      <c r="CT37" s="43"/>
      <c r="CU37" s="43"/>
      <c r="CV37" s="43"/>
      <c r="CW37" s="43"/>
      <c r="CX37" s="52"/>
      <c r="CY37" s="52"/>
      <c r="CZ37" s="52"/>
      <c r="DA37" s="52"/>
      <c r="DB37" s="52"/>
      <c r="DC37" s="52"/>
      <c r="DD37" s="52"/>
      <c r="DE37" s="52"/>
      <c r="DF37" s="52"/>
      <c r="DG37" s="52"/>
      <c r="DH37" s="52"/>
      <c r="DI37" s="52"/>
      <c r="DJ37" s="52"/>
      <c r="DK37" s="52"/>
      <c r="DL37" s="52"/>
      <c r="DM37" s="52"/>
      <c r="DN37" s="52"/>
      <c r="DO37" s="52"/>
      <c r="DP37" s="52"/>
      <c r="DQ37" s="52"/>
      <c r="DR37" s="43">
        <v>1</v>
      </c>
      <c r="DS37" s="43">
        <v>1</v>
      </c>
      <c r="DT37" s="43">
        <v>1</v>
      </c>
      <c r="DU37" s="43">
        <v>1</v>
      </c>
      <c r="DV37" s="43">
        <v>1</v>
      </c>
      <c r="DW37" s="43">
        <v>1</v>
      </c>
      <c r="DX37" s="43">
        <v>1</v>
      </c>
      <c r="DY37" s="43">
        <v>1</v>
      </c>
      <c r="DZ37" s="43">
        <v>1</v>
      </c>
      <c r="EA37" s="43">
        <v>1</v>
      </c>
      <c r="EB37" s="43">
        <v>1</v>
      </c>
      <c r="EC37" s="43">
        <v>1</v>
      </c>
      <c r="ED37" s="43">
        <v>1</v>
      </c>
      <c r="EE37" s="43">
        <v>1</v>
      </c>
      <c r="EF37" s="43">
        <v>1</v>
      </c>
      <c r="EG37" s="43">
        <v>1</v>
      </c>
      <c r="EH37" s="43">
        <v>1</v>
      </c>
      <c r="EI37" s="43">
        <v>1</v>
      </c>
      <c r="EJ37" s="43">
        <v>1</v>
      </c>
      <c r="EK37" s="43">
        <v>1</v>
      </c>
      <c r="EL37" s="50"/>
      <c r="EM37" s="50"/>
      <c r="EN37" s="50"/>
      <c r="EO37" s="50"/>
      <c r="EP37" s="50"/>
      <c r="EQ37" s="50"/>
      <c r="ER37" s="50"/>
      <c r="ES37" s="50"/>
      <c r="ET37" s="50"/>
      <c r="EU37" s="50"/>
      <c r="EV37" s="50"/>
      <c r="EW37" s="50"/>
      <c r="EX37" s="50"/>
      <c r="EY37" s="50"/>
      <c r="EZ37" s="50"/>
      <c r="FA37" s="50"/>
      <c r="FB37" s="50"/>
      <c r="FC37" s="50"/>
      <c r="FD37" s="50"/>
      <c r="FE37" s="50"/>
    </row>
    <row r="38" spans="1:161" x14ac:dyDescent="0.15">
      <c r="A38" s="46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  <c r="BX38" s="52"/>
      <c r="BY38" s="52"/>
      <c r="BZ38" s="52"/>
      <c r="CA38" s="52"/>
      <c r="CB38" s="52"/>
      <c r="CC38" s="52"/>
      <c r="CD38" s="43"/>
      <c r="CE38" s="43"/>
      <c r="CF38" s="43"/>
      <c r="CG38" s="43"/>
      <c r="CH38" s="43"/>
      <c r="CI38" s="43"/>
      <c r="CJ38" s="43"/>
      <c r="CK38" s="43"/>
      <c r="CL38" s="43"/>
      <c r="CM38" s="43"/>
      <c r="CN38" s="43"/>
      <c r="CO38" s="43"/>
      <c r="CP38" s="43"/>
      <c r="CQ38" s="43"/>
      <c r="CR38" s="43"/>
      <c r="CS38" s="43"/>
      <c r="CT38" s="43"/>
      <c r="CU38" s="43"/>
      <c r="CV38" s="43"/>
      <c r="CW38" s="43"/>
      <c r="CX38" s="52"/>
      <c r="CY38" s="52"/>
      <c r="CZ38" s="52"/>
      <c r="DA38" s="52"/>
      <c r="DB38" s="52"/>
      <c r="DC38" s="52"/>
      <c r="DD38" s="52"/>
      <c r="DE38" s="52"/>
      <c r="DF38" s="52"/>
      <c r="DG38" s="52"/>
      <c r="DH38" s="52"/>
      <c r="DI38" s="52"/>
      <c r="DJ38" s="52"/>
      <c r="DK38" s="52"/>
      <c r="DL38" s="52"/>
      <c r="DM38" s="52"/>
      <c r="DN38" s="52"/>
      <c r="DO38" s="52"/>
      <c r="DP38" s="52"/>
      <c r="DQ38" s="52"/>
      <c r="DR38" s="43">
        <v>1</v>
      </c>
      <c r="DS38" s="43">
        <v>1</v>
      </c>
      <c r="DT38" s="43">
        <v>1</v>
      </c>
      <c r="DU38" s="43">
        <v>1</v>
      </c>
      <c r="DV38" s="43">
        <v>1</v>
      </c>
      <c r="DW38" s="43">
        <v>1</v>
      </c>
      <c r="DX38" s="43">
        <v>1</v>
      </c>
      <c r="DY38" s="43">
        <v>1</v>
      </c>
      <c r="DZ38" s="43">
        <v>1</v>
      </c>
      <c r="EA38" s="43">
        <v>1</v>
      </c>
      <c r="EB38" s="43">
        <v>1</v>
      </c>
      <c r="EC38" s="43">
        <v>1</v>
      </c>
      <c r="ED38" s="43">
        <v>1</v>
      </c>
      <c r="EE38" s="43">
        <v>1</v>
      </c>
      <c r="EF38" s="43">
        <v>1</v>
      </c>
      <c r="EG38" s="43">
        <v>1</v>
      </c>
      <c r="EH38" s="43">
        <v>1</v>
      </c>
      <c r="EI38" s="43">
        <v>1</v>
      </c>
      <c r="EJ38" s="43">
        <v>1</v>
      </c>
      <c r="EK38" s="43">
        <v>1</v>
      </c>
      <c r="EL38" s="50"/>
      <c r="EM38" s="50"/>
      <c r="EN38" s="50"/>
      <c r="EO38" s="50"/>
      <c r="EP38" s="50"/>
      <c r="EQ38" s="50"/>
      <c r="ER38" s="50"/>
      <c r="ES38" s="50"/>
      <c r="ET38" s="50"/>
      <c r="EU38" s="50"/>
      <c r="EV38" s="50"/>
      <c r="EW38" s="50"/>
      <c r="EX38" s="50"/>
      <c r="EY38" s="50"/>
      <c r="EZ38" s="50"/>
      <c r="FA38" s="50"/>
      <c r="FB38" s="50"/>
      <c r="FC38" s="50"/>
      <c r="FD38" s="50"/>
      <c r="FE38" s="50"/>
    </row>
    <row r="39" spans="1:161" x14ac:dyDescent="0.15">
      <c r="A39" s="46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52"/>
      <c r="W39" s="52"/>
      <c r="X39" s="52"/>
      <c r="Y39" s="52"/>
      <c r="Z39" s="52"/>
      <c r="AA39" s="52"/>
      <c r="AB39" s="52"/>
      <c r="AC39" s="52"/>
      <c r="AD39" s="52"/>
      <c r="AE39" s="52"/>
      <c r="AF39" s="52"/>
      <c r="AG39" s="52"/>
      <c r="AH39" s="52"/>
      <c r="AI39" s="52"/>
      <c r="AJ39" s="52"/>
      <c r="AK39" s="52"/>
      <c r="AL39" s="52"/>
      <c r="AM39" s="52"/>
      <c r="AN39" s="52"/>
      <c r="AO39" s="52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52"/>
      <c r="BK39" s="52"/>
      <c r="BL39" s="52"/>
      <c r="BM39" s="52"/>
      <c r="BN39" s="52"/>
      <c r="BO39" s="52"/>
      <c r="BP39" s="52"/>
      <c r="BQ39" s="52"/>
      <c r="BR39" s="52"/>
      <c r="BS39" s="52"/>
      <c r="BT39" s="52"/>
      <c r="BU39" s="52"/>
      <c r="BV39" s="52"/>
      <c r="BW39" s="52"/>
      <c r="BX39" s="52"/>
      <c r="BY39" s="52"/>
      <c r="BZ39" s="52"/>
      <c r="CA39" s="52"/>
      <c r="CB39" s="52"/>
      <c r="CC39" s="52"/>
      <c r="CD39" s="43"/>
      <c r="CE39" s="43"/>
      <c r="CF39" s="43"/>
      <c r="CG39" s="43"/>
      <c r="CH39" s="43"/>
      <c r="CI39" s="43"/>
      <c r="CJ39" s="43"/>
      <c r="CK39" s="43"/>
      <c r="CL39" s="43"/>
      <c r="CM39" s="43"/>
      <c r="CN39" s="43"/>
      <c r="CO39" s="43"/>
      <c r="CP39" s="43"/>
      <c r="CQ39" s="43"/>
      <c r="CR39" s="43"/>
      <c r="CS39" s="43"/>
      <c r="CT39" s="43"/>
      <c r="CU39" s="43"/>
      <c r="CV39" s="43"/>
      <c r="CW39" s="43"/>
      <c r="CX39" s="52"/>
      <c r="CY39" s="52"/>
      <c r="CZ39" s="52"/>
      <c r="DA39" s="52"/>
      <c r="DB39" s="52"/>
      <c r="DC39" s="52"/>
      <c r="DD39" s="52"/>
      <c r="DE39" s="52"/>
      <c r="DF39" s="52"/>
      <c r="DG39" s="52"/>
      <c r="DH39" s="52"/>
      <c r="DI39" s="52"/>
      <c r="DJ39" s="52"/>
      <c r="DK39" s="52"/>
      <c r="DL39" s="52"/>
      <c r="DM39" s="52"/>
      <c r="DN39" s="52"/>
      <c r="DO39" s="52"/>
      <c r="DP39" s="52"/>
      <c r="DQ39" s="52"/>
      <c r="DR39" s="45">
        <v>1</v>
      </c>
      <c r="DS39" s="45">
        <v>1</v>
      </c>
      <c r="DT39" s="45">
        <v>1</v>
      </c>
      <c r="DU39" s="45">
        <v>1</v>
      </c>
      <c r="DV39" s="45">
        <v>1</v>
      </c>
      <c r="DW39" s="45">
        <v>1</v>
      </c>
      <c r="DX39" s="45">
        <v>1</v>
      </c>
      <c r="DY39" s="45">
        <v>1</v>
      </c>
      <c r="DZ39" s="45">
        <v>1</v>
      </c>
      <c r="EA39" s="45">
        <v>1</v>
      </c>
      <c r="EB39" s="45">
        <v>1</v>
      </c>
      <c r="EC39" s="45">
        <v>1</v>
      </c>
      <c r="ED39" s="45">
        <v>1</v>
      </c>
      <c r="EE39" s="45">
        <v>1</v>
      </c>
      <c r="EF39" s="45">
        <v>1</v>
      </c>
      <c r="EG39" s="45">
        <v>1</v>
      </c>
      <c r="EH39" s="45">
        <v>1</v>
      </c>
      <c r="EI39" s="45">
        <v>1</v>
      </c>
      <c r="EJ39" s="45">
        <v>1</v>
      </c>
      <c r="EK39" s="45">
        <v>1</v>
      </c>
      <c r="EL39" s="50"/>
      <c r="EM39" s="50"/>
      <c r="EN39" s="50"/>
      <c r="EO39" s="50"/>
      <c r="EP39" s="50"/>
      <c r="EQ39" s="50"/>
      <c r="ER39" s="50"/>
      <c r="ES39" s="50"/>
      <c r="ET39" s="50"/>
      <c r="EU39" s="50"/>
      <c r="EV39" s="50"/>
      <c r="EW39" s="50"/>
      <c r="EX39" s="50"/>
      <c r="EY39" s="50"/>
      <c r="EZ39" s="50"/>
      <c r="FA39" s="50"/>
      <c r="FB39" s="50"/>
      <c r="FC39" s="50"/>
      <c r="FD39" s="50"/>
      <c r="FE39" s="50"/>
    </row>
    <row r="40" spans="1:161" x14ac:dyDescent="0.15">
      <c r="A40" s="46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52"/>
      <c r="W40" s="52"/>
      <c r="X40" s="52"/>
      <c r="Y40" s="52"/>
      <c r="Z40" s="52"/>
      <c r="AA40" s="52"/>
      <c r="AB40" s="52"/>
      <c r="AC40" s="52"/>
      <c r="AD40" s="52"/>
      <c r="AE40" s="52"/>
      <c r="AF40" s="52"/>
      <c r="AG40" s="52"/>
      <c r="AH40" s="52"/>
      <c r="AI40" s="52"/>
      <c r="AJ40" s="52"/>
      <c r="AK40" s="52"/>
      <c r="AL40" s="52"/>
      <c r="AM40" s="52"/>
      <c r="AN40" s="52"/>
      <c r="AO40" s="52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52"/>
      <c r="BK40" s="52"/>
      <c r="BL40" s="52"/>
      <c r="BM40" s="52"/>
      <c r="BN40" s="52"/>
      <c r="BO40" s="52"/>
      <c r="BP40" s="52"/>
      <c r="BQ40" s="52"/>
      <c r="BR40" s="52"/>
      <c r="BS40" s="52"/>
      <c r="BT40" s="52"/>
      <c r="BU40" s="52"/>
      <c r="BV40" s="52"/>
      <c r="BW40" s="52"/>
      <c r="BX40" s="52"/>
      <c r="BY40" s="52"/>
      <c r="BZ40" s="52"/>
      <c r="CA40" s="52"/>
      <c r="CB40" s="52"/>
      <c r="CC40" s="52"/>
      <c r="CD40" s="43"/>
      <c r="CE40" s="43"/>
      <c r="CF40" s="43"/>
      <c r="CG40" s="43"/>
      <c r="CH40" s="43"/>
      <c r="CI40" s="43"/>
      <c r="CJ40" s="43"/>
      <c r="CK40" s="43"/>
      <c r="CL40" s="43"/>
      <c r="CM40" s="43"/>
      <c r="CN40" s="43"/>
      <c r="CO40" s="43"/>
      <c r="CP40" s="43"/>
      <c r="CQ40" s="43"/>
      <c r="CR40" s="43"/>
      <c r="CS40" s="43"/>
      <c r="CT40" s="43"/>
      <c r="CU40" s="43"/>
      <c r="CV40" s="43"/>
      <c r="CW40" s="43"/>
      <c r="CX40" s="52"/>
      <c r="CY40" s="52"/>
      <c r="CZ40" s="52"/>
      <c r="DA40" s="52"/>
      <c r="DB40" s="52"/>
      <c r="DC40" s="52"/>
      <c r="DD40" s="52"/>
      <c r="DE40" s="52"/>
      <c r="DF40" s="52"/>
      <c r="DG40" s="52"/>
      <c r="DH40" s="52"/>
      <c r="DI40" s="52"/>
      <c r="DJ40" s="52"/>
      <c r="DK40" s="52"/>
      <c r="DL40" s="52"/>
      <c r="DM40" s="52"/>
      <c r="DN40" s="52"/>
      <c r="DO40" s="52"/>
      <c r="DP40" s="52"/>
      <c r="DQ40" s="52"/>
      <c r="DR40" s="43">
        <v>1</v>
      </c>
      <c r="DS40" s="43">
        <v>1</v>
      </c>
      <c r="DT40" s="43">
        <v>1</v>
      </c>
      <c r="DU40" s="43">
        <v>1</v>
      </c>
      <c r="DV40" s="43">
        <v>1</v>
      </c>
      <c r="DW40" s="43">
        <v>1</v>
      </c>
      <c r="DX40" s="43">
        <v>1</v>
      </c>
      <c r="DY40" s="43">
        <v>1</v>
      </c>
      <c r="DZ40" s="43">
        <v>1</v>
      </c>
      <c r="EA40" s="43">
        <v>1</v>
      </c>
      <c r="EB40" s="43">
        <v>1</v>
      </c>
      <c r="EC40" s="43">
        <v>1</v>
      </c>
      <c r="ED40" s="43">
        <v>1</v>
      </c>
      <c r="EE40" s="43">
        <v>1</v>
      </c>
      <c r="EF40" s="43">
        <v>1</v>
      </c>
      <c r="EG40" s="43">
        <v>1</v>
      </c>
      <c r="EH40" s="43">
        <v>1</v>
      </c>
      <c r="EI40" s="43">
        <v>1</v>
      </c>
      <c r="EJ40" s="43">
        <v>1</v>
      </c>
      <c r="EK40" s="43">
        <v>1</v>
      </c>
      <c r="EL40" s="50"/>
      <c r="EM40" s="50"/>
      <c r="EN40" s="50"/>
      <c r="EO40" s="50"/>
      <c r="EP40" s="50"/>
      <c r="EQ40" s="50"/>
      <c r="ER40" s="50"/>
      <c r="ES40" s="50"/>
      <c r="ET40" s="50"/>
      <c r="EU40" s="50"/>
      <c r="EV40" s="50"/>
      <c r="EW40" s="50"/>
      <c r="EX40" s="50"/>
      <c r="EY40" s="50"/>
      <c r="EZ40" s="50"/>
      <c r="FA40" s="50"/>
      <c r="FB40" s="50"/>
      <c r="FC40" s="50"/>
      <c r="FD40" s="50"/>
      <c r="FE40" s="50"/>
    </row>
    <row r="41" spans="1:161" x14ac:dyDescent="0.15">
      <c r="A41" s="46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52"/>
      <c r="W41" s="52"/>
      <c r="X41" s="52"/>
      <c r="Y41" s="52"/>
      <c r="Z41" s="52"/>
      <c r="AA41" s="52"/>
      <c r="AB41" s="52"/>
      <c r="AC41" s="52"/>
      <c r="AD41" s="52"/>
      <c r="AE41" s="52"/>
      <c r="AF41" s="52"/>
      <c r="AG41" s="52"/>
      <c r="AH41" s="52"/>
      <c r="AI41" s="52"/>
      <c r="AJ41" s="52"/>
      <c r="AK41" s="52"/>
      <c r="AL41" s="52"/>
      <c r="AM41" s="52"/>
      <c r="AN41" s="52"/>
      <c r="AO41" s="52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52"/>
      <c r="BK41" s="52"/>
      <c r="BL41" s="52"/>
      <c r="BM41" s="52"/>
      <c r="BN41" s="52"/>
      <c r="BO41" s="52"/>
      <c r="BP41" s="52"/>
      <c r="BQ41" s="52"/>
      <c r="BR41" s="52"/>
      <c r="BS41" s="52"/>
      <c r="BT41" s="52"/>
      <c r="BU41" s="52"/>
      <c r="BV41" s="52"/>
      <c r="BW41" s="52"/>
      <c r="BX41" s="52"/>
      <c r="BY41" s="52"/>
      <c r="BZ41" s="52"/>
      <c r="CA41" s="52"/>
      <c r="CB41" s="52"/>
      <c r="CC41" s="52"/>
      <c r="CD41" s="43"/>
      <c r="CE41" s="43"/>
      <c r="CF41" s="43"/>
      <c r="CG41" s="43"/>
      <c r="CH41" s="43"/>
      <c r="CI41" s="43"/>
      <c r="CJ41" s="43"/>
      <c r="CK41" s="43"/>
      <c r="CL41" s="43"/>
      <c r="CM41" s="43"/>
      <c r="CN41" s="43"/>
      <c r="CO41" s="43"/>
      <c r="CP41" s="43"/>
      <c r="CQ41" s="43"/>
      <c r="CR41" s="43"/>
      <c r="CS41" s="43"/>
      <c r="CT41" s="43"/>
      <c r="CU41" s="43"/>
      <c r="CV41" s="43"/>
      <c r="CW41" s="43"/>
      <c r="CX41" s="52"/>
      <c r="CY41" s="52"/>
      <c r="CZ41" s="52"/>
      <c r="DA41" s="52"/>
      <c r="DB41" s="52"/>
      <c r="DC41" s="52"/>
      <c r="DD41" s="52"/>
      <c r="DE41" s="52"/>
      <c r="DF41" s="52"/>
      <c r="DG41" s="52"/>
      <c r="DH41" s="52"/>
      <c r="DI41" s="52"/>
      <c r="DJ41" s="52"/>
      <c r="DK41" s="52"/>
      <c r="DL41" s="52"/>
      <c r="DM41" s="52"/>
      <c r="DN41" s="52"/>
      <c r="DO41" s="52"/>
      <c r="DP41" s="52"/>
      <c r="DQ41" s="52"/>
      <c r="DR41" s="43">
        <v>1</v>
      </c>
      <c r="DS41" s="43">
        <v>1</v>
      </c>
      <c r="DT41" s="43">
        <v>1</v>
      </c>
      <c r="DU41" s="43">
        <v>1</v>
      </c>
      <c r="DV41" s="43">
        <v>1</v>
      </c>
      <c r="DW41" s="43">
        <v>1</v>
      </c>
      <c r="DX41" s="43">
        <v>1</v>
      </c>
      <c r="DY41" s="43">
        <v>1</v>
      </c>
      <c r="DZ41" s="43">
        <v>1</v>
      </c>
      <c r="EA41" s="43">
        <v>1</v>
      </c>
      <c r="EB41" s="43">
        <v>1</v>
      </c>
      <c r="EC41" s="43">
        <v>1</v>
      </c>
      <c r="ED41" s="43">
        <v>1</v>
      </c>
      <c r="EE41" s="43">
        <v>1</v>
      </c>
      <c r="EF41" s="43">
        <v>1</v>
      </c>
      <c r="EG41" s="43">
        <v>1</v>
      </c>
      <c r="EH41" s="43">
        <v>1</v>
      </c>
      <c r="EI41" s="43">
        <v>1</v>
      </c>
      <c r="EJ41" s="43">
        <v>1</v>
      </c>
      <c r="EK41" s="43">
        <v>1</v>
      </c>
      <c r="EL41" s="50"/>
      <c r="EM41" s="50"/>
      <c r="EN41" s="50"/>
      <c r="EO41" s="50"/>
      <c r="EP41" s="50"/>
      <c r="EQ41" s="50"/>
      <c r="ER41" s="50"/>
      <c r="ES41" s="50"/>
      <c r="ET41" s="50"/>
      <c r="EU41" s="50"/>
      <c r="EV41" s="50"/>
      <c r="EW41" s="50"/>
      <c r="EX41" s="50"/>
      <c r="EY41" s="50"/>
      <c r="EZ41" s="50"/>
      <c r="FA41" s="50"/>
      <c r="FB41" s="50"/>
      <c r="FC41" s="50"/>
      <c r="FD41" s="50"/>
      <c r="FE41" s="50"/>
    </row>
    <row r="42" spans="1:161" x14ac:dyDescent="0.15">
      <c r="A42" s="46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  <c r="BX42" s="52"/>
      <c r="BY42" s="52"/>
      <c r="BZ42" s="52"/>
      <c r="CA42" s="52"/>
      <c r="CB42" s="52"/>
      <c r="CC42" s="52"/>
      <c r="CD42" s="43"/>
      <c r="CE42" s="43"/>
      <c r="CF42" s="43"/>
      <c r="CG42" s="43"/>
      <c r="CH42" s="43"/>
      <c r="CI42" s="43"/>
      <c r="CJ42" s="43"/>
      <c r="CK42" s="43"/>
      <c r="CL42" s="43"/>
      <c r="CM42" s="43"/>
      <c r="CN42" s="43"/>
      <c r="CO42" s="43"/>
      <c r="CP42" s="43"/>
      <c r="CQ42" s="43"/>
      <c r="CR42" s="43"/>
      <c r="CS42" s="43"/>
      <c r="CT42" s="43"/>
      <c r="CU42" s="43"/>
      <c r="CV42" s="43"/>
      <c r="CW42" s="43"/>
      <c r="CX42" s="52"/>
      <c r="CY42" s="52"/>
      <c r="CZ42" s="52"/>
      <c r="DA42" s="52"/>
      <c r="DB42" s="52"/>
      <c r="DC42" s="52"/>
      <c r="DD42" s="52"/>
      <c r="DE42" s="52"/>
      <c r="DF42" s="52"/>
      <c r="DG42" s="52"/>
      <c r="DH42" s="52"/>
      <c r="DI42" s="52"/>
      <c r="DJ42" s="52"/>
      <c r="DK42" s="52"/>
      <c r="DL42" s="52"/>
      <c r="DM42" s="52"/>
      <c r="DN42" s="52"/>
      <c r="DO42" s="52"/>
      <c r="DP42" s="52"/>
      <c r="DQ42" s="52"/>
      <c r="DR42" s="43">
        <v>1</v>
      </c>
      <c r="DS42" s="43">
        <v>1</v>
      </c>
      <c r="DT42" s="43">
        <v>1</v>
      </c>
      <c r="DU42" s="43">
        <v>1</v>
      </c>
      <c r="DV42" s="43">
        <v>1</v>
      </c>
      <c r="DW42" s="43">
        <v>1</v>
      </c>
      <c r="DX42" s="43">
        <v>1</v>
      </c>
      <c r="DY42" s="43">
        <v>1</v>
      </c>
      <c r="DZ42" s="43">
        <v>1</v>
      </c>
      <c r="EA42" s="43">
        <v>1</v>
      </c>
      <c r="EB42" s="43">
        <v>1</v>
      </c>
      <c r="EC42" s="43">
        <v>1</v>
      </c>
      <c r="ED42" s="43">
        <v>1</v>
      </c>
      <c r="EE42" s="43">
        <v>1</v>
      </c>
      <c r="EF42" s="43">
        <v>1</v>
      </c>
      <c r="EG42" s="43">
        <v>1</v>
      </c>
      <c r="EH42" s="43">
        <v>1</v>
      </c>
      <c r="EI42" s="43">
        <v>1</v>
      </c>
      <c r="EJ42" s="43">
        <v>1</v>
      </c>
      <c r="EK42" s="43">
        <v>1</v>
      </c>
      <c r="EL42" s="50"/>
      <c r="EM42" s="50"/>
      <c r="EN42" s="50"/>
      <c r="EO42" s="50"/>
      <c r="EP42" s="50"/>
      <c r="EQ42" s="50"/>
      <c r="ER42" s="50"/>
      <c r="ES42" s="50"/>
      <c r="ET42" s="50"/>
      <c r="EU42" s="50"/>
      <c r="EV42" s="50"/>
      <c r="EW42" s="50"/>
      <c r="EX42" s="50"/>
      <c r="EY42" s="50"/>
      <c r="EZ42" s="50"/>
      <c r="FA42" s="50"/>
      <c r="FB42" s="50"/>
      <c r="FC42" s="50"/>
      <c r="FD42" s="50"/>
      <c r="FE42" s="50"/>
    </row>
    <row r="43" spans="1:161" x14ac:dyDescent="0.15">
      <c r="A43" s="46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52"/>
      <c r="W43" s="52"/>
      <c r="X43" s="52"/>
      <c r="Y43" s="52"/>
      <c r="Z43" s="52"/>
      <c r="AA43" s="52"/>
      <c r="AB43" s="52"/>
      <c r="AC43" s="52"/>
      <c r="AD43" s="52"/>
      <c r="AE43" s="52"/>
      <c r="AF43" s="52"/>
      <c r="AG43" s="52"/>
      <c r="AH43" s="52"/>
      <c r="AI43" s="52"/>
      <c r="AJ43" s="52"/>
      <c r="AK43" s="52"/>
      <c r="AL43" s="52"/>
      <c r="AM43" s="52"/>
      <c r="AN43" s="52"/>
      <c r="AO43" s="52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52"/>
      <c r="BK43" s="52"/>
      <c r="BL43" s="52"/>
      <c r="BM43" s="52"/>
      <c r="BN43" s="52"/>
      <c r="BO43" s="52"/>
      <c r="BP43" s="52"/>
      <c r="BQ43" s="52"/>
      <c r="BR43" s="52"/>
      <c r="BS43" s="52"/>
      <c r="BT43" s="52"/>
      <c r="BU43" s="52"/>
      <c r="BV43" s="52"/>
      <c r="BW43" s="52"/>
      <c r="BX43" s="52"/>
      <c r="BY43" s="52"/>
      <c r="BZ43" s="52"/>
      <c r="CA43" s="52"/>
      <c r="CB43" s="52"/>
      <c r="CC43" s="52"/>
      <c r="CD43" s="43"/>
      <c r="CE43" s="43"/>
      <c r="CF43" s="43"/>
      <c r="CG43" s="43"/>
      <c r="CH43" s="43"/>
      <c r="CI43" s="43"/>
      <c r="CJ43" s="43"/>
      <c r="CK43" s="43"/>
      <c r="CL43" s="43"/>
      <c r="CM43" s="43"/>
      <c r="CN43" s="43"/>
      <c r="CO43" s="43"/>
      <c r="CP43" s="43"/>
      <c r="CQ43" s="43"/>
      <c r="CR43" s="43"/>
      <c r="CS43" s="43"/>
      <c r="CT43" s="43"/>
      <c r="CU43" s="43"/>
      <c r="CV43" s="43"/>
      <c r="CW43" s="43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43">
        <v>1</v>
      </c>
      <c r="DS43" s="43">
        <v>1</v>
      </c>
      <c r="DT43" s="43">
        <v>1</v>
      </c>
      <c r="DU43" s="43">
        <v>1</v>
      </c>
      <c r="DV43" s="43">
        <v>1</v>
      </c>
      <c r="DW43" s="43">
        <v>1</v>
      </c>
      <c r="DX43" s="43">
        <v>1</v>
      </c>
      <c r="DY43" s="43">
        <v>1</v>
      </c>
      <c r="DZ43" s="43">
        <v>1</v>
      </c>
      <c r="EA43" s="43">
        <v>1</v>
      </c>
      <c r="EB43" s="43">
        <v>1</v>
      </c>
      <c r="EC43" s="43">
        <v>1</v>
      </c>
      <c r="ED43" s="43">
        <v>1</v>
      </c>
      <c r="EE43" s="43">
        <v>1</v>
      </c>
      <c r="EF43" s="43">
        <v>1</v>
      </c>
      <c r="EG43" s="43">
        <v>1</v>
      </c>
      <c r="EH43" s="43">
        <v>1</v>
      </c>
      <c r="EI43" s="43">
        <v>1</v>
      </c>
      <c r="EJ43" s="43">
        <v>1</v>
      </c>
      <c r="EK43" s="43">
        <v>1</v>
      </c>
      <c r="EL43" s="50"/>
      <c r="EM43" s="50"/>
      <c r="EN43" s="50"/>
      <c r="EO43" s="50"/>
      <c r="EP43" s="50"/>
      <c r="EQ43" s="50"/>
      <c r="ER43" s="50"/>
      <c r="ES43" s="50"/>
      <c r="ET43" s="50"/>
      <c r="EU43" s="50"/>
      <c r="EV43" s="50"/>
      <c r="EW43" s="50"/>
      <c r="EX43" s="50"/>
      <c r="EY43" s="50"/>
      <c r="EZ43" s="50"/>
      <c r="FA43" s="50"/>
      <c r="FB43" s="50"/>
      <c r="FC43" s="50"/>
      <c r="FD43" s="50"/>
      <c r="FE43" s="50"/>
    </row>
    <row r="44" spans="1:161" x14ac:dyDescent="0.15">
      <c r="A44" s="46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52"/>
      <c r="W44" s="52"/>
      <c r="X44" s="52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52"/>
      <c r="BK44" s="52"/>
      <c r="BL44" s="52"/>
      <c r="BM44" s="52"/>
      <c r="BN44" s="52"/>
      <c r="BO44" s="52"/>
      <c r="BP44" s="52"/>
      <c r="BQ44" s="52"/>
      <c r="BR44" s="52"/>
      <c r="BS44" s="52"/>
      <c r="BT44" s="52"/>
      <c r="BU44" s="52"/>
      <c r="BV44" s="52"/>
      <c r="BW44" s="52"/>
      <c r="BX44" s="52"/>
      <c r="BY44" s="52"/>
      <c r="BZ44" s="52"/>
      <c r="CA44" s="52"/>
      <c r="CB44" s="52"/>
      <c r="CC44" s="52"/>
      <c r="CD44" s="43"/>
      <c r="CE44" s="43"/>
      <c r="CF44" s="43"/>
      <c r="CG44" s="43"/>
      <c r="CH44" s="43"/>
      <c r="CI44" s="43"/>
      <c r="CJ44" s="43"/>
      <c r="CK44" s="43"/>
      <c r="CL44" s="43"/>
      <c r="CM44" s="43"/>
      <c r="CN44" s="43"/>
      <c r="CO44" s="43"/>
      <c r="CP44" s="43"/>
      <c r="CQ44" s="43"/>
      <c r="CR44" s="43"/>
      <c r="CS44" s="43"/>
      <c r="CT44" s="43"/>
      <c r="CU44" s="43"/>
      <c r="CV44" s="43"/>
      <c r="CW44" s="43"/>
      <c r="CX44" s="52"/>
      <c r="CY44" s="52"/>
      <c r="CZ44" s="52"/>
      <c r="DA44" s="52"/>
      <c r="DB44" s="52"/>
      <c r="DC44" s="52"/>
      <c r="DD44" s="52"/>
      <c r="DE44" s="52"/>
      <c r="DF44" s="52"/>
      <c r="DG44" s="52"/>
      <c r="DH44" s="52"/>
      <c r="DI44" s="52"/>
      <c r="DJ44" s="52"/>
      <c r="DK44" s="52"/>
      <c r="DL44" s="52"/>
      <c r="DM44" s="52"/>
      <c r="DN44" s="52"/>
      <c r="DO44" s="52"/>
      <c r="DP44" s="52"/>
      <c r="DQ44" s="52"/>
      <c r="DR44" s="43">
        <v>1</v>
      </c>
      <c r="DS44" s="43">
        <v>1</v>
      </c>
      <c r="DT44" s="43">
        <v>1</v>
      </c>
      <c r="DU44" s="43">
        <v>1</v>
      </c>
      <c r="DV44" s="43">
        <v>1</v>
      </c>
      <c r="DW44" s="43">
        <v>1</v>
      </c>
      <c r="DX44" s="43">
        <v>1</v>
      </c>
      <c r="DY44" s="43">
        <v>1</v>
      </c>
      <c r="DZ44" s="43">
        <v>1</v>
      </c>
      <c r="EA44" s="43">
        <v>1</v>
      </c>
      <c r="EB44" s="43">
        <v>1</v>
      </c>
      <c r="EC44" s="43">
        <v>1</v>
      </c>
      <c r="ED44" s="43">
        <v>1</v>
      </c>
      <c r="EE44" s="43">
        <v>1</v>
      </c>
      <c r="EF44" s="43">
        <v>1</v>
      </c>
      <c r="EG44" s="43">
        <v>1</v>
      </c>
      <c r="EH44" s="43">
        <v>1</v>
      </c>
      <c r="EI44" s="43">
        <v>1</v>
      </c>
      <c r="EJ44" s="43">
        <v>1</v>
      </c>
      <c r="EK44" s="43">
        <v>1</v>
      </c>
      <c r="EL44" s="50"/>
      <c r="EM44" s="50"/>
      <c r="EN44" s="50"/>
      <c r="EO44" s="50"/>
      <c r="EP44" s="50"/>
      <c r="EQ44" s="50"/>
      <c r="ER44" s="50"/>
      <c r="ES44" s="50"/>
      <c r="ET44" s="50"/>
      <c r="EU44" s="50"/>
      <c r="EV44" s="50"/>
      <c r="EW44" s="50"/>
      <c r="EX44" s="50"/>
      <c r="EY44" s="50"/>
      <c r="EZ44" s="50"/>
      <c r="FA44" s="50"/>
      <c r="FB44" s="50"/>
      <c r="FC44" s="50"/>
      <c r="FD44" s="50"/>
      <c r="FE44" s="50"/>
    </row>
    <row r="45" spans="1:161" x14ac:dyDescent="0.15">
      <c r="A45" s="46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52"/>
      <c r="CC45" s="52"/>
      <c r="CD45" s="43"/>
      <c r="CE45" s="43"/>
      <c r="CF45" s="43"/>
      <c r="CG45" s="43"/>
      <c r="CH45" s="43"/>
      <c r="CI45" s="43"/>
      <c r="CJ45" s="43"/>
      <c r="CK45" s="43"/>
      <c r="CL45" s="43"/>
      <c r="CM45" s="43"/>
      <c r="CN45" s="43"/>
      <c r="CO45" s="43"/>
      <c r="CP45" s="43"/>
      <c r="CQ45" s="43"/>
      <c r="CR45" s="43"/>
      <c r="CS45" s="43"/>
      <c r="CT45" s="43"/>
      <c r="CU45" s="43"/>
      <c r="CV45" s="43"/>
      <c r="CW45" s="43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43">
        <v>1</v>
      </c>
      <c r="DS45" s="43">
        <v>1</v>
      </c>
      <c r="DT45" s="43">
        <v>1</v>
      </c>
      <c r="DU45" s="43">
        <v>1</v>
      </c>
      <c r="DV45" s="43">
        <v>1</v>
      </c>
      <c r="DW45" s="43">
        <v>1</v>
      </c>
      <c r="DX45" s="43">
        <v>1</v>
      </c>
      <c r="DY45" s="43">
        <v>1</v>
      </c>
      <c r="DZ45" s="43">
        <v>1</v>
      </c>
      <c r="EA45" s="43">
        <v>1</v>
      </c>
      <c r="EB45" s="43">
        <v>1</v>
      </c>
      <c r="EC45" s="43">
        <v>1</v>
      </c>
      <c r="ED45" s="43">
        <v>1</v>
      </c>
      <c r="EE45" s="43">
        <v>1</v>
      </c>
      <c r="EF45" s="43">
        <v>1</v>
      </c>
      <c r="EG45" s="43">
        <v>1</v>
      </c>
      <c r="EH45" s="43">
        <v>1</v>
      </c>
      <c r="EI45" s="43">
        <v>1</v>
      </c>
      <c r="EJ45" s="43">
        <v>1</v>
      </c>
      <c r="EK45" s="43">
        <v>1</v>
      </c>
      <c r="EL45" s="50"/>
      <c r="EM45" s="50"/>
      <c r="EN45" s="50"/>
      <c r="EO45" s="50"/>
      <c r="EP45" s="50"/>
      <c r="EQ45" s="50"/>
      <c r="ER45" s="50"/>
      <c r="ES45" s="50"/>
      <c r="ET45" s="50"/>
      <c r="EU45" s="50"/>
      <c r="EV45" s="50"/>
      <c r="EW45" s="50"/>
      <c r="EX45" s="50"/>
      <c r="EY45" s="50"/>
      <c r="EZ45" s="50"/>
      <c r="FA45" s="50"/>
      <c r="FB45" s="50"/>
      <c r="FC45" s="50"/>
      <c r="FD45" s="50"/>
      <c r="FE45" s="50"/>
    </row>
    <row r="46" spans="1:161" x14ac:dyDescent="0.15">
      <c r="A46" s="46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52"/>
      <c r="W46" s="52"/>
      <c r="X46" s="52"/>
      <c r="Y46" s="52"/>
      <c r="Z46" s="52"/>
      <c r="AA46" s="52"/>
      <c r="AB46" s="52"/>
      <c r="AC46" s="52"/>
      <c r="AD46" s="52"/>
      <c r="AE46" s="52"/>
      <c r="AF46" s="52"/>
      <c r="AG46" s="52"/>
      <c r="AH46" s="52"/>
      <c r="AI46" s="52"/>
      <c r="AJ46" s="52"/>
      <c r="AK46" s="52"/>
      <c r="AL46" s="52"/>
      <c r="AM46" s="52"/>
      <c r="AN46" s="52"/>
      <c r="AO46" s="52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52"/>
      <c r="BK46" s="52"/>
      <c r="BL46" s="52"/>
      <c r="BM46" s="52"/>
      <c r="BN46" s="52"/>
      <c r="BO46" s="52"/>
      <c r="BP46" s="52"/>
      <c r="BQ46" s="52"/>
      <c r="BR46" s="52"/>
      <c r="BS46" s="52"/>
      <c r="BT46" s="52"/>
      <c r="BU46" s="52"/>
      <c r="BV46" s="52"/>
      <c r="BW46" s="52"/>
      <c r="BX46" s="52"/>
      <c r="BY46" s="52"/>
      <c r="BZ46" s="52"/>
      <c r="CA46" s="52"/>
      <c r="CB46" s="52"/>
      <c r="CC46" s="52"/>
      <c r="CD46" s="43"/>
      <c r="CE46" s="43"/>
      <c r="CF46" s="43"/>
      <c r="CG46" s="43"/>
      <c r="CH46" s="43"/>
      <c r="CI46" s="43"/>
      <c r="CJ46" s="43"/>
      <c r="CK46" s="43"/>
      <c r="CL46" s="43"/>
      <c r="CM46" s="43"/>
      <c r="CN46" s="43"/>
      <c r="CO46" s="43"/>
      <c r="CP46" s="43"/>
      <c r="CQ46" s="43"/>
      <c r="CR46" s="43"/>
      <c r="CS46" s="43"/>
      <c r="CT46" s="43"/>
      <c r="CU46" s="43"/>
      <c r="CV46" s="43"/>
      <c r="CW46" s="43"/>
      <c r="CX46" s="52"/>
      <c r="CY46" s="52"/>
      <c r="CZ46" s="52"/>
      <c r="DA46" s="52"/>
      <c r="DB46" s="52"/>
      <c r="DC46" s="52"/>
      <c r="DD46" s="52"/>
      <c r="DE46" s="52"/>
      <c r="DF46" s="52"/>
      <c r="DG46" s="52"/>
      <c r="DH46" s="52"/>
      <c r="DI46" s="52"/>
      <c r="DJ46" s="52"/>
      <c r="DK46" s="52"/>
      <c r="DL46" s="52"/>
      <c r="DM46" s="52"/>
      <c r="DN46" s="52"/>
      <c r="DO46" s="52"/>
      <c r="DP46" s="52"/>
      <c r="DQ46" s="52"/>
      <c r="DR46" s="43">
        <v>1</v>
      </c>
      <c r="DS46" s="43">
        <v>1</v>
      </c>
      <c r="DT46" s="43">
        <v>1</v>
      </c>
      <c r="DU46" s="43">
        <v>1</v>
      </c>
      <c r="DV46" s="43">
        <v>1</v>
      </c>
      <c r="DW46" s="43">
        <v>1</v>
      </c>
      <c r="DX46" s="43">
        <v>1</v>
      </c>
      <c r="DY46" s="43">
        <v>1</v>
      </c>
      <c r="DZ46" s="43">
        <v>1</v>
      </c>
      <c r="EA46" s="43">
        <v>1</v>
      </c>
      <c r="EB46" s="43">
        <v>1</v>
      </c>
      <c r="EC46" s="43">
        <v>1</v>
      </c>
      <c r="ED46" s="43">
        <v>1</v>
      </c>
      <c r="EE46" s="43">
        <v>1</v>
      </c>
      <c r="EF46" s="43">
        <v>1</v>
      </c>
      <c r="EG46" s="43">
        <v>1</v>
      </c>
      <c r="EH46" s="43">
        <v>1</v>
      </c>
      <c r="EI46" s="43">
        <v>1</v>
      </c>
      <c r="EJ46" s="43">
        <v>1</v>
      </c>
      <c r="EK46" s="43">
        <v>1</v>
      </c>
      <c r="EL46" s="50"/>
      <c r="EM46" s="50"/>
      <c r="EN46" s="50"/>
      <c r="EO46" s="50"/>
      <c r="EP46" s="50"/>
      <c r="EQ46" s="50"/>
      <c r="ER46" s="50"/>
      <c r="ES46" s="50"/>
      <c r="ET46" s="50"/>
      <c r="EU46" s="50"/>
      <c r="EV46" s="50"/>
      <c r="EW46" s="50"/>
      <c r="EX46" s="50"/>
      <c r="EY46" s="50"/>
      <c r="EZ46" s="50"/>
      <c r="FA46" s="50"/>
      <c r="FB46" s="50"/>
      <c r="FC46" s="50"/>
      <c r="FD46" s="50"/>
      <c r="FE46" s="50"/>
    </row>
    <row r="47" spans="1:161" x14ac:dyDescent="0.15">
      <c r="A47" s="46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52"/>
      <c r="CC47" s="52"/>
      <c r="CD47" s="43"/>
      <c r="CE47" s="43"/>
      <c r="CF47" s="43"/>
      <c r="CG47" s="43"/>
      <c r="CH47" s="43"/>
      <c r="CI47" s="43"/>
      <c r="CJ47" s="43"/>
      <c r="CK47" s="43"/>
      <c r="CL47" s="43"/>
      <c r="CM47" s="43"/>
      <c r="CN47" s="43"/>
      <c r="CO47" s="43"/>
      <c r="CP47" s="43"/>
      <c r="CQ47" s="43"/>
      <c r="CR47" s="43"/>
      <c r="CS47" s="43"/>
      <c r="CT47" s="43"/>
      <c r="CU47" s="43"/>
      <c r="CV47" s="43"/>
      <c r="CW47" s="43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43">
        <v>1</v>
      </c>
      <c r="DS47" s="43">
        <v>1</v>
      </c>
      <c r="DT47" s="43">
        <v>1</v>
      </c>
      <c r="DU47" s="43">
        <v>1</v>
      </c>
      <c r="DV47" s="43">
        <v>1</v>
      </c>
      <c r="DW47" s="43">
        <v>1</v>
      </c>
      <c r="DX47" s="43">
        <v>1</v>
      </c>
      <c r="DY47" s="43">
        <v>1</v>
      </c>
      <c r="DZ47" s="43">
        <v>1</v>
      </c>
      <c r="EA47" s="43">
        <v>1</v>
      </c>
      <c r="EB47" s="43">
        <v>1</v>
      </c>
      <c r="EC47" s="43">
        <v>1</v>
      </c>
      <c r="ED47" s="43">
        <v>1</v>
      </c>
      <c r="EE47" s="43">
        <v>1</v>
      </c>
      <c r="EF47" s="43">
        <v>1</v>
      </c>
      <c r="EG47" s="43">
        <v>1</v>
      </c>
      <c r="EH47" s="43">
        <v>1</v>
      </c>
      <c r="EI47" s="43">
        <v>1</v>
      </c>
      <c r="EJ47" s="43">
        <v>1</v>
      </c>
      <c r="EK47" s="43">
        <v>1</v>
      </c>
      <c r="EL47" s="50"/>
      <c r="EM47" s="50"/>
      <c r="EN47" s="50"/>
      <c r="EO47" s="50"/>
      <c r="EP47" s="50"/>
      <c r="EQ47" s="50"/>
      <c r="ER47" s="50"/>
      <c r="ES47" s="50"/>
      <c r="ET47" s="50"/>
      <c r="EU47" s="50"/>
      <c r="EV47" s="50"/>
      <c r="EW47" s="50"/>
      <c r="EX47" s="50"/>
      <c r="EY47" s="50"/>
      <c r="EZ47" s="50"/>
      <c r="FA47" s="50"/>
      <c r="FB47" s="50"/>
      <c r="FC47" s="50"/>
      <c r="FD47" s="50"/>
      <c r="FE47" s="50"/>
    </row>
    <row r="48" spans="1:161" x14ac:dyDescent="0.15">
      <c r="A48" s="46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  <c r="BX48" s="52"/>
      <c r="BY48" s="52"/>
      <c r="BZ48" s="52"/>
      <c r="CA48" s="52"/>
      <c r="CB48" s="52"/>
      <c r="CC48" s="52"/>
      <c r="CD48" s="43"/>
      <c r="CE48" s="43"/>
      <c r="CF48" s="43"/>
      <c r="CG48" s="43"/>
      <c r="CH48" s="43"/>
      <c r="CI48" s="43"/>
      <c r="CJ48" s="43"/>
      <c r="CK48" s="43"/>
      <c r="CL48" s="43"/>
      <c r="CM48" s="43"/>
      <c r="CN48" s="43"/>
      <c r="CO48" s="43"/>
      <c r="CP48" s="43"/>
      <c r="CQ48" s="43"/>
      <c r="CR48" s="43"/>
      <c r="CS48" s="43"/>
      <c r="CT48" s="43"/>
      <c r="CU48" s="43"/>
      <c r="CV48" s="43"/>
      <c r="CW48" s="43"/>
      <c r="CX48" s="52"/>
      <c r="CY48" s="52"/>
      <c r="CZ48" s="52"/>
      <c r="DA48" s="52"/>
      <c r="DB48" s="52"/>
      <c r="DC48" s="52"/>
      <c r="DD48" s="52"/>
      <c r="DE48" s="52"/>
      <c r="DF48" s="52"/>
      <c r="DG48" s="52"/>
      <c r="DH48" s="52"/>
      <c r="DI48" s="52"/>
      <c r="DJ48" s="52"/>
      <c r="DK48" s="52"/>
      <c r="DL48" s="52"/>
      <c r="DM48" s="52"/>
      <c r="DN48" s="52"/>
      <c r="DO48" s="52"/>
      <c r="DP48" s="52"/>
      <c r="DQ48" s="52"/>
      <c r="DR48" s="43">
        <v>1</v>
      </c>
      <c r="DS48" s="43">
        <v>1</v>
      </c>
      <c r="DT48" s="43">
        <v>1</v>
      </c>
      <c r="DU48" s="43">
        <v>1</v>
      </c>
      <c r="DV48" s="43">
        <v>1</v>
      </c>
      <c r="DW48" s="43">
        <v>1</v>
      </c>
      <c r="DX48" s="43">
        <v>1</v>
      </c>
      <c r="DY48" s="43">
        <v>1</v>
      </c>
      <c r="DZ48" s="43">
        <v>1</v>
      </c>
      <c r="EA48" s="43">
        <v>1</v>
      </c>
      <c r="EB48" s="43">
        <v>1</v>
      </c>
      <c r="EC48" s="43">
        <v>1</v>
      </c>
      <c r="ED48" s="43">
        <v>1</v>
      </c>
      <c r="EE48" s="43">
        <v>1</v>
      </c>
      <c r="EF48" s="43">
        <v>1</v>
      </c>
      <c r="EG48" s="43">
        <v>1</v>
      </c>
      <c r="EH48" s="43">
        <v>1</v>
      </c>
      <c r="EI48" s="43">
        <v>1</v>
      </c>
      <c r="EJ48" s="43">
        <v>1</v>
      </c>
      <c r="EK48" s="43">
        <v>1</v>
      </c>
      <c r="EL48" s="50"/>
      <c r="EM48" s="50"/>
      <c r="EN48" s="50"/>
      <c r="EO48" s="50"/>
      <c r="EP48" s="50"/>
      <c r="EQ48" s="50"/>
      <c r="ER48" s="50"/>
      <c r="ES48" s="50"/>
      <c r="ET48" s="50"/>
      <c r="EU48" s="50"/>
      <c r="EV48" s="50"/>
      <c r="EW48" s="50"/>
      <c r="EX48" s="50"/>
      <c r="EY48" s="50"/>
      <c r="EZ48" s="50"/>
      <c r="FA48" s="50"/>
      <c r="FB48" s="50"/>
      <c r="FC48" s="50"/>
      <c r="FD48" s="50"/>
      <c r="FE48" s="50"/>
    </row>
    <row r="49" spans="1:161" x14ac:dyDescent="0.15">
      <c r="A49" s="46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52"/>
      <c r="CC49" s="52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43">
        <v>1</v>
      </c>
      <c r="DS49" s="43">
        <v>1</v>
      </c>
      <c r="DT49" s="43">
        <v>1</v>
      </c>
      <c r="DU49" s="43">
        <v>1</v>
      </c>
      <c r="DV49" s="43">
        <v>1</v>
      </c>
      <c r="DW49" s="43">
        <v>1</v>
      </c>
      <c r="DX49" s="43">
        <v>1</v>
      </c>
      <c r="DY49" s="43">
        <v>1</v>
      </c>
      <c r="DZ49" s="43">
        <v>1</v>
      </c>
      <c r="EA49" s="43">
        <v>1</v>
      </c>
      <c r="EB49" s="43">
        <v>1</v>
      </c>
      <c r="EC49" s="43">
        <v>1</v>
      </c>
      <c r="ED49" s="43">
        <v>1</v>
      </c>
      <c r="EE49" s="43">
        <v>1</v>
      </c>
      <c r="EF49" s="43">
        <v>1</v>
      </c>
      <c r="EG49" s="43">
        <v>1</v>
      </c>
      <c r="EH49" s="43">
        <v>1</v>
      </c>
      <c r="EI49" s="43">
        <v>1</v>
      </c>
      <c r="EJ49" s="43">
        <v>1</v>
      </c>
      <c r="EK49" s="43">
        <v>1</v>
      </c>
      <c r="EL49" s="50"/>
      <c r="EM49" s="50"/>
      <c r="EN49" s="50"/>
      <c r="EO49" s="50"/>
      <c r="EP49" s="50"/>
      <c r="EQ49" s="50"/>
      <c r="ER49" s="50"/>
      <c r="ES49" s="50"/>
      <c r="ET49" s="50"/>
      <c r="EU49" s="50"/>
      <c r="EV49" s="50"/>
      <c r="EW49" s="50"/>
      <c r="EX49" s="50"/>
      <c r="EY49" s="50"/>
      <c r="EZ49" s="50"/>
      <c r="FA49" s="50"/>
      <c r="FB49" s="50"/>
      <c r="FC49" s="50"/>
      <c r="FD49" s="50"/>
      <c r="FE49" s="50"/>
    </row>
    <row r="50" spans="1:161" x14ac:dyDescent="0.15">
      <c r="A50" s="46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52"/>
      <c r="W50" s="52"/>
      <c r="X50" s="52"/>
      <c r="Y50" s="52"/>
      <c r="Z50" s="52"/>
      <c r="AA50" s="52"/>
      <c r="AB50" s="52"/>
      <c r="AC50" s="52"/>
      <c r="AD50" s="52"/>
      <c r="AE50" s="52"/>
      <c r="AF50" s="52"/>
      <c r="AG50" s="52"/>
      <c r="AH50" s="52"/>
      <c r="AI50" s="52"/>
      <c r="AJ50" s="52"/>
      <c r="AK50" s="52"/>
      <c r="AL50" s="52"/>
      <c r="AM50" s="52"/>
      <c r="AN50" s="52"/>
      <c r="AO50" s="52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52"/>
      <c r="BK50" s="52"/>
      <c r="BL50" s="52"/>
      <c r="BM50" s="52"/>
      <c r="BN50" s="52"/>
      <c r="BO50" s="52"/>
      <c r="BP50" s="52"/>
      <c r="BQ50" s="52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52"/>
      <c r="CC50" s="52"/>
      <c r="CD50" s="43"/>
      <c r="CE50" s="43"/>
      <c r="CF50" s="43"/>
      <c r="CG50" s="43"/>
      <c r="CH50" s="43"/>
      <c r="CI50" s="43"/>
      <c r="CJ50" s="43"/>
      <c r="CK50" s="43"/>
      <c r="CL50" s="43"/>
      <c r="CM50" s="43"/>
      <c r="CN50" s="43"/>
      <c r="CO50" s="43"/>
      <c r="CP50" s="43"/>
      <c r="CQ50" s="43"/>
      <c r="CR50" s="43"/>
      <c r="CS50" s="43"/>
      <c r="CT50" s="43"/>
      <c r="CU50" s="43"/>
      <c r="CV50" s="43"/>
      <c r="CW50" s="43"/>
      <c r="CX50" s="52"/>
      <c r="CY50" s="52"/>
      <c r="CZ50" s="52"/>
      <c r="DA50" s="52"/>
      <c r="DB50" s="52"/>
      <c r="DC50" s="52"/>
      <c r="DD50" s="52"/>
      <c r="DE50" s="52"/>
      <c r="DF50" s="52"/>
      <c r="DG50" s="52"/>
      <c r="DH50" s="52"/>
      <c r="DI50" s="52"/>
      <c r="DJ50" s="52"/>
      <c r="DK50" s="52"/>
      <c r="DL50" s="52"/>
      <c r="DM50" s="52"/>
      <c r="DN50" s="52"/>
      <c r="DO50" s="52"/>
      <c r="DP50" s="52"/>
      <c r="DQ50" s="52"/>
      <c r="DR50" s="43">
        <v>1</v>
      </c>
      <c r="DS50" s="43">
        <v>1</v>
      </c>
      <c r="DT50" s="43">
        <v>1</v>
      </c>
      <c r="DU50" s="43">
        <v>1</v>
      </c>
      <c r="DV50" s="43">
        <v>1</v>
      </c>
      <c r="DW50" s="43">
        <v>1</v>
      </c>
      <c r="DX50" s="43">
        <v>1</v>
      </c>
      <c r="DY50" s="43">
        <v>1</v>
      </c>
      <c r="DZ50" s="43">
        <v>1</v>
      </c>
      <c r="EA50" s="43">
        <v>1</v>
      </c>
      <c r="EB50" s="43">
        <v>1</v>
      </c>
      <c r="EC50" s="43">
        <v>1</v>
      </c>
      <c r="ED50" s="43">
        <v>1</v>
      </c>
      <c r="EE50" s="43">
        <v>1</v>
      </c>
      <c r="EF50" s="43">
        <v>1</v>
      </c>
      <c r="EG50" s="43">
        <v>1</v>
      </c>
      <c r="EH50" s="43">
        <v>1</v>
      </c>
      <c r="EI50" s="43">
        <v>1</v>
      </c>
      <c r="EJ50" s="43">
        <v>1</v>
      </c>
      <c r="EK50" s="43">
        <v>1</v>
      </c>
      <c r="EL50" s="50"/>
      <c r="EM50" s="50"/>
      <c r="EN50" s="50"/>
      <c r="EO50" s="50"/>
      <c r="EP50" s="50"/>
      <c r="EQ50" s="50"/>
      <c r="ER50" s="50"/>
      <c r="ES50" s="50"/>
      <c r="ET50" s="50"/>
      <c r="EU50" s="50"/>
      <c r="EV50" s="50"/>
      <c r="EW50" s="50"/>
      <c r="EX50" s="50"/>
      <c r="EY50" s="50"/>
      <c r="EZ50" s="50"/>
      <c r="FA50" s="50"/>
      <c r="FB50" s="50"/>
      <c r="FC50" s="50"/>
      <c r="FD50" s="50"/>
      <c r="FE50" s="50"/>
    </row>
    <row r="51" spans="1:161" x14ac:dyDescent="0.15">
      <c r="A51" s="46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43"/>
      <c r="CE51" s="43"/>
      <c r="CF51" s="43"/>
      <c r="CG51" s="43"/>
      <c r="CH51" s="43"/>
      <c r="CI51" s="43"/>
      <c r="CJ51" s="43"/>
      <c r="CK51" s="43"/>
      <c r="CL51" s="43"/>
      <c r="CM51" s="43"/>
      <c r="CN51" s="43"/>
      <c r="CO51" s="43"/>
      <c r="CP51" s="43"/>
      <c r="CQ51" s="43"/>
      <c r="CR51" s="43"/>
      <c r="CS51" s="43"/>
      <c r="CT51" s="43"/>
      <c r="CU51" s="43"/>
      <c r="CV51" s="43"/>
      <c r="CW51" s="43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45">
        <v>1</v>
      </c>
      <c r="DS51" s="45">
        <v>1</v>
      </c>
      <c r="DT51" s="45">
        <v>1</v>
      </c>
      <c r="DU51" s="45">
        <v>1</v>
      </c>
      <c r="DV51" s="45">
        <v>1</v>
      </c>
      <c r="DW51" s="45">
        <v>1</v>
      </c>
      <c r="DX51" s="45">
        <v>1</v>
      </c>
      <c r="DY51" s="45">
        <v>1</v>
      </c>
      <c r="DZ51" s="45">
        <v>1</v>
      </c>
      <c r="EA51" s="45">
        <v>1</v>
      </c>
      <c r="EB51" s="45">
        <v>1</v>
      </c>
      <c r="EC51" s="45">
        <v>1</v>
      </c>
      <c r="ED51" s="45">
        <v>1</v>
      </c>
      <c r="EE51" s="45">
        <v>1</v>
      </c>
      <c r="EF51" s="45">
        <v>1</v>
      </c>
      <c r="EG51" s="45">
        <v>1</v>
      </c>
      <c r="EH51" s="45">
        <v>1</v>
      </c>
      <c r="EI51" s="45">
        <v>1</v>
      </c>
      <c r="EJ51" s="45">
        <v>1</v>
      </c>
      <c r="EK51" s="45">
        <v>1</v>
      </c>
      <c r="EL51" s="50"/>
      <c r="EM51" s="50"/>
      <c r="EN51" s="50"/>
      <c r="EO51" s="50"/>
      <c r="EP51" s="50"/>
      <c r="EQ51" s="50"/>
      <c r="ER51" s="50"/>
      <c r="ES51" s="50"/>
      <c r="ET51" s="50"/>
      <c r="EU51" s="50"/>
      <c r="EV51" s="50"/>
      <c r="EW51" s="50"/>
      <c r="EX51" s="50"/>
      <c r="EY51" s="50"/>
      <c r="EZ51" s="50"/>
      <c r="FA51" s="50"/>
      <c r="FB51" s="50"/>
      <c r="FC51" s="50"/>
      <c r="FD51" s="50"/>
      <c r="FE51" s="50"/>
    </row>
    <row r="52" spans="1:161" x14ac:dyDescent="0.15">
      <c r="A52" s="46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52"/>
      <c r="CC52" s="52"/>
      <c r="CD52" s="43"/>
      <c r="CE52" s="43"/>
      <c r="CF52" s="43"/>
      <c r="CG52" s="43"/>
      <c r="CH52" s="43"/>
      <c r="CI52" s="43"/>
      <c r="CJ52" s="43"/>
      <c r="CK52" s="43"/>
      <c r="CL52" s="43"/>
      <c r="CM52" s="43"/>
      <c r="CN52" s="43"/>
      <c r="CO52" s="43"/>
      <c r="CP52" s="43"/>
      <c r="CQ52" s="43"/>
      <c r="CR52" s="43"/>
      <c r="CS52" s="43"/>
      <c r="CT52" s="43"/>
      <c r="CU52" s="43"/>
      <c r="CV52" s="43"/>
      <c r="CW52" s="43"/>
      <c r="CX52" s="52"/>
      <c r="CY52" s="52"/>
      <c r="CZ52" s="52"/>
      <c r="DA52" s="52"/>
      <c r="DB52" s="52"/>
      <c r="DC52" s="52"/>
      <c r="DD52" s="52"/>
      <c r="DE52" s="52"/>
      <c r="DF52" s="52"/>
      <c r="DG52" s="52"/>
      <c r="DH52" s="52"/>
      <c r="DI52" s="52"/>
      <c r="DJ52" s="52"/>
      <c r="DK52" s="52"/>
      <c r="DL52" s="52"/>
      <c r="DM52" s="52"/>
      <c r="DN52" s="52"/>
      <c r="DO52" s="52"/>
      <c r="DP52" s="52"/>
      <c r="DQ52" s="52"/>
      <c r="DR52" s="43">
        <v>1</v>
      </c>
      <c r="DS52" s="43">
        <v>1</v>
      </c>
      <c r="DT52" s="43">
        <v>1</v>
      </c>
      <c r="DU52" s="43">
        <v>1</v>
      </c>
      <c r="DV52" s="43">
        <v>1</v>
      </c>
      <c r="DW52" s="43">
        <v>1</v>
      </c>
      <c r="DX52" s="43">
        <v>1</v>
      </c>
      <c r="DY52" s="43">
        <v>1</v>
      </c>
      <c r="DZ52" s="43">
        <v>1</v>
      </c>
      <c r="EA52" s="43">
        <v>1</v>
      </c>
      <c r="EB52" s="43">
        <v>1</v>
      </c>
      <c r="EC52" s="43">
        <v>1</v>
      </c>
      <c r="ED52" s="43">
        <v>1</v>
      </c>
      <c r="EE52" s="43">
        <v>1</v>
      </c>
      <c r="EF52" s="43">
        <v>1</v>
      </c>
      <c r="EG52" s="43">
        <v>1</v>
      </c>
      <c r="EH52" s="43">
        <v>1</v>
      </c>
      <c r="EI52" s="43">
        <v>1</v>
      </c>
      <c r="EJ52" s="43">
        <v>1</v>
      </c>
      <c r="EK52" s="43">
        <v>1</v>
      </c>
      <c r="EL52" s="50"/>
      <c r="EM52" s="50"/>
      <c r="EN52" s="50"/>
      <c r="EO52" s="50"/>
      <c r="EP52" s="50"/>
      <c r="EQ52" s="50"/>
      <c r="ER52" s="50"/>
      <c r="ES52" s="50"/>
      <c r="ET52" s="50"/>
      <c r="EU52" s="50"/>
      <c r="EV52" s="50"/>
      <c r="EW52" s="50"/>
      <c r="EX52" s="50"/>
      <c r="EY52" s="50"/>
      <c r="EZ52" s="50"/>
      <c r="FA52" s="50"/>
      <c r="FB52" s="50"/>
      <c r="FC52" s="50"/>
      <c r="FD52" s="50"/>
      <c r="FE52" s="50"/>
    </row>
    <row r="53" spans="1:161" x14ac:dyDescent="0.15">
      <c r="A53" s="46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52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43"/>
      <c r="CE53" s="43"/>
      <c r="CF53" s="43"/>
      <c r="CG53" s="43"/>
      <c r="CH53" s="43"/>
      <c r="CI53" s="43"/>
      <c r="CJ53" s="43"/>
      <c r="CK53" s="43"/>
      <c r="CL53" s="43"/>
      <c r="CM53" s="43"/>
      <c r="CN53" s="43"/>
      <c r="CO53" s="43"/>
      <c r="CP53" s="43"/>
      <c r="CQ53" s="43"/>
      <c r="CR53" s="43"/>
      <c r="CS53" s="43"/>
      <c r="CT53" s="43"/>
      <c r="CU53" s="43"/>
      <c r="CV53" s="43"/>
      <c r="CW53" s="43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43">
        <v>1</v>
      </c>
      <c r="DS53" s="43">
        <v>1</v>
      </c>
      <c r="DT53" s="43">
        <v>1</v>
      </c>
      <c r="DU53" s="43">
        <v>1</v>
      </c>
      <c r="DV53" s="43">
        <v>1</v>
      </c>
      <c r="DW53" s="43">
        <v>1</v>
      </c>
      <c r="DX53" s="43">
        <v>1</v>
      </c>
      <c r="DY53" s="43">
        <v>1</v>
      </c>
      <c r="DZ53" s="43">
        <v>1</v>
      </c>
      <c r="EA53" s="43">
        <v>1</v>
      </c>
      <c r="EB53" s="43">
        <v>1</v>
      </c>
      <c r="EC53" s="43">
        <v>1</v>
      </c>
      <c r="ED53" s="43">
        <v>1</v>
      </c>
      <c r="EE53" s="43">
        <v>1</v>
      </c>
      <c r="EF53" s="43">
        <v>1</v>
      </c>
      <c r="EG53" s="43">
        <v>1</v>
      </c>
      <c r="EH53" s="43">
        <v>1</v>
      </c>
      <c r="EI53" s="43">
        <v>1</v>
      </c>
      <c r="EJ53" s="43">
        <v>1</v>
      </c>
      <c r="EK53" s="43">
        <v>1</v>
      </c>
      <c r="EL53" s="50"/>
      <c r="EM53" s="50"/>
      <c r="EN53" s="50"/>
      <c r="EO53" s="50"/>
      <c r="EP53" s="50"/>
      <c r="EQ53" s="50"/>
      <c r="ER53" s="50"/>
      <c r="ES53" s="50"/>
      <c r="ET53" s="50"/>
      <c r="EU53" s="50"/>
      <c r="EV53" s="50"/>
      <c r="EW53" s="50"/>
      <c r="EX53" s="50"/>
      <c r="EY53" s="50"/>
      <c r="EZ53" s="50"/>
      <c r="FA53" s="50"/>
      <c r="FB53" s="50"/>
      <c r="FC53" s="50"/>
      <c r="FD53" s="50"/>
      <c r="FE53" s="50"/>
    </row>
    <row r="54" spans="1:161" x14ac:dyDescent="0.15">
      <c r="A54" s="46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52"/>
      <c r="W54" s="52"/>
      <c r="X54" s="52"/>
      <c r="Y54" s="52"/>
      <c r="Z54" s="52"/>
      <c r="AA54" s="52"/>
      <c r="AB54" s="52"/>
      <c r="AC54" s="52"/>
      <c r="AD54" s="52"/>
      <c r="AE54" s="52"/>
      <c r="AF54" s="52"/>
      <c r="AG54" s="52"/>
      <c r="AH54" s="52"/>
      <c r="AI54" s="52"/>
      <c r="AJ54" s="52"/>
      <c r="AK54" s="52"/>
      <c r="AL54" s="52"/>
      <c r="AM54" s="52"/>
      <c r="AN54" s="52"/>
      <c r="AO54" s="52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52"/>
      <c r="BK54" s="52"/>
      <c r="BL54" s="52"/>
      <c r="BM54" s="52"/>
      <c r="BN54" s="52"/>
      <c r="BO54" s="52"/>
      <c r="BP54" s="52"/>
      <c r="BQ54" s="52"/>
      <c r="BR54" s="52"/>
      <c r="BS54" s="52"/>
      <c r="BT54" s="52"/>
      <c r="BU54" s="52"/>
      <c r="BV54" s="52"/>
      <c r="BW54" s="52"/>
      <c r="BX54" s="52"/>
      <c r="BY54" s="52"/>
      <c r="BZ54" s="52"/>
      <c r="CA54" s="52"/>
      <c r="CB54" s="52"/>
      <c r="CC54" s="52"/>
      <c r="CD54" s="43"/>
      <c r="CE54" s="43"/>
      <c r="CF54" s="43"/>
      <c r="CG54" s="43"/>
      <c r="CH54" s="43"/>
      <c r="CI54" s="43"/>
      <c r="CJ54" s="43"/>
      <c r="CK54" s="43"/>
      <c r="CL54" s="43"/>
      <c r="CM54" s="43"/>
      <c r="CN54" s="43"/>
      <c r="CO54" s="43"/>
      <c r="CP54" s="43"/>
      <c r="CQ54" s="43"/>
      <c r="CR54" s="43"/>
      <c r="CS54" s="43"/>
      <c r="CT54" s="43"/>
      <c r="CU54" s="43"/>
      <c r="CV54" s="43"/>
      <c r="CW54" s="43"/>
      <c r="CX54" s="52"/>
      <c r="CY54" s="52"/>
      <c r="CZ54" s="52"/>
      <c r="DA54" s="52"/>
      <c r="DB54" s="52"/>
      <c r="DC54" s="52"/>
      <c r="DD54" s="52"/>
      <c r="DE54" s="52"/>
      <c r="DF54" s="52"/>
      <c r="DG54" s="52"/>
      <c r="DH54" s="52"/>
      <c r="DI54" s="52"/>
      <c r="DJ54" s="52"/>
      <c r="DK54" s="52"/>
      <c r="DL54" s="52"/>
      <c r="DM54" s="52"/>
      <c r="DN54" s="52"/>
      <c r="DO54" s="52"/>
      <c r="DP54" s="52"/>
      <c r="DQ54" s="52"/>
      <c r="DR54" s="43">
        <v>1</v>
      </c>
      <c r="DS54" s="43">
        <v>1</v>
      </c>
      <c r="DT54" s="43">
        <v>1</v>
      </c>
      <c r="DU54" s="43">
        <v>1</v>
      </c>
      <c r="DV54" s="43">
        <v>1</v>
      </c>
      <c r="DW54" s="43">
        <v>1</v>
      </c>
      <c r="DX54" s="43">
        <v>1</v>
      </c>
      <c r="DY54" s="43">
        <v>1</v>
      </c>
      <c r="DZ54" s="43">
        <v>1</v>
      </c>
      <c r="EA54" s="43">
        <v>1</v>
      </c>
      <c r="EB54" s="43">
        <v>1</v>
      </c>
      <c r="EC54" s="43">
        <v>1</v>
      </c>
      <c r="ED54" s="43">
        <v>1</v>
      </c>
      <c r="EE54" s="43">
        <v>1</v>
      </c>
      <c r="EF54" s="43">
        <v>1</v>
      </c>
      <c r="EG54" s="43">
        <v>1</v>
      </c>
      <c r="EH54" s="43">
        <v>1</v>
      </c>
      <c r="EI54" s="43">
        <v>1</v>
      </c>
      <c r="EJ54" s="43">
        <v>1</v>
      </c>
      <c r="EK54" s="43">
        <v>1</v>
      </c>
      <c r="EL54" s="50"/>
      <c r="EM54" s="50"/>
      <c r="EN54" s="50"/>
      <c r="EO54" s="50"/>
      <c r="EP54" s="50"/>
      <c r="EQ54" s="50"/>
      <c r="ER54" s="50"/>
      <c r="ES54" s="50"/>
      <c r="ET54" s="50"/>
      <c r="EU54" s="50"/>
      <c r="EV54" s="50"/>
      <c r="EW54" s="50"/>
      <c r="EX54" s="50"/>
      <c r="EY54" s="50"/>
      <c r="EZ54" s="50"/>
      <c r="FA54" s="50"/>
      <c r="FB54" s="50"/>
      <c r="FC54" s="50"/>
      <c r="FD54" s="50"/>
      <c r="FE54" s="50"/>
    </row>
    <row r="55" spans="1:161" x14ac:dyDescent="0.15">
      <c r="A55" s="46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52"/>
      <c r="W55" s="52"/>
      <c r="X55" s="52"/>
      <c r="Y55" s="52"/>
      <c r="Z55" s="52"/>
      <c r="AA55" s="52"/>
      <c r="AB55" s="52"/>
      <c r="AC55" s="52"/>
      <c r="AD55" s="52"/>
      <c r="AE55" s="52"/>
      <c r="AF55" s="52"/>
      <c r="AG55" s="52"/>
      <c r="AH55" s="52"/>
      <c r="AI55" s="52"/>
      <c r="AJ55" s="52"/>
      <c r="AK55" s="52"/>
      <c r="AL55" s="52"/>
      <c r="AM55" s="52"/>
      <c r="AN55" s="52"/>
      <c r="AO55" s="52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52"/>
      <c r="BK55" s="52"/>
      <c r="BL55" s="52"/>
      <c r="BM55" s="52"/>
      <c r="BN55" s="52"/>
      <c r="BO55" s="52"/>
      <c r="BP55" s="52"/>
      <c r="BQ55" s="52"/>
      <c r="BR55" s="52"/>
      <c r="BS55" s="52"/>
      <c r="BT55" s="52"/>
      <c r="BU55" s="52"/>
      <c r="BV55" s="52"/>
      <c r="BW55" s="52"/>
      <c r="BX55" s="52"/>
      <c r="BY55" s="52"/>
      <c r="BZ55" s="52"/>
      <c r="CA55" s="52"/>
      <c r="CB55" s="52"/>
      <c r="CC55" s="52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52"/>
      <c r="CY55" s="52"/>
      <c r="CZ55" s="52"/>
      <c r="DA55" s="52"/>
      <c r="DB55" s="52"/>
      <c r="DC55" s="52"/>
      <c r="DD55" s="52"/>
      <c r="DE55" s="52"/>
      <c r="DF55" s="52"/>
      <c r="DG55" s="52"/>
      <c r="DH55" s="52"/>
      <c r="DI55" s="52"/>
      <c r="DJ55" s="52"/>
      <c r="DK55" s="52"/>
      <c r="DL55" s="52"/>
      <c r="DM55" s="52"/>
      <c r="DN55" s="52"/>
      <c r="DO55" s="52"/>
      <c r="DP55" s="52"/>
      <c r="DQ55" s="52"/>
      <c r="DR55" s="43">
        <v>1</v>
      </c>
      <c r="DS55" s="43">
        <v>1</v>
      </c>
      <c r="DT55" s="43">
        <v>1</v>
      </c>
      <c r="DU55" s="43">
        <v>1</v>
      </c>
      <c r="DV55" s="43">
        <v>1</v>
      </c>
      <c r="DW55" s="43">
        <v>1</v>
      </c>
      <c r="DX55" s="43">
        <v>1</v>
      </c>
      <c r="DY55" s="43">
        <v>1</v>
      </c>
      <c r="DZ55" s="43">
        <v>1</v>
      </c>
      <c r="EA55" s="43">
        <v>1</v>
      </c>
      <c r="EB55" s="43">
        <v>1</v>
      </c>
      <c r="EC55" s="43">
        <v>1</v>
      </c>
      <c r="ED55" s="43">
        <v>1</v>
      </c>
      <c r="EE55" s="43">
        <v>1</v>
      </c>
      <c r="EF55" s="43">
        <v>1</v>
      </c>
      <c r="EG55" s="43">
        <v>1</v>
      </c>
      <c r="EH55" s="43">
        <v>1</v>
      </c>
      <c r="EI55" s="43">
        <v>1</v>
      </c>
      <c r="EJ55" s="43">
        <v>1</v>
      </c>
      <c r="EK55" s="43">
        <v>1</v>
      </c>
      <c r="EL55" s="50"/>
      <c r="EM55" s="50"/>
      <c r="EN55" s="50"/>
      <c r="EO55" s="50"/>
      <c r="EP55" s="50"/>
      <c r="EQ55" s="50"/>
      <c r="ER55" s="50"/>
      <c r="ES55" s="50"/>
      <c r="ET55" s="50"/>
      <c r="EU55" s="50"/>
      <c r="EV55" s="50"/>
      <c r="EW55" s="50"/>
      <c r="EX55" s="50"/>
      <c r="EY55" s="50"/>
      <c r="EZ55" s="50"/>
      <c r="FA55" s="50"/>
      <c r="FB55" s="50"/>
      <c r="FC55" s="50"/>
      <c r="FD55" s="50"/>
      <c r="FE55" s="50"/>
    </row>
    <row r="56" spans="1:161" x14ac:dyDescent="0.15">
      <c r="A56" s="46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52"/>
      <c r="W56" s="52"/>
      <c r="X56" s="52"/>
      <c r="Y56" s="52"/>
      <c r="Z56" s="52"/>
      <c r="AA56" s="52"/>
      <c r="AB56" s="52"/>
      <c r="AC56" s="52"/>
      <c r="AD56" s="52"/>
      <c r="AE56" s="52"/>
      <c r="AF56" s="52"/>
      <c r="AG56" s="52"/>
      <c r="AH56" s="52"/>
      <c r="AI56" s="52"/>
      <c r="AJ56" s="52"/>
      <c r="AK56" s="52"/>
      <c r="AL56" s="52"/>
      <c r="AM56" s="52"/>
      <c r="AN56" s="52"/>
      <c r="AO56" s="52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52"/>
      <c r="BK56" s="52"/>
      <c r="BL56" s="52"/>
      <c r="BM56" s="52"/>
      <c r="BN56" s="52"/>
      <c r="BO56" s="52"/>
      <c r="BP56" s="52"/>
      <c r="BQ56" s="52"/>
      <c r="BR56" s="52"/>
      <c r="BS56" s="52"/>
      <c r="BT56" s="52"/>
      <c r="BU56" s="52"/>
      <c r="BV56" s="52"/>
      <c r="BW56" s="52"/>
      <c r="BX56" s="52"/>
      <c r="BY56" s="52"/>
      <c r="BZ56" s="52"/>
      <c r="CA56" s="52"/>
      <c r="CB56" s="52"/>
      <c r="CC56" s="52"/>
      <c r="CD56" s="43"/>
      <c r="CE56" s="43"/>
      <c r="CF56" s="43"/>
      <c r="CG56" s="43"/>
      <c r="CH56" s="43"/>
      <c r="CI56" s="43"/>
      <c r="CJ56" s="43"/>
      <c r="CK56" s="43"/>
      <c r="CL56" s="43"/>
      <c r="CM56" s="43"/>
      <c r="CN56" s="43"/>
      <c r="CO56" s="43"/>
      <c r="CP56" s="43"/>
      <c r="CQ56" s="43"/>
      <c r="CR56" s="43"/>
      <c r="CS56" s="43"/>
      <c r="CT56" s="43"/>
      <c r="CU56" s="43"/>
      <c r="CV56" s="43"/>
      <c r="CW56" s="43"/>
      <c r="CX56" s="52"/>
      <c r="CY56" s="52"/>
      <c r="CZ56" s="52"/>
      <c r="DA56" s="52"/>
      <c r="DB56" s="52"/>
      <c r="DC56" s="52"/>
      <c r="DD56" s="52"/>
      <c r="DE56" s="52"/>
      <c r="DF56" s="52"/>
      <c r="DG56" s="52"/>
      <c r="DH56" s="52"/>
      <c r="DI56" s="52"/>
      <c r="DJ56" s="52"/>
      <c r="DK56" s="52"/>
      <c r="DL56" s="52"/>
      <c r="DM56" s="52"/>
      <c r="DN56" s="52"/>
      <c r="DO56" s="52"/>
      <c r="DP56" s="52"/>
      <c r="DQ56" s="52"/>
      <c r="DR56" s="43">
        <v>1</v>
      </c>
      <c r="DS56" s="43">
        <v>1</v>
      </c>
      <c r="DT56" s="43">
        <v>1</v>
      </c>
      <c r="DU56" s="43">
        <v>1</v>
      </c>
      <c r="DV56" s="43">
        <v>1</v>
      </c>
      <c r="DW56" s="43">
        <v>1</v>
      </c>
      <c r="DX56" s="43">
        <v>1</v>
      </c>
      <c r="DY56" s="43">
        <v>1</v>
      </c>
      <c r="DZ56" s="43">
        <v>1</v>
      </c>
      <c r="EA56" s="43">
        <v>1</v>
      </c>
      <c r="EB56" s="43">
        <v>1</v>
      </c>
      <c r="EC56" s="43">
        <v>1</v>
      </c>
      <c r="ED56" s="43">
        <v>1</v>
      </c>
      <c r="EE56" s="43">
        <v>1</v>
      </c>
      <c r="EF56" s="43">
        <v>1</v>
      </c>
      <c r="EG56" s="43">
        <v>1</v>
      </c>
      <c r="EH56" s="43">
        <v>1</v>
      </c>
      <c r="EI56" s="43">
        <v>1</v>
      </c>
      <c r="EJ56" s="43">
        <v>1</v>
      </c>
      <c r="EK56" s="43">
        <v>1</v>
      </c>
      <c r="EL56" s="50"/>
      <c r="EM56" s="50"/>
      <c r="EN56" s="50"/>
      <c r="EO56" s="50"/>
      <c r="EP56" s="50"/>
      <c r="EQ56" s="50"/>
      <c r="ER56" s="50"/>
      <c r="ES56" s="50"/>
      <c r="ET56" s="50"/>
      <c r="EU56" s="50"/>
      <c r="EV56" s="50"/>
      <c r="EW56" s="50"/>
      <c r="EX56" s="50"/>
      <c r="EY56" s="50"/>
      <c r="EZ56" s="50"/>
      <c r="FA56" s="50"/>
      <c r="FB56" s="50"/>
      <c r="FC56" s="50"/>
      <c r="FD56" s="50"/>
      <c r="FE56" s="50"/>
    </row>
    <row r="57" spans="1:161" x14ac:dyDescent="0.15">
      <c r="A57" s="46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52"/>
      <c r="CC57" s="52"/>
      <c r="CD57" s="43"/>
      <c r="CE57" s="43"/>
      <c r="CF57" s="43"/>
      <c r="CG57" s="43"/>
      <c r="CH57" s="43"/>
      <c r="CI57" s="43"/>
      <c r="CJ57" s="43"/>
      <c r="CK57" s="43"/>
      <c r="CL57" s="43"/>
      <c r="CM57" s="43"/>
      <c r="CN57" s="43"/>
      <c r="CO57" s="43"/>
      <c r="CP57" s="43"/>
      <c r="CQ57" s="43"/>
      <c r="CR57" s="43"/>
      <c r="CS57" s="43"/>
      <c r="CT57" s="43"/>
      <c r="CU57" s="43"/>
      <c r="CV57" s="43"/>
      <c r="CW57" s="43"/>
      <c r="CX57" s="52"/>
      <c r="CY57" s="52"/>
      <c r="CZ57" s="52"/>
      <c r="DA57" s="52"/>
      <c r="DB57" s="52"/>
      <c r="DC57" s="52"/>
      <c r="DD57" s="52"/>
      <c r="DE57" s="52"/>
      <c r="DF57" s="52"/>
      <c r="DG57" s="52"/>
      <c r="DH57" s="52"/>
      <c r="DI57" s="52"/>
      <c r="DJ57" s="52"/>
      <c r="DK57" s="52"/>
      <c r="DL57" s="52"/>
      <c r="DM57" s="52"/>
      <c r="DN57" s="52"/>
      <c r="DO57" s="52"/>
      <c r="DP57" s="52"/>
      <c r="DQ57" s="52"/>
      <c r="DR57" s="43">
        <v>1</v>
      </c>
      <c r="DS57" s="43">
        <v>1</v>
      </c>
      <c r="DT57" s="43">
        <v>1</v>
      </c>
      <c r="DU57" s="43">
        <v>1</v>
      </c>
      <c r="DV57" s="43">
        <v>1</v>
      </c>
      <c r="DW57" s="43">
        <v>1</v>
      </c>
      <c r="DX57" s="43">
        <v>1</v>
      </c>
      <c r="DY57" s="43">
        <v>1</v>
      </c>
      <c r="DZ57" s="43">
        <v>1</v>
      </c>
      <c r="EA57" s="43">
        <v>1</v>
      </c>
      <c r="EB57" s="43">
        <v>1</v>
      </c>
      <c r="EC57" s="43">
        <v>1</v>
      </c>
      <c r="ED57" s="43">
        <v>1</v>
      </c>
      <c r="EE57" s="43">
        <v>1</v>
      </c>
      <c r="EF57" s="43">
        <v>1</v>
      </c>
      <c r="EG57" s="43">
        <v>1</v>
      </c>
      <c r="EH57" s="43">
        <v>1</v>
      </c>
      <c r="EI57" s="43">
        <v>1</v>
      </c>
      <c r="EJ57" s="43">
        <v>1</v>
      </c>
      <c r="EK57" s="43">
        <v>1</v>
      </c>
      <c r="EL57" s="50"/>
      <c r="EM57" s="50"/>
      <c r="EN57" s="50"/>
      <c r="EO57" s="50"/>
      <c r="EP57" s="50"/>
      <c r="EQ57" s="50"/>
      <c r="ER57" s="50"/>
      <c r="ES57" s="50"/>
      <c r="ET57" s="50"/>
      <c r="EU57" s="50"/>
      <c r="EV57" s="50"/>
      <c r="EW57" s="50"/>
      <c r="EX57" s="50"/>
      <c r="EY57" s="50"/>
      <c r="EZ57" s="50"/>
      <c r="FA57" s="50"/>
      <c r="FB57" s="50"/>
      <c r="FC57" s="50"/>
      <c r="FD57" s="50"/>
      <c r="FE57" s="50"/>
    </row>
    <row r="58" spans="1:161" x14ac:dyDescent="0.15">
      <c r="A58" s="46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  <c r="BX58" s="52"/>
      <c r="BY58" s="52"/>
      <c r="BZ58" s="52"/>
      <c r="CA58" s="52"/>
      <c r="CB58" s="52"/>
      <c r="CC58" s="52"/>
      <c r="CD58" s="43"/>
      <c r="CE58" s="43"/>
      <c r="CF58" s="43"/>
      <c r="CG58" s="43"/>
      <c r="CH58" s="43"/>
      <c r="CI58" s="43"/>
      <c r="CJ58" s="43"/>
      <c r="CK58" s="43"/>
      <c r="CL58" s="43"/>
      <c r="CM58" s="43"/>
      <c r="CN58" s="43"/>
      <c r="CO58" s="43"/>
      <c r="CP58" s="43"/>
      <c r="CQ58" s="43"/>
      <c r="CR58" s="43"/>
      <c r="CS58" s="43"/>
      <c r="CT58" s="43"/>
      <c r="CU58" s="43"/>
      <c r="CV58" s="43"/>
      <c r="CW58" s="43"/>
      <c r="CX58" s="52"/>
      <c r="CY58" s="52"/>
      <c r="CZ58" s="52"/>
      <c r="DA58" s="52"/>
      <c r="DB58" s="52"/>
      <c r="DC58" s="52"/>
      <c r="DD58" s="52"/>
      <c r="DE58" s="52"/>
      <c r="DF58" s="52"/>
      <c r="DG58" s="52"/>
      <c r="DH58" s="52"/>
      <c r="DI58" s="52"/>
      <c r="DJ58" s="52"/>
      <c r="DK58" s="52"/>
      <c r="DL58" s="52"/>
      <c r="DM58" s="52"/>
      <c r="DN58" s="52"/>
      <c r="DO58" s="52"/>
      <c r="DP58" s="52"/>
      <c r="DQ58" s="52"/>
      <c r="DR58" s="43">
        <v>1</v>
      </c>
      <c r="DS58" s="43">
        <v>1</v>
      </c>
      <c r="DT58" s="43">
        <v>1</v>
      </c>
      <c r="DU58" s="43">
        <v>1</v>
      </c>
      <c r="DV58" s="43">
        <v>1</v>
      </c>
      <c r="DW58" s="43">
        <v>1</v>
      </c>
      <c r="DX58" s="43">
        <v>1</v>
      </c>
      <c r="DY58" s="43">
        <v>1</v>
      </c>
      <c r="DZ58" s="43">
        <v>1</v>
      </c>
      <c r="EA58" s="43">
        <v>1</v>
      </c>
      <c r="EB58" s="43">
        <v>1</v>
      </c>
      <c r="EC58" s="43">
        <v>1</v>
      </c>
      <c r="ED58" s="43">
        <v>1</v>
      </c>
      <c r="EE58" s="43">
        <v>1</v>
      </c>
      <c r="EF58" s="43">
        <v>1</v>
      </c>
      <c r="EG58" s="43">
        <v>1</v>
      </c>
      <c r="EH58" s="43">
        <v>1</v>
      </c>
      <c r="EI58" s="43">
        <v>1</v>
      </c>
      <c r="EJ58" s="43">
        <v>1</v>
      </c>
      <c r="EK58" s="43">
        <v>1</v>
      </c>
      <c r="EL58" s="50"/>
      <c r="EM58" s="50"/>
      <c r="EN58" s="50"/>
      <c r="EO58" s="50"/>
      <c r="EP58" s="50"/>
      <c r="EQ58" s="50"/>
      <c r="ER58" s="50"/>
      <c r="ES58" s="50"/>
      <c r="ET58" s="50"/>
      <c r="EU58" s="50"/>
      <c r="EV58" s="50"/>
      <c r="EW58" s="50"/>
      <c r="EX58" s="50"/>
      <c r="EY58" s="50"/>
      <c r="EZ58" s="50"/>
      <c r="FA58" s="50"/>
      <c r="FB58" s="50"/>
      <c r="FC58" s="50"/>
      <c r="FD58" s="50"/>
      <c r="FE58" s="50"/>
    </row>
    <row r="59" spans="1:161" x14ac:dyDescent="0.15">
      <c r="A59" s="46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52"/>
      <c r="CC59" s="52"/>
      <c r="CD59" s="43"/>
      <c r="CE59" s="43"/>
      <c r="CF59" s="43"/>
      <c r="CG59" s="43"/>
      <c r="CH59" s="43"/>
      <c r="CI59" s="43"/>
      <c r="CJ59" s="43"/>
      <c r="CK59" s="43"/>
      <c r="CL59" s="43"/>
      <c r="CM59" s="43"/>
      <c r="CN59" s="43"/>
      <c r="CO59" s="43"/>
      <c r="CP59" s="43"/>
      <c r="CQ59" s="43"/>
      <c r="CR59" s="43"/>
      <c r="CS59" s="43"/>
      <c r="CT59" s="43"/>
      <c r="CU59" s="43"/>
      <c r="CV59" s="43"/>
      <c r="CW59" s="43"/>
      <c r="CX59" s="52"/>
      <c r="CY59" s="52"/>
      <c r="CZ59" s="52"/>
      <c r="DA59" s="52"/>
      <c r="DB59" s="52"/>
      <c r="DC59" s="52"/>
      <c r="DD59" s="52"/>
      <c r="DE59" s="52"/>
      <c r="DF59" s="52"/>
      <c r="DG59" s="52"/>
      <c r="DH59" s="52"/>
      <c r="DI59" s="52"/>
      <c r="DJ59" s="52"/>
      <c r="DK59" s="52"/>
      <c r="DL59" s="52"/>
      <c r="DM59" s="52"/>
      <c r="DN59" s="52"/>
      <c r="DO59" s="52"/>
      <c r="DP59" s="52"/>
      <c r="DQ59" s="52"/>
      <c r="DR59" s="43">
        <v>1</v>
      </c>
      <c r="DS59" s="43">
        <v>1</v>
      </c>
      <c r="DT59" s="43">
        <v>1</v>
      </c>
      <c r="DU59" s="43">
        <v>1</v>
      </c>
      <c r="DV59" s="43">
        <v>1</v>
      </c>
      <c r="DW59" s="43">
        <v>1</v>
      </c>
      <c r="DX59" s="43">
        <v>1</v>
      </c>
      <c r="DY59" s="43">
        <v>1</v>
      </c>
      <c r="DZ59" s="43">
        <v>1</v>
      </c>
      <c r="EA59" s="43">
        <v>1</v>
      </c>
      <c r="EB59" s="43">
        <v>1</v>
      </c>
      <c r="EC59" s="43">
        <v>1</v>
      </c>
      <c r="ED59" s="43">
        <v>1</v>
      </c>
      <c r="EE59" s="43">
        <v>1</v>
      </c>
      <c r="EF59" s="43">
        <v>1</v>
      </c>
      <c r="EG59" s="43">
        <v>1</v>
      </c>
      <c r="EH59" s="43">
        <v>1</v>
      </c>
      <c r="EI59" s="43">
        <v>1</v>
      </c>
      <c r="EJ59" s="43">
        <v>1</v>
      </c>
      <c r="EK59" s="43">
        <v>1</v>
      </c>
      <c r="EL59" s="50"/>
      <c r="EM59" s="50"/>
      <c r="EN59" s="50"/>
      <c r="EO59" s="50"/>
      <c r="EP59" s="50"/>
      <c r="EQ59" s="50"/>
      <c r="ER59" s="50"/>
      <c r="ES59" s="50"/>
      <c r="ET59" s="50"/>
      <c r="EU59" s="50"/>
      <c r="EV59" s="50"/>
      <c r="EW59" s="50"/>
      <c r="EX59" s="50"/>
      <c r="EY59" s="50"/>
      <c r="EZ59" s="50"/>
      <c r="FA59" s="50"/>
      <c r="FB59" s="50"/>
      <c r="FC59" s="50"/>
      <c r="FD59" s="50"/>
      <c r="FE59" s="50"/>
    </row>
    <row r="60" spans="1:161" x14ac:dyDescent="0.15">
      <c r="A60" s="46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52"/>
      <c r="W60" s="52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52"/>
      <c r="BK60" s="52"/>
      <c r="BL60" s="52"/>
      <c r="BM60" s="52"/>
      <c r="BN60" s="52"/>
      <c r="BO60" s="52"/>
      <c r="BP60" s="52"/>
      <c r="BQ60" s="52"/>
      <c r="BR60" s="52"/>
      <c r="BS60" s="52"/>
      <c r="BT60" s="52"/>
      <c r="BU60" s="52"/>
      <c r="BV60" s="52"/>
      <c r="BW60" s="52"/>
      <c r="BX60" s="52"/>
      <c r="BY60" s="52"/>
      <c r="BZ60" s="52"/>
      <c r="CA60" s="52"/>
      <c r="CB60" s="52"/>
      <c r="CC60" s="52"/>
      <c r="CD60" s="43"/>
      <c r="CE60" s="43"/>
      <c r="CF60" s="43"/>
      <c r="CG60" s="43"/>
      <c r="CH60" s="43"/>
      <c r="CI60" s="43"/>
      <c r="CJ60" s="43"/>
      <c r="CK60" s="43"/>
      <c r="CL60" s="43"/>
      <c r="CM60" s="43"/>
      <c r="CN60" s="43"/>
      <c r="CO60" s="43"/>
      <c r="CP60" s="43"/>
      <c r="CQ60" s="43"/>
      <c r="CR60" s="43"/>
      <c r="CS60" s="43"/>
      <c r="CT60" s="43"/>
      <c r="CU60" s="43"/>
      <c r="CV60" s="43"/>
      <c r="CW60" s="43"/>
      <c r="CX60" s="52"/>
      <c r="CY60" s="52"/>
      <c r="CZ60" s="52"/>
      <c r="DA60" s="52"/>
      <c r="DB60" s="52"/>
      <c r="DC60" s="52"/>
      <c r="DD60" s="52"/>
      <c r="DE60" s="52"/>
      <c r="DF60" s="52"/>
      <c r="DG60" s="52"/>
      <c r="DH60" s="52"/>
      <c r="DI60" s="52"/>
      <c r="DJ60" s="52"/>
      <c r="DK60" s="52"/>
      <c r="DL60" s="52"/>
      <c r="DM60" s="52"/>
      <c r="DN60" s="52"/>
      <c r="DO60" s="52"/>
      <c r="DP60" s="52"/>
      <c r="DQ60" s="52"/>
      <c r="DR60" s="43">
        <v>1</v>
      </c>
      <c r="DS60" s="43">
        <v>1</v>
      </c>
      <c r="DT60" s="43">
        <v>1</v>
      </c>
      <c r="DU60" s="43">
        <v>1</v>
      </c>
      <c r="DV60" s="43">
        <v>1</v>
      </c>
      <c r="DW60" s="43">
        <v>1</v>
      </c>
      <c r="DX60" s="43">
        <v>1</v>
      </c>
      <c r="DY60" s="43">
        <v>1</v>
      </c>
      <c r="DZ60" s="43">
        <v>1</v>
      </c>
      <c r="EA60" s="43">
        <v>1</v>
      </c>
      <c r="EB60" s="43">
        <v>1</v>
      </c>
      <c r="EC60" s="43">
        <v>1</v>
      </c>
      <c r="ED60" s="43">
        <v>1</v>
      </c>
      <c r="EE60" s="43">
        <v>1</v>
      </c>
      <c r="EF60" s="43">
        <v>1</v>
      </c>
      <c r="EG60" s="43">
        <v>1</v>
      </c>
      <c r="EH60" s="43">
        <v>1</v>
      </c>
      <c r="EI60" s="43">
        <v>1</v>
      </c>
      <c r="EJ60" s="43">
        <v>1</v>
      </c>
      <c r="EK60" s="43">
        <v>1</v>
      </c>
      <c r="EL60" s="50"/>
      <c r="EM60" s="50"/>
      <c r="EN60" s="50"/>
      <c r="EO60" s="50"/>
      <c r="EP60" s="50"/>
      <c r="EQ60" s="50"/>
      <c r="ER60" s="50"/>
      <c r="ES60" s="50"/>
      <c r="ET60" s="50"/>
      <c r="EU60" s="50"/>
      <c r="EV60" s="50"/>
      <c r="EW60" s="50"/>
      <c r="EX60" s="50"/>
      <c r="EY60" s="50"/>
      <c r="EZ60" s="50"/>
      <c r="FA60" s="50"/>
      <c r="FB60" s="50"/>
      <c r="FC60" s="50"/>
      <c r="FD60" s="50"/>
      <c r="FE60" s="50"/>
    </row>
    <row r="61" spans="1:161" x14ac:dyDescent="0.15">
      <c r="A61" s="46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52"/>
      <c r="W61" s="52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52"/>
      <c r="CC61" s="52"/>
      <c r="CD61" s="43"/>
      <c r="CE61" s="43"/>
      <c r="CF61" s="43"/>
      <c r="CG61" s="43"/>
      <c r="CH61" s="43"/>
      <c r="CI61" s="43"/>
      <c r="CJ61" s="43"/>
      <c r="CK61" s="43"/>
      <c r="CL61" s="43"/>
      <c r="CM61" s="43"/>
      <c r="CN61" s="43"/>
      <c r="CO61" s="43"/>
      <c r="CP61" s="43"/>
      <c r="CQ61" s="43"/>
      <c r="CR61" s="43"/>
      <c r="CS61" s="43"/>
      <c r="CT61" s="43"/>
      <c r="CU61" s="43"/>
      <c r="CV61" s="43"/>
      <c r="CW61" s="43"/>
      <c r="CX61" s="52"/>
      <c r="CY61" s="52"/>
      <c r="CZ61" s="52"/>
      <c r="DA61" s="52"/>
      <c r="DB61" s="52"/>
      <c r="DC61" s="52"/>
      <c r="DD61" s="52"/>
      <c r="DE61" s="52"/>
      <c r="DF61" s="52"/>
      <c r="DG61" s="52"/>
      <c r="DH61" s="52"/>
      <c r="DI61" s="52"/>
      <c r="DJ61" s="52"/>
      <c r="DK61" s="52"/>
      <c r="DL61" s="52"/>
      <c r="DM61" s="52"/>
      <c r="DN61" s="52"/>
      <c r="DO61" s="52"/>
      <c r="DP61" s="52"/>
      <c r="DQ61" s="52"/>
      <c r="DR61" s="43">
        <v>1</v>
      </c>
      <c r="DS61" s="43">
        <v>1</v>
      </c>
      <c r="DT61" s="43">
        <v>1</v>
      </c>
      <c r="DU61" s="43">
        <v>1</v>
      </c>
      <c r="DV61" s="43">
        <v>1</v>
      </c>
      <c r="DW61" s="43">
        <v>1</v>
      </c>
      <c r="DX61" s="43">
        <v>1</v>
      </c>
      <c r="DY61" s="43">
        <v>1</v>
      </c>
      <c r="DZ61" s="43">
        <v>1</v>
      </c>
      <c r="EA61" s="43">
        <v>1</v>
      </c>
      <c r="EB61" s="43">
        <v>1</v>
      </c>
      <c r="EC61" s="43">
        <v>1</v>
      </c>
      <c r="ED61" s="43">
        <v>1</v>
      </c>
      <c r="EE61" s="43">
        <v>1</v>
      </c>
      <c r="EF61" s="43">
        <v>1</v>
      </c>
      <c r="EG61" s="43">
        <v>1</v>
      </c>
      <c r="EH61" s="43">
        <v>1</v>
      </c>
      <c r="EI61" s="43">
        <v>1</v>
      </c>
      <c r="EJ61" s="43">
        <v>1</v>
      </c>
      <c r="EK61" s="43">
        <v>1</v>
      </c>
      <c r="EL61" s="50"/>
      <c r="EM61" s="50"/>
      <c r="EN61" s="50"/>
      <c r="EO61" s="50"/>
      <c r="EP61" s="50"/>
      <c r="EQ61" s="50"/>
      <c r="ER61" s="50"/>
      <c r="ES61" s="50"/>
      <c r="ET61" s="50"/>
      <c r="EU61" s="50"/>
      <c r="EV61" s="50"/>
      <c r="EW61" s="50"/>
      <c r="EX61" s="50"/>
      <c r="EY61" s="50"/>
      <c r="EZ61" s="50"/>
      <c r="FA61" s="50"/>
      <c r="FB61" s="50"/>
      <c r="FC61" s="50"/>
      <c r="FD61" s="50"/>
      <c r="FE61" s="50"/>
    </row>
    <row r="62" spans="1:161" x14ac:dyDescent="0.15">
      <c r="A62" s="46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  <c r="BX62" s="52"/>
      <c r="BY62" s="52"/>
      <c r="BZ62" s="52"/>
      <c r="CA62" s="52"/>
      <c r="CB62" s="52"/>
      <c r="CC62" s="52"/>
      <c r="CD62" s="43"/>
      <c r="CE62" s="43"/>
      <c r="CF62" s="43"/>
      <c r="CG62" s="43"/>
      <c r="CH62" s="43"/>
      <c r="CI62" s="43"/>
      <c r="CJ62" s="43"/>
      <c r="CK62" s="43"/>
      <c r="CL62" s="43"/>
      <c r="CM62" s="43"/>
      <c r="CN62" s="43"/>
      <c r="CO62" s="43"/>
      <c r="CP62" s="43"/>
      <c r="CQ62" s="43"/>
      <c r="CR62" s="43"/>
      <c r="CS62" s="43"/>
      <c r="CT62" s="43"/>
      <c r="CU62" s="43"/>
      <c r="CV62" s="43"/>
      <c r="CW62" s="43"/>
      <c r="CX62" s="52"/>
      <c r="CY62" s="52"/>
      <c r="CZ62" s="52"/>
      <c r="DA62" s="52"/>
      <c r="DB62" s="52"/>
      <c r="DC62" s="52"/>
      <c r="DD62" s="52"/>
      <c r="DE62" s="52"/>
      <c r="DF62" s="52"/>
      <c r="DG62" s="52"/>
      <c r="DH62" s="52"/>
      <c r="DI62" s="52"/>
      <c r="DJ62" s="52"/>
      <c r="DK62" s="52"/>
      <c r="DL62" s="52"/>
      <c r="DM62" s="52"/>
      <c r="DN62" s="52"/>
      <c r="DO62" s="52"/>
      <c r="DP62" s="52"/>
      <c r="DQ62" s="52"/>
      <c r="DR62" s="43">
        <v>1</v>
      </c>
      <c r="DS62" s="43">
        <v>1</v>
      </c>
      <c r="DT62" s="43">
        <v>1</v>
      </c>
      <c r="DU62" s="43">
        <v>1</v>
      </c>
      <c r="DV62" s="43">
        <v>1</v>
      </c>
      <c r="DW62" s="43">
        <v>1</v>
      </c>
      <c r="DX62" s="43">
        <v>1</v>
      </c>
      <c r="DY62" s="43">
        <v>1</v>
      </c>
      <c r="DZ62" s="43">
        <v>1</v>
      </c>
      <c r="EA62" s="43">
        <v>1</v>
      </c>
      <c r="EB62" s="43">
        <v>1</v>
      </c>
      <c r="EC62" s="43">
        <v>1</v>
      </c>
      <c r="ED62" s="43">
        <v>1</v>
      </c>
      <c r="EE62" s="43">
        <v>1</v>
      </c>
      <c r="EF62" s="43">
        <v>1</v>
      </c>
      <c r="EG62" s="43">
        <v>1</v>
      </c>
      <c r="EH62" s="43">
        <v>1</v>
      </c>
      <c r="EI62" s="43">
        <v>1</v>
      </c>
      <c r="EJ62" s="43">
        <v>1</v>
      </c>
      <c r="EK62" s="43">
        <v>1</v>
      </c>
      <c r="EL62" s="50"/>
      <c r="EM62" s="50"/>
      <c r="EN62" s="50"/>
      <c r="EO62" s="50"/>
      <c r="EP62" s="50"/>
      <c r="EQ62" s="50"/>
      <c r="ER62" s="50"/>
      <c r="ES62" s="50"/>
      <c r="ET62" s="50"/>
      <c r="EU62" s="50"/>
      <c r="EV62" s="50"/>
      <c r="EW62" s="50"/>
      <c r="EX62" s="50"/>
      <c r="EY62" s="50"/>
      <c r="EZ62" s="50"/>
      <c r="FA62" s="50"/>
      <c r="FB62" s="50"/>
      <c r="FC62" s="50"/>
      <c r="FD62" s="50"/>
      <c r="FE62" s="50"/>
    </row>
    <row r="63" spans="1:161" x14ac:dyDescent="0.15">
      <c r="A63" s="46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52"/>
      <c r="W63" s="52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52"/>
      <c r="CC63" s="52"/>
      <c r="CD63" s="43"/>
      <c r="CE63" s="43"/>
      <c r="CF63" s="43"/>
      <c r="CG63" s="43"/>
      <c r="CH63" s="43"/>
      <c r="CI63" s="43"/>
      <c r="CJ63" s="43"/>
      <c r="CK63" s="43"/>
      <c r="CL63" s="43"/>
      <c r="CM63" s="43"/>
      <c r="CN63" s="43"/>
      <c r="CO63" s="43"/>
      <c r="CP63" s="43"/>
      <c r="CQ63" s="43"/>
      <c r="CR63" s="43"/>
      <c r="CS63" s="43"/>
      <c r="CT63" s="43"/>
      <c r="CU63" s="43"/>
      <c r="CV63" s="43"/>
      <c r="CW63" s="43"/>
      <c r="CX63" s="52"/>
      <c r="CY63" s="52"/>
      <c r="CZ63" s="52"/>
      <c r="DA63" s="52"/>
      <c r="DB63" s="52"/>
      <c r="DC63" s="52"/>
      <c r="DD63" s="52"/>
      <c r="DE63" s="52"/>
      <c r="DF63" s="52"/>
      <c r="DG63" s="52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45">
        <v>1</v>
      </c>
      <c r="DS63" s="45">
        <v>1</v>
      </c>
      <c r="DT63" s="45">
        <v>1</v>
      </c>
      <c r="DU63" s="45">
        <v>1</v>
      </c>
      <c r="DV63" s="45">
        <v>1</v>
      </c>
      <c r="DW63" s="45">
        <v>1</v>
      </c>
      <c r="DX63" s="45">
        <v>1</v>
      </c>
      <c r="DY63" s="45">
        <v>1</v>
      </c>
      <c r="DZ63" s="45">
        <v>1</v>
      </c>
      <c r="EA63" s="45">
        <v>1</v>
      </c>
      <c r="EB63" s="45">
        <v>1</v>
      </c>
      <c r="EC63" s="45">
        <v>1</v>
      </c>
      <c r="ED63" s="45">
        <v>1</v>
      </c>
      <c r="EE63" s="45">
        <v>1</v>
      </c>
      <c r="EF63" s="45">
        <v>1</v>
      </c>
      <c r="EG63" s="45">
        <v>1</v>
      </c>
      <c r="EH63" s="45">
        <v>1</v>
      </c>
      <c r="EI63" s="45">
        <v>1</v>
      </c>
      <c r="EJ63" s="45">
        <v>1</v>
      </c>
      <c r="EK63" s="45">
        <v>1</v>
      </c>
      <c r="EL63" s="50"/>
      <c r="EM63" s="50"/>
      <c r="EN63" s="50"/>
      <c r="EO63" s="50"/>
      <c r="EP63" s="50"/>
      <c r="EQ63" s="50"/>
      <c r="ER63" s="50"/>
      <c r="ES63" s="50"/>
      <c r="ET63" s="50"/>
      <c r="EU63" s="50"/>
      <c r="EV63" s="50"/>
      <c r="EW63" s="50"/>
      <c r="EX63" s="50"/>
      <c r="EY63" s="50"/>
      <c r="EZ63" s="50"/>
      <c r="FA63" s="50"/>
      <c r="FB63" s="50"/>
      <c r="FC63" s="50"/>
      <c r="FD63" s="50"/>
      <c r="FE63" s="50"/>
    </row>
    <row r="64" spans="1:161" x14ac:dyDescent="0.15">
      <c r="A64" s="46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52"/>
      <c r="W64" s="52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52"/>
      <c r="BK64" s="52"/>
      <c r="BL64" s="52"/>
      <c r="BM64" s="52"/>
      <c r="BN64" s="52"/>
      <c r="BO64" s="52"/>
      <c r="BP64" s="52"/>
      <c r="BQ64" s="52"/>
      <c r="BR64" s="52"/>
      <c r="BS64" s="52"/>
      <c r="BT64" s="52"/>
      <c r="BU64" s="52"/>
      <c r="BV64" s="52"/>
      <c r="BW64" s="52"/>
      <c r="BX64" s="52"/>
      <c r="BY64" s="52"/>
      <c r="BZ64" s="52"/>
      <c r="CA64" s="52"/>
      <c r="CB64" s="52"/>
      <c r="CC64" s="52"/>
      <c r="CD64" s="43"/>
      <c r="CE64" s="43"/>
      <c r="CF64" s="43"/>
      <c r="CG64" s="43"/>
      <c r="CH64" s="43"/>
      <c r="CI64" s="43"/>
      <c r="CJ64" s="43"/>
      <c r="CK64" s="43"/>
      <c r="CL64" s="43"/>
      <c r="CM64" s="43"/>
      <c r="CN64" s="43"/>
      <c r="CO64" s="43"/>
      <c r="CP64" s="43"/>
      <c r="CQ64" s="43"/>
      <c r="CR64" s="43"/>
      <c r="CS64" s="43"/>
      <c r="CT64" s="43"/>
      <c r="CU64" s="43"/>
      <c r="CV64" s="43"/>
      <c r="CW64" s="43"/>
      <c r="CX64" s="52"/>
      <c r="CY64" s="52"/>
      <c r="CZ64" s="52"/>
      <c r="DA64" s="52"/>
      <c r="DB64" s="52"/>
      <c r="DC64" s="52"/>
      <c r="DD64" s="52"/>
      <c r="DE64" s="52"/>
      <c r="DF64" s="52"/>
      <c r="DG64" s="52"/>
      <c r="DH64" s="52"/>
      <c r="DI64" s="52"/>
      <c r="DJ64" s="52"/>
      <c r="DK64" s="52"/>
      <c r="DL64" s="52"/>
      <c r="DM64" s="52"/>
      <c r="DN64" s="52"/>
      <c r="DO64" s="52"/>
      <c r="DP64" s="52"/>
      <c r="DQ64" s="52"/>
      <c r="DR64" s="43">
        <v>1</v>
      </c>
      <c r="DS64" s="43">
        <v>1</v>
      </c>
      <c r="DT64" s="43">
        <v>1</v>
      </c>
      <c r="DU64" s="43">
        <v>1</v>
      </c>
      <c r="DV64" s="43">
        <v>1</v>
      </c>
      <c r="DW64" s="43">
        <v>1</v>
      </c>
      <c r="DX64" s="43">
        <v>1</v>
      </c>
      <c r="DY64" s="43">
        <v>1</v>
      </c>
      <c r="DZ64" s="43">
        <v>1</v>
      </c>
      <c r="EA64" s="43">
        <v>1</v>
      </c>
      <c r="EB64" s="43">
        <v>1</v>
      </c>
      <c r="EC64" s="43">
        <v>1</v>
      </c>
      <c r="ED64" s="43">
        <v>1</v>
      </c>
      <c r="EE64" s="43">
        <v>1</v>
      </c>
      <c r="EF64" s="43">
        <v>1</v>
      </c>
      <c r="EG64" s="43">
        <v>1</v>
      </c>
      <c r="EH64" s="43">
        <v>1</v>
      </c>
      <c r="EI64" s="43">
        <v>1</v>
      </c>
      <c r="EJ64" s="43">
        <v>1</v>
      </c>
      <c r="EK64" s="43">
        <v>1</v>
      </c>
      <c r="EL64" s="50"/>
      <c r="EM64" s="50"/>
      <c r="EN64" s="50"/>
      <c r="EO64" s="50"/>
      <c r="EP64" s="50"/>
      <c r="EQ64" s="50"/>
      <c r="ER64" s="50"/>
      <c r="ES64" s="50"/>
      <c r="ET64" s="50"/>
      <c r="EU64" s="50"/>
      <c r="EV64" s="50"/>
      <c r="EW64" s="50"/>
      <c r="EX64" s="50"/>
      <c r="EY64" s="50"/>
      <c r="EZ64" s="50"/>
      <c r="FA64" s="50"/>
      <c r="FB64" s="50"/>
      <c r="FC64" s="50"/>
      <c r="FD64" s="50"/>
      <c r="FE64" s="50"/>
    </row>
    <row r="65" spans="1:161" x14ac:dyDescent="0.15">
      <c r="A65" s="46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52"/>
      <c r="W65" s="52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52"/>
      <c r="CC65" s="52"/>
      <c r="CD65" s="43"/>
      <c r="CE65" s="43"/>
      <c r="CF65" s="43"/>
      <c r="CG65" s="43"/>
      <c r="CH65" s="43"/>
      <c r="CI65" s="43"/>
      <c r="CJ65" s="43"/>
      <c r="CK65" s="43"/>
      <c r="CL65" s="43"/>
      <c r="CM65" s="43"/>
      <c r="CN65" s="43"/>
      <c r="CO65" s="43"/>
      <c r="CP65" s="43"/>
      <c r="CQ65" s="43"/>
      <c r="CR65" s="43"/>
      <c r="CS65" s="43"/>
      <c r="CT65" s="43"/>
      <c r="CU65" s="43"/>
      <c r="CV65" s="43"/>
      <c r="CW65" s="43"/>
      <c r="CX65" s="52"/>
      <c r="CY65" s="52"/>
      <c r="CZ65" s="52"/>
      <c r="DA65" s="52"/>
      <c r="DB65" s="52"/>
      <c r="DC65" s="52"/>
      <c r="DD65" s="52"/>
      <c r="DE65" s="52"/>
      <c r="DF65" s="52"/>
      <c r="DG65" s="52"/>
      <c r="DH65" s="52"/>
      <c r="DI65" s="52"/>
      <c r="DJ65" s="52"/>
      <c r="DK65" s="52"/>
      <c r="DL65" s="52"/>
      <c r="DM65" s="52"/>
      <c r="DN65" s="52"/>
      <c r="DO65" s="52"/>
      <c r="DP65" s="52"/>
      <c r="DQ65" s="52"/>
      <c r="DR65" s="43">
        <v>1</v>
      </c>
      <c r="DS65" s="43">
        <v>1</v>
      </c>
      <c r="DT65" s="43">
        <v>1</v>
      </c>
      <c r="DU65" s="43">
        <v>1</v>
      </c>
      <c r="DV65" s="43">
        <v>1</v>
      </c>
      <c r="DW65" s="43">
        <v>1</v>
      </c>
      <c r="DX65" s="43">
        <v>1</v>
      </c>
      <c r="DY65" s="43">
        <v>1</v>
      </c>
      <c r="DZ65" s="43">
        <v>1</v>
      </c>
      <c r="EA65" s="43">
        <v>1</v>
      </c>
      <c r="EB65" s="43">
        <v>1</v>
      </c>
      <c r="EC65" s="43">
        <v>1</v>
      </c>
      <c r="ED65" s="43">
        <v>1</v>
      </c>
      <c r="EE65" s="43">
        <v>1</v>
      </c>
      <c r="EF65" s="43">
        <v>1</v>
      </c>
      <c r="EG65" s="43">
        <v>1</v>
      </c>
      <c r="EH65" s="43">
        <v>1</v>
      </c>
      <c r="EI65" s="43">
        <v>1</v>
      </c>
      <c r="EJ65" s="43">
        <v>1</v>
      </c>
      <c r="EK65" s="43">
        <v>1</v>
      </c>
      <c r="EL65" s="50"/>
      <c r="EM65" s="50"/>
      <c r="EN65" s="50"/>
      <c r="EO65" s="50"/>
      <c r="EP65" s="50"/>
      <c r="EQ65" s="50"/>
      <c r="ER65" s="50"/>
      <c r="ES65" s="50"/>
      <c r="ET65" s="50"/>
      <c r="EU65" s="50"/>
      <c r="EV65" s="50"/>
      <c r="EW65" s="50"/>
      <c r="EX65" s="50"/>
      <c r="EY65" s="50"/>
      <c r="EZ65" s="50"/>
      <c r="FA65" s="50"/>
      <c r="FB65" s="50"/>
      <c r="FC65" s="50"/>
      <c r="FD65" s="50"/>
      <c r="FE65" s="50"/>
    </row>
    <row r="66" spans="1:161" x14ac:dyDescent="0.15">
      <c r="A66" s="46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  <c r="BX66" s="52"/>
      <c r="BY66" s="52"/>
      <c r="BZ66" s="52"/>
      <c r="CA66" s="52"/>
      <c r="CB66" s="52"/>
      <c r="CC66" s="52"/>
      <c r="CD66" s="43"/>
      <c r="CE66" s="43"/>
      <c r="CF66" s="43"/>
      <c r="CG66" s="43"/>
      <c r="CH66" s="43"/>
      <c r="CI66" s="43"/>
      <c r="CJ66" s="43"/>
      <c r="CK66" s="43"/>
      <c r="CL66" s="43"/>
      <c r="CM66" s="43"/>
      <c r="CN66" s="43"/>
      <c r="CO66" s="43"/>
      <c r="CP66" s="43"/>
      <c r="CQ66" s="43"/>
      <c r="CR66" s="43"/>
      <c r="CS66" s="43"/>
      <c r="CT66" s="43"/>
      <c r="CU66" s="43"/>
      <c r="CV66" s="43"/>
      <c r="CW66" s="43"/>
      <c r="CX66" s="52"/>
      <c r="CY66" s="52"/>
      <c r="CZ66" s="52"/>
      <c r="DA66" s="52"/>
      <c r="DB66" s="52"/>
      <c r="DC66" s="52"/>
      <c r="DD66" s="52"/>
      <c r="DE66" s="52"/>
      <c r="DF66" s="52"/>
      <c r="DG66" s="52"/>
      <c r="DH66" s="52"/>
      <c r="DI66" s="52"/>
      <c r="DJ66" s="52"/>
      <c r="DK66" s="52"/>
      <c r="DL66" s="52"/>
      <c r="DM66" s="52"/>
      <c r="DN66" s="52"/>
      <c r="DO66" s="52"/>
      <c r="DP66" s="52"/>
      <c r="DQ66" s="52"/>
      <c r="DR66" s="43">
        <v>1</v>
      </c>
      <c r="DS66" s="43">
        <v>1</v>
      </c>
      <c r="DT66" s="43">
        <v>1</v>
      </c>
      <c r="DU66" s="43">
        <v>1</v>
      </c>
      <c r="DV66" s="43">
        <v>1</v>
      </c>
      <c r="DW66" s="43">
        <v>1</v>
      </c>
      <c r="DX66" s="43">
        <v>1</v>
      </c>
      <c r="DY66" s="43">
        <v>1</v>
      </c>
      <c r="DZ66" s="43">
        <v>1</v>
      </c>
      <c r="EA66" s="43">
        <v>1</v>
      </c>
      <c r="EB66" s="43">
        <v>1</v>
      </c>
      <c r="EC66" s="43">
        <v>1</v>
      </c>
      <c r="ED66" s="43">
        <v>1</v>
      </c>
      <c r="EE66" s="43">
        <v>1</v>
      </c>
      <c r="EF66" s="43">
        <v>1</v>
      </c>
      <c r="EG66" s="43">
        <v>1</v>
      </c>
      <c r="EH66" s="43">
        <v>1</v>
      </c>
      <c r="EI66" s="43">
        <v>1</v>
      </c>
      <c r="EJ66" s="43">
        <v>1</v>
      </c>
      <c r="EK66" s="43">
        <v>1</v>
      </c>
      <c r="EL66" s="50"/>
      <c r="EM66" s="50"/>
      <c r="EN66" s="50"/>
      <c r="EO66" s="50"/>
      <c r="EP66" s="50"/>
      <c r="EQ66" s="50"/>
      <c r="ER66" s="50"/>
      <c r="ES66" s="50"/>
      <c r="ET66" s="50"/>
      <c r="EU66" s="50"/>
      <c r="EV66" s="50"/>
      <c r="EW66" s="50"/>
      <c r="EX66" s="50"/>
      <c r="EY66" s="50"/>
      <c r="EZ66" s="50"/>
      <c r="FA66" s="50"/>
      <c r="FB66" s="50"/>
      <c r="FC66" s="50"/>
      <c r="FD66" s="50"/>
      <c r="FE66" s="50"/>
    </row>
    <row r="67" spans="1:161" x14ac:dyDescent="0.15">
      <c r="A67" s="46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52"/>
      <c r="W67" s="52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52"/>
      <c r="BK67" s="52"/>
      <c r="BL67" s="52"/>
      <c r="BM67" s="52"/>
      <c r="BN67" s="52"/>
      <c r="BO67" s="52"/>
      <c r="BP67" s="52"/>
      <c r="BQ67" s="52"/>
      <c r="BR67" s="52"/>
      <c r="BS67" s="52"/>
      <c r="BT67" s="52"/>
      <c r="BU67" s="52"/>
      <c r="BV67" s="52"/>
      <c r="BW67" s="52"/>
      <c r="BX67" s="52"/>
      <c r="BY67" s="52"/>
      <c r="BZ67" s="52"/>
      <c r="CA67" s="52"/>
      <c r="CB67" s="52"/>
      <c r="CC67" s="52"/>
      <c r="CD67" s="43"/>
      <c r="CE67" s="43"/>
      <c r="CF67" s="43"/>
      <c r="CG67" s="43"/>
      <c r="CH67" s="43"/>
      <c r="CI67" s="43"/>
      <c r="CJ67" s="43"/>
      <c r="CK67" s="43"/>
      <c r="CL67" s="43"/>
      <c r="CM67" s="43"/>
      <c r="CN67" s="43"/>
      <c r="CO67" s="43"/>
      <c r="CP67" s="43"/>
      <c r="CQ67" s="43"/>
      <c r="CR67" s="43"/>
      <c r="CS67" s="43"/>
      <c r="CT67" s="43"/>
      <c r="CU67" s="43"/>
      <c r="CV67" s="43"/>
      <c r="CW67" s="43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43">
        <v>1</v>
      </c>
      <c r="DS67" s="43">
        <v>1</v>
      </c>
      <c r="DT67" s="43">
        <v>1</v>
      </c>
      <c r="DU67" s="43">
        <v>1</v>
      </c>
      <c r="DV67" s="43">
        <v>1</v>
      </c>
      <c r="DW67" s="43">
        <v>1</v>
      </c>
      <c r="DX67" s="43">
        <v>1</v>
      </c>
      <c r="DY67" s="43">
        <v>1</v>
      </c>
      <c r="DZ67" s="43">
        <v>1</v>
      </c>
      <c r="EA67" s="43">
        <v>1</v>
      </c>
      <c r="EB67" s="43">
        <v>1</v>
      </c>
      <c r="EC67" s="43">
        <v>1</v>
      </c>
      <c r="ED67" s="43">
        <v>1</v>
      </c>
      <c r="EE67" s="43">
        <v>1</v>
      </c>
      <c r="EF67" s="43">
        <v>1</v>
      </c>
      <c r="EG67" s="43">
        <v>1</v>
      </c>
      <c r="EH67" s="43">
        <v>1</v>
      </c>
      <c r="EI67" s="43">
        <v>1</v>
      </c>
      <c r="EJ67" s="43">
        <v>1</v>
      </c>
      <c r="EK67" s="43">
        <v>1</v>
      </c>
      <c r="EL67" s="50"/>
      <c r="EM67" s="50"/>
      <c r="EN67" s="50"/>
      <c r="EO67" s="50"/>
      <c r="EP67" s="50"/>
      <c r="EQ67" s="50"/>
      <c r="ER67" s="50"/>
      <c r="ES67" s="50"/>
      <c r="ET67" s="50"/>
      <c r="EU67" s="50"/>
      <c r="EV67" s="50"/>
      <c r="EW67" s="50"/>
      <c r="EX67" s="50"/>
      <c r="EY67" s="50"/>
      <c r="EZ67" s="50"/>
      <c r="FA67" s="50"/>
      <c r="FB67" s="50"/>
      <c r="FC67" s="50"/>
      <c r="FD67" s="50"/>
      <c r="FE67" s="50"/>
    </row>
    <row r="68" spans="1:161" x14ac:dyDescent="0.15">
      <c r="A68" s="46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52"/>
      <c r="W68" s="52"/>
      <c r="X68" s="52"/>
      <c r="Y68" s="52"/>
      <c r="Z68" s="52"/>
      <c r="AA68" s="52"/>
      <c r="AB68" s="52"/>
      <c r="AC68" s="52"/>
      <c r="AD68" s="52"/>
      <c r="AE68" s="52"/>
      <c r="AF68" s="52"/>
      <c r="AG68" s="52"/>
      <c r="AH68" s="52"/>
      <c r="AI68" s="52"/>
      <c r="AJ68" s="52"/>
      <c r="AK68" s="52"/>
      <c r="AL68" s="52"/>
      <c r="AM68" s="52"/>
      <c r="AN68" s="52"/>
      <c r="AO68" s="52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52"/>
      <c r="BK68" s="52"/>
      <c r="BL68" s="52"/>
      <c r="BM68" s="52"/>
      <c r="BN68" s="52"/>
      <c r="BO68" s="52"/>
      <c r="BP68" s="52"/>
      <c r="BQ68" s="52"/>
      <c r="BR68" s="52"/>
      <c r="BS68" s="52"/>
      <c r="BT68" s="52"/>
      <c r="BU68" s="52"/>
      <c r="BV68" s="52"/>
      <c r="BW68" s="52"/>
      <c r="BX68" s="52"/>
      <c r="BY68" s="52"/>
      <c r="BZ68" s="52"/>
      <c r="CA68" s="52"/>
      <c r="CB68" s="52"/>
      <c r="CC68" s="52"/>
      <c r="CD68" s="43"/>
      <c r="CE68" s="43"/>
      <c r="CF68" s="43"/>
      <c r="CG68" s="43"/>
      <c r="CH68" s="43"/>
      <c r="CI68" s="43"/>
      <c r="CJ68" s="43"/>
      <c r="CK68" s="43"/>
      <c r="CL68" s="43"/>
      <c r="CM68" s="43"/>
      <c r="CN68" s="43"/>
      <c r="CO68" s="43"/>
      <c r="CP68" s="43"/>
      <c r="CQ68" s="43"/>
      <c r="CR68" s="43"/>
      <c r="CS68" s="43"/>
      <c r="CT68" s="43"/>
      <c r="CU68" s="43"/>
      <c r="CV68" s="43"/>
      <c r="CW68" s="43"/>
      <c r="CX68" s="52"/>
      <c r="CY68" s="52"/>
      <c r="CZ68" s="52"/>
      <c r="DA68" s="52"/>
      <c r="DB68" s="52"/>
      <c r="DC68" s="52"/>
      <c r="DD68" s="52"/>
      <c r="DE68" s="52"/>
      <c r="DF68" s="52"/>
      <c r="DG68" s="52"/>
      <c r="DH68" s="52"/>
      <c r="DI68" s="52"/>
      <c r="DJ68" s="52"/>
      <c r="DK68" s="52"/>
      <c r="DL68" s="52"/>
      <c r="DM68" s="52"/>
      <c r="DN68" s="52"/>
      <c r="DO68" s="52"/>
      <c r="DP68" s="52"/>
      <c r="DQ68" s="52"/>
      <c r="DR68" s="43">
        <v>1</v>
      </c>
      <c r="DS68" s="43">
        <v>1</v>
      </c>
      <c r="DT68" s="43">
        <v>1</v>
      </c>
      <c r="DU68" s="43">
        <v>1</v>
      </c>
      <c r="DV68" s="43">
        <v>1</v>
      </c>
      <c r="DW68" s="43">
        <v>1</v>
      </c>
      <c r="DX68" s="43">
        <v>1</v>
      </c>
      <c r="DY68" s="43">
        <v>1</v>
      </c>
      <c r="DZ68" s="43">
        <v>1</v>
      </c>
      <c r="EA68" s="43">
        <v>1</v>
      </c>
      <c r="EB68" s="43">
        <v>1</v>
      </c>
      <c r="EC68" s="43">
        <v>1</v>
      </c>
      <c r="ED68" s="43">
        <v>1</v>
      </c>
      <c r="EE68" s="43">
        <v>1</v>
      </c>
      <c r="EF68" s="43">
        <v>1</v>
      </c>
      <c r="EG68" s="43">
        <v>1</v>
      </c>
      <c r="EH68" s="43">
        <v>1</v>
      </c>
      <c r="EI68" s="43">
        <v>1</v>
      </c>
      <c r="EJ68" s="43">
        <v>1</v>
      </c>
      <c r="EK68" s="43">
        <v>1</v>
      </c>
      <c r="EL68" s="50"/>
      <c r="EM68" s="50"/>
      <c r="EN68" s="50"/>
      <c r="EO68" s="50"/>
      <c r="EP68" s="50"/>
      <c r="EQ68" s="50"/>
      <c r="ER68" s="50"/>
      <c r="ES68" s="50"/>
      <c r="ET68" s="50"/>
      <c r="EU68" s="50"/>
      <c r="EV68" s="50"/>
      <c r="EW68" s="50"/>
      <c r="EX68" s="50"/>
      <c r="EY68" s="50"/>
      <c r="EZ68" s="50"/>
      <c r="FA68" s="50"/>
      <c r="FB68" s="50"/>
      <c r="FC68" s="50"/>
      <c r="FD68" s="50"/>
      <c r="FE68" s="50"/>
    </row>
    <row r="69" spans="1:161" x14ac:dyDescent="0.15">
      <c r="A69" s="46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52"/>
      <c r="W69" s="52"/>
      <c r="X69" s="52"/>
      <c r="Y69" s="52"/>
      <c r="Z69" s="52"/>
      <c r="AA69" s="52"/>
      <c r="AB69" s="52"/>
      <c r="AC69" s="52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52"/>
      <c r="BY69" s="52"/>
      <c r="BZ69" s="52"/>
      <c r="CA69" s="52"/>
      <c r="CB69" s="52"/>
      <c r="CC69" s="52"/>
      <c r="CD69" s="43"/>
      <c r="CE69" s="43"/>
      <c r="CF69" s="43"/>
      <c r="CG69" s="43"/>
      <c r="CH69" s="43"/>
      <c r="CI69" s="43"/>
      <c r="CJ69" s="43"/>
      <c r="CK69" s="43"/>
      <c r="CL69" s="43"/>
      <c r="CM69" s="43"/>
      <c r="CN69" s="43"/>
      <c r="CO69" s="43"/>
      <c r="CP69" s="43"/>
      <c r="CQ69" s="43"/>
      <c r="CR69" s="43"/>
      <c r="CS69" s="43"/>
      <c r="CT69" s="43"/>
      <c r="CU69" s="43"/>
      <c r="CV69" s="43"/>
      <c r="CW69" s="43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43">
        <v>1</v>
      </c>
      <c r="DS69" s="43">
        <v>1</v>
      </c>
      <c r="DT69" s="43">
        <v>1</v>
      </c>
      <c r="DU69" s="43">
        <v>1</v>
      </c>
      <c r="DV69" s="43">
        <v>1</v>
      </c>
      <c r="DW69" s="43">
        <v>1</v>
      </c>
      <c r="DX69" s="43">
        <v>1</v>
      </c>
      <c r="DY69" s="43">
        <v>1</v>
      </c>
      <c r="DZ69" s="43">
        <v>1</v>
      </c>
      <c r="EA69" s="43">
        <v>1</v>
      </c>
      <c r="EB69" s="43">
        <v>1</v>
      </c>
      <c r="EC69" s="43">
        <v>1</v>
      </c>
      <c r="ED69" s="43">
        <v>1</v>
      </c>
      <c r="EE69" s="43">
        <v>1</v>
      </c>
      <c r="EF69" s="43">
        <v>1</v>
      </c>
      <c r="EG69" s="43">
        <v>1</v>
      </c>
      <c r="EH69" s="43">
        <v>1</v>
      </c>
      <c r="EI69" s="43">
        <v>1</v>
      </c>
      <c r="EJ69" s="43">
        <v>1</v>
      </c>
      <c r="EK69" s="43">
        <v>1</v>
      </c>
      <c r="EL69" s="50"/>
      <c r="EM69" s="50"/>
      <c r="EN69" s="50"/>
      <c r="EO69" s="50"/>
      <c r="EP69" s="50"/>
      <c r="EQ69" s="50"/>
      <c r="ER69" s="50"/>
      <c r="ES69" s="50"/>
      <c r="ET69" s="50"/>
      <c r="EU69" s="50"/>
      <c r="EV69" s="50"/>
      <c r="EW69" s="50"/>
      <c r="EX69" s="50"/>
      <c r="EY69" s="50"/>
      <c r="EZ69" s="50"/>
      <c r="FA69" s="50"/>
      <c r="FB69" s="50"/>
      <c r="FC69" s="50"/>
      <c r="FD69" s="50"/>
      <c r="FE69" s="50"/>
    </row>
    <row r="70" spans="1:161" x14ac:dyDescent="0.15">
      <c r="A70" s="46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  <c r="BX70" s="52"/>
      <c r="BY70" s="52"/>
      <c r="BZ70" s="52"/>
      <c r="CA70" s="52"/>
      <c r="CB70" s="52"/>
      <c r="CC70" s="52"/>
      <c r="CD70" s="43"/>
      <c r="CE70" s="43"/>
      <c r="CF70" s="43"/>
      <c r="CG70" s="43"/>
      <c r="CH70" s="43"/>
      <c r="CI70" s="43"/>
      <c r="CJ70" s="43"/>
      <c r="CK70" s="43"/>
      <c r="CL70" s="43"/>
      <c r="CM70" s="43"/>
      <c r="CN70" s="43"/>
      <c r="CO70" s="43"/>
      <c r="CP70" s="43"/>
      <c r="CQ70" s="43"/>
      <c r="CR70" s="43"/>
      <c r="CS70" s="43"/>
      <c r="CT70" s="43"/>
      <c r="CU70" s="43"/>
      <c r="CV70" s="43"/>
      <c r="CW70" s="43"/>
      <c r="CX70" s="52"/>
      <c r="CY70" s="52"/>
      <c r="CZ70" s="52"/>
      <c r="DA70" s="52"/>
      <c r="DB70" s="52"/>
      <c r="DC70" s="52"/>
      <c r="DD70" s="52"/>
      <c r="DE70" s="52"/>
      <c r="DF70" s="52"/>
      <c r="DG70" s="52"/>
      <c r="DH70" s="52"/>
      <c r="DI70" s="52"/>
      <c r="DJ70" s="52"/>
      <c r="DK70" s="52"/>
      <c r="DL70" s="52"/>
      <c r="DM70" s="52"/>
      <c r="DN70" s="52"/>
      <c r="DO70" s="52"/>
      <c r="DP70" s="52"/>
      <c r="DQ70" s="52"/>
      <c r="DR70" s="43">
        <v>1</v>
      </c>
      <c r="DS70" s="43">
        <v>1</v>
      </c>
      <c r="DT70" s="43">
        <v>1</v>
      </c>
      <c r="DU70" s="43">
        <v>1</v>
      </c>
      <c r="DV70" s="43">
        <v>1</v>
      </c>
      <c r="DW70" s="43">
        <v>1</v>
      </c>
      <c r="DX70" s="43">
        <v>1</v>
      </c>
      <c r="DY70" s="43">
        <v>1</v>
      </c>
      <c r="DZ70" s="43">
        <v>1</v>
      </c>
      <c r="EA70" s="43">
        <v>1</v>
      </c>
      <c r="EB70" s="43">
        <v>1</v>
      </c>
      <c r="EC70" s="43">
        <v>1</v>
      </c>
      <c r="ED70" s="43">
        <v>1</v>
      </c>
      <c r="EE70" s="43">
        <v>1</v>
      </c>
      <c r="EF70" s="43">
        <v>1</v>
      </c>
      <c r="EG70" s="43">
        <v>1</v>
      </c>
      <c r="EH70" s="43">
        <v>1</v>
      </c>
      <c r="EI70" s="43">
        <v>1</v>
      </c>
      <c r="EJ70" s="43">
        <v>1</v>
      </c>
      <c r="EK70" s="43">
        <v>1</v>
      </c>
      <c r="EL70" s="50"/>
      <c r="EM70" s="50"/>
      <c r="EN70" s="50"/>
      <c r="EO70" s="50"/>
      <c r="EP70" s="50"/>
      <c r="EQ70" s="50"/>
      <c r="ER70" s="50"/>
      <c r="ES70" s="50"/>
      <c r="ET70" s="50"/>
      <c r="EU70" s="50"/>
      <c r="EV70" s="50"/>
      <c r="EW70" s="50"/>
      <c r="EX70" s="50"/>
      <c r="EY70" s="50"/>
      <c r="EZ70" s="50"/>
      <c r="FA70" s="50"/>
      <c r="FB70" s="50"/>
      <c r="FC70" s="50"/>
      <c r="FD70" s="50"/>
      <c r="FE70" s="50"/>
    </row>
    <row r="71" spans="1:161" x14ac:dyDescent="0.15">
      <c r="A71" s="46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  <c r="BX71" s="52"/>
      <c r="BY71" s="52"/>
      <c r="BZ71" s="52"/>
      <c r="CA71" s="52"/>
      <c r="CB71" s="52"/>
      <c r="CC71" s="52"/>
      <c r="CD71" s="43"/>
      <c r="CE71" s="43"/>
      <c r="CF71" s="43"/>
      <c r="CG71" s="43"/>
      <c r="CH71" s="43"/>
      <c r="CI71" s="43"/>
      <c r="CJ71" s="43"/>
      <c r="CK71" s="43"/>
      <c r="CL71" s="43"/>
      <c r="CM71" s="43"/>
      <c r="CN71" s="43"/>
      <c r="CO71" s="43"/>
      <c r="CP71" s="43"/>
      <c r="CQ71" s="43"/>
      <c r="CR71" s="43"/>
      <c r="CS71" s="43"/>
      <c r="CT71" s="43"/>
      <c r="CU71" s="43"/>
      <c r="CV71" s="43"/>
      <c r="CW71" s="43"/>
      <c r="CX71" s="52"/>
      <c r="CY71" s="52"/>
      <c r="CZ71" s="52"/>
      <c r="DA71" s="52"/>
      <c r="DB71" s="52"/>
      <c r="DC71" s="52"/>
      <c r="DD71" s="52"/>
      <c r="DE71" s="52"/>
      <c r="DF71" s="52"/>
      <c r="DG71" s="52"/>
      <c r="DH71" s="52"/>
      <c r="DI71" s="52"/>
      <c r="DJ71" s="52"/>
      <c r="DK71" s="52"/>
      <c r="DL71" s="52"/>
      <c r="DM71" s="52"/>
      <c r="DN71" s="52"/>
      <c r="DO71" s="52"/>
      <c r="DP71" s="52"/>
      <c r="DQ71" s="52"/>
      <c r="DR71" s="43">
        <v>1</v>
      </c>
      <c r="DS71" s="43">
        <v>1</v>
      </c>
      <c r="DT71" s="43">
        <v>1</v>
      </c>
      <c r="DU71" s="43">
        <v>1</v>
      </c>
      <c r="DV71" s="43">
        <v>1</v>
      </c>
      <c r="DW71" s="43">
        <v>1</v>
      </c>
      <c r="DX71" s="43">
        <v>1</v>
      </c>
      <c r="DY71" s="43">
        <v>1</v>
      </c>
      <c r="DZ71" s="43">
        <v>1</v>
      </c>
      <c r="EA71" s="43">
        <v>1</v>
      </c>
      <c r="EB71" s="43">
        <v>1</v>
      </c>
      <c r="EC71" s="43">
        <v>1</v>
      </c>
      <c r="ED71" s="43">
        <v>1</v>
      </c>
      <c r="EE71" s="43">
        <v>1</v>
      </c>
      <c r="EF71" s="43">
        <v>1</v>
      </c>
      <c r="EG71" s="43">
        <v>1</v>
      </c>
      <c r="EH71" s="43">
        <v>1</v>
      </c>
      <c r="EI71" s="43">
        <v>1</v>
      </c>
      <c r="EJ71" s="43">
        <v>1</v>
      </c>
      <c r="EK71" s="43">
        <v>1</v>
      </c>
      <c r="EL71" s="50"/>
      <c r="EM71" s="50"/>
      <c r="EN71" s="50"/>
      <c r="EO71" s="50"/>
      <c r="EP71" s="50"/>
      <c r="EQ71" s="50"/>
      <c r="ER71" s="50"/>
      <c r="ES71" s="50"/>
      <c r="ET71" s="50"/>
      <c r="EU71" s="50"/>
      <c r="EV71" s="50"/>
      <c r="EW71" s="50"/>
      <c r="EX71" s="50"/>
      <c r="EY71" s="50"/>
      <c r="EZ71" s="50"/>
      <c r="FA71" s="50"/>
      <c r="FB71" s="50"/>
      <c r="FC71" s="50"/>
      <c r="FD71" s="50"/>
      <c r="FE71" s="50"/>
    </row>
    <row r="72" spans="1:161" x14ac:dyDescent="0.15">
      <c r="A72" s="46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52"/>
      <c r="W72" s="52"/>
      <c r="X72" s="52"/>
      <c r="Y72" s="52"/>
      <c r="Z72" s="52"/>
      <c r="AA72" s="52"/>
      <c r="AB72" s="52"/>
      <c r="AC72" s="52"/>
      <c r="AD72" s="52"/>
      <c r="AE72" s="52"/>
      <c r="AF72" s="52"/>
      <c r="AG72" s="52"/>
      <c r="AH72" s="52"/>
      <c r="AI72" s="52"/>
      <c r="AJ72" s="52"/>
      <c r="AK72" s="52"/>
      <c r="AL72" s="52"/>
      <c r="AM72" s="52"/>
      <c r="AN72" s="52"/>
      <c r="AO72" s="52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52"/>
      <c r="BK72" s="52"/>
      <c r="BL72" s="52"/>
      <c r="BM72" s="52"/>
      <c r="BN72" s="52"/>
      <c r="BO72" s="52"/>
      <c r="BP72" s="52"/>
      <c r="BQ72" s="52"/>
      <c r="BR72" s="52"/>
      <c r="BS72" s="52"/>
      <c r="BT72" s="52"/>
      <c r="BU72" s="52"/>
      <c r="BV72" s="52"/>
      <c r="BW72" s="52"/>
      <c r="BX72" s="52"/>
      <c r="BY72" s="52"/>
      <c r="BZ72" s="52"/>
      <c r="CA72" s="52"/>
      <c r="CB72" s="52"/>
      <c r="CC72" s="52"/>
      <c r="CD72" s="43"/>
      <c r="CE72" s="43"/>
      <c r="CF72" s="43"/>
      <c r="CG72" s="43"/>
      <c r="CH72" s="43"/>
      <c r="CI72" s="43"/>
      <c r="CJ72" s="43"/>
      <c r="CK72" s="43"/>
      <c r="CL72" s="43"/>
      <c r="CM72" s="43"/>
      <c r="CN72" s="43"/>
      <c r="CO72" s="43"/>
      <c r="CP72" s="43"/>
      <c r="CQ72" s="43"/>
      <c r="CR72" s="43"/>
      <c r="CS72" s="43"/>
      <c r="CT72" s="43"/>
      <c r="CU72" s="43"/>
      <c r="CV72" s="43"/>
      <c r="CW72" s="43"/>
      <c r="CX72" s="52"/>
      <c r="CY72" s="52"/>
      <c r="CZ72" s="52"/>
      <c r="DA72" s="52"/>
      <c r="DB72" s="52"/>
      <c r="DC72" s="52"/>
      <c r="DD72" s="52"/>
      <c r="DE72" s="52"/>
      <c r="DF72" s="52"/>
      <c r="DG72" s="52"/>
      <c r="DH72" s="52"/>
      <c r="DI72" s="52"/>
      <c r="DJ72" s="52"/>
      <c r="DK72" s="52"/>
      <c r="DL72" s="52"/>
      <c r="DM72" s="52"/>
      <c r="DN72" s="52"/>
      <c r="DO72" s="52"/>
      <c r="DP72" s="52"/>
      <c r="DQ72" s="52"/>
      <c r="DR72" s="43">
        <v>1</v>
      </c>
      <c r="DS72" s="43">
        <v>1</v>
      </c>
      <c r="DT72" s="43">
        <v>1</v>
      </c>
      <c r="DU72" s="43">
        <v>1</v>
      </c>
      <c r="DV72" s="43">
        <v>1</v>
      </c>
      <c r="DW72" s="43">
        <v>1</v>
      </c>
      <c r="DX72" s="43">
        <v>1</v>
      </c>
      <c r="DY72" s="43">
        <v>1</v>
      </c>
      <c r="DZ72" s="43">
        <v>1</v>
      </c>
      <c r="EA72" s="43">
        <v>1</v>
      </c>
      <c r="EB72" s="43">
        <v>1</v>
      </c>
      <c r="EC72" s="43">
        <v>1</v>
      </c>
      <c r="ED72" s="43">
        <v>1</v>
      </c>
      <c r="EE72" s="43">
        <v>1</v>
      </c>
      <c r="EF72" s="43">
        <v>1</v>
      </c>
      <c r="EG72" s="43">
        <v>1</v>
      </c>
      <c r="EH72" s="43">
        <v>1</v>
      </c>
      <c r="EI72" s="43">
        <v>1</v>
      </c>
      <c r="EJ72" s="43">
        <v>1</v>
      </c>
      <c r="EK72" s="43">
        <v>1</v>
      </c>
      <c r="EL72" s="50"/>
      <c r="EM72" s="50"/>
      <c r="EN72" s="50"/>
      <c r="EO72" s="50"/>
      <c r="EP72" s="50"/>
      <c r="EQ72" s="50"/>
      <c r="ER72" s="50"/>
      <c r="ES72" s="50"/>
      <c r="ET72" s="50"/>
      <c r="EU72" s="50"/>
      <c r="EV72" s="50"/>
      <c r="EW72" s="50"/>
      <c r="EX72" s="50"/>
      <c r="EY72" s="50"/>
      <c r="EZ72" s="50"/>
      <c r="FA72" s="50"/>
      <c r="FB72" s="50"/>
      <c r="FC72" s="50"/>
      <c r="FD72" s="50"/>
      <c r="FE72" s="50"/>
    </row>
    <row r="73" spans="1:161" x14ac:dyDescent="0.15">
      <c r="A73" s="46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52"/>
      <c r="W73" s="52"/>
      <c r="X73" s="52"/>
      <c r="Y73" s="52"/>
      <c r="Z73" s="52"/>
      <c r="AA73" s="52"/>
      <c r="AB73" s="52"/>
      <c r="AC73" s="52"/>
      <c r="AD73" s="52"/>
      <c r="AE73" s="52"/>
      <c r="AF73" s="52"/>
      <c r="AG73" s="52"/>
      <c r="AH73" s="52"/>
      <c r="AI73" s="52"/>
      <c r="AJ73" s="52"/>
      <c r="AK73" s="52"/>
      <c r="AL73" s="52"/>
      <c r="AM73" s="52"/>
      <c r="AN73" s="52"/>
      <c r="AO73" s="52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52"/>
      <c r="CC73" s="52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43"/>
      <c r="CX73" s="52"/>
      <c r="CY73" s="52"/>
      <c r="CZ73" s="52"/>
      <c r="DA73" s="52"/>
      <c r="DB73" s="52"/>
      <c r="DC73" s="52"/>
      <c r="DD73" s="52"/>
      <c r="DE73" s="52"/>
      <c r="DF73" s="52"/>
      <c r="DG73" s="52"/>
      <c r="DH73" s="52"/>
      <c r="DI73" s="52"/>
      <c r="DJ73" s="52"/>
      <c r="DK73" s="52"/>
      <c r="DL73" s="52"/>
      <c r="DM73" s="52"/>
      <c r="DN73" s="52"/>
      <c r="DO73" s="52"/>
      <c r="DP73" s="52"/>
      <c r="DQ73" s="52"/>
      <c r="DR73" s="43">
        <v>1</v>
      </c>
      <c r="DS73" s="43">
        <v>1</v>
      </c>
      <c r="DT73" s="43">
        <v>1</v>
      </c>
      <c r="DU73" s="43">
        <v>1</v>
      </c>
      <c r="DV73" s="43">
        <v>1</v>
      </c>
      <c r="DW73" s="43">
        <v>1</v>
      </c>
      <c r="DX73" s="43">
        <v>1</v>
      </c>
      <c r="DY73" s="43">
        <v>1</v>
      </c>
      <c r="DZ73" s="43">
        <v>1</v>
      </c>
      <c r="EA73" s="43">
        <v>1</v>
      </c>
      <c r="EB73" s="43">
        <v>1</v>
      </c>
      <c r="EC73" s="43">
        <v>1</v>
      </c>
      <c r="ED73" s="43">
        <v>1</v>
      </c>
      <c r="EE73" s="43">
        <v>1</v>
      </c>
      <c r="EF73" s="43">
        <v>1</v>
      </c>
      <c r="EG73" s="43">
        <v>1</v>
      </c>
      <c r="EH73" s="43">
        <v>1</v>
      </c>
      <c r="EI73" s="43">
        <v>1</v>
      </c>
      <c r="EJ73" s="43">
        <v>1</v>
      </c>
      <c r="EK73" s="43">
        <v>1</v>
      </c>
      <c r="EL73" s="50"/>
      <c r="EM73" s="50"/>
      <c r="EN73" s="50"/>
      <c r="EO73" s="50"/>
      <c r="EP73" s="50"/>
      <c r="EQ73" s="50"/>
      <c r="ER73" s="50"/>
      <c r="ES73" s="50"/>
      <c r="ET73" s="50"/>
      <c r="EU73" s="50"/>
      <c r="EV73" s="50"/>
      <c r="EW73" s="50"/>
      <c r="EX73" s="50"/>
      <c r="EY73" s="50"/>
      <c r="EZ73" s="50"/>
      <c r="FA73" s="50"/>
      <c r="FB73" s="50"/>
      <c r="FC73" s="50"/>
      <c r="FD73" s="50"/>
      <c r="FE73" s="50"/>
    </row>
    <row r="74" spans="1:161" x14ac:dyDescent="0.15">
      <c r="A74" s="46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52"/>
      <c r="W74" s="52"/>
      <c r="X74" s="52"/>
      <c r="Y74" s="52"/>
      <c r="Z74" s="52"/>
      <c r="AA74" s="52"/>
      <c r="AB74" s="52"/>
      <c r="AC74" s="52"/>
      <c r="AD74" s="52"/>
      <c r="AE74" s="52"/>
      <c r="AF74" s="52"/>
      <c r="AG74" s="52"/>
      <c r="AH74" s="52"/>
      <c r="AI74" s="52"/>
      <c r="AJ74" s="52"/>
      <c r="AK74" s="52"/>
      <c r="AL74" s="52"/>
      <c r="AM74" s="52"/>
      <c r="AN74" s="52"/>
      <c r="AO74" s="52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52"/>
      <c r="BK74" s="52"/>
      <c r="BL74" s="52"/>
      <c r="BM74" s="52"/>
      <c r="BN74" s="52"/>
      <c r="BO74" s="52"/>
      <c r="BP74" s="52"/>
      <c r="BQ74" s="52"/>
      <c r="BR74" s="52"/>
      <c r="BS74" s="52"/>
      <c r="BT74" s="52"/>
      <c r="BU74" s="52"/>
      <c r="BV74" s="52"/>
      <c r="BW74" s="52"/>
      <c r="BX74" s="52"/>
      <c r="BY74" s="52"/>
      <c r="BZ74" s="52"/>
      <c r="CA74" s="52"/>
      <c r="CB74" s="52"/>
      <c r="CC74" s="52"/>
      <c r="CD74" s="43"/>
      <c r="CE74" s="43"/>
      <c r="CF74" s="43"/>
      <c r="CG74" s="43"/>
      <c r="CH74" s="43"/>
      <c r="CI74" s="43"/>
      <c r="CJ74" s="43"/>
      <c r="CK74" s="43"/>
      <c r="CL74" s="43"/>
      <c r="CM74" s="43"/>
      <c r="CN74" s="43"/>
      <c r="CO74" s="43"/>
      <c r="CP74" s="43"/>
      <c r="CQ74" s="43"/>
      <c r="CR74" s="43"/>
      <c r="CS74" s="43"/>
      <c r="CT74" s="43"/>
      <c r="CU74" s="43"/>
      <c r="CV74" s="43"/>
      <c r="CW74" s="43"/>
      <c r="CX74" s="52"/>
      <c r="CY74" s="52"/>
      <c r="CZ74" s="52"/>
      <c r="DA74" s="52"/>
      <c r="DB74" s="52"/>
      <c r="DC74" s="52"/>
      <c r="DD74" s="52"/>
      <c r="DE74" s="52"/>
      <c r="DF74" s="52"/>
      <c r="DG74" s="52"/>
      <c r="DH74" s="52"/>
      <c r="DI74" s="52"/>
      <c r="DJ74" s="52"/>
      <c r="DK74" s="52"/>
      <c r="DL74" s="52"/>
      <c r="DM74" s="52"/>
      <c r="DN74" s="52"/>
      <c r="DO74" s="52"/>
      <c r="DP74" s="52"/>
      <c r="DQ74" s="52"/>
      <c r="DR74" s="43">
        <v>1</v>
      </c>
      <c r="DS74" s="43">
        <v>1</v>
      </c>
      <c r="DT74" s="43">
        <v>1</v>
      </c>
      <c r="DU74" s="43">
        <v>1</v>
      </c>
      <c r="DV74" s="43">
        <v>1</v>
      </c>
      <c r="DW74" s="43">
        <v>1</v>
      </c>
      <c r="DX74" s="43">
        <v>1</v>
      </c>
      <c r="DY74" s="43">
        <v>1</v>
      </c>
      <c r="DZ74" s="43">
        <v>1</v>
      </c>
      <c r="EA74" s="43">
        <v>1</v>
      </c>
      <c r="EB74" s="43">
        <v>1</v>
      </c>
      <c r="EC74" s="43">
        <v>1</v>
      </c>
      <c r="ED74" s="43">
        <v>1</v>
      </c>
      <c r="EE74" s="43">
        <v>1</v>
      </c>
      <c r="EF74" s="43">
        <v>1</v>
      </c>
      <c r="EG74" s="43">
        <v>1</v>
      </c>
      <c r="EH74" s="43">
        <v>1</v>
      </c>
      <c r="EI74" s="43">
        <v>1</v>
      </c>
      <c r="EJ74" s="43">
        <v>1</v>
      </c>
      <c r="EK74" s="43">
        <v>1</v>
      </c>
      <c r="EL74" s="50"/>
      <c r="EM74" s="50"/>
      <c r="EN74" s="50"/>
      <c r="EO74" s="50"/>
      <c r="EP74" s="50"/>
      <c r="EQ74" s="50"/>
      <c r="ER74" s="50"/>
      <c r="ES74" s="50"/>
      <c r="ET74" s="50"/>
      <c r="EU74" s="50"/>
      <c r="EV74" s="50"/>
      <c r="EW74" s="50"/>
      <c r="EX74" s="50"/>
      <c r="EY74" s="50"/>
      <c r="EZ74" s="50"/>
      <c r="FA74" s="50"/>
      <c r="FB74" s="50"/>
      <c r="FC74" s="50"/>
      <c r="FD74" s="50"/>
      <c r="FE74" s="50"/>
    </row>
    <row r="75" spans="1:161" x14ac:dyDescent="0.15">
      <c r="A75" s="46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  <c r="BX75" s="52"/>
      <c r="BY75" s="52"/>
      <c r="BZ75" s="52"/>
      <c r="CA75" s="52"/>
      <c r="CB75" s="52"/>
      <c r="CC75" s="52"/>
      <c r="CD75" s="43"/>
      <c r="CE75" s="43"/>
      <c r="CF75" s="43"/>
      <c r="CG75" s="43"/>
      <c r="CH75" s="43"/>
      <c r="CI75" s="43"/>
      <c r="CJ75" s="43"/>
      <c r="CK75" s="43"/>
      <c r="CL75" s="43"/>
      <c r="CM75" s="43"/>
      <c r="CN75" s="43"/>
      <c r="CO75" s="43"/>
      <c r="CP75" s="43"/>
      <c r="CQ75" s="43"/>
      <c r="CR75" s="43"/>
      <c r="CS75" s="43"/>
      <c r="CT75" s="43"/>
      <c r="CU75" s="43"/>
      <c r="CV75" s="43"/>
      <c r="CW75" s="43"/>
      <c r="CX75" s="52"/>
      <c r="CY75" s="52"/>
      <c r="CZ75" s="52"/>
      <c r="DA75" s="52"/>
      <c r="DB75" s="52"/>
      <c r="DC75" s="52"/>
      <c r="DD75" s="52"/>
      <c r="DE75" s="52"/>
      <c r="DF75" s="52"/>
      <c r="DG75" s="52"/>
      <c r="DH75" s="52"/>
      <c r="DI75" s="52"/>
      <c r="DJ75" s="52"/>
      <c r="DK75" s="52"/>
      <c r="DL75" s="52"/>
      <c r="DM75" s="52"/>
      <c r="DN75" s="52"/>
      <c r="DO75" s="52"/>
      <c r="DP75" s="52"/>
      <c r="DQ75" s="52"/>
      <c r="DR75" s="45">
        <v>1</v>
      </c>
      <c r="DS75" s="45">
        <v>1</v>
      </c>
      <c r="DT75" s="45">
        <v>1</v>
      </c>
      <c r="DU75" s="45">
        <v>1</v>
      </c>
      <c r="DV75" s="45">
        <v>1</v>
      </c>
      <c r="DW75" s="45">
        <v>1</v>
      </c>
      <c r="DX75" s="45">
        <v>1</v>
      </c>
      <c r="DY75" s="45">
        <v>1</v>
      </c>
      <c r="DZ75" s="45">
        <v>1</v>
      </c>
      <c r="EA75" s="45">
        <v>1</v>
      </c>
      <c r="EB75" s="45">
        <v>1</v>
      </c>
      <c r="EC75" s="45">
        <v>1</v>
      </c>
      <c r="ED75" s="45">
        <v>1</v>
      </c>
      <c r="EE75" s="45">
        <v>1</v>
      </c>
      <c r="EF75" s="45">
        <v>1</v>
      </c>
      <c r="EG75" s="45">
        <v>1</v>
      </c>
      <c r="EH75" s="45">
        <v>1</v>
      </c>
      <c r="EI75" s="45">
        <v>1</v>
      </c>
      <c r="EJ75" s="45">
        <v>1</v>
      </c>
      <c r="EK75" s="45">
        <v>1</v>
      </c>
      <c r="EL75" s="50"/>
      <c r="EM75" s="50"/>
      <c r="EN75" s="50"/>
      <c r="EO75" s="50"/>
      <c r="EP75" s="50"/>
      <c r="EQ75" s="50"/>
      <c r="ER75" s="50"/>
      <c r="ES75" s="50"/>
      <c r="ET75" s="50"/>
      <c r="EU75" s="50"/>
      <c r="EV75" s="50"/>
      <c r="EW75" s="50"/>
      <c r="EX75" s="50"/>
      <c r="EY75" s="50"/>
      <c r="EZ75" s="50"/>
      <c r="FA75" s="50"/>
      <c r="FB75" s="50"/>
      <c r="FC75" s="50"/>
      <c r="FD75" s="50"/>
      <c r="FE75" s="50"/>
    </row>
    <row r="76" spans="1:161" x14ac:dyDescent="0.15">
      <c r="A76" s="46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52"/>
      <c r="W76" s="52"/>
      <c r="X76" s="52"/>
      <c r="Y76" s="52"/>
      <c r="Z76" s="52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52"/>
      <c r="BK76" s="52"/>
      <c r="BL76" s="52"/>
      <c r="BM76" s="52"/>
      <c r="BN76" s="52"/>
      <c r="BO76" s="52"/>
      <c r="BP76" s="52"/>
      <c r="BQ76" s="52"/>
      <c r="BR76" s="52"/>
      <c r="BS76" s="52"/>
      <c r="BT76" s="52"/>
      <c r="BU76" s="52"/>
      <c r="BV76" s="52"/>
      <c r="BW76" s="52"/>
      <c r="BX76" s="52"/>
      <c r="BY76" s="52"/>
      <c r="BZ76" s="52"/>
      <c r="CA76" s="52"/>
      <c r="CB76" s="52"/>
      <c r="CC76" s="52"/>
      <c r="CD76" s="43"/>
      <c r="CE76" s="43"/>
      <c r="CF76" s="43"/>
      <c r="CG76" s="43"/>
      <c r="CH76" s="43"/>
      <c r="CI76" s="43"/>
      <c r="CJ76" s="43"/>
      <c r="CK76" s="43"/>
      <c r="CL76" s="43"/>
      <c r="CM76" s="43"/>
      <c r="CN76" s="43"/>
      <c r="CO76" s="43"/>
      <c r="CP76" s="43"/>
      <c r="CQ76" s="43"/>
      <c r="CR76" s="43"/>
      <c r="CS76" s="43"/>
      <c r="CT76" s="43"/>
      <c r="CU76" s="43"/>
      <c r="CV76" s="43"/>
      <c r="CW76" s="43"/>
      <c r="CX76" s="52"/>
      <c r="CY76" s="52"/>
      <c r="CZ76" s="52"/>
      <c r="DA76" s="52"/>
      <c r="DB76" s="52"/>
      <c r="DC76" s="52"/>
      <c r="DD76" s="52"/>
      <c r="DE76" s="52"/>
      <c r="DF76" s="52"/>
      <c r="DG76" s="52"/>
      <c r="DH76" s="52"/>
      <c r="DI76" s="52"/>
      <c r="DJ76" s="52"/>
      <c r="DK76" s="52"/>
      <c r="DL76" s="52"/>
      <c r="DM76" s="52"/>
      <c r="DN76" s="52"/>
      <c r="DO76" s="52"/>
      <c r="DP76" s="52"/>
      <c r="DQ76" s="52"/>
      <c r="DR76" s="43">
        <v>1</v>
      </c>
      <c r="DS76" s="43">
        <v>1</v>
      </c>
      <c r="DT76" s="43">
        <v>1</v>
      </c>
      <c r="DU76" s="43">
        <v>1</v>
      </c>
      <c r="DV76" s="43">
        <v>1</v>
      </c>
      <c r="DW76" s="43">
        <v>1</v>
      </c>
      <c r="DX76" s="43">
        <v>1</v>
      </c>
      <c r="DY76" s="43">
        <v>1</v>
      </c>
      <c r="DZ76" s="43">
        <v>1</v>
      </c>
      <c r="EA76" s="43">
        <v>1</v>
      </c>
      <c r="EB76" s="43">
        <v>1</v>
      </c>
      <c r="EC76" s="43">
        <v>1</v>
      </c>
      <c r="ED76" s="43">
        <v>1</v>
      </c>
      <c r="EE76" s="43">
        <v>1</v>
      </c>
      <c r="EF76" s="43">
        <v>1</v>
      </c>
      <c r="EG76" s="43">
        <v>1</v>
      </c>
      <c r="EH76" s="43">
        <v>1</v>
      </c>
      <c r="EI76" s="43">
        <v>1</v>
      </c>
      <c r="EJ76" s="43">
        <v>1</v>
      </c>
      <c r="EK76" s="43">
        <v>1</v>
      </c>
      <c r="EL76" s="50"/>
      <c r="EM76" s="50"/>
      <c r="EN76" s="50"/>
      <c r="EO76" s="50"/>
      <c r="EP76" s="50"/>
      <c r="EQ76" s="50"/>
      <c r="ER76" s="50"/>
      <c r="ES76" s="50"/>
      <c r="ET76" s="50"/>
      <c r="EU76" s="50"/>
      <c r="EV76" s="50"/>
      <c r="EW76" s="50"/>
      <c r="EX76" s="50"/>
      <c r="EY76" s="50"/>
      <c r="EZ76" s="50"/>
      <c r="FA76" s="50"/>
      <c r="FB76" s="50"/>
      <c r="FC76" s="50"/>
      <c r="FD76" s="50"/>
      <c r="FE76" s="50"/>
    </row>
    <row r="77" spans="1:161" x14ac:dyDescent="0.15">
      <c r="A77" s="46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  <c r="BX77" s="52"/>
      <c r="BY77" s="52"/>
      <c r="BZ77" s="52"/>
      <c r="CA77" s="52"/>
      <c r="CB77" s="52"/>
      <c r="CC77" s="52"/>
      <c r="CD77" s="43"/>
      <c r="CE77" s="43"/>
      <c r="CF77" s="43"/>
      <c r="CG77" s="43"/>
      <c r="CH77" s="43"/>
      <c r="CI77" s="43"/>
      <c r="CJ77" s="43"/>
      <c r="CK77" s="43"/>
      <c r="CL77" s="43"/>
      <c r="CM77" s="43"/>
      <c r="CN77" s="43"/>
      <c r="CO77" s="43"/>
      <c r="CP77" s="43"/>
      <c r="CQ77" s="43"/>
      <c r="CR77" s="43"/>
      <c r="CS77" s="43"/>
      <c r="CT77" s="43"/>
      <c r="CU77" s="43"/>
      <c r="CV77" s="43"/>
      <c r="CW77" s="43"/>
      <c r="CX77" s="52"/>
      <c r="CY77" s="52"/>
      <c r="CZ77" s="52"/>
      <c r="DA77" s="52"/>
      <c r="DB77" s="52"/>
      <c r="DC77" s="52"/>
      <c r="DD77" s="52"/>
      <c r="DE77" s="52"/>
      <c r="DF77" s="52"/>
      <c r="DG77" s="52"/>
      <c r="DH77" s="52"/>
      <c r="DI77" s="52"/>
      <c r="DJ77" s="52"/>
      <c r="DK77" s="52"/>
      <c r="DL77" s="52"/>
      <c r="DM77" s="52"/>
      <c r="DN77" s="52"/>
      <c r="DO77" s="52"/>
      <c r="DP77" s="52"/>
      <c r="DQ77" s="52"/>
      <c r="DR77" s="43">
        <v>1</v>
      </c>
      <c r="DS77" s="43">
        <v>1</v>
      </c>
      <c r="DT77" s="43">
        <v>1</v>
      </c>
      <c r="DU77" s="43">
        <v>1</v>
      </c>
      <c r="DV77" s="43">
        <v>1</v>
      </c>
      <c r="DW77" s="43">
        <v>1</v>
      </c>
      <c r="DX77" s="43">
        <v>1</v>
      </c>
      <c r="DY77" s="43">
        <v>1</v>
      </c>
      <c r="DZ77" s="43">
        <v>1</v>
      </c>
      <c r="EA77" s="43">
        <v>1</v>
      </c>
      <c r="EB77" s="43">
        <v>1</v>
      </c>
      <c r="EC77" s="43">
        <v>1</v>
      </c>
      <c r="ED77" s="43">
        <v>1</v>
      </c>
      <c r="EE77" s="43">
        <v>1</v>
      </c>
      <c r="EF77" s="43">
        <v>1</v>
      </c>
      <c r="EG77" s="43">
        <v>1</v>
      </c>
      <c r="EH77" s="43">
        <v>1</v>
      </c>
      <c r="EI77" s="43">
        <v>1</v>
      </c>
      <c r="EJ77" s="43">
        <v>1</v>
      </c>
      <c r="EK77" s="43">
        <v>1</v>
      </c>
      <c r="EL77" s="50"/>
      <c r="EM77" s="50"/>
      <c r="EN77" s="50"/>
      <c r="EO77" s="50"/>
      <c r="EP77" s="50"/>
      <c r="EQ77" s="50"/>
      <c r="ER77" s="50"/>
      <c r="ES77" s="50"/>
      <c r="ET77" s="50"/>
      <c r="EU77" s="50"/>
      <c r="EV77" s="50"/>
      <c r="EW77" s="50"/>
      <c r="EX77" s="50"/>
      <c r="EY77" s="50"/>
      <c r="EZ77" s="50"/>
      <c r="FA77" s="50"/>
      <c r="FB77" s="50"/>
      <c r="FC77" s="50"/>
      <c r="FD77" s="50"/>
      <c r="FE77" s="50"/>
    </row>
    <row r="78" spans="1:161" x14ac:dyDescent="0.15">
      <c r="A78" s="46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  <c r="BX78" s="52"/>
      <c r="BY78" s="52"/>
      <c r="BZ78" s="52"/>
      <c r="CA78" s="52"/>
      <c r="CB78" s="52"/>
      <c r="CC78" s="52"/>
      <c r="CD78" s="43"/>
      <c r="CE78" s="43"/>
      <c r="CF78" s="43"/>
      <c r="CG78" s="43"/>
      <c r="CH78" s="43"/>
      <c r="CI78" s="43"/>
      <c r="CJ78" s="43"/>
      <c r="CK78" s="43"/>
      <c r="CL78" s="43"/>
      <c r="CM78" s="43"/>
      <c r="CN78" s="43"/>
      <c r="CO78" s="43"/>
      <c r="CP78" s="43"/>
      <c r="CQ78" s="43"/>
      <c r="CR78" s="43"/>
      <c r="CS78" s="43"/>
      <c r="CT78" s="43"/>
      <c r="CU78" s="43"/>
      <c r="CV78" s="43"/>
      <c r="CW78" s="43"/>
      <c r="CX78" s="52"/>
      <c r="CY78" s="52"/>
      <c r="CZ78" s="52"/>
      <c r="DA78" s="52"/>
      <c r="DB78" s="52"/>
      <c r="DC78" s="52"/>
      <c r="DD78" s="52"/>
      <c r="DE78" s="52"/>
      <c r="DF78" s="52"/>
      <c r="DG78" s="52"/>
      <c r="DH78" s="52"/>
      <c r="DI78" s="52"/>
      <c r="DJ78" s="52"/>
      <c r="DK78" s="52"/>
      <c r="DL78" s="52"/>
      <c r="DM78" s="52"/>
      <c r="DN78" s="52"/>
      <c r="DO78" s="52"/>
      <c r="DP78" s="52"/>
      <c r="DQ78" s="52"/>
      <c r="DR78" s="43">
        <v>1</v>
      </c>
      <c r="DS78" s="43">
        <v>1</v>
      </c>
      <c r="DT78" s="43">
        <v>1</v>
      </c>
      <c r="DU78" s="43">
        <v>1</v>
      </c>
      <c r="DV78" s="43">
        <v>1</v>
      </c>
      <c r="DW78" s="43">
        <v>1</v>
      </c>
      <c r="DX78" s="43">
        <v>1</v>
      </c>
      <c r="DY78" s="43">
        <v>1</v>
      </c>
      <c r="DZ78" s="43">
        <v>1</v>
      </c>
      <c r="EA78" s="43">
        <v>1</v>
      </c>
      <c r="EB78" s="43">
        <v>1</v>
      </c>
      <c r="EC78" s="43">
        <v>1</v>
      </c>
      <c r="ED78" s="43">
        <v>1</v>
      </c>
      <c r="EE78" s="43">
        <v>1</v>
      </c>
      <c r="EF78" s="43">
        <v>1</v>
      </c>
      <c r="EG78" s="43">
        <v>1</v>
      </c>
      <c r="EH78" s="43">
        <v>1</v>
      </c>
      <c r="EI78" s="43">
        <v>1</v>
      </c>
      <c r="EJ78" s="43">
        <v>1</v>
      </c>
      <c r="EK78" s="43">
        <v>1</v>
      </c>
      <c r="EL78" s="50"/>
      <c r="EM78" s="50"/>
      <c r="EN78" s="50"/>
      <c r="EO78" s="50"/>
      <c r="EP78" s="50"/>
      <c r="EQ78" s="50"/>
      <c r="ER78" s="50"/>
      <c r="ES78" s="50"/>
      <c r="ET78" s="50"/>
      <c r="EU78" s="50"/>
      <c r="EV78" s="50"/>
      <c r="EW78" s="50"/>
      <c r="EX78" s="50"/>
      <c r="EY78" s="50"/>
      <c r="EZ78" s="50"/>
      <c r="FA78" s="50"/>
      <c r="FB78" s="50"/>
      <c r="FC78" s="50"/>
      <c r="FD78" s="50"/>
      <c r="FE78" s="50"/>
    </row>
    <row r="79" spans="1:161" x14ac:dyDescent="0.15">
      <c r="A79" s="46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52"/>
      <c r="W79" s="52"/>
      <c r="X79" s="52"/>
      <c r="Y79" s="52"/>
      <c r="Z79" s="52"/>
      <c r="AA79" s="52"/>
      <c r="AB79" s="52"/>
      <c r="AC79" s="52"/>
      <c r="AD79" s="52"/>
      <c r="AE79" s="52"/>
      <c r="AF79" s="52"/>
      <c r="AG79" s="52"/>
      <c r="AH79" s="52"/>
      <c r="AI79" s="52"/>
      <c r="AJ79" s="52"/>
      <c r="AK79" s="52"/>
      <c r="AL79" s="52"/>
      <c r="AM79" s="52"/>
      <c r="AN79" s="52"/>
      <c r="AO79" s="52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52"/>
      <c r="BK79" s="52"/>
      <c r="BL79" s="52"/>
      <c r="BM79" s="52"/>
      <c r="BN79" s="52"/>
      <c r="BO79" s="52"/>
      <c r="BP79" s="52"/>
      <c r="BQ79" s="52"/>
      <c r="BR79" s="52"/>
      <c r="BS79" s="52"/>
      <c r="BT79" s="52"/>
      <c r="BU79" s="52"/>
      <c r="BV79" s="52"/>
      <c r="BW79" s="52"/>
      <c r="BX79" s="52"/>
      <c r="BY79" s="52"/>
      <c r="BZ79" s="52"/>
      <c r="CA79" s="52"/>
      <c r="CB79" s="52"/>
      <c r="CC79" s="52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52"/>
      <c r="CY79" s="52"/>
      <c r="CZ79" s="52"/>
      <c r="DA79" s="52"/>
      <c r="DB79" s="52"/>
      <c r="DC79" s="52"/>
      <c r="DD79" s="52"/>
      <c r="DE79" s="52"/>
      <c r="DF79" s="52"/>
      <c r="DG79" s="52"/>
      <c r="DH79" s="52"/>
      <c r="DI79" s="52"/>
      <c r="DJ79" s="52"/>
      <c r="DK79" s="52"/>
      <c r="DL79" s="52"/>
      <c r="DM79" s="52"/>
      <c r="DN79" s="52"/>
      <c r="DO79" s="52"/>
      <c r="DP79" s="52"/>
      <c r="DQ79" s="52"/>
      <c r="DR79" s="43">
        <v>1</v>
      </c>
      <c r="DS79" s="43">
        <v>1</v>
      </c>
      <c r="DT79" s="43">
        <v>1</v>
      </c>
      <c r="DU79" s="43">
        <v>1</v>
      </c>
      <c r="DV79" s="43">
        <v>1</v>
      </c>
      <c r="DW79" s="43">
        <v>1</v>
      </c>
      <c r="DX79" s="43">
        <v>1</v>
      </c>
      <c r="DY79" s="43">
        <v>1</v>
      </c>
      <c r="DZ79" s="43">
        <v>1</v>
      </c>
      <c r="EA79" s="43">
        <v>1</v>
      </c>
      <c r="EB79" s="43">
        <v>1</v>
      </c>
      <c r="EC79" s="43">
        <v>1</v>
      </c>
      <c r="ED79" s="43">
        <v>1</v>
      </c>
      <c r="EE79" s="43">
        <v>1</v>
      </c>
      <c r="EF79" s="43">
        <v>1</v>
      </c>
      <c r="EG79" s="43">
        <v>1</v>
      </c>
      <c r="EH79" s="43">
        <v>1</v>
      </c>
      <c r="EI79" s="43">
        <v>1</v>
      </c>
      <c r="EJ79" s="43">
        <v>1</v>
      </c>
      <c r="EK79" s="43">
        <v>1</v>
      </c>
      <c r="EL79" s="50"/>
      <c r="EM79" s="50"/>
      <c r="EN79" s="50"/>
      <c r="EO79" s="50"/>
      <c r="EP79" s="50"/>
      <c r="EQ79" s="50"/>
      <c r="ER79" s="50"/>
      <c r="ES79" s="50"/>
      <c r="ET79" s="50"/>
      <c r="EU79" s="50"/>
      <c r="EV79" s="50"/>
      <c r="EW79" s="50"/>
      <c r="EX79" s="50"/>
      <c r="EY79" s="50"/>
      <c r="EZ79" s="50"/>
      <c r="FA79" s="50"/>
      <c r="FB79" s="50"/>
      <c r="FC79" s="50"/>
      <c r="FD79" s="50"/>
      <c r="FE79" s="50"/>
    </row>
    <row r="80" spans="1:161" x14ac:dyDescent="0.15">
      <c r="A80" s="46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52"/>
      <c r="W80" s="52"/>
      <c r="X80" s="52"/>
      <c r="Y80" s="52"/>
      <c r="Z80" s="52"/>
      <c r="AA80" s="52"/>
      <c r="AB80" s="52"/>
      <c r="AC80" s="52"/>
      <c r="AD80" s="52"/>
      <c r="AE80" s="52"/>
      <c r="AF80" s="52"/>
      <c r="AG80" s="52"/>
      <c r="AH80" s="52"/>
      <c r="AI80" s="52"/>
      <c r="AJ80" s="52"/>
      <c r="AK80" s="52"/>
      <c r="AL80" s="52"/>
      <c r="AM80" s="52"/>
      <c r="AN80" s="52"/>
      <c r="AO80" s="52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52"/>
      <c r="BK80" s="52"/>
      <c r="BL80" s="52"/>
      <c r="BM80" s="52"/>
      <c r="BN80" s="52"/>
      <c r="BO80" s="52"/>
      <c r="BP80" s="52"/>
      <c r="BQ80" s="52"/>
      <c r="BR80" s="52"/>
      <c r="BS80" s="52"/>
      <c r="BT80" s="52"/>
      <c r="BU80" s="52"/>
      <c r="BV80" s="52"/>
      <c r="BW80" s="52"/>
      <c r="BX80" s="52"/>
      <c r="BY80" s="52"/>
      <c r="BZ80" s="52"/>
      <c r="CA80" s="52"/>
      <c r="CB80" s="52"/>
      <c r="CC80" s="52"/>
      <c r="CD80" s="43"/>
      <c r="CE80" s="43"/>
      <c r="CF80" s="43"/>
      <c r="CG80" s="43"/>
      <c r="CH80" s="43"/>
      <c r="CI80" s="43"/>
      <c r="CJ80" s="43"/>
      <c r="CK80" s="43"/>
      <c r="CL80" s="43"/>
      <c r="CM80" s="43"/>
      <c r="CN80" s="43"/>
      <c r="CO80" s="43"/>
      <c r="CP80" s="43"/>
      <c r="CQ80" s="43"/>
      <c r="CR80" s="43"/>
      <c r="CS80" s="43"/>
      <c r="CT80" s="43"/>
      <c r="CU80" s="43"/>
      <c r="CV80" s="43"/>
      <c r="CW80" s="43"/>
      <c r="CX80" s="52"/>
      <c r="CY80" s="52"/>
      <c r="CZ80" s="52"/>
      <c r="DA80" s="52"/>
      <c r="DB80" s="52"/>
      <c r="DC80" s="52"/>
      <c r="DD80" s="52"/>
      <c r="DE80" s="52"/>
      <c r="DF80" s="52"/>
      <c r="DG80" s="52"/>
      <c r="DH80" s="52"/>
      <c r="DI80" s="52"/>
      <c r="DJ80" s="52"/>
      <c r="DK80" s="52"/>
      <c r="DL80" s="52"/>
      <c r="DM80" s="52"/>
      <c r="DN80" s="52"/>
      <c r="DO80" s="52"/>
      <c r="DP80" s="52"/>
      <c r="DQ80" s="52"/>
      <c r="DR80" s="43">
        <v>1</v>
      </c>
      <c r="DS80" s="43">
        <v>1</v>
      </c>
      <c r="DT80" s="43">
        <v>1</v>
      </c>
      <c r="DU80" s="43">
        <v>1</v>
      </c>
      <c r="DV80" s="43">
        <v>1</v>
      </c>
      <c r="DW80" s="43">
        <v>1</v>
      </c>
      <c r="DX80" s="43">
        <v>1</v>
      </c>
      <c r="DY80" s="43">
        <v>1</v>
      </c>
      <c r="DZ80" s="43">
        <v>1</v>
      </c>
      <c r="EA80" s="43">
        <v>1</v>
      </c>
      <c r="EB80" s="43">
        <v>1</v>
      </c>
      <c r="EC80" s="43">
        <v>1</v>
      </c>
      <c r="ED80" s="43">
        <v>1</v>
      </c>
      <c r="EE80" s="43">
        <v>1</v>
      </c>
      <c r="EF80" s="43">
        <v>1</v>
      </c>
      <c r="EG80" s="43">
        <v>1</v>
      </c>
      <c r="EH80" s="43">
        <v>1</v>
      </c>
      <c r="EI80" s="43">
        <v>1</v>
      </c>
      <c r="EJ80" s="43">
        <v>1</v>
      </c>
      <c r="EK80" s="43">
        <v>1</v>
      </c>
      <c r="EL80" s="50"/>
      <c r="EM80" s="50"/>
      <c r="EN80" s="50"/>
      <c r="EO80" s="50"/>
      <c r="EP80" s="50"/>
      <c r="EQ80" s="50"/>
      <c r="ER80" s="50"/>
      <c r="ES80" s="50"/>
      <c r="ET80" s="50"/>
      <c r="EU80" s="50"/>
      <c r="EV80" s="50"/>
      <c r="EW80" s="50"/>
      <c r="EX80" s="50"/>
      <c r="EY80" s="50"/>
      <c r="EZ80" s="50"/>
      <c r="FA80" s="50"/>
      <c r="FB80" s="50"/>
      <c r="FC80" s="50"/>
      <c r="FD80" s="50"/>
      <c r="FE80" s="50"/>
    </row>
    <row r="81" spans="1:161" x14ac:dyDescent="0.15">
      <c r="A81" s="46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52"/>
      <c r="W81" s="52"/>
      <c r="X81" s="52"/>
      <c r="Y81" s="52"/>
      <c r="Z81" s="52"/>
      <c r="AA81" s="52"/>
      <c r="AB81" s="52"/>
      <c r="AC81" s="52"/>
      <c r="AD81" s="52"/>
      <c r="AE81" s="52"/>
      <c r="AF81" s="52"/>
      <c r="AG81" s="52"/>
      <c r="AH81" s="52"/>
      <c r="AI81" s="52"/>
      <c r="AJ81" s="52"/>
      <c r="AK81" s="52"/>
      <c r="AL81" s="52"/>
      <c r="AM81" s="52"/>
      <c r="AN81" s="52"/>
      <c r="AO81" s="52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52"/>
      <c r="BK81" s="52"/>
      <c r="BL81" s="52"/>
      <c r="BM81" s="52"/>
      <c r="BN81" s="52"/>
      <c r="BO81" s="52"/>
      <c r="BP81" s="52"/>
      <c r="BQ81" s="52"/>
      <c r="BR81" s="52"/>
      <c r="BS81" s="52"/>
      <c r="BT81" s="52"/>
      <c r="BU81" s="52"/>
      <c r="BV81" s="52"/>
      <c r="BW81" s="52"/>
      <c r="BX81" s="52"/>
      <c r="BY81" s="52"/>
      <c r="BZ81" s="52"/>
      <c r="CA81" s="52"/>
      <c r="CB81" s="52"/>
      <c r="CC81" s="52"/>
      <c r="CD81" s="43"/>
      <c r="CE81" s="43"/>
      <c r="CF81" s="43"/>
      <c r="CG81" s="43"/>
      <c r="CH81" s="43"/>
      <c r="CI81" s="43"/>
      <c r="CJ81" s="43"/>
      <c r="CK81" s="43"/>
      <c r="CL81" s="43"/>
      <c r="CM81" s="43"/>
      <c r="CN81" s="43"/>
      <c r="CO81" s="43"/>
      <c r="CP81" s="43"/>
      <c r="CQ81" s="43"/>
      <c r="CR81" s="43"/>
      <c r="CS81" s="43"/>
      <c r="CT81" s="43"/>
      <c r="CU81" s="43"/>
      <c r="CV81" s="43"/>
      <c r="CW81" s="43"/>
      <c r="CX81" s="52"/>
      <c r="CY81" s="52"/>
      <c r="CZ81" s="52"/>
      <c r="DA81" s="52"/>
      <c r="DB81" s="52"/>
      <c r="DC81" s="52"/>
      <c r="DD81" s="52"/>
      <c r="DE81" s="52"/>
      <c r="DF81" s="52"/>
      <c r="DG81" s="52"/>
      <c r="DH81" s="52"/>
      <c r="DI81" s="52"/>
      <c r="DJ81" s="52"/>
      <c r="DK81" s="52"/>
      <c r="DL81" s="52"/>
      <c r="DM81" s="52"/>
      <c r="DN81" s="52"/>
      <c r="DO81" s="52"/>
      <c r="DP81" s="52"/>
      <c r="DQ81" s="52"/>
      <c r="DR81" s="43">
        <v>1</v>
      </c>
      <c r="DS81" s="43">
        <v>1</v>
      </c>
      <c r="DT81" s="43">
        <v>1</v>
      </c>
      <c r="DU81" s="43">
        <v>1</v>
      </c>
      <c r="DV81" s="43">
        <v>1</v>
      </c>
      <c r="DW81" s="43">
        <v>1</v>
      </c>
      <c r="DX81" s="43">
        <v>1</v>
      </c>
      <c r="DY81" s="43">
        <v>1</v>
      </c>
      <c r="DZ81" s="43">
        <v>1</v>
      </c>
      <c r="EA81" s="43">
        <v>1</v>
      </c>
      <c r="EB81" s="43">
        <v>1</v>
      </c>
      <c r="EC81" s="43">
        <v>1</v>
      </c>
      <c r="ED81" s="43">
        <v>1</v>
      </c>
      <c r="EE81" s="43">
        <v>1</v>
      </c>
      <c r="EF81" s="43">
        <v>1</v>
      </c>
      <c r="EG81" s="43">
        <v>1</v>
      </c>
      <c r="EH81" s="43">
        <v>1</v>
      </c>
      <c r="EI81" s="43">
        <v>1</v>
      </c>
      <c r="EJ81" s="43">
        <v>1</v>
      </c>
      <c r="EK81" s="43">
        <v>1</v>
      </c>
      <c r="EL81" s="50"/>
      <c r="EM81" s="50"/>
      <c r="EN81" s="50"/>
      <c r="EO81" s="50"/>
      <c r="EP81" s="50"/>
      <c r="EQ81" s="50"/>
      <c r="ER81" s="50"/>
      <c r="ES81" s="50"/>
      <c r="ET81" s="50"/>
      <c r="EU81" s="50"/>
      <c r="EV81" s="50"/>
      <c r="EW81" s="50"/>
      <c r="EX81" s="50"/>
      <c r="EY81" s="50"/>
      <c r="EZ81" s="50"/>
      <c r="FA81" s="50"/>
      <c r="FB81" s="50"/>
      <c r="FC81" s="50"/>
      <c r="FD81" s="50"/>
      <c r="FE81" s="50"/>
    </row>
    <row r="82" spans="1:161" x14ac:dyDescent="0.15">
      <c r="A82" s="46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  <c r="BX82" s="52"/>
      <c r="BY82" s="52"/>
      <c r="BZ82" s="52"/>
      <c r="CA82" s="52"/>
      <c r="CB82" s="52"/>
      <c r="CC82" s="52"/>
      <c r="CD82" s="43"/>
      <c r="CE82" s="43"/>
      <c r="CF82" s="43"/>
      <c r="CG82" s="43"/>
      <c r="CH82" s="43"/>
      <c r="CI82" s="43"/>
      <c r="CJ82" s="43"/>
      <c r="CK82" s="43"/>
      <c r="CL82" s="43"/>
      <c r="CM82" s="43"/>
      <c r="CN82" s="43"/>
      <c r="CO82" s="43"/>
      <c r="CP82" s="43"/>
      <c r="CQ82" s="43"/>
      <c r="CR82" s="43"/>
      <c r="CS82" s="43"/>
      <c r="CT82" s="43"/>
      <c r="CU82" s="43"/>
      <c r="CV82" s="43"/>
      <c r="CW82" s="43"/>
      <c r="CX82" s="52"/>
      <c r="CY82" s="52"/>
      <c r="CZ82" s="52"/>
      <c r="DA82" s="52"/>
      <c r="DB82" s="52"/>
      <c r="DC82" s="52"/>
      <c r="DD82" s="52"/>
      <c r="DE82" s="52"/>
      <c r="DF82" s="52"/>
      <c r="DG82" s="52"/>
      <c r="DH82" s="52"/>
      <c r="DI82" s="52"/>
      <c r="DJ82" s="52"/>
      <c r="DK82" s="52"/>
      <c r="DL82" s="52"/>
      <c r="DM82" s="52"/>
      <c r="DN82" s="52"/>
      <c r="DO82" s="52"/>
      <c r="DP82" s="52"/>
      <c r="DQ82" s="52"/>
      <c r="DR82" s="43">
        <v>1</v>
      </c>
      <c r="DS82" s="43">
        <v>1</v>
      </c>
      <c r="DT82" s="43">
        <v>1</v>
      </c>
      <c r="DU82" s="43">
        <v>1</v>
      </c>
      <c r="DV82" s="43">
        <v>1</v>
      </c>
      <c r="DW82" s="43">
        <v>1</v>
      </c>
      <c r="DX82" s="43">
        <v>1</v>
      </c>
      <c r="DY82" s="43">
        <v>1</v>
      </c>
      <c r="DZ82" s="43">
        <v>1</v>
      </c>
      <c r="EA82" s="43">
        <v>1</v>
      </c>
      <c r="EB82" s="43">
        <v>1</v>
      </c>
      <c r="EC82" s="43">
        <v>1</v>
      </c>
      <c r="ED82" s="43">
        <v>1</v>
      </c>
      <c r="EE82" s="43">
        <v>1</v>
      </c>
      <c r="EF82" s="43">
        <v>1</v>
      </c>
      <c r="EG82" s="43">
        <v>1</v>
      </c>
      <c r="EH82" s="43">
        <v>1</v>
      </c>
      <c r="EI82" s="43">
        <v>1</v>
      </c>
      <c r="EJ82" s="43">
        <v>1</v>
      </c>
      <c r="EK82" s="43">
        <v>1</v>
      </c>
      <c r="EL82" s="50"/>
      <c r="EM82" s="50"/>
      <c r="EN82" s="50"/>
      <c r="EO82" s="50"/>
      <c r="EP82" s="50"/>
      <c r="EQ82" s="50"/>
      <c r="ER82" s="50"/>
      <c r="ES82" s="50"/>
      <c r="ET82" s="50"/>
      <c r="EU82" s="50"/>
      <c r="EV82" s="50"/>
      <c r="EW82" s="50"/>
      <c r="EX82" s="50"/>
      <c r="EY82" s="50"/>
      <c r="EZ82" s="50"/>
      <c r="FA82" s="50"/>
      <c r="FB82" s="50"/>
      <c r="FC82" s="50"/>
      <c r="FD82" s="50"/>
      <c r="FE82" s="50"/>
    </row>
    <row r="83" spans="1:161" x14ac:dyDescent="0.15">
      <c r="A83" s="46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52"/>
      <c r="W83" s="52"/>
      <c r="X83" s="52"/>
      <c r="Y83" s="52"/>
      <c r="Z83" s="52"/>
      <c r="AA83" s="52"/>
      <c r="AB83" s="52"/>
      <c r="AC83" s="52"/>
      <c r="AD83" s="52"/>
      <c r="AE83" s="52"/>
      <c r="AF83" s="52"/>
      <c r="AG83" s="52"/>
      <c r="AH83" s="52"/>
      <c r="AI83" s="52"/>
      <c r="AJ83" s="52"/>
      <c r="AK83" s="52"/>
      <c r="AL83" s="52"/>
      <c r="AM83" s="52"/>
      <c r="AN83" s="52"/>
      <c r="AO83" s="52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52"/>
      <c r="BK83" s="52"/>
      <c r="BL83" s="52"/>
      <c r="BM83" s="52"/>
      <c r="BN83" s="52"/>
      <c r="BO83" s="52"/>
      <c r="BP83" s="52"/>
      <c r="BQ83" s="52"/>
      <c r="BR83" s="52"/>
      <c r="BS83" s="52"/>
      <c r="BT83" s="52"/>
      <c r="BU83" s="52"/>
      <c r="BV83" s="52"/>
      <c r="BW83" s="52"/>
      <c r="BX83" s="52"/>
      <c r="BY83" s="52"/>
      <c r="BZ83" s="52"/>
      <c r="CA83" s="52"/>
      <c r="CB83" s="52"/>
      <c r="CC83" s="52"/>
      <c r="CD83" s="43"/>
      <c r="CE83" s="43"/>
      <c r="CF83" s="43"/>
      <c r="CG83" s="43"/>
      <c r="CH83" s="43"/>
      <c r="CI83" s="43"/>
      <c r="CJ83" s="43"/>
      <c r="CK83" s="43"/>
      <c r="CL83" s="43"/>
      <c r="CM83" s="43"/>
      <c r="CN83" s="43"/>
      <c r="CO83" s="43"/>
      <c r="CP83" s="43"/>
      <c r="CQ83" s="43"/>
      <c r="CR83" s="43"/>
      <c r="CS83" s="43"/>
      <c r="CT83" s="43"/>
      <c r="CU83" s="43"/>
      <c r="CV83" s="43"/>
      <c r="CW83" s="43"/>
      <c r="CX83" s="52"/>
      <c r="CY83" s="52"/>
      <c r="CZ83" s="52"/>
      <c r="DA83" s="52"/>
      <c r="DB83" s="52"/>
      <c r="DC83" s="52"/>
      <c r="DD83" s="52"/>
      <c r="DE83" s="52"/>
      <c r="DF83" s="52"/>
      <c r="DG83" s="52"/>
      <c r="DH83" s="52"/>
      <c r="DI83" s="52"/>
      <c r="DJ83" s="52"/>
      <c r="DK83" s="52"/>
      <c r="DL83" s="52"/>
      <c r="DM83" s="52"/>
      <c r="DN83" s="52"/>
      <c r="DO83" s="52"/>
      <c r="DP83" s="52"/>
      <c r="DQ83" s="52"/>
      <c r="DR83" s="43">
        <v>1</v>
      </c>
      <c r="DS83" s="43">
        <v>1</v>
      </c>
      <c r="DT83" s="43">
        <v>1</v>
      </c>
      <c r="DU83" s="43">
        <v>1</v>
      </c>
      <c r="DV83" s="43">
        <v>1</v>
      </c>
      <c r="DW83" s="43">
        <v>1</v>
      </c>
      <c r="DX83" s="43">
        <v>1</v>
      </c>
      <c r="DY83" s="43">
        <v>1</v>
      </c>
      <c r="DZ83" s="43">
        <v>1</v>
      </c>
      <c r="EA83" s="43">
        <v>1</v>
      </c>
      <c r="EB83" s="43">
        <v>1</v>
      </c>
      <c r="EC83" s="43">
        <v>1</v>
      </c>
      <c r="ED83" s="43">
        <v>1</v>
      </c>
      <c r="EE83" s="43">
        <v>1</v>
      </c>
      <c r="EF83" s="43">
        <v>1</v>
      </c>
      <c r="EG83" s="43">
        <v>1</v>
      </c>
      <c r="EH83" s="43">
        <v>1</v>
      </c>
      <c r="EI83" s="43">
        <v>1</v>
      </c>
      <c r="EJ83" s="43">
        <v>1</v>
      </c>
      <c r="EK83" s="43">
        <v>1</v>
      </c>
      <c r="EL83" s="50"/>
      <c r="EM83" s="50"/>
      <c r="EN83" s="50"/>
      <c r="EO83" s="50"/>
      <c r="EP83" s="50"/>
      <c r="EQ83" s="50"/>
      <c r="ER83" s="50"/>
      <c r="ES83" s="50"/>
      <c r="ET83" s="50"/>
      <c r="EU83" s="50"/>
      <c r="EV83" s="50"/>
      <c r="EW83" s="50"/>
      <c r="EX83" s="50"/>
      <c r="EY83" s="50"/>
      <c r="EZ83" s="50"/>
      <c r="FA83" s="50"/>
      <c r="FB83" s="50"/>
      <c r="FC83" s="50"/>
      <c r="FD83" s="50"/>
      <c r="FE83" s="50"/>
    </row>
    <row r="84" spans="1:161" x14ac:dyDescent="0.15">
      <c r="A84" s="46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52"/>
      <c r="W84" s="52"/>
      <c r="X84" s="52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52"/>
      <c r="BK84" s="52"/>
      <c r="BL84" s="52"/>
      <c r="BM84" s="52"/>
      <c r="BN84" s="52"/>
      <c r="BO84" s="52"/>
      <c r="BP84" s="52"/>
      <c r="BQ84" s="52"/>
      <c r="BR84" s="52"/>
      <c r="BS84" s="52"/>
      <c r="BT84" s="52"/>
      <c r="BU84" s="52"/>
      <c r="BV84" s="52"/>
      <c r="BW84" s="52"/>
      <c r="BX84" s="52"/>
      <c r="BY84" s="52"/>
      <c r="BZ84" s="52"/>
      <c r="CA84" s="52"/>
      <c r="CB84" s="52"/>
      <c r="CC84" s="52"/>
      <c r="CD84" s="43"/>
      <c r="CE84" s="43"/>
      <c r="CF84" s="43"/>
      <c r="CG84" s="43"/>
      <c r="CH84" s="43"/>
      <c r="CI84" s="43"/>
      <c r="CJ84" s="43"/>
      <c r="CK84" s="43"/>
      <c r="CL84" s="43"/>
      <c r="CM84" s="43"/>
      <c r="CN84" s="43"/>
      <c r="CO84" s="43"/>
      <c r="CP84" s="43"/>
      <c r="CQ84" s="43"/>
      <c r="CR84" s="43"/>
      <c r="CS84" s="43"/>
      <c r="CT84" s="43"/>
      <c r="CU84" s="43"/>
      <c r="CV84" s="43"/>
      <c r="CW84" s="43"/>
      <c r="CX84" s="52"/>
      <c r="CY84" s="52"/>
      <c r="CZ84" s="52"/>
      <c r="DA84" s="52"/>
      <c r="DB84" s="52"/>
      <c r="DC84" s="52"/>
      <c r="DD84" s="52"/>
      <c r="DE84" s="52"/>
      <c r="DF84" s="52"/>
      <c r="DG84" s="52"/>
      <c r="DH84" s="52"/>
      <c r="DI84" s="52"/>
      <c r="DJ84" s="52"/>
      <c r="DK84" s="52"/>
      <c r="DL84" s="52"/>
      <c r="DM84" s="52"/>
      <c r="DN84" s="52"/>
      <c r="DO84" s="52"/>
      <c r="DP84" s="52"/>
      <c r="DQ84" s="52"/>
      <c r="DR84" s="43">
        <v>1</v>
      </c>
      <c r="DS84" s="43">
        <v>1</v>
      </c>
      <c r="DT84" s="43">
        <v>1</v>
      </c>
      <c r="DU84" s="43">
        <v>1</v>
      </c>
      <c r="DV84" s="43">
        <v>1</v>
      </c>
      <c r="DW84" s="43">
        <v>1</v>
      </c>
      <c r="DX84" s="43">
        <v>1</v>
      </c>
      <c r="DY84" s="43">
        <v>1</v>
      </c>
      <c r="DZ84" s="43">
        <v>1</v>
      </c>
      <c r="EA84" s="43">
        <v>1</v>
      </c>
      <c r="EB84" s="43">
        <v>1</v>
      </c>
      <c r="EC84" s="43">
        <v>1</v>
      </c>
      <c r="ED84" s="43">
        <v>1</v>
      </c>
      <c r="EE84" s="43">
        <v>1</v>
      </c>
      <c r="EF84" s="43">
        <v>1</v>
      </c>
      <c r="EG84" s="43">
        <v>1</v>
      </c>
      <c r="EH84" s="43">
        <v>1</v>
      </c>
      <c r="EI84" s="43">
        <v>1</v>
      </c>
      <c r="EJ84" s="43">
        <v>1</v>
      </c>
      <c r="EK84" s="43">
        <v>1</v>
      </c>
      <c r="EL84" s="50"/>
      <c r="EM84" s="50"/>
      <c r="EN84" s="50"/>
      <c r="EO84" s="50"/>
      <c r="EP84" s="50"/>
      <c r="EQ84" s="50"/>
      <c r="ER84" s="50"/>
      <c r="ES84" s="50"/>
      <c r="ET84" s="50"/>
      <c r="EU84" s="50"/>
      <c r="EV84" s="50"/>
      <c r="EW84" s="50"/>
      <c r="EX84" s="50"/>
      <c r="EY84" s="50"/>
      <c r="EZ84" s="50"/>
      <c r="FA84" s="50"/>
      <c r="FB84" s="50"/>
      <c r="FC84" s="50"/>
      <c r="FD84" s="50"/>
      <c r="FE84" s="50"/>
    </row>
    <row r="85" spans="1:161" x14ac:dyDescent="0.15">
      <c r="A85" s="46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52"/>
      <c r="W85" s="52"/>
      <c r="X85" s="52"/>
      <c r="Y85" s="52"/>
      <c r="Z85" s="52"/>
      <c r="AA85" s="52"/>
      <c r="AB85" s="52"/>
      <c r="AC85" s="52"/>
      <c r="AD85" s="52"/>
      <c r="AE85" s="52"/>
      <c r="AF85" s="52"/>
      <c r="AG85" s="52"/>
      <c r="AH85" s="52"/>
      <c r="AI85" s="52"/>
      <c r="AJ85" s="52"/>
      <c r="AK85" s="52"/>
      <c r="AL85" s="52"/>
      <c r="AM85" s="52"/>
      <c r="AN85" s="52"/>
      <c r="AO85" s="52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52"/>
      <c r="BK85" s="52"/>
      <c r="BL85" s="52"/>
      <c r="BM85" s="52"/>
      <c r="BN85" s="52"/>
      <c r="BO85" s="52"/>
      <c r="BP85" s="52"/>
      <c r="BQ85" s="52"/>
      <c r="BR85" s="52"/>
      <c r="BS85" s="52"/>
      <c r="BT85" s="52"/>
      <c r="BU85" s="52"/>
      <c r="BV85" s="52"/>
      <c r="BW85" s="52"/>
      <c r="BX85" s="52"/>
      <c r="BY85" s="52"/>
      <c r="BZ85" s="52"/>
      <c r="CA85" s="52"/>
      <c r="CB85" s="52"/>
      <c r="CC85" s="52"/>
      <c r="CD85" s="43"/>
      <c r="CE85" s="43"/>
      <c r="CF85" s="43"/>
      <c r="CG85" s="43"/>
      <c r="CH85" s="43"/>
      <c r="CI85" s="43"/>
      <c r="CJ85" s="43"/>
      <c r="CK85" s="43"/>
      <c r="CL85" s="43"/>
      <c r="CM85" s="43"/>
      <c r="CN85" s="43"/>
      <c r="CO85" s="43"/>
      <c r="CP85" s="43"/>
      <c r="CQ85" s="43"/>
      <c r="CR85" s="43"/>
      <c r="CS85" s="43"/>
      <c r="CT85" s="43"/>
      <c r="CU85" s="43"/>
      <c r="CV85" s="43"/>
      <c r="CW85" s="43"/>
      <c r="CX85" s="52"/>
      <c r="CY85" s="52"/>
      <c r="CZ85" s="52"/>
      <c r="DA85" s="52"/>
      <c r="DB85" s="52"/>
      <c r="DC85" s="52"/>
      <c r="DD85" s="52"/>
      <c r="DE85" s="52"/>
      <c r="DF85" s="52"/>
      <c r="DG85" s="52"/>
      <c r="DH85" s="52"/>
      <c r="DI85" s="52"/>
      <c r="DJ85" s="52"/>
      <c r="DK85" s="52"/>
      <c r="DL85" s="52"/>
      <c r="DM85" s="52"/>
      <c r="DN85" s="52"/>
      <c r="DO85" s="52"/>
      <c r="DP85" s="52"/>
      <c r="DQ85" s="52"/>
      <c r="DR85" s="43">
        <v>1</v>
      </c>
      <c r="DS85" s="43">
        <v>1</v>
      </c>
      <c r="DT85" s="43">
        <v>1</v>
      </c>
      <c r="DU85" s="43">
        <v>1</v>
      </c>
      <c r="DV85" s="43">
        <v>1</v>
      </c>
      <c r="DW85" s="43">
        <v>1</v>
      </c>
      <c r="DX85" s="43">
        <v>1</v>
      </c>
      <c r="DY85" s="43">
        <v>1</v>
      </c>
      <c r="DZ85" s="43">
        <v>1</v>
      </c>
      <c r="EA85" s="43">
        <v>1</v>
      </c>
      <c r="EB85" s="43">
        <v>1</v>
      </c>
      <c r="EC85" s="43">
        <v>1</v>
      </c>
      <c r="ED85" s="43">
        <v>1</v>
      </c>
      <c r="EE85" s="43">
        <v>1</v>
      </c>
      <c r="EF85" s="43">
        <v>1</v>
      </c>
      <c r="EG85" s="43">
        <v>1</v>
      </c>
      <c r="EH85" s="43">
        <v>1</v>
      </c>
      <c r="EI85" s="43">
        <v>1</v>
      </c>
      <c r="EJ85" s="43">
        <v>1</v>
      </c>
      <c r="EK85" s="43">
        <v>1</v>
      </c>
      <c r="EL85" s="50"/>
      <c r="EM85" s="50"/>
      <c r="EN85" s="50"/>
      <c r="EO85" s="50"/>
      <c r="EP85" s="50"/>
      <c r="EQ85" s="50"/>
      <c r="ER85" s="50"/>
      <c r="ES85" s="50"/>
      <c r="ET85" s="50"/>
      <c r="EU85" s="50"/>
      <c r="EV85" s="50"/>
      <c r="EW85" s="50"/>
      <c r="EX85" s="50"/>
      <c r="EY85" s="50"/>
      <c r="EZ85" s="50"/>
      <c r="FA85" s="50"/>
      <c r="FB85" s="50"/>
      <c r="FC85" s="50"/>
      <c r="FD85" s="50"/>
      <c r="FE85" s="50"/>
    </row>
    <row r="86" spans="1:161" x14ac:dyDescent="0.15">
      <c r="A86" s="46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  <c r="BX86" s="52"/>
      <c r="BY86" s="52"/>
      <c r="BZ86" s="52"/>
      <c r="CA86" s="52"/>
      <c r="CB86" s="52"/>
      <c r="CC86" s="52"/>
      <c r="CD86" s="43"/>
      <c r="CE86" s="43"/>
      <c r="CF86" s="43"/>
      <c r="CG86" s="43"/>
      <c r="CH86" s="43"/>
      <c r="CI86" s="43"/>
      <c r="CJ86" s="43"/>
      <c r="CK86" s="43"/>
      <c r="CL86" s="43"/>
      <c r="CM86" s="43"/>
      <c r="CN86" s="43"/>
      <c r="CO86" s="43"/>
      <c r="CP86" s="43"/>
      <c r="CQ86" s="43"/>
      <c r="CR86" s="43"/>
      <c r="CS86" s="43"/>
      <c r="CT86" s="43"/>
      <c r="CU86" s="43"/>
      <c r="CV86" s="43"/>
      <c r="CW86" s="43"/>
      <c r="CX86" s="52"/>
      <c r="CY86" s="52"/>
      <c r="CZ86" s="52"/>
      <c r="DA86" s="52"/>
      <c r="DB86" s="52"/>
      <c r="DC86" s="52"/>
      <c r="DD86" s="52"/>
      <c r="DE86" s="52"/>
      <c r="DF86" s="52"/>
      <c r="DG86" s="52"/>
      <c r="DH86" s="52"/>
      <c r="DI86" s="52"/>
      <c r="DJ86" s="52"/>
      <c r="DK86" s="52"/>
      <c r="DL86" s="52"/>
      <c r="DM86" s="52"/>
      <c r="DN86" s="52"/>
      <c r="DO86" s="52"/>
      <c r="DP86" s="52"/>
      <c r="DQ86" s="52"/>
      <c r="DR86" s="43">
        <v>1</v>
      </c>
      <c r="DS86" s="43">
        <v>1</v>
      </c>
      <c r="DT86" s="43">
        <v>1</v>
      </c>
      <c r="DU86" s="43">
        <v>1</v>
      </c>
      <c r="DV86" s="43">
        <v>1</v>
      </c>
      <c r="DW86" s="43">
        <v>1</v>
      </c>
      <c r="DX86" s="43">
        <v>1</v>
      </c>
      <c r="DY86" s="43">
        <v>1</v>
      </c>
      <c r="DZ86" s="43">
        <v>1</v>
      </c>
      <c r="EA86" s="43">
        <v>1</v>
      </c>
      <c r="EB86" s="43">
        <v>1</v>
      </c>
      <c r="EC86" s="43">
        <v>1</v>
      </c>
      <c r="ED86" s="43">
        <v>1</v>
      </c>
      <c r="EE86" s="43">
        <v>1</v>
      </c>
      <c r="EF86" s="43">
        <v>1</v>
      </c>
      <c r="EG86" s="43">
        <v>1</v>
      </c>
      <c r="EH86" s="43">
        <v>1</v>
      </c>
      <c r="EI86" s="43">
        <v>1</v>
      </c>
      <c r="EJ86" s="43">
        <v>1</v>
      </c>
      <c r="EK86" s="43">
        <v>1</v>
      </c>
      <c r="EL86" s="50"/>
      <c r="EM86" s="50"/>
      <c r="EN86" s="50"/>
      <c r="EO86" s="50"/>
      <c r="EP86" s="50"/>
      <c r="EQ86" s="50"/>
      <c r="ER86" s="50"/>
      <c r="ES86" s="50"/>
      <c r="ET86" s="50"/>
      <c r="EU86" s="50"/>
      <c r="EV86" s="50"/>
      <c r="EW86" s="50"/>
      <c r="EX86" s="50"/>
      <c r="EY86" s="50"/>
      <c r="EZ86" s="50"/>
      <c r="FA86" s="50"/>
      <c r="FB86" s="50"/>
      <c r="FC86" s="50"/>
      <c r="FD86" s="50"/>
      <c r="FE86" s="50"/>
    </row>
    <row r="87" spans="1:161" x14ac:dyDescent="0.15">
      <c r="A87" s="46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52"/>
      <c r="W87" s="52"/>
      <c r="X87" s="52"/>
      <c r="Y87" s="52"/>
      <c r="Z87" s="52"/>
      <c r="AA87" s="52"/>
      <c r="AB87" s="52"/>
      <c r="AC87" s="52"/>
      <c r="AD87" s="52"/>
      <c r="AE87" s="52"/>
      <c r="AF87" s="52"/>
      <c r="AG87" s="52"/>
      <c r="AH87" s="52"/>
      <c r="AI87" s="52"/>
      <c r="AJ87" s="52"/>
      <c r="AK87" s="52"/>
      <c r="AL87" s="52"/>
      <c r="AM87" s="52"/>
      <c r="AN87" s="52"/>
      <c r="AO87" s="52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52"/>
      <c r="BK87" s="52"/>
      <c r="BL87" s="52"/>
      <c r="BM87" s="52"/>
      <c r="BN87" s="52"/>
      <c r="BO87" s="52"/>
      <c r="BP87" s="52"/>
      <c r="BQ87" s="52"/>
      <c r="BR87" s="52"/>
      <c r="BS87" s="52"/>
      <c r="BT87" s="52"/>
      <c r="BU87" s="52"/>
      <c r="BV87" s="52"/>
      <c r="BW87" s="52"/>
      <c r="BX87" s="52"/>
      <c r="BY87" s="52"/>
      <c r="BZ87" s="52"/>
      <c r="CA87" s="52"/>
      <c r="CB87" s="52"/>
      <c r="CC87" s="52"/>
      <c r="CD87" s="43"/>
      <c r="CE87" s="43"/>
      <c r="CF87" s="43"/>
      <c r="CG87" s="43"/>
      <c r="CH87" s="43"/>
      <c r="CI87" s="43"/>
      <c r="CJ87" s="43"/>
      <c r="CK87" s="43"/>
      <c r="CL87" s="43"/>
      <c r="CM87" s="43"/>
      <c r="CN87" s="43"/>
      <c r="CO87" s="43"/>
      <c r="CP87" s="43"/>
      <c r="CQ87" s="43"/>
      <c r="CR87" s="43"/>
      <c r="CS87" s="43"/>
      <c r="CT87" s="43"/>
      <c r="CU87" s="43"/>
      <c r="CV87" s="43"/>
      <c r="CW87" s="43"/>
      <c r="CX87" s="52"/>
      <c r="CY87" s="52"/>
      <c r="CZ87" s="52"/>
      <c r="DA87" s="52"/>
      <c r="DB87" s="52"/>
      <c r="DC87" s="52"/>
      <c r="DD87" s="52"/>
      <c r="DE87" s="52"/>
      <c r="DF87" s="52"/>
      <c r="DG87" s="52"/>
      <c r="DH87" s="52"/>
      <c r="DI87" s="52"/>
      <c r="DJ87" s="52"/>
      <c r="DK87" s="52"/>
      <c r="DL87" s="52"/>
      <c r="DM87" s="52"/>
      <c r="DN87" s="52"/>
      <c r="DO87" s="52"/>
      <c r="DP87" s="52"/>
      <c r="DQ87" s="52"/>
      <c r="DR87" s="45">
        <v>1</v>
      </c>
      <c r="DS87" s="45">
        <v>1</v>
      </c>
      <c r="DT87" s="45">
        <v>1</v>
      </c>
      <c r="DU87" s="45">
        <v>1</v>
      </c>
      <c r="DV87" s="45">
        <v>1</v>
      </c>
      <c r="DW87" s="45">
        <v>1</v>
      </c>
      <c r="DX87" s="45">
        <v>1</v>
      </c>
      <c r="DY87" s="45">
        <v>1</v>
      </c>
      <c r="DZ87" s="45">
        <v>1</v>
      </c>
      <c r="EA87" s="45">
        <v>1</v>
      </c>
      <c r="EB87" s="45">
        <v>1</v>
      </c>
      <c r="EC87" s="45">
        <v>1</v>
      </c>
      <c r="ED87" s="45">
        <v>1</v>
      </c>
      <c r="EE87" s="45">
        <v>1</v>
      </c>
      <c r="EF87" s="45">
        <v>1</v>
      </c>
      <c r="EG87" s="45">
        <v>1</v>
      </c>
      <c r="EH87" s="45">
        <v>1</v>
      </c>
      <c r="EI87" s="45">
        <v>1</v>
      </c>
      <c r="EJ87" s="45">
        <v>1</v>
      </c>
      <c r="EK87" s="45">
        <v>1</v>
      </c>
      <c r="EL87" s="50"/>
      <c r="EM87" s="50"/>
      <c r="EN87" s="50"/>
      <c r="EO87" s="50"/>
      <c r="EP87" s="50"/>
      <c r="EQ87" s="50"/>
      <c r="ER87" s="50"/>
      <c r="ES87" s="50"/>
      <c r="ET87" s="50"/>
      <c r="EU87" s="50"/>
      <c r="EV87" s="50"/>
      <c r="EW87" s="50"/>
      <c r="EX87" s="50"/>
      <c r="EY87" s="50"/>
      <c r="EZ87" s="50"/>
      <c r="FA87" s="50"/>
      <c r="FB87" s="50"/>
      <c r="FC87" s="50"/>
      <c r="FD87" s="50"/>
      <c r="FE87" s="50"/>
    </row>
    <row r="88" spans="1:161" x14ac:dyDescent="0.15">
      <c r="A88" s="46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52"/>
      <c r="BK88" s="52"/>
      <c r="BL88" s="52"/>
      <c r="BM88" s="52"/>
      <c r="BN88" s="52"/>
      <c r="BO88" s="52"/>
      <c r="BP88" s="52"/>
      <c r="BQ88" s="52"/>
      <c r="BR88" s="52"/>
      <c r="BS88" s="52"/>
      <c r="BT88" s="52"/>
      <c r="BU88" s="52"/>
      <c r="BV88" s="52"/>
      <c r="BW88" s="52"/>
      <c r="BX88" s="52"/>
      <c r="BY88" s="52"/>
      <c r="BZ88" s="52"/>
      <c r="CA88" s="52"/>
      <c r="CB88" s="52"/>
      <c r="CC88" s="52"/>
      <c r="CD88" s="43"/>
      <c r="CE88" s="43"/>
      <c r="CF88" s="43"/>
      <c r="CG88" s="43"/>
      <c r="CH88" s="43"/>
      <c r="CI88" s="43"/>
      <c r="CJ88" s="43"/>
      <c r="CK88" s="43"/>
      <c r="CL88" s="43"/>
      <c r="CM88" s="43"/>
      <c r="CN88" s="43"/>
      <c r="CO88" s="43"/>
      <c r="CP88" s="43"/>
      <c r="CQ88" s="43"/>
      <c r="CR88" s="43"/>
      <c r="CS88" s="43"/>
      <c r="CT88" s="43"/>
      <c r="CU88" s="43"/>
      <c r="CV88" s="43"/>
      <c r="CW88" s="43"/>
      <c r="CX88" s="52"/>
      <c r="CY88" s="52"/>
      <c r="CZ88" s="52"/>
      <c r="DA88" s="52"/>
      <c r="DB88" s="52"/>
      <c r="DC88" s="52"/>
      <c r="DD88" s="52"/>
      <c r="DE88" s="52"/>
      <c r="DF88" s="52"/>
      <c r="DG88" s="52"/>
      <c r="DH88" s="52"/>
      <c r="DI88" s="52"/>
      <c r="DJ88" s="52"/>
      <c r="DK88" s="52"/>
      <c r="DL88" s="52"/>
      <c r="DM88" s="52"/>
      <c r="DN88" s="52"/>
      <c r="DO88" s="52"/>
      <c r="DP88" s="52"/>
      <c r="DQ88" s="52"/>
      <c r="DR88" s="43">
        <v>1</v>
      </c>
      <c r="DS88" s="43">
        <v>1</v>
      </c>
      <c r="DT88" s="43">
        <v>1</v>
      </c>
      <c r="DU88" s="43">
        <v>1</v>
      </c>
      <c r="DV88" s="43">
        <v>1</v>
      </c>
      <c r="DW88" s="43">
        <v>1</v>
      </c>
      <c r="DX88" s="43">
        <v>1</v>
      </c>
      <c r="DY88" s="43">
        <v>1</v>
      </c>
      <c r="DZ88" s="43">
        <v>1</v>
      </c>
      <c r="EA88" s="43">
        <v>1</v>
      </c>
      <c r="EB88" s="43">
        <v>1</v>
      </c>
      <c r="EC88" s="43">
        <v>1</v>
      </c>
      <c r="ED88" s="43">
        <v>1</v>
      </c>
      <c r="EE88" s="43">
        <v>1</v>
      </c>
      <c r="EF88" s="43">
        <v>1</v>
      </c>
      <c r="EG88" s="43">
        <v>1</v>
      </c>
      <c r="EH88" s="43">
        <v>1</v>
      </c>
      <c r="EI88" s="43">
        <v>1</v>
      </c>
      <c r="EJ88" s="43">
        <v>1</v>
      </c>
      <c r="EK88" s="43">
        <v>1</v>
      </c>
      <c r="EL88" s="50"/>
      <c r="EM88" s="50"/>
      <c r="EN88" s="50"/>
      <c r="EO88" s="50"/>
      <c r="EP88" s="50"/>
      <c r="EQ88" s="50"/>
      <c r="ER88" s="50"/>
      <c r="ES88" s="50"/>
      <c r="ET88" s="50"/>
      <c r="EU88" s="50"/>
      <c r="EV88" s="50"/>
      <c r="EW88" s="50"/>
      <c r="EX88" s="50"/>
      <c r="EY88" s="50"/>
      <c r="EZ88" s="50"/>
      <c r="FA88" s="50"/>
      <c r="FB88" s="50"/>
      <c r="FC88" s="50"/>
      <c r="FD88" s="50"/>
      <c r="FE88" s="50"/>
    </row>
    <row r="89" spans="1:161" x14ac:dyDescent="0.15">
      <c r="A89" s="46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52"/>
      <c r="W89" s="52"/>
      <c r="X89" s="52"/>
      <c r="Y89" s="52"/>
      <c r="Z89" s="52"/>
      <c r="AA89" s="52"/>
      <c r="AB89" s="52"/>
      <c r="AC89" s="52"/>
      <c r="AD89" s="52"/>
      <c r="AE89" s="52"/>
      <c r="AF89" s="52"/>
      <c r="AG89" s="52"/>
      <c r="AH89" s="52"/>
      <c r="AI89" s="52"/>
      <c r="AJ89" s="52"/>
      <c r="AK89" s="52"/>
      <c r="AL89" s="52"/>
      <c r="AM89" s="52"/>
      <c r="AN89" s="52"/>
      <c r="AO89" s="52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52"/>
      <c r="BK89" s="52"/>
      <c r="BL89" s="52"/>
      <c r="BM89" s="52"/>
      <c r="BN89" s="52"/>
      <c r="BO89" s="52"/>
      <c r="BP89" s="52"/>
      <c r="BQ89" s="52"/>
      <c r="BR89" s="52"/>
      <c r="BS89" s="52"/>
      <c r="BT89" s="52"/>
      <c r="BU89" s="52"/>
      <c r="BV89" s="52"/>
      <c r="BW89" s="52"/>
      <c r="BX89" s="52"/>
      <c r="BY89" s="52"/>
      <c r="BZ89" s="52"/>
      <c r="CA89" s="52"/>
      <c r="CB89" s="52"/>
      <c r="CC89" s="52"/>
      <c r="CD89" s="43"/>
      <c r="CE89" s="43"/>
      <c r="CF89" s="43"/>
      <c r="CG89" s="43"/>
      <c r="CH89" s="43"/>
      <c r="CI89" s="43"/>
      <c r="CJ89" s="43"/>
      <c r="CK89" s="43"/>
      <c r="CL89" s="43"/>
      <c r="CM89" s="43"/>
      <c r="CN89" s="43"/>
      <c r="CO89" s="43"/>
      <c r="CP89" s="43"/>
      <c r="CQ89" s="43"/>
      <c r="CR89" s="43"/>
      <c r="CS89" s="43"/>
      <c r="CT89" s="43"/>
      <c r="CU89" s="43"/>
      <c r="CV89" s="43"/>
      <c r="CW89" s="43"/>
      <c r="CX89" s="52"/>
      <c r="CY89" s="52"/>
      <c r="CZ89" s="52"/>
      <c r="DA89" s="52"/>
      <c r="DB89" s="52"/>
      <c r="DC89" s="52"/>
      <c r="DD89" s="52"/>
      <c r="DE89" s="52"/>
      <c r="DF89" s="52"/>
      <c r="DG89" s="52"/>
      <c r="DH89" s="52"/>
      <c r="DI89" s="52"/>
      <c r="DJ89" s="52"/>
      <c r="DK89" s="52"/>
      <c r="DL89" s="52"/>
      <c r="DM89" s="52"/>
      <c r="DN89" s="52"/>
      <c r="DO89" s="52"/>
      <c r="DP89" s="52"/>
      <c r="DQ89" s="52"/>
      <c r="DR89" s="43">
        <v>1</v>
      </c>
      <c r="DS89" s="43">
        <v>1</v>
      </c>
      <c r="DT89" s="43">
        <v>1</v>
      </c>
      <c r="DU89" s="43">
        <v>1</v>
      </c>
      <c r="DV89" s="43">
        <v>1</v>
      </c>
      <c r="DW89" s="43">
        <v>1</v>
      </c>
      <c r="DX89" s="43">
        <v>1</v>
      </c>
      <c r="DY89" s="43">
        <v>1</v>
      </c>
      <c r="DZ89" s="43">
        <v>1</v>
      </c>
      <c r="EA89" s="43">
        <v>1</v>
      </c>
      <c r="EB89" s="43">
        <v>1</v>
      </c>
      <c r="EC89" s="43">
        <v>1</v>
      </c>
      <c r="ED89" s="43">
        <v>1</v>
      </c>
      <c r="EE89" s="43">
        <v>1</v>
      </c>
      <c r="EF89" s="43">
        <v>1</v>
      </c>
      <c r="EG89" s="43">
        <v>1</v>
      </c>
      <c r="EH89" s="43">
        <v>1</v>
      </c>
      <c r="EI89" s="43">
        <v>1</v>
      </c>
      <c r="EJ89" s="43">
        <v>1</v>
      </c>
      <c r="EK89" s="43">
        <v>1</v>
      </c>
      <c r="EL89" s="50"/>
      <c r="EM89" s="50"/>
      <c r="EN89" s="50"/>
      <c r="EO89" s="50"/>
      <c r="EP89" s="50"/>
      <c r="EQ89" s="50"/>
      <c r="ER89" s="50"/>
      <c r="ES89" s="50"/>
      <c r="ET89" s="50"/>
      <c r="EU89" s="50"/>
      <c r="EV89" s="50"/>
      <c r="EW89" s="50"/>
      <c r="EX89" s="50"/>
      <c r="EY89" s="50"/>
      <c r="EZ89" s="50"/>
      <c r="FA89" s="50"/>
      <c r="FB89" s="50"/>
      <c r="FC89" s="50"/>
      <c r="FD89" s="50"/>
      <c r="FE89" s="50"/>
    </row>
    <row r="90" spans="1:161" x14ac:dyDescent="0.15">
      <c r="A90" s="46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  <c r="BX90" s="52"/>
      <c r="BY90" s="52"/>
      <c r="BZ90" s="52"/>
      <c r="CA90" s="52"/>
      <c r="CB90" s="52"/>
      <c r="CC90" s="52"/>
      <c r="CD90" s="43"/>
      <c r="CE90" s="43"/>
      <c r="CF90" s="43"/>
      <c r="CG90" s="43"/>
      <c r="CH90" s="43"/>
      <c r="CI90" s="43"/>
      <c r="CJ90" s="43"/>
      <c r="CK90" s="43"/>
      <c r="CL90" s="43"/>
      <c r="CM90" s="43"/>
      <c r="CN90" s="43"/>
      <c r="CO90" s="43"/>
      <c r="CP90" s="43"/>
      <c r="CQ90" s="43"/>
      <c r="CR90" s="43"/>
      <c r="CS90" s="43"/>
      <c r="CT90" s="43"/>
      <c r="CU90" s="43"/>
      <c r="CV90" s="43"/>
      <c r="CW90" s="43"/>
      <c r="CX90" s="52"/>
      <c r="CY90" s="52"/>
      <c r="CZ90" s="52"/>
      <c r="DA90" s="52"/>
      <c r="DB90" s="52"/>
      <c r="DC90" s="52"/>
      <c r="DD90" s="52"/>
      <c r="DE90" s="52"/>
      <c r="DF90" s="52"/>
      <c r="DG90" s="52"/>
      <c r="DH90" s="52"/>
      <c r="DI90" s="52"/>
      <c r="DJ90" s="52"/>
      <c r="DK90" s="52"/>
      <c r="DL90" s="52"/>
      <c r="DM90" s="52"/>
      <c r="DN90" s="52"/>
      <c r="DO90" s="52"/>
      <c r="DP90" s="52"/>
      <c r="DQ90" s="52"/>
      <c r="DR90" s="43">
        <v>1</v>
      </c>
      <c r="DS90" s="43">
        <v>1</v>
      </c>
      <c r="DT90" s="43">
        <v>1</v>
      </c>
      <c r="DU90" s="43">
        <v>1</v>
      </c>
      <c r="DV90" s="43">
        <v>1</v>
      </c>
      <c r="DW90" s="43">
        <v>1</v>
      </c>
      <c r="DX90" s="43">
        <v>1</v>
      </c>
      <c r="DY90" s="43">
        <v>1</v>
      </c>
      <c r="DZ90" s="43">
        <v>1</v>
      </c>
      <c r="EA90" s="43">
        <v>1</v>
      </c>
      <c r="EB90" s="43">
        <v>1</v>
      </c>
      <c r="EC90" s="43">
        <v>1</v>
      </c>
      <c r="ED90" s="43">
        <v>1</v>
      </c>
      <c r="EE90" s="43">
        <v>1</v>
      </c>
      <c r="EF90" s="43">
        <v>1</v>
      </c>
      <c r="EG90" s="43">
        <v>1</v>
      </c>
      <c r="EH90" s="43">
        <v>1</v>
      </c>
      <c r="EI90" s="43">
        <v>1</v>
      </c>
      <c r="EJ90" s="43">
        <v>1</v>
      </c>
      <c r="EK90" s="43">
        <v>1</v>
      </c>
      <c r="EL90" s="50"/>
      <c r="EM90" s="50"/>
      <c r="EN90" s="50"/>
      <c r="EO90" s="50"/>
      <c r="EP90" s="50"/>
      <c r="EQ90" s="50"/>
      <c r="ER90" s="50"/>
      <c r="ES90" s="50"/>
      <c r="ET90" s="50"/>
      <c r="EU90" s="50"/>
      <c r="EV90" s="50"/>
      <c r="EW90" s="50"/>
      <c r="EX90" s="50"/>
      <c r="EY90" s="50"/>
      <c r="EZ90" s="50"/>
      <c r="FA90" s="50"/>
      <c r="FB90" s="50"/>
      <c r="FC90" s="50"/>
      <c r="FD90" s="50"/>
      <c r="FE90" s="50"/>
    </row>
    <row r="91" spans="1:161" x14ac:dyDescent="0.15">
      <c r="A91" s="46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  <c r="BX91" s="52"/>
      <c r="BY91" s="52"/>
      <c r="BZ91" s="52"/>
      <c r="CA91" s="52"/>
      <c r="CB91" s="52"/>
      <c r="CC91" s="52"/>
      <c r="CD91" s="43"/>
      <c r="CE91" s="43"/>
      <c r="CF91" s="43"/>
      <c r="CG91" s="43"/>
      <c r="CH91" s="43"/>
      <c r="CI91" s="43"/>
      <c r="CJ91" s="43"/>
      <c r="CK91" s="43"/>
      <c r="CL91" s="43"/>
      <c r="CM91" s="43"/>
      <c r="CN91" s="43"/>
      <c r="CO91" s="43"/>
      <c r="CP91" s="43"/>
      <c r="CQ91" s="43"/>
      <c r="CR91" s="43"/>
      <c r="CS91" s="43"/>
      <c r="CT91" s="43"/>
      <c r="CU91" s="43"/>
      <c r="CV91" s="43"/>
      <c r="CW91" s="43"/>
      <c r="CX91" s="52"/>
      <c r="CY91" s="52"/>
      <c r="CZ91" s="52"/>
      <c r="DA91" s="52"/>
      <c r="DB91" s="52"/>
      <c r="DC91" s="52"/>
      <c r="DD91" s="52"/>
      <c r="DE91" s="52"/>
      <c r="DF91" s="52"/>
      <c r="DG91" s="52"/>
      <c r="DH91" s="52"/>
      <c r="DI91" s="52"/>
      <c r="DJ91" s="52"/>
      <c r="DK91" s="52"/>
      <c r="DL91" s="52"/>
      <c r="DM91" s="52"/>
      <c r="DN91" s="52"/>
      <c r="DO91" s="52"/>
      <c r="DP91" s="52"/>
      <c r="DQ91" s="52"/>
      <c r="DR91" s="43">
        <v>1</v>
      </c>
      <c r="DS91" s="43">
        <v>1</v>
      </c>
      <c r="DT91" s="43">
        <v>1</v>
      </c>
      <c r="DU91" s="43">
        <v>1</v>
      </c>
      <c r="DV91" s="43">
        <v>1</v>
      </c>
      <c r="DW91" s="43">
        <v>1</v>
      </c>
      <c r="DX91" s="43">
        <v>1</v>
      </c>
      <c r="DY91" s="43">
        <v>1</v>
      </c>
      <c r="DZ91" s="43">
        <v>1</v>
      </c>
      <c r="EA91" s="43">
        <v>1</v>
      </c>
      <c r="EB91" s="43">
        <v>1</v>
      </c>
      <c r="EC91" s="43">
        <v>1</v>
      </c>
      <c r="ED91" s="43">
        <v>1</v>
      </c>
      <c r="EE91" s="43">
        <v>1</v>
      </c>
      <c r="EF91" s="43">
        <v>1</v>
      </c>
      <c r="EG91" s="43">
        <v>1</v>
      </c>
      <c r="EH91" s="43">
        <v>1</v>
      </c>
      <c r="EI91" s="43">
        <v>1</v>
      </c>
      <c r="EJ91" s="43">
        <v>1</v>
      </c>
      <c r="EK91" s="43">
        <v>1</v>
      </c>
      <c r="EL91" s="50"/>
      <c r="EM91" s="50"/>
      <c r="EN91" s="50"/>
      <c r="EO91" s="50"/>
      <c r="EP91" s="50"/>
      <c r="EQ91" s="50"/>
      <c r="ER91" s="50"/>
      <c r="ES91" s="50"/>
      <c r="ET91" s="50"/>
      <c r="EU91" s="50"/>
      <c r="EV91" s="50"/>
      <c r="EW91" s="50"/>
      <c r="EX91" s="50"/>
      <c r="EY91" s="50"/>
      <c r="EZ91" s="50"/>
      <c r="FA91" s="50"/>
      <c r="FB91" s="50"/>
      <c r="FC91" s="50"/>
      <c r="FD91" s="50"/>
      <c r="FE91" s="50"/>
    </row>
    <row r="92" spans="1:161" x14ac:dyDescent="0.15">
      <c r="A92" s="46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52"/>
      <c r="W92" s="52"/>
      <c r="X92" s="52"/>
      <c r="Y92" s="52"/>
      <c r="Z92" s="52"/>
      <c r="AA92" s="52"/>
      <c r="AB92" s="52"/>
      <c r="AC92" s="52"/>
      <c r="AD92" s="52"/>
      <c r="AE92" s="52"/>
      <c r="AF92" s="52"/>
      <c r="AG92" s="52"/>
      <c r="AH92" s="52"/>
      <c r="AI92" s="52"/>
      <c r="AJ92" s="52"/>
      <c r="AK92" s="52"/>
      <c r="AL92" s="52"/>
      <c r="AM92" s="52"/>
      <c r="AN92" s="52"/>
      <c r="AO92" s="52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52"/>
      <c r="BK92" s="52"/>
      <c r="BL92" s="52"/>
      <c r="BM92" s="52"/>
      <c r="BN92" s="52"/>
      <c r="BO92" s="52"/>
      <c r="BP92" s="52"/>
      <c r="BQ92" s="52"/>
      <c r="BR92" s="52"/>
      <c r="BS92" s="52"/>
      <c r="BT92" s="52"/>
      <c r="BU92" s="52"/>
      <c r="BV92" s="52"/>
      <c r="BW92" s="52"/>
      <c r="BX92" s="52"/>
      <c r="BY92" s="52"/>
      <c r="BZ92" s="52"/>
      <c r="CA92" s="52"/>
      <c r="CB92" s="52"/>
      <c r="CC92" s="52"/>
      <c r="CD92" s="43"/>
      <c r="CE92" s="43"/>
      <c r="CF92" s="43"/>
      <c r="CG92" s="43"/>
      <c r="CH92" s="43"/>
      <c r="CI92" s="43"/>
      <c r="CJ92" s="43"/>
      <c r="CK92" s="43"/>
      <c r="CL92" s="43"/>
      <c r="CM92" s="43"/>
      <c r="CN92" s="43"/>
      <c r="CO92" s="43"/>
      <c r="CP92" s="43"/>
      <c r="CQ92" s="43"/>
      <c r="CR92" s="43"/>
      <c r="CS92" s="43"/>
      <c r="CT92" s="43"/>
      <c r="CU92" s="43"/>
      <c r="CV92" s="43"/>
      <c r="CW92" s="43"/>
      <c r="CX92" s="52"/>
      <c r="CY92" s="52"/>
      <c r="CZ92" s="52"/>
      <c r="DA92" s="52"/>
      <c r="DB92" s="52"/>
      <c r="DC92" s="52"/>
      <c r="DD92" s="52"/>
      <c r="DE92" s="52"/>
      <c r="DF92" s="52"/>
      <c r="DG92" s="52"/>
      <c r="DH92" s="52"/>
      <c r="DI92" s="52"/>
      <c r="DJ92" s="52"/>
      <c r="DK92" s="52"/>
      <c r="DL92" s="52"/>
      <c r="DM92" s="52"/>
      <c r="DN92" s="52"/>
      <c r="DO92" s="52"/>
      <c r="DP92" s="52"/>
      <c r="DQ92" s="52"/>
      <c r="DR92" s="43">
        <v>1</v>
      </c>
      <c r="DS92" s="43">
        <v>1</v>
      </c>
      <c r="DT92" s="43">
        <v>1</v>
      </c>
      <c r="DU92" s="43">
        <v>1</v>
      </c>
      <c r="DV92" s="43">
        <v>1</v>
      </c>
      <c r="DW92" s="43">
        <v>1</v>
      </c>
      <c r="DX92" s="43">
        <v>1</v>
      </c>
      <c r="DY92" s="43">
        <v>1</v>
      </c>
      <c r="DZ92" s="43">
        <v>1</v>
      </c>
      <c r="EA92" s="43">
        <v>1</v>
      </c>
      <c r="EB92" s="43">
        <v>1</v>
      </c>
      <c r="EC92" s="43">
        <v>1</v>
      </c>
      <c r="ED92" s="43">
        <v>1</v>
      </c>
      <c r="EE92" s="43">
        <v>1</v>
      </c>
      <c r="EF92" s="43">
        <v>1</v>
      </c>
      <c r="EG92" s="43">
        <v>1</v>
      </c>
      <c r="EH92" s="43">
        <v>1</v>
      </c>
      <c r="EI92" s="43">
        <v>1</v>
      </c>
      <c r="EJ92" s="43">
        <v>1</v>
      </c>
      <c r="EK92" s="43">
        <v>1</v>
      </c>
      <c r="EL92" s="50"/>
      <c r="EM92" s="50"/>
      <c r="EN92" s="50"/>
      <c r="EO92" s="50"/>
      <c r="EP92" s="50"/>
      <c r="EQ92" s="50"/>
      <c r="ER92" s="50"/>
      <c r="ES92" s="50"/>
      <c r="ET92" s="50"/>
      <c r="EU92" s="50"/>
      <c r="EV92" s="50"/>
      <c r="EW92" s="50"/>
      <c r="EX92" s="50"/>
      <c r="EY92" s="50"/>
      <c r="EZ92" s="50"/>
      <c r="FA92" s="50"/>
      <c r="FB92" s="50"/>
      <c r="FC92" s="50"/>
      <c r="FD92" s="50"/>
      <c r="FE92" s="50"/>
    </row>
    <row r="93" spans="1:161" x14ac:dyDescent="0.15">
      <c r="A93" s="46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52"/>
      <c r="W93" s="52"/>
      <c r="X93" s="52"/>
      <c r="Y93" s="52"/>
      <c r="Z93" s="52"/>
      <c r="AA93" s="52"/>
      <c r="AB93" s="52"/>
      <c r="AC93" s="52"/>
      <c r="AD93" s="52"/>
      <c r="AE93" s="52"/>
      <c r="AF93" s="52"/>
      <c r="AG93" s="52"/>
      <c r="AH93" s="52"/>
      <c r="AI93" s="52"/>
      <c r="AJ93" s="52"/>
      <c r="AK93" s="52"/>
      <c r="AL93" s="52"/>
      <c r="AM93" s="52"/>
      <c r="AN93" s="52"/>
      <c r="AO93" s="52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52"/>
      <c r="BK93" s="52"/>
      <c r="BL93" s="52"/>
      <c r="BM93" s="52"/>
      <c r="BN93" s="52"/>
      <c r="BO93" s="52"/>
      <c r="BP93" s="52"/>
      <c r="BQ93" s="52"/>
      <c r="BR93" s="52"/>
      <c r="BS93" s="52"/>
      <c r="BT93" s="52"/>
      <c r="BU93" s="52"/>
      <c r="BV93" s="52"/>
      <c r="BW93" s="52"/>
      <c r="BX93" s="52"/>
      <c r="BY93" s="52"/>
      <c r="BZ93" s="52"/>
      <c r="CA93" s="52"/>
      <c r="CB93" s="52"/>
      <c r="CC93" s="52"/>
      <c r="CD93" s="43"/>
      <c r="CE93" s="43"/>
      <c r="CF93" s="43"/>
      <c r="CG93" s="43"/>
      <c r="CH93" s="43"/>
      <c r="CI93" s="43"/>
      <c r="CJ93" s="43"/>
      <c r="CK93" s="43"/>
      <c r="CL93" s="43"/>
      <c r="CM93" s="43"/>
      <c r="CN93" s="43"/>
      <c r="CO93" s="43"/>
      <c r="CP93" s="43"/>
      <c r="CQ93" s="43"/>
      <c r="CR93" s="43"/>
      <c r="CS93" s="43"/>
      <c r="CT93" s="43"/>
      <c r="CU93" s="43"/>
      <c r="CV93" s="43"/>
      <c r="CW93" s="43"/>
      <c r="CX93" s="52"/>
      <c r="CY93" s="52"/>
      <c r="CZ93" s="52"/>
      <c r="DA93" s="52"/>
      <c r="DB93" s="52"/>
      <c r="DC93" s="52"/>
      <c r="DD93" s="52"/>
      <c r="DE93" s="52"/>
      <c r="DF93" s="52"/>
      <c r="DG93" s="52"/>
      <c r="DH93" s="52"/>
      <c r="DI93" s="52"/>
      <c r="DJ93" s="52"/>
      <c r="DK93" s="52"/>
      <c r="DL93" s="52"/>
      <c r="DM93" s="52"/>
      <c r="DN93" s="52"/>
      <c r="DO93" s="52"/>
      <c r="DP93" s="52"/>
      <c r="DQ93" s="52"/>
      <c r="DR93" s="43">
        <v>1</v>
      </c>
      <c r="DS93" s="43">
        <v>1</v>
      </c>
      <c r="DT93" s="43">
        <v>1</v>
      </c>
      <c r="DU93" s="43">
        <v>1</v>
      </c>
      <c r="DV93" s="43">
        <v>1</v>
      </c>
      <c r="DW93" s="43">
        <v>1</v>
      </c>
      <c r="DX93" s="43">
        <v>1</v>
      </c>
      <c r="DY93" s="43">
        <v>1</v>
      </c>
      <c r="DZ93" s="43">
        <v>1</v>
      </c>
      <c r="EA93" s="43">
        <v>1</v>
      </c>
      <c r="EB93" s="43">
        <v>1</v>
      </c>
      <c r="EC93" s="43">
        <v>1</v>
      </c>
      <c r="ED93" s="43">
        <v>1</v>
      </c>
      <c r="EE93" s="43">
        <v>1</v>
      </c>
      <c r="EF93" s="43">
        <v>1</v>
      </c>
      <c r="EG93" s="43">
        <v>1</v>
      </c>
      <c r="EH93" s="43">
        <v>1</v>
      </c>
      <c r="EI93" s="43">
        <v>1</v>
      </c>
      <c r="EJ93" s="43">
        <v>1</v>
      </c>
      <c r="EK93" s="43">
        <v>1</v>
      </c>
      <c r="EL93" s="50"/>
      <c r="EM93" s="50"/>
      <c r="EN93" s="50"/>
      <c r="EO93" s="50"/>
      <c r="EP93" s="50"/>
      <c r="EQ93" s="50"/>
      <c r="ER93" s="50"/>
      <c r="ES93" s="50"/>
      <c r="ET93" s="50"/>
      <c r="EU93" s="50"/>
      <c r="EV93" s="50"/>
      <c r="EW93" s="50"/>
      <c r="EX93" s="50"/>
      <c r="EY93" s="50"/>
      <c r="EZ93" s="50"/>
      <c r="FA93" s="50"/>
      <c r="FB93" s="50"/>
      <c r="FC93" s="50"/>
      <c r="FD93" s="50"/>
      <c r="FE93" s="50"/>
    </row>
    <row r="94" spans="1:161" x14ac:dyDescent="0.15">
      <c r="A94" s="46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  <c r="BX94" s="52"/>
      <c r="BY94" s="52"/>
      <c r="BZ94" s="52"/>
      <c r="CA94" s="52"/>
      <c r="CB94" s="52"/>
      <c r="CC94" s="52"/>
      <c r="CD94" s="43"/>
      <c r="CE94" s="43"/>
      <c r="CF94" s="43"/>
      <c r="CG94" s="43"/>
      <c r="CH94" s="43"/>
      <c r="CI94" s="43"/>
      <c r="CJ94" s="43"/>
      <c r="CK94" s="43"/>
      <c r="CL94" s="43"/>
      <c r="CM94" s="43"/>
      <c r="CN94" s="43"/>
      <c r="CO94" s="43"/>
      <c r="CP94" s="43"/>
      <c r="CQ94" s="43"/>
      <c r="CR94" s="43"/>
      <c r="CS94" s="43"/>
      <c r="CT94" s="43"/>
      <c r="CU94" s="43"/>
      <c r="CV94" s="43"/>
      <c r="CW94" s="43"/>
      <c r="CX94" s="52"/>
      <c r="CY94" s="52"/>
      <c r="CZ94" s="52"/>
      <c r="DA94" s="52"/>
      <c r="DB94" s="52"/>
      <c r="DC94" s="52"/>
      <c r="DD94" s="52"/>
      <c r="DE94" s="52"/>
      <c r="DF94" s="52"/>
      <c r="DG94" s="52"/>
      <c r="DH94" s="52"/>
      <c r="DI94" s="52"/>
      <c r="DJ94" s="52"/>
      <c r="DK94" s="52"/>
      <c r="DL94" s="52"/>
      <c r="DM94" s="52"/>
      <c r="DN94" s="52"/>
      <c r="DO94" s="52"/>
      <c r="DP94" s="52"/>
      <c r="DQ94" s="52"/>
      <c r="DR94" s="43">
        <v>1</v>
      </c>
      <c r="DS94" s="43">
        <v>1</v>
      </c>
      <c r="DT94" s="43">
        <v>1</v>
      </c>
      <c r="DU94" s="43">
        <v>1</v>
      </c>
      <c r="DV94" s="43">
        <v>1</v>
      </c>
      <c r="DW94" s="43">
        <v>1</v>
      </c>
      <c r="DX94" s="43">
        <v>1</v>
      </c>
      <c r="DY94" s="43">
        <v>1</v>
      </c>
      <c r="DZ94" s="43">
        <v>1</v>
      </c>
      <c r="EA94" s="43">
        <v>1</v>
      </c>
      <c r="EB94" s="43">
        <v>1</v>
      </c>
      <c r="EC94" s="43">
        <v>1</v>
      </c>
      <c r="ED94" s="43">
        <v>1</v>
      </c>
      <c r="EE94" s="43">
        <v>1</v>
      </c>
      <c r="EF94" s="43">
        <v>1</v>
      </c>
      <c r="EG94" s="43">
        <v>1</v>
      </c>
      <c r="EH94" s="43">
        <v>1</v>
      </c>
      <c r="EI94" s="43">
        <v>1</v>
      </c>
      <c r="EJ94" s="43">
        <v>1</v>
      </c>
      <c r="EK94" s="43">
        <v>1</v>
      </c>
      <c r="EL94" s="50"/>
      <c r="EM94" s="50"/>
      <c r="EN94" s="50"/>
      <c r="EO94" s="50"/>
      <c r="EP94" s="50"/>
      <c r="EQ94" s="50"/>
      <c r="ER94" s="50"/>
      <c r="ES94" s="50"/>
      <c r="ET94" s="50"/>
      <c r="EU94" s="50"/>
      <c r="EV94" s="50"/>
      <c r="EW94" s="50"/>
      <c r="EX94" s="50"/>
      <c r="EY94" s="50"/>
      <c r="EZ94" s="50"/>
      <c r="FA94" s="50"/>
      <c r="FB94" s="50"/>
      <c r="FC94" s="50"/>
      <c r="FD94" s="50"/>
      <c r="FE94" s="50"/>
    </row>
    <row r="95" spans="1:161" x14ac:dyDescent="0.15">
      <c r="A95" s="46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43"/>
      <c r="CE95" s="43"/>
      <c r="CF95" s="43"/>
      <c r="CG95" s="43"/>
      <c r="CH95" s="43"/>
      <c r="CI95" s="43"/>
      <c r="CJ95" s="43"/>
      <c r="CK95" s="43"/>
      <c r="CL95" s="43"/>
      <c r="CM95" s="43"/>
      <c r="CN95" s="43"/>
      <c r="CO95" s="43"/>
      <c r="CP95" s="43"/>
      <c r="CQ95" s="43"/>
      <c r="CR95" s="43"/>
      <c r="CS95" s="43"/>
      <c r="CT95" s="43"/>
      <c r="CU95" s="43"/>
      <c r="CV95" s="43"/>
      <c r="CW95" s="43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43">
        <v>1</v>
      </c>
      <c r="DS95" s="43">
        <v>1</v>
      </c>
      <c r="DT95" s="43">
        <v>1</v>
      </c>
      <c r="DU95" s="43">
        <v>1</v>
      </c>
      <c r="DV95" s="43">
        <v>1</v>
      </c>
      <c r="DW95" s="43">
        <v>1</v>
      </c>
      <c r="DX95" s="43">
        <v>1</v>
      </c>
      <c r="DY95" s="43">
        <v>1</v>
      </c>
      <c r="DZ95" s="43">
        <v>1</v>
      </c>
      <c r="EA95" s="43">
        <v>1</v>
      </c>
      <c r="EB95" s="43">
        <v>1</v>
      </c>
      <c r="EC95" s="43">
        <v>1</v>
      </c>
      <c r="ED95" s="43">
        <v>1</v>
      </c>
      <c r="EE95" s="43">
        <v>1</v>
      </c>
      <c r="EF95" s="43">
        <v>1</v>
      </c>
      <c r="EG95" s="43">
        <v>1</v>
      </c>
      <c r="EH95" s="43">
        <v>1</v>
      </c>
      <c r="EI95" s="43">
        <v>1</v>
      </c>
      <c r="EJ95" s="43">
        <v>1</v>
      </c>
      <c r="EK95" s="43">
        <v>1</v>
      </c>
      <c r="EL95" s="50"/>
      <c r="EM95" s="50"/>
      <c r="EN95" s="50"/>
      <c r="EO95" s="50"/>
      <c r="EP95" s="50"/>
      <c r="EQ95" s="50"/>
      <c r="ER95" s="50"/>
      <c r="ES95" s="50"/>
      <c r="ET95" s="50"/>
      <c r="EU95" s="50"/>
      <c r="EV95" s="50"/>
      <c r="EW95" s="50"/>
      <c r="EX95" s="50"/>
      <c r="EY95" s="50"/>
      <c r="EZ95" s="50"/>
      <c r="FA95" s="50"/>
      <c r="FB95" s="50"/>
      <c r="FC95" s="50"/>
      <c r="FD95" s="50"/>
      <c r="FE95" s="50"/>
    </row>
    <row r="96" spans="1:161" x14ac:dyDescent="0.15">
      <c r="A96" s="46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52"/>
      <c r="W96" s="52"/>
      <c r="X96" s="52"/>
      <c r="Y96" s="52"/>
      <c r="Z96" s="52"/>
      <c r="AA96" s="52"/>
      <c r="AB96" s="52"/>
      <c r="AC96" s="52"/>
      <c r="AD96" s="52"/>
      <c r="AE96" s="52"/>
      <c r="AF96" s="52"/>
      <c r="AG96" s="52"/>
      <c r="AH96" s="52"/>
      <c r="AI96" s="52"/>
      <c r="AJ96" s="52"/>
      <c r="AK96" s="52"/>
      <c r="AL96" s="52"/>
      <c r="AM96" s="52"/>
      <c r="AN96" s="52"/>
      <c r="AO96" s="52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52"/>
      <c r="BK96" s="52"/>
      <c r="BL96" s="52"/>
      <c r="BM96" s="52"/>
      <c r="BN96" s="52"/>
      <c r="BO96" s="52"/>
      <c r="BP96" s="52"/>
      <c r="BQ96" s="52"/>
      <c r="BR96" s="52"/>
      <c r="BS96" s="52"/>
      <c r="BT96" s="52"/>
      <c r="BU96" s="52"/>
      <c r="BV96" s="52"/>
      <c r="BW96" s="52"/>
      <c r="BX96" s="52"/>
      <c r="BY96" s="52"/>
      <c r="BZ96" s="52"/>
      <c r="CA96" s="52"/>
      <c r="CB96" s="52"/>
      <c r="CC96" s="52"/>
      <c r="CD96" s="43"/>
      <c r="CE96" s="43"/>
      <c r="CF96" s="43"/>
      <c r="CG96" s="43"/>
      <c r="CH96" s="43"/>
      <c r="CI96" s="43"/>
      <c r="CJ96" s="43"/>
      <c r="CK96" s="43"/>
      <c r="CL96" s="43"/>
      <c r="CM96" s="43"/>
      <c r="CN96" s="43"/>
      <c r="CO96" s="43"/>
      <c r="CP96" s="43"/>
      <c r="CQ96" s="43"/>
      <c r="CR96" s="43"/>
      <c r="CS96" s="43"/>
      <c r="CT96" s="43"/>
      <c r="CU96" s="43"/>
      <c r="CV96" s="43"/>
      <c r="CW96" s="43"/>
      <c r="CX96" s="52"/>
      <c r="CY96" s="52"/>
      <c r="CZ96" s="52"/>
      <c r="DA96" s="52"/>
      <c r="DB96" s="52"/>
      <c r="DC96" s="52"/>
      <c r="DD96" s="52"/>
      <c r="DE96" s="52"/>
      <c r="DF96" s="52"/>
      <c r="DG96" s="52"/>
      <c r="DH96" s="52"/>
      <c r="DI96" s="52"/>
      <c r="DJ96" s="52"/>
      <c r="DK96" s="52"/>
      <c r="DL96" s="52"/>
      <c r="DM96" s="52"/>
      <c r="DN96" s="52"/>
      <c r="DO96" s="52"/>
      <c r="DP96" s="52"/>
      <c r="DQ96" s="52"/>
      <c r="DR96" s="43">
        <v>1</v>
      </c>
      <c r="DS96" s="43">
        <v>1</v>
      </c>
      <c r="DT96" s="43">
        <v>1</v>
      </c>
      <c r="DU96" s="43">
        <v>1</v>
      </c>
      <c r="DV96" s="43">
        <v>1</v>
      </c>
      <c r="DW96" s="43">
        <v>1</v>
      </c>
      <c r="DX96" s="43">
        <v>1</v>
      </c>
      <c r="DY96" s="43">
        <v>1</v>
      </c>
      <c r="DZ96" s="43">
        <v>1</v>
      </c>
      <c r="EA96" s="43">
        <v>1</v>
      </c>
      <c r="EB96" s="43">
        <v>1</v>
      </c>
      <c r="EC96" s="43">
        <v>1</v>
      </c>
      <c r="ED96" s="43">
        <v>1</v>
      </c>
      <c r="EE96" s="43">
        <v>1</v>
      </c>
      <c r="EF96" s="43">
        <v>1</v>
      </c>
      <c r="EG96" s="43">
        <v>1</v>
      </c>
      <c r="EH96" s="43">
        <v>1</v>
      </c>
      <c r="EI96" s="43">
        <v>1</v>
      </c>
      <c r="EJ96" s="43">
        <v>1</v>
      </c>
      <c r="EK96" s="43">
        <v>1</v>
      </c>
      <c r="EL96" s="50"/>
      <c r="EM96" s="50"/>
      <c r="EN96" s="50"/>
      <c r="EO96" s="50"/>
      <c r="EP96" s="50"/>
      <c r="EQ96" s="50"/>
      <c r="ER96" s="50"/>
      <c r="ES96" s="50"/>
      <c r="ET96" s="50"/>
      <c r="EU96" s="50"/>
      <c r="EV96" s="50"/>
      <c r="EW96" s="50"/>
      <c r="EX96" s="50"/>
      <c r="EY96" s="50"/>
      <c r="EZ96" s="50"/>
      <c r="FA96" s="50"/>
      <c r="FB96" s="50"/>
      <c r="FC96" s="50"/>
      <c r="FD96" s="50"/>
      <c r="FE96" s="50"/>
    </row>
    <row r="97" spans="1:161" x14ac:dyDescent="0.15">
      <c r="A97" s="46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52"/>
      <c r="W97" s="52"/>
      <c r="X97" s="52"/>
      <c r="Y97" s="52"/>
      <c r="Z97" s="52"/>
      <c r="AA97" s="52"/>
      <c r="AB97" s="52"/>
      <c r="AC97" s="52"/>
      <c r="AD97" s="52"/>
      <c r="AE97" s="52"/>
      <c r="AF97" s="52"/>
      <c r="AG97" s="52"/>
      <c r="AH97" s="52"/>
      <c r="AI97" s="52"/>
      <c r="AJ97" s="52"/>
      <c r="AK97" s="52"/>
      <c r="AL97" s="52"/>
      <c r="AM97" s="52"/>
      <c r="AN97" s="52"/>
      <c r="AO97" s="52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52"/>
      <c r="BK97" s="52"/>
      <c r="BL97" s="52"/>
      <c r="BM97" s="52"/>
      <c r="BN97" s="52"/>
      <c r="BO97" s="52"/>
      <c r="BP97" s="52"/>
      <c r="BQ97" s="52"/>
      <c r="BR97" s="52"/>
      <c r="BS97" s="52"/>
      <c r="BT97" s="52"/>
      <c r="BU97" s="52"/>
      <c r="BV97" s="52"/>
      <c r="BW97" s="52"/>
      <c r="BX97" s="52"/>
      <c r="BY97" s="52"/>
      <c r="BZ97" s="52"/>
      <c r="CA97" s="52"/>
      <c r="CB97" s="52"/>
      <c r="CC97" s="52"/>
      <c r="CD97" s="43"/>
      <c r="CE97" s="43"/>
      <c r="CF97" s="43"/>
      <c r="CG97" s="43"/>
      <c r="CH97" s="43"/>
      <c r="CI97" s="43"/>
      <c r="CJ97" s="43"/>
      <c r="CK97" s="43"/>
      <c r="CL97" s="43"/>
      <c r="CM97" s="43"/>
      <c r="CN97" s="43"/>
      <c r="CO97" s="43"/>
      <c r="CP97" s="43"/>
      <c r="CQ97" s="43"/>
      <c r="CR97" s="43"/>
      <c r="CS97" s="43"/>
      <c r="CT97" s="43"/>
      <c r="CU97" s="43"/>
      <c r="CV97" s="43"/>
      <c r="CW97" s="43"/>
      <c r="CX97" s="52"/>
      <c r="CY97" s="52"/>
      <c r="CZ97" s="52"/>
      <c r="DA97" s="52"/>
      <c r="DB97" s="52"/>
      <c r="DC97" s="52"/>
      <c r="DD97" s="52"/>
      <c r="DE97" s="52"/>
      <c r="DF97" s="52"/>
      <c r="DG97" s="52"/>
      <c r="DH97" s="52"/>
      <c r="DI97" s="52"/>
      <c r="DJ97" s="52"/>
      <c r="DK97" s="52"/>
      <c r="DL97" s="52"/>
      <c r="DM97" s="52"/>
      <c r="DN97" s="52"/>
      <c r="DO97" s="52"/>
      <c r="DP97" s="52"/>
      <c r="DQ97" s="52"/>
      <c r="DR97" s="43">
        <v>1</v>
      </c>
      <c r="DS97" s="43">
        <v>1</v>
      </c>
      <c r="DT97" s="43">
        <v>1</v>
      </c>
      <c r="DU97" s="43">
        <v>1</v>
      </c>
      <c r="DV97" s="43">
        <v>1</v>
      </c>
      <c r="DW97" s="43">
        <v>1</v>
      </c>
      <c r="DX97" s="43">
        <v>1</v>
      </c>
      <c r="DY97" s="43">
        <v>1</v>
      </c>
      <c r="DZ97" s="43">
        <v>1</v>
      </c>
      <c r="EA97" s="43">
        <v>1</v>
      </c>
      <c r="EB97" s="43">
        <v>1</v>
      </c>
      <c r="EC97" s="43">
        <v>1</v>
      </c>
      <c r="ED97" s="43">
        <v>1</v>
      </c>
      <c r="EE97" s="43">
        <v>1</v>
      </c>
      <c r="EF97" s="43">
        <v>1</v>
      </c>
      <c r="EG97" s="43">
        <v>1</v>
      </c>
      <c r="EH97" s="43">
        <v>1</v>
      </c>
      <c r="EI97" s="43">
        <v>1</v>
      </c>
      <c r="EJ97" s="43">
        <v>1</v>
      </c>
      <c r="EK97" s="43">
        <v>1</v>
      </c>
      <c r="EL97" s="50"/>
      <c r="EM97" s="50"/>
      <c r="EN97" s="50"/>
      <c r="EO97" s="50"/>
      <c r="EP97" s="50"/>
      <c r="EQ97" s="50"/>
      <c r="ER97" s="50"/>
      <c r="ES97" s="50"/>
      <c r="ET97" s="50"/>
      <c r="EU97" s="50"/>
      <c r="EV97" s="50"/>
      <c r="EW97" s="50"/>
      <c r="EX97" s="50"/>
      <c r="EY97" s="50"/>
      <c r="EZ97" s="50"/>
      <c r="FA97" s="50"/>
      <c r="FB97" s="50"/>
      <c r="FC97" s="50"/>
      <c r="FD97" s="50"/>
      <c r="FE97" s="50"/>
    </row>
    <row r="98" spans="1:161" x14ac:dyDescent="0.15">
      <c r="A98" s="46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52"/>
      <c r="W98" s="52"/>
      <c r="X98" s="52"/>
      <c r="Y98" s="52"/>
      <c r="Z98" s="52"/>
      <c r="AA98" s="52"/>
      <c r="AB98" s="52"/>
      <c r="AC98" s="52"/>
      <c r="AD98" s="52"/>
      <c r="AE98" s="52"/>
      <c r="AF98" s="52"/>
      <c r="AG98" s="52"/>
      <c r="AH98" s="52"/>
      <c r="AI98" s="52"/>
      <c r="AJ98" s="52"/>
      <c r="AK98" s="52"/>
      <c r="AL98" s="52"/>
      <c r="AM98" s="52"/>
      <c r="AN98" s="52"/>
      <c r="AO98" s="52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52"/>
      <c r="BK98" s="52"/>
      <c r="BL98" s="52"/>
      <c r="BM98" s="52"/>
      <c r="BN98" s="52"/>
      <c r="BO98" s="52"/>
      <c r="BP98" s="52"/>
      <c r="BQ98" s="52"/>
      <c r="BR98" s="52"/>
      <c r="BS98" s="52"/>
      <c r="BT98" s="52"/>
      <c r="BU98" s="52"/>
      <c r="BV98" s="52"/>
      <c r="BW98" s="52"/>
      <c r="BX98" s="52"/>
      <c r="BY98" s="52"/>
      <c r="BZ98" s="52"/>
      <c r="CA98" s="52"/>
      <c r="CB98" s="52"/>
      <c r="CC98" s="52"/>
      <c r="CD98" s="43"/>
      <c r="CE98" s="43"/>
      <c r="CF98" s="43"/>
      <c r="CG98" s="43"/>
      <c r="CH98" s="43"/>
      <c r="CI98" s="43"/>
      <c r="CJ98" s="43"/>
      <c r="CK98" s="43"/>
      <c r="CL98" s="43"/>
      <c r="CM98" s="43"/>
      <c r="CN98" s="43"/>
      <c r="CO98" s="43"/>
      <c r="CP98" s="43"/>
      <c r="CQ98" s="43"/>
      <c r="CR98" s="43"/>
      <c r="CS98" s="43"/>
      <c r="CT98" s="43"/>
      <c r="CU98" s="43"/>
      <c r="CV98" s="43"/>
      <c r="CW98" s="43"/>
      <c r="CX98" s="52"/>
      <c r="CY98" s="52"/>
      <c r="CZ98" s="52"/>
      <c r="DA98" s="52"/>
      <c r="DB98" s="52"/>
      <c r="DC98" s="52"/>
      <c r="DD98" s="52"/>
      <c r="DE98" s="52"/>
      <c r="DF98" s="52"/>
      <c r="DG98" s="52"/>
      <c r="DH98" s="52"/>
      <c r="DI98" s="52"/>
      <c r="DJ98" s="52"/>
      <c r="DK98" s="52"/>
      <c r="DL98" s="52"/>
      <c r="DM98" s="52"/>
      <c r="DN98" s="52"/>
      <c r="DO98" s="52"/>
      <c r="DP98" s="52"/>
      <c r="DQ98" s="52"/>
      <c r="DR98" s="43">
        <v>1</v>
      </c>
      <c r="DS98" s="43">
        <v>1</v>
      </c>
      <c r="DT98" s="43">
        <v>1</v>
      </c>
      <c r="DU98" s="43">
        <v>1</v>
      </c>
      <c r="DV98" s="43">
        <v>1</v>
      </c>
      <c r="DW98" s="43">
        <v>1</v>
      </c>
      <c r="DX98" s="43">
        <v>1</v>
      </c>
      <c r="DY98" s="43">
        <v>1</v>
      </c>
      <c r="DZ98" s="43">
        <v>1</v>
      </c>
      <c r="EA98" s="43">
        <v>1</v>
      </c>
      <c r="EB98" s="43">
        <v>1</v>
      </c>
      <c r="EC98" s="43">
        <v>1</v>
      </c>
      <c r="ED98" s="43">
        <v>1</v>
      </c>
      <c r="EE98" s="43">
        <v>1</v>
      </c>
      <c r="EF98" s="43">
        <v>1</v>
      </c>
      <c r="EG98" s="43">
        <v>1</v>
      </c>
      <c r="EH98" s="43">
        <v>1</v>
      </c>
      <c r="EI98" s="43">
        <v>1</v>
      </c>
      <c r="EJ98" s="43">
        <v>1</v>
      </c>
      <c r="EK98" s="43">
        <v>1</v>
      </c>
      <c r="EL98" s="50"/>
      <c r="EM98" s="50"/>
      <c r="EN98" s="50"/>
      <c r="EO98" s="50"/>
      <c r="EP98" s="50"/>
      <c r="EQ98" s="50"/>
      <c r="ER98" s="50"/>
      <c r="ES98" s="50"/>
      <c r="ET98" s="50"/>
      <c r="EU98" s="50"/>
      <c r="EV98" s="50"/>
      <c r="EW98" s="50"/>
      <c r="EX98" s="50"/>
      <c r="EY98" s="50"/>
      <c r="EZ98" s="50"/>
      <c r="FA98" s="50"/>
      <c r="FB98" s="50"/>
      <c r="FC98" s="50"/>
      <c r="FD98" s="50"/>
      <c r="FE98" s="50"/>
    </row>
    <row r="99" spans="1:161" x14ac:dyDescent="0.15">
      <c r="A99" s="46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  <c r="BX99" s="52"/>
      <c r="BY99" s="52"/>
      <c r="BZ99" s="52"/>
      <c r="CA99" s="52"/>
      <c r="CB99" s="52"/>
      <c r="CC99" s="52"/>
      <c r="CD99" s="43"/>
      <c r="CE99" s="43"/>
      <c r="CF99" s="43"/>
      <c r="CG99" s="43"/>
      <c r="CH99" s="43"/>
      <c r="CI99" s="43"/>
      <c r="CJ99" s="43"/>
      <c r="CK99" s="43"/>
      <c r="CL99" s="43"/>
      <c r="CM99" s="43"/>
      <c r="CN99" s="43"/>
      <c r="CO99" s="43"/>
      <c r="CP99" s="43"/>
      <c r="CQ99" s="43"/>
      <c r="CR99" s="43"/>
      <c r="CS99" s="43"/>
      <c r="CT99" s="43"/>
      <c r="CU99" s="43"/>
      <c r="CV99" s="43"/>
      <c r="CW99" s="43"/>
      <c r="CX99" s="52"/>
      <c r="CY99" s="52"/>
      <c r="CZ99" s="52"/>
      <c r="DA99" s="52"/>
      <c r="DB99" s="52"/>
      <c r="DC99" s="52"/>
      <c r="DD99" s="52"/>
      <c r="DE99" s="52"/>
      <c r="DF99" s="52"/>
      <c r="DG99" s="52"/>
      <c r="DH99" s="52"/>
      <c r="DI99" s="52"/>
      <c r="DJ99" s="52"/>
      <c r="DK99" s="52"/>
      <c r="DL99" s="52"/>
      <c r="DM99" s="52"/>
      <c r="DN99" s="52"/>
      <c r="DO99" s="52"/>
      <c r="DP99" s="52"/>
      <c r="DQ99" s="52"/>
      <c r="DR99" s="45">
        <v>1</v>
      </c>
      <c r="DS99" s="45">
        <v>1</v>
      </c>
      <c r="DT99" s="45">
        <v>1</v>
      </c>
      <c r="DU99" s="45">
        <v>1</v>
      </c>
      <c r="DV99" s="45">
        <v>1</v>
      </c>
      <c r="DW99" s="45">
        <v>1</v>
      </c>
      <c r="DX99" s="45">
        <v>1</v>
      </c>
      <c r="DY99" s="45">
        <v>1</v>
      </c>
      <c r="DZ99" s="45">
        <v>1</v>
      </c>
      <c r="EA99" s="45">
        <v>1</v>
      </c>
      <c r="EB99" s="45">
        <v>1</v>
      </c>
      <c r="EC99" s="45">
        <v>1</v>
      </c>
      <c r="ED99" s="45">
        <v>1</v>
      </c>
      <c r="EE99" s="45">
        <v>1</v>
      </c>
      <c r="EF99" s="45">
        <v>1</v>
      </c>
      <c r="EG99" s="45">
        <v>1</v>
      </c>
      <c r="EH99" s="45">
        <v>1</v>
      </c>
      <c r="EI99" s="45">
        <v>1</v>
      </c>
      <c r="EJ99" s="45">
        <v>1</v>
      </c>
      <c r="EK99" s="45">
        <v>1</v>
      </c>
      <c r="EL99" s="50"/>
      <c r="EM99" s="50"/>
      <c r="EN99" s="50"/>
      <c r="EO99" s="50"/>
      <c r="EP99" s="50"/>
      <c r="EQ99" s="50"/>
      <c r="ER99" s="50"/>
      <c r="ES99" s="50"/>
      <c r="ET99" s="50"/>
      <c r="EU99" s="50"/>
      <c r="EV99" s="50"/>
      <c r="EW99" s="50"/>
      <c r="EX99" s="50"/>
      <c r="EY99" s="50"/>
      <c r="EZ99" s="50"/>
      <c r="FA99" s="50"/>
      <c r="FB99" s="50"/>
      <c r="FC99" s="50"/>
      <c r="FD99" s="50"/>
      <c r="FE99" s="50"/>
    </row>
    <row r="100" spans="1:161" x14ac:dyDescent="0.15">
      <c r="A100" s="46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52"/>
      <c r="W100" s="52"/>
      <c r="X100" s="52"/>
      <c r="Y100" s="52"/>
      <c r="Z100" s="52"/>
      <c r="AA100" s="52"/>
      <c r="AB100" s="52"/>
      <c r="AC100" s="52"/>
      <c r="AD100" s="52"/>
      <c r="AE100" s="52"/>
      <c r="AF100" s="52"/>
      <c r="AG100" s="52"/>
      <c r="AH100" s="52"/>
      <c r="AI100" s="52"/>
      <c r="AJ100" s="52"/>
      <c r="AK100" s="52"/>
      <c r="AL100" s="52"/>
      <c r="AM100" s="52"/>
      <c r="AN100" s="52"/>
      <c r="AO100" s="52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52"/>
      <c r="BK100" s="52"/>
      <c r="BL100" s="52"/>
      <c r="BM100" s="52"/>
      <c r="BN100" s="52"/>
      <c r="BO100" s="52"/>
      <c r="BP100" s="52"/>
      <c r="BQ100" s="52"/>
      <c r="BR100" s="52"/>
      <c r="BS100" s="52"/>
      <c r="BT100" s="52"/>
      <c r="BU100" s="52"/>
      <c r="BV100" s="52"/>
      <c r="BW100" s="52"/>
      <c r="BX100" s="52"/>
      <c r="BY100" s="52"/>
      <c r="BZ100" s="52"/>
      <c r="CA100" s="52"/>
      <c r="CB100" s="52"/>
      <c r="CC100" s="52"/>
      <c r="CD100" s="43"/>
      <c r="CE100" s="43"/>
      <c r="CF100" s="43"/>
      <c r="CG100" s="43"/>
      <c r="CH100" s="43"/>
      <c r="CI100" s="43"/>
      <c r="CJ100" s="43"/>
      <c r="CK100" s="43"/>
      <c r="CL100" s="43"/>
      <c r="CM100" s="43"/>
      <c r="CN100" s="43"/>
      <c r="CO100" s="43"/>
      <c r="CP100" s="43"/>
      <c r="CQ100" s="43"/>
      <c r="CR100" s="43"/>
      <c r="CS100" s="43"/>
      <c r="CT100" s="43"/>
      <c r="CU100" s="43"/>
      <c r="CV100" s="43"/>
      <c r="CW100" s="43"/>
      <c r="CX100" s="52"/>
      <c r="CY100" s="52"/>
      <c r="CZ100" s="52"/>
      <c r="DA100" s="52"/>
      <c r="DB100" s="52"/>
      <c r="DC100" s="52"/>
      <c r="DD100" s="52"/>
      <c r="DE100" s="52"/>
      <c r="DF100" s="52"/>
      <c r="DG100" s="52"/>
      <c r="DH100" s="52"/>
      <c r="DI100" s="52"/>
      <c r="DJ100" s="52"/>
      <c r="DK100" s="52"/>
      <c r="DL100" s="52"/>
      <c r="DM100" s="52"/>
      <c r="DN100" s="52"/>
      <c r="DO100" s="52"/>
      <c r="DP100" s="52"/>
      <c r="DQ100" s="52"/>
      <c r="DR100" s="43">
        <v>1</v>
      </c>
      <c r="DS100" s="43">
        <v>1</v>
      </c>
      <c r="DT100" s="43">
        <v>1</v>
      </c>
      <c r="DU100" s="43">
        <v>1</v>
      </c>
      <c r="DV100" s="43">
        <v>1</v>
      </c>
      <c r="DW100" s="43">
        <v>1</v>
      </c>
      <c r="DX100" s="43">
        <v>1</v>
      </c>
      <c r="DY100" s="43">
        <v>1</v>
      </c>
      <c r="DZ100" s="43">
        <v>1</v>
      </c>
      <c r="EA100" s="43">
        <v>1</v>
      </c>
      <c r="EB100" s="43">
        <v>1</v>
      </c>
      <c r="EC100" s="43">
        <v>1</v>
      </c>
      <c r="ED100" s="43">
        <v>1</v>
      </c>
      <c r="EE100" s="43">
        <v>1</v>
      </c>
      <c r="EF100" s="43">
        <v>1</v>
      </c>
      <c r="EG100" s="43">
        <v>1</v>
      </c>
      <c r="EH100" s="43">
        <v>1</v>
      </c>
      <c r="EI100" s="43">
        <v>1</v>
      </c>
      <c r="EJ100" s="43">
        <v>1</v>
      </c>
      <c r="EK100" s="43">
        <v>1</v>
      </c>
      <c r="EL100" s="50"/>
      <c r="EM100" s="50"/>
      <c r="EN100" s="50"/>
      <c r="EO100" s="50"/>
      <c r="EP100" s="50"/>
      <c r="EQ100" s="50"/>
      <c r="ER100" s="50"/>
      <c r="ES100" s="50"/>
      <c r="ET100" s="50"/>
      <c r="EU100" s="50"/>
      <c r="EV100" s="50"/>
      <c r="EW100" s="50"/>
      <c r="EX100" s="50"/>
      <c r="EY100" s="50"/>
      <c r="EZ100" s="50"/>
      <c r="FA100" s="50"/>
      <c r="FB100" s="50"/>
      <c r="FC100" s="50"/>
      <c r="FD100" s="50"/>
      <c r="FE100" s="50"/>
    </row>
    <row r="101" spans="1:161" x14ac:dyDescent="0.15">
      <c r="A101" s="46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52"/>
      <c r="W101" s="52"/>
      <c r="X101" s="52"/>
      <c r="Y101" s="52"/>
      <c r="Z101" s="52"/>
      <c r="AA101" s="52"/>
      <c r="AB101" s="52"/>
      <c r="AC101" s="52"/>
      <c r="AD101" s="52"/>
      <c r="AE101" s="52"/>
      <c r="AF101" s="52"/>
      <c r="AG101" s="52"/>
      <c r="AH101" s="52"/>
      <c r="AI101" s="52"/>
      <c r="AJ101" s="52"/>
      <c r="AK101" s="52"/>
      <c r="AL101" s="52"/>
      <c r="AM101" s="52"/>
      <c r="AN101" s="52"/>
      <c r="AO101" s="52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52"/>
      <c r="BK101" s="52"/>
      <c r="BL101" s="52"/>
      <c r="BM101" s="52"/>
      <c r="BN101" s="52"/>
      <c r="BO101" s="52"/>
      <c r="BP101" s="52"/>
      <c r="BQ101" s="52"/>
      <c r="BR101" s="52"/>
      <c r="BS101" s="52"/>
      <c r="BT101" s="52"/>
      <c r="BU101" s="52"/>
      <c r="BV101" s="52"/>
      <c r="BW101" s="52"/>
      <c r="BX101" s="52"/>
      <c r="BY101" s="52"/>
      <c r="BZ101" s="52"/>
      <c r="CA101" s="52"/>
      <c r="CB101" s="52"/>
      <c r="CC101" s="52"/>
      <c r="CD101" s="43"/>
      <c r="CE101" s="43"/>
      <c r="CF101" s="43"/>
      <c r="CG101" s="43"/>
      <c r="CH101" s="43"/>
      <c r="CI101" s="43"/>
      <c r="CJ101" s="43"/>
      <c r="CK101" s="43"/>
      <c r="CL101" s="43"/>
      <c r="CM101" s="43"/>
      <c r="CN101" s="43"/>
      <c r="CO101" s="43"/>
      <c r="CP101" s="43"/>
      <c r="CQ101" s="43"/>
      <c r="CR101" s="43"/>
      <c r="CS101" s="43"/>
      <c r="CT101" s="43"/>
      <c r="CU101" s="43"/>
      <c r="CV101" s="43"/>
      <c r="CW101" s="43"/>
      <c r="CX101" s="52"/>
      <c r="CY101" s="52"/>
      <c r="CZ101" s="52"/>
      <c r="DA101" s="52"/>
      <c r="DB101" s="52"/>
      <c r="DC101" s="52"/>
      <c r="DD101" s="52"/>
      <c r="DE101" s="52"/>
      <c r="DF101" s="52"/>
      <c r="DG101" s="52"/>
      <c r="DH101" s="52"/>
      <c r="DI101" s="52"/>
      <c r="DJ101" s="52"/>
      <c r="DK101" s="52"/>
      <c r="DL101" s="52"/>
      <c r="DM101" s="52"/>
      <c r="DN101" s="52"/>
      <c r="DO101" s="52"/>
      <c r="DP101" s="52"/>
      <c r="DQ101" s="52"/>
      <c r="DR101" s="43">
        <v>1</v>
      </c>
      <c r="DS101" s="43">
        <v>1</v>
      </c>
      <c r="DT101" s="43">
        <v>1</v>
      </c>
      <c r="DU101" s="43">
        <v>1</v>
      </c>
      <c r="DV101" s="43">
        <v>1</v>
      </c>
      <c r="DW101" s="43">
        <v>1</v>
      </c>
      <c r="DX101" s="43">
        <v>1</v>
      </c>
      <c r="DY101" s="43">
        <v>1</v>
      </c>
      <c r="DZ101" s="43">
        <v>1</v>
      </c>
      <c r="EA101" s="43">
        <v>1</v>
      </c>
      <c r="EB101" s="43">
        <v>1</v>
      </c>
      <c r="EC101" s="43">
        <v>1</v>
      </c>
      <c r="ED101" s="43">
        <v>1</v>
      </c>
      <c r="EE101" s="43">
        <v>1</v>
      </c>
      <c r="EF101" s="43">
        <v>1</v>
      </c>
      <c r="EG101" s="43">
        <v>1</v>
      </c>
      <c r="EH101" s="43">
        <v>1</v>
      </c>
      <c r="EI101" s="43">
        <v>1</v>
      </c>
      <c r="EJ101" s="43">
        <v>1</v>
      </c>
      <c r="EK101" s="43">
        <v>1</v>
      </c>
      <c r="EL101" s="50"/>
      <c r="EM101" s="50"/>
      <c r="EN101" s="50"/>
      <c r="EO101" s="50"/>
      <c r="EP101" s="50"/>
      <c r="EQ101" s="50"/>
      <c r="ER101" s="50"/>
      <c r="ES101" s="50"/>
      <c r="ET101" s="50"/>
      <c r="EU101" s="50"/>
      <c r="EV101" s="50"/>
      <c r="EW101" s="50"/>
      <c r="EX101" s="50"/>
      <c r="EY101" s="50"/>
      <c r="EZ101" s="50"/>
      <c r="FA101" s="50"/>
      <c r="FB101" s="50"/>
      <c r="FC101" s="50"/>
      <c r="FD101" s="50"/>
      <c r="FE101" s="50"/>
    </row>
    <row r="102" spans="1:161" x14ac:dyDescent="0.15">
      <c r="A102" s="46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52"/>
      <c r="W102" s="52"/>
      <c r="X102" s="52"/>
      <c r="Y102" s="52"/>
      <c r="Z102" s="52"/>
      <c r="AA102" s="52"/>
      <c r="AB102" s="52"/>
      <c r="AC102" s="52"/>
      <c r="AD102" s="52"/>
      <c r="AE102" s="52"/>
      <c r="AF102" s="52"/>
      <c r="AG102" s="52"/>
      <c r="AH102" s="52"/>
      <c r="AI102" s="52"/>
      <c r="AJ102" s="52"/>
      <c r="AK102" s="52"/>
      <c r="AL102" s="52"/>
      <c r="AM102" s="52"/>
      <c r="AN102" s="52"/>
      <c r="AO102" s="52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52"/>
      <c r="BK102" s="52"/>
      <c r="BL102" s="52"/>
      <c r="BM102" s="52"/>
      <c r="BN102" s="52"/>
      <c r="BO102" s="52"/>
      <c r="BP102" s="52"/>
      <c r="BQ102" s="52"/>
      <c r="BR102" s="52"/>
      <c r="BS102" s="52"/>
      <c r="BT102" s="52"/>
      <c r="BU102" s="52"/>
      <c r="BV102" s="52"/>
      <c r="BW102" s="52"/>
      <c r="BX102" s="52"/>
      <c r="BY102" s="52"/>
      <c r="BZ102" s="52"/>
      <c r="CA102" s="52"/>
      <c r="CB102" s="52"/>
      <c r="CC102" s="52"/>
      <c r="CD102" s="43"/>
      <c r="CE102" s="43"/>
      <c r="CF102" s="43"/>
      <c r="CG102" s="43"/>
      <c r="CH102" s="43"/>
      <c r="CI102" s="43"/>
      <c r="CJ102" s="43"/>
      <c r="CK102" s="43"/>
      <c r="CL102" s="43"/>
      <c r="CM102" s="43"/>
      <c r="CN102" s="43"/>
      <c r="CO102" s="43"/>
      <c r="CP102" s="43"/>
      <c r="CQ102" s="43"/>
      <c r="CR102" s="43"/>
      <c r="CS102" s="43"/>
      <c r="CT102" s="43"/>
      <c r="CU102" s="43"/>
      <c r="CV102" s="43"/>
      <c r="CW102" s="43"/>
      <c r="CX102" s="52"/>
      <c r="CY102" s="52"/>
      <c r="CZ102" s="52"/>
      <c r="DA102" s="52"/>
      <c r="DB102" s="52"/>
      <c r="DC102" s="52"/>
      <c r="DD102" s="52"/>
      <c r="DE102" s="52"/>
      <c r="DF102" s="52"/>
      <c r="DG102" s="52"/>
      <c r="DH102" s="52"/>
      <c r="DI102" s="52"/>
      <c r="DJ102" s="52"/>
      <c r="DK102" s="52"/>
      <c r="DL102" s="52"/>
      <c r="DM102" s="52"/>
      <c r="DN102" s="52"/>
      <c r="DO102" s="52"/>
      <c r="DP102" s="52"/>
      <c r="DQ102" s="52"/>
      <c r="DR102" s="43">
        <v>1</v>
      </c>
      <c r="DS102" s="43">
        <v>1</v>
      </c>
      <c r="DT102" s="43">
        <v>1</v>
      </c>
      <c r="DU102" s="43">
        <v>1</v>
      </c>
      <c r="DV102" s="43">
        <v>1</v>
      </c>
      <c r="DW102" s="43">
        <v>1</v>
      </c>
      <c r="DX102" s="43">
        <v>1</v>
      </c>
      <c r="DY102" s="43">
        <v>1</v>
      </c>
      <c r="DZ102" s="43">
        <v>1</v>
      </c>
      <c r="EA102" s="43">
        <v>1</v>
      </c>
      <c r="EB102" s="43">
        <v>1</v>
      </c>
      <c r="EC102" s="43">
        <v>1</v>
      </c>
      <c r="ED102" s="43">
        <v>1</v>
      </c>
      <c r="EE102" s="43">
        <v>1</v>
      </c>
      <c r="EF102" s="43">
        <v>1</v>
      </c>
      <c r="EG102" s="43">
        <v>1</v>
      </c>
      <c r="EH102" s="43">
        <v>1</v>
      </c>
      <c r="EI102" s="43">
        <v>1</v>
      </c>
      <c r="EJ102" s="43">
        <v>1</v>
      </c>
      <c r="EK102" s="43">
        <v>1</v>
      </c>
      <c r="EL102" s="50"/>
      <c r="EM102" s="50"/>
      <c r="EN102" s="50"/>
      <c r="EO102" s="50"/>
      <c r="EP102" s="50"/>
      <c r="EQ102" s="50"/>
      <c r="ER102" s="50"/>
      <c r="ES102" s="50"/>
      <c r="ET102" s="50"/>
      <c r="EU102" s="50"/>
      <c r="EV102" s="50"/>
      <c r="EW102" s="50"/>
      <c r="EX102" s="50"/>
      <c r="EY102" s="50"/>
      <c r="EZ102" s="50"/>
      <c r="FA102" s="50"/>
      <c r="FB102" s="50"/>
      <c r="FC102" s="50"/>
      <c r="FD102" s="50"/>
      <c r="FE102" s="50"/>
    </row>
    <row r="103" spans="1:161" x14ac:dyDescent="0.15">
      <c r="A103" s="46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52"/>
      <c r="W103" s="52"/>
      <c r="X103" s="52"/>
      <c r="Y103" s="52"/>
      <c r="Z103" s="52"/>
      <c r="AA103" s="52"/>
      <c r="AB103" s="52"/>
      <c r="AC103" s="52"/>
      <c r="AD103" s="52"/>
      <c r="AE103" s="52"/>
      <c r="AF103" s="52"/>
      <c r="AG103" s="52"/>
      <c r="AH103" s="52"/>
      <c r="AI103" s="52"/>
      <c r="AJ103" s="52"/>
      <c r="AK103" s="52"/>
      <c r="AL103" s="52"/>
      <c r="AM103" s="52"/>
      <c r="AN103" s="52"/>
      <c r="AO103" s="52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52"/>
      <c r="BK103" s="52"/>
      <c r="BL103" s="52"/>
      <c r="BM103" s="52"/>
      <c r="BN103" s="52"/>
      <c r="BO103" s="52"/>
      <c r="BP103" s="52"/>
      <c r="BQ103" s="52"/>
      <c r="BR103" s="52"/>
      <c r="BS103" s="52"/>
      <c r="BT103" s="52"/>
      <c r="BU103" s="52"/>
      <c r="BV103" s="52"/>
      <c r="BW103" s="52"/>
      <c r="BX103" s="52"/>
      <c r="BY103" s="52"/>
      <c r="BZ103" s="52"/>
      <c r="CA103" s="52"/>
      <c r="CB103" s="52"/>
      <c r="CC103" s="52"/>
      <c r="CD103" s="43"/>
      <c r="CE103" s="43"/>
      <c r="CF103" s="43"/>
      <c r="CG103" s="43"/>
      <c r="CH103" s="43"/>
      <c r="CI103" s="43"/>
      <c r="CJ103" s="43"/>
      <c r="CK103" s="43"/>
      <c r="CL103" s="43"/>
      <c r="CM103" s="43"/>
      <c r="CN103" s="43"/>
      <c r="CO103" s="43"/>
      <c r="CP103" s="43"/>
      <c r="CQ103" s="43"/>
      <c r="CR103" s="43"/>
      <c r="CS103" s="43"/>
      <c r="CT103" s="43"/>
      <c r="CU103" s="43"/>
      <c r="CV103" s="43"/>
      <c r="CW103" s="43"/>
      <c r="CX103" s="52"/>
      <c r="CY103" s="52"/>
      <c r="CZ103" s="52"/>
      <c r="DA103" s="52"/>
      <c r="DB103" s="52"/>
      <c r="DC103" s="52"/>
      <c r="DD103" s="52"/>
      <c r="DE103" s="52"/>
      <c r="DF103" s="52"/>
      <c r="DG103" s="52"/>
      <c r="DH103" s="52"/>
      <c r="DI103" s="52"/>
      <c r="DJ103" s="52"/>
      <c r="DK103" s="52"/>
      <c r="DL103" s="52"/>
      <c r="DM103" s="52"/>
      <c r="DN103" s="52"/>
      <c r="DO103" s="52"/>
      <c r="DP103" s="52"/>
      <c r="DQ103" s="52"/>
      <c r="DR103" s="43">
        <v>1</v>
      </c>
      <c r="DS103" s="43">
        <v>1</v>
      </c>
      <c r="DT103" s="43">
        <v>1</v>
      </c>
      <c r="DU103" s="43">
        <v>1</v>
      </c>
      <c r="DV103" s="43">
        <v>1</v>
      </c>
      <c r="DW103" s="43">
        <v>1</v>
      </c>
      <c r="DX103" s="43">
        <v>1</v>
      </c>
      <c r="DY103" s="43">
        <v>1</v>
      </c>
      <c r="DZ103" s="43">
        <v>1</v>
      </c>
      <c r="EA103" s="43">
        <v>1</v>
      </c>
      <c r="EB103" s="43">
        <v>1</v>
      </c>
      <c r="EC103" s="43">
        <v>1</v>
      </c>
      <c r="ED103" s="43">
        <v>1</v>
      </c>
      <c r="EE103" s="43">
        <v>1</v>
      </c>
      <c r="EF103" s="43">
        <v>1</v>
      </c>
      <c r="EG103" s="43">
        <v>1</v>
      </c>
      <c r="EH103" s="43">
        <v>1</v>
      </c>
      <c r="EI103" s="43">
        <v>1</v>
      </c>
      <c r="EJ103" s="43">
        <v>1</v>
      </c>
      <c r="EK103" s="43">
        <v>1</v>
      </c>
      <c r="EL103" s="50"/>
      <c r="EM103" s="50"/>
      <c r="EN103" s="50"/>
      <c r="EO103" s="50"/>
      <c r="EP103" s="50"/>
      <c r="EQ103" s="50"/>
      <c r="ER103" s="50"/>
      <c r="ES103" s="50"/>
      <c r="ET103" s="50"/>
      <c r="EU103" s="50"/>
      <c r="EV103" s="50"/>
      <c r="EW103" s="50"/>
      <c r="EX103" s="50"/>
      <c r="EY103" s="50"/>
      <c r="EZ103" s="50"/>
      <c r="FA103" s="50"/>
      <c r="FB103" s="50"/>
      <c r="FC103" s="50"/>
      <c r="FD103" s="50"/>
      <c r="FE103" s="50"/>
    </row>
    <row r="104" spans="1:161" x14ac:dyDescent="0.15">
      <c r="A104" s="46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  <c r="BX104" s="52"/>
      <c r="BY104" s="52"/>
      <c r="BZ104" s="52"/>
      <c r="CA104" s="52"/>
      <c r="CB104" s="52"/>
      <c r="CC104" s="52"/>
      <c r="CD104" s="43"/>
      <c r="CE104" s="43"/>
      <c r="CF104" s="43"/>
      <c r="CG104" s="43"/>
      <c r="CH104" s="43"/>
      <c r="CI104" s="43"/>
      <c r="CJ104" s="43"/>
      <c r="CK104" s="43"/>
      <c r="CL104" s="43"/>
      <c r="CM104" s="43"/>
      <c r="CN104" s="43"/>
      <c r="CO104" s="43"/>
      <c r="CP104" s="43"/>
      <c r="CQ104" s="43"/>
      <c r="CR104" s="43"/>
      <c r="CS104" s="43"/>
      <c r="CT104" s="43"/>
      <c r="CU104" s="43"/>
      <c r="CV104" s="43"/>
      <c r="CW104" s="43"/>
      <c r="CX104" s="52"/>
      <c r="CY104" s="52"/>
      <c r="CZ104" s="52"/>
      <c r="DA104" s="52"/>
      <c r="DB104" s="52"/>
      <c r="DC104" s="52"/>
      <c r="DD104" s="52"/>
      <c r="DE104" s="52"/>
      <c r="DF104" s="52"/>
      <c r="DG104" s="52"/>
      <c r="DH104" s="52"/>
      <c r="DI104" s="52"/>
      <c r="DJ104" s="52"/>
      <c r="DK104" s="52"/>
      <c r="DL104" s="52"/>
      <c r="DM104" s="52"/>
      <c r="DN104" s="52"/>
      <c r="DO104" s="52"/>
      <c r="DP104" s="52"/>
      <c r="DQ104" s="52"/>
      <c r="DR104" s="43">
        <v>1</v>
      </c>
      <c r="DS104" s="43">
        <v>1</v>
      </c>
      <c r="DT104" s="43">
        <v>1</v>
      </c>
      <c r="DU104" s="43">
        <v>1</v>
      </c>
      <c r="DV104" s="43">
        <v>1</v>
      </c>
      <c r="DW104" s="43">
        <v>1</v>
      </c>
      <c r="DX104" s="43">
        <v>1</v>
      </c>
      <c r="DY104" s="43">
        <v>1</v>
      </c>
      <c r="DZ104" s="43">
        <v>1</v>
      </c>
      <c r="EA104" s="43">
        <v>1</v>
      </c>
      <c r="EB104" s="43">
        <v>1</v>
      </c>
      <c r="EC104" s="43">
        <v>1</v>
      </c>
      <c r="ED104" s="43">
        <v>1</v>
      </c>
      <c r="EE104" s="43">
        <v>1</v>
      </c>
      <c r="EF104" s="43">
        <v>1</v>
      </c>
      <c r="EG104" s="43">
        <v>1</v>
      </c>
      <c r="EH104" s="43">
        <v>1</v>
      </c>
      <c r="EI104" s="43">
        <v>1</v>
      </c>
      <c r="EJ104" s="43">
        <v>1</v>
      </c>
      <c r="EK104" s="43">
        <v>1</v>
      </c>
      <c r="EL104" s="50"/>
      <c r="EM104" s="50"/>
      <c r="EN104" s="50"/>
      <c r="EO104" s="50"/>
      <c r="EP104" s="50"/>
      <c r="EQ104" s="50"/>
      <c r="ER104" s="50"/>
      <c r="ES104" s="50"/>
      <c r="ET104" s="50"/>
      <c r="EU104" s="50"/>
      <c r="EV104" s="50"/>
      <c r="EW104" s="50"/>
      <c r="EX104" s="50"/>
      <c r="EY104" s="50"/>
      <c r="EZ104" s="50"/>
      <c r="FA104" s="50"/>
      <c r="FB104" s="50"/>
      <c r="FC104" s="50"/>
      <c r="FD104" s="50"/>
      <c r="FE104" s="50"/>
    </row>
    <row r="105" spans="1:161" x14ac:dyDescent="0.15">
      <c r="A105" s="46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  <c r="BX105" s="52"/>
      <c r="BY105" s="52"/>
      <c r="BZ105" s="52"/>
      <c r="CA105" s="52"/>
      <c r="CB105" s="52"/>
      <c r="CC105" s="52"/>
      <c r="CD105" s="43"/>
      <c r="CE105" s="43"/>
      <c r="CF105" s="43"/>
      <c r="CG105" s="43"/>
      <c r="CH105" s="43"/>
      <c r="CI105" s="43"/>
      <c r="CJ105" s="43"/>
      <c r="CK105" s="43"/>
      <c r="CL105" s="43"/>
      <c r="CM105" s="43"/>
      <c r="CN105" s="43"/>
      <c r="CO105" s="43"/>
      <c r="CP105" s="43"/>
      <c r="CQ105" s="43"/>
      <c r="CR105" s="43"/>
      <c r="CS105" s="43"/>
      <c r="CT105" s="43"/>
      <c r="CU105" s="43"/>
      <c r="CV105" s="43"/>
      <c r="CW105" s="43"/>
      <c r="CX105" s="52"/>
      <c r="CY105" s="52"/>
      <c r="CZ105" s="52"/>
      <c r="DA105" s="52"/>
      <c r="DB105" s="52"/>
      <c r="DC105" s="52"/>
      <c r="DD105" s="52"/>
      <c r="DE105" s="52"/>
      <c r="DF105" s="52"/>
      <c r="DG105" s="52"/>
      <c r="DH105" s="52"/>
      <c r="DI105" s="52"/>
      <c r="DJ105" s="52"/>
      <c r="DK105" s="52"/>
      <c r="DL105" s="52"/>
      <c r="DM105" s="52"/>
      <c r="DN105" s="52"/>
      <c r="DO105" s="52"/>
      <c r="DP105" s="52"/>
      <c r="DQ105" s="52"/>
      <c r="DR105" s="43">
        <v>1</v>
      </c>
      <c r="DS105" s="43">
        <v>1</v>
      </c>
      <c r="DT105" s="43">
        <v>1</v>
      </c>
      <c r="DU105" s="43">
        <v>1</v>
      </c>
      <c r="DV105" s="43">
        <v>1</v>
      </c>
      <c r="DW105" s="43">
        <v>1</v>
      </c>
      <c r="DX105" s="43">
        <v>1</v>
      </c>
      <c r="DY105" s="43">
        <v>1</v>
      </c>
      <c r="DZ105" s="43">
        <v>1</v>
      </c>
      <c r="EA105" s="43">
        <v>1</v>
      </c>
      <c r="EB105" s="43">
        <v>1</v>
      </c>
      <c r="EC105" s="43">
        <v>1</v>
      </c>
      <c r="ED105" s="43">
        <v>1</v>
      </c>
      <c r="EE105" s="43">
        <v>1</v>
      </c>
      <c r="EF105" s="43">
        <v>1</v>
      </c>
      <c r="EG105" s="43">
        <v>1</v>
      </c>
      <c r="EH105" s="43">
        <v>1</v>
      </c>
      <c r="EI105" s="43">
        <v>1</v>
      </c>
      <c r="EJ105" s="43">
        <v>1</v>
      </c>
      <c r="EK105" s="43">
        <v>1</v>
      </c>
      <c r="EL105" s="50"/>
      <c r="EM105" s="50"/>
      <c r="EN105" s="50"/>
      <c r="EO105" s="50"/>
      <c r="EP105" s="50"/>
      <c r="EQ105" s="50"/>
      <c r="ER105" s="50"/>
      <c r="ES105" s="50"/>
      <c r="ET105" s="50"/>
      <c r="EU105" s="50"/>
      <c r="EV105" s="50"/>
      <c r="EW105" s="50"/>
      <c r="EX105" s="50"/>
      <c r="EY105" s="50"/>
      <c r="EZ105" s="50"/>
      <c r="FA105" s="50"/>
      <c r="FB105" s="50"/>
      <c r="FC105" s="50"/>
      <c r="FD105" s="50"/>
      <c r="FE105" s="50"/>
    </row>
    <row r="106" spans="1:161" x14ac:dyDescent="0.15">
      <c r="A106" s="46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52"/>
      <c r="W106" s="52"/>
      <c r="X106" s="52"/>
      <c r="Y106" s="52"/>
      <c r="Z106" s="52"/>
      <c r="AA106" s="52"/>
      <c r="AB106" s="52"/>
      <c r="AC106" s="52"/>
      <c r="AD106" s="52"/>
      <c r="AE106" s="52"/>
      <c r="AF106" s="52"/>
      <c r="AG106" s="52"/>
      <c r="AH106" s="52"/>
      <c r="AI106" s="52"/>
      <c r="AJ106" s="52"/>
      <c r="AK106" s="52"/>
      <c r="AL106" s="52"/>
      <c r="AM106" s="52"/>
      <c r="AN106" s="52"/>
      <c r="AO106" s="52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52"/>
      <c r="BK106" s="52"/>
      <c r="BL106" s="52"/>
      <c r="BM106" s="52"/>
      <c r="BN106" s="52"/>
      <c r="BO106" s="52"/>
      <c r="BP106" s="52"/>
      <c r="BQ106" s="52"/>
      <c r="BR106" s="52"/>
      <c r="BS106" s="52"/>
      <c r="BT106" s="52"/>
      <c r="BU106" s="52"/>
      <c r="BV106" s="52"/>
      <c r="BW106" s="52"/>
      <c r="BX106" s="52"/>
      <c r="BY106" s="52"/>
      <c r="BZ106" s="52"/>
      <c r="CA106" s="52"/>
      <c r="CB106" s="52"/>
      <c r="CC106" s="52"/>
      <c r="CD106" s="43"/>
      <c r="CE106" s="43"/>
      <c r="CF106" s="43"/>
      <c r="CG106" s="43"/>
      <c r="CH106" s="43"/>
      <c r="CI106" s="43"/>
      <c r="CJ106" s="43"/>
      <c r="CK106" s="43"/>
      <c r="CL106" s="43"/>
      <c r="CM106" s="43"/>
      <c r="CN106" s="43"/>
      <c r="CO106" s="43"/>
      <c r="CP106" s="43"/>
      <c r="CQ106" s="43"/>
      <c r="CR106" s="43"/>
      <c r="CS106" s="43"/>
      <c r="CT106" s="43"/>
      <c r="CU106" s="43"/>
      <c r="CV106" s="43"/>
      <c r="CW106" s="43"/>
      <c r="CX106" s="52"/>
      <c r="CY106" s="52"/>
      <c r="CZ106" s="52"/>
      <c r="DA106" s="52"/>
      <c r="DB106" s="52"/>
      <c r="DC106" s="52"/>
      <c r="DD106" s="52"/>
      <c r="DE106" s="52"/>
      <c r="DF106" s="52"/>
      <c r="DG106" s="52"/>
      <c r="DH106" s="52"/>
      <c r="DI106" s="52"/>
      <c r="DJ106" s="52"/>
      <c r="DK106" s="52"/>
      <c r="DL106" s="52"/>
      <c r="DM106" s="52"/>
      <c r="DN106" s="52"/>
      <c r="DO106" s="52"/>
      <c r="DP106" s="52"/>
      <c r="DQ106" s="52"/>
      <c r="DR106" s="43">
        <v>1</v>
      </c>
      <c r="DS106" s="43">
        <v>1</v>
      </c>
      <c r="DT106" s="43">
        <v>1</v>
      </c>
      <c r="DU106" s="43">
        <v>1</v>
      </c>
      <c r="DV106" s="43">
        <v>1</v>
      </c>
      <c r="DW106" s="43">
        <v>1</v>
      </c>
      <c r="DX106" s="43">
        <v>1</v>
      </c>
      <c r="DY106" s="43">
        <v>1</v>
      </c>
      <c r="DZ106" s="43">
        <v>1</v>
      </c>
      <c r="EA106" s="43">
        <v>1</v>
      </c>
      <c r="EB106" s="43">
        <v>1</v>
      </c>
      <c r="EC106" s="43">
        <v>1</v>
      </c>
      <c r="ED106" s="43">
        <v>1</v>
      </c>
      <c r="EE106" s="43">
        <v>1</v>
      </c>
      <c r="EF106" s="43">
        <v>1</v>
      </c>
      <c r="EG106" s="43">
        <v>1</v>
      </c>
      <c r="EH106" s="43">
        <v>1</v>
      </c>
      <c r="EI106" s="43">
        <v>1</v>
      </c>
      <c r="EJ106" s="43">
        <v>1</v>
      </c>
      <c r="EK106" s="43">
        <v>1</v>
      </c>
      <c r="EL106" s="50"/>
      <c r="EM106" s="50"/>
      <c r="EN106" s="50"/>
      <c r="EO106" s="50"/>
      <c r="EP106" s="50"/>
      <c r="EQ106" s="50"/>
      <c r="ER106" s="50"/>
      <c r="ES106" s="50"/>
      <c r="ET106" s="50"/>
      <c r="EU106" s="50"/>
      <c r="EV106" s="50"/>
      <c r="EW106" s="50"/>
      <c r="EX106" s="50"/>
      <c r="EY106" s="50"/>
      <c r="EZ106" s="50"/>
      <c r="FA106" s="50"/>
      <c r="FB106" s="50"/>
      <c r="FC106" s="50"/>
      <c r="FD106" s="50"/>
      <c r="FE106" s="50"/>
    </row>
    <row r="107" spans="1:161" x14ac:dyDescent="0.15">
      <c r="A107" s="46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52"/>
      <c r="BK107" s="52"/>
      <c r="BL107" s="52"/>
      <c r="BM107" s="52"/>
      <c r="BN107" s="52"/>
      <c r="BO107" s="52"/>
      <c r="BP107" s="52"/>
      <c r="BQ107" s="52"/>
      <c r="BR107" s="52"/>
      <c r="BS107" s="52"/>
      <c r="BT107" s="52"/>
      <c r="BU107" s="52"/>
      <c r="BV107" s="52"/>
      <c r="BW107" s="52"/>
      <c r="BX107" s="52"/>
      <c r="BY107" s="52"/>
      <c r="BZ107" s="52"/>
      <c r="CA107" s="52"/>
      <c r="CB107" s="52"/>
      <c r="CC107" s="52"/>
      <c r="CD107" s="43"/>
      <c r="CE107" s="43"/>
      <c r="CF107" s="43"/>
      <c r="CG107" s="43"/>
      <c r="CH107" s="43"/>
      <c r="CI107" s="43"/>
      <c r="CJ107" s="43"/>
      <c r="CK107" s="43"/>
      <c r="CL107" s="43"/>
      <c r="CM107" s="43"/>
      <c r="CN107" s="43"/>
      <c r="CO107" s="43"/>
      <c r="CP107" s="43"/>
      <c r="CQ107" s="43"/>
      <c r="CR107" s="43"/>
      <c r="CS107" s="43"/>
      <c r="CT107" s="43"/>
      <c r="CU107" s="43"/>
      <c r="CV107" s="43"/>
      <c r="CW107" s="43"/>
      <c r="CX107" s="52"/>
      <c r="CY107" s="52"/>
      <c r="CZ107" s="52"/>
      <c r="DA107" s="52"/>
      <c r="DB107" s="52"/>
      <c r="DC107" s="52"/>
      <c r="DD107" s="52"/>
      <c r="DE107" s="52"/>
      <c r="DF107" s="52"/>
      <c r="DG107" s="52"/>
      <c r="DH107" s="52"/>
      <c r="DI107" s="52"/>
      <c r="DJ107" s="52"/>
      <c r="DK107" s="52"/>
      <c r="DL107" s="52"/>
      <c r="DM107" s="52"/>
      <c r="DN107" s="52"/>
      <c r="DO107" s="52"/>
      <c r="DP107" s="52"/>
      <c r="DQ107" s="52"/>
      <c r="DR107" s="43">
        <v>1</v>
      </c>
      <c r="DS107" s="43">
        <v>1</v>
      </c>
      <c r="DT107" s="43">
        <v>1</v>
      </c>
      <c r="DU107" s="43">
        <v>1</v>
      </c>
      <c r="DV107" s="43">
        <v>1</v>
      </c>
      <c r="DW107" s="43">
        <v>1</v>
      </c>
      <c r="DX107" s="43">
        <v>1</v>
      </c>
      <c r="DY107" s="43">
        <v>1</v>
      </c>
      <c r="DZ107" s="43">
        <v>1</v>
      </c>
      <c r="EA107" s="43">
        <v>1</v>
      </c>
      <c r="EB107" s="43">
        <v>1</v>
      </c>
      <c r="EC107" s="43">
        <v>1</v>
      </c>
      <c r="ED107" s="43">
        <v>1</v>
      </c>
      <c r="EE107" s="43">
        <v>1</v>
      </c>
      <c r="EF107" s="43">
        <v>1</v>
      </c>
      <c r="EG107" s="43">
        <v>1</v>
      </c>
      <c r="EH107" s="43">
        <v>1</v>
      </c>
      <c r="EI107" s="43">
        <v>1</v>
      </c>
      <c r="EJ107" s="43">
        <v>1</v>
      </c>
      <c r="EK107" s="43">
        <v>1</v>
      </c>
      <c r="EL107" s="50"/>
      <c r="EM107" s="50"/>
      <c r="EN107" s="50"/>
      <c r="EO107" s="50"/>
      <c r="EP107" s="50"/>
      <c r="EQ107" s="50"/>
      <c r="ER107" s="50"/>
      <c r="ES107" s="50"/>
      <c r="ET107" s="50"/>
      <c r="EU107" s="50"/>
      <c r="EV107" s="50"/>
      <c r="EW107" s="50"/>
      <c r="EX107" s="50"/>
      <c r="EY107" s="50"/>
      <c r="EZ107" s="50"/>
      <c r="FA107" s="50"/>
      <c r="FB107" s="50"/>
      <c r="FC107" s="50"/>
      <c r="FD107" s="50"/>
      <c r="FE107" s="50"/>
    </row>
    <row r="108" spans="1:161" x14ac:dyDescent="0.15">
      <c r="A108" s="46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52"/>
      <c r="W108" s="52"/>
      <c r="X108" s="52"/>
      <c r="Y108" s="52"/>
      <c r="Z108" s="52"/>
      <c r="AA108" s="52"/>
      <c r="AB108" s="52"/>
      <c r="AC108" s="52"/>
      <c r="AD108" s="52"/>
      <c r="AE108" s="52"/>
      <c r="AF108" s="52"/>
      <c r="AG108" s="52"/>
      <c r="AH108" s="52"/>
      <c r="AI108" s="52"/>
      <c r="AJ108" s="52"/>
      <c r="AK108" s="52"/>
      <c r="AL108" s="52"/>
      <c r="AM108" s="52"/>
      <c r="AN108" s="52"/>
      <c r="AO108" s="52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52"/>
      <c r="BK108" s="52"/>
      <c r="BL108" s="52"/>
      <c r="BM108" s="52"/>
      <c r="BN108" s="52"/>
      <c r="BO108" s="52"/>
      <c r="BP108" s="52"/>
      <c r="BQ108" s="52"/>
      <c r="BR108" s="52"/>
      <c r="BS108" s="52"/>
      <c r="BT108" s="52"/>
      <c r="BU108" s="52"/>
      <c r="BV108" s="52"/>
      <c r="BW108" s="52"/>
      <c r="BX108" s="52"/>
      <c r="BY108" s="52"/>
      <c r="BZ108" s="52"/>
      <c r="CA108" s="52"/>
      <c r="CB108" s="52"/>
      <c r="CC108" s="52"/>
      <c r="CD108" s="43"/>
      <c r="CE108" s="43"/>
      <c r="CF108" s="43"/>
      <c r="CG108" s="43"/>
      <c r="CH108" s="43"/>
      <c r="CI108" s="43"/>
      <c r="CJ108" s="43"/>
      <c r="CK108" s="43"/>
      <c r="CL108" s="43"/>
      <c r="CM108" s="43"/>
      <c r="CN108" s="43"/>
      <c r="CO108" s="43"/>
      <c r="CP108" s="43"/>
      <c r="CQ108" s="43"/>
      <c r="CR108" s="43"/>
      <c r="CS108" s="43"/>
      <c r="CT108" s="43"/>
      <c r="CU108" s="43"/>
      <c r="CV108" s="43"/>
      <c r="CW108" s="43"/>
      <c r="CX108" s="52"/>
      <c r="CY108" s="52"/>
      <c r="CZ108" s="52"/>
      <c r="DA108" s="52"/>
      <c r="DB108" s="52"/>
      <c r="DC108" s="52"/>
      <c r="DD108" s="52"/>
      <c r="DE108" s="52"/>
      <c r="DF108" s="52"/>
      <c r="DG108" s="52"/>
      <c r="DH108" s="52"/>
      <c r="DI108" s="52"/>
      <c r="DJ108" s="52"/>
      <c r="DK108" s="52"/>
      <c r="DL108" s="52"/>
      <c r="DM108" s="52"/>
      <c r="DN108" s="52"/>
      <c r="DO108" s="52"/>
      <c r="DP108" s="52"/>
      <c r="DQ108" s="52"/>
      <c r="DR108" s="43">
        <v>1</v>
      </c>
      <c r="DS108" s="43">
        <v>1</v>
      </c>
      <c r="DT108" s="43">
        <v>1</v>
      </c>
      <c r="DU108" s="43">
        <v>1</v>
      </c>
      <c r="DV108" s="43">
        <v>1</v>
      </c>
      <c r="DW108" s="43">
        <v>1</v>
      </c>
      <c r="DX108" s="43">
        <v>1</v>
      </c>
      <c r="DY108" s="43">
        <v>1</v>
      </c>
      <c r="DZ108" s="43">
        <v>1</v>
      </c>
      <c r="EA108" s="43">
        <v>1</v>
      </c>
      <c r="EB108" s="43">
        <v>1</v>
      </c>
      <c r="EC108" s="43">
        <v>1</v>
      </c>
      <c r="ED108" s="43">
        <v>1</v>
      </c>
      <c r="EE108" s="43">
        <v>1</v>
      </c>
      <c r="EF108" s="43">
        <v>1</v>
      </c>
      <c r="EG108" s="43">
        <v>1</v>
      </c>
      <c r="EH108" s="43">
        <v>1</v>
      </c>
      <c r="EI108" s="43">
        <v>1</v>
      </c>
      <c r="EJ108" s="43">
        <v>1</v>
      </c>
      <c r="EK108" s="43">
        <v>1</v>
      </c>
      <c r="EL108" s="50"/>
      <c r="EM108" s="50"/>
      <c r="EN108" s="50"/>
      <c r="EO108" s="50"/>
      <c r="EP108" s="50"/>
      <c r="EQ108" s="50"/>
      <c r="ER108" s="50"/>
      <c r="ES108" s="50"/>
      <c r="ET108" s="50"/>
      <c r="EU108" s="50"/>
      <c r="EV108" s="50"/>
      <c r="EW108" s="50"/>
      <c r="EX108" s="50"/>
      <c r="EY108" s="50"/>
      <c r="EZ108" s="50"/>
      <c r="FA108" s="50"/>
      <c r="FB108" s="50"/>
      <c r="FC108" s="50"/>
      <c r="FD108" s="50"/>
      <c r="FE108" s="50"/>
    </row>
    <row r="109" spans="1:161" x14ac:dyDescent="0.15">
      <c r="A109" s="46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52"/>
      <c r="W109" s="52"/>
      <c r="X109" s="52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52"/>
      <c r="BK109" s="52"/>
      <c r="BL109" s="52"/>
      <c r="BM109" s="52"/>
      <c r="BN109" s="52"/>
      <c r="BO109" s="52"/>
      <c r="BP109" s="52"/>
      <c r="BQ109" s="52"/>
      <c r="BR109" s="52"/>
      <c r="BS109" s="52"/>
      <c r="BT109" s="52"/>
      <c r="BU109" s="52"/>
      <c r="BV109" s="52"/>
      <c r="BW109" s="52"/>
      <c r="BX109" s="52"/>
      <c r="BY109" s="52"/>
      <c r="BZ109" s="52"/>
      <c r="CA109" s="52"/>
      <c r="CB109" s="52"/>
      <c r="CC109" s="52"/>
      <c r="CD109" s="43"/>
      <c r="CE109" s="43"/>
      <c r="CF109" s="43"/>
      <c r="CG109" s="43"/>
      <c r="CH109" s="43"/>
      <c r="CI109" s="43"/>
      <c r="CJ109" s="43"/>
      <c r="CK109" s="43"/>
      <c r="CL109" s="43"/>
      <c r="CM109" s="43"/>
      <c r="CN109" s="43"/>
      <c r="CO109" s="43"/>
      <c r="CP109" s="43"/>
      <c r="CQ109" s="43"/>
      <c r="CR109" s="43"/>
      <c r="CS109" s="43"/>
      <c r="CT109" s="43"/>
      <c r="CU109" s="43"/>
      <c r="CV109" s="43"/>
      <c r="CW109" s="43"/>
      <c r="CX109" s="52"/>
      <c r="CY109" s="52"/>
      <c r="CZ109" s="52"/>
      <c r="DA109" s="52"/>
      <c r="DB109" s="52"/>
      <c r="DC109" s="52"/>
      <c r="DD109" s="52"/>
      <c r="DE109" s="52"/>
      <c r="DF109" s="52"/>
      <c r="DG109" s="52"/>
      <c r="DH109" s="52"/>
      <c r="DI109" s="52"/>
      <c r="DJ109" s="52"/>
      <c r="DK109" s="52"/>
      <c r="DL109" s="52"/>
      <c r="DM109" s="52"/>
      <c r="DN109" s="52"/>
      <c r="DO109" s="52"/>
      <c r="DP109" s="52"/>
      <c r="DQ109" s="52"/>
      <c r="DR109" s="43">
        <v>1</v>
      </c>
      <c r="DS109" s="43">
        <v>1</v>
      </c>
      <c r="DT109" s="43">
        <v>1</v>
      </c>
      <c r="DU109" s="43">
        <v>1</v>
      </c>
      <c r="DV109" s="43">
        <v>1</v>
      </c>
      <c r="DW109" s="43">
        <v>1</v>
      </c>
      <c r="DX109" s="43">
        <v>1</v>
      </c>
      <c r="DY109" s="43">
        <v>1</v>
      </c>
      <c r="DZ109" s="43">
        <v>1</v>
      </c>
      <c r="EA109" s="43">
        <v>1</v>
      </c>
      <c r="EB109" s="43">
        <v>1</v>
      </c>
      <c r="EC109" s="43">
        <v>1</v>
      </c>
      <c r="ED109" s="43">
        <v>1</v>
      </c>
      <c r="EE109" s="43">
        <v>1</v>
      </c>
      <c r="EF109" s="43">
        <v>1</v>
      </c>
      <c r="EG109" s="43">
        <v>1</v>
      </c>
      <c r="EH109" s="43">
        <v>1</v>
      </c>
      <c r="EI109" s="43">
        <v>1</v>
      </c>
      <c r="EJ109" s="43">
        <v>1</v>
      </c>
      <c r="EK109" s="43">
        <v>1</v>
      </c>
      <c r="EL109" s="50"/>
      <c r="EM109" s="50"/>
      <c r="EN109" s="50"/>
      <c r="EO109" s="50"/>
      <c r="EP109" s="50"/>
      <c r="EQ109" s="50"/>
      <c r="ER109" s="50"/>
      <c r="ES109" s="50"/>
      <c r="ET109" s="50"/>
      <c r="EU109" s="50"/>
      <c r="EV109" s="50"/>
      <c r="EW109" s="50"/>
      <c r="EX109" s="50"/>
      <c r="EY109" s="50"/>
      <c r="EZ109" s="50"/>
      <c r="FA109" s="50"/>
      <c r="FB109" s="50"/>
      <c r="FC109" s="50"/>
      <c r="FD109" s="50"/>
      <c r="FE109" s="50"/>
    </row>
    <row r="110" spans="1:161" x14ac:dyDescent="0.15">
      <c r="A110" s="46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52"/>
      <c r="W110" s="52"/>
      <c r="X110" s="52"/>
      <c r="Y110" s="52"/>
      <c r="Z110" s="52"/>
      <c r="AA110" s="52"/>
      <c r="AB110" s="52"/>
      <c r="AC110" s="52"/>
      <c r="AD110" s="52"/>
      <c r="AE110" s="52"/>
      <c r="AF110" s="52"/>
      <c r="AG110" s="52"/>
      <c r="AH110" s="52"/>
      <c r="AI110" s="52"/>
      <c r="AJ110" s="52"/>
      <c r="AK110" s="52"/>
      <c r="AL110" s="52"/>
      <c r="AM110" s="52"/>
      <c r="AN110" s="52"/>
      <c r="AO110" s="52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52"/>
      <c r="BK110" s="52"/>
      <c r="BL110" s="52"/>
      <c r="BM110" s="52"/>
      <c r="BN110" s="52"/>
      <c r="BO110" s="52"/>
      <c r="BP110" s="52"/>
      <c r="BQ110" s="52"/>
      <c r="BR110" s="52"/>
      <c r="BS110" s="52"/>
      <c r="BT110" s="52"/>
      <c r="BU110" s="52"/>
      <c r="BV110" s="52"/>
      <c r="BW110" s="52"/>
      <c r="BX110" s="52"/>
      <c r="BY110" s="52"/>
      <c r="BZ110" s="52"/>
      <c r="CA110" s="52"/>
      <c r="CB110" s="52"/>
      <c r="CC110" s="52"/>
      <c r="CD110" s="43"/>
      <c r="CE110" s="43"/>
      <c r="CF110" s="43"/>
      <c r="CG110" s="43"/>
      <c r="CH110" s="43"/>
      <c r="CI110" s="43"/>
      <c r="CJ110" s="43"/>
      <c r="CK110" s="43"/>
      <c r="CL110" s="43"/>
      <c r="CM110" s="43"/>
      <c r="CN110" s="43"/>
      <c r="CO110" s="43"/>
      <c r="CP110" s="43"/>
      <c r="CQ110" s="43"/>
      <c r="CR110" s="43"/>
      <c r="CS110" s="43"/>
      <c r="CT110" s="43"/>
      <c r="CU110" s="43"/>
      <c r="CV110" s="43"/>
      <c r="CW110" s="43"/>
      <c r="CX110" s="52"/>
      <c r="CY110" s="52"/>
      <c r="CZ110" s="52"/>
      <c r="DA110" s="52"/>
      <c r="DB110" s="52"/>
      <c r="DC110" s="52"/>
      <c r="DD110" s="52"/>
      <c r="DE110" s="52"/>
      <c r="DF110" s="52"/>
      <c r="DG110" s="52"/>
      <c r="DH110" s="52"/>
      <c r="DI110" s="52"/>
      <c r="DJ110" s="52"/>
      <c r="DK110" s="52"/>
      <c r="DL110" s="52"/>
      <c r="DM110" s="52"/>
      <c r="DN110" s="52"/>
      <c r="DO110" s="52"/>
      <c r="DP110" s="52"/>
      <c r="DQ110" s="52"/>
      <c r="DR110" s="43">
        <v>1</v>
      </c>
      <c r="DS110" s="43">
        <v>1</v>
      </c>
      <c r="DT110" s="43">
        <v>1</v>
      </c>
      <c r="DU110" s="43">
        <v>1</v>
      </c>
      <c r="DV110" s="43">
        <v>1</v>
      </c>
      <c r="DW110" s="43">
        <v>1</v>
      </c>
      <c r="DX110" s="43">
        <v>1</v>
      </c>
      <c r="DY110" s="43">
        <v>1</v>
      </c>
      <c r="DZ110" s="43">
        <v>1</v>
      </c>
      <c r="EA110" s="43">
        <v>1</v>
      </c>
      <c r="EB110" s="43">
        <v>1</v>
      </c>
      <c r="EC110" s="43">
        <v>1</v>
      </c>
      <c r="ED110" s="43">
        <v>1</v>
      </c>
      <c r="EE110" s="43">
        <v>1</v>
      </c>
      <c r="EF110" s="43">
        <v>1</v>
      </c>
      <c r="EG110" s="43">
        <v>1</v>
      </c>
      <c r="EH110" s="43">
        <v>1</v>
      </c>
      <c r="EI110" s="43">
        <v>1</v>
      </c>
      <c r="EJ110" s="43">
        <v>1</v>
      </c>
      <c r="EK110" s="43">
        <v>1</v>
      </c>
      <c r="EL110" s="50"/>
      <c r="EM110" s="50"/>
      <c r="EN110" s="50"/>
      <c r="EO110" s="50"/>
      <c r="EP110" s="50"/>
      <c r="EQ110" s="50"/>
      <c r="ER110" s="50"/>
      <c r="ES110" s="50"/>
      <c r="ET110" s="50"/>
      <c r="EU110" s="50"/>
      <c r="EV110" s="50"/>
      <c r="EW110" s="50"/>
      <c r="EX110" s="50"/>
      <c r="EY110" s="50"/>
      <c r="EZ110" s="50"/>
      <c r="FA110" s="50"/>
      <c r="FB110" s="50"/>
      <c r="FC110" s="50"/>
      <c r="FD110" s="50"/>
      <c r="FE110" s="50"/>
    </row>
    <row r="111" spans="1:161" x14ac:dyDescent="0.15">
      <c r="A111" s="46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52"/>
      <c r="W111" s="52"/>
      <c r="X111" s="52"/>
      <c r="Y111" s="52"/>
      <c r="Z111" s="52"/>
      <c r="AA111" s="52"/>
      <c r="AB111" s="52"/>
      <c r="AC111" s="52"/>
      <c r="AD111" s="52"/>
      <c r="AE111" s="52"/>
      <c r="AF111" s="52"/>
      <c r="AG111" s="52"/>
      <c r="AH111" s="52"/>
      <c r="AI111" s="52"/>
      <c r="AJ111" s="52"/>
      <c r="AK111" s="52"/>
      <c r="AL111" s="52"/>
      <c r="AM111" s="52"/>
      <c r="AN111" s="52"/>
      <c r="AO111" s="52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52"/>
      <c r="BK111" s="52"/>
      <c r="BL111" s="52"/>
      <c r="BM111" s="52"/>
      <c r="BN111" s="52"/>
      <c r="BO111" s="52"/>
      <c r="BP111" s="52"/>
      <c r="BQ111" s="52"/>
      <c r="BR111" s="52"/>
      <c r="BS111" s="52"/>
      <c r="BT111" s="52"/>
      <c r="BU111" s="52"/>
      <c r="BV111" s="52"/>
      <c r="BW111" s="52"/>
      <c r="BX111" s="52"/>
      <c r="BY111" s="52"/>
      <c r="BZ111" s="52"/>
      <c r="CA111" s="52"/>
      <c r="CB111" s="52"/>
      <c r="CC111" s="52"/>
      <c r="CD111" s="43"/>
      <c r="CE111" s="43"/>
      <c r="CF111" s="43"/>
      <c r="CG111" s="43"/>
      <c r="CH111" s="43"/>
      <c r="CI111" s="43"/>
      <c r="CJ111" s="43"/>
      <c r="CK111" s="43"/>
      <c r="CL111" s="43"/>
      <c r="CM111" s="43"/>
      <c r="CN111" s="43"/>
      <c r="CO111" s="43"/>
      <c r="CP111" s="43"/>
      <c r="CQ111" s="43"/>
      <c r="CR111" s="43"/>
      <c r="CS111" s="43"/>
      <c r="CT111" s="43"/>
      <c r="CU111" s="43"/>
      <c r="CV111" s="43"/>
      <c r="CW111" s="43"/>
      <c r="CX111" s="52"/>
      <c r="CY111" s="52"/>
      <c r="CZ111" s="52"/>
      <c r="DA111" s="52"/>
      <c r="DB111" s="52"/>
      <c r="DC111" s="52"/>
      <c r="DD111" s="52"/>
      <c r="DE111" s="52"/>
      <c r="DF111" s="52"/>
      <c r="DG111" s="52"/>
      <c r="DH111" s="52"/>
      <c r="DI111" s="52"/>
      <c r="DJ111" s="52"/>
      <c r="DK111" s="52"/>
      <c r="DL111" s="52"/>
      <c r="DM111" s="52"/>
      <c r="DN111" s="52"/>
      <c r="DO111" s="52"/>
      <c r="DP111" s="52"/>
      <c r="DQ111" s="52"/>
      <c r="DR111" s="45">
        <v>1</v>
      </c>
      <c r="DS111" s="45">
        <v>1</v>
      </c>
      <c r="DT111" s="45">
        <v>1</v>
      </c>
      <c r="DU111" s="45">
        <v>1</v>
      </c>
      <c r="DV111" s="45">
        <v>1</v>
      </c>
      <c r="DW111" s="45">
        <v>1</v>
      </c>
      <c r="DX111" s="45">
        <v>1</v>
      </c>
      <c r="DY111" s="45">
        <v>1</v>
      </c>
      <c r="DZ111" s="45">
        <v>1</v>
      </c>
      <c r="EA111" s="45">
        <v>1</v>
      </c>
      <c r="EB111" s="45">
        <v>1</v>
      </c>
      <c r="EC111" s="45">
        <v>1</v>
      </c>
      <c r="ED111" s="45">
        <v>1</v>
      </c>
      <c r="EE111" s="45">
        <v>1</v>
      </c>
      <c r="EF111" s="45">
        <v>1</v>
      </c>
      <c r="EG111" s="45">
        <v>1</v>
      </c>
      <c r="EH111" s="45">
        <v>1</v>
      </c>
      <c r="EI111" s="45">
        <v>1</v>
      </c>
      <c r="EJ111" s="45">
        <v>1</v>
      </c>
      <c r="EK111" s="45">
        <v>1</v>
      </c>
      <c r="EL111" s="50"/>
      <c r="EM111" s="50"/>
      <c r="EN111" s="50"/>
      <c r="EO111" s="50"/>
      <c r="EP111" s="50"/>
      <c r="EQ111" s="50"/>
      <c r="ER111" s="50"/>
      <c r="ES111" s="50"/>
      <c r="ET111" s="50"/>
      <c r="EU111" s="50"/>
      <c r="EV111" s="50"/>
      <c r="EW111" s="50"/>
      <c r="EX111" s="50"/>
      <c r="EY111" s="50"/>
      <c r="EZ111" s="50"/>
      <c r="FA111" s="50"/>
      <c r="FB111" s="50"/>
      <c r="FC111" s="50"/>
      <c r="FD111" s="50"/>
      <c r="FE111" s="50"/>
    </row>
    <row r="112" spans="1:161" x14ac:dyDescent="0.15">
      <c r="A112" s="46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52"/>
      <c r="W112" s="52"/>
      <c r="X112" s="52"/>
      <c r="Y112" s="52"/>
      <c r="Z112" s="52"/>
      <c r="AA112" s="52"/>
      <c r="AB112" s="52"/>
      <c r="AC112" s="52"/>
      <c r="AD112" s="52"/>
      <c r="AE112" s="52"/>
      <c r="AF112" s="52"/>
      <c r="AG112" s="52"/>
      <c r="AH112" s="52"/>
      <c r="AI112" s="52"/>
      <c r="AJ112" s="52"/>
      <c r="AK112" s="52"/>
      <c r="AL112" s="52"/>
      <c r="AM112" s="52"/>
      <c r="AN112" s="52"/>
      <c r="AO112" s="52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52"/>
      <c r="BK112" s="52"/>
      <c r="BL112" s="52"/>
      <c r="BM112" s="52"/>
      <c r="BN112" s="52"/>
      <c r="BO112" s="52"/>
      <c r="BP112" s="52"/>
      <c r="BQ112" s="52"/>
      <c r="BR112" s="52"/>
      <c r="BS112" s="52"/>
      <c r="BT112" s="52"/>
      <c r="BU112" s="52"/>
      <c r="BV112" s="52"/>
      <c r="BW112" s="52"/>
      <c r="BX112" s="52"/>
      <c r="BY112" s="52"/>
      <c r="BZ112" s="52"/>
      <c r="CA112" s="52"/>
      <c r="CB112" s="52"/>
      <c r="CC112" s="52"/>
      <c r="CD112" s="43"/>
      <c r="CE112" s="43"/>
      <c r="CF112" s="43"/>
      <c r="CG112" s="43"/>
      <c r="CH112" s="43"/>
      <c r="CI112" s="43"/>
      <c r="CJ112" s="43"/>
      <c r="CK112" s="43"/>
      <c r="CL112" s="43"/>
      <c r="CM112" s="43"/>
      <c r="CN112" s="43"/>
      <c r="CO112" s="43"/>
      <c r="CP112" s="43"/>
      <c r="CQ112" s="43"/>
      <c r="CR112" s="43"/>
      <c r="CS112" s="43"/>
      <c r="CT112" s="43"/>
      <c r="CU112" s="43"/>
      <c r="CV112" s="43"/>
      <c r="CW112" s="43"/>
      <c r="CX112" s="52"/>
      <c r="CY112" s="52"/>
      <c r="CZ112" s="52"/>
      <c r="DA112" s="52"/>
      <c r="DB112" s="52"/>
      <c r="DC112" s="52"/>
      <c r="DD112" s="52"/>
      <c r="DE112" s="52"/>
      <c r="DF112" s="52"/>
      <c r="DG112" s="52"/>
      <c r="DH112" s="52"/>
      <c r="DI112" s="52"/>
      <c r="DJ112" s="52"/>
      <c r="DK112" s="52"/>
      <c r="DL112" s="52"/>
      <c r="DM112" s="52"/>
      <c r="DN112" s="52"/>
      <c r="DO112" s="52"/>
      <c r="DP112" s="52"/>
      <c r="DQ112" s="52"/>
      <c r="DR112" s="43">
        <v>1</v>
      </c>
      <c r="DS112" s="43">
        <v>1</v>
      </c>
      <c r="DT112" s="43">
        <v>1</v>
      </c>
      <c r="DU112" s="43">
        <v>1</v>
      </c>
      <c r="DV112" s="43">
        <v>1</v>
      </c>
      <c r="DW112" s="43">
        <v>1</v>
      </c>
      <c r="DX112" s="43">
        <v>1</v>
      </c>
      <c r="DY112" s="43">
        <v>1</v>
      </c>
      <c r="DZ112" s="43">
        <v>1</v>
      </c>
      <c r="EA112" s="43">
        <v>1</v>
      </c>
      <c r="EB112" s="43">
        <v>1</v>
      </c>
      <c r="EC112" s="43">
        <v>1</v>
      </c>
      <c r="ED112" s="43">
        <v>1</v>
      </c>
      <c r="EE112" s="43">
        <v>1</v>
      </c>
      <c r="EF112" s="43">
        <v>1</v>
      </c>
      <c r="EG112" s="43">
        <v>1</v>
      </c>
      <c r="EH112" s="43">
        <v>1</v>
      </c>
      <c r="EI112" s="43">
        <v>1</v>
      </c>
      <c r="EJ112" s="43">
        <v>1</v>
      </c>
      <c r="EK112" s="43">
        <v>1</v>
      </c>
      <c r="EL112" s="50"/>
      <c r="EM112" s="50"/>
      <c r="EN112" s="50"/>
      <c r="EO112" s="50"/>
      <c r="EP112" s="50"/>
      <c r="EQ112" s="50"/>
      <c r="ER112" s="50"/>
      <c r="ES112" s="50"/>
      <c r="ET112" s="50"/>
      <c r="EU112" s="50"/>
      <c r="EV112" s="50"/>
      <c r="EW112" s="50"/>
      <c r="EX112" s="50"/>
      <c r="EY112" s="50"/>
      <c r="EZ112" s="50"/>
      <c r="FA112" s="50"/>
      <c r="FB112" s="50"/>
      <c r="FC112" s="50"/>
      <c r="FD112" s="50"/>
      <c r="FE112" s="50"/>
    </row>
    <row r="113" spans="1:161" x14ac:dyDescent="0.15">
      <c r="A113" s="46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52"/>
      <c r="W113" s="52"/>
      <c r="X113" s="52"/>
      <c r="Y113" s="52"/>
      <c r="Z113" s="52"/>
      <c r="AA113" s="52"/>
      <c r="AB113" s="52"/>
      <c r="AC113" s="52"/>
      <c r="AD113" s="52"/>
      <c r="AE113" s="52"/>
      <c r="AF113" s="52"/>
      <c r="AG113" s="52"/>
      <c r="AH113" s="52"/>
      <c r="AI113" s="52"/>
      <c r="AJ113" s="52"/>
      <c r="AK113" s="52"/>
      <c r="AL113" s="52"/>
      <c r="AM113" s="52"/>
      <c r="AN113" s="52"/>
      <c r="AO113" s="52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52"/>
      <c r="BK113" s="52"/>
      <c r="BL113" s="52"/>
      <c r="BM113" s="52"/>
      <c r="BN113" s="52"/>
      <c r="BO113" s="52"/>
      <c r="BP113" s="52"/>
      <c r="BQ113" s="52"/>
      <c r="BR113" s="52"/>
      <c r="BS113" s="52"/>
      <c r="BT113" s="52"/>
      <c r="BU113" s="52"/>
      <c r="BV113" s="52"/>
      <c r="BW113" s="52"/>
      <c r="BX113" s="52"/>
      <c r="BY113" s="52"/>
      <c r="BZ113" s="52"/>
      <c r="CA113" s="52"/>
      <c r="CB113" s="52"/>
      <c r="CC113" s="52"/>
      <c r="CD113" s="43"/>
      <c r="CE113" s="43"/>
      <c r="CF113" s="43"/>
      <c r="CG113" s="43"/>
      <c r="CH113" s="43"/>
      <c r="CI113" s="43"/>
      <c r="CJ113" s="43"/>
      <c r="CK113" s="43"/>
      <c r="CL113" s="43"/>
      <c r="CM113" s="43"/>
      <c r="CN113" s="43"/>
      <c r="CO113" s="43"/>
      <c r="CP113" s="43"/>
      <c r="CQ113" s="43"/>
      <c r="CR113" s="43"/>
      <c r="CS113" s="43"/>
      <c r="CT113" s="43"/>
      <c r="CU113" s="43"/>
      <c r="CV113" s="43"/>
      <c r="CW113" s="43"/>
      <c r="CX113" s="52"/>
      <c r="CY113" s="52"/>
      <c r="CZ113" s="52"/>
      <c r="DA113" s="52"/>
      <c r="DB113" s="52"/>
      <c r="DC113" s="52"/>
      <c r="DD113" s="52"/>
      <c r="DE113" s="52"/>
      <c r="DF113" s="52"/>
      <c r="DG113" s="52"/>
      <c r="DH113" s="52"/>
      <c r="DI113" s="52"/>
      <c r="DJ113" s="52"/>
      <c r="DK113" s="52"/>
      <c r="DL113" s="52"/>
      <c r="DM113" s="52"/>
      <c r="DN113" s="52"/>
      <c r="DO113" s="52"/>
      <c r="DP113" s="52"/>
      <c r="DQ113" s="52"/>
      <c r="DR113" s="43">
        <v>1</v>
      </c>
      <c r="DS113" s="43">
        <v>1</v>
      </c>
      <c r="DT113" s="43">
        <v>1</v>
      </c>
      <c r="DU113" s="43">
        <v>1</v>
      </c>
      <c r="DV113" s="43">
        <v>1</v>
      </c>
      <c r="DW113" s="43">
        <v>1</v>
      </c>
      <c r="DX113" s="43">
        <v>1</v>
      </c>
      <c r="DY113" s="43">
        <v>1</v>
      </c>
      <c r="DZ113" s="43">
        <v>1</v>
      </c>
      <c r="EA113" s="43">
        <v>1</v>
      </c>
      <c r="EB113" s="43">
        <v>1</v>
      </c>
      <c r="EC113" s="43">
        <v>1</v>
      </c>
      <c r="ED113" s="43">
        <v>1</v>
      </c>
      <c r="EE113" s="43">
        <v>1</v>
      </c>
      <c r="EF113" s="43">
        <v>1</v>
      </c>
      <c r="EG113" s="43">
        <v>1</v>
      </c>
      <c r="EH113" s="43">
        <v>1</v>
      </c>
      <c r="EI113" s="43">
        <v>1</v>
      </c>
      <c r="EJ113" s="43">
        <v>1</v>
      </c>
      <c r="EK113" s="43">
        <v>1</v>
      </c>
      <c r="EL113" s="50"/>
      <c r="EM113" s="50"/>
      <c r="EN113" s="50"/>
      <c r="EO113" s="50"/>
      <c r="EP113" s="50"/>
      <c r="EQ113" s="50"/>
      <c r="ER113" s="50"/>
      <c r="ES113" s="50"/>
      <c r="ET113" s="50"/>
      <c r="EU113" s="50"/>
      <c r="EV113" s="50"/>
      <c r="EW113" s="50"/>
      <c r="EX113" s="50"/>
      <c r="EY113" s="50"/>
      <c r="EZ113" s="50"/>
      <c r="FA113" s="50"/>
      <c r="FB113" s="50"/>
      <c r="FC113" s="50"/>
      <c r="FD113" s="50"/>
      <c r="FE113" s="50"/>
    </row>
    <row r="114" spans="1:161" x14ac:dyDescent="0.15">
      <c r="A114" s="46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52"/>
      <c r="W114" s="52"/>
      <c r="X114" s="52"/>
      <c r="Y114" s="52"/>
      <c r="Z114" s="52"/>
      <c r="AA114" s="52"/>
      <c r="AB114" s="52"/>
      <c r="AC114" s="52"/>
      <c r="AD114" s="52"/>
      <c r="AE114" s="52"/>
      <c r="AF114" s="52"/>
      <c r="AG114" s="52"/>
      <c r="AH114" s="52"/>
      <c r="AI114" s="52"/>
      <c r="AJ114" s="52"/>
      <c r="AK114" s="52"/>
      <c r="AL114" s="52"/>
      <c r="AM114" s="52"/>
      <c r="AN114" s="52"/>
      <c r="AO114" s="52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52"/>
      <c r="BK114" s="52"/>
      <c r="BL114" s="52"/>
      <c r="BM114" s="52"/>
      <c r="BN114" s="52"/>
      <c r="BO114" s="52"/>
      <c r="BP114" s="52"/>
      <c r="BQ114" s="52"/>
      <c r="BR114" s="52"/>
      <c r="BS114" s="52"/>
      <c r="BT114" s="52"/>
      <c r="BU114" s="52"/>
      <c r="BV114" s="52"/>
      <c r="BW114" s="52"/>
      <c r="BX114" s="52"/>
      <c r="BY114" s="52"/>
      <c r="BZ114" s="52"/>
      <c r="CA114" s="52"/>
      <c r="CB114" s="52"/>
      <c r="CC114" s="52"/>
      <c r="CD114" s="43"/>
      <c r="CE114" s="43"/>
      <c r="CF114" s="43"/>
      <c r="CG114" s="43"/>
      <c r="CH114" s="43"/>
      <c r="CI114" s="43"/>
      <c r="CJ114" s="43"/>
      <c r="CK114" s="43"/>
      <c r="CL114" s="43"/>
      <c r="CM114" s="43"/>
      <c r="CN114" s="43"/>
      <c r="CO114" s="43"/>
      <c r="CP114" s="43"/>
      <c r="CQ114" s="43"/>
      <c r="CR114" s="43"/>
      <c r="CS114" s="43"/>
      <c r="CT114" s="43"/>
      <c r="CU114" s="43"/>
      <c r="CV114" s="43"/>
      <c r="CW114" s="43"/>
      <c r="CX114" s="52"/>
      <c r="CY114" s="52"/>
      <c r="CZ114" s="52"/>
      <c r="DA114" s="52"/>
      <c r="DB114" s="52"/>
      <c r="DC114" s="52"/>
      <c r="DD114" s="52"/>
      <c r="DE114" s="52"/>
      <c r="DF114" s="52"/>
      <c r="DG114" s="52"/>
      <c r="DH114" s="52"/>
      <c r="DI114" s="52"/>
      <c r="DJ114" s="52"/>
      <c r="DK114" s="52"/>
      <c r="DL114" s="52"/>
      <c r="DM114" s="52"/>
      <c r="DN114" s="52"/>
      <c r="DO114" s="52"/>
      <c r="DP114" s="52"/>
      <c r="DQ114" s="52"/>
      <c r="DR114" s="43">
        <v>1</v>
      </c>
      <c r="DS114" s="43">
        <v>1</v>
      </c>
      <c r="DT114" s="43">
        <v>1</v>
      </c>
      <c r="DU114" s="43">
        <v>1</v>
      </c>
      <c r="DV114" s="43">
        <v>1</v>
      </c>
      <c r="DW114" s="43">
        <v>1</v>
      </c>
      <c r="DX114" s="43">
        <v>1</v>
      </c>
      <c r="DY114" s="43">
        <v>1</v>
      </c>
      <c r="DZ114" s="43">
        <v>1</v>
      </c>
      <c r="EA114" s="43">
        <v>1</v>
      </c>
      <c r="EB114" s="43">
        <v>1</v>
      </c>
      <c r="EC114" s="43">
        <v>1</v>
      </c>
      <c r="ED114" s="43">
        <v>1</v>
      </c>
      <c r="EE114" s="43">
        <v>1</v>
      </c>
      <c r="EF114" s="43">
        <v>1</v>
      </c>
      <c r="EG114" s="43">
        <v>1</v>
      </c>
      <c r="EH114" s="43">
        <v>1</v>
      </c>
      <c r="EI114" s="43">
        <v>1</v>
      </c>
      <c r="EJ114" s="43">
        <v>1</v>
      </c>
      <c r="EK114" s="43">
        <v>1</v>
      </c>
      <c r="EL114" s="50"/>
      <c r="EM114" s="50"/>
      <c r="EN114" s="50"/>
      <c r="EO114" s="50"/>
      <c r="EP114" s="50"/>
      <c r="EQ114" s="50"/>
      <c r="ER114" s="50"/>
      <c r="ES114" s="50"/>
      <c r="ET114" s="50"/>
      <c r="EU114" s="50"/>
      <c r="EV114" s="50"/>
      <c r="EW114" s="50"/>
      <c r="EX114" s="50"/>
      <c r="EY114" s="50"/>
      <c r="EZ114" s="50"/>
      <c r="FA114" s="50"/>
      <c r="FB114" s="50"/>
      <c r="FC114" s="50"/>
      <c r="FD114" s="50"/>
      <c r="FE114" s="50"/>
    </row>
    <row r="115" spans="1:161" x14ac:dyDescent="0.15">
      <c r="A115" s="46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52"/>
      <c r="W115" s="52"/>
      <c r="X115" s="52"/>
      <c r="Y115" s="52"/>
      <c r="Z115" s="52"/>
      <c r="AA115" s="52"/>
      <c r="AB115" s="52"/>
      <c r="AC115" s="52"/>
      <c r="AD115" s="52"/>
      <c r="AE115" s="52"/>
      <c r="AF115" s="52"/>
      <c r="AG115" s="52"/>
      <c r="AH115" s="52"/>
      <c r="AI115" s="52"/>
      <c r="AJ115" s="52"/>
      <c r="AK115" s="52"/>
      <c r="AL115" s="52"/>
      <c r="AM115" s="52"/>
      <c r="AN115" s="52"/>
      <c r="AO115" s="52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52"/>
      <c r="BK115" s="52"/>
      <c r="BL115" s="52"/>
      <c r="BM115" s="52"/>
      <c r="BN115" s="52"/>
      <c r="BO115" s="52"/>
      <c r="BP115" s="52"/>
      <c r="BQ115" s="52"/>
      <c r="BR115" s="52"/>
      <c r="BS115" s="52"/>
      <c r="BT115" s="52"/>
      <c r="BU115" s="52"/>
      <c r="BV115" s="52"/>
      <c r="BW115" s="52"/>
      <c r="BX115" s="52"/>
      <c r="BY115" s="52"/>
      <c r="BZ115" s="52"/>
      <c r="CA115" s="52"/>
      <c r="CB115" s="52"/>
      <c r="CC115" s="52"/>
      <c r="CD115" s="43"/>
      <c r="CE115" s="43"/>
      <c r="CF115" s="43"/>
      <c r="CG115" s="43"/>
      <c r="CH115" s="43"/>
      <c r="CI115" s="43"/>
      <c r="CJ115" s="43"/>
      <c r="CK115" s="43"/>
      <c r="CL115" s="43"/>
      <c r="CM115" s="43"/>
      <c r="CN115" s="43"/>
      <c r="CO115" s="43"/>
      <c r="CP115" s="43"/>
      <c r="CQ115" s="43"/>
      <c r="CR115" s="43"/>
      <c r="CS115" s="43"/>
      <c r="CT115" s="43"/>
      <c r="CU115" s="43"/>
      <c r="CV115" s="43"/>
      <c r="CW115" s="43"/>
      <c r="CX115" s="52"/>
      <c r="CY115" s="52"/>
      <c r="CZ115" s="52"/>
      <c r="DA115" s="52"/>
      <c r="DB115" s="52"/>
      <c r="DC115" s="52"/>
      <c r="DD115" s="52"/>
      <c r="DE115" s="52"/>
      <c r="DF115" s="52"/>
      <c r="DG115" s="52"/>
      <c r="DH115" s="52"/>
      <c r="DI115" s="52"/>
      <c r="DJ115" s="52"/>
      <c r="DK115" s="52"/>
      <c r="DL115" s="52"/>
      <c r="DM115" s="52"/>
      <c r="DN115" s="52"/>
      <c r="DO115" s="52"/>
      <c r="DP115" s="52"/>
      <c r="DQ115" s="52"/>
      <c r="DR115" s="43">
        <v>1</v>
      </c>
      <c r="DS115" s="43">
        <v>1</v>
      </c>
      <c r="DT115" s="43">
        <v>1</v>
      </c>
      <c r="DU115" s="43">
        <v>1</v>
      </c>
      <c r="DV115" s="43">
        <v>1</v>
      </c>
      <c r="DW115" s="43">
        <v>1</v>
      </c>
      <c r="DX115" s="43">
        <v>1</v>
      </c>
      <c r="DY115" s="43">
        <v>1</v>
      </c>
      <c r="DZ115" s="43">
        <v>1</v>
      </c>
      <c r="EA115" s="43">
        <v>1</v>
      </c>
      <c r="EB115" s="43">
        <v>1</v>
      </c>
      <c r="EC115" s="43">
        <v>1</v>
      </c>
      <c r="ED115" s="43">
        <v>1</v>
      </c>
      <c r="EE115" s="43">
        <v>1</v>
      </c>
      <c r="EF115" s="43">
        <v>1</v>
      </c>
      <c r="EG115" s="43">
        <v>1</v>
      </c>
      <c r="EH115" s="43">
        <v>1</v>
      </c>
      <c r="EI115" s="43">
        <v>1</v>
      </c>
      <c r="EJ115" s="43">
        <v>1</v>
      </c>
      <c r="EK115" s="43">
        <v>1</v>
      </c>
      <c r="EL115" s="50"/>
      <c r="EM115" s="50"/>
      <c r="EN115" s="50"/>
      <c r="EO115" s="50"/>
      <c r="EP115" s="50"/>
      <c r="EQ115" s="50"/>
      <c r="ER115" s="50"/>
      <c r="ES115" s="50"/>
      <c r="ET115" s="50"/>
      <c r="EU115" s="50"/>
      <c r="EV115" s="50"/>
      <c r="EW115" s="50"/>
      <c r="EX115" s="50"/>
      <c r="EY115" s="50"/>
      <c r="EZ115" s="50"/>
      <c r="FA115" s="50"/>
      <c r="FB115" s="50"/>
      <c r="FC115" s="50"/>
      <c r="FD115" s="50"/>
      <c r="FE115" s="50"/>
    </row>
    <row r="116" spans="1:161" x14ac:dyDescent="0.15">
      <c r="A116" s="46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52"/>
      <c r="W116" s="52"/>
      <c r="X116" s="52"/>
      <c r="Y116" s="52"/>
      <c r="Z116" s="52"/>
      <c r="AA116" s="52"/>
      <c r="AB116" s="52"/>
      <c r="AC116" s="52"/>
      <c r="AD116" s="52"/>
      <c r="AE116" s="52"/>
      <c r="AF116" s="52"/>
      <c r="AG116" s="52"/>
      <c r="AH116" s="52"/>
      <c r="AI116" s="52"/>
      <c r="AJ116" s="52"/>
      <c r="AK116" s="52"/>
      <c r="AL116" s="52"/>
      <c r="AM116" s="52"/>
      <c r="AN116" s="52"/>
      <c r="AO116" s="52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52"/>
      <c r="BK116" s="52"/>
      <c r="BL116" s="52"/>
      <c r="BM116" s="52"/>
      <c r="BN116" s="52"/>
      <c r="BO116" s="52"/>
      <c r="BP116" s="52"/>
      <c r="BQ116" s="52"/>
      <c r="BR116" s="52"/>
      <c r="BS116" s="52"/>
      <c r="BT116" s="52"/>
      <c r="BU116" s="52"/>
      <c r="BV116" s="52"/>
      <c r="BW116" s="52"/>
      <c r="BX116" s="52"/>
      <c r="BY116" s="52"/>
      <c r="BZ116" s="52"/>
      <c r="CA116" s="52"/>
      <c r="CB116" s="52"/>
      <c r="CC116" s="52"/>
      <c r="CD116" s="43"/>
      <c r="CE116" s="43"/>
      <c r="CF116" s="43"/>
      <c r="CG116" s="43"/>
      <c r="CH116" s="43"/>
      <c r="CI116" s="43"/>
      <c r="CJ116" s="43"/>
      <c r="CK116" s="43"/>
      <c r="CL116" s="43"/>
      <c r="CM116" s="43"/>
      <c r="CN116" s="43"/>
      <c r="CO116" s="43"/>
      <c r="CP116" s="43"/>
      <c r="CQ116" s="43"/>
      <c r="CR116" s="43"/>
      <c r="CS116" s="43"/>
      <c r="CT116" s="43"/>
      <c r="CU116" s="43"/>
      <c r="CV116" s="43"/>
      <c r="CW116" s="43"/>
      <c r="CX116" s="52"/>
      <c r="CY116" s="52"/>
      <c r="CZ116" s="52"/>
      <c r="DA116" s="52"/>
      <c r="DB116" s="52"/>
      <c r="DC116" s="52"/>
      <c r="DD116" s="52"/>
      <c r="DE116" s="52"/>
      <c r="DF116" s="52"/>
      <c r="DG116" s="52"/>
      <c r="DH116" s="52"/>
      <c r="DI116" s="52"/>
      <c r="DJ116" s="52"/>
      <c r="DK116" s="52"/>
      <c r="DL116" s="52"/>
      <c r="DM116" s="52"/>
      <c r="DN116" s="52"/>
      <c r="DO116" s="52"/>
      <c r="DP116" s="52"/>
      <c r="DQ116" s="52"/>
      <c r="DR116" s="43">
        <v>1</v>
      </c>
      <c r="DS116" s="43">
        <v>1</v>
      </c>
      <c r="DT116" s="43">
        <v>1</v>
      </c>
      <c r="DU116" s="43">
        <v>1</v>
      </c>
      <c r="DV116" s="43">
        <v>1</v>
      </c>
      <c r="DW116" s="43">
        <v>1</v>
      </c>
      <c r="DX116" s="43">
        <v>1</v>
      </c>
      <c r="DY116" s="43">
        <v>1</v>
      </c>
      <c r="DZ116" s="43">
        <v>1</v>
      </c>
      <c r="EA116" s="43">
        <v>1</v>
      </c>
      <c r="EB116" s="43">
        <v>1</v>
      </c>
      <c r="EC116" s="43">
        <v>1</v>
      </c>
      <c r="ED116" s="43">
        <v>1</v>
      </c>
      <c r="EE116" s="43">
        <v>1</v>
      </c>
      <c r="EF116" s="43">
        <v>1</v>
      </c>
      <c r="EG116" s="43">
        <v>1</v>
      </c>
      <c r="EH116" s="43">
        <v>1</v>
      </c>
      <c r="EI116" s="43">
        <v>1</v>
      </c>
      <c r="EJ116" s="43">
        <v>1</v>
      </c>
      <c r="EK116" s="43">
        <v>1</v>
      </c>
      <c r="EL116" s="50"/>
      <c r="EM116" s="50"/>
      <c r="EN116" s="50"/>
      <c r="EO116" s="50"/>
      <c r="EP116" s="50"/>
      <c r="EQ116" s="50"/>
      <c r="ER116" s="50"/>
      <c r="ES116" s="50"/>
      <c r="ET116" s="50"/>
      <c r="EU116" s="50"/>
      <c r="EV116" s="50"/>
      <c r="EW116" s="50"/>
      <c r="EX116" s="50"/>
      <c r="EY116" s="50"/>
      <c r="EZ116" s="50"/>
      <c r="FA116" s="50"/>
      <c r="FB116" s="50"/>
      <c r="FC116" s="50"/>
      <c r="FD116" s="50"/>
      <c r="FE116" s="50"/>
    </row>
    <row r="117" spans="1:161" x14ac:dyDescent="0.15">
      <c r="A117" s="46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52"/>
      <c r="W117" s="52"/>
      <c r="X117" s="52"/>
      <c r="Y117" s="52"/>
      <c r="Z117" s="52"/>
      <c r="AA117" s="52"/>
      <c r="AB117" s="52"/>
      <c r="AC117" s="52"/>
      <c r="AD117" s="52"/>
      <c r="AE117" s="52"/>
      <c r="AF117" s="52"/>
      <c r="AG117" s="52"/>
      <c r="AH117" s="52"/>
      <c r="AI117" s="52"/>
      <c r="AJ117" s="52"/>
      <c r="AK117" s="52"/>
      <c r="AL117" s="52"/>
      <c r="AM117" s="52"/>
      <c r="AN117" s="52"/>
      <c r="AO117" s="52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52"/>
      <c r="BK117" s="52"/>
      <c r="BL117" s="52"/>
      <c r="BM117" s="52"/>
      <c r="BN117" s="52"/>
      <c r="BO117" s="52"/>
      <c r="BP117" s="52"/>
      <c r="BQ117" s="52"/>
      <c r="BR117" s="52"/>
      <c r="BS117" s="52"/>
      <c r="BT117" s="52"/>
      <c r="BU117" s="52"/>
      <c r="BV117" s="52"/>
      <c r="BW117" s="52"/>
      <c r="BX117" s="52"/>
      <c r="BY117" s="52"/>
      <c r="BZ117" s="52"/>
      <c r="CA117" s="52"/>
      <c r="CB117" s="52"/>
      <c r="CC117" s="52"/>
      <c r="CD117" s="43"/>
      <c r="CE117" s="43"/>
      <c r="CF117" s="43"/>
      <c r="CG117" s="43"/>
      <c r="CH117" s="43"/>
      <c r="CI117" s="43"/>
      <c r="CJ117" s="43"/>
      <c r="CK117" s="43"/>
      <c r="CL117" s="43"/>
      <c r="CM117" s="43"/>
      <c r="CN117" s="43"/>
      <c r="CO117" s="43"/>
      <c r="CP117" s="43"/>
      <c r="CQ117" s="43"/>
      <c r="CR117" s="43"/>
      <c r="CS117" s="43"/>
      <c r="CT117" s="43"/>
      <c r="CU117" s="43"/>
      <c r="CV117" s="43"/>
      <c r="CW117" s="43"/>
      <c r="CX117" s="52"/>
      <c r="CY117" s="52"/>
      <c r="CZ117" s="52"/>
      <c r="DA117" s="52"/>
      <c r="DB117" s="52"/>
      <c r="DC117" s="52"/>
      <c r="DD117" s="52"/>
      <c r="DE117" s="52"/>
      <c r="DF117" s="52"/>
      <c r="DG117" s="52"/>
      <c r="DH117" s="52"/>
      <c r="DI117" s="52"/>
      <c r="DJ117" s="52"/>
      <c r="DK117" s="52"/>
      <c r="DL117" s="52"/>
      <c r="DM117" s="52"/>
      <c r="DN117" s="52"/>
      <c r="DO117" s="52"/>
      <c r="DP117" s="52"/>
      <c r="DQ117" s="52"/>
      <c r="DR117" s="43">
        <v>1</v>
      </c>
      <c r="DS117" s="43">
        <v>1</v>
      </c>
      <c r="DT117" s="43">
        <v>1</v>
      </c>
      <c r="DU117" s="43">
        <v>1</v>
      </c>
      <c r="DV117" s="43">
        <v>1</v>
      </c>
      <c r="DW117" s="43">
        <v>1</v>
      </c>
      <c r="DX117" s="43">
        <v>1</v>
      </c>
      <c r="DY117" s="43">
        <v>1</v>
      </c>
      <c r="DZ117" s="43">
        <v>1</v>
      </c>
      <c r="EA117" s="43">
        <v>1</v>
      </c>
      <c r="EB117" s="43">
        <v>1</v>
      </c>
      <c r="EC117" s="43">
        <v>1</v>
      </c>
      <c r="ED117" s="43">
        <v>1</v>
      </c>
      <c r="EE117" s="43">
        <v>1</v>
      </c>
      <c r="EF117" s="43">
        <v>1</v>
      </c>
      <c r="EG117" s="43">
        <v>1</v>
      </c>
      <c r="EH117" s="43">
        <v>1</v>
      </c>
      <c r="EI117" s="43">
        <v>1</v>
      </c>
      <c r="EJ117" s="43">
        <v>1</v>
      </c>
      <c r="EK117" s="43">
        <v>1</v>
      </c>
      <c r="EL117" s="50"/>
      <c r="EM117" s="50"/>
      <c r="EN117" s="50"/>
      <c r="EO117" s="50"/>
      <c r="EP117" s="50"/>
      <c r="EQ117" s="50"/>
      <c r="ER117" s="50"/>
      <c r="ES117" s="50"/>
      <c r="ET117" s="50"/>
      <c r="EU117" s="50"/>
      <c r="EV117" s="50"/>
      <c r="EW117" s="50"/>
      <c r="EX117" s="50"/>
      <c r="EY117" s="50"/>
      <c r="EZ117" s="50"/>
      <c r="FA117" s="50"/>
      <c r="FB117" s="50"/>
      <c r="FC117" s="50"/>
      <c r="FD117" s="50"/>
      <c r="FE117" s="50"/>
    </row>
    <row r="118" spans="1:161" x14ac:dyDescent="0.15">
      <c r="A118" s="46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52"/>
      <c r="W118" s="52"/>
      <c r="X118" s="52"/>
      <c r="Y118" s="52"/>
      <c r="Z118" s="52"/>
      <c r="AA118" s="52"/>
      <c r="AB118" s="52"/>
      <c r="AC118" s="52"/>
      <c r="AD118" s="52"/>
      <c r="AE118" s="52"/>
      <c r="AF118" s="52"/>
      <c r="AG118" s="52"/>
      <c r="AH118" s="52"/>
      <c r="AI118" s="52"/>
      <c r="AJ118" s="52"/>
      <c r="AK118" s="52"/>
      <c r="AL118" s="52"/>
      <c r="AM118" s="52"/>
      <c r="AN118" s="52"/>
      <c r="AO118" s="52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52"/>
      <c r="BK118" s="52"/>
      <c r="BL118" s="52"/>
      <c r="BM118" s="52"/>
      <c r="BN118" s="52"/>
      <c r="BO118" s="52"/>
      <c r="BP118" s="52"/>
      <c r="BQ118" s="52"/>
      <c r="BR118" s="52"/>
      <c r="BS118" s="52"/>
      <c r="BT118" s="52"/>
      <c r="BU118" s="52"/>
      <c r="BV118" s="52"/>
      <c r="BW118" s="52"/>
      <c r="BX118" s="52"/>
      <c r="BY118" s="52"/>
      <c r="BZ118" s="52"/>
      <c r="CA118" s="52"/>
      <c r="CB118" s="52"/>
      <c r="CC118" s="52"/>
      <c r="CD118" s="43"/>
      <c r="CE118" s="43"/>
      <c r="CF118" s="43"/>
      <c r="CG118" s="43"/>
      <c r="CH118" s="43"/>
      <c r="CI118" s="43"/>
      <c r="CJ118" s="43"/>
      <c r="CK118" s="43"/>
      <c r="CL118" s="43"/>
      <c r="CM118" s="43"/>
      <c r="CN118" s="43"/>
      <c r="CO118" s="43"/>
      <c r="CP118" s="43"/>
      <c r="CQ118" s="43"/>
      <c r="CR118" s="43"/>
      <c r="CS118" s="43"/>
      <c r="CT118" s="43"/>
      <c r="CU118" s="43"/>
      <c r="CV118" s="43"/>
      <c r="CW118" s="43"/>
      <c r="CX118" s="52"/>
      <c r="CY118" s="52"/>
      <c r="CZ118" s="52"/>
      <c r="DA118" s="52"/>
      <c r="DB118" s="52"/>
      <c r="DC118" s="52"/>
      <c r="DD118" s="52"/>
      <c r="DE118" s="52"/>
      <c r="DF118" s="52"/>
      <c r="DG118" s="52"/>
      <c r="DH118" s="52"/>
      <c r="DI118" s="52"/>
      <c r="DJ118" s="52"/>
      <c r="DK118" s="52"/>
      <c r="DL118" s="52"/>
      <c r="DM118" s="52"/>
      <c r="DN118" s="52"/>
      <c r="DO118" s="52"/>
      <c r="DP118" s="52"/>
      <c r="DQ118" s="52"/>
      <c r="DR118" s="43">
        <v>1</v>
      </c>
      <c r="DS118" s="43">
        <v>1</v>
      </c>
      <c r="DT118" s="43">
        <v>1</v>
      </c>
      <c r="DU118" s="43">
        <v>1</v>
      </c>
      <c r="DV118" s="43">
        <v>1</v>
      </c>
      <c r="DW118" s="43">
        <v>1</v>
      </c>
      <c r="DX118" s="43">
        <v>1</v>
      </c>
      <c r="DY118" s="43">
        <v>1</v>
      </c>
      <c r="DZ118" s="43">
        <v>1</v>
      </c>
      <c r="EA118" s="43">
        <v>1</v>
      </c>
      <c r="EB118" s="43">
        <v>1</v>
      </c>
      <c r="EC118" s="43">
        <v>1</v>
      </c>
      <c r="ED118" s="43">
        <v>1</v>
      </c>
      <c r="EE118" s="43">
        <v>1</v>
      </c>
      <c r="EF118" s="43">
        <v>1</v>
      </c>
      <c r="EG118" s="43">
        <v>1</v>
      </c>
      <c r="EH118" s="43">
        <v>1</v>
      </c>
      <c r="EI118" s="43">
        <v>1</v>
      </c>
      <c r="EJ118" s="43">
        <v>1</v>
      </c>
      <c r="EK118" s="43">
        <v>1</v>
      </c>
      <c r="EL118" s="50"/>
      <c r="EM118" s="50"/>
      <c r="EN118" s="50"/>
      <c r="EO118" s="50"/>
      <c r="EP118" s="50"/>
      <c r="EQ118" s="50"/>
      <c r="ER118" s="50"/>
      <c r="ES118" s="50"/>
      <c r="ET118" s="50"/>
      <c r="EU118" s="50"/>
      <c r="EV118" s="50"/>
      <c r="EW118" s="50"/>
      <c r="EX118" s="50"/>
      <c r="EY118" s="50"/>
      <c r="EZ118" s="50"/>
      <c r="FA118" s="50"/>
      <c r="FB118" s="50"/>
      <c r="FC118" s="50"/>
      <c r="FD118" s="50"/>
      <c r="FE118" s="50"/>
    </row>
    <row r="119" spans="1:161" x14ac:dyDescent="0.15">
      <c r="A119" s="46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52"/>
      <c r="BK119" s="52"/>
      <c r="BL119" s="52"/>
      <c r="BM119" s="52"/>
      <c r="BN119" s="52"/>
      <c r="BO119" s="52"/>
      <c r="BP119" s="52"/>
      <c r="BQ119" s="52"/>
      <c r="BR119" s="52"/>
      <c r="BS119" s="52"/>
      <c r="BT119" s="52"/>
      <c r="BU119" s="52"/>
      <c r="BV119" s="52"/>
      <c r="BW119" s="52"/>
      <c r="BX119" s="52"/>
      <c r="BY119" s="52"/>
      <c r="BZ119" s="52"/>
      <c r="CA119" s="52"/>
      <c r="CB119" s="52"/>
      <c r="CC119" s="52"/>
      <c r="CD119" s="43"/>
      <c r="CE119" s="43"/>
      <c r="CF119" s="43"/>
      <c r="CG119" s="43"/>
      <c r="CH119" s="43"/>
      <c r="CI119" s="43"/>
      <c r="CJ119" s="43"/>
      <c r="CK119" s="43"/>
      <c r="CL119" s="43"/>
      <c r="CM119" s="43"/>
      <c r="CN119" s="43"/>
      <c r="CO119" s="43"/>
      <c r="CP119" s="43"/>
      <c r="CQ119" s="43"/>
      <c r="CR119" s="43"/>
      <c r="CS119" s="43"/>
      <c r="CT119" s="43"/>
      <c r="CU119" s="43"/>
      <c r="CV119" s="43"/>
      <c r="CW119" s="43"/>
      <c r="CX119" s="52"/>
      <c r="CY119" s="52"/>
      <c r="CZ119" s="52"/>
      <c r="DA119" s="52"/>
      <c r="DB119" s="52"/>
      <c r="DC119" s="52"/>
      <c r="DD119" s="52"/>
      <c r="DE119" s="52"/>
      <c r="DF119" s="52"/>
      <c r="DG119" s="52"/>
      <c r="DH119" s="52"/>
      <c r="DI119" s="52"/>
      <c r="DJ119" s="52"/>
      <c r="DK119" s="52"/>
      <c r="DL119" s="52"/>
      <c r="DM119" s="52"/>
      <c r="DN119" s="52"/>
      <c r="DO119" s="52"/>
      <c r="DP119" s="52"/>
      <c r="DQ119" s="52"/>
      <c r="DR119" s="43">
        <v>1</v>
      </c>
      <c r="DS119" s="43">
        <v>1</v>
      </c>
      <c r="DT119" s="43">
        <v>1</v>
      </c>
      <c r="DU119" s="43">
        <v>1</v>
      </c>
      <c r="DV119" s="43">
        <v>1</v>
      </c>
      <c r="DW119" s="43">
        <v>1</v>
      </c>
      <c r="DX119" s="43">
        <v>1</v>
      </c>
      <c r="DY119" s="43">
        <v>1</v>
      </c>
      <c r="DZ119" s="43">
        <v>1</v>
      </c>
      <c r="EA119" s="43">
        <v>1</v>
      </c>
      <c r="EB119" s="43">
        <v>1</v>
      </c>
      <c r="EC119" s="43">
        <v>1</v>
      </c>
      <c r="ED119" s="43">
        <v>1</v>
      </c>
      <c r="EE119" s="43">
        <v>1</v>
      </c>
      <c r="EF119" s="43">
        <v>1</v>
      </c>
      <c r="EG119" s="43">
        <v>1</v>
      </c>
      <c r="EH119" s="43">
        <v>1</v>
      </c>
      <c r="EI119" s="43">
        <v>1</v>
      </c>
      <c r="EJ119" s="43">
        <v>1</v>
      </c>
      <c r="EK119" s="43">
        <v>1</v>
      </c>
      <c r="EL119" s="50"/>
      <c r="EM119" s="50"/>
      <c r="EN119" s="50"/>
      <c r="EO119" s="50"/>
      <c r="EP119" s="50"/>
      <c r="EQ119" s="50"/>
      <c r="ER119" s="50"/>
      <c r="ES119" s="50"/>
      <c r="ET119" s="50"/>
      <c r="EU119" s="50"/>
      <c r="EV119" s="50"/>
      <c r="EW119" s="50"/>
      <c r="EX119" s="50"/>
      <c r="EY119" s="50"/>
      <c r="EZ119" s="50"/>
      <c r="FA119" s="50"/>
      <c r="FB119" s="50"/>
      <c r="FC119" s="50"/>
      <c r="FD119" s="50"/>
      <c r="FE119" s="50"/>
    </row>
    <row r="120" spans="1:161" x14ac:dyDescent="0.15">
      <c r="A120" s="46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52"/>
      <c r="W120" s="52"/>
      <c r="X120" s="52"/>
      <c r="Y120" s="52"/>
      <c r="Z120" s="52"/>
      <c r="AA120" s="52"/>
      <c r="AB120" s="52"/>
      <c r="AC120" s="52"/>
      <c r="AD120" s="52"/>
      <c r="AE120" s="52"/>
      <c r="AF120" s="52"/>
      <c r="AG120" s="52"/>
      <c r="AH120" s="52"/>
      <c r="AI120" s="52"/>
      <c r="AJ120" s="52"/>
      <c r="AK120" s="52"/>
      <c r="AL120" s="52"/>
      <c r="AM120" s="52"/>
      <c r="AN120" s="52"/>
      <c r="AO120" s="52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52"/>
      <c r="BK120" s="52"/>
      <c r="BL120" s="52"/>
      <c r="BM120" s="52"/>
      <c r="BN120" s="52"/>
      <c r="BO120" s="52"/>
      <c r="BP120" s="52"/>
      <c r="BQ120" s="52"/>
      <c r="BR120" s="52"/>
      <c r="BS120" s="52"/>
      <c r="BT120" s="52"/>
      <c r="BU120" s="52"/>
      <c r="BV120" s="52"/>
      <c r="BW120" s="52"/>
      <c r="BX120" s="52"/>
      <c r="BY120" s="52"/>
      <c r="BZ120" s="52"/>
      <c r="CA120" s="52"/>
      <c r="CB120" s="52"/>
      <c r="CC120" s="52"/>
      <c r="CD120" s="43"/>
      <c r="CE120" s="43"/>
      <c r="CF120" s="43"/>
      <c r="CG120" s="43"/>
      <c r="CH120" s="43"/>
      <c r="CI120" s="43"/>
      <c r="CJ120" s="43"/>
      <c r="CK120" s="43"/>
      <c r="CL120" s="43"/>
      <c r="CM120" s="43"/>
      <c r="CN120" s="43"/>
      <c r="CO120" s="43"/>
      <c r="CP120" s="43"/>
      <c r="CQ120" s="43"/>
      <c r="CR120" s="43"/>
      <c r="CS120" s="43"/>
      <c r="CT120" s="43"/>
      <c r="CU120" s="43"/>
      <c r="CV120" s="43"/>
      <c r="CW120" s="43"/>
      <c r="CX120" s="52"/>
      <c r="CY120" s="52"/>
      <c r="CZ120" s="52"/>
      <c r="DA120" s="52"/>
      <c r="DB120" s="52"/>
      <c r="DC120" s="52"/>
      <c r="DD120" s="52"/>
      <c r="DE120" s="52"/>
      <c r="DF120" s="52"/>
      <c r="DG120" s="52"/>
      <c r="DH120" s="52"/>
      <c r="DI120" s="52"/>
      <c r="DJ120" s="52"/>
      <c r="DK120" s="52"/>
      <c r="DL120" s="52"/>
      <c r="DM120" s="52"/>
      <c r="DN120" s="52"/>
      <c r="DO120" s="52"/>
      <c r="DP120" s="52"/>
      <c r="DQ120" s="52"/>
      <c r="DR120" s="43">
        <v>1</v>
      </c>
      <c r="DS120" s="43">
        <v>1</v>
      </c>
      <c r="DT120" s="43">
        <v>1</v>
      </c>
      <c r="DU120" s="43">
        <v>1</v>
      </c>
      <c r="DV120" s="43">
        <v>1</v>
      </c>
      <c r="DW120" s="43">
        <v>1</v>
      </c>
      <c r="DX120" s="43">
        <v>1</v>
      </c>
      <c r="DY120" s="43">
        <v>1</v>
      </c>
      <c r="DZ120" s="43">
        <v>1</v>
      </c>
      <c r="EA120" s="43">
        <v>1</v>
      </c>
      <c r="EB120" s="43">
        <v>1</v>
      </c>
      <c r="EC120" s="43">
        <v>1</v>
      </c>
      <c r="ED120" s="43">
        <v>1</v>
      </c>
      <c r="EE120" s="43">
        <v>1</v>
      </c>
      <c r="EF120" s="43">
        <v>1</v>
      </c>
      <c r="EG120" s="43">
        <v>1</v>
      </c>
      <c r="EH120" s="43">
        <v>1</v>
      </c>
      <c r="EI120" s="43">
        <v>1</v>
      </c>
      <c r="EJ120" s="43">
        <v>1</v>
      </c>
      <c r="EK120" s="43">
        <v>1</v>
      </c>
      <c r="EL120" s="50"/>
      <c r="EM120" s="50"/>
      <c r="EN120" s="50"/>
      <c r="EO120" s="50"/>
      <c r="EP120" s="50"/>
      <c r="EQ120" s="50"/>
      <c r="ER120" s="50"/>
      <c r="ES120" s="50"/>
      <c r="ET120" s="50"/>
      <c r="EU120" s="50"/>
      <c r="EV120" s="50"/>
      <c r="EW120" s="50"/>
      <c r="EX120" s="50"/>
      <c r="EY120" s="50"/>
      <c r="EZ120" s="50"/>
      <c r="FA120" s="50"/>
      <c r="FB120" s="50"/>
      <c r="FC120" s="50"/>
      <c r="FD120" s="50"/>
      <c r="FE120" s="50"/>
    </row>
    <row r="121" spans="1:161" x14ac:dyDescent="0.15">
      <c r="A121" s="46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52"/>
      <c r="W121" s="52"/>
      <c r="X121" s="52"/>
      <c r="Y121" s="52"/>
      <c r="Z121" s="52"/>
      <c r="AA121" s="52"/>
      <c r="AB121" s="52"/>
      <c r="AC121" s="52"/>
      <c r="AD121" s="52"/>
      <c r="AE121" s="52"/>
      <c r="AF121" s="52"/>
      <c r="AG121" s="52"/>
      <c r="AH121" s="52"/>
      <c r="AI121" s="52"/>
      <c r="AJ121" s="52"/>
      <c r="AK121" s="52"/>
      <c r="AL121" s="52"/>
      <c r="AM121" s="52"/>
      <c r="AN121" s="52"/>
      <c r="AO121" s="52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43"/>
      <c r="CE121" s="43"/>
      <c r="CF121" s="43"/>
      <c r="CG121" s="43"/>
      <c r="CH121" s="43"/>
      <c r="CI121" s="43"/>
      <c r="CJ121" s="43"/>
      <c r="CK121" s="43"/>
      <c r="CL121" s="43"/>
      <c r="CM121" s="43"/>
      <c r="CN121" s="43"/>
      <c r="CO121" s="43"/>
      <c r="CP121" s="43"/>
      <c r="CQ121" s="43"/>
      <c r="CR121" s="43"/>
      <c r="CS121" s="43"/>
      <c r="CT121" s="43"/>
      <c r="CU121" s="43"/>
      <c r="CV121" s="43"/>
      <c r="CW121" s="43"/>
      <c r="CX121" s="52"/>
      <c r="CY121" s="52"/>
      <c r="CZ121" s="52"/>
      <c r="DA121" s="52"/>
      <c r="DB121" s="52"/>
      <c r="DC121" s="52"/>
      <c r="DD121" s="52"/>
      <c r="DE121" s="52"/>
      <c r="DF121" s="52"/>
      <c r="DG121" s="52"/>
      <c r="DH121" s="52"/>
      <c r="DI121" s="52"/>
      <c r="DJ121" s="52"/>
      <c r="DK121" s="52"/>
      <c r="DL121" s="52"/>
      <c r="DM121" s="52"/>
      <c r="DN121" s="52"/>
      <c r="DO121" s="52"/>
      <c r="DP121" s="52"/>
      <c r="DQ121" s="52"/>
      <c r="DR121" s="43">
        <v>1</v>
      </c>
      <c r="DS121" s="43">
        <v>1</v>
      </c>
      <c r="DT121" s="43">
        <v>1</v>
      </c>
      <c r="DU121" s="43">
        <v>1</v>
      </c>
      <c r="DV121" s="43">
        <v>1</v>
      </c>
      <c r="DW121" s="43">
        <v>1</v>
      </c>
      <c r="DX121" s="43">
        <v>1</v>
      </c>
      <c r="DY121" s="43">
        <v>1</v>
      </c>
      <c r="DZ121" s="43">
        <v>1</v>
      </c>
      <c r="EA121" s="43">
        <v>1</v>
      </c>
      <c r="EB121" s="43">
        <v>1</v>
      </c>
      <c r="EC121" s="43">
        <v>1</v>
      </c>
      <c r="ED121" s="43">
        <v>1</v>
      </c>
      <c r="EE121" s="43">
        <v>1</v>
      </c>
      <c r="EF121" s="43">
        <v>1</v>
      </c>
      <c r="EG121" s="43">
        <v>1</v>
      </c>
      <c r="EH121" s="43">
        <v>1</v>
      </c>
      <c r="EI121" s="43">
        <v>1</v>
      </c>
      <c r="EJ121" s="43">
        <v>1</v>
      </c>
      <c r="EK121" s="43">
        <v>1</v>
      </c>
      <c r="EL121" s="50"/>
      <c r="EM121" s="50"/>
      <c r="EN121" s="50"/>
      <c r="EO121" s="50"/>
      <c r="EP121" s="50"/>
      <c r="EQ121" s="50"/>
      <c r="ER121" s="50"/>
      <c r="ES121" s="50"/>
      <c r="ET121" s="50"/>
      <c r="EU121" s="50"/>
      <c r="EV121" s="50"/>
      <c r="EW121" s="50"/>
      <c r="EX121" s="50"/>
      <c r="EY121" s="50"/>
      <c r="EZ121" s="50"/>
      <c r="FA121" s="50"/>
      <c r="FB121" s="50"/>
      <c r="FC121" s="50"/>
      <c r="FD121" s="50"/>
      <c r="FE121" s="50"/>
    </row>
    <row r="122" spans="1:161" x14ac:dyDescent="0.15">
      <c r="A122" s="46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52"/>
      <c r="W122" s="52"/>
      <c r="X122" s="52"/>
      <c r="Y122" s="52"/>
      <c r="Z122" s="52"/>
      <c r="AA122" s="52"/>
      <c r="AB122" s="52"/>
      <c r="AC122" s="52"/>
      <c r="AD122" s="52"/>
      <c r="AE122" s="52"/>
      <c r="AF122" s="52"/>
      <c r="AG122" s="52"/>
      <c r="AH122" s="52"/>
      <c r="AI122" s="52"/>
      <c r="AJ122" s="52"/>
      <c r="AK122" s="52"/>
      <c r="AL122" s="52"/>
      <c r="AM122" s="52"/>
      <c r="AN122" s="52"/>
      <c r="AO122" s="52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43"/>
      <c r="CE122" s="43"/>
      <c r="CF122" s="43"/>
      <c r="CG122" s="43"/>
      <c r="CH122" s="43"/>
      <c r="CI122" s="43"/>
      <c r="CJ122" s="43"/>
      <c r="CK122" s="43"/>
      <c r="CL122" s="43"/>
      <c r="CM122" s="43"/>
      <c r="CN122" s="43"/>
      <c r="CO122" s="43"/>
      <c r="CP122" s="43"/>
      <c r="CQ122" s="43"/>
      <c r="CR122" s="43"/>
      <c r="CS122" s="43"/>
      <c r="CT122" s="43"/>
      <c r="CU122" s="43"/>
      <c r="CV122" s="43"/>
      <c r="CW122" s="43"/>
      <c r="CX122" s="52"/>
      <c r="CY122" s="52"/>
      <c r="CZ122" s="52"/>
      <c r="DA122" s="52"/>
      <c r="DB122" s="52"/>
      <c r="DC122" s="52"/>
      <c r="DD122" s="52"/>
      <c r="DE122" s="52"/>
      <c r="DF122" s="52"/>
      <c r="DG122" s="52"/>
      <c r="DH122" s="52"/>
      <c r="DI122" s="52"/>
      <c r="DJ122" s="52"/>
      <c r="DK122" s="52"/>
      <c r="DL122" s="52"/>
      <c r="DM122" s="52"/>
      <c r="DN122" s="52"/>
      <c r="DO122" s="52"/>
      <c r="DP122" s="52"/>
      <c r="DQ122" s="52"/>
      <c r="DR122" s="43">
        <v>1</v>
      </c>
      <c r="DS122" s="43">
        <v>1</v>
      </c>
      <c r="DT122" s="43">
        <v>1</v>
      </c>
      <c r="DU122" s="43">
        <v>1</v>
      </c>
      <c r="DV122" s="43">
        <v>1</v>
      </c>
      <c r="DW122" s="43">
        <v>1</v>
      </c>
      <c r="DX122" s="43">
        <v>1</v>
      </c>
      <c r="DY122" s="43">
        <v>1</v>
      </c>
      <c r="DZ122" s="43">
        <v>1</v>
      </c>
      <c r="EA122" s="43">
        <v>1</v>
      </c>
      <c r="EB122" s="43">
        <v>1</v>
      </c>
      <c r="EC122" s="43">
        <v>1</v>
      </c>
      <c r="ED122" s="43">
        <v>1</v>
      </c>
      <c r="EE122" s="43">
        <v>1</v>
      </c>
      <c r="EF122" s="43">
        <v>1</v>
      </c>
      <c r="EG122" s="43">
        <v>1</v>
      </c>
      <c r="EH122" s="43">
        <v>1</v>
      </c>
      <c r="EI122" s="43">
        <v>1</v>
      </c>
      <c r="EJ122" s="43">
        <v>1</v>
      </c>
      <c r="EK122" s="43">
        <v>1</v>
      </c>
      <c r="EL122" s="50"/>
      <c r="EM122" s="50"/>
      <c r="EN122" s="50"/>
      <c r="EO122" s="50"/>
      <c r="EP122" s="50"/>
      <c r="EQ122" s="50"/>
      <c r="ER122" s="50"/>
      <c r="ES122" s="50"/>
      <c r="ET122" s="50"/>
      <c r="EU122" s="50"/>
      <c r="EV122" s="50"/>
      <c r="EW122" s="50"/>
      <c r="EX122" s="50"/>
      <c r="EY122" s="50"/>
      <c r="EZ122" s="50"/>
      <c r="FA122" s="50"/>
      <c r="FB122" s="50"/>
      <c r="FC122" s="50"/>
      <c r="FD122" s="50"/>
      <c r="FE122" s="50"/>
    </row>
    <row r="123" spans="1:161" x14ac:dyDescent="0.15">
      <c r="A123" s="46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52"/>
      <c r="W123" s="52"/>
      <c r="X123" s="52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43"/>
      <c r="CE123" s="43"/>
      <c r="CF123" s="43"/>
      <c r="CG123" s="43"/>
      <c r="CH123" s="43"/>
      <c r="CI123" s="43"/>
      <c r="CJ123" s="43"/>
      <c r="CK123" s="43"/>
      <c r="CL123" s="43"/>
      <c r="CM123" s="43"/>
      <c r="CN123" s="43"/>
      <c r="CO123" s="43"/>
      <c r="CP123" s="43"/>
      <c r="CQ123" s="43"/>
      <c r="CR123" s="43"/>
      <c r="CS123" s="43"/>
      <c r="CT123" s="43"/>
      <c r="CU123" s="43"/>
      <c r="CV123" s="43"/>
      <c r="CW123" s="43"/>
      <c r="CX123" s="52"/>
      <c r="CY123" s="52"/>
      <c r="CZ123" s="52"/>
      <c r="DA123" s="52"/>
      <c r="DB123" s="52"/>
      <c r="DC123" s="52"/>
      <c r="DD123" s="52"/>
      <c r="DE123" s="52"/>
      <c r="DF123" s="52"/>
      <c r="DG123" s="52"/>
      <c r="DH123" s="52"/>
      <c r="DI123" s="52"/>
      <c r="DJ123" s="52"/>
      <c r="DK123" s="52"/>
      <c r="DL123" s="52"/>
      <c r="DM123" s="52"/>
      <c r="DN123" s="52"/>
      <c r="DO123" s="52"/>
      <c r="DP123" s="52"/>
      <c r="DQ123" s="52"/>
      <c r="DR123" s="45">
        <v>1</v>
      </c>
      <c r="DS123" s="45">
        <v>1</v>
      </c>
      <c r="DT123" s="45">
        <v>1</v>
      </c>
      <c r="DU123" s="45">
        <v>1</v>
      </c>
      <c r="DV123" s="45">
        <v>1</v>
      </c>
      <c r="DW123" s="45">
        <v>1</v>
      </c>
      <c r="DX123" s="45">
        <v>1</v>
      </c>
      <c r="DY123" s="45">
        <v>1</v>
      </c>
      <c r="DZ123" s="45">
        <v>1</v>
      </c>
      <c r="EA123" s="45">
        <v>1</v>
      </c>
      <c r="EB123" s="45">
        <v>1</v>
      </c>
      <c r="EC123" s="45">
        <v>1</v>
      </c>
      <c r="ED123" s="45">
        <v>1</v>
      </c>
      <c r="EE123" s="45">
        <v>1</v>
      </c>
      <c r="EF123" s="45">
        <v>1</v>
      </c>
      <c r="EG123" s="45">
        <v>1</v>
      </c>
      <c r="EH123" s="45">
        <v>1</v>
      </c>
      <c r="EI123" s="45">
        <v>1</v>
      </c>
      <c r="EJ123" s="45">
        <v>1</v>
      </c>
      <c r="EK123" s="45">
        <v>1</v>
      </c>
      <c r="EL123" s="50"/>
      <c r="EM123" s="50"/>
      <c r="EN123" s="50"/>
      <c r="EO123" s="50"/>
      <c r="EP123" s="50"/>
      <c r="EQ123" s="50"/>
      <c r="ER123" s="50"/>
      <c r="ES123" s="50"/>
      <c r="ET123" s="50"/>
      <c r="EU123" s="50"/>
      <c r="EV123" s="50"/>
      <c r="EW123" s="50"/>
      <c r="EX123" s="50"/>
      <c r="EY123" s="50"/>
      <c r="EZ123" s="50"/>
      <c r="FA123" s="50"/>
      <c r="FB123" s="50"/>
      <c r="FC123" s="50"/>
      <c r="FD123" s="50"/>
      <c r="FE123" s="50"/>
    </row>
    <row r="124" spans="1:161" x14ac:dyDescent="0.15">
      <c r="A124" s="46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52"/>
      <c r="W124" s="52"/>
      <c r="X124" s="52"/>
      <c r="Y124" s="52"/>
      <c r="Z124" s="52"/>
      <c r="AA124" s="52"/>
      <c r="AB124" s="52"/>
      <c r="AC124" s="52"/>
      <c r="AD124" s="52"/>
      <c r="AE124" s="52"/>
      <c r="AF124" s="52"/>
      <c r="AG124" s="52"/>
      <c r="AH124" s="52"/>
      <c r="AI124" s="52"/>
      <c r="AJ124" s="52"/>
      <c r="AK124" s="52"/>
      <c r="AL124" s="52"/>
      <c r="AM124" s="52"/>
      <c r="AN124" s="52"/>
      <c r="AO124" s="52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43"/>
      <c r="CE124" s="43"/>
      <c r="CF124" s="43"/>
      <c r="CG124" s="43"/>
      <c r="CH124" s="43"/>
      <c r="CI124" s="43"/>
      <c r="CJ124" s="43"/>
      <c r="CK124" s="43"/>
      <c r="CL124" s="43"/>
      <c r="CM124" s="43"/>
      <c r="CN124" s="43"/>
      <c r="CO124" s="43"/>
      <c r="CP124" s="43"/>
      <c r="CQ124" s="43"/>
      <c r="CR124" s="43"/>
      <c r="CS124" s="43"/>
      <c r="CT124" s="43"/>
      <c r="CU124" s="43"/>
      <c r="CV124" s="43"/>
      <c r="CW124" s="43"/>
      <c r="CX124" s="52"/>
      <c r="CY124" s="52"/>
      <c r="CZ124" s="52"/>
      <c r="DA124" s="52"/>
      <c r="DB124" s="52"/>
      <c r="DC124" s="52"/>
      <c r="DD124" s="52"/>
      <c r="DE124" s="52"/>
      <c r="DF124" s="52"/>
      <c r="DG124" s="52"/>
      <c r="DH124" s="52"/>
      <c r="DI124" s="52"/>
      <c r="DJ124" s="52"/>
      <c r="DK124" s="52"/>
      <c r="DL124" s="52"/>
      <c r="DM124" s="52"/>
      <c r="DN124" s="52"/>
      <c r="DO124" s="52"/>
      <c r="DP124" s="52"/>
      <c r="DQ124" s="52"/>
      <c r="DR124" s="43">
        <v>1</v>
      </c>
      <c r="DS124" s="43">
        <v>1</v>
      </c>
      <c r="DT124" s="43">
        <v>1</v>
      </c>
      <c r="DU124" s="43">
        <v>1</v>
      </c>
      <c r="DV124" s="43">
        <v>1</v>
      </c>
      <c r="DW124" s="43">
        <v>1</v>
      </c>
      <c r="DX124" s="43">
        <v>1</v>
      </c>
      <c r="DY124" s="43">
        <v>1</v>
      </c>
      <c r="DZ124" s="43">
        <v>1</v>
      </c>
      <c r="EA124" s="43">
        <v>1</v>
      </c>
      <c r="EB124" s="43">
        <v>1</v>
      </c>
      <c r="EC124" s="43">
        <v>1</v>
      </c>
      <c r="ED124" s="43">
        <v>1</v>
      </c>
      <c r="EE124" s="43">
        <v>1</v>
      </c>
      <c r="EF124" s="43">
        <v>1</v>
      </c>
      <c r="EG124" s="43">
        <v>1</v>
      </c>
      <c r="EH124" s="43">
        <v>1</v>
      </c>
      <c r="EI124" s="43">
        <v>1</v>
      </c>
      <c r="EJ124" s="43">
        <v>1</v>
      </c>
      <c r="EK124" s="43">
        <v>1</v>
      </c>
      <c r="EL124" s="50"/>
      <c r="EM124" s="50"/>
      <c r="EN124" s="50"/>
      <c r="EO124" s="50"/>
      <c r="EP124" s="50"/>
      <c r="EQ124" s="50"/>
      <c r="ER124" s="50"/>
      <c r="ES124" s="50"/>
      <c r="ET124" s="50"/>
      <c r="EU124" s="50"/>
      <c r="EV124" s="50"/>
      <c r="EW124" s="50"/>
      <c r="EX124" s="50"/>
      <c r="EY124" s="50"/>
      <c r="EZ124" s="50"/>
      <c r="FA124" s="50"/>
      <c r="FB124" s="50"/>
      <c r="FC124" s="50"/>
      <c r="FD124" s="50"/>
      <c r="FE124" s="50"/>
    </row>
    <row r="125" spans="1:161" x14ac:dyDescent="0.15">
      <c r="A125" s="46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52"/>
      <c r="W125" s="52"/>
      <c r="X125" s="52"/>
      <c r="Y125" s="52"/>
      <c r="Z125" s="52"/>
      <c r="AA125" s="52"/>
      <c r="AB125" s="52"/>
      <c r="AC125" s="52"/>
      <c r="AD125" s="52"/>
      <c r="AE125" s="52"/>
      <c r="AF125" s="52"/>
      <c r="AG125" s="52"/>
      <c r="AH125" s="52"/>
      <c r="AI125" s="52"/>
      <c r="AJ125" s="52"/>
      <c r="AK125" s="52"/>
      <c r="AL125" s="52"/>
      <c r="AM125" s="52"/>
      <c r="AN125" s="52"/>
      <c r="AO125" s="52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43"/>
      <c r="CE125" s="43"/>
      <c r="CF125" s="43"/>
      <c r="CG125" s="43"/>
      <c r="CH125" s="43"/>
      <c r="CI125" s="43"/>
      <c r="CJ125" s="43"/>
      <c r="CK125" s="43"/>
      <c r="CL125" s="43"/>
      <c r="CM125" s="43"/>
      <c r="CN125" s="43"/>
      <c r="CO125" s="43"/>
      <c r="CP125" s="43"/>
      <c r="CQ125" s="43"/>
      <c r="CR125" s="43"/>
      <c r="CS125" s="43"/>
      <c r="CT125" s="43"/>
      <c r="CU125" s="43"/>
      <c r="CV125" s="43"/>
      <c r="CW125" s="43"/>
      <c r="CX125" s="52"/>
      <c r="CY125" s="52"/>
      <c r="CZ125" s="52"/>
      <c r="DA125" s="52"/>
      <c r="DB125" s="52"/>
      <c r="DC125" s="52"/>
      <c r="DD125" s="52"/>
      <c r="DE125" s="52"/>
      <c r="DF125" s="52"/>
      <c r="DG125" s="52"/>
      <c r="DH125" s="52"/>
      <c r="DI125" s="52"/>
      <c r="DJ125" s="52"/>
      <c r="DK125" s="52"/>
      <c r="DL125" s="52"/>
      <c r="DM125" s="52"/>
      <c r="DN125" s="52"/>
      <c r="DO125" s="52"/>
      <c r="DP125" s="52"/>
      <c r="DQ125" s="52"/>
      <c r="DR125" s="43">
        <v>1</v>
      </c>
      <c r="DS125" s="43">
        <v>1</v>
      </c>
      <c r="DT125" s="43">
        <v>1</v>
      </c>
      <c r="DU125" s="43">
        <v>1</v>
      </c>
      <c r="DV125" s="43">
        <v>1</v>
      </c>
      <c r="DW125" s="43">
        <v>1</v>
      </c>
      <c r="DX125" s="43">
        <v>1</v>
      </c>
      <c r="DY125" s="43">
        <v>1</v>
      </c>
      <c r="DZ125" s="43">
        <v>1</v>
      </c>
      <c r="EA125" s="43">
        <v>1</v>
      </c>
      <c r="EB125" s="43">
        <v>1</v>
      </c>
      <c r="EC125" s="43">
        <v>1</v>
      </c>
      <c r="ED125" s="43">
        <v>1</v>
      </c>
      <c r="EE125" s="43">
        <v>1</v>
      </c>
      <c r="EF125" s="43">
        <v>1</v>
      </c>
      <c r="EG125" s="43">
        <v>1</v>
      </c>
      <c r="EH125" s="43">
        <v>1</v>
      </c>
      <c r="EI125" s="43">
        <v>1</v>
      </c>
      <c r="EJ125" s="43">
        <v>1</v>
      </c>
      <c r="EK125" s="43">
        <v>1</v>
      </c>
      <c r="EL125" s="50"/>
      <c r="EM125" s="50"/>
      <c r="EN125" s="50"/>
      <c r="EO125" s="50"/>
      <c r="EP125" s="50"/>
      <c r="EQ125" s="50"/>
      <c r="ER125" s="50"/>
      <c r="ES125" s="50"/>
      <c r="ET125" s="50"/>
      <c r="EU125" s="50"/>
      <c r="EV125" s="50"/>
      <c r="EW125" s="50"/>
      <c r="EX125" s="50"/>
      <c r="EY125" s="50"/>
      <c r="EZ125" s="50"/>
      <c r="FA125" s="50"/>
      <c r="FB125" s="50"/>
      <c r="FC125" s="50"/>
      <c r="FD125" s="50"/>
      <c r="FE125" s="50"/>
    </row>
    <row r="126" spans="1:161" x14ac:dyDescent="0.15">
      <c r="A126" s="46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52"/>
      <c r="W126" s="52"/>
      <c r="X126" s="52"/>
      <c r="Y126" s="52"/>
      <c r="Z126" s="52"/>
      <c r="AA126" s="52"/>
      <c r="AB126" s="52"/>
      <c r="AC126" s="52"/>
      <c r="AD126" s="52"/>
      <c r="AE126" s="52"/>
      <c r="AF126" s="52"/>
      <c r="AG126" s="52"/>
      <c r="AH126" s="52"/>
      <c r="AI126" s="52"/>
      <c r="AJ126" s="52"/>
      <c r="AK126" s="52"/>
      <c r="AL126" s="52"/>
      <c r="AM126" s="52"/>
      <c r="AN126" s="52"/>
      <c r="AO126" s="52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43"/>
      <c r="CE126" s="43"/>
      <c r="CF126" s="43"/>
      <c r="CG126" s="43"/>
      <c r="CH126" s="43"/>
      <c r="CI126" s="43"/>
      <c r="CJ126" s="43"/>
      <c r="CK126" s="43"/>
      <c r="CL126" s="43"/>
      <c r="CM126" s="43"/>
      <c r="CN126" s="43"/>
      <c r="CO126" s="43"/>
      <c r="CP126" s="43"/>
      <c r="CQ126" s="43"/>
      <c r="CR126" s="43"/>
      <c r="CS126" s="43"/>
      <c r="CT126" s="43"/>
      <c r="CU126" s="43"/>
      <c r="CV126" s="43"/>
      <c r="CW126" s="43"/>
      <c r="CX126" s="52"/>
      <c r="CY126" s="52"/>
      <c r="CZ126" s="52"/>
      <c r="DA126" s="52"/>
      <c r="DB126" s="52"/>
      <c r="DC126" s="52"/>
      <c r="DD126" s="52"/>
      <c r="DE126" s="52"/>
      <c r="DF126" s="52"/>
      <c r="DG126" s="52"/>
      <c r="DH126" s="52"/>
      <c r="DI126" s="52"/>
      <c r="DJ126" s="52"/>
      <c r="DK126" s="52"/>
      <c r="DL126" s="52"/>
      <c r="DM126" s="52"/>
      <c r="DN126" s="52"/>
      <c r="DO126" s="52"/>
      <c r="DP126" s="52"/>
      <c r="DQ126" s="52"/>
      <c r="DR126" s="43">
        <v>1</v>
      </c>
      <c r="DS126" s="43">
        <v>1</v>
      </c>
      <c r="DT126" s="43">
        <v>1</v>
      </c>
      <c r="DU126" s="43">
        <v>1</v>
      </c>
      <c r="DV126" s="43">
        <v>1</v>
      </c>
      <c r="DW126" s="43">
        <v>1</v>
      </c>
      <c r="DX126" s="43">
        <v>1</v>
      </c>
      <c r="DY126" s="43">
        <v>1</v>
      </c>
      <c r="DZ126" s="43">
        <v>1</v>
      </c>
      <c r="EA126" s="43">
        <v>1</v>
      </c>
      <c r="EB126" s="43">
        <v>1</v>
      </c>
      <c r="EC126" s="43">
        <v>1</v>
      </c>
      <c r="ED126" s="43">
        <v>1</v>
      </c>
      <c r="EE126" s="43">
        <v>1</v>
      </c>
      <c r="EF126" s="43">
        <v>1</v>
      </c>
      <c r="EG126" s="43">
        <v>1</v>
      </c>
      <c r="EH126" s="43">
        <v>1</v>
      </c>
      <c r="EI126" s="43">
        <v>1</v>
      </c>
      <c r="EJ126" s="43">
        <v>1</v>
      </c>
      <c r="EK126" s="43">
        <v>1</v>
      </c>
      <c r="EL126" s="50"/>
      <c r="EM126" s="50"/>
      <c r="EN126" s="50"/>
      <c r="EO126" s="50"/>
      <c r="EP126" s="50"/>
      <c r="EQ126" s="50"/>
      <c r="ER126" s="50"/>
      <c r="ES126" s="50"/>
      <c r="ET126" s="50"/>
      <c r="EU126" s="50"/>
      <c r="EV126" s="50"/>
      <c r="EW126" s="50"/>
      <c r="EX126" s="50"/>
      <c r="EY126" s="50"/>
      <c r="EZ126" s="50"/>
      <c r="FA126" s="50"/>
      <c r="FB126" s="50"/>
      <c r="FC126" s="50"/>
      <c r="FD126" s="50"/>
      <c r="FE126" s="50"/>
    </row>
    <row r="127" spans="1:161" x14ac:dyDescent="0.15">
      <c r="A127" s="46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52"/>
      <c r="W127" s="52"/>
      <c r="X127" s="52"/>
      <c r="Y127" s="52"/>
      <c r="Z127" s="52"/>
      <c r="AA127" s="52"/>
      <c r="AB127" s="52"/>
      <c r="AC127" s="52"/>
      <c r="AD127" s="52"/>
      <c r="AE127" s="52"/>
      <c r="AF127" s="52"/>
      <c r="AG127" s="52"/>
      <c r="AH127" s="52"/>
      <c r="AI127" s="52"/>
      <c r="AJ127" s="52"/>
      <c r="AK127" s="52"/>
      <c r="AL127" s="52"/>
      <c r="AM127" s="52"/>
      <c r="AN127" s="52"/>
      <c r="AO127" s="52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43"/>
      <c r="CE127" s="43"/>
      <c r="CF127" s="43"/>
      <c r="CG127" s="43"/>
      <c r="CH127" s="43"/>
      <c r="CI127" s="43"/>
      <c r="CJ127" s="43"/>
      <c r="CK127" s="43"/>
      <c r="CL127" s="43"/>
      <c r="CM127" s="43"/>
      <c r="CN127" s="43"/>
      <c r="CO127" s="43"/>
      <c r="CP127" s="43"/>
      <c r="CQ127" s="43"/>
      <c r="CR127" s="43"/>
      <c r="CS127" s="43"/>
      <c r="CT127" s="43"/>
      <c r="CU127" s="43"/>
      <c r="CV127" s="43"/>
      <c r="CW127" s="43"/>
      <c r="CX127" s="52"/>
      <c r="CY127" s="52"/>
      <c r="CZ127" s="52"/>
      <c r="DA127" s="52"/>
      <c r="DB127" s="52"/>
      <c r="DC127" s="52"/>
      <c r="DD127" s="52"/>
      <c r="DE127" s="52"/>
      <c r="DF127" s="52"/>
      <c r="DG127" s="52"/>
      <c r="DH127" s="52"/>
      <c r="DI127" s="52"/>
      <c r="DJ127" s="52"/>
      <c r="DK127" s="52"/>
      <c r="DL127" s="52"/>
      <c r="DM127" s="52"/>
      <c r="DN127" s="52"/>
      <c r="DO127" s="52"/>
      <c r="DP127" s="52"/>
      <c r="DQ127" s="52"/>
      <c r="DR127" s="43">
        <v>1</v>
      </c>
      <c r="DS127" s="43">
        <v>1</v>
      </c>
      <c r="DT127" s="43">
        <v>1</v>
      </c>
      <c r="DU127" s="43">
        <v>1</v>
      </c>
      <c r="DV127" s="43">
        <v>1</v>
      </c>
      <c r="DW127" s="43">
        <v>1</v>
      </c>
      <c r="DX127" s="43">
        <v>1</v>
      </c>
      <c r="DY127" s="43">
        <v>1</v>
      </c>
      <c r="DZ127" s="43">
        <v>1</v>
      </c>
      <c r="EA127" s="43">
        <v>1</v>
      </c>
      <c r="EB127" s="43">
        <v>1</v>
      </c>
      <c r="EC127" s="43">
        <v>1</v>
      </c>
      <c r="ED127" s="43">
        <v>1</v>
      </c>
      <c r="EE127" s="43">
        <v>1</v>
      </c>
      <c r="EF127" s="43">
        <v>1</v>
      </c>
      <c r="EG127" s="43">
        <v>1</v>
      </c>
      <c r="EH127" s="43">
        <v>1</v>
      </c>
      <c r="EI127" s="43">
        <v>1</v>
      </c>
      <c r="EJ127" s="43">
        <v>1</v>
      </c>
      <c r="EK127" s="43">
        <v>1</v>
      </c>
      <c r="EL127" s="50"/>
      <c r="EM127" s="50"/>
      <c r="EN127" s="50"/>
      <c r="EO127" s="50"/>
      <c r="EP127" s="50"/>
      <c r="EQ127" s="50"/>
      <c r="ER127" s="50"/>
      <c r="ES127" s="50"/>
      <c r="ET127" s="50"/>
      <c r="EU127" s="50"/>
      <c r="EV127" s="50"/>
      <c r="EW127" s="50"/>
      <c r="EX127" s="50"/>
      <c r="EY127" s="50"/>
      <c r="EZ127" s="50"/>
      <c r="FA127" s="50"/>
      <c r="FB127" s="50"/>
      <c r="FC127" s="50"/>
      <c r="FD127" s="50"/>
      <c r="FE127" s="50"/>
    </row>
    <row r="128" spans="1:161" x14ac:dyDescent="0.15">
      <c r="A128" s="46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52"/>
      <c r="W128" s="52"/>
      <c r="X128" s="52"/>
      <c r="Y128" s="52"/>
      <c r="Z128" s="52"/>
      <c r="AA128" s="52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43"/>
      <c r="CE128" s="43"/>
      <c r="CF128" s="43"/>
      <c r="CG128" s="43"/>
      <c r="CH128" s="43"/>
      <c r="CI128" s="43"/>
      <c r="CJ128" s="43"/>
      <c r="CK128" s="43"/>
      <c r="CL128" s="43"/>
      <c r="CM128" s="43"/>
      <c r="CN128" s="43"/>
      <c r="CO128" s="43"/>
      <c r="CP128" s="43"/>
      <c r="CQ128" s="43"/>
      <c r="CR128" s="43"/>
      <c r="CS128" s="43"/>
      <c r="CT128" s="43"/>
      <c r="CU128" s="43"/>
      <c r="CV128" s="43"/>
      <c r="CW128" s="43"/>
      <c r="CX128" s="52"/>
      <c r="CY128" s="52"/>
      <c r="CZ128" s="52"/>
      <c r="DA128" s="52"/>
      <c r="DB128" s="52"/>
      <c r="DC128" s="52"/>
      <c r="DD128" s="52"/>
      <c r="DE128" s="52"/>
      <c r="DF128" s="52"/>
      <c r="DG128" s="52"/>
      <c r="DH128" s="52"/>
      <c r="DI128" s="52"/>
      <c r="DJ128" s="52"/>
      <c r="DK128" s="52"/>
      <c r="DL128" s="52"/>
      <c r="DM128" s="52"/>
      <c r="DN128" s="52"/>
      <c r="DO128" s="52"/>
      <c r="DP128" s="52"/>
      <c r="DQ128" s="52"/>
      <c r="DR128" s="43">
        <v>1</v>
      </c>
      <c r="DS128" s="43">
        <v>1</v>
      </c>
      <c r="DT128" s="43">
        <v>1</v>
      </c>
      <c r="DU128" s="43">
        <v>1</v>
      </c>
      <c r="DV128" s="43">
        <v>1</v>
      </c>
      <c r="DW128" s="43">
        <v>1</v>
      </c>
      <c r="DX128" s="43">
        <v>1</v>
      </c>
      <c r="DY128" s="43">
        <v>1</v>
      </c>
      <c r="DZ128" s="43">
        <v>1</v>
      </c>
      <c r="EA128" s="43">
        <v>1</v>
      </c>
      <c r="EB128" s="43">
        <v>1</v>
      </c>
      <c r="EC128" s="43">
        <v>1</v>
      </c>
      <c r="ED128" s="43">
        <v>1</v>
      </c>
      <c r="EE128" s="43">
        <v>1</v>
      </c>
      <c r="EF128" s="43">
        <v>1</v>
      </c>
      <c r="EG128" s="43">
        <v>1</v>
      </c>
      <c r="EH128" s="43">
        <v>1</v>
      </c>
      <c r="EI128" s="43">
        <v>1</v>
      </c>
      <c r="EJ128" s="43">
        <v>1</v>
      </c>
      <c r="EK128" s="43">
        <v>1</v>
      </c>
      <c r="EL128" s="50"/>
      <c r="EM128" s="50"/>
      <c r="EN128" s="50"/>
      <c r="EO128" s="50"/>
      <c r="EP128" s="50"/>
      <c r="EQ128" s="50"/>
      <c r="ER128" s="50"/>
      <c r="ES128" s="50"/>
      <c r="ET128" s="50"/>
      <c r="EU128" s="50"/>
      <c r="EV128" s="50"/>
      <c r="EW128" s="50"/>
      <c r="EX128" s="50"/>
      <c r="EY128" s="50"/>
      <c r="EZ128" s="50"/>
      <c r="FA128" s="50"/>
      <c r="FB128" s="50"/>
      <c r="FC128" s="50"/>
      <c r="FD128" s="50"/>
      <c r="FE128" s="50"/>
    </row>
    <row r="129" spans="1:161" x14ac:dyDescent="0.15">
      <c r="A129" s="46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52"/>
      <c r="W129" s="52"/>
      <c r="X129" s="52"/>
      <c r="Y129" s="52"/>
      <c r="Z129" s="52"/>
      <c r="AA129" s="52"/>
      <c r="AB129" s="52"/>
      <c r="AC129" s="52"/>
      <c r="AD129" s="52"/>
      <c r="AE129" s="52"/>
      <c r="AF129" s="52"/>
      <c r="AG129" s="52"/>
      <c r="AH129" s="52"/>
      <c r="AI129" s="52"/>
      <c r="AJ129" s="52"/>
      <c r="AK129" s="52"/>
      <c r="AL129" s="52"/>
      <c r="AM129" s="52"/>
      <c r="AN129" s="52"/>
      <c r="AO129" s="52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43"/>
      <c r="CE129" s="43"/>
      <c r="CF129" s="43"/>
      <c r="CG129" s="43"/>
      <c r="CH129" s="43"/>
      <c r="CI129" s="43"/>
      <c r="CJ129" s="43"/>
      <c r="CK129" s="43"/>
      <c r="CL129" s="43"/>
      <c r="CM129" s="43"/>
      <c r="CN129" s="43"/>
      <c r="CO129" s="43"/>
      <c r="CP129" s="43"/>
      <c r="CQ129" s="43"/>
      <c r="CR129" s="43"/>
      <c r="CS129" s="43"/>
      <c r="CT129" s="43"/>
      <c r="CU129" s="43"/>
      <c r="CV129" s="43"/>
      <c r="CW129" s="43"/>
      <c r="CX129" s="52"/>
      <c r="CY129" s="52"/>
      <c r="CZ129" s="52"/>
      <c r="DA129" s="52"/>
      <c r="DB129" s="52"/>
      <c r="DC129" s="52"/>
      <c r="DD129" s="52"/>
      <c r="DE129" s="52"/>
      <c r="DF129" s="52"/>
      <c r="DG129" s="52"/>
      <c r="DH129" s="52"/>
      <c r="DI129" s="52"/>
      <c r="DJ129" s="52"/>
      <c r="DK129" s="52"/>
      <c r="DL129" s="52"/>
      <c r="DM129" s="52"/>
      <c r="DN129" s="52"/>
      <c r="DO129" s="52"/>
      <c r="DP129" s="52"/>
      <c r="DQ129" s="52"/>
      <c r="DR129" s="43">
        <v>1</v>
      </c>
      <c r="DS129" s="43">
        <v>1</v>
      </c>
      <c r="DT129" s="43">
        <v>1</v>
      </c>
      <c r="DU129" s="43">
        <v>1</v>
      </c>
      <c r="DV129" s="43">
        <v>1</v>
      </c>
      <c r="DW129" s="43">
        <v>1</v>
      </c>
      <c r="DX129" s="43">
        <v>1</v>
      </c>
      <c r="DY129" s="43">
        <v>1</v>
      </c>
      <c r="DZ129" s="43">
        <v>1</v>
      </c>
      <c r="EA129" s="43">
        <v>1</v>
      </c>
      <c r="EB129" s="43">
        <v>1</v>
      </c>
      <c r="EC129" s="43">
        <v>1</v>
      </c>
      <c r="ED129" s="43">
        <v>1</v>
      </c>
      <c r="EE129" s="43">
        <v>1</v>
      </c>
      <c r="EF129" s="43">
        <v>1</v>
      </c>
      <c r="EG129" s="43">
        <v>1</v>
      </c>
      <c r="EH129" s="43">
        <v>1</v>
      </c>
      <c r="EI129" s="43">
        <v>1</v>
      </c>
      <c r="EJ129" s="43">
        <v>1</v>
      </c>
      <c r="EK129" s="43">
        <v>1</v>
      </c>
      <c r="EL129" s="50"/>
      <c r="EM129" s="50"/>
      <c r="EN129" s="50"/>
      <c r="EO129" s="50"/>
      <c r="EP129" s="50"/>
      <c r="EQ129" s="50"/>
      <c r="ER129" s="50"/>
      <c r="ES129" s="50"/>
      <c r="ET129" s="50"/>
      <c r="EU129" s="50"/>
      <c r="EV129" s="50"/>
      <c r="EW129" s="50"/>
      <c r="EX129" s="50"/>
      <c r="EY129" s="50"/>
      <c r="EZ129" s="50"/>
      <c r="FA129" s="50"/>
      <c r="FB129" s="50"/>
      <c r="FC129" s="50"/>
      <c r="FD129" s="50"/>
      <c r="FE129" s="50"/>
    </row>
    <row r="130" spans="1:161" x14ac:dyDescent="0.15">
      <c r="A130" s="46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52"/>
      <c r="W130" s="52"/>
      <c r="X130" s="52"/>
      <c r="Y130" s="52"/>
      <c r="Z130" s="52"/>
      <c r="AA130" s="52"/>
      <c r="AB130" s="52"/>
      <c r="AC130" s="52"/>
      <c r="AD130" s="52"/>
      <c r="AE130" s="52"/>
      <c r="AF130" s="52"/>
      <c r="AG130" s="52"/>
      <c r="AH130" s="52"/>
      <c r="AI130" s="52"/>
      <c r="AJ130" s="52"/>
      <c r="AK130" s="52"/>
      <c r="AL130" s="52"/>
      <c r="AM130" s="52"/>
      <c r="AN130" s="52"/>
      <c r="AO130" s="52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43"/>
      <c r="CE130" s="43"/>
      <c r="CF130" s="43"/>
      <c r="CG130" s="43"/>
      <c r="CH130" s="43"/>
      <c r="CI130" s="43"/>
      <c r="CJ130" s="43"/>
      <c r="CK130" s="43"/>
      <c r="CL130" s="43"/>
      <c r="CM130" s="43"/>
      <c r="CN130" s="43"/>
      <c r="CO130" s="43"/>
      <c r="CP130" s="43"/>
      <c r="CQ130" s="43"/>
      <c r="CR130" s="43"/>
      <c r="CS130" s="43"/>
      <c r="CT130" s="43"/>
      <c r="CU130" s="43"/>
      <c r="CV130" s="43"/>
      <c r="CW130" s="43"/>
      <c r="CX130" s="52"/>
      <c r="CY130" s="52"/>
      <c r="CZ130" s="52"/>
      <c r="DA130" s="52"/>
      <c r="DB130" s="52"/>
      <c r="DC130" s="52"/>
      <c r="DD130" s="52"/>
      <c r="DE130" s="52"/>
      <c r="DF130" s="52"/>
      <c r="DG130" s="52"/>
      <c r="DH130" s="52"/>
      <c r="DI130" s="52"/>
      <c r="DJ130" s="52"/>
      <c r="DK130" s="52"/>
      <c r="DL130" s="52"/>
      <c r="DM130" s="52"/>
      <c r="DN130" s="52"/>
      <c r="DO130" s="52"/>
      <c r="DP130" s="52"/>
      <c r="DQ130" s="52"/>
      <c r="DR130" s="43">
        <v>1</v>
      </c>
      <c r="DS130" s="43">
        <v>1</v>
      </c>
      <c r="DT130" s="43">
        <v>1</v>
      </c>
      <c r="DU130" s="43">
        <v>1</v>
      </c>
      <c r="DV130" s="43">
        <v>1</v>
      </c>
      <c r="DW130" s="43">
        <v>1</v>
      </c>
      <c r="DX130" s="43">
        <v>1</v>
      </c>
      <c r="DY130" s="43">
        <v>1</v>
      </c>
      <c r="DZ130" s="43">
        <v>1</v>
      </c>
      <c r="EA130" s="43">
        <v>1</v>
      </c>
      <c r="EB130" s="43">
        <v>1</v>
      </c>
      <c r="EC130" s="43">
        <v>1</v>
      </c>
      <c r="ED130" s="43">
        <v>1</v>
      </c>
      <c r="EE130" s="43">
        <v>1</v>
      </c>
      <c r="EF130" s="43">
        <v>1</v>
      </c>
      <c r="EG130" s="43">
        <v>1</v>
      </c>
      <c r="EH130" s="43">
        <v>1</v>
      </c>
      <c r="EI130" s="43">
        <v>1</v>
      </c>
      <c r="EJ130" s="43">
        <v>1</v>
      </c>
      <c r="EK130" s="43">
        <v>1</v>
      </c>
      <c r="EL130" s="50"/>
      <c r="EM130" s="50"/>
      <c r="EN130" s="50"/>
      <c r="EO130" s="50"/>
      <c r="EP130" s="50"/>
      <c r="EQ130" s="50"/>
      <c r="ER130" s="50"/>
      <c r="ES130" s="50"/>
      <c r="ET130" s="50"/>
      <c r="EU130" s="50"/>
      <c r="EV130" s="50"/>
      <c r="EW130" s="50"/>
      <c r="EX130" s="50"/>
      <c r="EY130" s="50"/>
      <c r="EZ130" s="50"/>
      <c r="FA130" s="50"/>
      <c r="FB130" s="50"/>
      <c r="FC130" s="50"/>
      <c r="FD130" s="50"/>
      <c r="FE130" s="50"/>
    </row>
    <row r="131" spans="1:161" x14ac:dyDescent="0.15">
      <c r="A131" s="46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52"/>
      <c r="W131" s="52"/>
      <c r="X131" s="52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43"/>
      <c r="CE131" s="43"/>
      <c r="CF131" s="43"/>
      <c r="CG131" s="43"/>
      <c r="CH131" s="43"/>
      <c r="CI131" s="43"/>
      <c r="CJ131" s="43"/>
      <c r="CK131" s="43"/>
      <c r="CL131" s="43"/>
      <c r="CM131" s="43"/>
      <c r="CN131" s="43"/>
      <c r="CO131" s="43"/>
      <c r="CP131" s="43"/>
      <c r="CQ131" s="43"/>
      <c r="CR131" s="43"/>
      <c r="CS131" s="43"/>
      <c r="CT131" s="43"/>
      <c r="CU131" s="43"/>
      <c r="CV131" s="43"/>
      <c r="CW131" s="43"/>
      <c r="CX131" s="52"/>
      <c r="CY131" s="52"/>
      <c r="CZ131" s="52"/>
      <c r="DA131" s="52"/>
      <c r="DB131" s="52"/>
      <c r="DC131" s="52"/>
      <c r="DD131" s="52"/>
      <c r="DE131" s="52"/>
      <c r="DF131" s="52"/>
      <c r="DG131" s="52"/>
      <c r="DH131" s="52"/>
      <c r="DI131" s="52"/>
      <c r="DJ131" s="52"/>
      <c r="DK131" s="52"/>
      <c r="DL131" s="52"/>
      <c r="DM131" s="52"/>
      <c r="DN131" s="52"/>
      <c r="DO131" s="52"/>
      <c r="DP131" s="52"/>
      <c r="DQ131" s="52"/>
      <c r="DR131" s="43">
        <v>1</v>
      </c>
      <c r="DS131" s="43">
        <v>1</v>
      </c>
      <c r="DT131" s="43">
        <v>1</v>
      </c>
      <c r="DU131" s="43">
        <v>1</v>
      </c>
      <c r="DV131" s="43">
        <v>1</v>
      </c>
      <c r="DW131" s="43">
        <v>1</v>
      </c>
      <c r="DX131" s="43">
        <v>1</v>
      </c>
      <c r="DY131" s="43">
        <v>1</v>
      </c>
      <c r="DZ131" s="43">
        <v>1</v>
      </c>
      <c r="EA131" s="43">
        <v>1</v>
      </c>
      <c r="EB131" s="43">
        <v>1</v>
      </c>
      <c r="EC131" s="43">
        <v>1</v>
      </c>
      <c r="ED131" s="43">
        <v>1</v>
      </c>
      <c r="EE131" s="43">
        <v>1</v>
      </c>
      <c r="EF131" s="43">
        <v>1</v>
      </c>
      <c r="EG131" s="43">
        <v>1</v>
      </c>
      <c r="EH131" s="43">
        <v>1</v>
      </c>
      <c r="EI131" s="43">
        <v>1</v>
      </c>
      <c r="EJ131" s="43">
        <v>1</v>
      </c>
      <c r="EK131" s="43">
        <v>1</v>
      </c>
      <c r="EL131" s="50"/>
      <c r="EM131" s="50"/>
      <c r="EN131" s="50"/>
      <c r="EO131" s="50"/>
      <c r="EP131" s="50"/>
      <c r="EQ131" s="50"/>
      <c r="ER131" s="50"/>
      <c r="ES131" s="50"/>
      <c r="ET131" s="50"/>
      <c r="EU131" s="50"/>
      <c r="EV131" s="50"/>
      <c r="EW131" s="50"/>
      <c r="EX131" s="50"/>
      <c r="EY131" s="50"/>
      <c r="EZ131" s="50"/>
      <c r="FA131" s="50"/>
      <c r="FB131" s="50"/>
      <c r="FC131" s="50"/>
      <c r="FD131" s="50"/>
      <c r="FE131" s="50"/>
    </row>
    <row r="132" spans="1:161" x14ac:dyDescent="0.15">
      <c r="A132" s="46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52"/>
      <c r="W132" s="52"/>
      <c r="X132" s="52"/>
      <c r="Y132" s="52"/>
      <c r="Z132" s="52"/>
      <c r="AA132" s="52"/>
      <c r="AB132" s="52"/>
      <c r="AC132" s="52"/>
      <c r="AD132" s="52"/>
      <c r="AE132" s="52"/>
      <c r="AF132" s="52"/>
      <c r="AG132" s="52"/>
      <c r="AH132" s="52"/>
      <c r="AI132" s="52"/>
      <c r="AJ132" s="52"/>
      <c r="AK132" s="52"/>
      <c r="AL132" s="52"/>
      <c r="AM132" s="52"/>
      <c r="AN132" s="52"/>
      <c r="AO132" s="52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43"/>
      <c r="CE132" s="43"/>
      <c r="CF132" s="43"/>
      <c r="CG132" s="43"/>
      <c r="CH132" s="43"/>
      <c r="CI132" s="43"/>
      <c r="CJ132" s="43"/>
      <c r="CK132" s="43"/>
      <c r="CL132" s="43"/>
      <c r="CM132" s="43"/>
      <c r="CN132" s="43"/>
      <c r="CO132" s="43"/>
      <c r="CP132" s="43"/>
      <c r="CQ132" s="43"/>
      <c r="CR132" s="43"/>
      <c r="CS132" s="43"/>
      <c r="CT132" s="43"/>
      <c r="CU132" s="43"/>
      <c r="CV132" s="43"/>
      <c r="CW132" s="43"/>
      <c r="CX132" s="52"/>
      <c r="CY132" s="52"/>
      <c r="CZ132" s="52"/>
      <c r="DA132" s="52"/>
      <c r="DB132" s="52"/>
      <c r="DC132" s="52"/>
      <c r="DD132" s="52"/>
      <c r="DE132" s="52"/>
      <c r="DF132" s="52"/>
      <c r="DG132" s="52"/>
      <c r="DH132" s="52"/>
      <c r="DI132" s="52"/>
      <c r="DJ132" s="52"/>
      <c r="DK132" s="52"/>
      <c r="DL132" s="52"/>
      <c r="DM132" s="52"/>
      <c r="DN132" s="52"/>
      <c r="DO132" s="52"/>
      <c r="DP132" s="52"/>
      <c r="DQ132" s="52"/>
      <c r="DR132" s="43">
        <v>1</v>
      </c>
      <c r="DS132" s="43">
        <v>1</v>
      </c>
      <c r="DT132" s="43">
        <v>1</v>
      </c>
      <c r="DU132" s="43">
        <v>1</v>
      </c>
      <c r="DV132" s="43">
        <v>1</v>
      </c>
      <c r="DW132" s="43">
        <v>1</v>
      </c>
      <c r="DX132" s="43">
        <v>1</v>
      </c>
      <c r="DY132" s="43">
        <v>1</v>
      </c>
      <c r="DZ132" s="43">
        <v>1</v>
      </c>
      <c r="EA132" s="43">
        <v>1</v>
      </c>
      <c r="EB132" s="43">
        <v>1</v>
      </c>
      <c r="EC132" s="43">
        <v>1</v>
      </c>
      <c r="ED132" s="43">
        <v>1</v>
      </c>
      <c r="EE132" s="43">
        <v>1</v>
      </c>
      <c r="EF132" s="43">
        <v>1</v>
      </c>
      <c r="EG132" s="43">
        <v>1</v>
      </c>
      <c r="EH132" s="43">
        <v>1</v>
      </c>
      <c r="EI132" s="43">
        <v>1</v>
      </c>
      <c r="EJ132" s="43">
        <v>1</v>
      </c>
      <c r="EK132" s="43">
        <v>1</v>
      </c>
      <c r="EL132" s="50"/>
      <c r="EM132" s="50"/>
      <c r="EN132" s="50"/>
      <c r="EO132" s="50"/>
      <c r="EP132" s="50"/>
      <c r="EQ132" s="50"/>
      <c r="ER132" s="50"/>
      <c r="ES132" s="50"/>
      <c r="ET132" s="50"/>
      <c r="EU132" s="50"/>
      <c r="EV132" s="50"/>
      <c r="EW132" s="50"/>
      <c r="EX132" s="50"/>
      <c r="EY132" s="50"/>
      <c r="EZ132" s="50"/>
      <c r="FA132" s="50"/>
      <c r="FB132" s="50"/>
      <c r="FC132" s="50"/>
      <c r="FD132" s="50"/>
      <c r="FE132" s="50"/>
    </row>
    <row r="133" spans="1:161" x14ac:dyDescent="0.15">
      <c r="A133" s="46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52"/>
      <c r="W133" s="52"/>
      <c r="X133" s="52"/>
      <c r="Y133" s="52"/>
      <c r="Z133" s="52"/>
      <c r="AA133" s="52"/>
      <c r="AB133" s="52"/>
      <c r="AC133" s="52"/>
      <c r="AD133" s="52"/>
      <c r="AE133" s="52"/>
      <c r="AF133" s="52"/>
      <c r="AG133" s="52"/>
      <c r="AH133" s="52"/>
      <c r="AI133" s="52"/>
      <c r="AJ133" s="52"/>
      <c r="AK133" s="52"/>
      <c r="AL133" s="52"/>
      <c r="AM133" s="52"/>
      <c r="AN133" s="52"/>
      <c r="AO133" s="52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43"/>
      <c r="CE133" s="43"/>
      <c r="CF133" s="43"/>
      <c r="CG133" s="43"/>
      <c r="CH133" s="43"/>
      <c r="CI133" s="43"/>
      <c r="CJ133" s="43"/>
      <c r="CK133" s="43"/>
      <c r="CL133" s="43"/>
      <c r="CM133" s="43"/>
      <c r="CN133" s="43"/>
      <c r="CO133" s="43"/>
      <c r="CP133" s="43"/>
      <c r="CQ133" s="43"/>
      <c r="CR133" s="43"/>
      <c r="CS133" s="43"/>
      <c r="CT133" s="43"/>
      <c r="CU133" s="43"/>
      <c r="CV133" s="43"/>
      <c r="CW133" s="43"/>
      <c r="CX133" s="52"/>
      <c r="CY133" s="52"/>
      <c r="CZ133" s="52"/>
      <c r="DA133" s="52"/>
      <c r="DB133" s="52"/>
      <c r="DC133" s="52"/>
      <c r="DD133" s="52"/>
      <c r="DE133" s="52"/>
      <c r="DF133" s="52"/>
      <c r="DG133" s="52"/>
      <c r="DH133" s="52"/>
      <c r="DI133" s="52"/>
      <c r="DJ133" s="52"/>
      <c r="DK133" s="52"/>
      <c r="DL133" s="52"/>
      <c r="DM133" s="52"/>
      <c r="DN133" s="52"/>
      <c r="DO133" s="52"/>
      <c r="DP133" s="52"/>
      <c r="DQ133" s="52"/>
      <c r="DR133" s="43">
        <v>1</v>
      </c>
      <c r="DS133" s="43">
        <v>1</v>
      </c>
      <c r="DT133" s="43">
        <v>1</v>
      </c>
      <c r="DU133" s="43">
        <v>1</v>
      </c>
      <c r="DV133" s="43">
        <v>1</v>
      </c>
      <c r="DW133" s="43">
        <v>1</v>
      </c>
      <c r="DX133" s="43">
        <v>1</v>
      </c>
      <c r="DY133" s="43">
        <v>1</v>
      </c>
      <c r="DZ133" s="43">
        <v>1</v>
      </c>
      <c r="EA133" s="43">
        <v>1</v>
      </c>
      <c r="EB133" s="43">
        <v>1</v>
      </c>
      <c r="EC133" s="43">
        <v>1</v>
      </c>
      <c r="ED133" s="43">
        <v>1</v>
      </c>
      <c r="EE133" s="43">
        <v>1</v>
      </c>
      <c r="EF133" s="43">
        <v>1</v>
      </c>
      <c r="EG133" s="43">
        <v>1</v>
      </c>
      <c r="EH133" s="43">
        <v>1</v>
      </c>
      <c r="EI133" s="43">
        <v>1</v>
      </c>
      <c r="EJ133" s="43">
        <v>1</v>
      </c>
      <c r="EK133" s="43">
        <v>1</v>
      </c>
      <c r="EL133" s="50"/>
      <c r="EM133" s="50"/>
      <c r="EN133" s="50"/>
      <c r="EO133" s="50"/>
      <c r="EP133" s="50"/>
      <c r="EQ133" s="50"/>
      <c r="ER133" s="50"/>
      <c r="ES133" s="50"/>
      <c r="ET133" s="50"/>
      <c r="EU133" s="50"/>
      <c r="EV133" s="50"/>
      <c r="EW133" s="50"/>
      <c r="EX133" s="50"/>
      <c r="EY133" s="50"/>
      <c r="EZ133" s="50"/>
      <c r="FA133" s="50"/>
      <c r="FB133" s="50"/>
      <c r="FC133" s="50"/>
      <c r="FD133" s="50"/>
      <c r="FE133" s="50"/>
    </row>
    <row r="134" spans="1:161" x14ac:dyDescent="0.15">
      <c r="A134" s="46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52"/>
      <c r="W134" s="52"/>
      <c r="X134" s="52"/>
      <c r="Y134" s="52"/>
      <c r="Z134" s="52"/>
      <c r="AA134" s="52"/>
      <c r="AB134" s="52"/>
      <c r="AC134" s="52"/>
      <c r="AD134" s="52"/>
      <c r="AE134" s="52"/>
      <c r="AF134" s="52"/>
      <c r="AG134" s="52"/>
      <c r="AH134" s="52"/>
      <c r="AI134" s="52"/>
      <c r="AJ134" s="52"/>
      <c r="AK134" s="52"/>
      <c r="AL134" s="52"/>
      <c r="AM134" s="52"/>
      <c r="AN134" s="52"/>
      <c r="AO134" s="52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43"/>
      <c r="CE134" s="43"/>
      <c r="CF134" s="43"/>
      <c r="CG134" s="43"/>
      <c r="CH134" s="43"/>
      <c r="CI134" s="43"/>
      <c r="CJ134" s="43"/>
      <c r="CK134" s="43"/>
      <c r="CL134" s="43"/>
      <c r="CM134" s="43"/>
      <c r="CN134" s="43"/>
      <c r="CO134" s="43"/>
      <c r="CP134" s="43"/>
      <c r="CQ134" s="43"/>
      <c r="CR134" s="43"/>
      <c r="CS134" s="43"/>
      <c r="CT134" s="43"/>
      <c r="CU134" s="43"/>
      <c r="CV134" s="43"/>
      <c r="CW134" s="43"/>
      <c r="CX134" s="52"/>
      <c r="CY134" s="52"/>
      <c r="CZ134" s="52"/>
      <c r="DA134" s="52"/>
      <c r="DB134" s="52"/>
      <c r="DC134" s="52"/>
      <c r="DD134" s="52"/>
      <c r="DE134" s="52"/>
      <c r="DF134" s="52"/>
      <c r="DG134" s="52"/>
      <c r="DH134" s="52"/>
      <c r="DI134" s="52"/>
      <c r="DJ134" s="52"/>
      <c r="DK134" s="52"/>
      <c r="DL134" s="52"/>
      <c r="DM134" s="52"/>
      <c r="DN134" s="52"/>
      <c r="DO134" s="52"/>
      <c r="DP134" s="52"/>
      <c r="DQ134" s="52"/>
      <c r="DR134" s="43">
        <v>1</v>
      </c>
      <c r="DS134" s="43">
        <v>1</v>
      </c>
      <c r="DT134" s="43">
        <v>1</v>
      </c>
      <c r="DU134" s="43">
        <v>1</v>
      </c>
      <c r="DV134" s="43">
        <v>1</v>
      </c>
      <c r="DW134" s="43">
        <v>1</v>
      </c>
      <c r="DX134" s="43">
        <v>1</v>
      </c>
      <c r="DY134" s="43">
        <v>1</v>
      </c>
      <c r="DZ134" s="43">
        <v>1</v>
      </c>
      <c r="EA134" s="43">
        <v>1</v>
      </c>
      <c r="EB134" s="43">
        <v>1</v>
      </c>
      <c r="EC134" s="43">
        <v>1</v>
      </c>
      <c r="ED134" s="43">
        <v>1</v>
      </c>
      <c r="EE134" s="43">
        <v>1</v>
      </c>
      <c r="EF134" s="43">
        <v>1</v>
      </c>
      <c r="EG134" s="43">
        <v>1</v>
      </c>
      <c r="EH134" s="43">
        <v>1</v>
      </c>
      <c r="EI134" s="43">
        <v>1</v>
      </c>
      <c r="EJ134" s="43">
        <v>1</v>
      </c>
      <c r="EK134" s="43">
        <v>1</v>
      </c>
      <c r="EL134" s="50"/>
      <c r="EM134" s="50"/>
      <c r="EN134" s="50"/>
      <c r="EO134" s="50"/>
      <c r="EP134" s="50"/>
      <c r="EQ134" s="50"/>
      <c r="ER134" s="50"/>
      <c r="ES134" s="50"/>
      <c r="ET134" s="50"/>
      <c r="EU134" s="50"/>
      <c r="EV134" s="50"/>
      <c r="EW134" s="50"/>
      <c r="EX134" s="50"/>
      <c r="EY134" s="50"/>
      <c r="EZ134" s="50"/>
      <c r="FA134" s="50"/>
      <c r="FB134" s="50"/>
      <c r="FC134" s="50"/>
      <c r="FD134" s="50"/>
      <c r="FE134" s="50"/>
    </row>
    <row r="135" spans="1:161" x14ac:dyDescent="0.15">
      <c r="A135" s="46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43"/>
      <c r="CE135" s="43"/>
      <c r="CF135" s="43"/>
      <c r="CG135" s="43"/>
      <c r="CH135" s="43"/>
      <c r="CI135" s="43"/>
      <c r="CJ135" s="43"/>
      <c r="CK135" s="43"/>
      <c r="CL135" s="43"/>
      <c r="CM135" s="43"/>
      <c r="CN135" s="43"/>
      <c r="CO135" s="43"/>
      <c r="CP135" s="43"/>
      <c r="CQ135" s="43"/>
      <c r="CR135" s="43"/>
      <c r="CS135" s="43"/>
      <c r="CT135" s="43"/>
      <c r="CU135" s="43"/>
      <c r="CV135" s="43"/>
      <c r="CW135" s="43"/>
      <c r="CX135" s="52"/>
      <c r="CY135" s="52"/>
      <c r="CZ135" s="52"/>
      <c r="DA135" s="52"/>
      <c r="DB135" s="52"/>
      <c r="DC135" s="52"/>
      <c r="DD135" s="52"/>
      <c r="DE135" s="52"/>
      <c r="DF135" s="52"/>
      <c r="DG135" s="52"/>
      <c r="DH135" s="52"/>
      <c r="DI135" s="52"/>
      <c r="DJ135" s="52"/>
      <c r="DK135" s="52"/>
      <c r="DL135" s="52"/>
      <c r="DM135" s="52"/>
      <c r="DN135" s="52"/>
      <c r="DO135" s="52"/>
      <c r="DP135" s="52"/>
      <c r="DQ135" s="52"/>
      <c r="DR135" s="45">
        <v>1</v>
      </c>
      <c r="DS135" s="45">
        <v>1</v>
      </c>
      <c r="DT135" s="45">
        <v>1</v>
      </c>
      <c r="DU135" s="45">
        <v>1</v>
      </c>
      <c r="DV135" s="45">
        <v>1</v>
      </c>
      <c r="DW135" s="45">
        <v>1</v>
      </c>
      <c r="DX135" s="45">
        <v>1</v>
      </c>
      <c r="DY135" s="45">
        <v>1</v>
      </c>
      <c r="DZ135" s="45">
        <v>1</v>
      </c>
      <c r="EA135" s="45">
        <v>1</v>
      </c>
      <c r="EB135" s="45">
        <v>1</v>
      </c>
      <c r="EC135" s="45">
        <v>1</v>
      </c>
      <c r="ED135" s="45">
        <v>1</v>
      </c>
      <c r="EE135" s="45">
        <v>1</v>
      </c>
      <c r="EF135" s="45">
        <v>1</v>
      </c>
      <c r="EG135" s="45">
        <v>1</v>
      </c>
      <c r="EH135" s="45">
        <v>1</v>
      </c>
      <c r="EI135" s="45">
        <v>1</v>
      </c>
      <c r="EJ135" s="45">
        <v>1</v>
      </c>
      <c r="EK135" s="45">
        <v>1</v>
      </c>
      <c r="EL135" s="50"/>
      <c r="EM135" s="50"/>
      <c r="EN135" s="50"/>
      <c r="EO135" s="50"/>
      <c r="EP135" s="50"/>
      <c r="EQ135" s="50"/>
      <c r="ER135" s="50"/>
      <c r="ES135" s="50"/>
      <c r="ET135" s="50"/>
      <c r="EU135" s="50"/>
      <c r="EV135" s="50"/>
      <c r="EW135" s="50"/>
      <c r="EX135" s="50"/>
      <c r="EY135" s="50"/>
      <c r="EZ135" s="50"/>
      <c r="FA135" s="50"/>
      <c r="FB135" s="50"/>
      <c r="FC135" s="50"/>
      <c r="FD135" s="50"/>
      <c r="FE135" s="50"/>
    </row>
    <row r="136" spans="1:161" x14ac:dyDescent="0.15">
      <c r="A136" s="46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43"/>
      <c r="CE136" s="43"/>
      <c r="CF136" s="43"/>
      <c r="CG136" s="43"/>
      <c r="CH136" s="43"/>
      <c r="CI136" s="43"/>
      <c r="CJ136" s="43"/>
      <c r="CK136" s="43"/>
      <c r="CL136" s="43"/>
      <c r="CM136" s="43"/>
      <c r="CN136" s="43"/>
      <c r="CO136" s="43"/>
      <c r="CP136" s="43"/>
      <c r="CQ136" s="43"/>
      <c r="CR136" s="43"/>
      <c r="CS136" s="43"/>
      <c r="CT136" s="43"/>
      <c r="CU136" s="43"/>
      <c r="CV136" s="43"/>
      <c r="CW136" s="43"/>
      <c r="CX136" s="52"/>
      <c r="CY136" s="52"/>
      <c r="CZ136" s="52"/>
      <c r="DA136" s="52"/>
      <c r="DB136" s="52"/>
      <c r="DC136" s="52"/>
      <c r="DD136" s="52"/>
      <c r="DE136" s="52"/>
      <c r="DF136" s="52"/>
      <c r="DG136" s="52"/>
      <c r="DH136" s="52"/>
      <c r="DI136" s="52"/>
      <c r="DJ136" s="52"/>
      <c r="DK136" s="52"/>
      <c r="DL136" s="52"/>
      <c r="DM136" s="52"/>
      <c r="DN136" s="52"/>
      <c r="DO136" s="52"/>
      <c r="DP136" s="52"/>
      <c r="DQ136" s="52"/>
      <c r="DR136" s="43">
        <v>1</v>
      </c>
      <c r="DS136" s="43">
        <v>1</v>
      </c>
      <c r="DT136" s="43">
        <v>1</v>
      </c>
      <c r="DU136" s="43">
        <v>1</v>
      </c>
      <c r="DV136" s="43">
        <v>1</v>
      </c>
      <c r="DW136" s="43">
        <v>1</v>
      </c>
      <c r="DX136" s="43">
        <v>1</v>
      </c>
      <c r="DY136" s="43">
        <v>1</v>
      </c>
      <c r="DZ136" s="43">
        <v>1</v>
      </c>
      <c r="EA136" s="43">
        <v>1</v>
      </c>
      <c r="EB136" s="43">
        <v>1</v>
      </c>
      <c r="EC136" s="43">
        <v>1</v>
      </c>
      <c r="ED136" s="43">
        <v>1</v>
      </c>
      <c r="EE136" s="43">
        <v>1</v>
      </c>
      <c r="EF136" s="43">
        <v>1</v>
      </c>
      <c r="EG136" s="43">
        <v>1</v>
      </c>
      <c r="EH136" s="43">
        <v>1</v>
      </c>
      <c r="EI136" s="43">
        <v>1</v>
      </c>
      <c r="EJ136" s="43">
        <v>1</v>
      </c>
      <c r="EK136" s="43">
        <v>1</v>
      </c>
      <c r="EL136" s="50"/>
      <c r="EM136" s="50"/>
      <c r="EN136" s="50"/>
      <c r="EO136" s="50"/>
      <c r="EP136" s="50"/>
      <c r="EQ136" s="50"/>
      <c r="ER136" s="50"/>
      <c r="ES136" s="50"/>
      <c r="ET136" s="50"/>
      <c r="EU136" s="50"/>
      <c r="EV136" s="50"/>
      <c r="EW136" s="50"/>
      <c r="EX136" s="50"/>
      <c r="EY136" s="50"/>
      <c r="EZ136" s="50"/>
      <c r="FA136" s="50"/>
      <c r="FB136" s="50"/>
      <c r="FC136" s="50"/>
      <c r="FD136" s="50"/>
      <c r="FE136" s="50"/>
    </row>
    <row r="137" spans="1:161" x14ac:dyDescent="0.15">
      <c r="A137" s="46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52"/>
      <c r="W137" s="52"/>
      <c r="X137" s="52"/>
      <c r="Y137" s="52"/>
      <c r="Z137" s="52"/>
      <c r="AA137" s="52"/>
      <c r="AB137" s="52"/>
      <c r="AC137" s="52"/>
      <c r="AD137" s="52"/>
      <c r="AE137" s="52"/>
      <c r="AF137" s="52"/>
      <c r="AG137" s="52"/>
      <c r="AH137" s="52"/>
      <c r="AI137" s="52"/>
      <c r="AJ137" s="52"/>
      <c r="AK137" s="52"/>
      <c r="AL137" s="52"/>
      <c r="AM137" s="52"/>
      <c r="AN137" s="52"/>
      <c r="AO137" s="52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43"/>
      <c r="CE137" s="43"/>
      <c r="CF137" s="43"/>
      <c r="CG137" s="43"/>
      <c r="CH137" s="43"/>
      <c r="CI137" s="43"/>
      <c r="CJ137" s="43"/>
      <c r="CK137" s="43"/>
      <c r="CL137" s="43"/>
      <c r="CM137" s="43"/>
      <c r="CN137" s="43"/>
      <c r="CO137" s="43"/>
      <c r="CP137" s="43"/>
      <c r="CQ137" s="43"/>
      <c r="CR137" s="43"/>
      <c r="CS137" s="43"/>
      <c r="CT137" s="43"/>
      <c r="CU137" s="43"/>
      <c r="CV137" s="43"/>
      <c r="CW137" s="43"/>
      <c r="CX137" s="52"/>
      <c r="CY137" s="52"/>
      <c r="CZ137" s="52"/>
      <c r="DA137" s="52"/>
      <c r="DB137" s="52"/>
      <c r="DC137" s="52"/>
      <c r="DD137" s="52"/>
      <c r="DE137" s="52"/>
      <c r="DF137" s="52"/>
      <c r="DG137" s="52"/>
      <c r="DH137" s="52"/>
      <c r="DI137" s="52"/>
      <c r="DJ137" s="52"/>
      <c r="DK137" s="52"/>
      <c r="DL137" s="52"/>
      <c r="DM137" s="52"/>
      <c r="DN137" s="52"/>
      <c r="DO137" s="52"/>
      <c r="DP137" s="52"/>
      <c r="DQ137" s="52"/>
      <c r="DR137" s="43">
        <v>1</v>
      </c>
      <c r="DS137" s="43">
        <v>1</v>
      </c>
      <c r="DT137" s="43">
        <v>1</v>
      </c>
      <c r="DU137" s="43">
        <v>1</v>
      </c>
      <c r="DV137" s="43">
        <v>1</v>
      </c>
      <c r="DW137" s="43">
        <v>1</v>
      </c>
      <c r="DX137" s="43">
        <v>1</v>
      </c>
      <c r="DY137" s="43">
        <v>1</v>
      </c>
      <c r="DZ137" s="43">
        <v>1</v>
      </c>
      <c r="EA137" s="43">
        <v>1</v>
      </c>
      <c r="EB137" s="43">
        <v>1</v>
      </c>
      <c r="EC137" s="43">
        <v>1</v>
      </c>
      <c r="ED137" s="43">
        <v>1</v>
      </c>
      <c r="EE137" s="43">
        <v>1</v>
      </c>
      <c r="EF137" s="43">
        <v>1</v>
      </c>
      <c r="EG137" s="43">
        <v>1</v>
      </c>
      <c r="EH137" s="43">
        <v>1</v>
      </c>
      <c r="EI137" s="43">
        <v>1</v>
      </c>
      <c r="EJ137" s="43">
        <v>1</v>
      </c>
      <c r="EK137" s="43">
        <v>1</v>
      </c>
      <c r="EL137" s="50"/>
      <c r="EM137" s="50"/>
      <c r="EN137" s="50"/>
      <c r="EO137" s="50"/>
      <c r="EP137" s="50"/>
      <c r="EQ137" s="50"/>
      <c r="ER137" s="50"/>
      <c r="ES137" s="50"/>
      <c r="ET137" s="50"/>
      <c r="EU137" s="50"/>
      <c r="EV137" s="50"/>
      <c r="EW137" s="50"/>
      <c r="EX137" s="50"/>
      <c r="EY137" s="50"/>
      <c r="EZ137" s="50"/>
      <c r="FA137" s="50"/>
      <c r="FB137" s="50"/>
      <c r="FC137" s="50"/>
      <c r="FD137" s="50"/>
      <c r="FE137" s="50"/>
    </row>
    <row r="138" spans="1:161" x14ac:dyDescent="0.15">
      <c r="A138" s="46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43"/>
      <c r="CE138" s="43"/>
      <c r="CF138" s="43"/>
      <c r="CG138" s="43"/>
      <c r="CH138" s="43"/>
      <c r="CI138" s="43"/>
      <c r="CJ138" s="43"/>
      <c r="CK138" s="43"/>
      <c r="CL138" s="43"/>
      <c r="CM138" s="43"/>
      <c r="CN138" s="43"/>
      <c r="CO138" s="43"/>
      <c r="CP138" s="43"/>
      <c r="CQ138" s="43"/>
      <c r="CR138" s="43"/>
      <c r="CS138" s="43"/>
      <c r="CT138" s="43"/>
      <c r="CU138" s="43"/>
      <c r="CV138" s="43"/>
      <c r="CW138" s="43"/>
      <c r="CX138" s="52"/>
      <c r="CY138" s="52"/>
      <c r="CZ138" s="52"/>
      <c r="DA138" s="52"/>
      <c r="DB138" s="52"/>
      <c r="DC138" s="52"/>
      <c r="DD138" s="52"/>
      <c r="DE138" s="52"/>
      <c r="DF138" s="52"/>
      <c r="DG138" s="52"/>
      <c r="DH138" s="52"/>
      <c r="DI138" s="52"/>
      <c r="DJ138" s="52"/>
      <c r="DK138" s="52"/>
      <c r="DL138" s="52"/>
      <c r="DM138" s="52"/>
      <c r="DN138" s="52"/>
      <c r="DO138" s="52"/>
      <c r="DP138" s="52"/>
      <c r="DQ138" s="52"/>
      <c r="DR138" s="43">
        <v>1</v>
      </c>
      <c r="DS138" s="43">
        <v>1</v>
      </c>
      <c r="DT138" s="43">
        <v>1</v>
      </c>
      <c r="DU138" s="43">
        <v>1</v>
      </c>
      <c r="DV138" s="43">
        <v>1</v>
      </c>
      <c r="DW138" s="43">
        <v>1</v>
      </c>
      <c r="DX138" s="43">
        <v>1</v>
      </c>
      <c r="DY138" s="43">
        <v>1</v>
      </c>
      <c r="DZ138" s="43">
        <v>1</v>
      </c>
      <c r="EA138" s="43">
        <v>1</v>
      </c>
      <c r="EB138" s="43">
        <v>1</v>
      </c>
      <c r="EC138" s="43">
        <v>1</v>
      </c>
      <c r="ED138" s="43">
        <v>1</v>
      </c>
      <c r="EE138" s="43">
        <v>1</v>
      </c>
      <c r="EF138" s="43">
        <v>1</v>
      </c>
      <c r="EG138" s="43">
        <v>1</v>
      </c>
      <c r="EH138" s="43">
        <v>1</v>
      </c>
      <c r="EI138" s="43">
        <v>1</v>
      </c>
      <c r="EJ138" s="43">
        <v>1</v>
      </c>
      <c r="EK138" s="43">
        <v>1</v>
      </c>
      <c r="EL138" s="50"/>
      <c r="EM138" s="50"/>
      <c r="EN138" s="50"/>
      <c r="EO138" s="50"/>
      <c r="EP138" s="50"/>
      <c r="EQ138" s="50"/>
      <c r="ER138" s="50"/>
      <c r="ES138" s="50"/>
      <c r="ET138" s="50"/>
      <c r="EU138" s="50"/>
      <c r="EV138" s="50"/>
      <c r="EW138" s="50"/>
      <c r="EX138" s="50"/>
      <c r="EY138" s="50"/>
      <c r="EZ138" s="50"/>
      <c r="FA138" s="50"/>
      <c r="FB138" s="50"/>
      <c r="FC138" s="50"/>
      <c r="FD138" s="50"/>
      <c r="FE138" s="50"/>
    </row>
    <row r="139" spans="1:161" x14ac:dyDescent="0.15">
      <c r="A139" s="46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52"/>
      <c r="W139" s="52"/>
      <c r="X139" s="52"/>
      <c r="Y139" s="52"/>
      <c r="Z139" s="52"/>
      <c r="AA139" s="52"/>
      <c r="AB139" s="52"/>
      <c r="AC139" s="52"/>
      <c r="AD139" s="52"/>
      <c r="AE139" s="52"/>
      <c r="AF139" s="52"/>
      <c r="AG139" s="52"/>
      <c r="AH139" s="52"/>
      <c r="AI139" s="52"/>
      <c r="AJ139" s="52"/>
      <c r="AK139" s="52"/>
      <c r="AL139" s="52"/>
      <c r="AM139" s="52"/>
      <c r="AN139" s="52"/>
      <c r="AO139" s="52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43"/>
      <c r="CE139" s="43"/>
      <c r="CF139" s="43"/>
      <c r="CG139" s="43"/>
      <c r="CH139" s="43"/>
      <c r="CI139" s="43"/>
      <c r="CJ139" s="43"/>
      <c r="CK139" s="43"/>
      <c r="CL139" s="43"/>
      <c r="CM139" s="43"/>
      <c r="CN139" s="43"/>
      <c r="CO139" s="43"/>
      <c r="CP139" s="43"/>
      <c r="CQ139" s="43"/>
      <c r="CR139" s="43"/>
      <c r="CS139" s="43"/>
      <c r="CT139" s="43"/>
      <c r="CU139" s="43"/>
      <c r="CV139" s="43"/>
      <c r="CW139" s="43"/>
      <c r="CX139" s="52"/>
      <c r="CY139" s="52"/>
      <c r="CZ139" s="52"/>
      <c r="DA139" s="52"/>
      <c r="DB139" s="52"/>
      <c r="DC139" s="52"/>
      <c r="DD139" s="52"/>
      <c r="DE139" s="52"/>
      <c r="DF139" s="52"/>
      <c r="DG139" s="52"/>
      <c r="DH139" s="52"/>
      <c r="DI139" s="52"/>
      <c r="DJ139" s="52"/>
      <c r="DK139" s="52"/>
      <c r="DL139" s="52"/>
      <c r="DM139" s="52"/>
      <c r="DN139" s="52"/>
      <c r="DO139" s="52"/>
      <c r="DP139" s="52"/>
      <c r="DQ139" s="52"/>
      <c r="DR139" s="43">
        <v>1</v>
      </c>
      <c r="DS139" s="43">
        <v>1</v>
      </c>
      <c r="DT139" s="43">
        <v>1</v>
      </c>
      <c r="DU139" s="43">
        <v>1</v>
      </c>
      <c r="DV139" s="43">
        <v>1</v>
      </c>
      <c r="DW139" s="43">
        <v>1</v>
      </c>
      <c r="DX139" s="43">
        <v>1</v>
      </c>
      <c r="DY139" s="43">
        <v>1</v>
      </c>
      <c r="DZ139" s="43">
        <v>1</v>
      </c>
      <c r="EA139" s="43">
        <v>1</v>
      </c>
      <c r="EB139" s="43">
        <v>1</v>
      </c>
      <c r="EC139" s="43">
        <v>1</v>
      </c>
      <c r="ED139" s="43">
        <v>1</v>
      </c>
      <c r="EE139" s="43">
        <v>1</v>
      </c>
      <c r="EF139" s="43">
        <v>1</v>
      </c>
      <c r="EG139" s="43">
        <v>1</v>
      </c>
      <c r="EH139" s="43">
        <v>1</v>
      </c>
      <c r="EI139" s="43">
        <v>1</v>
      </c>
      <c r="EJ139" s="43">
        <v>1</v>
      </c>
      <c r="EK139" s="43">
        <v>1</v>
      </c>
      <c r="EL139" s="50"/>
      <c r="EM139" s="50"/>
      <c r="EN139" s="50"/>
      <c r="EO139" s="50"/>
      <c r="EP139" s="50"/>
      <c r="EQ139" s="50"/>
      <c r="ER139" s="50"/>
      <c r="ES139" s="50"/>
      <c r="ET139" s="50"/>
      <c r="EU139" s="50"/>
      <c r="EV139" s="50"/>
      <c r="EW139" s="50"/>
      <c r="EX139" s="50"/>
      <c r="EY139" s="50"/>
      <c r="EZ139" s="50"/>
      <c r="FA139" s="50"/>
      <c r="FB139" s="50"/>
      <c r="FC139" s="50"/>
      <c r="FD139" s="50"/>
      <c r="FE139" s="50"/>
    </row>
    <row r="140" spans="1:161" x14ac:dyDescent="0.15">
      <c r="A140" s="46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52"/>
      <c r="W140" s="52"/>
      <c r="X140" s="52"/>
      <c r="Y140" s="52"/>
      <c r="Z140" s="52"/>
      <c r="AA140" s="52"/>
      <c r="AB140" s="52"/>
      <c r="AC140" s="52"/>
      <c r="AD140" s="52"/>
      <c r="AE140" s="52"/>
      <c r="AF140" s="52"/>
      <c r="AG140" s="52"/>
      <c r="AH140" s="52"/>
      <c r="AI140" s="52"/>
      <c r="AJ140" s="52"/>
      <c r="AK140" s="52"/>
      <c r="AL140" s="52"/>
      <c r="AM140" s="52"/>
      <c r="AN140" s="52"/>
      <c r="AO140" s="52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43"/>
      <c r="CE140" s="43"/>
      <c r="CF140" s="43"/>
      <c r="CG140" s="43"/>
      <c r="CH140" s="43"/>
      <c r="CI140" s="43"/>
      <c r="CJ140" s="43"/>
      <c r="CK140" s="43"/>
      <c r="CL140" s="43"/>
      <c r="CM140" s="43"/>
      <c r="CN140" s="43"/>
      <c r="CO140" s="43"/>
      <c r="CP140" s="43"/>
      <c r="CQ140" s="43"/>
      <c r="CR140" s="43"/>
      <c r="CS140" s="43"/>
      <c r="CT140" s="43"/>
      <c r="CU140" s="43"/>
      <c r="CV140" s="43"/>
      <c r="CW140" s="43"/>
      <c r="CX140" s="52"/>
      <c r="CY140" s="52"/>
      <c r="CZ140" s="52"/>
      <c r="DA140" s="52"/>
      <c r="DB140" s="52"/>
      <c r="DC140" s="52"/>
      <c r="DD140" s="52"/>
      <c r="DE140" s="52"/>
      <c r="DF140" s="52"/>
      <c r="DG140" s="52"/>
      <c r="DH140" s="52"/>
      <c r="DI140" s="52"/>
      <c r="DJ140" s="52"/>
      <c r="DK140" s="52"/>
      <c r="DL140" s="52"/>
      <c r="DM140" s="52"/>
      <c r="DN140" s="52"/>
      <c r="DO140" s="52"/>
      <c r="DP140" s="52"/>
      <c r="DQ140" s="52"/>
      <c r="DR140" s="43">
        <v>1</v>
      </c>
      <c r="DS140" s="43">
        <v>1</v>
      </c>
      <c r="DT140" s="43">
        <v>1</v>
      </c>
      <c r="DU140" s="43">
        <v>1</v>
      </c>
      <c r="DV140" s="43">
        <v>1</v>
      </c>
      <c r="DW140" s="43">
        <v>1</v>
      </c>
      <c r="DX140" s="43">
        <v>1</v>
      </c>
      <c r="DY140" s="43">
        <v>1</v>
      </c>
      <c r="DZ140" s="43">
        <v>1</v>
      </c>
      <c r="EA140" s="43">
        <v>1</v>
      </c>
      <c r="EB140" s="43">
        <v>1</v>
      </c>
      <c r="EC140" s="43">
        <v>1</v>
      </c>
      <c r="ED140" s="43">
        <v>1</v>
      </c>
      <c r="EE140" s="43">
        <v>1</v>
      </c>
      <c r="EF140" s="43">
        <v>1</v>
      </c>
      <c r="EG140" s="43">
        <v>1</v>
      </c>
      <c r="EH140" s="43">
        <v>1</v>
      </c>
      <c r="EI140" s="43">
        <v>1</v>
      </c>
      <c r="EJ140" s="43">
        <v>1</v>
      </c>
      <c r="EK140" s="43">
        <v>1</v>
      </c>
      <c r="EL140" s="50"/>
      <c r="EM140" s="50"/>
      <c r="EN140" s="50"/>
      <c r="EO140" s="50"/>
      <c r="EP140" s="50"/>
      <c r="EQ140" s="50"/>
      <c r="ER140" s="50"/>
      <c r="ES140" s="50"/>
      <c r="ET140" s="50"/>
      <c r="EU140" s="50"/>
      <c r="EV140" s="50"/>
      <c r="EW140" s="50"/>
      <c r="EX140" s="50"/>
      <c r="EY140" s="50"/>
      <c r="EZ140" s="50"/>
      <c r="FA140" s="50"/>
      <c r="FB140" s="50"/>
      <c r="FC140" s="50"/>
      <c r="FD140" s="50"/>
      <c r="FE140" s="50"/>
    </row>
    <row r="141" spans="1:161" x14ac:dyDescent="0.15">
      <c r="A141" s="46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52"/>
      <c r="W141" s="52"/>
      <c r="X141" s="52"/>
      <c r="Y141" s="52"/>
      <c r="Z141" s="52"/>
      <c r="AA141" s="52"/>
      <c r="AB141" s="52"/>
      <c r="AC141" s="52"/>
      <c r="AD141" s="52"/>
      <c r="AE141" s="52"/>
      <c r="AF141" s="52"/>
      <c r="AG141" s="52"/>
      <c r="AH141" s="52"/>
      <c r="AI141" s="52"/>
      <c r="AJ141" s="52"/>
      <c r="AK141" s="52"/>
      <c r="AL141" s="52"/>
      <c r="AM141" s="52"/>
      <c r="AN141" s="52"/>
      <c r="AO141" s="52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43"/>
      <c r="CE141" s="43"/>
      <c r="CF141" s="43"/>
      <c r="CG141" s="43"/>
      <c r="CH141" s="43"/>
      <c r="CI141" s="43"/>
      <c r="CJ141" s="43"/>
      <c r="CK141" s="43"/>
      <c r="CL141" s="43"/>
      <c r="CM141" s="43"/>
      <c r="CN141" s="43"/>
      <c r="CO141" s="43"/>
      <c r="CP141" s="43"/>
      <c r="CQ141" s="43"/>
      <c r="CR141" s="43"/>
      <c r="CS141" s="43"/>
      <c r="CT141" s="43"/>
      <c r="CU141" s="43"/>
      <c r="CV141" s="43"/>
      <c r="CW141" s="43"/>
      <c r="CX141" s="52"/>
      <c r="CY141" s="52"/>
      <c r="CZ141" s="52"/>
      <c r="DA141" s="52"/>
      <c r="DB141" s="52"/>
      <c r="DC141" s="52"/>
      <c r="DD141" s="52"/>
      <c r="DE141" s="52"/>
      <c r="DF141" s="52"/>
      <c r="DG141" s="52"/>
      <c r="DH141" s="52"/>
      <c r="DI141" s="52"/>
      <c r="DJ141" s="52"/>
      <c r="DK141" s="52"/>
      <c r="DL141" s="52"/>
      <c r="DM141" s="52"/>
      <c r="DN141" s="52"/>
      <c r="DO141" s="52"/>
      <c r="DP141" s="52"/>
      <c r="DQ141" s="52"/>
      <c r="DR141" s="43">
        <v>1</v>
      </c>
      <c r="DS141" s="43">
        <v>1</v>
      </c>
      <c r="DT141" s="43">
        <v>1</v>
      </c>
      <c r="DU141" s="43">
        <v>1</v>
      </c>
      <c r="DV141" s="43">
        <v>1</v>
      </c>
      <c r="DW141" s="43">
        <v>1</v>
      </c>
      <c r="DX141" s="43">
        <v>1</v>
      </c>
      <c r="DY141" s="43">
        <v>1</v>
      </c>
      <c r="DZ141" s="43">
        <v>1</v>
      </c>
      <c r="EA141" s="43">
        <v>1</v>
      </c>
      <c r="EB141" s="43">
        <v>1</v>
      </c>
      <c r="EC141" s="43">
        <v>1</v>
      </c>
      <c r="ED141" s="43">
        <v>1</v>
      </c>
      <c r="EE141" s="43">
        <v>1</v>
      </c>
      <c r="EF141" s="43">
        <v>1</v>
      </c>
      <c r="EG141" s="43">
        <v>1</v>
      </c>
      <c r="EH141" s="43">
        <v>1</v>
      </c>
      <c r="EI141" s="43">
        <v>1</v>
      </c>
      <c r="EJ141" s="43">
        <v>1</v>
      </c>
      <c r="EK141" s="43">
        <v>1</v>
      </c>
      <c r="EL141" s="50"/>
      <c r="EM141" s="50"/>
      <c r="EN141" s="50"/>
      <c r="EO141" s="50"/>
      <c r="EP141" s="50"/>
      <c r="EQ141" s="50"/>
      <c r="ER141" s="50"/>
      <c r="ES141" s="50"/>
      <c r="ET141" s="50"/>
      <c r="EU141" s="50"/>
      <c r="EV141" s="50"/>
      <c r="EW141" s="50"/>
      <c r="EX141" s="50"/>
      <c r="EY141" s="50"/>
      <c r="EZ141" s="50"/>
      <c r="FA141" s="50"/>
      <c r="FB141" s="50"/>
      <c r="FC141" s="50"/>
      <c r="FD141" s="50"/>
      <c r="FE141" s="50"/>
    </row>
    <row r="142" spans="1:161" x14ac:dyDescent="0.15">
      <c r="A142" s="46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52"/>
      <c r="W142" s="52"/>
      <c r="X142" s="52"/>
      <c r="Y142" s="52"/>
      <c r="Z142" s="52"/>
      <c r="AA142" s="52"/>
      <c r="AB142" s="52"/>
      <c r="AC142" s="52"/>
      <c r="AD142" s="52"/>
      <c r="AE142" s="52"/>
      <c r="AF142" s="52"/>
      <c r="AG142" s="52"/>
      <c r="AH142" s="52"/>
      <c r="AI142" s="52"/>
      <c r="AJ142" s="52"/>
      <c r="AK142" s="52"/>
      <c r="AL142" s="52"/>
      <c r="AM142" s="52"/>
      <c r="AN142" s="52"/>
      <c r="AO142" s="52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43"/>
      <c r="CE142" s="43"/>
      <c r="CF142" s="43"/>
      <c r="CG142" s="43"/>
      <c r="CH142" s="43"/>
      <c r="CI142" s="43"/>
      <c r="CJ142" s="43"/>
      <c r="CK142" s="43"/>
      <c r="CL142" s="43"/>
      <c r="CM142" s="43"/>
      <c r="CN142" s="43"/>
      <c r="CO142" s="43"/>
      <c r="CP142" s="43"/>
      <c r="CQ142" s="43"/>
      <c r="CR142" s="43"/>
      <c r="CS142" s="43"/>
      <c r="CT142" s="43"/>
      <c r="CU142" s="43"/>
      <c r="CV142" s="43"/>
      <c r="CW142" s="43"/>
      <c r="CX142" s="52"/>
      <c r="CY142" s="52"/>
      <c r="CZ142" s="52"/>
      <c r="DA142" s="52"/>
      <c r="DB142" s="52"/>
      <c r="DC142" s="52"/>
      <c r="DD142" s="52"/>
      <c r="DE142" s="52"/>
      <c r="DF142" s="52"/>
      <c r="DG142" s="52"/>
      <c r="DH142" s="52"/>
      <c r="DI142" s="52"/>
      <c r="DJ142" s="52"/>
      <c r="DK142" s="52"/>
      <c r="DL142" s="52"/>
      <c r="DM142" s="52"/>
      <c r="DN142" s="52"/>
      <c r="DO142" s="52"/>
      <c r="DP142" s="52"/>
      <c r="DQ142" s="52"/>
      <c r="DR142" s="43">
        <v>1</v>
      </c>
      <c r="DS142" s="43">
        <v>1</v>
      </c>
      <c r="DT142" s="43">
        <v>1</v>
      </c>
      <c r="DU142" s="43">
        <v>1</v>
      </c>
      <c r="DV142" s="43">
        <v>1</v>
      </c>
      <c r="DW142" s="43">
        <v>1</v>
      </c>
      <c r="DX142" s="43">
        <v>1</v>
      </c>
      <c r="DY142" s="43">
        <v>1</v>
      </c>
      <c r="DZ142" s="43">
        <v>1</v>
      </c>
      <c r="EA142" s="43">
        <v>1</v>
      </c>
      <c r="EB142" s="43">
        <v>1</v>
      </c>
      <c r="EC142" s="43">
        <v>1</v>
      </c>
      <c r="ED142" s="43">
        <v>1</v>
      </c>
      <c r="EE142" s="43">
        <v>1</v>
      </c>
      <c r="EF142" s="43">
        <v>1</v>
      </c>
      <c r="EG142" s="43">
        <v>1</v>
      </c>
      <c r="EH142" s="43">
        <v>1</v>
      </c>
      <c r="EI142" s="43">
        <v>1</v>
      </c>
      <c r="EJ142" s="43">
        <v>1</v>
      </c>
      <c r="EK142" s="43">
        <v>1</v>
      </c>
      <c r="EL142" s="50"/>
      <c r="EM142" s="50"/>
      <c r="EN142" s="50"/>
      <c r="EO142" s="50"/>
      <c r="EP142" s="50"/>
      <c r="EQ142" s="50"/>
      <c r="ER142" s="50"/>
      <c r="ES142" s="50"/>
      <c r="ET142" s="50"/>
      <c r="EU142" s="50"/>
      <c r="EV142" s="50"/>
      <c r="EW142" s="50"/>
      <c r="EX142" s="50"/>
      <c r="EY142" s="50"/>
      <c r="EZ142" s="50"/>
      <c r="FA142" s="50"/>
      <c r="FB142" s="50"/>
      <c r="FC142" s="50"/>
      <c r="FD142" s="50"/>
      <c r="FE142" s="50"/>
    </row>
    <row r="143" spans="1:161" x14ac:dyDescent="0.15">
      <c r="A143" s="46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52"/>
      <c r="W143" s="52"/>
      <c r="X143" s="52"/>
      <c r="Y143" s="52"/>
      <c r="Z143" s="52"/>
      <c r="AA143" s="52"/>
      <c r="AB143" s="52"/>
      <c r="AC143" s="52"/>
      <c r="AD143" s="52"/>
      <c r="AE143" s="52"/>
      <c r="AF143" s="52"/>
      <c r="AG143" s="52"/>
      <c r="AH143" s="52"/>
      <c r="AI143" s="52"/>
      <c r="AJ143" s="52"/>
      <c r="AK143" s="52"/>
      <c r="AL143" s="52"/>
      <c r="AM143" s="52"/>
      <c r="AN143" s="52"/>
      <c r="AO143" s="52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43"/>
      <c r="CE143" s="43"/>
      <c r="CF143" s="43"/>
      <c r="CG143" s="43"/>
      <c r="CH143" s="43"/>
      <c r="CI143" s="43"/>
      <c r="CJ143" s="43"/>
      <c r="CK143" s="43"/>
      <c r="CL143" s="43"/>
      <c r="CM143" s="43"/>
      <c r="CN143" s="43"/>
      <c r="CO143" s="43"/>
      <c r="CP143" s="43"/>
      <c r="CQ143" s="43"/>
      <c r="CR143" s="43"/>
      <c r="CS143" s="43"/>
      <c r="CT143" s="43"/>
      <c r="CU143" s="43"/>
      <c r="CV143" s="43"/>
      <c r="CW143" s="43"/>
      <c r="CX143" s="52"/>
      <c r="CY143" s="52"/>
      <c r="CZ143" s="52"/>
      <c r="DA143" s="52"/>
      <c r="DB143" s="52"/>
      <c r="DC143" s="52"/>
      <c r="DD143" s="52"/>
      <c r="DE143" s="52"/>
      <c r="DF143" s="52"/>
      <c r="DG143" s="52"/>
      <c r="DH143" s="52"/>
      <c r="DI143" s="52"/>
      <c r="DJ143" s="52"/>
      <c r="DK143" s="52"/>
      <c r="DL143" s="52"/>
      <c r="DM143" s="52"/>
      <c r="DN143" s="52"/>
      <c r="DO143" s="52"/>
      <c r="DP143" s="52"/>
      <c r="DQ143" s="52"/>
      <c r="DR143" s="43">
        <v>1</v>
      </c>
      <c r="DS143" s="43">
        <v>1</v>
      </c>
      <c r="DT143" s="43">
        <v>1</v>
      </c>
      <c r="DU143" s="43">
        <v>1</v>
      </c>
      <c r="DV143" s="43">
        <v>1</v>
      </c>
      <c r="DW143" s="43">
        <v>1</v>
      </c>
      <c r="DX143" s="43">
        <v>1</v>
      </c>
      <c r="DY143" s="43">
        <v>1</v>
      </c>
      <c r="DZ143" s="43">
        <v>1</v>
      </c>
      <c r="EA143" s="43">
        <v>1</v>
      </c>
      <c r="EB143" s="43">
        <v>1</v>
      </c>
      <c r="EC143" s="43">
        <v>1</v>
      </c>
      <c r="ED143" s="43">
        <v>1</v>
      </c>
      <c r="EE143" s="43">
        <v>1</v>
      </c>
      <c r="EF143" s="43">
        <v>1</v>
      </c>
      <c r="EG143" s="43">
        <v>1</v>
      </c>
      <c r="EH143" s="43">
        <v>1</v>
      </c>
      <c r="EI143" s="43">
        <v>1</v>
      </c>
      <c r="EJ143" s="43">
        <v>1</v>
      </c>
      <c r="EK143" s="43">
        <v>1</v>
      </c>
      <c r="EL143" s="50"/>
      <c r="EM143" s="50"/>
      <c r="EN143" s="50"/>
      <c r="EO143" s="50"/>
      <c r="EP143" s="50"/>
      <c r="EQ143" s="50"/>
      <c r="ER143" s="50"/>
      <c r="ES143" s="50"/>
      <c r="ET143" s="50"/>
      <c r="EU143" s="50"/>
      <c r="EV143" s="50"/>
      <c r="EW143" s="50"/>
      <c r="EX143" s="50"/>
      <c r="EY143" s="50"/>
      <c r="EZ143" s="50"/>
      <c r="FA143" s="50"/>
      <c r="FB143" s="50"/>
      <c r="FC143" s="50"/>
      <c r="FD143" s="50"/>
      <c r="FE143" s="50"/>
    </row>
    <row r="144" spans="1:161" x14ac:dyDescent="0.15">
      <c r="A144" s="46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52"/>
      <c r="W144" s="52"/>
      <c r="X144" s="52"/>
      <c r="Y144" s="52"/>
      <c r="Z144" s="52"/>
      <c r="AA144" s="52"/>
      <c r="AB144" s="52"/>
      <c r="AC144" s="52"/>
      <c r="AD144" s="52"/>
      <c r="AE144" s="52"/>
      <c r="AF144" s="52"/>
      <c r="AG144" s="52"/>
      <c r="AH144" s="52"/>
      <c r="AI144" s="52"/>
      <c r="AJ144" s="52"/>
      <c r="AK144" s="52"/>
      <c r="AL144" s="52"/>
      <c r="AM144" s="52"/>
      <c r="AN144" s="52"/>
      <c r="AO144" s="52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43"/>
      <c r="CE144" s="43"/>
      <c r="CF144" s="43"/>
      <c r="CG144" s="43"/>
      <c r="CH144" s="43"/>
      <c r="CI144" s="43"/>
      <c r="CJ144" s="43"/>
      <c r="CK144" s="43"/>
      <c r="CL144" s="43"/>
      <c r="CM144" s="43"/>
      <c r="CN144" s="43"/>
      <c r="CO144" s="43"/>
      <c r="CP144" s="43"/>
      <c r="CQ144" s="43"/>
      <c r="CR144" s="43"/>
      <c r="CS144" s="43"/>
      <c r="CT144" s="43"/>
      <c r="CU144" s="43"/>
      <c r="CV144" s="43"/>
      <c r="CW144" s="43"/>
      <c r="CX144" s="52"/>
      <c r="CY144" s="52"/>
      <c r="CZ144" s="52"/>
      <c r="DA144" s="52"/>
      <c r="DB144" s="52"/>
      <c r="DC144" s="52"/>
      <c r="DD144" s="52"/>
      <c r="DE144" s="52"/>
      <c r="DF144" s="52"/>
      <c r="DG144" s="52"/>
      <c r="DH144" s="52"/>
      <c r="DI144" s="52"/>
      <c r="DJ144" s="52"/>
      <c r="DK144" s="52"/>
      <c r="DL144" s="52"/>
      <c r="DM144" s="52"/>
      <c r="DN144" s="52"/>
      <c r="DO144" s="52"/>
      <c r="DP144" s="52"/>
      <c r="DQ144" s="52"/>
      <c r="DR144" s="43">
        <v>1</v>
      </c>
      <c r="DS144" s="43">
        <v>1</v>
      </c>
      <c r="DT144" s="43">
        <v>1</v>
      </c>
      <c r="DU144" s="43">
        <v>1</v>
      </c>
      <c r="DV144" s="43">
        <v>1</v>
      </c>
      <c r="DW144" s="43">
        <v>1</v>
      </c>
      <c r="DX144" s="43">
        <v>1</v>
      </c>
      <c r="DY144" s="43">
        <v>1</v>
      </c>
      <c r="DZ144" s="43">
        <v>1</v>
      </c>
      <c r="EA144" s="43">
        <v>1</v>
      </c>
      <c r="EB144" s="43">
        <v>1</v>
      </c>
      <c r="EC144" s="43">
        <v>1</v>
      </c>
      <c r="ED144" s="43">
        <v>1</v>
      </c>
      <c r="EE144" s="43">
        <v>1</v>
      </c>
      <c r="EF144" s="43">
        <v>1</v>
      </c>
      <c r="EG144" s="43">
        <v>1</v>
      </c>
      <c r="EH144" s="43">
        <v>1</v>
      </c>
      <c r="EI144" s="43">
        <v>1</v>
      </c>
      <c r="EJ144" s="43">
        <v>1</v>
      </c>
      <c r="EK144" s="43">
        <v>1</v>
      </c>
      <c r="EL144" s="50"/>
      <c r="EM144" s="50"/>
      <c r="EN144" s="50"/>
      <c r="EO144" s="50"/>
      <c r="EP144" s="50"/>
      <c r="EQ144" s="50"/>
      <c r="ER144" s="50"/>
      <c r="ES144" s="50"/>
      <c r="ET144" s="50"/>
      <c r="EU144" s="50"/>
      <c r="EV144" s="50"/>
      <c r="EW144" s="50"/>
      <c r="EX144" s="50"/>
      <c r="EY144" s="50"/>
      <c r="EZ144" s="50"/>
      <c r="FA144" s="50"/>
      <c r="FB144" s="50"/>
      <c r="FC144" s="50"/>
      <c r="FD144" s="50"/>
      <c r="FE144" s="50"/>
    </row>
    <row r="145" spans="1:161" x14ac:dyDescent="0.15">
      <c r="A145" s="46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52"/>
      <c r="W145" s="52"/>
      <c r="X145" s="52"/>
      <c r="Y145" s="52"/>
      <c r="Z145" s="52"/>
      <c r="AA145" s="52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43"/>
      <c r="CE145" s="43"/>
      <c r="CF145" s="43"/>
      <c r="CG145" s="43"/>
      <c r="CH145" s="43"/>
      <c r="CI145" s="43"/>
      <c r="CJ145" s="43"/>
      <c r="CK145" s="43"/>
      <c r="CL145" s="43"/>
      <c r="CM145" s="43"/>
      <c r="CN145" s="43"/>
      <c r="CO145" s="43"/>
      <c r="CP145" s="43"/>
      <c r="CQ145" s="43"/>
      <c r="CR145" s="43"/>
      <c r="CS145" s="43"/>
      <c r="CT145" s="43"/>
      <c r="CU145" s="43"/>
      <c r="CV145" s="43"/>
      <c r="CW145" s="43"/>
      <c r="CX145" s="52"/>
      <c r="CY145" s="52"/>
      <c r="CZ145" s="52"/>
      <c r="DA145" s="52"/>
      <c r="DB145" s="52"/>
      <c r="DC145" s="52"/>
      <c r="DD145" s="52"/>
      <c r="DE145" s="52"/>
      <c r="DF145" s="52"/>
      <c r="DG145" s="52"/>
      <c r="DH145" s="52"/>
      <c r="DI145" s="52"/>
      <c r="DJ145" s="52"/>
      <c r="DK145" s="52"/>
      <c r="DL145" s="52"/>
      <c r="DM145" s="52"/>
      <c r="DN145" s="52"/>
      <c r="DO145" s="52"/>
      <c r="DP145" s="52"/>
      <c r="DQ145" s="52"/>
      <c r="DR145" s="43">
        <v>1</v>
      </c>
      <c r="DS145" s="43">
        <v>1</v>
      </c>
      <c r="DT145" s="43">
        <v>1</v>
      </c>
      <c r="DU145" s="43">
        <v>1</v>
      </c>
      <c r="DV145" s="43">
        <v>1</v>
      </c>
      <c r="DW145" s="43">
        <v>1</v>
      </c>
      <c r="DX145" s="43">
        <v>1</v>
      </c>
      <c r="DY145" s="43">
        <v>1</v>
      </c>
      <c r="DZ145" s="43">
        <v>1</v>
      </c>
      <c r="EA145" s="43">
        <v>1</v>
      </c>
      <c r="EB145" s="43">
        <v>1</v>
      </c>
      <c r="EC145" s="43">
        <v>1</v>
      </c>
      <c r="ED145" s="43">
        <v>1</v>
      </c>
      <c r="EE145" s="43">
        <v>1</v>
      </c>
      <c r="EF145" s="43">
        <v>1</v>
      </c>
      <c r="EG145" s="43">
        <v>1</v>
      </c>
      <c r="EH145" s="43">
        <v>1</v>
      </c>
      <c r="EI145" s="43">
        <v>1</v>
      </c>
      <c r="EJ145" s="43">
        <v>1</v>
      </c>
      <c r="EK145" s="43">
        <v>1</v>
      </c>
      <c r="EL145" s="50"/>
      <c r="EM145" s="50"/>
      <c r="EN145" s="50"/>
      <c r="EO145" s="50"/>
      <c r="EP145" s="50"/>
      <c r="EQ145" s="50"/>
      <c r="ER145" s="50"/>
      <c r="ES145" s="50"/>
      <c r="ET145" s="50"/>
      <c r="EU145" s="50"/>
      <c r="EV145" s="50"/>
      <c r="EW145" s="50"/>
      <c r="EX145" s="50"/>
      <c r="EY145" s="50"/>
      <c r="EZ145" s="50"/>
      <c r="FA145" s="50"/>
      <c r="FB145" s="50"/>
      <c r="FC145" s="50"/>
      <c r="FD145" s="50"/>
      <c r="FE145" s="50"/>
    </row>
    <row r="146" spans="1:161" x14ac:dyDescent="0.15">
      <c r="A146" s="46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43"/>
      <c r="CE146" s="43"/>
      <c r="CF146" s="43"/>
      <c r="CG146" s="43"/>
      <c r="CH146" s="43"/>
      <c r="CI146" s="43"/>
      <c r="CJ146" s="43"/>
      <c r="CK146" s="43"/>
      <c r="CL146" s="43"/>
      <c r="CM146" s="43"/>
      <c r="CN146" s="43"/>
      <c r="CO146" s="43"/>
      <c r="CP146" s="43"/>
      <c r="CQ146" s="43"/>
      <c r="CR146" s="43"/>
      <c r="CS146" s="43"/>
      <c r="CT146" s="43"/>
      <c r="CU146" s="43"/>
      <c r="CV146" s="43"/>
      <c r="CW146" s="43"/>
      <c r="CX146" s="52"/>
      <c r="CY146" s="52"/>
      <c r="CZ146" s="52"/>
      <c r="DA146" s="52"/>
      <c r="DB146" s="52"/>
      <c r="DC146" s="52"/>
      <c r="DD146" s="52"/>
      <c r="DE146" s="52"/>
      <c r="DF146" s="52"/>
      <c r="DG146" s="52"/>
      <c r="DH146" s="52"/>
      <c r="DI146" s="52"/>
      <c r="DJ146" s="52"/>
      <c r="DK146" s="52"/>
      <c r="DL146" s="52"/>
      <c r="DM146" s="52"/>
      <c r="DN146" s="52"/>
      <c r="DO146" s="52"/>
      <c r="DP146" s="52"/>
      <c r="DQ146" s="52"/>
      <c r="DR146" s="43">
        <v>1</v>
      </c>
      <c r="DS146" s="43">
        <v>1</v>
      </c>
      <c r="DT146" s="43">
        <v>1</v>
      </c>
      <c r="DU146" s="43">
        <v>1</v>
      </c>
      <c r="DV146" s="43">
        <v>1</v>
      </c>
      <c r="DW146" s="43">
        <v>1</v>
      </c>
      <c r="DX146" s="43">
        <v>1</v>
      </c>
      <c r="DY146" s="43">
        <v>1</v>
      </c>
      <c r="DZ146" s="43">
        <v>1</v>
      </c>
      <c r="EA146" s="43">
        <v>1</v>
      </c>
      <c r="EB146" s="43">
        <v>1</v>
      </c>
      <c r="EC146" s="43">
        <v>1</v>
      </c>
      <c r="ED146" s="43">
        <v>1</v>
      </c>
      <c r="EE146" s="43">
        <v>1</v>
      </c>
      <c r="EF146" s="43">
        <v>1</v>
      </c>
      <c r="EG146" s="43">
        <v>1</v>
      </c>
      <c r="EH146" s="43">
        <v>1</v>
      </c>
      <c r="EI146" s="43">
        <v>1</v>
      </c>
      <c r="EJ146" s="43">
        <v>1</v>
      </c>
      <c r="EK146" s="43">
        <v>1</v>
      </c>
      <c r="EL146" s="50"/>
      <c r="EM146" s="50"/>
      <c r="EN146" s="50"/>
      <c r="EO146" s="50"/>
      <c r="EP146" s="50"/>
      <c r="EQ146" s="50"/>
      <c r="ER146" s="50"/>
      <c r="ES146" s="50"/>
      <c r="ET146" s="50"/>
      <c r="EU146" s="50"/>
      <c r="EV146" s="50"/>
      <c r="EW146" s="50"/>
      <c r="EX146" s="50"/>
      <c r="EY146" s="50"/>
      <c r="EZ146" s="50"/>
      <c r="FA146" s="50"/>
      <c r="FB146" s="50"/>
      <c r="FC146" s="50"/>
      <c r="FD146" s="50"/>
      <c r="FE146" s="50"/>
    </row>
    <row r="147" spans="1:161" x14ac:dyDescent="0.15">
      <c r="A147" s="46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52"/>
      <c r="W147" s="52"/>
      <c r="X147" s="52"/>
      <c r="Y147" s="52"/>
      <c r="Z147" s="52"/>
      <c r="AA147" s="52"/>
      <c r="AB147" s="52"/>
      <c r="AC147" s="52"/>
      <c r="AD147" s="52"/>
      <c r="AE147" s="52"/>
      <c r="AF147" s="52"/>
      <c r="AG147" s="52"/>
      <c r="AH147" s="52"/>
      <c r="AI147" s="52"/>
      <c r="AJ147" s="52"/>
      <c r="AK147" s="52"/>
      <c r="AL147" s="52"/>
      <c r="AM147" s="52"/>
      <c r="AN147" s="52"/>
      <c r="AO147" s="52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43"/>
      <c r="CE147" s="43"/>
      <c r="CF147" s="43"/>
      <c r="CG147" s="43"/>
      <c r="CH147" s="43"/>
      <c r="CI147" s="43"/>
      <c r="CJ147" s="43"/>
      <c r="CK147" s="43"/>
      <c r="CL147" s="43"/>
      <c r="CM147" s="43"/>
      <c r="CN147" s="43"/>
      <c r="CO147" s="43"/>
      <c r="CP147" s="43"/>
      <c r="CQ147" s="43"/>
      <c r="CR147" s="43"/>
      <c r="CS147" s="43"/>
      <c r="CT147" s="43"/>
      <c r="CU147" s="43"/>
      <c r="CV147" s="43"/>
      <c r="CW147" s="43"/>
      <c r="CX147" s="52"/>
      <c r="CY147" s="52"/>
      <c r="CZ147" s="52"/>
      <c r="DA147" s="52"/>
      <c r="DB147" s="52"/>
      <c r="DC147" s="52"/>
      <c r="DD147" s="52"/>
      <c r="DE147" s="52"/>
      <c r="DF147" s="52"/>
      <c r="DG147" s="52"/>
      <c r="DH147" s="52"/>
      <c r="DI147" s="52"/>
      <c r="DJ147" s="52"/>
      <c r="DK147" s="52"/>
      <c r="DL147" s="52"/>
      <c r="DM147" s="52"/>
      <c r="DN147" s="52"/>
      <c r="DO147" s="52"/>
      <c r="DP147" s="52"/>
      <c r="DQ147" s="52"/>
      <c r="DR147" s="45">
        <v>1</v>
      </c>
      <c r="DS147" s="45">
        <v>1</v>
      </c>
      <c r="DT147" s="45">
        <v>1</v>
      </c>
      <c r="DU147" s="45">
        <v>1</v>
      </c>
      <c r="DV147" s="45">
        <v>1</v>
      </c>
      <c r="DW147" s="45">
        <v>1</v>
      </c>
      <c r="DX147" s="45">
        <v>1</v>
      </c>
      <c r="DY147" s="45">
        <v>1</v>
      </c>
      <c r="DZ147" s="45">
        <v>1</v>
      </c>
      <c r="EA147" s="45">
        <v>1</v>
      </c>
      <c r="EB147" s="45">
        <v>1</v>
      </c>
      <c r="EC147" s="45">
        <v>1</v>
      </c>
      <c r="ED147" s="45">
        <v>1</v>
      </c>
      <c r="EE147" s="45">
        <v>1</v>
      </c>
      <c r="EF147" s="45">
        <v>1</v>
      </c>
      <c r="EG147" s="45">
        <v>1</v>
      </c>
      <c r="EH147" s="45">
        <v>1</v>
      </c>
      <c r="EI147" s="45">
        <v>1</v>
      </c>
      <c r="EJ147" s="45">
        <v>1</v>
      </c>
      <c r="EK147" s="45">
        <v>1</v>
      </c>
      <c r="EL147" s="50"/>
      <c r="EM147" s="50"/>
      <c r="EN147" s="50"/>
      <c r="EO147" s="50"/>
      <c r="EP147" s="50"/>
      <c r="EQ147" s="50"/>
      <c r="ER147" s="50"/>
      <c r="ES147" s="50"/>
      <c r="ET147" s="50"/>
      <c r="EU147" s="50"/>
      <c r="EV147" s="50"/>
      <c r="EW147" s="50"/>
      <c r="EX147" s="50"/>
      <c r="EY147" s="50"/>
      <c r="EZ147" s="50"/>
      <c r="FA147" s="50"/>
      <c r="FB147" s="50"/>
      <c r="FC147" s="50"/>
      <c r="FD147" s="50"/>
      <c r="FE147" s="50"/>
    </row>
    <row r="148" spans="1:161" x14ac:dyDescent="0.15">
      <c r="A148" s="46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52"/>
      <c r="W148" s="52"/>
      <c r="X148" s="52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43"/>
      <c r="CE148" s="43"/>
      <c r="CF148" s="43"/>
      <c r="CG148" s="43"/>
      <c r="CH148" s="43"/>
      <c r="CI148" s="43"/>
      <c r="CJ148" s="43"/>
      <c r="CK148" s="43"/>
      <c r="CL148" s="43"/>
      <c r="CM148" s="43"/>
      <c r="CN148" s="43"/>
      <c r="CO148" s="43"/>
      <c r="CP148" s="43"/>
      <c r="CQ148" s="43"/>
      <c r="CR148" s="43"/>
      <c r="CS148" s="43"/>
      <c r="CT148" s="43"/>
      <c r="CU148" s="43"/>
      <c r="CV148" s="43"/>
      <c r="CW148" s="43"/>
      <c r="CX148" s="52"/>
      <c r="CY148" s="52"/>
      <c r="CZ148" s="52"/>
      <c r="DA148" s="52"/>
      <c r="DB148" s="52"/>
      <c r="DC148" s="52"/>
      <c r="DD148" s="52"/>
      <c r="DE148" s="52"/>
      <c r="DF148" s="52"/>
      <c r="DG148" s="52"/>
      <c r="DH148" s="52"/>
      <c r="DI148" s="52"/>
      <c r="DJ148" s="52"/>
      <c r="DK148" s="52"/>
      <c r="DL148" s="52"/>
      <c r="DM148" s="52"/>
      <c r="DN148" s="52"/>
      <c r="DO148" s="52"/>
      <c r="DP148" s="52"/>
      <c r="DQ148" s="52"/>
      <c r="DR148" s="43">
        <v>1</v>
      </c>
      <c r="DS148" s="43">
        <v>1</v>
      </c>
      <c r="DT148" s="43">
        <v>1</v>
      </c>
      <c r="DU148" s="43">
        <v>1</v>
      </c>
      <c r="DV148" s="43">
        <v>1</v>
      </c>
      <c r="DW148" s="43">
        <v>1</v>
      </c>
      <c r="DX148" s="43">
        <v>1</v>
      </c>
      <c r="DY148" s="43">
        <v>1</v>
      </c>
      <c r="DZ148" s="43">
        <v>1</v>
      </c>
      <c r="EA148" s="43">
        <v>1</v>
      </c>
      <c r="EB148" s="43">
        <v>1</v>
      </c>
      <c r="EC148" s="43">
        <v>1</v>
      </c>
      <c r="ED148" s="43">
        <v>1</v>
      </c>
      <c r="EE148" s="43">
        <v>1</v>
      </c>
      <c r="EF148" s="43">
        <v>1</v>
      </c>
      <c r="EG148" s="43">
        <v>1</v>
      </c>
      <c r="EH148" s="43">
        <v>1</v>
      </c>
      <c r="EI148" s="43">
        <v>1</v>
      </c>
      <c r="EJ148" s="43">
        <v>1</v>
      </c>
      <c r="EK148" s="43">
        <v>1</v>
      </c>
      <c r="EL148" s="50"/>
      <c r="EM148" s="50"/>
      <c r="EN148" s="50"/>
      <c r="EO148" s="50"/>
      <c r="EP148" s="50"/>
      <c r="EQ148" s="50"/>
      <c r="ER148" s="50"/>
      <c r="ES148" s="50"/>
      <c r="ET148" s="50"/>
      <c r="EU148" s="50"/>
      <c r="EV148" s="50"/>
      <c r="EW148" s="50"/>
      <c r="EX148" s="50"/>
      <c r="EY148" s="50"/>
      <c r="EZ148" s="50"/>
      <c r="FA148" s="50"/>
      <c r="FB148" s="50"/>
      <c r="FC148" s="50"/>
      <c r="FD148" s="50"/>
      <c r="FE148" s="50"/>
    </row>
    <row r="149" spans="1:161" x14ac:dyDescent="0.15">
      <c r="A149" s="46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52"/>
      <c r="W149" s="52"/>
      <c r="X149" s="52"/>
      <c r="Y149" s="52"/>
      <c r="Z149" s="52"/>
      <c r="AA149" s="52"/>
      <c r="AB149" s="52"/>
      <c r="AC149" s="52"/>
      <c r="AD149" s="52"/>
      <c r="AE149" s="52"/>
      <c r="AF149" s="52"/>
      <c r="AG149" s="52"/>
      <c r="AH149" s="52"/>
      <c r="AI149" s="52"/>
      <c r="AJ149" s="52"/>
      <c r="AK149" s="52"/>
      <c r="AL149" s="52"/>
      <c r="AM149" s="52"/>
      <c r="AN149" s="52"/>
      <c r="AO149" s="52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43"/>
      <c r="CE149" s="43"/>
      <c r="CF149" s="43"/>
      <c r="CG149" s="43"/>
      <c r="CH149" s="43"/>
      <c r="CI149" s="43"/>
      <c r="CJ149" s="43"/>
      <c r="CK149" s="43"/>
      <c r="CL149" s="43"/>
      <c r="CM149" s="43"/>
      <c r="CN149" s="43"/>
      <c r="CO149" s="43"/>
      <c r="CP149" s="43"/>
      <c r="CQ149" s="43"/>
      <c r="CR149" s="43"/>
      <c r="CS149" s="43"/>
      <c r="CT149" s="43"/>
      <c r="CU149" s="43"/>
      <c r="CV149" s="43"/>
      <c r="CW149" s="43"/>
      <c r="CX149" s="52"/>
      <c r="CY149" s="52"/>
      <c r="CZ149" s="52"/>
      <c r="DA149" s="52"/>
      <c r="DB149" s="52"/>
      <c r="DC149" s="52"/>
      <c r="DD149" s="52"/>
      <c r="DE149" s="52"/>
      <c r="DF149" s="52"/>
      <c r="DG149" s="52"/>
      <c r="DH149" s="52"/>
      <c r="DI149" s="52"/>
      <c r="DJ149" s="52"/>
      <c r="DK149" s="52"/>
      <c r="DL149" s="52"/>
      <c r="DM149" s="52"/>
      <c r="DN149" s="52"/>
      <c r="DO149" s="52"/>
      <c r="DP149" s="52"/>
      <c r="DQ149" s="52"/>
      <c r="DR149" s="43">
        <v>1</v>
      </c>
      <c r="DS149" s="43">
        <v>1</v>
      </c>
      <c r="DT149" s="43">
        <v>1</v>
      </c>
      <c r="DU149" s="43">
        <v>1</v>
      </c>
      <c r="DV149" s="43">
        <v>1</v>
      </c>
      <c r="DW149" s="43">
        <v>1</v>
      </c>
      <c r="DX149" s="43">
        <v>1</v>
      </c>
      <c r="DY149" s="43">
        <v>1</v>
      </c>
      <c r="DZ149" s="43">
        <v>1</v>
      </c>
      <c r="EA149" s="43">
        <v>1</v>
      </c>
      <c r="EB149" s="43">
        <v>1</v>
      </c>
      <c r="EC149" s="43">
        <v>1</v>
      </c>
      <c r="ED149" s="43">
        <v>1</v>
      </c>
      <c r="EE149" s="43">
        <v>1</v>
      </c>
      <c r="EF149" s="43">
        <v>1</v>
      </c>
      <c r="EG149" s="43">
        <v>1</v>
      </c>
      <c r="EH149" s="43">
        <v>1</v>
      </c>
      <c r="EI149" s="43">
        <v>1</v>
      </c>
      <c r="EJ149" s="43">
        <v>1</v>
      </c>
      <c r="EK149" s="43">
        <v>1</v>
      </c>
      <c r="EL149" s="50"/>
      <c r="EM149" s="50"/>
      <c r="EN149" s="50"/>
      <c r="EO149" s="50"/>
      <c r="EP149" s="50"/>
      <c r="EQ149" s="50"/>
      <c r="ER149" s="50"/>
      <c r="ES149" s="50"/>
      <c r="ET149" s="50"/>
      <c r="EU149" s="50"/>
      <c r="EV149" s="50"/>
      <c r="EW149" s="50"/>
      <c r="EX149" s="50"/>
      <c r="EY149" s="50"/>
      <c r="EZ149" s="50"/>
      <c r="FA149" s="50"/>
      <c r="FB149" s="50"/>
      <c r="FC149" s="50"/>
      <c r="FD149" s="50"/>
      <c r="FE149" s="50"/>
    </row>
    <row r="150" spans="1:161" x14ac:dyDescent="0.15">
      <c r="A150" s="46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52"/>
      <c r="W150" s="52"/>
      <c r="X150" s="52"/>
      <c r="Y150" s="52"/>
      <c r="Z150" s="52"/>
      <c r="AA150" s="52"/>
      <c r="AB150" s="52"/>
      <c r="AC150" s="52"/>
      <c r="AD150" s="52"/>
      <c r="AE150" s="52"/>
      <c r="AF150" s="52"/>
      <c r="AG150" s="52"/>
      <c r="AH150" s="52"/>
      <c r="AI150" s="52"/>
      <c r="AJ150" s="52"/>
      <c r="AK150" s="52"/>
      <c r="AL150" s="52"/>
      <c r="AM150" s="52"/>
      <c r="AN150" s="52"/>
      <c r="AO150" s="52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43"/>
      <c r="CE150" s="43"/>
      <c r="CF150" s="43"/>
      <c r="CG150" s="43"/>
      <c r="CH150" s="43"/>
      <c r="CI150" s="43"/>
      <c r="CJ150" s="43"/>
      <c r="CK150" s="43"/>
      <c r="CL150" s="43"/>
      <c r="CM150" s="43"/>
      <c r="CN150" s="43"/>
      <c r="CO150" s="43"/>
      <c r="CP150" s="43"/>
      <c r="CQ150" s="43"/>
      <c r="CR150" s="43"/>
      <c r="CS150" s="43"/>
      <c r="CT150" s="43"/>
      <c r="CU150" s="43"/>
      <c r="CV150" s="43"/>
      <c r="CW150" s="43"/>
      <c r="CX150" s="52"/>
      <c r="CY150" s="52"/>
      <c r="CZ150" s="52"/>
      <c r="DA150" s="52"/>
      <c r="DB150" s="52"/>
      <c r="DC150" s="52"/>
      <c r="DD150" s="52"/>
      <c r="DE150" s="52"/>
      <c r="DF150" s="52"/>
      <c r="DG150" s="52"/>
      <c r="DH150" s="52"/>
      <c r="DI150" s="52"/>
      <c r="DJ150" s="52"/>
      <c r="DK150" s="52"/>
      <c r="DL150" s="52"/>
      <c r="DM150" s="52"/>
      <c r="DN150" s="52"/>
      <c r="DO150" s="52"/>
      <c r="DP150" s="52"/>
      <c r="DQ150" s="52"/>
      <c r="DR150" s="43">
        <v>1</v>
      </c>
      <c r="DS150" s="43">
        <v>1</v>
      </c>
      <c r="DT150" s="43">
        <v>1</v>
      </c>
      <c r="DU150" s="43">
        <v>1</v>
      </c>
      <c r="DV150" s="43">
        <v>1</v>
      </c>
      <c r="DW150" s="43">
        <v>1</v>
      </c>
      <c r="DX150" s="43">
        <v>1</v>
      </c>
      <c r="DY150" s="43">
        <v>1</v>
      </c>
      <c r="DZ150" s="43">
        <v>1</v>
      </c>
      <c r="EA150" s="43">
        <v>1</v>
      </c>
      <c r="EB150" s="43">
        <v>1</v>
      </c>
      <c r="EC150" s="43">
        <v>1</v>
      </c>
      <c r="ED150" s="43">
        <v>1</v>
      </c>
      <c r="EE150" s="43">
        <v>1</v>
      </c>
      <c r="EF150" s="43">
        <v>1</v>
      </c>
      <c r="EG150" s="43">
        <v>1</v>
      </c>
      <c r="EH150" s="43">
        <v>1</v>
      </c>
      <c r="EI150" s="43">
        <v>1</v>
      </c>
      <c r="EJ150" s="43">
        <v>1</v>
      </c>
      <c r="EK150" s="43">
        <v>1</v>
      </c>
      <c r="EL150" s="50"/>
      <c r="EM150" s="50"/>
      <c r="EN150" s="50"/>
      <c r="EO150" s="50"/>
      <c r="EP150" s="50"/>
      <c r="EQ150" s="50"/>
      <c r="ER150" s="50"/>
      <c r="ES150" s="50"/>
      <c r="ET150" s="50"/>
      <c r="EU150" s="50"/>
      <c r="EV150" s="50"/>
      <c r="EW150" s="50"/>
      <c r="EX150" s="50"/>
      <c r="EY150" s="50"/>
      <c r="EZ150" s="50"/>
      <c r="FA150" s="50"/>
      <c r="FB150" s="50"/>
      <c r="FC150" s="50"/>
      <c r="FD150" s="50"/>
      <c r="FE150" s="50"/>
    </row>
    <row r="151" spans="1:161" x14ac:dyDescent="0.15">
      <c r="A151" s="46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52"/>
      <c r="W151" s="52"/>
      <c r="X151" s="52"/>
      <c r="Y151" s="52"/>
      <c r="Z151" s="52"/>
      <c r="AA151" s="52"/>
      <c r="AB151" s="52"/>
      <c r="AC151" s="52"/>
      <c r="AD151" s="52"/>
      <c r="AE151" s="52"/>
      <c r="AF151" s="52"/>
      <c r="AG151" s="52"/>
      <c r="AH151" s="52"/>
      <c r="AI151" s="52"/>
      <c r="AJ151" s="52"/>
      <c r="AK151" s="52"/>
      <c r="AL151" s="52"/>
      <c r="AM151" s="52"/>
      <c r="AN151" s="52"/>
      <c r="AO151" s="52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43"/>
      <c r="CE151" s="43"/>
      <c r="CF151" s="43"/>
      <c r="CG151" s="43"/>
      <c r="CH151" s="43"/>
      <c r="CI151" s="43"/>
      <c r="CJ151" s="43"/>
      <c r="CK151" s="43"/>
      <c r="CL151" s="43"/>
      <c r="CM151" s="43"/>
      <c r="CN151" s="43"/>
      <c r="CO151" s="43"/>
      <c r="CP151" s="43"/>
      <c r="CQ151" s="43"/>
      <c r="CR151" s="43"/>
      <c r="CS151" s="43"/>
      <c r="CT151" s="43"/>
      <c r="CU151" s="43"/>
      <c r="CV151" s="43"/>
      <c r="CW151" s="43"/>
      <c r="CX151" s="52"/>
      <c r="CY151" s="52"/>
      <c r="CZ151" s="52"/>
      <c r="DA151" s="52"/>
      <c r="DB151" s="52"/>
      <c r="DC151" s="52"/>
      <c r="DD151" s="52"/>
      <c r="DE151" s="52"/>
      <c r="DF151" s="52"/>
      <c r="DG151" s="52"/>
      <c r="DH151" s="52"/>
      <c r="DI151" s="52"/>
      <c r="DJ151" s="52"/>
      <c r="DK151" s="52"/>
      <c r="DL151" s="52"/>
      <c r="DM151" s="52"/>
      <c r="DN151" s="52"/>
      <c r="DO151" s="52"/>
      <c r="DP151" s="52"/>
      <c r="DQ151" s="52"/>
      <c r="DR151" s="43">
        <v>1</v>
      </c>
      <c r="DS151" s="43">
        <v>1</v>
      </c>
      <c r="DT151" s="43">
        <v>1</v>
      </c>
      <c r="DU151" s="43">
        <v>1</v>
      </c>
      <c r="DV151" s="43">
        <v>1</v>
      </c>
      <c r="DW151" s="43">
        <v>1</v>
      </c>
      <c r="DX151" s="43">
        <v>1</v>
      </c>
      <c r="DY151" s="43">
        <v>1</v>
      </c>
      <c r="DZ151" s="43">
        <v>1</v>
      </c>
      <c r="EA151" s="43">
        <v>1</v>
      </c>
      <c r="EB151" s="43">
        <v>1</v>
      </c>
      <c r="EC151" s="43">
        <v>1</v>
      </c>
      <c r="ED151" s="43">
        <v>1</v>
      </c>
      <c r="EE151" s="43">
        <v>1</v>
      </c>
      <c r="EF151" s="43">
        <v>1</v>
      </c>
      <c r="EG151" s="43">
        <v>1</v>
      </c>
      <c r="EH151" s="43">
        <v>1</v>
      </c>
      <c r="EI151" s="43">
        <v>1</v>
      </c>
      <c r="EJ151" s="43">
        <v>1</v>
      </c>
      <c r="EK151" s="43">
        <v>1</v>
      </c>
      <c r="EL151" s="50"/>
      <c r="EM151" s="50"/>
      <c r="EN151" s="50"/>
      <c r="EO151" s="50"/>
      <c r="EP151" s="50"/>
      <c r="EQ151" s="50"/>
      <c r="ER151" s="50"/>
      <c r="ES151" s="50"/>
      <c r="ET151" s="50"/>
      <c r="EU151" s="50"/>
      <c r="EV151" s="50"/>
      <c r="EW151" s="50"/>
      <c r="EX151" s="50"/>
      <c r="EY151" s="50"/>
      <c r="EZ151" s="50"/>
      <c r="FA151" s="50"/>
      <c r="FB151" s="50"/>
      <c r="FC151" s="50"/>
      <c r="FD151" s="50"/>
      <c r="FE151" s="50"/>
    </row>
    <row r="152" spans="1:161" x14ac:dyDescent="0.15">
      <c r="A152" s="46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52"/>
      <c r="W152" s="52"/>
      <c r="X152" s="52"/>
      <c r="Y152" s="52"/>
      <c r="Z152" s="52"/>
      <c r="AA152" s="52"/>
      <c r="AB152" s="52"/>
      <c r="AC152" s="52"/>
      <c r="AD152" s="52"/>
      <c r="AE152" s="52"/>
      <c r="AF152" s="52"/>
      <c r="AG152" s="52"/>
      <c r="AH152" s="52"/>
      <c r="AI152" s="52"/>
      <c r="AJ152" s="52"/>
      <c r="AK152" s="52"/>
      <c r="AL152" s="52"/>
      <c r="AM152" s="52"/>
      <c r="AN152" s="52"/>
      <c r="AO152" s="52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43"/>
      <c r="CE152" s="43"/>
      <c r="CF152" s="43"/>
      <c r="CG152" s="43"/>
      <c r="CH152" s="43"/>
      <c r="CI152" s="43"/>
      <c r="CJ152" s="43"/>
      <c r="CK152" s="43"/>
      <c r="CL152" s="43"/>
      <c r="CM152" s="43"/>
      <c r="CN152" s="43"/>
      <c r="CO152" s="43"/>
      <c r="CP152" s="43"/>
      <c r="CQ152" s="43"/>
      <c r="CR152" s="43"/>
      <c r="CS152" s="43"/>
      <c r="CT152" s="43"/>
      <c r="CU152" s="43"/>
      <c r="CV152" s="43"/>
      <c r="CW152" s="43"/>
      <c r="CX152" s="52"/>
      <c r="CY152" s="52"/>
      <c r="CZ152" s="52"/>
      <c r="DA152" s="52"/>
      <c r="DB152" s="52"/>
      <c r="DC152" s="52"/>
      <c r="DD152" s="52"/>
      <c r="DE152" s="52"/>
      <c r="DF152" s="52"/>
      <c r="DG152" s="52"/>
      <c r="DH152" s="52"/>
      <c r="DI152" s="52"/>
      <c r="DJ152" s="52"/>
      <c r="DK152" s="52"/>
      <c r="DL152" s="52"/>
      <c r="DM152" s="52"/>
      <c r="DN152" s="52"/>
      <c r="DO152" s="52"/>
      <c r="DP152" s="52"/>
      <c r="DQ152" s="52"/>
      <c r="DR152" s="43">
        <v>1</v>
      </c>
      <c r="DS152" s="43">
        <v>1</v>
      </c>
      <c r="DT152" s="43">
        <v>1</v>
      </c>
      <c r="DU152" s="43">
        <v>1</v>
      </c>
      <c r="DV152" s="43">
        <v>1</v>
      </c>
      <c r="DW152" s="43">
        <v>1</v>
      </c>
      <c r="DX152" s="43">
        <v>1</v>
      </c>
      <c r="DY152" s="43">
        <v>1</v>
      </c>
      <c r="DZ152" s="43">
        <v>1</v>
      </c>
      <c r="EA152" s="43">
        <v>1</v>
      </c>
      <c r="EB152" s="43">
        <v>1</v>
      </c>
      <c r="EC152" s="43">
        <v>1</v>
      </c>
      <c r="ED152" s="43">
        <v>1</v>
      </c>
      <c r="EE152" s="43">
        <v>1</v>
      </c>
      <c r="EF152" s="43">
        <v>1</v>
      </c>
      <c r="EG152" s="43">
        <v>1</v>
      </c>
      <c r="EH152" s="43">
        <v>1</v>
      </c>
      <c r="EI152" s="43">
        <v>1</v>
      </c>
      <c r="EJ152" s="43">
        <v>1</v>
      </c>
      <c r="EK152" s="43">
        <v>1</v>
      </c>
      <c r="EL152" s="50"/>
      <c r="EM152" s="50"/>
      <c r="EN152" s="50"/>
      <c r="EO152" s="50"/>
      <c r="EP152" s="50"/>
      <c r="EQ152" s="50"/>
      <c r="ER152" s="50"/>
      <c r="ES152" s="50"/>
      <c r="ET152" s="50"/>
      <c r="EU152" s="50"/>
      <c r="EV152" s="50"/>
      <c r="EW152" s="50"/>
      <c r="EX152" s="50"/>
      <c r="EY152" s="50"/>
      <c r="EZ152" s="50"/>
      <c r="FA152" s="50"/>
      <c r="FB152" s="50"/>
      <c r="FC152" s="50"/>
      <c r="FD152" s="50"/>
      <c r="FE152" s="50"/>
    </row>
    <row r="153" spans="1:161" x14ac:dyDescent="0.15">
      <c r="A153" s="46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52"/>
      <c r="W153" s="52"/>
      <c r="X153" s="52"/>
      <c r="Y153" s="52"/>
      <c r="Z153" s="52"/>
      <c r="AA153" s="52"/>
      <c r="AB153" s="52"/>
      <c r="AC153" s="52"/>
      <c r="AD153" s="52"/>
      <c r="AE153" s="52"/>
      <c r="AF153" s="52"/>
      <c r="AG153" s="52"/>
      <c r="AH153" s="52"/>
      <c r="AI153" s="52"/>
      <c r="AJ153" s="52"/>
      <c r="AK153" s="52"/>
      <c r="AL153" s="52"/>
      <c r="AM153" s="52"/>
      <c r="AN153" s="52"/>
      <c r="AO153" s="52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43"/>
      <c r="CE153" s="43"/>
      <c r="CF153" s="43"/>
      <c r="CG153" s="43"/>
      <c r="CH153" s="43"/>
      <c r="CI153" s="43"/>
      <c r="CJ153" s="43"/>
      <c r="CK153" s="43"/>
      <c r="CL153" s="43"/>
      <c r="CM153" s="43"/>
      <c r="CN153" s="43"/>
      <c r="CO153" s="43"/>
      <c r="CP153" s="43"/>
      <c r="CQ153" s="43"/>
      <c r="CR153" s="43"/>
      <c r="CS153" s="43"/>
      <c r="CT153" s="43"/>
      <c r="CU153" s="43"/>
      <c r="CV153" s="43"/>
      <c r="CW153" s="43"/>
      <c r="CX153" s="52"/>
      <c r="CY153" s="52"/>
      <c r="CZ153" s="52"/>
      <c r="DA153" s="52"/>
      <c r="DB153" s="52"/>
      <c r="DC153" s="52"/>
      <c r="DD153" s="52"/>
      <c r="DE153" s="52"/>
      <c r="DF153" s="52"/>
      <c r="DG153" s="52"/>
      <c r="DH153" s="52"/>
      <c r="DI153" s="52"/>
      <c r="DJ153" s="52"/>
      <c r="DK153" s="52"/>
      <c r="DL153" s="52"/>
      <c r="DM153" s="52"/>
      <c r="DN153" s="52"/>
      <c r="DO153" s="52"/>
      <c r="DP153" s="52"/>
      <c r="DQ153" s="52"/>
      <c r="DR153" s="43">
        <v>1</v>
      </c>
      <c r="DS153" s="43">
        <v>1</v>
      </c>
      <c r="DT153" s="43">
        <v>1</v>
      </c>
      <c r="DU153" s="43">
        <v>1</v>
      </c>
      <c r="DV153" s="43">
        <v>1</v>
      </c>
      <c r="DW153" s="43">
        <v>1</v>
      </c>
      <c r="DX153" s="43">
        <v>1</v>
      </c>
      <c r="DY153" s="43">
        <v>1</v>
      </c>
      <c r="DZ153" s="43">
        <v>1</v>
      </c>
      <c r="EA153" s="43">
        <v>1</v>
      </c>
      <c r="EB153" s="43">
        <v>1</v>
      </c>
      <c r="EC153" s="43">
        <v>1</v>
      </c>
      <c r="ED153" s="43">
        <v>1</v>
      </c>
      <c r="EE153" s="43">
        <v>1</v>
      </c>
      <c r="EF153" s="43">
        <v>1</v>
      </c>
      <c r="EG153" s="43">
        <v>1</v>
      </c>
      <c r="EH153" s="43">
        <v>1</v>
      </c>
      <c r="EI153" s="43">
        <v>1</v>
      </c>
      <c r="EJ153" s="43">
        <v>1</v>
      </c>
      <c r="EK153" s="43">
        <v>1</v>
      </c>
      <c r="EL153" s="50"/>
      <c r="EM153" s="50"/>
      <c r="EN153" s="50"/>
      <c r="EO153" s="50"/>
      <c r="EP153" s="50"/>
      <c r="EQ153" s="50"/>
      <c r="ER153" s="50"/>
      <c r="ES153" s="50"/>
      <c r="ET153" s="50"/>
      <c r="EU153" s="50"/>
      <c r="EV153" s="50"/>
      <c r="EW153" s="50"/>
      <c r="EX153" s="50"/>
      <c r="EY153" s="50"/>
      <c r="EZ153" s="50"/>
      <c r="FA153" s="50"/>
      <c r="FB153" s="50"/>
      <c r="FC153" s="50"/>
      <c r="FD153" s="50"/>
      <c r="FE153" s="50"/>
    </row>
    <row r="154" spans="1:161" x14ac:dyDescent="0.15">
      <c r="A154" s="46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52"/>
      <c r="W154" s="52"/>
      <c r="X154" s="52"/>
      <c r="Y154" s="52"/>
      <c r="Z154" s="52"/>
      <c r="AA154" s="52"/>
      <c r="AB154" s="52"/>
      <c r="AC154" s="52"/>
      <c r="AD154" s="52"/>
      <c r="AE154" s="52"/>
      <c r="AF154" s="52"/>
      <c r="AG154" s="52"/>
      <c r="AH154" s="52"/>
      <c r="AI154" s="52"/>
      <c r="AJ154" s="52"/>
      <c r="AK154" s="52"/>
      <c r="AL154" s="52"/>
      <c r="AM154" s="52"/>
      <c r="AN154" s="52"/>
      <c r="AO154" s="52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43"/>
      <c r="CE154" s="43"/>
      <c r="CF154" s="43"/>
      <c r="CG154" s="43"/>
      <c r="CH154" s="43"/>
      <c r="CI154" s="43"/>
      <c r="CJ154" s="43"/>
      <c r="CK154" s="43"/>
      <c r="CL154" s="43"/>
      <c r="CM154" s="43"/>
      <c r="CN154" s="43"/>
      <c r="CO154" s="43"/>
      <c r="CP154" s="43"/>
      <c r="CQ154" s="43"/>
      <c r="CR154" s="43"/>
      <c r="CS154" s="43"/>
      <c r="CT154" s="43"/>
      <c r="CU154" s="43"/>
      <c r="CV154" s="43"/>
      <c r="CW154" s="43"/>
      <c r="CX154" s="52"/>
      <c r="CY154" s="52"/>
      <c r="CZ154" s="52"/>
      <c r="DA154" s="52"/>
      <c r="DB154" s="52"/>
      <c r="DC154" s="52"/>
      <c r="DD154" s="52"/>
      <c r="DE154" s="52"/>
      <c r="DF154" s="52"/>
      <c r="DG154" s="52"/>
      <c r="DH154" s="52"/>
      <c r="DI154" s="52"/>
      <c r="DJ154" s="52"/>
      <c r="DK154" s="52"/>
      <c r="DL154" s="52"/>
      <c r="DM154" s="52"/>
      <c r="DN154" s="52"/>
      <c r="DO154" s="52"/>
      <c r="DP154" s="52"/>
      <c r="DQ154" s="52"/>
      <c r="DR154" s="43">
        <v>1</v>
      </c>
      <c r="DS154" s="43">
        <v>1</v>
      </c>
      <c r="DT154" s="43">
        <v>1</v>
      </c>
      <c r="DU154" s="43">
        <v>1</v>
      </c>
      <c r="DV154" s="43">
        <v>1</v>
      </c>
      <c r="DW154" s="43">
        <v>1</v>
      </c>
      <c r="DX154" s="43">
        <v>1</v>
      </c>
      <c r="DY154" s="43">
        <v>1</v>
      </c>
      <c r="DZ154" s="43">
        <v>1</v>
      </c>
      <c r="EA154" s="43">
        <v>1</v>
      </c>
      <c r="EB154" s="43">
        <v>1</v>
      </c>
      <c r="EC154" s="43">
        <v>1</v>
      </c>
      <c r="ED154" s="43">
        <v>1</v>
      </c>
      <c r="EE154" s="43">
        <v>1</v>
      </c>
      <c r="EF154" s="43">
        <v>1</v>
      </c>
      <c r="EG154" s="43">
        <v>1</v>
      </c>
      <c r="EH154" s="43">
        <v>1</v>
      </c>
      <c r="EI154" s="43">
        <v>1</v>
      </c>
      <c r="EJ154" s="43">
        <v>1</v>
      </c>
      <c r="EK154" s="43">
        <v>1</v>
      </c>
      <c r="EL154" s="50"/>
      <c r="EM154" s="50"/>
      <c r="EN154" s="50"/>
      <c r="EO154" s="50"/>
      <c r="EP154" s="50"/>
      <c r="EQ154" s="50"/>
      <c r="ER154" s="50"/>
      <c r="ES154" s="50"/>
      <c r="ET154" s="50"/>
      <c r="EU154" s="50"/>
      <c r="EV154" s="50"/>
      <c r="EW154" s="50"/>
      <c r="EX154" s="50"/>
      <c r="EY154" s="50"/>
      <c r="EZ154" s="50"/>
      <c r="FA154" s="50"/>
      <c r="FB154" s="50"/>
      <c r="FC154" s="50"/>
      <c r="FD154" s="50"/>
      <c r="FE154" s="50"/>
    </row>
    <row r="155" spans="1:161" x14ac:dyDescent="0.15">
      <c r="A155" s="46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52"/>
      <c r="W155" s="52"/>
      <c r="X155" s="52"/>
      <c r="Y155" s="52"/>
      <c r="Z155" s="52"/>
      <c r="AA155" s="52"/>
      <c r="AB155" s="52"/>
      <c r="AC155" s="52"/>
      <c r="AD155" s="52"/>
      <c r="AE155" s="52"/>
      <c r="AF155" s="52"/>
      <c r="AG155" s="52"/>
      <c r="AH155" s="52"/>
      <c r="AI155" s="52"/>
      <c r="AJ155" s="52"/>
      <c r="AK155" s="52"/>
      <c r="AL155" s="52"/>
      <c r="AM155" s="52"/>
      <c r="AN155" s="52"/>
      <c r="AO155" s="52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43"/>
      <c r="CE155" s="43"/>
      <c r="CF155" s="43"/>
      <c r="CG155" s="43"/>
      <c r="CH155" s="43"/>
      <c r="CI155" s="43"/>
      <c r="CJ155" s="43"/>
      <c r="CK155" s="43"/>
      <c r="CL155" s="43"/>
      <c r="CM155" s="43"/>
      <c r="CN155" s="43"/>
      <c r="CO155" s="43"/>
      <c r="CP155" s="43"/>
      <c r="CQ155" s="43"/>
      <c r="CR155" s="43"/>
      <c r="CS155" s="43"/>
      <c r="CT155" s="43"/>
      <c r="CU155" s="43"/>
      <c r="CV155" s="43"/>
      <c r="CW155" s="43"/>
      <c r="CX155" s="52"/>
      <c r="CY155" s="52"/>
      <c r="CZ155" s="52"/>
      <c r="DA155" s="52"/>
      <c r="DB155" s="52"/>
      <c r="DC155" s="52"/>
      <c r="DD155" s="52"/>
      <c r="DE155" s="52"/>
      <c r="DF155" s="52"/>
      <c r="DG155" s="52"/>
      <c r="DH155" s="52"/>
      <c r="DI155" s="52"/>
      <c r="DJ155" s="52"/>
      <c r="DK155" s="52"/>
      <c r="DL155" s="52"/>
      <c r="DM155" s="52"/>
      <c r="DN155" s="52"/>
      <c r="DO155" s="52"/>
      <c r="DP155" s="52"/>
      <c r="DQ155" s="52"/>
      <c r="DR155" s="43">
        <v>1</v>
      </c>
      <c r="DS155" s="43">
        <v>1</v>
      </c>
      <c r="DT155" s="43">
        <v>1</v>
      </c>
      <c r="DU155" s="43">
        <v>1</v>
      </c>
      <c r="DV155" s="43">
        <v>1</v>
      </c>
      <c r="DW155" s="43">
        <v>1</v>
      </c>
      <c r="DX155" s="43">
        <v>1</v>
      </c>
      <c r="DY155" s="43">
        <v>1</v>
      </c>
      <c r="DZ155" s="43">
        <v>1</v>
      </c>
      <c r="EA155" s="43">
        <v>1</v>
      </c>
      <c r="EB155" s="43">
        <v>1</v>
      </c>
      <c r="EC155" s="43">
        <v>1</v>
      </c>
      <c r="ED155" s="43">
        <v>1</v>
      </c>
      <c r="EE155" s="43">
        <v>1</v>
      </c>
      <c r="EF155" s="43">
        <v>1</v>
      </c>
      <c r="EG155" s="43">
        <v>1</v>
      </c>
      <c r="EH155" s="43">
        <v>1</v>
      </c>
      <c r="EI155" s="43">
        <v>1</v>
      </c>
      <c r="EJ155" s="43">
        <v>1</v>
      </c>
      <c r="EK155" s="43">
        <v>1</v>
      </c>
      <c r="EL155" s="50"/>
      <c r="EM155" s="50"/>
      <c r="EN155" s="50"/>
      <c r="EO155" s="50"/>
      <c r="EP155" s="50"/>
      <c r="EQ155" s="50"/>
      <c r="ER155" s="50"/>
      <c r="ES155" s="50"/>
      <c r="ET155" s="50"/>
      <c r="EU155" s="50"/>
      <c r="EV155" s="50"/>
      <c r="EW155" s="50"/>
      <c r="EX155" s="50"/>
      <c r="EY155" s="50"/>
      <c r="EZ155" s="50"/>
      <c r="FA155" s="50"/>
      <c r="FB155" s="50"/>
      <c r="FC155" s="50"/>
      <c r="FD155" s="50"/>
      <c r="FE155" s="50"/>
    </row>
    <row r="156" spans="1:161" x14ac:dyDescent="0.15">
      <c r="A156" s="46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52"/>
      <c r="W156" s="52"/>
      <c r="X156" s="52"/>
      <c r="Y156" s="52"/>
      <c r="Z156" s="52"/>
      <c r="AA156" s="52"/>
      <c r="AB156" s="52"/>
      <c r="AC156" s="52"/>
      <c r="AD156" s="52"/>
      <c r="AE156" s="52"/>
      <c r="AF156" s="52"/>
      <c r="AG156" s="52"/>
      <c r="AH156" s="52"/>
      <c r="AI156" s="52"/>
      <c r="AJ156" s="52"/>
      <c r="AK156" s="52"/>
      <c r="AL156" s="52"/>
      <c r="AM156" s="52"/>
      <c r="AN156" s="52"/>
      <c r="AO156" s="52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43"/>
      <c r="CE156" s="43"/>
      <c r="CF156" s="43"/>
      <c r="CG156" s="43"/>
      <c r="CH156" s="43"/>
      <c r="CI156" s="43"/>
      <c r="CJ156" s="43"/>
      <c r="CK156" s="43"/>
      <c r="CL156" s="43"/>
      <c r="CM156" s="43"/>
      <c r="CN156" s="43"/>
      <c r="CO156" s="43"/>
      <c r="CP156" s="43"/>
      <c r="CQ156" s="43"/>
      <c r="CR156" s="43"/>
      <c r="CS156" s="43"/>
      <c r="CT156" s="43"/>
      <c r="CU156" s="43"/>
      <c r="CV156" s="43"/>
      <c r="CW156" s="43"/>
      <c r="CX156" s="52"/>
      <c r="CY156" s="52"/>
      <c r="CZ156" s="52"/>
      <c r="DA156" s="52"/>
      <c r="DB156" s="52"/>
      <c r="DC156" s="52"/>
      <c r="DD156" s="52"/>
      <c r="DE156" s="52"/>
      <c r="DF156" s="52"/>
      <c r="DG156" s="52"/>
      <c r="DH156" s="52"/>
      <c r="DI156" s="52"/>
      <c r="DJ156" s="52"/>
      <c r="DK156" s="52"/>
      <c r="DL156" s="52"/>
      <c r="DM156" s="52"/>
      <c r="DN156" s="52"/>
      <c r="DO156" s="52"/>
      <c r="DP156" s="52"/>
      <c r="DQ156" s="52"/>
      <c r="DR156" s="43">
        <v>1</v>
      </c>
      <c r="DS156" s="43">
        <v>1</v>
      </c>
      <c r="DT156" s="43">
        <v>1</v>
      </c>
      <c r="DU156" s="43">
        <v>1</v>
      </c>
      <c r="DV156" s="43">
        <v>1</v>
      </c>
      <c r="DW156" s="43">
        <v>1</v>
      </c>
      <c r="DX156" s="43">
        <v>1</v>
      </c>
      <c r="DY156" s="43">
        <v>1</v>
      </c>
      <c r="DZ156" s="43">
        <v>1</v>
      </c>
      <c r="EA156" s="43">
        <v>1</v>
      </c>
      <c r="EB156" s="43">
        <v>1</v>
      </c>
      <c r="EC156" s="43">
        <v>1</v>
      </c>
      <c r="ED156" s="43">
        <v>1</v>
      </c>
      <c r="EE156" s="43">
        <v>1</v>
      </c>
      <c r="EF156" s="43">
        <v>1</v>
      </c>
      <c r="EG156" s="43">
        <v>1</v>
      </c>
      <c r="EH156" s="43">
        <v>1</v>
      </c>
      <c r="EI156" s="43">
        <v>1</v>
      </c>
      <c r="EJ156" s="43">
        <v>1</v>
      </c>
      <c r="EK156" s="43">
        <v>1</v>
      </c>
      <c r="EL156" s="50"/>
      <c r="EM156" s="50"/>
      <c r="EN156" s="50"/>
      <c r="EO156" s="50"/>
      <c r="EP156" s="50"/>
      <c r="EQ156" s="50"/>
      <c r="ER156" s="50"/>
      <c r="ES156" s="50"/>
      <c r="ET156" s="50"/>
      <c r="EU156" s="50"/>
      <c r="EV156" s="50"/>
      <c r="EW156" s="50"/>
      <c r="EX156" s="50"/>
      <c r="EY156" s="50"/>
      <c r="EZ156" s="50"/>
      <c r="FA156" s="50"/>
      <c r="FB156" s="50"/>
      <c r="FC156" s="50"/>
      <c r="FD156" s="50"/>
      <c r="FE156" s="50"/>
    </row>
    <row r="157" spans="1:161" x14ac:dyDescent="0.15">
      <c r="A157" s="46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52"/>
      <c r="W157" s="52"/>
      <c r="X157" s="52"/>
      <c r="Y157" s="52"/>
      <c r="Z157" s="52"/>
      <c r="AA157" s="52"/>
      <c r="AB157" s="52"/>
      <c r="AC157" s="52"/>
      <c r="AD157" s="52"/>
      <c r="AE157" s="52"/>
      <c r="AF157" s="52"/>
      <c r="AG157" s="52"/>
      <c r="AH157" s="52"/>
      <c r="AI157" s="52"/>
      <c r="AJ157" s="52"/>
      <c r="AK157" s="52"/>
      <c r="AL157" s="52"/>
      <c r="AM157" s="52"/>
      <c r="AN157" s="52"/>
      <c r="AO157" s="52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43"/>
      <c r="CE157" s="43"/>
      <c r="CF157" s="43"/>
      <c r="CG157" s="43"/>
      <c r="CH157" s="43"/>
      <c r="CI157" s="43"/>
      <c r="CJ157" s="43"/>
      <c r="CK157" s="43"/>
      <c r="CL157" s="43"/>
      <c r="CM157" s="43"/>
      <c r="CN157" s="43"/>
      <c r="CO157" s="43"/>
      <c r="CP157" s="43"/>
      <c r="CQ157" s="43"/>
      <c r="CR157" s="43"/>
      <c r="CS157" s="43"/>
      <c r="CT157" s="43"/>
      <c r="CU157" s="43"/>
      <c r="CV157" s="43"/>
      <c r="CW157" s="43"/>
      <c r="CX157" s="52"/>
      <c r="CY157" s="52"/>
      <c r="CZ157" s="52"/>
      <c r="DA157" s="52"/>
      <c r="DB157" s="52"/>
      <c r="DC157" s="52"/>
      <c r="DD157" s="52"/>
      <c r="DE157" s="52"/>
      <c r="DF157" s="52"/>
      <c r="DG157" s="52"/>
      <c r="DH157" s="52"/>
      <c r="DI157" s="52"/>
      <c r="DJ157" s="52"/>
      <c r="DK157" s="52"/>
      <c r="DL157" s="52"/>
      <c r="DM157" s="52"/>
      <c r="DN157" s="52"/>
      <c r="DO157" s="52"/>
      <c r="DP157" s="52"/>
      <c r="DQ157" s="52"/>
      <c r="DR157" s="43">
        <v>1</v>
      </c>
      <c r="DS157" s="43">
        <v>1</v>
      </c>
      <c r="DT157" s="43">
        <v>1</v>
      </c>
      <c r="DU157" s="43">
        <v>1</v>
      </c>
      <c r="DV157" s="43">
        <v>1</v>
      </c>
      <c r="DW157" s="43">
        <v>1</v>
      </c>
      <c r="DX157" s="43">
        <v>1</v>
      </c>
      <c r="DY157" s="43">
        <v>1</v>
      </c>
      <c r="DZ157" s="43">
        <v>1</v>
      </c>
      <c r="EA157" s="43">
        <v>1</v>
      </c>
      <c r="EB157" s="43">
        <v>1</v>
      </c>
      <c r="EC157" s="43">
        <v>1</v>
      </c>
      <c r="ED157" s="43">
        <v>1</v>
      </c>
      <c r="EE157" s="43">
        <v>1</v>
      </c>
      <c r="EF157" s="43">
        <v>1</v>
      </c>
      <c r="EG157" s="43">
        <v>1</v>
      </c>
      <c r="EH157" s="43">
        <v>1</v>
      </c>
      <c r="EI157" s="43">
        <v>1</v>
      </c>
      <c r="EJ157" s="43">
        <v>1</v>
      </c>
      <c r="EK157" s="43">
        <v>1</v>
      </c>
      <c r="EL157" s="50"/>
      <c r="EM157" s="50"/>
      <c r="EN157" s="50"/>
      <c r="EO157" s="50"/>
      <c r="EP157" s="50"/>
      <c r="EQ157" s="50"/>
      <c r="ER157" s="50"/>
      <c r="ES157" s="50"/>
      <c r="ET157" s="50"/>
      <c r="EU157" s="50"/>
      <c r="EV157" s="50"/>
      <c r="EW157" s="50"/>
      <c r="EX157" s="50"/>
      <c r="EY157" s="50"/>
      <c r="EZ157" s="50"/>
      <c r="FA157" s="50"/>
      <c r="FB157" s="50"/>
      <c r="FC157" s="50"/>
      <c r="FD157" s="50"/>
      <c r="FE157" s="50"/>
    </row>
    <row r="158" spans="1:161" x14ac:dyDescent="0.15">
      <c r="A158" s="46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52"/>
      <c r="W158" s="52"/>
      <c r="X158" s="52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43"/>
      <c r="CE158" s="43"/>
      <c r="CF158" s="43"/>
      <c r="CG158" s="43"/>
      <c r="CH158" s="43"/>
      <c r="CI158" s="43"/>
      <c r="CJ158" s="43"/>
      <c r="CK158" s="43"/>
      <c r="CL158" s="43"/>
      <c r="CM158" s="43"/>
      <c r="CN158" s="43"/>
      <c r="CO158" s="43"/>
      <c r="CP158" s="43"/>
      <c r="CQ158" s="43"/>
      <c r="CR158" s="43"/>
      <c r="CS158" s="43"/>
      <c r="CT158" s="43"/>
      <c r="CU158" s="43"/>
      <c r="CV158" s="43"/>
      <c r="CW158" s="43"/>
      <c r="CX158" s="52"/>
      <c r="CY158" s="52"/>
      <c r="CZ158" s="52"/>
      <c r="DA158" s="52"/>
      <c r="DB158" s="52"/>
      <c r="DC158" s="52"/>
      <c r="DD158" s="52"/>
      <c r="DE158" s="52"/>
      <c r="DF158" s="52"/>
      <c r="DG158" s="52"/>
      <c r="DH158" s="52"/>
      <c r="DI158" s="52"/>
      <c r="DJ158" s="52"/>
      <c r="DK158" s="52"/>
      <c r="DL158" s="52"/>
      <c r="DM158" s="52"/>
      <c r="DN158" s="52"/>
      <c r="DO158" s="52"/>
      <c r="DP158" s="52"/>
      <c r="DQ158" s="52"/>
      <c r="DR158" s="43">
        <v>1</v>
      </c>
      <c r="DS158" s="43">
        <v>1</v>
      </c>
      <c r="DT158" s="43">
        <v>1</v>
      </c>
      <c r="DU158" s="43">
        <v>1</v>
      </c>
      <c r="DV158" s="43">
        <v>1</v>
      </c>
      <c r="DW158" s="43">
        <v>1</v>
      </c>
      <c r="DX158" s="43">
        <v>1</v>
      </c>
      <c r="DY158" s="43">
        <v>1</v>
      </c>
      <c r="DZ158" s="43">
        <v>1</v>
      </c>
      <c r="EA158" s="43">
        <v>1</v>
      </c>
      <c r="EB158" s="43">
        <v>1</v>
      </c>
      <c r="EC158" s="43">
        <v>1</v>
      </c>
      <c r="ED158" s="43">
        <v>1</v>
      </c>
      <c r="EE158" s="43">
        <v>1</v>
      </c>
      <c r="EF158" s="43">
        <v>1</v>
      </c>
      <c r="EG158" s="43">
        <v>1</v>
      </c>
      <c r="EH158" s="43">
        <v>1</v>
      </c>
      <c r="EI158" s="43">
        <v>1</v>
      </c>
      <c r="EJ158" s="43">
        <v>1</v>
      </c>
      <c r="EK158" s="43">
        <v>1</v>
      </c>
      <c r="EL158" s="50"/>
      <c r="EM158" s="50"/>
      <c r="EN158" s="50"/>
      <c r="EO158" s="50"/>
      <c r="EP158" s="50"/>
      <c r="EQ158" s="50"/>
      <c r="ER158" s="50"/>
      <c r="ES158" s="50"/>
      <c r="ET158" s="50"/>
      <c r="EU158" s="50"/>
      <c r="EV158" s="50"/>
      <c r="EW158" s="50"/>
      <c r="EX158" s="50"/>
      <c r="EY158" s="50"/>
      <c r="EZ158" s="50"/>
      <c r="FA158" s="50"/>
      <c r="FB158" s="50"/>
      <c r="FC158" s="50"/>
      <c r="FD158" s="50"/>
      <c r="FE158" s="50"/>
    </row>
    <row r="159" spans="1:161" x14ac:dyDescent="0.15">
      <c r="A159" s="46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52"/>
      <c r="W159" s="52"/>
      <c r="X159" s="52"/>
      <c r="Y159" s="52"/>
      <c r="Z159" s="52"/>
      <c r="AA159" s="52"/>
      <c r="AB159" s="52"/>
      <c r="AC159" s="52"/>
      <c r="AD159" s="52"/>
      <c r="AE159" s="52"/>
      <c r="AF159" s="52"/>
      <c r="AG159" s="52"/>
      <c r="AH159" s="52"/>
      <c r="AI159" s="52"/>
      <c r="AJ159" s="52"/>
      <c r="AK159" s="52"/>
      <c r="AL159" s="52"/>
      <c r="AM159" s="52"/>
      <c r="AN159" s="52"/>
      <c r="AO159" s="52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43"/>
      <c r="CE159" s="43"/>
      <c r="CF159" s="43"/>
      <c r="CG159" s="43"/>
      <c r="CH159" s="43"/>
      <c r="CI159" s="43"/>
      <c r="CJ159" s="43"/>
      <c r="CK159" s="43"/>
      <c r="CL159" s="43"/>
      <c r="CM159" s="43"/>
      <c r="CN159" s="43"/>
      <c r="CO159" s="43"/>
      <c r="CP159" s="43"/>
      <c r="CQ159" s="43"/>
      <c r="CR159" s="43"/>
      <c r="CS159" s="43"/>
      <c r="CT159" s="43"/>
      <c r="CU159" s="43"/>
      <c r="CV159" s="43"/>
      <c r="CW159" s="43"/>
      <c r="CX159" s="52"/>
      <c r="CY159" s="52"/>
      <c r="CZ159" s="52"/>
      <c r="DA159" s="52"/>
      <c r="DB159" s="52"/>
      <c r="DC159" s="52"/>
      <c r="DD159" s="52"/>
      <c r="DE159" s="52"/>
      <c r="DF159" s="52"/>
      <c r="DG159" s="52"/>
      <c r="DH159" s="52"/>
      <c r="DI159" s="52"/>
      <c r="DJ159" s="52"/>
      <c r="DK159" s="52"/>
      <c r="DL159" s="52"/>
      <c r="DM159" s="52"/>
      <c r="DN159" s="52"/>
      <c r="DO159" s="52"/>
      <c r="DP159" s="52"/>
      <c r="DQ159" s="52"/>
      <c r="DR159" s="45">
        <v>1</v>
      </c>
      <c r="DS159" s="45">
        <v>1</v>
      </c>
      <c r="DT159" s="45">
        <v>1</v>
      </c>
      <c r="DU159" s="45">
        <v>1</v>
      </c>
      <c r="DV159" s="45">
        <v>1</v>
      </c>
      <c r="DW159" s="45">
        <v>1</v>
      </c>
      <c r="DX159" s="45">
        <v>1</v>
      </c>
      <c r="DY159" s="45">
        <v>1</v>
      </c>
      <c r="DZ159" s="45">
        <v>1</v>
      </c>
      <c r="EA159" s="45">
        <v>1</v>
      </c>
      <c r="EB159" s="45">
        <v>1</v>
      </c>
      <c r="EC159" s="45">
        <v>1</v>
      </c>
      <c r="ED159" s="45">
        <v>1</v>
      </c>
      <c r="EE159" s="45">
        <v>1</v>
      </c>
      <c r="EF159" s="45">
        <v>1</v>
      </c>
      <c r="EG159" s="45">
        <v>1</v>
      </c>
      <c r="EH159" s="45">
        <v>1</v>
      </c>
      <c r="EI159" s="45">
        <v>1</v>
      </c>
      <c r="EJ159" s="45">
        <v>1</v>
      </c>
      <c r="EK159" s="45">
        <v>1</v>
      </c>
      <c r="EL159" s="50"/>
      <c r="EM159" s="50"/>
      <c r="EN159" s="50"/>
      <c r="EO159" s="50"/>
      <c r="EP159" s="50"/>
      <c r="EQ159" s="50"/>
      <c r="ER159" s="50"/>
      <c r="ES159" s="50"/>
      <c r="ET159" s="50"/>
      <c r="EU159" s="50"/>
      <c r="EV159" s="50"/>
      <c r="EW159" s="50"/>
      <c r="EX159" s="50"/>
      <c r="EY159" s="50"/>
      <c r="EZ159" s="50"/>
      <c r="FA159" s="50"/>
      <c r="FB159" s="50"/>
      <c r="FC159" s="50"/>
      <c r="FD159" s="50"/>
      <c r="FE159" s="50"/>
    </row>
    <row r="160" spans="1:161" x14ac:dyDescent="0.15">
      <c r="A160" s="46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52"/>
      <c r="W160" s="52"/>
      <c r="X160" s="52"/>
      <c r="Y160" s="52"/>
      <c r="Z160" s="52"/>
      <c r="AA160" s="52"/>
      <c r="AB160" s="52"/>
      <c r="AC160" s="52"/>
      <c r="AD160" s="52"/>
      <c r="AE160" s="52"/>
      <c r="AF160" s="52"/>
      <c r="AG160" s="52"/>
      <c r="AH160" s="52"/>
      <c r="AI160" s="52"/>
      <c r="AJ160" s="52"/>
      <c r="AK160" s="52"/>
      <c r="AL160" s="52"/>
      <c r="AM160" s="52"/>
      <c r="AN160" s="52"/>
      <c r="AO160" s="52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43"/>
      <c r="CE160" s="43"/>
      <c r="CF160" s="43"/>
      <c r="CG160" s="43"/>
      <c r="CH160" s="43"/>
      <c r="CI160" s="43"/>
      <c r="CJ160" s="43"/>
      <c r="CK160" s="43"/>
      <c r="CL160" s="43"/>
      <c r="CM160" s="43"/>
      <c r="CN160" s="43"/>
      <c r="CO160" s="43"/>
      <c r="CP160" s="43"/>
      <c r="CQ160" s="43"/>
      <c r="CR160" s="43"/>
      <c r="CS160" s="43"/>
      <c r="CT160" s="43"/>
      <c r="CU160" s="43"/>
      <c r="CV160" s="43"/>
      <c r="CW160" s="43"/>
      <c r="CX160" s="52"/>
      <c r="CY160" s="52"/>
      <c r="CZ160" s="52"/>
      <c r="DA160" s="52"/>
      <c r="DB160" s="52"/>
      <c r="DC160" s="52"/>
      <c r="DD160" s="52"/>
      <c r="DE160" s="52"/>
      <c r="DF160" s="52"/>
      <c r="DG160" s="52"/>
      <c r="DH160" s="52"/>
      <c r="DI160" s="52"/>
      <c r="DJ160" s="52"/>
      <c r="DK160" s="52"/>
      <c r="DL160" s="52"/>
      <c r="DM160" s="52"/>
      <c r="DN160" s="52"/>
      <c r="DO160" s="52"/>
      <c r="DP160" s="52"/>
      <c r="DQ160" s="52"/>
      <c r="DR160" s="43">
        <v>1</v>
      </c>
      <c r="DS160" s="43">
        <v>1</v>
      </c>
      <c r="DT160" s="43">
        <v>1</v>
      </c>
      <c r="DU160" s="43">
        <v>1</v>
      </c>
      <c r="DV160" s="43">
        <v>1</v>
      </c>
      <c r="DW160" s="43">
        <v>1</v>
      </c>
      <c r="DX160" s="43">
        <v>1</v>
      </c>
      <c r="DY160" s="43">
        <v>1</v>
      </c>
      <c r="DZ160" s="43">
        <v>1</v>
      </c>
      <c r="EA160" s="43">
        <v>1</v>
      </c>
      <c r="EB160" s="43">
        <v>1</v>
      </c>
      <c r="EC160" s="43">
        <v>1</v>
      </c>
      <c r="ED160" s="43">
        <v>1</v>
      </c>
      <c r="EE160" s="43">
        <v>1</v>
      </c>
      <c r="EF160" s="43">
        <v>1</v>
      </c>
      <c r="EG160" s="43">
        <v>1</v>
      </c>
      <c r="EH160" s="43">
        <v>1</v>
      </c>
      <c r="EI160" s="43">
        <v>1</v>
      </c>
      <c r="EJ160" s="43">
        <v>1</v>
      </c>
      <c r="EK160" s="43">
        <v>1</v>
      </c>
      <c r="EL160" s="50"/>
      <c r="EM160" s="50"/>
      <c r="EN160" s="50"/>
      <c r="EO160" s="50"/>
      <c r="EP160" s="50"/>
      <c r="EQ160" s="50"/>
      <c r="ER160" s="50"/>
      <c r="ES160" s="50"/>
      <c r="ET160" s="50"/>
      <c r="EU160" s="50"/>
      <c r="EV160" s="50"/>
      <c r="EW160" s="50"/>
      <c r="EX160" s="50"/>
      <c r="EY160" s="50"/>
      <c r="EZ160" s="50"/>
      <c r="FA160" s="50"/>
      <c r="FB160" s="50"/>
      <c r="FC160" s="50"/>
      <c r="FD160" s="50"/>
      <c r="FE160" s="50"/>
    </row>
    <row r="161" spans="1:161" x14ac:dyDescent="0.15">
      <c r="A161" s="46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52"/>
      <c r="W161" s="52"/>
      <c r="X161" s="52"/>
      <c r="Y161" s="52"/>
      <c r="Z161" s="52"/>
      <c r="AA161" s="52"/>
      <c r="AB161" s="52"/>
      <c r="AC161" s="52"/>
      <c r="AD161" s="52"/>
      <c r="AE161" s="52"/>
      <c r="AF161" s="52"/>
      <c r="AG161" s="52"/>
      <c r="AH161" s="52"/>
      <c r="AI161" s="52"/>
      <c r="AJ161" s="52"/>
      <c r="AK161" s="52"/>
      <c r="AL161" s="52"/>
      <c r="AM161" s="52"/>
      <c r="AN161" s="52"/>
      <c r="AO161" s="52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43"/>
      <c r="CE161" s="43"/>
      <c r="CF161" s="43"/>
      <c r="CG161" s="43"/>
      <c r="CH161" s="43"/>
      <c r="CI161" s="43"/>
      <c r="CJ161" s="43"/>
      <c r="CK161" s="43"/>
      <c r="CL161" s="43"/>
      <c r="CM161" s="43"/>
      <c r="CN161" s="43"/>
      <c r="CO161" s="43"/>
      <c r="CP161" s="43"/>
      <c r="CQ161" s="43"/>
      <c r="CR161" s="43"/>
      <c r="CS161" s="43"/>
      <c r="CT161" s="43"/>
      <c r="CU161" s="43"/>
      <c r="CV161" s="43"/>
      <c r="CW161" s="43"/>
      <c r="CX161" s="52"/>
      <c r="CY161" s="52"/>
      <c r="CZ161" s="52"/>
      <c r="DA161" s="52"/>
      <c r="DB161" s="52"/>
      <c r="DC161" s="52"/>
      <c r="DD161" s="52"/>
      <c r="DE161" s="52"/>
      <c r="DF161" s="52"/>
      <c r="DG161" s="52"/>
      <c r="DH161" s="52"/>
      <c r="DI161" s="52"/>
      <c r="DJ161" s="52"/>
      <c r="DK161" s="52"/>
      <c r="DL161" s="52"/>
      <c r="DM161" s="52"/>
      <c r="DN161" s="52"/>
      <c r="DO161" s="52"/>
      <c r="DP161" s="52"/>
      <c r="DQ161" s="52"/>
      <c r="DR161" s="43">
        <v>1</v>
      </c>
      <c r="DS161" s="43">
        <v>1</v>
      </c>
      <c r="DT161" s="43">
        <v>1</v>
      </c>
      <c r="DU161" s="43">
        <v>1</v>
      </c>
      <c r="DV161" s="43">
        <v>1</v>
      </c>
      <c r="DW161" s="43">
        <v>1</v>
      </c>
      <c r="DX161" s="43">
        <v>1</v>
      </c>
      <c r="DY161" s="43">
        <v>1</v>
      </c>
      <c r="DZ161" s="43">
        <v>1</v>
      </c>
      <c r="EA161" s="43">
        <v>1</v>
      </c>
      <c r="EB161" s="43">
        <v>1</v>
      </c>
      <c r="EC161" s="43">
        <v>1</v>
      </c>
      <c r="ED161" s="43">
        <v>1</v>
      </c>
      <c r="EE161" s="43">
        <v>1</v>
      </c>
      <c r="EF161" s="43">
        <v>1</v>
      </c>
      <c r="EG161" s="43">
        <v>1</v>
      </c>
      <c r="EH161" s="43">
        <v>1</v>
      </c>
      <c r="EI161" s="43">
        <v>1</v>
      </c>
      <c r="EJ161" s="43">
        <v>1</v>
      </c>
      <c r="EK161" s="43">
        <v>1</v>
      </c>
      <c r="EL161" s="50"/>
      <c r="EM161" s="50"/>
      <c r="EN161" s="50"/>
      <c r="EO161" s="50"/>
      <c r="EP161" s="50"/>
      <c r="EQ161" s="50"/>
      <c r="ER161" s="50"/>
      <c r="ES161" s="50"/>
      <c r="ET161" s="50"/>
      <c r="EU161" s="50"/>
      <c r="EV161" s="50"/>
      <c r="EW161" s="50"/>
      <c r="EX161" s="50"/>
      <c r="EY161" s="50"/>
      <c r="EZ161" s="50"/>
      <c r="FA161" s="50"/>
      <c r="FB161" s="50"/>
      <c r="FC161" s="50"/>
      <c r="FD161" s="50"/>
      <c r="FE161" s="50"/>
    </row>
    <row r="162" spans="1:161" x14ac:dyDescent="0.15">
      <c r="A162" s="46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52"/>
      <c r="W162" s="52"/>
      <c r="X162" s="52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43"/>
      <c r="CE162" s="43"/>
      <c r="CF162" s="43"/>
      <c r="CG162" s="43"/>
      <c r="CH162" s="43"/>
      <c r="CI162" s="43"/>
      <c r="CJ162" s="43"/>
      <c r="CK162" s="43"/>
      <c r="CL162" s="43"/>
      <c r="CM162" s="43"/>
      <c r="CN162" s="43"/>
      <c r="CO162" s="43"/>
      <c r="CP162" s="43"/>
      <c r="CQ162" s="43"/>
      <c r="CR162" s="43"/>
      <c r="CS162" s="43"/>
      <c r="CT162" s="43"/>
      <c r="CU162" s="43"/>
      <c r="CV162" s="43"/>
      <c r="CW162" s="43"/>
      <c r="CX162" s="52"/>
      <c r="CY162" s="52"/>
      <c r="CZ162" s="52"/>
      <c r="DA162" s="52"/>
      <c r="DB162" s="52"/>
      <c r="DC162" s="52"/>
      <c r="DD162" s="52"/>
      <c r="DE162" s="52"/>
      <c r="DF162" s="52"/>
      <c r="DG162" s="52"/>
      <c r="DH162" s="52"/>
      <c r="DI162" s="52"/>
      <c r="DJ162" s="52"/>
      <c r="DK162" s="52"/>
      <c r="DL162" s="52"/>
      <c r="DM162" s="52"/>
      <c r="DN162" s="52"/>
      <c r="DO162" s="52"/>
      <c r="DP162" s="52"/>
      <c r="DQ162" s="52"/>
      <c r="DR162" s="43">
        <v>1</v>
      </c>
      <c r="DS162" s="43">
        <v>1</v>
      </c>
      <c r="DT162" s="43">
        <v>1</v>
      </c>
      <c r="DU162" s="43">
        <v>1</v>
      </c>
      <c r="DV162" s="43">
        <v>1</v>
      </c>
      <c r="DW162" s="43">
        <v>1</v>
      </c>
      <c r="DX162" s="43">
        <v>1</v>
      </c>
      <c r="DY162" s="43">
        <v>1</v>
      </c>
      <c r="DZ162" s="43">
        <v>1</v>
      </c>
      <c r="EA162" s="43">
        <v>1</v>
      </c>
      <c r="EB162" s="43">
        <v>1</v>
      </c>
      <c r="EC162" s="43">
        <v>1</v>
      </c>
      <c r="ED162" s="43">
        <v>1</v>
      </c>
      <c r="EE162" s="43">
        <v>1</v>
      </c>
      <c r="EF162" s="43">
        <v>1</v>
      </c>
      <c r="EG162" s="43">
        <v>1</v>
      </c>
      <c r="EH162" s="43">
        <v>1</v>
      </c>
      <c r="EI162" s="43">
        <v>1</v>
      </c>
      <c r="EJ162" s="43">
        <v>1</v>
      </c>
      <c r="EK162" s="43">
        <v>1</v>
      </c>
      <c r="EL162" s="50"/>
      <c r="EM162" s="50"/>
      <c r="EN162" s="50"/>
      <c r="EO162" s="50"/>
      <c r="EP162" s="50"/>
      <c r="EQ162" s="50"/>
      <c r="ER162" s="50"/>
      <c r="ES162" s="50"/>
      <c r="ET162" s="50"/>
      <c r="EU162" s="50"/>
      <c r="EV162" s="50"/>
      <c r="EW162" s="50"/>
      <c r="EX162" s="50"/>
      <c r="EY162" s="50"/>
      <c r="EZ162" s="50"/>
      <c r="FA162" s="50"/>
      <c r="FB162" s="50"/>
      <c r="FC162" s="50"/>
      <c r="FD162" s="50"/>
      <c r="FE162" s="50"/>
    </row>
    <row r="163" spans="1:161" x14ac:dyDescent="0.15">
      <c r="A163" s="46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52"/>
      <c r="W163" s="52"/>
      <c r="X163" s="52"/>
      <c r="Y163" s="52"/>
      <c r="Z163" s="52"/>
      <c r="AA163" s="52"/>
      <c r="AB163" s="52"/>
      <c r="AC163" s="52"/>
      <c r="AD163" s="52"/>
      <c r="AE163" s="52"/>
      <c r="AF163" s="52"/>
      <c r="AG163" s="52"/>
      <c r="AH163" s="52"/>
      <c r="AI163" s="52"/>
      <c r="AJ163" s="52"/>
      <c r="AK163" s="52"/>
      <c r="AL163" s="52"/>
      <c r="AM163" s="52"/>
      <c r="AN163" s="52"/>
      <c r="AO163" s="52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43"/>
      <c r="CE163" s="43"/>
      <c r="CF163" s="43"/>
      <c r="CG163" s="43"/>
      <c r="CH163" s="43"/>
      <c r="CI163" s="43"/>
      <c r="CJ163" s="43"/>
      <c r="CK163" s="43"/>
      <c r="CL163" s="43"/>
      <c r="CM163" s="43"/>
      <c r="CN163" s="43"/>
      <c r="CO163" s="43"/>
      <c r="CP163" s="43"/>
      <c r="CQ163" s="43"/>
      <c r="CR163" s="43"/>
      <c r="CS163" s="43"/>
      <c r="CT163" s="43"/>
      <c r="CU163" s="43"/>
      <c r="CV163" s="43"/>
      <c r="CW163" s="43"/>
      <c r="CX163" s="52"/>
      <c r="CY163" s="52"/>
      <c r="CZ163" s="52"/>
      <c r="DA163" s="52"/>
      <c r="DB163" s="52"/>
      <c r="DC163" s="52"/>
      <c r="DD163" s="52"/>
      <c r="DE163" s="52"/>
      <c r="DF163" s="52"/>
      <c r="DG163" s="52"/>
      <c r="DH163" s="52"/>
      <c r="DI163" s="52"/>
      <c r="DJ163" s="52"/>
      <c r="DK163" s="52"/>
      <c r="DL163" s="52"/>
      <c r="DM163" s="52"/>
      <c r="DN163" s="52"/>
      <c r="DO163" s="52"/>
      <c r="DP163" s="52"/>
      <c r="DQ163" s="52"/>
      <c r="DR163" s="43">
        <v>1</v>
      </c>
      <c r="DS163" s="43">
        <v>1</v>
      </c>
      <c r="DT163" s="43">
        <v>1</v>
      </c>
      <c r="DU163" s="43">
        <v>1</v>
      </c>
      <c r="DV163" s="43">
        <v>1</v>
      </c>
      <c r="DW163" s="43">
        <v>1</v>
      </c>
      <c r="DX163" s="43">
        <v>1</v>
      </c>
      <c r="DY163" s="43">
        <v>1</v>
      </c>
      <c r="DZ163" s="43">
        <v>1</v>
      </c>
      <c r="EA163" s="43">
        <v>1</v>
      </c>
      <c r="EB163" s="43">
        <v>1</v>
      </c>
      <c r="EC163" s="43">
        <v>1</v>
      </c>
      <c r="ED163" s="43">
        <v>1</v>
      </c>
      <c r="EE163" s="43">
        <v>1</v>
      </c>
      <c r="EF163" s="43">
        <v>1</v>
      </c>
      <c r="EG163" s="43">
        <v>1</v>
      </c>
      <c r="EH163" s="43">
        <v>1</v>
      </c>
      <c r="EI163" s="43">
        <v>1</v>
      </c>
      <c r="EJ163" s="43">
        <v>1</v>
      </c>
      <c r="EK163" s="43">
        <v>1</v>
      </c>
      <c r="EL163" s="50"/>
      <c r="EM163" s="50"/>
      <c r="EN163" s="50"/>
      <c r="EO163" s="50"/>
      <c r="EP163" s="50"/>
      <c r="EQ163" s="50"/>
      <c r="ER163" s="50"/>
      <c r="ES163" s="50"/>
      <c r="ET163" s="50"/>
      <c r="EU163" s="50"/>
      <c r="EV163" s="50"/>
      <c r="EW163" s="50"/>
      <c r="EX163" s="50"/>
      <c r="EY163" s="50"/>
      <c r="EZ163" s="50"/>
      <c r="FA163" s="50"/>
      <c r="FB163" s="50"/>
      <c r="FC163" s="50"/>
      <c r="FD163" s="50"/>
      <c r="FE163" s="50"/>
    </row>
    <row r="164" spans="1:161" x14ac:dyDescent="0.15">
      <c r="A164" s="46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52"/>
      <c r="W164" s="52"/>
      <c r="X164" s="52"/>
      <c r="Y164" s="52"/>
      <c r="Z164" s="52"/>
      <c r="AA164" s="52"/>
      <c r="AB164" s="52"/>
      <c r="AC164" s="52"/>
      <c r="AD164" s="52"/>
      <c r="AE164" s="52"/>
      <c r="AF164" s="52"/>
      <c r="AG164" s="52"/>
      <c r="AH164" s="52"/>
      <c r="AI164" s="52"/>
      <c r="AJ164" s="52"/>
      <c r="AK164" s="52"/>
      <c r="AL164" s="52"/>
      <c r="AM164" s="52"/>
      <c r="AN164" s="52"/>
      <c r="AO164" s="52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43"/>
      <c r="CE164" s="43"/>
      <c r="CF164" s="43"/>
      <c r="CG164" s="43"/>
      <c r="CH164" s="43"/>
      <c r="CI164" s="43"/>
      <c r="CJ164" s="43"/>
      <c r="CK164" s="43"/>
      <c r="CL164" s="43"/>
      <c r="CM164" s="43"/>
      <c r="CN164" s="43"/>
      <c r="CO164" s="43"/>
      <c r="CP164" s="43"/>
      <c r="CQ164" s="43"/>
      <c r="CR164" s="43"/>
      <c r="CS164" s="43"/>
      <c r="CT164" s="43"/>
      <c r="CU164" s="43"/>
      <c r="CV164" s="43"/>
      <c r="CW164" s="43"/>
      <c r="CX164" s="52"/>
      <c r="CY164" s="52"/>
      <c r="CZ164" s="52"/>
      <c r="DA164" s="52"/>
      <c r="DB164" s="52"/>
      <c r="DC164" s="52"/>
      <c r="DD164" s="52"/>
      <c r="DE164" s="52"/>
      <c r="DF164" s="52"/>
      <c r="DG164" s="52"/>
      <c r="DH164" s="52"/>
      <c r="DI164" s="52"/>
      <c r="DJ164" s="52"/>
      <c r="DK164" s="52"/>
      <c r="DL164" s="52"/>
      <c r="DM164" s="52"/>
      <c r="DN164" s="52"/>
      <c r="DO164" s="52"/>
      <c r="DP164" s="52"/>
      <c r="DQ164" s="52"/>
      <c r="DR164" s="43">
        <v>1</v>
      </c>
      <c r="DS164" s="43">
        <v>1</v>
      </c>
      <c r="DT164" s="43">
        <v>1</v>
      </c>
      <c r="DU164" s="43">
        <v>1</v>
      </c>
      <c r="DV164" s="43">
        <v>1</v>
      </c>
      <c r="DW164" s="43">
        <v>1</v>
      </c>
      <c r="DX164" s="43">
        <v>1</v>
      </c>
      <c r="DY164" s="43">
        <v>1</v>
      </c>
      <c r="DZ164" s="43">
        <v>1</v>
      </c>
      <c r="EA164" s="43">
        <v>1</v>
      </c>
      <c r="EB164" s="43">
        <v>1</v>
      </c>
      <c r="EC164" s="43">
        <v>1</v>
      </c>
      <c r="ED164" s="43">
        <v>1</v>
      </c>
      <c r="EE164" s="43">
        <v>1</v>
      </c>
      <c r="EF164" s="43">
        <v>1</v>
      </c>
      <c r="EG164" s="43">
        <v>1</v>
      </c>
      <c r="EH164" s="43">
        <v>1</v>
      </c>
      <c r="EI164" s="43">
        <v>1</v>
      </c>
      <c r="EJ164" s="43">
        <v>1</v>
      </c>
      <c r="EK164" s="43">
        <v>1</v>
      </c>
      <c r="EL164" s="50"/>
      <c r="EM164" s="50"/>
      <c r="EN164" s="50"/>
      <c r="EO164" s="50"/>
      <c r="EP164" s="50"/>
      <c r="EQ164" s="50"/>
      <c r="ER164" s="50"/>
      <c r="ES164" s="50"/>
      <c r="ET164" s="50"/>
      <c r="EU164" s="50"/>
      <c r="EV164" s="50"/>
      <c r="EW164" s="50"/>
      <c r="EX164" s="50"/>
      <c r="EY164" s="50"/>
      <c r="EZ164" s="50"/>
      <c r="FA164" s="50"/>
      <c r="FB164" s="50"/>
      <c r="FC164" s="50"/>
      <c r="FD164" s="50"/>
      <c r="FE164" s="50"/>
    </row>
    <row r="165" spans="1:161" x14ac:dyDescent="0.15">
      <c r="A165" s="46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52"/>
      <c r="W165" s="52"/>
      <c r="X165" s="52"/>
      <c r="Y165" s="52"/>
      <c r="Z165" s="52"/>
      <c r="AA165" s="52"/>
      <c r="AB165" s="52"/>
      <c r="AC165" s="52"/>
      <c r="AD165" s="52"/>
      <c r="AE165" s="52"/>
      <c r="AF165" s="52"/>
      <c r="AG165" s="52"/>
      <c r="AH165" s="52"/>
      <c r="AI165" s="52"/>
      <c r="AJ165" s="52"/>
      <c r="AK165" s="52"/>
      <c r="AL165" s="52"/>
      <c r="AM165" s="52"/>
      <c r="AN165" s="52"/>
      <c r="AO165" s="52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43"/>
      <c r="CE165" s="43"/>
      <c r="CF165" s="43"/>
      <c r="CG165" s="43"/>
      <c r="CH165" s="43"/>
      <c r="CI165" s="43"/>
      <c r="CJ165" s="43"/>
      <c r="CK165" s="43"/>
      <c r="CL165" s="43"/>
      <c r="CM165" s="43"/>
      <c r="CN165" s="43"/>
      <c r="CO165" s="43"/>
      <c r="CP165" s="43"/>
      <c r="CQ165" s="43"/>
      <c r="CR165" s="43"/>
      <c r="CS165" s="43"/>
      <c r="CT165" s="43"/>
      <c r="CU165" s="43"/>
      <c r="CV165" s="43"/>
      <c r="CW165" s="43"/>
      <c r="CX165" s="52"/>
      <c r="CY165" s="52"/>
      <c r="CZ165" s="52"/>
      <c r="DA165" s="52"/>
      <c r="DB165" s="52"/>
      <c r="DC165" s="52"/>
      <c r="DD165" s="52"/>
      <c r="DE165" s="52"/>
      <c r="DF165" s="52"/>
      <c r="DG165" s="52"/>
      <c r="DH165" s="52"/>
      <c r="DI165" s="52"/>
      <c r="DJ165" s="52"/>
      <c r="DK165" s="52"/>
      <c r="DL165" s="52"/>
      <c r="DM165" s="52"/>
      <c r="DN165" s="52"/>
      <c r="DO165" s="52"/>
      <c r="DP165" s="52"/>
      <c r="DQ165" s="52"/>
      <c r="DR165" s="43">
        <v>1</v>
      </c>
      <c r="DS165" s="43">
        <v>1</v>
      </c>
      <c r="DT165" s="43">
        <v>1</v>
      </c>
      <c r="DU165" s="43">
        <v>1</v>
      </c>
      <c r="DV165" s="43">
        <v>1</v>
      </c>
      <c r="DW165" s="43">
        <v>1</v>
      </c>
      <c r="DX165" s="43">
        <v>1</v>
      </c>
      <c r="DY165" s="43">
        <v>1</v>
      </c>
      <c r="DZ165" s="43">
        <v>1</v>
      </c>
      <c r="EA165" s="43">
        <v>1</v>
      </c>
      <c r="EB165" s="43">
        <v>1</v>
      </c>
      <c r="EC165" s="43">
        <v>1</v>
      </c>
      <c r="ED165" s="43">
        <v>1</v>
      </c>
      <c r="EE165" s="43">
        <v>1</v>
      </c>
      <c r="EF165" s="43">
        <v>1</v>
      </c>
      <c r="EG165" s="43">
        <v>1</v>
      </c>
      <c r="EH165" s="43">
        <v>1</v>
      </c>
      <c r="EI165" s="43">
        <v>1</v>
      </c>
      <c r="EJ165" s="43">
        <v>1</v>
      </c>
      <c r="EK165" s="43">
        <v>1</v>
      </c>
      <c r="EL165" s="50"/>
      <c r="EM165" s="50"/>
      <c r="EN165" s="50"/>
      <c r="EO165" s="50"/>
      <c r="EP165" s="50"/>
      <c r="EQ165" s="50"/>
      <c r="ER165" s="50"/>
      <c r="ES165" s="50"/>
      <c r="ET165" s="50"/>
      <c r="EU165" s="50"/>
      <c r="EV165" s="50"/>
      <c r="EW165" s="50"/>
      <c r="EX165" s="50"/>
      <c r="EY165" s="50"/>
      <c r="EZ165" s="50"/>
      <c r="FA165" s="50"/>
      <c r="FB165" s="50"/>
      <c r="FC165" s="50"/>
      <c r="FD165" s="50"/>
      <c r="FE165" s="50"/>
    </row>
    <row r="166" spans="1:161" x14ac:dyDescent="0.15">
      <c r="A166" s="46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52"/>
      <c r="W166" s="52"/>
      <c r="X166" s="52"/>
      <c r="Y166" s="52"/>
      <c r="Z166" s="52"/>
      <c r="AA166" s="52"/>
      <c r="AB166" s="52"/>
      <c r="AC166" s="52"/>
      <c r="AD166" s="52"/>
      <c r="AE166" s="52"/>
      <c r="AF166" s="52"/>
      <c r="AG166" s="52"/>
      <c r="AH166" s="52"/>
      <c r="AI166" s="52"/>
      <c r="AJ166" s="52"/>
      <c r="AK166" s="52"/>
      <c r="AL166" s="52"/>
      <c r="AM166" s="52"/>
      <c r="AN166" s="52"/>
      <c r="AO166" s="52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43"/>
      <c r="CE166" s="43"/>
      <c r="CF166" s="43"/>
      <c r="CG166" s="43"/>
      <c r="CH166" s="43"/>
      <c r="CI166" s="43"/>
      <c r="CJ166" s="43"/>
      <c r="CK166" s="43"/>
      <c r="CL166" s="43"/>
      <c r="CM166" s="43"/>
      <c r="CN166" s="43"/>
      <c r="CO166" s="43"/>
      <c r="CP166" s="43"/>
      <c r="CQ166" s="43"/>
      <c r="CR166" s="43"/>
      <c r="CS166" s="43"/>
      <c r="CT166" s="43"/>
      <c r="CU166" s="43"/>
      <c r="CV166" s="43"/>
      <c r="CW166" s="43"/>
      <c r="CX166" s="52"/>
      <c r="CY166" s="52"/>
      <c r="CZ166" s="52"/>
      <c r="DA166" s="52"/>
      <c r="DB166" s="52"/>
      <c r="DC166" s="52"/>
      <c r="DD166" s="52"/>
      <c r="DE166" s="52"/>
      <c r="DF166" s="52"/>
      <c r="DG166" s="52"/>
      <c r="DH166" s="52"/>
      <c r="DI166" s="52"/>
      <c r="DJ166" s="52"/>
      <c r="DK166" s="52"/>
      <c r="DL166" s="52"/>
      <c r="DM166" s="52"/>
      <c r="DN166" s="52"/>
      <c r="DO166" s="52"/>
      <c r="DP166" s="52"/>
      <c r="DQ166" s="52"/>
      <c r="DR166" s="43">
        <v>1</v>
      </c>
      <c r="DS166" s="43">
        <v>1</v>
      </c>
      <c r="DT166" s="43">
        <v>1</v>
      </c>
      <c r="DU166" s="43">
        <v>1</v>
      </c>
      <c r="DV166" s="43">
        <v>1</v>
      </c>
      <c r="DW166" s="43">
        <v>1</v>
      </c>
      <c r="DX166" s="43">
        <v>1</v>
      </c>
      <c r="DY166" s="43">
        <v>1</v>
      </c>
      <c r="DZ166" s="43">
        <v>1</v>
      </c>
      <c r="EA166" s="43">
        <v>1</v>
      </c>
      <c r="EB166" s="43">
        <v>1</v>
      </c>
      <c r="EC166" s="43">
        <v>1</v>
      </c>
      <c r="ED166" s="43">
        <v>1</v>
      </c>
      <c r="EE166" s="43">
        <v>1</v>
      </c>
      <c r="EF166" s="43">
        <v>1</v>
      </c>
      <c r="EG166" s="43">
        <v>1</v>
      </c>
      <c r="EH166" s="43">
        <v>1</v>
      </c>
      <c r="EI166" s="43">
        <v>1</v>
      </c>
      <c r="EJ166" s="43">
        <v>1</v>
      </c>
      <c r="EK166" s="43">
        <v>1</v>
      </c>
      <c r="EL166" s="50"/>
      <c r="EM166" s="50"/>
      <c r="EN166" s="50"/>
      <c r="EO166" s="50"/>
      <c r="EP166" s="50"/>
      <c r="EQ166" s="50"/>
      <c r="ER166" s="50"/>
      <c r="ES166" s="50"/>
      <c r="ET166" s="50"/>
      <c r="EU166" s="50"/>
      <c r="EV166" s="50"/>
      <c r="EW166" s="50"/>
      <c r="EX166" s="50"/>
      <c r="EY166" s="50"/>
      <c r="EZ166" s="50"/>
      <c r="FA166" s="50"/>
      <c r="FB166" s="50"/>
      <c r="FC166" s="50"/>
      <c r="FD166" s="50"/>
      <c r="FE166" s="50"/>
    </row>
    <row r="167" spans="1:161" x14ac:dyDescent="0.15">
      <c r="A167" s="46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52"/>
      <c r="W167" s="52"/>
      <c r="X167" s="52"/>
      <c r="Y167" s="52"/>
      <c r="Z167" s="52"/>
      <c r="AA167" s="52"/>
      <c r="AB167" s="52"/>
      <c r="AC167" s="52"/>
      <c r="AD167" s="52"/>
      <c r="AE167" s="52"/>
      <c r="AF167" s="52"/>
      <c r="AG167" s="52"/>
      <c r="AH167" s="52"/>
      <c r="AI167" s="52"/>
      <c r="AJ167" s="52"/>
      <c r="AK167" s="52"/>
      <c r="AL167" s="52"/>
      <c r="AM167" s="52"/>
      <c r="AN167" s="52"/>
      <c r="AO167" s="52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43"/>
      <c r="CE167" s="43"/>
      <c r="CF167" s="43"/>
      <c r="CG167" s="43"/>
      <c r="CH167" s="43"/>
      <c r="CI167" s="43"/>
      <c r="CJ167" s="43"/>
      <c r="CK167" s="43"/>
      <c r="CL167" s="43"/>
      <c r="CM167" s="43"/>
      <c r="CN167" s="43"/>
      <c r="CO167" s="43"/>
      <c r="CP167" s="43"/>
      <c r="CQ167" s="43"/>
      <c r="CR167" s="43"/>
      <c r="CS167" s="43"/>
      <c r="CT167" s="43"/>
      <c r="CU167" s="43"/>
      <c r="CV167" s="43"/>
      <c r="CW167" s="43"/>
      <c r="CX167" s="52"/>
      <c r="CY167" s="52"/>
      <c r="CZ167" s="52"/>
      <c r="DA167" s="52"/>
      <c r="DB167" s="52"/>
      <c r="DC167" s="52"/>
      <c r="DD167" s="52"/>
      <c r="DE167" s="52"/>
      <c r="DF167" s="52"/>
      <c r="DG167" s="52"/>
      <c r="DH167" s="52"/>
      <c r="DI167" s="52"/>
      <c r="DJ167" s="52"/>
      <c r="DK167" s="52"/>
      <c r="DL167" s="52"/>
      <c r="DM167" s="52"/>
      <c r="DN167" s="52"/>
      <c r="DO167" s="52"/>
      <c r="DP167" s="52"/>
      <c r="DQ167" s="52"/>
      <c r="DR167" s="43">
        <v>1</v>
      </c>
      <c r="DS167" s="43">
        <v>1</v>
      </c>
      <c r="DT167" s="43">
        <v>1</v>
      </c>
      <c r="DU167" s="43">
        <v>1</v>
      </c>
      <c r="DV167" s="43">
        <v>1</v>
      </c>
      <c r="DW167" s="43">
        <v>1</v>
      </c>
      <c r="DX167" s="43">
        <v>1</v>
      </c>
      <c r="DY167" s="43">
        <v>1</v>
      </c>
      <c r="DZ167" s="43">
        <v>1</v>
      </c>
      <c r="EA167" s="43">
        <v>1</v>
      </c>
      <c r="EB167" s="43">
        <v>1</v>
      </c>
      <c r="EC167" s="43">
        <v>1</v>
      </c>
      <c r="ED167" s="43">
        <v>1</v>
      </c>
      <c r="EE167" s="43">
        <v>1</v>
      </c>
      <c r="EF167" s="43">
        <v>1</v>
      </c>
      <c r="EG167" s="43">
        <v>1</v>
      </c>
      <c r="EH167" s="43">
        <v>1</v>
      </c>
      <c r="EI167" s="43">
        <v>1</v>
      </c>
      <c r="EJ167" s="43">
        <v>1</v>
      </c>
      <c r="EK167" s="43">
        <v>1</v>
      </c>
      <c r="EL167" s="50"/>
      <c r="EM167" s="50"/>
      <c r="EN167" s="50"/>
      <c r="EO167" s="50"/>
      <c r="EP167" s="50"/>
      <c r="EQ167" s="50"/>
      <c r="ER167" s="50"/>
      <c r="ES167" s="50"/>
      <c r="ET167" s="50"/>
      <c r="EU167" s="50"/>
      <c r="EV167" s="50"/>
      <c r="EW167" s="50"/>
      <c r="EX167" s="50"/>
      <c r="EY167" s="50"/>
      <c r="EZ167" s="50"/>
      <c r="FA167" s="50"/>
      <c r="FB167" s="50"/>
      <c r="FC167" s="50"/>
      <c r="FD167" s="50"/>
      <c r="FE167" s="50"/>
    </row>
    <row r="168" spans="1:161" x14ac:dyDescent="0.15">
      <c r="A168" s="46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52"/>
      <c r="W168" s="52"/>
      <c r="X168" s="52"/>
      <c r="Y168" s="52"/>
      <c r="Z168" s="52"/>
      <c r="AA168" s="52"/>
      <c r="AB168" s="52"/>
      <c r="AC168" s="52"/>
      <c r="AD168" s="52"/>
      <c r="AE168" s="52"/>
      <c r="AF168" s="52"/>
      <c r="AG168" s="52"/>
      <c r="AH168" s="52"/>
      <c r="AI168" s="52"/>
      <c r="AJ168" s="52"/>
      <c r="AK168" s="52"/>
      <c r="AL168" s="52"/>
      <c r="AM168" s="52"/>
      <c r="AN168" s="52"/>
      <c r="AO168" s="52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43"/>
      <c r="CE168" s="43"/>
      <c r="CF168" s="43"/>
      <c r="CG168" s="43"/>
      <c r="CH168" s="43"/>
      <c r="CI168" s="43"/>
      <c r="CJ168" s="43"/>
      <c r="CK168" s="43"/>
      <c r="CL168" s="43"/>
      <c r="CM168" s="43"/>
      <c r="CN168" s="43"/>
      <c r="CO168" s="43"/>
      <c r="CP168" s="43"/>
      <c r="CQ168" s="43"/>
      <c r="CR168" s="43"/>
      <c r="CS168" s="43"/>
      <c r="CT168" s="43"/>
      <c r="CU168" s="43"/>
      <c r="CV168" s="43"/>
      <c r="CW168" s="43"/>
      <c r="CX168" s="52"/>
      <c r="CY168" s="52"/>
      <c r="CZ168" s="52"/>
      <c r="DA168" s="52"/>
      <c r="DB168" s="52"/>
      <c r="DC168" s="52"/>
      <c r="DD168" s="52"/>
      <c r="DE168" s="52"/>
      <c r="DF168" s="52"/>
      <c r="DG168" s="52"/>
      <c r="DH168" s="52"/>
      <c r="DI168" s="52"/>
      <c r="DJ168" s="52"/>
      <c r="DK168" s="52"/>
      <c r="DL168" s="52"/>
      <c r="DM168" s="52"/>
      <c r="DN168" s="52"/>
      <c r="DO168" s="52"/>
      <c r="DP168" s="52"/>
      <c r="DQ168" s="52"/>
      <c r="DR168" s="43">
        <v>1</v>
      </c>
      <c r="DS168" s="43">
        <v>1</v>
      </c>
      <c r="DT168" s="43">
        <v>1</v>
      </c>
      <c r="DU168" s="43">
        <v>1</v>
      </c>
      <c r="DV168" s="43">
        <v>1</v>
      </c>
      <c r="DW168" s="43">
        <v>1</v>
      </c>
      <c r="DX168" s="43">
        <v>1</v>
      </c>
      <c r="DY168" s="43">
        <v>1</v>
      </c>
      <c r="DZ168" s="43">
        <v>1</v>
      </c>
      <c r="EA168" s="43">
        <v>1</v>
      </c>
      <c r="EB168" s="43">
        <v>1</v>
      </c>
      <c r="EC168" s="43">
        <v>1</v>
      </c>
      <c r="ED168" s="43">
        <v>1</v>
      </c>
      <c r="EE168" s="43">
        <v>1</v>
      </c>
      <c r="EF168" s="43">
        <v>1</v>
      </c>
      <c r="EG168" s="43">
        <v>1</v>
      </c>
      <c r="EH168" s="43">
        <v>1</v>
      </c>
      <c r="EI168" s="43">
        <v>1</v>
      </c>
      <c r="EJ168" s="43">
        <v>1</v>
      </c>
      <c r="EK168" s="43">
        <v>1</v>
      </c>
      <c r="EL168" s="50"/>
      <c r="EM168" s="50"/>
      <c r="EN168" s="50"/>
      <c r="EO168" s="50"/>
      <c r="EP168" s="50"/>
      <c r="EQ168" s="50"/>
      <c r="ER168" s="50"/>
      <c r="ES168" s="50"/>
      <c r="ET168" s="50"/>
      <c r="EU168" s="50"/>
      <c r="EV168" s="50"/>
      <c r="EW168" s="50"/>
      <c r="EX168" s="50"/>
      <c r="EY168" s="50"/>
      <c r="EZ168" s="50"/>
      <c r="FA168" s="50"/>
      <c r="FB168" s="50"/>
      <c r="FC168" s="50"/>
      <c r="FD168" s="50"/>
      <c r="FE168" s="50"/>
    </row>
    <row r="169" spans="1:161" x14ac:dyDescent="0.15">
      <c r="A169" s="46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52"/>
      <c r="W169" s="52"/>
      <c r="X169" s="52"/>
      <c r="Y169" s="52"/>
      <c r="Z169" s="52"/>
      <c r="AA169" s="52"/>
      <c r="AB169" s="52"/>
      <c r="AC169" s="52"/>
      <c r="AD169" s="52"/>
      <c r="AE169" s="52"/>
      <c r="AF169" s="52"/>
      <c r="AG169" s="52"/>
      <c r="AH169" s="52"/>
      <c r="AI169" s="52"/>
      <c r="AJ169" s="52"/>
      <c r="AK169" s="52"/>
      <c r="AL169" s="52"/>
      <c r="AM169" s="52"/>
      <c r="AN169" s="52"/>
      <c r="AO169" s="52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43"/>
      <c r="CE169" s="43"/>
      <c r="CF169" s="43"/>
      <c r="CG169" s="43"/>
      <c r="CH169" s="43"/>
      <c r="CI169" s="43"/>
      <c r="CJ169" s="43"/>
      <c r="CK169" s="43"/>
      <c r="CL169" s="43"/>
      <c r="CM169" s="43"/>
      <c r="CN169" s="43"/>
      <c r="CO169" s="43"/>
      <c r="CP169" s="43"/>
      <c r="CQ169" s="43"/>
      <c r="CR169" s="43"/>
      <c r="CS169" s="43"/>
      <c r="CT169" s="43"/>
      <c r="CU169" s="43"/>
      <c r="CV169" s="43"/>
      <c r="CW169" s="43"/>
      <c r="CX169" s="52"/>
      <c r="CY169" s="52"/>
      <c r="CZ169" s="52"/>
      <c r="DA169" s="52"/>
      <c r="DB169" s="52"/>
      <c r="DC169" s="52"/>
      <c r="DD169" s="52"/>
      <c r="DE169" s="52"/>
      <c r="DF169" s="52"/>
      <c r="DG169" s="52"/>
      <c r="DH169" s="52"/>
      <c r="DI169" s="52"/>
      <c r="DJ169" s="52"/>
      <c r="DK169" s="52"/>
      <c r="DL169" s="52"/>
      <c r="DM169" s="52"/>
      <c r="DN169" s="52"/>
      <c r="DO169" s="52"/>
      <c r="DP169" s="52"/>
      <c r="DQ169" s="52"/>
      <c r="DR169" s="43">
        <v>1</v>
      </c>
      <c r="DS169" s="43">
        <v>1</v>
      </c>
      <c r="DT169" s="43">
        <v>1</v>
      </c>
      <c r="DU169" s="43">
        <v>1</v>
      </c>
      <c r="DV169" s="43">
        <v>1</v>
      </c>
      <c r="DW169" s="43">
        <v>1</v>
      </c>
      <c r="DX169" s="43">
        <v>1</v>
      </c>
      <c r="DY169" s="43">
        <v>1</v>
      </c>
      <c r="DZ169" s="43">
        <v>1</v>
      </c>
      <c r="EA169" s="43">
        <v>1</v>
      </c>
      <c r="EB169" s="43">
        <v>1</v>
      </c>
      <c r="EC169" s="43">
        <v>1</v>
      </c>
      <c r="ED169" s="43">
        <v>1</v>
      </c>
      <c r="EE169" s="43">
        <v>1</v>
      </c>
      <c r="EF169" s="43">
        <v>1</v>
      </c>
      <c r="EG169" s="43">
        <v>1</v>
      </c>
      <c r="EH169" s="43">
        <v>1</v>
      </c>
      <c r="EI169" s="43">
        <v>1</v>
      </c>
      <c r="EJ169" s="43">
        <v>1</v>
      </c>
      <c r="EK169" s="43">
        <v>1</v>
      </c>
      <c r="EL169" s="50"/>
      <c r="EM169" s="50"/>
      <c r="EN169" s="50"/>
      <c r="EO169" s="50"/>
      <c r="EP169" s="50"/>
      <c r="EQ169" s="50"/>
      <c r="ER169" s="50"/>
      <c r="ES169" s="50"/>
      <c r="ET169" s="50"/>
      <c r="EU169" s="50"/>
      <c r="EV169" s="50"/>
      <c r="EW169" s="50"/>
      <c r="EX169" s="50"/>
      <c r="EY169" s="50"/>
      <c r="EZ169" s="50"/>
      <c r="FA169" s="50"/>
      <c r="FB169" s="50"/>
      <c r="FC169" s="50"/>
      <c r="FD169" s="50"/>
      <c r="FE169" s="50"/>
    </row>
    <row r="170" spans="1:161" x14ac:dyDescent="0.15">
      <c r="A170" s="46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52"/>
      <c r="W170" s="52"/>
      <c r="X170" s="52"/>
      <c r="Y170" s="52"/>
      <c r="Z170" s="52"/>
      <c r="AA170" s="52"/>
      <c r="AB170" s="52"/>
      <c r="AC170" s="52"/>
      <c r="AD170" s="52"/>
      <c r="AE170" s="52"/>
      <c r="AF170" s="52"/>
      <c r="AG170" s="52"/>
      <c r="AH170" s="52"/>
      <c r="AI170" s="52"/>
      <c r="AJ170" s="52"/>
      <c r="AK170" s="52"/>
      <c r="AL170" s="52"/>
      <c r="AM170" s="52"/>
      <c r="AN170" s="52"/>
      <c r="AO170" s="52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43"/>
      <c r="CE170" s="43"/>
      <c r="CF170" s="43"/>
      <c r="CG170" s="43"/>
      <c r="CH170" s="43"/>
      <c r="CI170" s="43"/>
      <c r="CJ170" s="43"/>
      <c r="CK170" s="43"/>
      <c r="CL170" s="43"/>
      <c r="CM170" s="43"/>
      <c r="CN170" s="43"/>
      <c r="CO170" s="43"/>
      <c r="CP170" s="43"/>
      <c r="CQ170" s="43"/>
      <c r="CR170" s="43"/>
      <c r="CS170" s="43"/>
      <c r="CT170" s="43"/>
      <c r="CU170" s="43"/>
      <c r="CV170" s="43"/>
      <c r="CW170" s="43"/>
      <c r="CX170" s="52"/>
      <c r="CY170" s="52"/>
      <c r="CZ170" s="52"/>
      <c r="DA170" s="52"/>
      <c r="DB170" s="52"/>
      <c r="DC170" s="52"/>
      <c r="DD170" s="52"/>
      <c r="DE170" s="52"/>
      <c r="DF170" s="52"/>
      <c r="DG170" s="52"/>
      <c r="DH170" s="52"/>
      <c r="DI170" s="52"/>
      <c r="DJ170" s="52"/>
      <c r="DK170" s="52"/>
      <c r="DL170" s="52"/>
      <c r="DM170" s="52"/>
      <c r="DN170" s="52"/>
      <c r="DO170" s="52"/>
      <c r="DP170" s="52"/>
      <c r="DQ170" s="52"/>
      <c r="DR170" s="43">
        <v>1</v>
      </c>
      <c r="DS170" s="43">
        <v>1</v>
      </c>
      <c r="DT170" s="43">
        <v>1</v>
      </c>
      <c r="DU170" s="43">
        <v>1</v>
      </c>
      <c r="DV170" s="43">
        <v>1</v>
      </c>
      <c r="DW170" s="43">
        <v>1</v>
      </c>
      <c r="DX170" s="43">
        <v>1</v>
      </c>
      <c r="DY170" s="43">
        <v>1</v>
      </c>
      <c r="DZ170" s="43">
        <v>1</v>
      </c>
      <c r="EA170" s="43">
        <v>1</v>
      </c>
      <c r="EB170" s="43">
        <v>1</v>
      </c>
      <c r="EC170" s="43">
        <v>1</v>
      </c>
      <c r="ED170" s="43">
        <v>1</v>
      </c>
      <c r="EE170" s="43">
        <v>1</v>
      </c>
      <c r="EF170" s="43">
        <v>1</v>
      </c>
      <c r="EG170" s="43">
        <v>1</v>
      </c>
      <c r="EH170" s="43">
        <v>1</v>
      </c>
      <c r="EI170" s="43">
        <v>1</v>
      </c>
      <c r="EJ170" s="43">
        <v>1</v>
      </c>
      <c r="EK170" s="43">
        <v>1</v>
      </c>
      <c r="EL170" s="50"/>
      <c r="EM170" s="50"/>
      <c r="EN170" s="50"/>
      <c r="EO170" s="50"/>
      <c r="EP170" s="50"/>
      <c r="EQ170" s="50"/>
      <c r="ER170" s="50"/>
      <c r="ES170" s="50"/>
      <c r="ET170" s="50"/>
      <c r="EU170" s="50"/>
      <c r="EV170" s="50"/>
      <c r="EW170" s="50"/>
      <c r="EX170" s="50"/>
      <c r="EY170" s="50"/>
      <c r="EZ170" s="50"/>
      <c r="FA170" s="50"/>
      <c r="FB170" s="50"/>
      <c r="FC170" s="50"/>
      <c r="FD170" s="50"/>
      <c r="FE170" s="50"/>
    </row>
    <row r="171" spans="1:161" x14ac:dyDescent="0.15">
      <c r="A171" s="46"/>
      <c r="B171" s="43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52"/>
      <c r="W171" s="52"/>
      <c r="X171" s="52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43"/>
      <c r="CE171" s="43"/>
      <c r="CF171" s="43"/>
      <c r="CG171" s="43"/>
      <c r="CH171" s="43"/>
      <c r="CI171" s="43"/>
      <c r="CJ171" s="43"/>
      <c r="CK171" s="43"/>
      <c r="CL171" s="43"/>
      <c r="CM171" s="43"/>
      <c r="CN171" s="43"/>
      <c r="CO171" s="43"/>
      <c r="CP171" s="43"/>
      <c r="CQ171" s="43"/>
      <c r="CR171" s="43"/>
      <c r="CS171" s="43"/>
      <c r="CT171" s="43"/>
      <c r="CU171" s="43"/>
      <c r="CV171" s="43"/>
      <c r="CW171" s="43"/>
      <c r="CX171" s="52"/>
      <c r="CY171" s="52"/>
      <c r="CZ171" s="52"/>
      <c r="DA171" s="52"/>
      <c r="DB171" s="52"/>
      <c r="DC171" s="52"/>
      <c r="DD171" s="52"/>
      <c r="DE171" s="52"/>
      <c r="DF171" s="52"/>
      <c r="DG171" s="52"/>
      <c r="DH171" s="52"/>
      <c r="DI171" s="52"/>
      <c r="DJ171" s="52"/>
      <c r="DK171" s="52"/>
      <c r="DL171" s="52"/>
      <c r="DM171" s="52"/>
      <c r="DN171" s="52"/>
      <c r="DO171" s="52"/>
      <c r="DP171" s="52"/>
      <c r="DQ171" s="52"/>
      <c r="DR171" s="45">
        <v>1</v>
      </c>
      <c r="DS171" s="45">
        <v>1</v>
      </c>
      <c r="DT171" s="45">
        <v>1</v>
      </c>
      <c r="DU171" s="45">
        <v>1</v>
      </c>
      <c r="DV171" s="45">
        <v>1</v>
      </c>
      <c r="DW171" s="45">
        <v>1</v>
      </c>
      <c r="DX171" s="45">
        <v>1</v>
      </c>
      <c r="DY171" s="45">
        <v>1</v>
      </c>
      <c r="DZ171" s="45">
        <v>1</v>
      </c>
      <c r="EA171" s="45">
        <v>1</v>
      </c>
      <c r="EB171" s="45">
        <v>1</v>
      </c>
      <c r="EC171" s="45">
        <v>1</v>
      </c>
      <c r="ED171" s="45">
        <v>1</v>
      </c>
      <c r="EE171" s="45">
        <v>1</v>
      </c>
      <c r="EF171" s="45">
        <v>1</v>
      </c>
      <c r="EG171" s="45">
        <v>1</v>
      </c>
      <c r="EH171" s="45">
        <v>1</v>
      </c>
      <c r="EI171" s="45">
        <v>1</v>
      </c>
      <c r="EJ171" s="45">
        <v>1</v>
      </c>
      <c r="EK171" s="45">
        <v>1</v>
      </c>
      <c r="EL171" s="50"/>
      <c r="EM171" s="50"/>
      <c r="EN171" s="50"/>
      <c r="EO171" s="50"/>
      <c r="EP171" s="50"/>
      <c r="EQ171" s="50"/>
      <c r="ER171" s="50"/>
      <c r="ES171" s="50"/>
      <c r="ET171" s="50"/>
      <c r="EU171" s="50"/>
      <c r="EV171" s="50"/>
      <c r="EW171" s="50"/>
      <c r="EX171" s="50"/>
      <c r="EY171" s="50"/>
      <c r="EZ171" s="50"/>
      <c r="FA171" s="50"/>
      <c r="FB171" s="50"/>
      <c r="FC171" s="50"/>
      <c r="FD171" s="50"/>
      <c r="FE171" s="50"/>
    </row>
    <row r="172" spans="1:161" x14ac:dyDescent="0.15">
      <c r="A172" s="46"/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52"/>
      <c r="W172" s="52"/>
      <c r="X172" s="52"/>
      <c r="Y172" s="52"/>
      <c r="Z172" s="52"/>
      <c r="AA172" s="52"/>
      <c r="AB172" s="52"/>
      <c r="AC172" s="52"/>
      <c r="AD172" s="52"/>
      <c r="AE172" s="52"/>
      <c r="AF172" s="52"/>
      <c r="AG172" s="52"/>
      <c r="AH172" s="52"/>
      <c r="AI172" s="52"/>
      <c r="AJ172" s="52"/>
      <c r="AK172" s="52"/>
      <c r="AL172" s="52"/>
      <c r="AM172" s="52"/>
      <c r="AN172" s="52"/>
      <c r="AO172" s="52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43"/>
      <c r="CE172" s="43"/>
      <c r="CF172" s="43"/>
      <c r="CG172" s="43"/>
      <c r="CH172" s="43"/>
      <c r="CI172" s="43"/>
      <c r="CJ172" s="43"/>
      <c r="CK172" s="43"/>
      <c r="CL172" s="43"/>
      <c r="CM172" s="43"/>
      <c r="CN172" s="43"/>
      <c r="CO172" s="43"/>
      <c r="CP172" s="43"/>
      <c r="CQ172" s="43"/>
      <c r="CR172" s="43"/>
      <c r="CS172" s="43"/>
      <c r="CT172" s="43"/>
      <c r="CU172" s="43"/>
      <c r="CV172" s="43"/>
      <c r="CW172" s="43"/>
      <c r="CX172" s="52"/>
      <c r="CY172" s="52"/>
      <c r="CZ172" s="52"/>
      <c r="DA172" s="52"/>
      <c r="DB172" s="52"/>
      <c r="DC172" s="52"/>
      <c r="DD172" s="52"/>
      <c r="DE172" s="52"/>
      <c r="DF172" s="52"/>
      <c r="DG172" s="52"/>
      <c r="DH172" s="52"/>
      <c r="DI172" s="52"/>
      <c r="DJ172" s="52"/>
      <c r="DK172" s="52"/>
      <c r="DL172" s="52"/>
      <c r="DM172" s="52"/>
      <c r="DN172" s="52"/>
      <c r="DO172" s="52"/>
      <c r="DP172" s="52"/>
      <c r="DQ172" s="52"/>
      <c r="DR172" s="43">
        <v>1</v>
      </c>
      <c r="DS172" s="43">
        <v>1</v>
      </c>
      <c r="DT172" s="43">
        <v>1</v>
      </c>
      <c r="DU172" s="43">
        <v>1</v>
      </c>
      <c r="DV172" s="43">
        <v>1</v>
      </c>
      <c r="DW172" s="43">
        <v>1</v>
      </c>
      <c r="DX172" s="43">
        <v>1</v>
      </c>
      <c r="DY172" s="43">
        <v>1</v>
      </c>
      <c r="DZ172" s="43">
        <v>1</v>
      </c>
      <c r="EA172" s="43">
        <v>1</v>
      </c>
      <c r="EB172" s="43">
        <v>1</v>
      </c>
      <c r="EC172" s="43">
        <v>1</v>
      </c>
      <c r="ED172" s="43">
        <v>1</v>
      </c>
      <c r="EE172" s="43">
        <v>1</v>
      </c>
      <c r="EF172" s="43">
        <v>1</v>
      </c>
      <c r="EG172" s="43">
        <v>1</v>
      </c>
      <c r="EH172" s="43">
        <v>1</v>
      </c>
      <c r="EI172" s="43">
        <v>1</v>
      </c>
      <c r="EJ172" s="43">
        <v>1</v>
      </c>
      <c r="EK172" s="43">
        <v>1</v>
      </c>
      <c r="EL172" s="50"/>
      <c r="EM172" s="50"/>
      <c r="EN172" s="50"/>
      <c r="EO172" s="50"/>
      <c r="EP172" s="50"/>
      <c r="EQ172" s="50"/>
      <c r="ER172" s="50"/>
      <c r="ES172" s="50"/>
      <c r="ET172" s="50"/>
      <c r="EU172" s="50"/>
      <c r="EV172" s="50"/>
      <c r="EW172" s="50"/>
      <c r="EX172" s="50"/>
      <c r="EY172" s="50"/>
      <c r="EZ172" s="50"/>
      <c r="FA172" s="50"/>
      <c r="FB172" s="50"/>
      <c r="FC172" s="50"/>
      <c r="FD172" s="50"/>
      <c r="FE172" s="50"/>
    </row>
    <row r="173" spans="1:161" x14ac:dyDescent="0.15">
      <c r="A173" s="46"/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52"/>
      <c r="W173" s="52"/>
      <c r="X173" s="52"/>
      <c r="Y173" s="52"/>
      <c r="Z173" s="52"/>
      <c r="AA173" s="52"/>
      <c r="AB173" s="52"/>
      <c r="AC173" s="52"/>
      <c r="AD173" s="52"/>
      <c r="AE173" s="52"/>
      <c r="AF173" s="52"/>
      <c r="AG173" s="52"/>
      <c r="AH173" s="52"/>
      <c r="AI173" s="52"/>
      <c r="AJ173" s="52"/>
      <c r="AK173" s="52"/>
      <c r="AL173" s="52"/>
      <c r="AM173" s="52"/>
      <c r="AN173" s="52"/>
      <c r="AO173" s="52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43"/>
      <c r="CE173" s="43"/>
      <c r="CF173" s="43"/>
      <c r="CG173" s="43"/>
      <c r="CH173" s="43"/>
      <c r="CI173" s="43"/>
      <c r="CJ173" s="43"/>
      <c r="CK173" s="43"/>
      <c r="CL173" s="43"/>
      <c r="CM173" s="43"/>
      <c r="CN173" s="43"/>
      <c r="CO173" s="43"/>
      <c r="CP173" s="43"/>
      <c r="CQ173" s="43"/>
      <c r="CR173" s="43"/>
      <c r="CS173" s="43"/>
      <c r="CT173" s="43"/>
      <c r="CU173" s="43"/>
      <c r="CV173" s="43"/>
      <c r="CW173" s="43"/>
      <c r="CX173" s="52"/>
      <c r="CY173" s="52"/>
      <c r="CZ173" s="52"/>
      <c r="DA173" s="52"/>
      <c r="DB173" s="52"/>
      <c r="DC173" s="52"/>
      <c r="DD173" s="52"/>
      <c r="DE173" s="52"/>
      <c r="DF173" s="52"/>
      <c r="DG173" s="52"/>
      <c r="DH173" s="52"/>
      <c r="DI173" s="52"/>
      <c r="DJ173" s="52"/>
      <c r="DK173" s="52"/>
      <c r="DL173" s="52"/>
      <c r="DM173" s="52"/>
      <c r="DN173" s="52"/>
      <c r="DO173" s="52"/>
      <c r="DP173" s="52"/>
      <c r="DQ173" s="52"/>
      <c r="DR173" s="43">
        <v>1</v>
      </c>
      <c r="DS173" s="43">
        <v>1</v>
      </c>
      <c r="DT173" s="43">
        <v>1</v>
      </c>
      <c r="DU173" s="43">
        <v>1</v>
      </c>
      <c r="DV173" s="43">
        <v>1</v>
      </c>
      <c r="DW173" s="43">
        <v>1</v>
      </c>
      <c r="DX173" s="43">
        <v>1</v>
      </c>
      <c r="DY173" s="43">
        <v>1</v>
      </c>
      <c r="DZ173" s="43">
        <v>1</v>
      </c>
      <c r="EA173" s="43">
        <v>1</v>
      </c>
      <c r="EB173" s="43">
        <v>1</v>
      </c>
      <c r="EC173" s="43">
        <v>1</v>
      </c>
      <c r="ED173" s="43">
        <v>1</v>
      </c>
      <c r="EE173" s="43">
        <v>1</v>
      </c>
      <c r="EF173" s="43">
        <v>1</v>
      </c>
      <c r="EG173" s="43">
        <v>1</v>
      </c>
      <c r="EH173" s="43">
        <v>1</v>
      </c>
      <c r="EI173" s="43">
        <v>1</v>
      </c>
      <c r="EJ173" s="43">
        <v>1</v>
      </c>
      <c r="EK173" s="43">
        <v>1</v>
      </c>
      <c r="EL173" s="50"/>
      <c r="EM173" s="50"/>
      <c r="EN173" s="50"/>
      <c r="EO173" s="50"/>
      <c r="EP173" s="50"/>
      <c r="EQ173" s="50"/>
      <c r="ER173" s="50"/>
      <c r="ES173" s="50"/>
      <c r="ET173" s="50"/>
      <c r="EU173" s="50"/>
      <c r="EV173" s="50"/>
      <c r="EW173" s="50"/>
      <c r="EX173" s="50"/>
      <c r="EY173" s="50"/>
      <c r="EZ173" s="50"/>
      <c r="FA173" s="50"/>
      <c r="FB173" s="50"/>
      <c r="FC173" s="50"/>
      <c r="FD173" s="50"/>
      <c r="FE173" s="50"/>
    </row>
    <row r="174" spans="1:161" x14ac:dyDescent="0.15">
      <c r="A174" s="46"/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52"/>
      <c r="W174" s="52"/>
      <c r="X174" s="52"/>
      <c r="Y174" s="52"/>
      <c r="Z174" s="52"/>
      <c r="AA174" s="52"/>
      <c r="AB174" s="52"/>
      <c r="AC174" s="52"/>
      <c r="AD174" s="52"/>
      <c r="AE174" s="52"/>
      <c r="AF174" s="52"/>
      <c r="AG174" s="52"/>
      <c r="AH174" s="52"/>
      <c r="AI174" s="52"/>
      <c r="AJ174" s="52"/>
      <c r="AK174" s="52"/>
      <c r="AL174" s="52"/>
      <c r="AM174" s="52"/>
      <c r="AN174" s="52"/>
      <c r="AO174" s="52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43"/>
      <c r="CE174" s="43"/>
      <c r="CF174" s="43"/>
      <c r="CG174" s="43"/>
      <c r="CH174" s="43"/>
      <c r="CI174" s="43"/>
      <c r="CJ174" s="43"/>
      <c r="CK174" s="43"/>
      <c r="CL174" s="43"/>
      <c r="CM174" s="43"/>
      <c r="CN174" s="43"/>
      <c r="CO174" s="43"/>
      <c r="CP174" s="43"/>
      <c r="CQ174" s="43"/>
      <c r="CR174" s="43"/>
      <c r="CS174" s="43"/>
      <c r="CT174" s="43"/>
      <c r="CU174" s="43"/>
      <c r="CV174" s="43"/>
      <c r="CW174" s="43"/>
      <c r="CX174" s="52"/>
      <c r="CY174" s="52"/>
      <c r="CZ174" s="52"/>
      <c r="DA174" s="52"/>
      <c r="DB174" s="52"/>
      <c r="DC174" s="52"/>
      <c r="DD174" s="52"/>
      <c r="DE174" s="52"/>
      <c r="DF174" s="52"/>
      <c r="DG174" s="52"/>
      <c r="DH174" s="52"/>
      <c r="DI174" s="52"/>
      <c r="DJ174" s="52"/>
      <c r="DK174" s="52"/>
      <c r="DL174" s="52"/>
      <c r="DM174" s="52"/>
      <c r="DN174" s="52"/>
      <c r="DO174" s="52"/>
      <c r="DP174" s="52"/>
      <c r="DQ174" s="52"/>
      <c r="DR174" s="43">
        <v>1</v>
      </c>
      <c r="DS174" s="43">
        <v>1</v>
      </c>
      <c r="DT174" s="43">
        <v>1</v>
      </c>
      <c r="DU174" s="43">
        <v>1</v>
      </c>
      <c r="DV174" s="43">
        <v>1</v>
      </c>
      <c r="DW174" s="43">
        <v>1</v>
      </c>
      <c r="DX174" s="43">
        <v>1</v>
      </c>
      <c r="DY174" s="43">
        <v>1</v>
      </c>
      <c r="DZ174" s="43">
        <v>1</v>
      </c>
      <c r="EA174" s="43">
        <v>1</v>
      </c>
      <c r="EB174" s="43">
        <v>1</v>
      </c>
      <c r="EC174" s="43">
        <v>1</v>
      </c>
      <c r="ED174" s="43">
        <v>1</v>
      </c>
      <c r="EE174" s="43">
        <v>1</v>
      </c>
      <c r="EF174" s="43">
        <v>1</v>
      </c>
      <c r="EG174" s="43">
        <v>1</v>
      </c>
      <c r="EH174" s="43">
        <v>1</v>
      </c>
      <c r="EI174" s="43">
        <v>1</v>
      </c>
      <c r="EJ174" s="43">
        <v>1</v>
      </c>
      <c r="EK174" s="43">
        <v>1</v>
      </c>
      <c r="EL174" s="50"/>
      <c r="EM174" s="50"/>
      <c r="EN174" s="50"/>
      <c r="EO174" s="50"/>
      <c r="EP174" s="50"/>
      <c r="EQ174" s="50"/>
      <c r="ER174" s="50"/>
      <c r="ES174" s="50"/>
      <c r="ET174" s="50"/>
      <c r="EU174" s="50"/>
      <c r="EV174" s="50"/>
      <c r="EW174" s="50"/>
      <c r="EX174" s="50"/>
      <c r="EY174" s="50"/>
      <c r="EZ174" s="50"/>
      <c r="FA174" s="50"/>
      <c r="FB174" s="50"/>
      <c r="FC174" s="50"/>
      <c r="FD174" s="50"/>
      <c r="FE174" s="50"/>
    </row>
    <row r="175" spans="1:161" x14ac:dyDescent="0.15">
      <c r="A175" s="46"/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43"/>
      <c r="CE175" s="43"/>
      <c r="CF175" s="43"/>
      <c r="CG175" s="43"/>
      <c r="CH175" s="43"/>
      <c r="CI175" s="43"/>
      <c r="CJ175" s="43"/>
      <c r="CK175" s="43"/>
      <c r="CL175" s="43"/>
      <c r="CM175" s="43"/>
      <c r="CN175" s="43"/>
      <c r="CO175" s="43"/>
      <c r="CP175" s="43"/>
      <c r="CQ175" s="43"/>
      <c r="CR175" s="43"/>
      <c r="CS175" s="43"/>
      <c r="CT175" s="43"/>
      <c r="CU175" s="43"/>
      <c r="CV175" s="43"/>
      <c r="CW175" s="43"/>
      <c r="CX175" s="52"/>
      <c r="CY175" s="52"/>
      <c r="CZ175" s="52"/>
      <c r="DA175" s="52"/>
      <c r="DB175" s="52"/>
      <c r="DC175" s="52"/>
      <c r="DD175" s="52"/>
      <c r="DE175" s="52"/>
      <c r="DF175" s="52"/>
      <c r="DG175" s="52"/>
      <c r="DH175" s="52"/>
      <c r="DI175" s="52"/>
      <c r="DJ175" s="52"/>
      <c r="DK175" s="52"/>
      <c r="DL175" s="52"/>
      <c r="DM175" s="52"/>
      <c r="DN175" s="52"/>
      <c r="DO175" s="52"/>
      <c r="DP175" s="52"/>
      <c r="DQ175" s="52"/>
      <c r="DR175" s="43">
        <v>1</v>
      </c>
      <c r="DS175" s="43">
        <v>1</v>
      </c>
      <c r="DT175" s="43">
        <v>1</v>
      </c>
      <c r="DU175" s="43">
        <v>1</v>
      </c>
      <c r="DV175" s="43">
        <v>1</v>
      </c>
      <c r="DW175" s="43">
        <v>1</v>
      </c>
      <c r="DX175" s="43">
        <v>1</v>
      </c>
      <c r="DY175" s="43">
        <v>1</v>
      </c>
      <c r="DZ175" s="43">
        <v>1</v>
      </c>
      <c r="EA175" s="43">
        <v>1</v>
      </c>
      <c r="EB175" s="43">
        <v>1</v>
      </c>
      <c r="EC175" s="43">
        <v>1</v>
      </c>
      <c r="ED175" s="43">
        <v>1</v>
      </c>
      <c r="EE175" s="43">
        <v>1</v>
      </c>
      <c r="EF175" s="43">
        <v>1</v>
      </c>
      <c r="EG175" s="43">
        <v>1</v>
      </c>
      <c r="EH175" s="43">
        <v>1</v>
      </c>
      <c r="EI175" s="43">
        <v>1</v>
      </c>
      <c r="EJ175" s="43">
        <v>1</v>
      </c>
      <c r="EK175" s="43">
        <v>1</v>
      </c>
      <c r="EL175" s="50"/>
      <c r="EM175" s="50"/>
      <c r="EN175" s="50"/>
      <c r="EO175" s="50"/>
      <c r="EP175" s="50"/>
      <c r="EQ175" s="50"/>
      <c r="ER175" s="50"/>
      <c r="ES175" s="50"/>
      <c r="ET175" s="50"/>
      <c r="EU175" s="50"/>
      <c r="EV175" s="50"/>
      <c r="EW175" s="50"/>
      <c r="EX175" s="50"/>
      <c r="EY175" s="50"/>
      <c r="EZ175" s="50"/>
      <c r="FA175" s="50"/>
      <c r="FB175" s="50"/>
      <c r="FC175" s="50"/>
      <c r="FD175" s="50"/>
      <c r="FE175" s="50"/>
    </row>
    <row r="176" spans="1:161" x14ac:dyDescent="0.15">
      <c r="A176" s="46"/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52"/>
      <c r="W176" s="52"/>
      <c r="X176" s="52"/>
      <c r="Y176" s="52"/>
      <c r="Z176" s="52"/>
      <c r="AA176" s="52"/>
      <c r="AB176" s="52"/>
      <c r="AC176" s="52"/>
      <c r="AD176" s="52"/>
      <c r="AE176" s="52"/>
      <c r="AF176" s="52"/>
      <c r="AG176" s="52"/>
      <c r="AH176" s="52"/>
      <c r="AI176" s="52"/>
      <c r="AJ176" s="52"/>
      <c r="AK176" s="52"/>
      <c r="AL176" s="52"/>
      <c r="AM176" s="52"/>
      <c r="AN176" s="52"/>
      <c r="AO176" s="52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43"/>
      <c r="CE176" s="43"/>
      <c r="CF176" s="43"/>
      <c r="CG176" s="43"/>
      <c r="CH176" s="43"/>
      <c r="CI176" s="43"/>
      <c r="CJ176" s="43"/>
      <c r="CK176" s="43"/>
      <c r="CL176" s="43"/>
      <c r="CM176" s="43"/>
      <c r="CN176" s="43"/>
      <c r="CO176" s="43"/>
      <c r="CP176" s="43"/>
      <c r="CQ176" s="43"/>
      <c r="CR176" s="43"/>
      <c r="CS176" s="43"/>
      <c r="CT176" s="43"/>
      <c r="CU176" s="43"/>
      <c r="CV176" s="43"/>
      <c r="CW176" s="43"/>
      <c r="CX176" s="52"/>
      <c r="CY176" s="52"/>
      <c r="CZ176" s="52"/>
      <c r="DA176" s="52"/>
      <c r="DB176" s="52"/>
      <c r="DC176" s="52"/>
      <c r="DD176" s="52"/>
      <c r="DE176" s="52"/>
      <c r="DF176" s="52"/>
      <c r="DG176" s="52"/>
      <c r="DH176" s="52"/>
      <c r="DI176" s="52"/>
      <c r="DJ176" s="52"/>
      <c r="DK176" s="52"/>
      <c r="DL176" s="52"/>
      <c r="DM176" s="52"/>
      <c r="DN176" s="52"/>
      <c r="DO176" s="52"/>
      <c r="DP176" s="52"/>
      <c r="DQ176" s="52"/>
      <c r="DR176" s="43">
        <v>1</v>
      </c>
      <c r="DS176" s="43">
        <v>1</v>
      </c>
      <c r="DT176" s="43">
        <v>1</v>
      </c>
      <c r="DU176" s="43">
        <v>1</v>
      </c>
      <c r="DV176" s="43">
        <v>1</v>
      </c>
      <c r="DW176" s="43">
        <v>1</v>
      </c>
      <c r="DX176" s="43">
        <v>1</v>
      </c>
      <c r="DY176" s="43">
        <v>1</v>
      </c>
      <c r="DZ176" s="43">
        <v>1</v>
      </c>
      <c r="EA176" s="43">
        <v>1</v>
      </c>
      <c r="EB176" s="43">
        <v>1</v>
      </c>
      <c r="EC176" s="43">
        <v>1</v>
      </c>
      <c r="ED176" s="43">
        <v>1</v>
      </c>
      <c r="EE176" s="43">
        <v>1</v>
      </c>
      <c r="EF176" s="43">
        <v>1</v>
      </c>
      <c r="EG176" s="43">
        <v>1</v>
      </c>
      <c r="EH176" s="43">
        <v>1</v>
      </c>
      <c r="EI176" s="43">
        <v>1</v>
      </c>
      <c r="EJ176" s="43">
        <v>1</v>
      </c>
      <c r="EK176" s="43">
        <v>1</v>
      </c>
      <c r="EL176" s="50"/>
      <c r="EM176" s="50"/>
      <c r="EN176" s="50"/>
      <c r="EO176" s="50"/>
      <c r="EP176" s="50"/>
      <c r="EQ176" s="50"/>
      <c r="ER176" s="50"/>
      <c r="ES176" s="50"/>
      <c r="ET176" s="50"/>
      <c r="EU176" s="50"/>
      <c r="EV176" s="50"/>
      <c r="EW176" s="50"/>
      <c r="EX176" s="50"/>
      <c r="EY176" s="50"/>
      <c r="EZ176" s="50"/>
      <c r="FA176" s="50"/>
      <c r="FB176" s="50"/>
      <c r="FC176" s="50"/>
      <c r="FD176" s="50"/>
      <c r="FE176" s="50"/>
    </row>
    <row r="177" spans="1:161" x14ac:dyDescent="0.15">
      <c r="A177" s="46"/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52"/>
      <c r="W177" s="52"/>
      <c r="X177" s="52"/>
      <c r="Y177" s="52"/>
      <c r="Z177" s="52"/>
      <c r="AA177" s="52"/>
      <c r="AB177" s="52"/>
      <c r="AC177" s="52"/>
      <c r="AD177" s="52"/>
      <c r="AE177" s="52"/>
      <c r="AF177" s="52"/>
      <c r="AG177" s="52"/>
      <c r="AH177" s="52"/>
      <c r="AI177" s="52"/>
      <c r="AJ177" s="52"/>
      <c r="AK177" s="52"/>
      <c r="AL177" s="52"/>
      <c r="AM177" s="52"/>
      <c r="AN177" s="52"/>
      <c r="AO177" s="52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43"/>
      <c r="CE177" s="43"/>
      <c r="CF177" s="43"/>
      <c r="CG177" s="43"/>
      <c r="CH177" s="43"/>
      <c r="CI177" s="43"/>
      <c r="CJ177" s="43"/>
      <c r="CK177" s="43"/>
      <c r="CL177" s="43"/>
      <c r="CM177" s="43"/>
      <c r="CN177" s="43"/>
      <c r="CO177" s="43"/>
      <c r="CP177" s="43"/>
      <c r="CQ177" s="43"/>
      <c r="CR177" s="43"/>
      <c r="CS177" s="43"/>
      <c r="CT177" s="43"/>
      <c r="CU177" s="43"/>
      <c r="CV177" s="43"/>
      <c r="CW177" s="43"/>
      <c r="CX177" s="52"/>
      <c r="CY177" s="52"/>
      <c r="CZ177" s="52"/>
      <c r="DA177" s="52"/>
      <c r="DB177" s="52"/>
      <c r="DC177" s="52"/>
      <c r="DD177" s="52"/>
      <c r="DE177" s="52"/>
      <c r="DF177" s="52"/>
      <c r="DG177" s="52"/>
      <c r="DH177" s="52"/>
      <c r="DI177" s="52"/>
      <c r="DJ177" s="52"/>
      <c r="DK177" s="52"/>
      <c r="DL177" s="52"/>
      <c r="DM177" s="52"/>
      <c r="DN177" s="52"/>
      <c r="DO177" s="52"/>
      <c r="DP177" s="52"/>
      <c r="DQ177" s="52"/>
      <c r="DR177" s="43">
        <v>1</v>
      </c>
      <c r="DS177" s="43">
        <v>1</v>
      </c>
      <c r="DT177" s="43">
        <v>1</v>
      </c>
      <c r="DU177" s="43">
        <v>1</v>
      </c>
      <c r="DV177" s="43">
        <v>1</v>
      </c>
      <c r="DW177" s="43">
        <v>1</v>
      </c>
      <c r="DX177" s="43">
        <v>1</v>
      </c>
      <c r="DY177" s="43">
        <v>1</v>
      </c>
      <c r="DZ177" s="43">
        <v>1</v>
      </c>
      <c r="EA177" s="43">
        <v>1</v>
      </c>
      <c r="EB177" s="43">
        <v>1</v>
      </c>
      <c r="EC177" s="43">
        <v>1</v>
      </c>
      <c r="ED177" s="43">
        <v>1</v>
      </c>
      <c r="EE177" s="43">
        <v>1</v>
      </c>
      <c r="EF177" s="43">
        <v>1</v>
      </c>
      <c r="EG177" s="43">
        <v>1</v>
      </c>
      <c r="EH177" s="43">
        <v>1</v>
      </c>
      <c r="EI177" s="43">
        <v>1</v>
      </c>
      <c r="EJ177" s="43">
        <v>1</v>
      </c>
      <c r="EK177" s="43">
        <v>1</v>
      </c>
      <c r="EL177" s="50"/>
      <c r="EM177" s="50"/>
      <c r="EN177" s="50"/>
      <c r="EO177" s="50"/>
      <c r="EP177" s="50"/>
      <c r="EQ177" s="50"/>
      <c r="ER177" s="50"/>
      <c r="ES177" s="50"/>
      <c r="ET177" s="50"/>
      <c r="EU177" s="50"/>
      <c r="EV177" s="50"/>
      <c r="EW177" s="50"/>
      <c r="EX177" s="50"/>
      <c r="EY177" s="50"/>
      <c r="EZ177" s="50"/>
      <c r="FA177" s="50"/>
      <c r="FB177" s="50"/>
      <c r="FC177" s="50"/>
      <c r="FD177" s="50"/>
      <c r="FE177" s="50"/>
    </row>
    <row r="178" spans="1:161" x14ac:dyDescent="0.15">
      <c r="A178" s="46"/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52"/>
      <c r="W178" s="52"/>
      <c r="X178" s="52"/>
      <c r="Y178" s="52"/>
      <c r="Z178" s="52"/>
      <c r="AA178" s="52"/>
      <c r="AB178" s="52"/>
      <c r="AC178" s="52"/>
      <c r="AD178" s="52"/>
      <c r="AE178" s="52"/>
      <c r="AF178" s="52"/>
      <c r="AG178" s="52"/>
      <c r="AH178" s="52"/>
      <c r="AI178" s="52"/>
      <c r="AJ178" s="52"/>
      <c r="AK178" s="52"/>
      <c r="AL178" s="52"/>
      <c r="AM178" s="52"/>
      <c r="AN178" s="52"/>
      <c r="AO178" s="52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43"/>
      <c r="CE178" s="43"/>
      <c r="CF178" s="43"/>
      <c r="CG178" s="43"/>
      <c r="CH178" s="43"/>
      <c r="CI178" s="43"/>
      <c r="CJ178" s="43"/>
      <c r="CK178" s="43"/>
      <c r="CL178" s="43"/>
      <c r="CM178" s="43"/>
      <c r="CN178" s="43"/>
      <c r="CO178" s="43"/>
      <c r="CP178" s="43"/>
      <c r="CQ178" s="43"/>
      <c r="CR178" s="43"/>
      <c r="CS178" s="43"/>
      <c r="CT178" s="43"/>
      <c r="CU178" s="43"/>
      <c r="CV178" s="43"/>
      <c r="CW178" s="43"/>
      <c r="CX178" s="52"/>
      <c r="CY178" s="52"/>
      <c r="CZ178" s="52"/>
      <c r="DA178" s="52"/>
      <c r="DB178" s="52"/>
      <c r="DC178" s="52"/>
      <c r="DD178" s="52"/>
      <c r="DE178" s="52"/>
      <c r="DF178" s="52"/>
      <c r="DG178" s="52"/>
      <c r="DH178" s="52"/>
      <c r="DI178" s="52"/>
      <c r="DJ178" s="52"/>
      <c r="DK178" s="52"/>
      <c r="DL178" s="52"/>
      <c r="DM178" s="52"/>
      <c r="DN178" s="52"/>
      <c r="DO178" s="52"/>
      <c r="DP178" s="52"/>
      <c r="DQ178" s="52"/>
      <c r="DR178" s="43">
        <v>1</v>
      </c>
      <c r="DS178" s="43">
        <v>1</v>
      </c>
      <c r="DT178" s="43">
        <v>1</v>
      </c>
      <c r="DU178" s="43">
        <v>1</v>
      </c>
      <c r="DV178" s="43">
        <v>1</v>
      </c>
      <c r="DW178" s="43">
        <v>1</v>
      </c>
      <c r="DX178" s="43">
        <v>1</v>
      </c>
      <c r="DY178" s="43">
        <v>1</v>
      </c>
      <c r="DZ178" s="43">
        <v>1</v>
      </c>
      <c r="EA178" s="43">
        <v>1</v>
      </c>
      <c r="EB178" s="43">
        <v>1</v>
      </c>
      <c r="EC178" s="43">
        <v>1</v>
      </c>
      <c r="ED178" s="43">
        <v>1</v>
      </c>
      <c r="EE178" s="43">
        <v>1</v>
      </c>
      <c r="EF178" s="43">
        <v>1</v>
      </c>
      <c r="EG178" s="43">
        <v>1</v>
      </c>
      <c r="EH178" s="43">
        <v>1</v>
      </c>
      <c r="EI178" s="43">
        <v>1</v>
      </c>
      <c r="EJ178" s="43">
        <v>1</v>
      </c>
      <c r="EK178" s="43">
        <v>1</v>
      </c>
      <c r="EL178" s="50"/>
      <c r="EM178" s="50"/>
      <c r="EN178" s="50"/>
      <c r="EO178" s="50"/>
      <c r="EP178" s="50"/>
      <c r="EQ178" s="50"/>
      <c r="ER178" s="50"/>
      <c r="ES178" s="50"/>
      <c r="ET178" s="50"/>
      <c r="EU178" s="50"/>
      <c r="EV178" s="50"/>
      <c r="EW178" s="50"/>
      <c r="EX178" s="50"/>
      <c r="EY178" s="50"/>
      <c r="EZ178" s="50"/>
      <c r="FA178" s="50"/>
      <c r="FB178" s="50"/>
      <c r="FC178" s="50"/>
      <c r="FD178" s="50"/>
      <c r="FE178" s="50"/>
    </row>
    <row r="179" spans="1:161" x14ac:dyDescent="0.15">
      <c r="A179" s="46"/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52"/>
      <c r="W179" s="52"/>
      <c r="X179" s="52"/>
      <c r="Y179" s="52"/>
      <c r="Z179" s="52"/>
      <c r="AA179" s="52"/>
      <c r="AB179" s="52"/>
      <c r="AC179" s="52"/>
      <c r="AD179" s="52"/>
      <c r="AE179" s="52"/>
      <c r="AF179" s="52"/>
      <c r="AG179" s="52"/>
      <c r="AH179" s="52"/>
      <c r="AI179" s="52"/>
      <c r="AJ179" s="52"/>
      <c r="AK179" s="52"/>
      <c r="AL179" s="52"/>
      <c r="AM179" s="52"/>
      <c r="AN179" s="52"/>
      <c r="AO179" s="52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43"/>
      <c r="CE179" s="43"/>
      <c r="CF179" s="43"/>
      <c r="CG179" s="43"/>
      <c r="CH179" s="43"/>
      <c r="CI179" s="43"/>
      <c r="CJ179" s="43"/>
      <c r="CK179" s="43"/>
      <c r="CL179" s="43"/>
      <c r="CM179" s="43"/>
      <c r="CN179" s="43"/>
      <c r="CO179" s="43"/>
      <c r="CP179" s="43"/>
      <c r="CQ179" s="43"/>
      <c r="CR179" s="43"/>
      <c r="CS179" s="43"/>
      <c r="CT179" s="43"/>
      <c r="CU179" s="43"/>
      <c r="CV179" s="43"/>
      <c r="CW179" s="43"/>
      <c r="CX179" s="52"/>
      <c r="CY179" s="52"/>
      <c r="CZ179" s="52"/>
      <c r="DA179" s="52"/>
      <c r="DB179" s="52"/>
      <c r="DC179" s="52"/>
      <c r="DD179" s="52"/>
      <c r="DE179" s="52"/>
      <c r="DF179" s="52"/>
      <c r="DG179" s="52"/>
      <c r="DH179" s="52"/>
      <c r="DI179" s="52"/>
      <c r="DJ179" s="52"/>
      <c r="DK179" s="52"/>
      <c r="DL179" s="52"/>
      <c r="DM179" s="52"/>
      <c r="DN179" s="52"/>
      <c r="DO179" s="52"/>
      <c r="DP179" s="52"/>
      <c r="DQ179" s="52"/>
      <c r="DR179" s="43">
        <v>1</v>
      </c>
      <c r="DS179" s="43">
        <v>1</v>
      </c>
      <c r="DT179" s="43">
        <v>1</v>
      </c>
      <c r="DU179" s="43">
        <v>1</v>
      </c>
      <c r="DV179" s="43">
        <v>1</v>
      </c>
      <c r="DW179" s="43">
        <v>1</v>
      </c>
      <c r="DX179" s="43">
        <v>1</v>
      </c>
      <c r="DY179" s="43">
        <v>1</v>
      </c>
      <c r="DZ179" s="43">
        <v>1</v>
      </c>
      <c r="EA179" s="43">
        <v>1</v>
      </c>
      <c r="EB179" s="43">
        <v>1</v>
      </c>
      <c r="EC179" s="43">
        <v>1</v>
      </c>
      <c r="ED179" s="43">
        <v>1</v>
      </c>
      <c r="EE179" s="43">
        <v>1</v>
      </c>
      <c r="EF179" s="43">
        <v>1</v>
      </c>
      <c r="EG179" s="43">
        <v>1</v>
      </c>
      <c r="EH179" s="43">
        <v>1</v>
      </c>
      <c r="EI179" s="43">
        <v>1</v>
      </c>
      <c r="EJ179" s="43">
        <v>1</v>
      </c>
      <c r="EK179" s="43">
        <v>1</v>
      </c>
      <c r="EL179" s="50"/>
      <c r="EM179" s="50"/>
      <c r="EN179" s="50"/>
      <c r="EO179" s="50"/>
      <c r="EP179" s="50"/>
      <c r="EQ179" s="50"/>
      <c r="ER179" s="50"/>
      <c r="ES179" s="50"/>
      <c r="ET179" s="50"/>
      <c r="EU179" s="50"/>
      <c r="EV179" s="50"/>
      <c r="EW179" s="50"/>
      <c r="EX179" s="50"/>
      <c r="EY179" s="50"/>
      <c r="EZ179" s="50"/>
      <c r="FA179" s="50"/>
      <c r="FB179" s="50"/>
      <c r="FC179" s="50"/>
      <c r="FD179" s="50"/>
      <c r="FE179" s="50"/>
    </row>
    <row r="180" spans="1:161" x14ac:dyDescent="0.15">
      <c r="A180" s="46"/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52"/>
      <c r="W180" s="52"/>
      <c r="X180" s="52"/>
      <c r="Y180" s="52"/>
      <c r="Z180" s="52"/>
      <c r="AA180" s="52"/>
      <c r="AB180" s="52"/>
      <c r="AC180" s="52"/>
      <c r="AD180" s="52"/>
      <c r="AE180" s="52"/>
      <c r="AF180" s="52"/>
      <c r="AG180" s="52"/>
      <c r="AH180" s="52"/>
      <c r="AI180" s="52"/>
      <c r="AJ180" s="52"/>
      <c r="AK180" s="52"/>
      <c r="AL180" s="52"/>
      <c r="AM180" s="52"/>
      <c r="AN180" s="52"/>
      <c r="AO180" s="52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43"/>
      <c r="CE180" s="43"/>
      <c r="CF180" s="43"/>
      <c r="CG180" s="43"/>
      <c r="CH180" s="43"/>
      <c r="CI180" s="43"/>
      <c r="CJ180" s="43"/>
      <c r="CK180" s="43"/>
      <c r="CL180" s="43"/>
      <c r="CM180" s="43"/>
      <c r="CN180" s="43"/>
      <c r="CO180" s="43"/>
      <c r="CP180" s="43"/>
      <c r="CQ180" s="43"/>
      <c r="CR180" s="43"/>
      <c r="CS180" s="43"/>
      <c r="CT180" s="43"/>
      <c r="CU180" s="43"/>
      <c r="CV180" s="43"/>
      <c r="CW180" s="43"/>
      <c r="CX180" s="52"/>
      <c r="CY180" s="52"/>
      <c r="CZ180" s="52"/>
      <c r="DA180" s="52"/>
      <c r="DB180" s="52"/>
      <c r="DC180" s="52"/>
      <c r="DD180" s="52"/>
      <c r="DE180" s="52"/>
      <c r="DF180" s="52"/>
      <c r="DG180" s="52"/>
      <c r="DH180" s="52"/>
      <c r="DI180" s="52"/>
      <c r="DJ180" s="52"/>
      <c r="DK180" s="52"/>
      <c r="DL180" s="52"/>
      <c r="DM180" s="52"/>
      <c r="DN180" s="52"/>
      <c r="DO180" s="52"/>
      <c r="DP180" s="52"/>
      <c r="DQ180" s="52"/>
      <c r="DR180" s="43">
        <v>1</v>
      </c>
      <c r="DS180" s="43">
        <v>1</v>
      </c>
      <c r="DT180" s="43">
        <v>1</v>
      </c>
      <c r="DU180" s="43">
        <v>1</v>
      </c>
      <c r="DV180" s="43">
        <v>1</v>
      </c>
      <c r="DW180" s="43">
        <v>1</v>
      </c>
      <c r="DX180" s="43">
        <v>1</v>
      </c>
      <c r="DY180" s="43">
        <v>1</v>
      </c>
      <c r="DZ180" s="43">
        <v>1</v>
      </c>
      <c r="EA180" s="43">
        <v>1</v>
      </c>
      <c r="EB180" s="43">
        <v>1</v>
      </c>
      <c r="EC180" s="43">
        <v>1</v>
      </c>
      <c r="ED180" s="43">
        <v>1</v>
      </c>
      <c r="EE180" s="43">
        <v>1</v>
      </c>
      <c r="EF180" s="43">
        <v>1</v>
      </c>
      <c r="EG180" s="43">
        <v>1</v>
      </c>
      <c r="EH180" s="43">
        <v>1</v>
      </c>
      <c r="EI180" s="43">
        <v>1</v>
      </c>
      <c r="EJ180" s="43">
        <v>1</v>
      </c>
      <c r="EK180" s="43">
        <v>1</v>
      </c>
      <c r="EL180" s="50"/>
      <c r="EM180" s="50"/>
      <c r="EN180" s="50"/>
      <c r="EO180" s="50"/>
      <c r="EP180" s="50"/>
      <c r="EQ180" s="50"/>
      <c r="ER180" s="50"/>
      <c r="ES180" s="50"/>
      <c r="ET180" s="50"/>
      <c r="EU180" s="50"/>
      <c r="EV180" s="50"/>
      <c r="EW180" s="50"/>
      <c r="EX180" s="50"/>
      <c r="EY180" s="50"/>
      <c r="EZ180" s="50"/>
      <c r="FA180" s="50"/>
      <c r="FB180" s="50"/>
      <c r="FC180" s="50"/>
      <c r="FD180" s="50"/>
      <c r="FE180" s="50"/>
    </row>
    <row r="181" spans="1:161" x14ac:dyDescent="0.15">
      <c r="A181" s="46"/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52"/>
      <c r="W181" s="52"/>
      <c r="X181" s="52"/>
      <c r="Y181" s="52"/>
      <c r="Z181" s="52"/>
      <c r="AA181" s="52"/>
      <c r="AB181" s="52"/>
      <c r="AC181" s="52"/>
      <c r="AD181" s="52"/>
      <c r="AE181" s="52"/>
      <c r="AF181" s="52"/>
      <c r="AG181" s="52"/>
      <c r="AH181" s="52"/>
      <c r="AI181" s="52"/>
      <c r="AJ181" s="52"/>
      <c r="AK181" s="52"/>
      <c r="AL181" s="52"/>
      <c r="AM181" s="52"/>
      <c r="AN181" s="52"/>
      <c r="AO181" s="52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43"/>
      <c r="CE181" s="43"/>
      <c r="CF181" s="43"/>
      <c r="CG181" s="43"/>
      <c r="CH181" s="43"/>
      <c r="CI181" s="43"/>
      <c r="CJ181" s="43"/>
      <c r="CK181" s="43"/>
      <c r="CL181" s="43"/>
      <c r="CM181" s="43"/>
      <c r="CN181" s="43"/>
      <c r="CO181" s="43"/>
      <c r="CP181" s="43"/>
      <c r="CQ181" s="43"/>
      <c r="CR181" s="43"/>
      <c r="CS181" s="43"/>
      <c r="CT181" s="43"/>
      <c r="CU181" s="43"/>
      <c r="CV181" s="43"/>
      <c r="CW181" s="43"/>
      <c r="CX181" s="52"/>
      <c r="CY181" s="52"/>
      <c r="CZ181" s="52"/>
      <c r="DA181" s="52"/>
      <c r="DB181" s="52"/>
      <c r="DC181" s="52"/>
      <c r="DD181" s="52"/>
      <c r="DE181" s="52"/>
      <c r="DF181" s="52"/>
      <c r="DG181" s="52"/>
      <c r="DH181" s="52"/>
      <c r="DI181" s="52"/>
      <c r="DJ181" s="52"/>
      <c r="DK181" s="52"/>
      <c r="DL181" s="52"/>
      <c r="DM181" s="52"/>
      <c r="DN181" s="52"/>
      <c r="DO181" s="52"/>
      <c r="DP181" s="52"/>
      <c r="DQ181" s="52"/>
      <c r="DR181" s="43">
        <v>1</v>
      </c>
      <c r="DS181" s="43">
        <v>1</v>
      </c>
      <c r="DT181" s="43">
        <v>1</v>
      </c>
      <c r="DU181" s="43">
        <v>1</v>
      </c>
      <c r="DV181" s="43">
        <v>1</v>
      </c>
      <c r="DW181" s="43">
        <v>1</v>
      </c>
      <c r="DX181" s="43">
        <v>1</v>
      </c>
      <c r="DY181" s="43">
        <v>1</v>
      </c>
      <c r="DZ181" s="43">
        <v>1</v>
      </c>
      <c r="EA181" s="43">
        <v>1</v>
      </c>
      <c r="EB181" s="43">
        <v>1</v>
      </c>
      <c r="EC181" s="43">
        <v>1</v>
      </c>
      <c r="ED181" s="43">
        <v>1</v>
      </c>
      <c r="EE181" s="43">
        <v>1</v>
      </c>
      <c r="EF181" s="43">
        <v>1</v>
      </c>
      <c r="EG181" s="43">
        <v>1</v>
      </c>
      <c r="EH181" s="43">
        <v>1</v>
      </c>
      <c r="EI181" s="43">
        <v>1</v>
      </c>
      <c r="EJ181" s="43">
        <v>1</v>
      </c>
      <c r="EK181" s="43">
        <v>1</v>
      </c>
      <c r="EL181" s="50"/>
      <c r="EM181" s="50"/>
      <c r="EN181" s="50"/>
      <c r="EO181" s="50"/>
      <c r="EP181" s="50"/>
      <c r="EQ181" s="50"/>
      <c r="ER181" s="50"/>
      <c r="ES181" s="50"/>
      <c r="ET181" s="50"/>
      <c r="EU181" s="50"/>
      <c r="EV181" s="50"/>
      <c r="EW181" s="50"/>
      <c r="EX181" s="50"/>
      <c r="EY181" s="50"/>
      <c r="EZ181" s="50"/>
      <c r="FA181" s="50"/>
      <c r="FB181" s="50"/>
      <c r="FC181" s="50"/>
      <c r="FD181" s="50"/>
      <c r="FE181" s="50"/>
    </row>
    <row r="182" spans="1:161" x14ac:dyDescent="0.15">
      <c r="A182" s="46"/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52"/>
      <c r="W182" s="52"/>
      <c r="X182" s="52"/>
      <c r="Y182" s="52"/>
      <c r="Z182" s="52"/>
      <c r="AA182" s="52"/>
      <c r="AB182" s="52"/>
      <c r="AC182" s="52"/>
      <c r="AD182" s="52"/>
      <c r="AE182" s="52"/>
      <c r="AF182" s="52"/>
      <c r="AG182" s="52"/>
      <c r="AH182" s="52"/>
      <c r="AI182" s="52"/>
      <c r="AJ182" s="52"/>
      <c r="AK182" s="52"/>
      <c r="AL182" s="52"/>
      <c r="AM182" s="52"/>
      <c r="AN182" s="52"/>
      <c r="AO182" s="52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43"/>
      <c r="CE182" s="43"/>
      <c r="CF182" s="43"/>
      <c r="CG182" s="43"/>
      <c r="CH182" s="43"/>
      <c r="CI182" s="43"/>
      <c r="CJ182" s="43"/>
      <c r="CK182" s="43"/>
      <c r="CL182" s="43"/>
      <c r="CM182" s="43"/>
      <c r="CN182" s="43"/>
      <c r="CO182" s="43"/>
      <c r="CP182" s="43"/>
      <c r="CQ182" s="43"/>
      <c r="CR182" s="43"/>
      <c r="CS182" s="43"/>
      <c r="CT182" s="43"/>
      <c r="CU182" s="43"/>
      <c r="CV182" s="43"/>
      <c r="CW182" s="43"/>
      <c r="CX182" s="52"/>
      <c r="CY182" s="52"/>
      <c r="CZ182" s="52"/>
      <c r="DA182" s="52"/>
      <c r="DB182" s="52"/>
      <c r="DC182" s="52"/>
      <c r="DD182" s="52"/>
      <c r="DE182" s="52"/>
      <c r="DF182" s="52"/>
      <c r="DG182" s="52"/>
      <c r="DH182" s="52"/>
      <c r="DI182" s="52"/>
      <c r="DJ182" s="52"/>
      <c r="DK182" s="52"/>
      <c r="DL182" s="52"/>
      <c r="DM182" s="52"/>
      <c r="DN182" s="52"/>
      <c r="DO182" s="52"/>
      <c r="DP182" s="52"/>
      <c r="DQ182" s="52"/>
      <c r="DR182" s="43">
        <v>1</v>
      </c>
      <c r="DS182" s="43">
        <v>1</v>
      </c>
      <c r="DT182" s="43">
        <v>1</v>
      </c>
      <c r="DU182" s="43">
        <v>1</v>
      </c>
      <c r="DV182" s="43">
        <v>1</v>
      </c>
      <c r="DW182" s="43">
        <v>1</v>
      </c>
      <c r="DX182" s="43">
        <v>1</v>
      </c>
      <c r="DY182" s="43">
        <v>1</v>
      </c>
      <c r="DZ182" s="43">
        <v>1</v>
      </c>
      <c r="EA182" s="43">
        <v>1</v>
      </c>
      <c r="EB182" s="43">
        <v>1</v>
      </c>
      <c r="EC182" s="43">
        <v>1</v>
      </c>
      <c r="ED182" s="43">
        <v>1</v>
      </c>
      <c r="EE182" s="43">
        <v>1</v>
      </c>
      <c r="EF182" s="43">
        <v>1</v>
      </c>
      <c r="EG182" s="43">
        <v>1</v>
      </c>
      <c r="EH182" s="43">
        <v>1</v>
      </c>
      <c r="EI182" s="43">
        <v>1</v>
      </c>
      <c r="EJ182" s="43">
        <v>1</v>
      </c>
      <c r="EK182" s="43">
        <v>1</v>
      </c>
      <c r="EL182" s="50"/>
      <c r="EM182" s="50"/>
      <c r="EN182" s="50"/>
      <c r="EO182" s="50"/>
      <c r="EP182" s="50"/>
      <c r="EQ182" s="50"/>
      <c r="ER182" s="50"/>
      <c r="ES182" s="50"/>
      <c r="ET182" s="50"/>
      <c r="EU182" s="50"/>
      <c r="EV182" s="50"/>
      <c r="EW182" s="50"/>
      <c r="EX182" s="50"/>
      <c r="EY182" s="50"/>
      <c r="EZ182" s="50"/>
      <c r="FA182" s="50"/>
      <c r="FB182" s="50"/>
      <c r="FC182" s="50"/>
      <c r="FD182" s="50"/>
      <c r="FE182" s="50"/>
    </row>
    <row r="183" spans="1:161" x14ac:dyDescent="0.15">
      <c r="EL183" s="61">
        <f>12*SUM(EL3:FE182)</f>
        <v>0</v>
      </c>
    </row>
    <row r="184" spans="1:161" x14ac:dyDescent="0.15">
      <c r="A184" s="47" t="s">
        <v>455</v>
      </c>
      <c r="B184" s="47">
        <v>3</v>
      </c>
      <c r="C184" s="47">
        <v>3</v>
      </c>
      <c r="D184" s="47">
        <v>3</v>
      </c>
      <c r="E184" s="47">
        <v>3</v>
      </c>
      <c r="F184" s="47">
        <v>3</v>
      </c>
      <c r="G184" s="47">
        <v>4</v>
      </c>
      <c r="H184" s="47">
        <v>4</v>
      </c>
      <c r="I184" s="47">
        <v>4</v>
      </c>
      <c r="J184" s="47">
        <v>4</v>
      </c>
      <c r="K184" s="47">
        <v>4</v>
      </c>
      <c r="L184" s="47">
        <v>4</v>
      </c>
      <c r="M184" s="47">
        <v>4</v>
      </c>
      <c r="N184" s="47">
        <v>4</v>
      </c>
      <c r="O184" s="47">
        <v>4</v>
      </c>
      <c r="P184" s="47">
        <v>4</v>
      </c>
      <c r="Q184" s="47">
        <v>3</v>
      </c>
      <c r="R184" s="47">
        <v>3</v>
      </c>
      <c r="S184" s="47">
        <v>3</v>
      </c>
      <c r="T184" s="47">
        <v>3</v>
      </c>
      <c r="U184" s="47">
        <v>3</v>
      </c>
      <c r="V184" s="47"/>
    </row>
    <row r="185" spans="1:161" x14ac:dyDescent="0.15">
      <c r="A185" s="47" t="s">
        <v>454</v>
      </c>
      <c r="B185" s="47">
        <f>1</f>
        <v>1</v>
      </c>
      <c r="C185" s="47">
        <v>1</v>
      </c>
      <c r="D185" s="47">
        <f>rmin</f>
        <v>0.3</v>
      </c>
      <c r="E185" s="47">
        <f>rmin</f>
        <v>0.3</v>
      </c>
      <c r="F185" s="47">
        <v>1</v>
      </c>
      <c r="G185" s="47">
        <v>1</v>
      </c>
      <c r="H185" s="47">
        <v>1</v>
      </c>
      <c r="I185" s="47">
        <v>1</v>
      </c>
      <c r="J185" s="47">
        <v>1</v>
      </c>
    </row>
    <row r="187" spans="1:161" x14ac:dyDescent="0.15">
      <c r="A187" s="47" t="s">
        <v>453</v>
      </c>
      <c r="B187" s="47">
        <f>1</f>
        <v>1</v>
      </c>
      <c r="C187" s="47">
        <f>1</f>
        <v>1</v>
      </c>
      <c r="D187" s="47">
        <v>1</v>
      </c>
      <c r="E187" s="47">
        <v>1</v>
      </c>
      <c r="F187" s="47">
        <v>1</v>
      </c>
      <c r="G187" s="47">
        <f t="shared" ref="G187:J187" si="2">bmin</f>
        <v>0.5</v>
      </c>
      <c r="H187" s="47">
        <f t="shared" si="2"/>
        <v>0.5</v>
      </c>
      <c r="I187" s="47">
        <f t="shared" si="2"/>
        <v>0.5</v>
      </c>
      <c r="J187" s="47">
        <f t="shared" si="2"/>
        <v>0.5</v>
      </c>
      <c r="K187" s="47">
        <v>1</v>
      </c>
      <c r="L187" s="47">
        <v>1</v>
      </c>
      <c r="M187" s="47">
        <v>1</v>
      </c>
      <c r="N187" s="47">
        <v>1</v>
      </c>
      <c r="O187" s="47">
        <v>1</v>
      </c>
      <c r="P187" s="47">
        <v>1</v>
      </c>
      <c r="Q187" s="47">
        <v>1</v>
      </c>
      <c r="R187" s="47">
        <v>1</v>
      </c>
      <c r="S187" s="47">
        <v>1</v>
      </c>
      <c r="T187" s="47">
        <v>1</v>
      </c>
      <c r="U187" s="47">
        <v>1</v>
      </c>
      <c r="V187" s="115">
        <v>0</v>
      </c>
    </row>
    <row r="188" spans="1:161" x14ac:dyDescent="0.15">
      <c r="B188" s="47">
        <f>B192-B184</f>
        <v>0</v>
      </c>
      <c r="C188" s="47">
        <f t="shared" ref="C188:U188" si="3">C192-C184</f>
        <v>0</v>
      </c>
      <c r="D188" s="47">
        <f t="shared" si="3"/>
        <v>0</v>
      </c>
      <c r="E188" s="47">
        <f t="shared" si="3"/>
        <v>0</v>
      </c>
      <c r="F188" s="47">
        <f t="shared" si="3"/>
        <v>0</v>
      </c>
      <c r="G188" s="47">
        <f t="shared" si="3"/>
        <v>0</v>
      </c>
      <c r="H188" s="47">
        <f t="shared" si="3"/>
        <v>0</v>
      </c>
      <c r="I188" s="47">
        <f t="shared" si="3"/>
        <v>0</v>
      </c>
      <c r="J188" s="47">
        <f t="shared" si="3"/>
        <v>0</v>
      </c>
      <c r="K188" s="47">
        <f t="shared" si="3"/>
        <v>0</v>
      </c>
      <c r="L188" s="47">
        <f t="shared" si="3"/>
        <v>0</v>
      </c>
      <c r="M188" s="47">
        <f t="shared" si="3"/>
        <v>0</v>
      </c>
      <c r="N188" s="47">
        <f t="shared" si="3"/>
        <v>0</v>
      </c>
      <c r="O188" s="47">
        <f t="shared" si="3"/>
        <v>0</v>
      </c>
      <c r="P188" s="47">
        <f t="shared" si="3"/>
        <v>0</v>
      </c>
      <c r="Q188" s="47">
        <f t="shared" si="3"/>
        <v>0</v>
      </c>
      <c r="R188" s="47">
        <f t="shared" si="3"/>
        <v>0</v>
      </c>
      <c r="S188" s="47">
        <f t="shared" si="3"/>
        <v>0</v>
      </c>
      <c r="T188" s="47">
        <f t="shared" si="3"/>
        <v>0</v>
      </c>
      <c r="U188" s="47">
        <f t="shared" si="3"/>
        <v>0</v>
      </c>
      <c r="V188" s="114">
        <f>SUM(B188:U188)</f>
        <v>0</v>
      </c>
    </row>
    <row r="189" spans="1:161" x14ac:dyDescent="0.15">
      <c r="A189" s="139" t="s">
        <v>164</v>
      </c>
      <c r="B189" s="133" t="s">
        <v>239</v>
      </c>
      <c r="C189" s="134"/>
      <c r="D189" s="134"/>
      <c r="E189" s="134"/>
      <c r="F189" s="134"/>
      <c r="G189" s="134"/>
      <c r="H189" s="134"/>
      <c r="I189" s="134"/>
      <c r="J189" s="134"/>
      <c r="K189" s="134"/>
      <c r="L189" s="134"/>
      <c r="M189" s="134"/>
      <c r="N189" s="134"/>
      <c r="O189" s="134"/>
      <c r="P189" s="134"/>
      <c r="Q189" s="134"/>
      <c r="R189" s="134"/>
      <c r="S189" s="134"/>
      <c r="T189" s="134"/>
      <c r="U189" s="135"/>
      <c r="V189" s="133" t="s">
        <v>240</v>
      </c>
      <c r="W189" s="134"/>
      <c r="X189" s="134"/>
      <c r="Y189" s="134"/>
      <c r="Z189" s="134"/>
      <c r="AA189" s="134"/>
      <c r="AB189" s="134"/>
      <c r="AC189" s="134"/>
      <c r="AD189" s="134"/>
      <c r="AE189" s="134"/>
      <c r="AF189" s="134"/>
      <c r="AG189" s="134"/>
      <c r="AH189" s="134"/>
      <c r="AI189" s="134"/>
      <c r="AJ189" s="134"/>
      <c r="AK189" s="134"/>
      <c r="AL189" s="134"/>
      <c r="AM189" s="134"/>
      <c r="AN189" s="134"/>
      <c r="AO189" s="135"/>
    </row>
    <row r="190" spans="1:161" x14ac:dyDescent="0.15">
      <c r="A190" s="140"/>
      <c r="B190" s="40">
        <v>1</v>
      </c>
      <c r="C190" s="40">
        <v>2</v>
      </c>
      <c r="D190" s="40">
        <v>3</v>
      </c>
      <c r="E190" s="40">
        <v>4</v>
      </c>
      <c r="F190" s="40">
        <v>5</v>
      </c>
      <c r="G190" s="40">
        <v>6</v>
      </c>
      <c r="H190" s="40">
        <v>7</v>
      </c>
      <c r="I190" s="40">
        <v>8</v>
      </c>
      <c r="J190" s="40">
        <v>9</v>
      </c>
      <c r="K190" s="40">
        <v>10</v>
      </c>
      <c r="L190" s="40">
        <v>11</v>
      </c>
      <c r="M190" s="40">
        <v>12</v>
      </c>
      <c r="N190" s="40">
        <v>13</v>
      </c>
      <c r="O190" s="40">
        <v>14</v>
      </c>
      <c r="P190" s="40">
        <v>15</v>
      </c>
      <c r="Q190" s="40">
        <v>16</v>
      </c>
      <c r="R190" s="40">
        <v>17</v>
      </c>
      <c r="S190" s="40">
        <v>18</v>
      </c>
      <c r="T190" s="40">
        <v>19</v>
      </c>
      <c r="U190" s="40">
        <v>20</v>
      </c>
      <c r="V190" s="40">
        <v>1</v>
      </c>
      <c r="W190" s="40">
        <v>2</v>
      </c>
      <c r="X190" s="40">
        <v>3</v>
      </c>
      <c r="Y190" s="40">
        <v>4</v>
      </c>
      <c r="Z190" s="40">
        <v>5</v>
      </c>
      <c r="AA190" s="40">
        <v>6</v>
      </c>
      <c r="AB190" s="40">
        <v>7</v>
      </c>
      <c r="AC190" s="40">
        <v>8</v>
      </c>
      <c r="AD190" s="40">
        <v>9</v>
      </c>
      <c r="AE190" s="40">
        <v>10</v>
      </c>
      <c r="AF190" s="40">
        <v>11</v>
      </c>
      <c r="AG190" s="40">
        <v>12</v>
      </c>
      <c r="AH190" s="40">
        <v>13</v>
      </c>
      <c r="AI190" s="40">
        <v>14</v>
      </c>
      <c r="AJ190" s="40">
        <v>15</v>
      </c>
      <c r="AK190" s="40">
        <v>16</v>
      </c>
      <c r="AL190" s="40">
        <v>17</v>
      </c>
      <c r="AM190" s="40">
        <v>18</v>
      </c>
      <c r="AN190" s="40">
        <v>19</v>
      </c>
      <c r="AO190" s="40">
        <v>20</v>
      </c>
    </row>
    <row r="191" spans="1:161" x14ac:dyDescent="0.15">
      <c r="A191" s="46" t="s">
        <v>456</v>
      </c>
      <c r="B191" s="52">
        <v>3</v>
      </c>
      <c r="C191" s="52">
        <v>3</v>
      </c>
      <c r="D191" s="52">
        <v>3</v>
      </c>
      <c r="E191" s="52">
        <v>3</v>
      </c>
      <c r="F191" s="52">
        <v>3</v>
      </c>
      <c r="G191" s="52">
        <v>4</v>
      </c>
      <c r="H191" s="52">
        <v>4</v>
      </c>
      <c r="I191" s="52">
        <v>4</v>
      </c>
      <c r="J191" s="52">
        <v>4</v>
      </c>
      <c r="K191" s="52">
        <v>4</v>
      </c>
      <c r="L191" s="52">
        <v>4</v>
      </c>
      <c r="M191" s="52">
        <v>4</v>
      </c>
      <c r="N191" s="52">
        <v>4</v>
      </c>
      <c r="O191" s="52">
        <v>4</v>
      </c>
      <c r="P191" s="52">
        <v>4</v>
      </c>
      <c r="Q191" s="52">
        <v>3</v>
      </c>
      <c r="R191" s="52">
        <v>3</v>
      </c>
      <c r="S191" s="52">
        <v>3</v>
      </c>
      <c r="T191" s="52">
        <v>3</v>
      </c>
      <c r="U191" s="52">
        <v>3</v>
      </c>
      <c r="V191" s="43">
        <v>2216.2449999999999</v>
      </c>
      <c r="W191" s="43">
        <v>769.274</v>
      </c>
      <c r="X191" s="43">
        <v>628.76099999999997</v>
      </c>
      <c r="Y191" s="43">
        <v>2205.0549999999998</v>
      </c>
      <c r="Z191" s="43">
        <v>2577.5369999999998</v>
      </c>
      <c r="AA191" s="43">
        <v>2419.5569999999998</v>
      </c>
      <c r="AB191" s="43">
        <v>2780.7539999999999</v>
      </c>
      <c r="AC191" s="43">
        <v>1756.3409999999999</v>
      </c>
      <c r="AD191" s="43">
        <v>1487.9259999999999</v>
      </c>
      <c r="AE191" s="43">
        <v>2137.2559999999999</v>
      </c>
      <c r="AF191" s="43">
        <v>2042.0719999999999</v>
      </c>
      <c r="AG191" s="43">
        <v>2632.5889999999999</v>
      </c>
      <c r="AH191" s="43">
        <v>1816.2919999999999</v>
      </c>
      <c r="AI191" s="43">
        <v>2774</v>
      </c>
      <c r="AJ191" s="43">
        <v>2426.701</v>
      </c>
      <c r="AK191" s="43">
        <v>2521.4549999999999</v>
      </c>
      <c r="AL191" s="43">
        <v>2115.5680000000002</v>
      </c>
      <c r="AM191" s="43">
        <v>188.268</v>
      </c>
      <c r="AN191" s="43">
        <v>2287.3389999999999</v>
      </c>
      <c r="AO191" s="43">
        <v>1920.2660000000001</v>
      </c>
    </row>
    <row r="192" spans="1:161" x14ac:dyDescent="0.15">
      <c r="A192" s="47" t="s">
        <v>291</v>
      </c>
      <c r="B192" s="52">
        <v>3</v>
      </c>
      <c r="C192" s="52">
        <v>3</v>
      </c>
      <c r="D192" s="52">
        <v>3</v>
      </c>
      <c r="E192" s="52">
        <v>3</v>
      </c>
      <c r="F192" s="52">
        <v>3</v>
      </c>
      <c r="G192" s="52">
        <v>4</v>
      </c>
      <c r="H192" s="52">
        <v>4</v>
      </c>
      <c r="I192" s="52">
        <v>4</v>
      </c>
      <c r="J192" s="52">
        <v>4</v>
      </c>
      <c r="K192" s="52">
        <v>4</v>
      </c>
      <c r="L192" s="52">
        <v>4</v>
      </c>
      <c r="M192" s="52">
        <v>4</v>
      </c>
      <c r="N192" s="52">
        <v>4</v>
      </c>
      <c r="O192" s="52">
        <v>4</v>
      </c>
      <c r="P192" s="52">
        <v>4</v>
      </c>
      <c r="Q192" s="52">
        <v>3</v>
      </c>
      <c r="R192" s="52">
        <v>3</v>
      </c>
      <c r="S192" s="52">
        <v>3</v>
      </c>
      <c r="T192" s="52">
        <v>3</v>
      </c>
      <c r="U192" s="52">
        <v>3</v>
      </c>
      <c r="V192" s="65">
        <v>0</v>
      </c>
      <c r="W192" s="65">
        <v>2222.65</v>
      </c>
      <c r="X192" s="65">
        <v>3104.5740000000001</v>
      </c>
      <c r="Y192" s="65">
        <v>3942.473</v>
      </c>
      <c r="Z192" s="65">
        <v>6209.6689999999999</v>
      </c>
      <c r="AA192" s="65">
        <v>0</v>
      </c>
      <c r="AB192" s="65">
        <v>2451.5630000000001</v>
      </c>
      <c r="AC192" s="65">
        <v>5232.317</v>
      </c>
      <c r="AD192" s="65">
        <v>6988.6580000000004</v>
      </c>
      <c r="AE192" s="65">
        <v>11451.165999999999</v>
      </c>
      <c r="AF192" s="65">
        <v>0</v>
      </c>
      <c r="AG192" s="65">
        <v>2141.1089999999999</v>
      </c>
      <c r="AH192" s="65">
        <v>6523.5309999999999</v>
      </c>
      <c r="AI192" s="65">
        <v>9073.2980000000007</v>
      </c>
      <c r="AJ192" s="65">
        <v>11847.298000000001</v>
      </c>
      <c r="AK192" s="65">
        <v>0</v>
      </c>
      <c r="AL192" s="65">
        <v>2930.1089999999999</v>
      </c>
      <c r="AM192" s="65">
        <v>5196.0460000000003</v>
      </c>
      <c r="AN192" s="65">
        <v>5466.5439999999999</v>
      </c>
      <c r="AO192" s="65">
        <v>7824.0479999999998</v>
      </c>
      <c r="AP192" s="65" t="s">
        <v>290</v>
      </c>
      <c r="AQ192" s="65" t="s">
        <v>289</v>
      </c>
    </row>
    <row r="193" spans="1:42" x14ac:dyDescent="0.15">
      <c r="V193" s="65">
        <v>2222.645</v>
      </c>
      <c r="W193" s="65">
        <v>3104.5740000000001</v>
      </c>
      <c r="X193" s="65">
        <v>3942.473</v>
      </c>
      <c r="Y193" s="65">
        <v>6209.6689999999999</v>
      </c>
      <c r="Z193" s="65">
        <v>9304.5210000000006</v>
      </c>
      <c r="AA193" s="65">
        <v>2451.5630000000001</v>
      </c>
      <c r="AB193" s="65">
        <v>5232.317</v>
      </c>
      <c r="AC193" s="65">
        <v>6989.6580000000004</v>
      </c>
      <c r="AD193" s="65">
        <v>11451.165999999999</v>
      </c>
      <c r="AE193" s="65">
        <v>17769.308000000001</v>
      </c>
      <c r="AF193" s="65">
        <v>2141.1089999999999</v>
      </c>
      <c r="AG193" s="65">
        <v>6523.5309999999999</v>
      </c>
      <c r="AH193" s="65">
        <v>9073.2980000000007</v>
      </c>
      <c r="AI193" s="65">
        <v>11847.298000000001</v>
      </c>
      <c r="AJ193" s="65">
        <v>14306.849</v>
      </c>
      <c r="AK193" s="65">
        <v>2930.1089999999999</v>
      </c>
      <c r="AL193" s="65">
        <v>5196.0460000000003</v>
      </c>
      <c r="AM193" s="65">
        <v>5466.5439999999999</v>
      </c>
      <c r="AN193" s="99">
        <v>7824.0479999999998</v>
      </c>
      <c r="AO193" s="65">
        <v>9872.3639999999996</v>
      </c>
      <c r="AP193" s="65" t="s">
        <v>205</v>
      </c>
    </row>
    <row r="194" spans="1:42" x14ac:dyDescent="0.15">
      <c r="U194" s="65" t="s">
        <v>423</v>
      </c>
      <c r="V194" s="100">
        <f>(V193-V192)/1000</f>
        <v>2.222645</v>
      </c>
      <c r="W194" s="100">
        <f t="shared" ref="W194:AM194" si="4">(W193-W192)/1000</f>
        <v>0.88192399999999993</v>
      </c>
      <c r="X194" s="100">
        <f t="shared" si="4"/>
        <v>0.83789899999999984</v>
      </c>
      <c r="Y194" s="100">
        <f t="shared" si="4"/>
        <v>2.2671959999999998</v>
      </c>
      <c r="Z194" s="100">
        <f t="shared" si="4"/>
        <v>3.0948520000000008</v>
      </c>
      <c r="AA194" s="113">
        <f>SUM($AA195:$AC195)</f>
        <v>6.9896580000000004</v>
      </c>
      <c r="AB194" s="113">
        <f t="shared" ref="AB194:AC194" si="5">SUM($AA195:$AC195)</f>
        <v>6.9896580000000004</v>
      </c>
      <c r="AC194" s="113">
        <f t="shared" si="5"/>
        <v>6.9896580000000004</v>
      </c>
      <c r="AD194" s="100">
        <f t="shared" si="4"/>
        <v>4.4625079999999988</v>
      </c>
      <c r="AE194" s="100">
        <f t="shared" si="4"/>
        <v>6.3181420000000017</v>
      </c>
      <c r="AF194" s="100">
        <f t="shared" si="4"/>
        <v>2.1411089999999997</v>
      </c>
      <c r="AG194" s="100">
        <f t="shared" si="4"/>
        <v>4.382422</v>
      </c>
      <c r="AH194" s="113">
        <f>SUM($AH195:$AJ195)</f>
        <v>7.7833179999999995</v>
      </c>
      <c r="AI194" s="113">
        <f t="shared" ref="AI194:AJ194" si="6">SUM($AH195:$AJ195)</f>
        <v>7.7833179999999995</v>
      </c>
      <c r="AJ194" s="113">
        <f t="shared" si="6"/>
        <v>7.7833179999999995</v>
      </c>
      <c r="AK194" s="100">
        <f t="shared" si="4"/>
        <v>2.9301089999999999</v>
      </c>
      <c r="AL194" s="100">
        <f t="shared" si="4"/>
        <v>2.2659370000000005</v>
      </c>
      <c r="AM194" s="100">
        <f t="shared" si="4"/>
        <v>0.27049799999999957</v>
      </c>
      <c r="AN194" s="113">
        <f>SUM($AN195:$AO195)</f>
        <v>4.4058200000000003</v>
      </c>
      <c r="AO194" s="113">
        <f>SUM($AN195:$AO195)</f>
        <v>4.4058200000000003</v>
      </c>
    </row>
    <row r="195" spans="1:42" x14ac:dyDescent="0.15">
      <c r="U195" s="65" t="s">
        <v>424</v>
      </c>
      <c r="V195" s="34">
        <f>(V193-V192)/1000</f>
        <v>2.222645</v>
      </c>
      <c r="W195" s="34">
        <f t="shared" ref="W195:AO195" si="7">(W193-W192)/1000</f>
        <v>0.88192399999999993</v>
      </c>
      <c r="X195" s="34">
        <f t="shared" si="7"/>
        <v>0.83789899999999984</v>
      </c>
      <c r="Y195" s="34">
        <f t="shared" si="7"/>
        <v>2.2671959999999998</v>
      </c>
      <c r="Z195" s="34">
        <f t="shared" si="7"/>
        <v>3.0948520000000008</v>
      </c>
      <c r="AA195" s="34">
        <f t="shared" si="7"/>
        <v>2.4515630000000002</v>
      </c>
      <c r="AB195" s="34">
        <f t="shared" si="7"/>
        <v>2.7807539999999999</v>
      </c>
      <c r="AC195" s="34">
        <f t="shared" si="7"/>
        <v>1.7573410000000003</v>
      </c>
      <c r="AD195" s="34">
        <f t="shared" si="7"/>
        <v>4.4625079999999988</v>
      </c>
      <c r="AE195" s="34">
        <f t="shared" si="7"/>
        <v>6.3181420000000017</v>
      </c>
      <c r="AF195" s="34">
        <f t="shared" si="7"/>
        <v>2.1411089999999997</v>
      </c>
      <c r="AG195" s="34">
        <f t="shared" si="7"/>
        <v>4.382422</v>
      </c>
      <c r="AH195" s="34">
        <f t="shared" si="7"/>
        <v>2.5497670000000006</v>
      </c>
      <c r="AI195" s="34">
        <f t="shared" si="7"/>
        <v>2.774</v>
      </c>
      <c r="AJ195" s="34">
        <f t="shared" si="7"/>
        <v>2.4595509999999994</v>
      </c>
      <c r="AK195" s="34">
        <f t="shared" si="7"/>
        <v>2.9301089999999999</v>
      </c>
      <c r="AL195" s="34">
        <f t="shared" si="7"/>
        <v>2.2659370000000005</v>
      </c>
      <c r="AM195" s="34">
        <f t="shared" si="7"/>
        <v>0.27049799999999957</v>
      </c>
      <c r="AN195" s="34">
        <f t="shared" si="7"/>
        <v>2.357504</v>
      </c>
      <c r="AO195" s="34">
        <f t="shared" si="7"/>
        <v>2.0483159999999998</v>
      </c>
    </row>
    <row r="196" spans="1:42" x14ac:dyDescent="0.15">
      <c r="AA196" s="65">
        <f>SUM(Z195:AD195)/60*3600</f>
        <v>872.82108000000017</v>
      </c>
    </row>
    <row r="197" spans="1:42" x14ac:dyDescent="0.15">
      <c r="A197" s="46" t="s">
        <v>82</v>
      </c>
      <c r="B197" s="133" t="s">
        <v>183</v>
      </c>
      <c r="C197" s="134"/>
      <c r="D197" s="134"/>
      <c r="E197" s="134"/>
      <c r="F197" s="134"/>
      <c r="G197" s="134"/>
      <c r="H197" s="134"/>
      <c r="I197" s="134"/>
      <c r="J197" s="134"/>
      <c r="K197" s="134"/>
      <c r="L197" s="134"/>
      <c r="M197" s="134"/>
      <c r="N197" s="134"/>
      <c r="O197" s="134"/>
      <c r="P197" s="134"/>
      <c r="Q197" s="134"/>
      <c r="R197" s="134"/>
      <c r="S197" s="134"/>
      <c r="T197" s="134"/>
      <c r="U197" s="135"/>
    </row>
    <row r="198" spans="1:42" ht="13.5" customHeight="1" x14ac:dyDescent="0.15">
      <c r="A198" s="53"/>
      <c r="B198" s="40"/>
      <c r="C198" s="40"/>
      <c r="D198" s="40"/>
      <c r="E198" s="40"/>
      <c r="F198" s="40"/>
      <c r="G198" s="40"/>
      <c r="H198" s="40"/>
      <c r="I198" s="40"/>
      <c r="J198" s="40"/>
      <c r="K198" s="40"/>
      <c r="L198" s="40"/>
      <c r="M198" s="40"/>
      <c r="N198" s="40"/>
      <c r="O198" s="40"/>
      <c r="P198" s="40"/>
      <c r="Q198" s="40"/>
      <c r="R198" s="40"/>
      <c r="S198" s="40"/>
      <c r="T198" s="40"/>
      <c r="U198" s="40"/>
    </row>
    <row r="201" spans="1:42" x14ac:dyDescent="0.15">
      <c r="A201" s="139" t="s">
        <v>164</v>
      </c>
      <c r="B201" s="133" t="s">
        <v>203</v>
      </c>
      <c r="C201" s="134"/>
      <c r="D201" s="134"/>
      <c r="E201" s="134"/>
      <c r="F201" s="134"/>
      <c r="G201" s="134"/>
      <c r="H201" s="134"/>
      <c r="I201" s="134"/>
      <c r="J201" s="134"/>
      <c r="K201" s="134"/>
      <c r="L201" s="134"/>
      <c r="M201" s="134"/>
      <c r="N201" s="134"/>
      <c r="O201" s="134"/>
      <c r="P201" s="134"/>
      <c r="Q201" s="134"/>
      <c r="R201" s="134"/>
      <c r="S201" s="134"/>
      <c r="T201" s="134"/>
      <c r="U201" s="135"/>
    </row>
    <row r="202" spans="1:42" x14ac:dyDescent="0.15">
      <c r="A202" s="140"/>
      <c r="B202" s="40">
        <v>1</v>
      </c>
      <c r="C202" s="40">
        <v>2</v>
      </c>
      <c r="D202" s="40">
        <v>3</v>
      </c>
      <c r="E202" s="40">
        <v>4</v>
      </c>
      <c r="F202" s="40">
        <v>5</v>
      </c>
      <c r="G202" s="40">
        <v>6</v>
      </c>
      <c r="H202" s="40">
        <v>7</v>
      </c>
      <c r="I202" s="40">
        <v>8</v>
      </c>
      <c r="J202" s="40">
        <v>9</v>
      </c>
      <c r="K202" s="40">
        <v>10</v>
      </c>
      <c r="L202" s="40">
        <v>11</v>
      </c>
      <c r="M202" s="40">
        <v>12</v>
      </c>
      <c r="N202" s="40">
        <v>13</v>
      </c>
      <c r="O202" s="40">
        <v>14</v>
      </c>
      <c r="P202" s="40">
        <v>15</v>
      </c>
      <c r="Q202" s="40">
        <v>16</v>
      </c>
      <c r="R202" s="40">
        <v>17</v>
      </c>
      <c r="S202" s="40">
        <v>18</v>
      </c>
      <c r="T202" s="40">
        <v>19</v>
      </c>
      <c r="U202" s="40">
        <v>20</v>
      </c>
    </row>
    <row r="203" spans="1:42" x14ac:dyDescent="0.15">
      <c r="A203" s="46" t="s">
        <v>204</v>
      </c>
      <c r="B203" s="42">
        <v>0</v>
      </c>
      <c r="C203" s="42">
        <v>0</v>
      </c>
      <c r="D203" s="42">
        <v>0</v>
      </c>
      <c r="E203" s="42">
        <v>0</v>
      </c>
      <c r="F203" s="42">
        <v>0</v>
      </c>
      <c r="G203" s="42">
        <v>0</v>
      </c>
      <c r="H203" s="48">
        <f>G204</f>
        <v>0</v>
      </c>
      <c r="I203" s="48">
        <f>H204</f>
        <v>0</v>
      </c>
      <c r="J203" s="42">
        <v>0</v>
      </c>
      <c r="K203" s="42">
        <v>0</v>
      </c>
      <c r="L203" s="42">
        <v>0</v>
      </c>
      <c r="M203" s="42">
        <v>0</v>
      </c>
      <c r="N203" s="42">
        <v>0</v>
      </c>
      <c r="O203" s="48">
        <f>N204</f>
        <v>0</v>
      </c>
      <c r="P203" s="48">
        <f>O204</f>
        <v>0</v>
      </c>
      <c r="Q203" s="42">
        <v>0</v>
      </c>
      <c r="R203" s="42">
        <v>0</v>
      </c>
      <c r="S203" s="42">
        <v>0</v>
      </c>
      <c r="T203" s="42">
        <v>0</v>
      </c>
      <c r="U203" s="48">
        <f>T204</f>
        <v>0</v>
      </c>
    </row>
    <row r="204" spans="1:42" x14ac:dyDescent="0.15">
      <c r="A204" s="46" t="s">
        <v>205</v>
      </c>
      <c r="B204" s="42">
        <v>0</v>
      </c>
      <c r="C204" s="42">
        <v>0</v>
      </c>
      <c r="D204" s="42">
        <v>0</v>
      </c>
      <c r="E204" s="42">
        <v>0</v>
      </c>
      <c r="F204" s="42">
        <v>0</v>
      </c>
      <c r="G204" s="42">
        <v>0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0</v>
      </c>
      <c r="N204" s="42">
        <v>0</v>
      </c>
      <c r="O204" s="42">
        <v>0</v>
      </c>
      <c r="P204" s="42">
        <v>0</v>
      </c>
      <c r="Q204" s="42">
        <v>0</v>
      </c>
      <c r="R204" s="42">
        <v>0</v>
      </c>
      <c r="S204" s="42">
        <v>0</v>
      </c>
      <c r="T204" s="42">
        <v>0</v>
      </c>
      <c r="U204" s="42">
        <v>0</v>
      </c>
    </row>
    <row r="205" spans="1:42" x14ac:dyDescent="0.15">
      <c r="A205" s="46">
        <v>0</v>
      </c>
      <c r="B205" s="43">
        <v>0</v>
      </c>
      <c r="C205" s="43">
        <v>0</v>
      </c>
      <c r="D205" s="43">
        <v>0</v>
      </c>
      <c r="E205" s="43">
        <v>0</v>
      </c>
      <c r="F205" s="43">
        <v>0</v>
      </c>
      <c r="G205" s="43">
        <v>0</v>
      </c>
      <c r="H205" s="43">
        <v>0</v>
      </c>
      <c r="I205" s="43">
        <v>0</v>
      </c>
      <c r="J205" s="43">
        <v>0</v>
      </c>
      <c r="K205" s="43">
        <v>0</v>
      </c>
      <c r="L205" s="43">
        <v>0</v>
      </c>
      <c r="M205" s="43">
        <v>0</v>
      </c>
      <c r="N205" s="43">
        <v>0</v>
      </c>
      <c r="O205" s="43">
        <v>0</v>
      </c>
      <c r="P205" s="43">
        <v>0</v>
      </c>
      <c r="Q205" s="43">
        <v>0</v>
      </c>
      <c r="R205" s="43">
        <v>0</v>
      </c>
      <c r="S205" s="43">
        <v>0</v>
      </c>
      <c r="T205" s="43">
        <v>0</v>
      </c>
      <c r="U205" s="43">
        <v>0</v>
      </c>
    </row>
  </sheetData>
  <mergeCells count="15">
    <mergeCell ref="B189:U189"/>
    <mergeCell ref="V189:AO189"/>
    <mergeCell ref="A201:A202"/>
    <mergeCell ref="B1:U1"/>
    <mergeCell ref="V1:AO1"/>
    <mergeCell ref="B197:U197"/>
    <mergeCell ref="B201:U201"/>
    <mergeCell ref="A189:A190"/>
    <mergeCell ref="A1:A2"/>
    <mergeCell ref="DR1:EK1"/>
    <mergeCell ref="EL1:FE1"/>
    <mergeCell ref="AP1:BI1"/>
    <mergeCell ref="BJ1:CC1"/>
    <mergeCell ref="CD1:CW1"/>
    <mergeCell ref="CX1:DQ1"/>
  </mergeCells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A182"/>
  <sheetViews>
    <sheetView zoomScale="55" zoomScaleNormal="55" workbookViewId="0">
      <selection activeCell="P23" sqref="P23"/>
    </sheetView>
  </sheetViews>
  <sheetFormatPr defaultRowHeight="13.5" x14ac:dyDescent="0.15"/>
  <sheetData>
    <row r="1" spans="1:79" x14ac:dyDescent="0.15">
      <c r="A1" s="146" t="s">
        <v>145</v>
      </c>
      <c r="B1" s="143" t="s">
        <v>168</v>
      </c>
      <c r="C1" s="144"/>
      <c r="D1" s="144"/>
      <c r="E1" s="144"/>
      <c r="F1" s="144"/>
      <c r="G1" s="144"/>
      <c r="H1" s="144"/>
      <c r="I1" s="144"/>
      <c r="J1" s="144"/>
      <c r="K1" s="144"/>
      <c r="L1" s="144"/>
      <c r="M1" s="144"/>
      <c r="N1" s="145"/>
      <c r="O1" s="143" t="s">
        <v>169</v>
      </c>
      <c r="P1" s="144"/>
      <c r="Q1" s="144"/>
      <c r="R1" s="144"/>
      <c r="S1" s="144"/>
      <c r="T1" s="144"/>
      <c r="U1" s="144"/>
      <c r="V1" s="144"/>
      <c r="W1" s="144"/>
      <c r="X1" s="144"/>
      <c r="Y1" s="144"/>
      <c r="Z1" s="144"/>
      <c r="AA1" s="145"/>
      <c r="AB1" s="143" t="s">
        <v>170</v>
      </c>
      <c r="AC1" s="144"/>
      <c r="AD1" s="144"/>
      <c r="AE1" s="144"/>
      <c r="AF1" s="144"/>
      <c r="AG1" s="144"/>
      <c r="AH1" s="144"/>
      <c r="AI1" s="144"/>
      <c r="AJ1" s="144"/>
      <c r="AK1" s="144"/>
      <c r="AL1" s="144"/>
      <c r="AM1" s="144"/>
      <c r="AN1" s="145"/>
      <c r="AO1" s="143" t="s">
        <v>171</v>
      </c>
      <c r="AP1" s="144"/>
      <c r="AQ1" s="144"/>
      <c r="AR1" s="144"/>
      <c r="AS1" s="144"/>
      <c r="AT1" s="144"/>
      <c r="AU1" s="144"/>
      <c r="AV1" s="144"/>
      <c r="AW1" s="144"/>
      <c r="AX1" s="144"/>
      <c r="AY1" s="144"/>
      <c r="AZ1" s="144"/>
      <c r="BA1" s="145"/>
      <c r="BB1" s="141" t="s">
        <v>172</v>
      </c>
      <c r="BC1" s="142"/>
      <c r="BD1" s="142"/>
      <c r="BE1" s="142"/>
      <c r="BF1" s="142"/>
      <c r="BG1" s="142"/>
      <c r="BH1" s="142"/>
      <c r="BI1" s="142"/>
      <c r="BJ1" s="142"/>
      <c r="BK1" s="142"/>
      <c r="BL1" s="142"/>
      <c r="BM1" s="142"/>
      <c r="BN1" s="142"/>
      <c r="BO1" s="141" t="s">
        <v>173</v>
      </c>
      <c r="BP1" s="142"/>
      <c r="BQ1" s="142"/>
      <c r="BR1" s="142"/>
      <c r="BS1" s="142"/>
      <c r="BT1" s="142"/>
      <c r="BU1" s="142"/>
      <c r="BV1" s="142"/>
      <c r="BW1" s="142"/>
      <c r="BX1" s="142"/>
      <c r="BY1" s="142"/>
      <c r="BZ1" s="142"/>
      <c r="CA1" s="142"/>
    </row>
    <row r="2" spans="1:79" x14ac:dyDescent="0.15">
      <c r="A2" s="146"/>
      <c r="B2" s="54">
        <v>1</v>
      </c>
      <c r="C2" s="54">
        <v>2</v>
      </c>
      <c r="D2" s="54">
        <v>3</v>
      </c>
      <c r="E2" s="54">
        <v>4</v>
      </c>
      <c r="F2" s="54">
        <v>5</v>
      </c>
      <c r="G2" s="54">
        <v>6</v>
      </c>
      <c r="H2" s="54">
        <v>7</v>
      </c>
      <c r="I2" s="54">
        <v>8</v>
      </c>
      <c r="J2" s="54">
        <v>9</v>
      </c>
      <c r="K2" s="54">
        <v>10</v>
      </c>
      <c r="L2" s="54">
        <v>11</v>
      </c>
      <c r="M2" s="54">
        <v>12</v>
      </c>
      <c r="N2" s="54">
        <v>13</v>
      </c>
      <c r="O2" s="54">
        <v>1</v>
      </c>
      <c r="P2" s="54">
        <v>2</v>
      </c>
      <c r="Q2" s="54">
        <v>3</v>
      </c>
      <c r="R2" s="54">
        <v>4</v>
      </c>
      <c r="S2" s="54">
        <v>5</v>
      </c>
      <c r="T2" s="54">
        <v>6</v>
      </c>
      <c r="U2" s="54">
        <v>7</v>
      </c>
      <c r="V2" s="54">
        <v>8</v>
      </c>
      <c r="W2" s="54">
        <v>9</v>
      </c>
      <c r="X2" s="54">
        <v>10</v>
      </c>
      <c r="Y2" s="54">
        <v>11</v>
      </c>
      <c r="Z2" s="54">
        <v>12</v>
      </c>
      <c r="AA2" s="54">
        <v>13</v>
      </c>
      <c r="AB2" s="54">
        <v>1</v>
      </c>
      <c r="AC2" s="54">
        <v>2</v>
      </c>
      <c r="AD2" s="54">
        <v>3</v>
      </c>
      <c r="AE2" s="54">
        <v>4</v>
      </c>
      <c r="AF2" s="54">
        <v>5</v>
      </c>
      <c r="AG2" s="54">
        <v>6</v>
      </c>
      <c r="AH2" s="54">
        <v>7</v>
      </c>
      <c r="AI2" s="54">
        <v>8</v>
      </c>
      <c r="AJ2" s="54">
        <v>9</v>
      </c>
      <c r="AK2" s="54">
        <v>10</v>
      </c>
      <c r="AL2" s="54">
        <v>11</v>
      </c>
      <c r="AM2" s="54">
        <v>12</v>
      </c>
      <c r="AN2" s="54">
        <v>13</v>
      </c>
      <c r="AO2" s="54">
        <v>1</v>
      </c>
      <c r="AP2" s="54">
        <v>2</v>
      </c>
      <c r="AQ2" s="54">
        <v>3</v>
      </c>
      <c r="AR2" s="54">
        <v>4</v>
      </c>
      <c r="AS2" s="54">
        <v>5</v>
      </c>
      <c r="AT2" s="54">
        <v>6</v>
      </c>
      <c r="AU2" s="54">
        <v>7</v>
      </c>
      <c r="AV2" s="54">
        <v>8</v>
      </c>
      <c r="AW2" s="54">
        <v>9</v>
      </c>
      <c r="AX2" s="54">
        <v>10</v>
      </c>
      <c r="AY2" s="54">
        <v>11</v>
      </c>
      <c r="AZ2" s="54">
        <v>12</v>
      </c>
      <c r="BA2" s="54">
        <v>13</v>
      </c>
      <c r="BB2" s="54">
        <v>1</v>
      </c>
      <c r="BC2" s="54">
        <v>2</v>
      </c>
      <c r="BD2" s="54">
        <v>3</v>
      </c>
      <c r="BE2" s="54">
        <v>4</v>
      </c>
      <c r="BF2" s="54">
        <v>5</v>
      </c>
      <c r="BG2" s="54">
        <v>6</v>
      </c>
      <c r="BH2" s="54">
        <v>7</v>
      </c>
      <c r="BI2" s="54">
        <v>8</v>
      </c>
      <c r="BJ2" s="54">
        <v>9</v>
      </c>
      <c r="BK2" s="54">
        <v>10</v>
      </c>
      <c r="BL2" s="54">
        <v>11</v>
      </c>
      <c r="BM2" s="54">
        <v>12</v>
      </c>
      <c r="BN2" s="54">
        <v>13</v>
      </c>
      <c r="BO2" s="54">
        <v>1</v>
      </c>
      <c r="BP2" s="54">
        <v>2</v>
      </c>
      <c r="BQ2" s="54">
        <v>3</v>
      </c>
      <c r="BR2" s="54">
        <v>4</v>
      </c>
      <c r="BS2" s="54">
        <v>5</v>
      </c>
      <c r="BT2" s="54">
        <v>6</v>
      </c>
      <c r="BU2" s="54">
        <v>7</v>
      </c>
      <c r="BV2" s="54">
        <v>8</v>
      </c>
      <c r="BW2" s="54">
        <v>9</v>
      </c>
      <c r="BX2" s="54">
        <v>10</v>
      </c>
      <c r="BY2" s="54">
        <v>11</v>
      </c>
      <c r="BZ2" s="54">
        <v>12</v>
      </c>
      <c r="CA2" s="54">
        <v>13</v>
      </c>
    </row>
    <row r="3" spans="1:79" x14ac:dyDescent="0.15">
      <c r="A3" s="55">
        <v>1</v>
      </c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  <c r="Z3" s="58"/>
      <c r="AA3" s="58"/>
      <c r="AB3" s="56"/>
      <c r="AC3" s="60"/>
      <c r="AD3" s="56"/>
      <c r="AE3" s="60"/>
      <c r="AF3" s="56"/>
      <c r="AG3" s="56"/>
      <c r="AH3" s="56"/>
      <c r="AI3" s="56"/>
      <c r="AJ3" s="56"/>
      <c r="AK3" s="56"/>
      <c r="AL3" s="56"/>
      <c r="AM3" s="60"/>
      <c r="AN3" s="56"/>
      <c r="AO3" s="58"/>
      <c r="AP3" s="60"/>
      <c r="AQ3" s="58"/>
      <c r="AR3" s="60"/>
      <c r="AS3" s="58"/>
      <c r="AT3" s="58"/>
      <c r="AU3" s="58"/>
      <c r="AV3" s="58"/>
      <c r="AW3" s="58"/>
      <c r="AX3" s="58"/>
      <c r="AY3" s="58"/>
      <c r="AZ3" s="60"/>
      <c r="BA3" s="58"/>
      <c r="BB3" s="60"/>
      <c r="BC3" s="56"/>
      <c r="BD3" s="60"/>
      <c r="BE3" s="56"/>
      <c r="BF3" s="56"/>
      <c r="BG3" s="56"/>
      <c r="BH3" s="56"/>
      <c r="BI3" s="56"/>
      <c r="BJ3" s="56"/>
      <c r="BK3" s="56"/>
      <c r="BL3" s="60"/>
      <c r="BM3" s="56"/>
      <c r="BN3" s="60"/>
      <c r="BO3" s="57"/>
      <c r="BP3" s="60"/>
      <c r="BQ3" s="57"/>
      <c r="BR3" s="60"/>
      <c r="BS3" s="57"/>
      <c r="BT3" s="57"/>
      <c r="BU3" s="57"/>
      <c r="BV3" s="57"/>
      <c r="BW3" s="57"/>
      <c r="BX3" s="57"/>
      <c r="BY3" s="57"/>
      <c r="BZ3" s="60"/>
      <c r="CA3" s="57"/>
    </row>
    <row r="4" spans="1:79" x14ac:dyDescent="0.15">
      <c r="A4" s="55">
        <v>2</v>
      </c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6"/>
      <c r="AC4" s="60"/>
      <c r="AD4" s="56"/>
      <c r="AE4" s="60"/>
      <c r="AF4" s="56"/>
      <c r="AG4" s="56"/>
      <c r="AH4" s="56"/>
      <c r="AI4" s="56"/>
      <c r="AJ4" s="56"/>
      <c r="AK4" s="56"/>
      <c r="AL4" s="56"/>
      <c r="AM4" s="60"/>
      <c r="AN4" s="56"/>
      <c r="AO4" s="57"/>
      <c r="AP4" s="60"/>
      <c r="AQ4" s="57"/>
      <c r="AR4" s="60"/>
      <c r="AS4" s="57"/>
      <c r="AT4" s="57"/>
      <c r="AU4" s="57"/>
      <c r="AV4" s="57"/>
      <c r="AW4" s="57"/>
      <c r="AX4" s="57"/>
      <c r="AY4" s="57"/>
      <c r="AZ4" s="60"/>
      <c r="BA4" s="57"/>
      <c r="BB4" s="60"/>
      <c r="BC4" s="56"/>
      <c r="BD4" s="60"/>
      <c r="BE4" s="56"/>
      <c r="BF4" s="56"/>
      <c r="BG4" s="56"/>
      <c r="BH4" s="56"/>
      <c r="BI4" s="56"/>
      <c r="BJ4" s="56"/>
      <c r="BK4" s="56"/>
      <c r="BL4" s="60"/>
      <c r="BM4" s="56"/>
      <c r="BN4" s="60"/>
      <c r="BO4" s="57"/>
      <c r="BP4" s="60"/>
      <c r="BQ4" s="57"/>
      <c r="BR4" s="60"/>
      <c r="BS4" s="57"/>
      <c r="BT4" s="57"/>
      <c r="BU4" s="57"/>
      <c r="BV4" s="57"/>
      <c r="BW4" s="57"/>
      <c r="BX4" s="57"/>
      <c r="BY4" s="57"/>
      <c r="BZ4" s="60"/>
      <c r="CA4" s="57"/>
    </row>
    <row r="5" spans="1:79" x14ac:dyDescent="0.15">
      <c r="A5" s="55">
        <v>3</v>
      </c>
      <c r="B5" s="56"/>
      <c r="C5" s="56"/>
      <c r="D5" s="56"/>
      <c r="E5" s="56"/>
      <c r="F5" s="56"/>
      <c r="G5" s="56"/>
      <c r="H5" s="56"/>
      <c r="I5" s="56"/>
      <c r="J5" s="56"/>
      <c r="K5" s="56"/>
      <c r="L5" s="56"/>
      <c r="M5" s="56"/>
      <c r="N5" s="56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6"/>
      <c r="AC5" s="60"/>
      <c r="AD5" s="56"/>
      <c r="AE5" s="60"/>
      <c r="AF5" s="56"/>
      <c r="AG5" s="56"/>
      <c r="AH5" s="56"/>
      <c r="AI5" s="56"/>
      <c r="AJ5" s="56"/>
      <c r="AK5" s="56"/>
      <c r="AL5" s="56"/>
      <c r="AM5" s="60"/>
      <c r="AN5" s="56"/>
      <c r="AO5" s="57"/>
      <c r="AP5" s="60"/>
      <c r="AQ5" s="57"/>
      <c r="AR5" s="60"/>
      <c r="AS5" s="57"/>
      <c r="AT5" s="57"/>
      <c r="AU5" s="57"/>
      <c r="AV5" s="57"/>
      <c r="AW5" s="57"/>
      <c r="AX5" s="57"/>
      <c r="AY5" s="57"/>
      <c r="AZ5" s="60"/>
      <c r="BA5" s="57"/>
      <c r="BB5" s="60"/>
      <c r="BC5" s="56"/>
      <c r="BD5" s="60"/>
      <c r="BE5" s="56"/>
      <c r="BF5" s="56"/>
      <c r="BG5" s="56"/>
      <c r="BH5" s="56"/>
      <c r="BI5" s="56"/>
      <c r="BJ5" s="56"/>
      <c r="BK5" s="56"/>
      <c r="BL5" s="60"/>
      <c r="BM5" s="56"/>
      <c r="BN5" s="60"/>
      <c r="BO5" s="57"/>
      <c r="BP5" s="60"/>
      <c r="BQ5" s="57"/>
      <c r="BR5" s="60"/>
      <c r="BS5" s="57"/>
      <c r="BT5" s="57"/>
      <c r="BU5" s="57"/>
      <c r="BV5" s="57"/>
      <c r="BW5" s="57"/>
      <c r="BX5" s="57"/>
      <c r="BY5" s="57"/>
      <c r="BZ5" s="60"/>
      <c r="CA5" s="57"/>
    </row>
    <row r="6" spans="1:79" x14ac:dyDescent="0.15">
      <c r="A6" s="55">
        <v>4</v>
      </c>
      <c r="B6" s="56"/>
      <c r="C6" s="56"/>
      <c r="D6" s="56"/>
      <c r="E6" s="56"/>
      <c r="F6" s="56"/>
      <c r="G6" s="56"/>
      <c r="H6" s="56"/>
      <c r="I6" s="56"/>
      <c r="J6" s="56"/>
      <c r="K6" s="56"/>
      <c r="L6" s="56"/>
      <c r="M6" s="56"/>
      <c r="N6" s="56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6"/>
      <c r="AC6" s="60"/>
      <c r="AD6" s="56"/>
      <c r="AE6" s="60"/>
      <c r="AF6" s="56"/>
      <c r="AG6" s="56"/>
      <c r="AH6" s="56"/>
      <c r="AI6" s="56"/>
      <c r="AJ6" s="56"/>
      <c r="AK6" s="56"/>
      <c r="AL6" s="56"/>
      <c r="AM6" s="60"/>
      <c r="AN6" s="56"/>
      <c r="AO6" s="57"/>
      <c r="AP6" s="60"/>
      <c r="AQ6" s="57"/>
      <c r="AR6" s="60"/>
      <c r="AS6" s="57"/>
      <c r="AT6" s="57"/>
      <c r="AU6" s="57"/>
      <c r="AV6" s="57"/>
      <c r="AW6" s="57"/>
      <c r="AX6" s="57"/>
      <c r="AY6" s="57"/>
      <c r="AZ6" s="60"/>
      <c r="BA6" s="57"/>
      <c r="BB6" s="60"/>
      <c r="BC6" s="56"/>
      <c r="BD6" s="60"/>
      <c r="BE6" s="56"/>
      <c r="BF6" s="56"/>
      <c r="BG6" s="56"/>
      <c r="BH6" s="56"/>
      <c r="BI6" s="56"/>
      <c r="BJ6" s="56"/>
      <c r="BK6" s="56"/>
      <c r="BL6" s="60"/>
      <c r="BM6" s="56"/>
      <c r="BN6" s="60"/>
      <c r="BO6" s="57"/>
      <c r="BP6" s="60"/>
      <c r="BQ6" s="57"/>
      <c r="BR6" s="60"/>
      <c r="BS6" s="57"/>
      <c r="BT6" s="57"/>
      <c r="BU6" s="57"/>
      <c r="BV6" s="57"/>
      <c r="BW6" s="57"/>
      <c r="BX6" s="57"/>
      <c r="BY6" s="57"/>
      <c r="BZ6" s="60"/>
      <c r="CA6" s="57"/>
    </row>
    <row r="7" spans="1:79" x14ac:dyDescent="0.15">
      <c r="A7" s="55">
        <v>5</v>
      </c>
      <c r="B7" s="56"/>
      <c r="C7" s="56"/>
      <c r="D7" s="56"/>
      <c r="E7" s="56"/>
      <c r="F7" s="56"/>
      <c r="G7" s="56"/>
      <c r="H7" s="56"/>
      <c r="I7" s="56"/>
      <c r="J7" s="56"/>
      <c r="K7" s="56"/>
      <c r="L7" s="56"/>
      <c r="M7" s="56"/>
      <c r="N7" s="56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6"/>
      <c r="AC7" s="60"/>
      <c r="AD7" s="56"/>
      <c r="AE7" s="60"/>
      <c r="AF7" s="56"/>
      <c r="AG7" s="56"/>
      <c r="AH7" s="56"/>
      <c r="AI7" s="56"/>
      <c r="AJ7" s="56"/>
      <c r="AK7" s="56"/>
      <c r="AL7" s="56"/>
      <c r="AM7" s="60"/>
      <c r="AN7" s="56"/>
      <c r="AO7" s="57"/>
      <c r="AP7" s="60"/>
      <c r="AQ7" s="57"/>
      <c r="AR7" s="60"/>
      <c r="AS7" s="57"/>
      <c r="AT7" s="57"/>
      <c r="AU7" s="57"/>
      <c r="AV7" s="57"/>
      <c r="AW7" s="57"/>
      <c r="AX7" s="57"/>
      <c r="AY7" s="57"/>
      <c r="AZ7" s="60"/>
      <c r="BA7" s="57"/>
      <c r="BB7" s="60"/>
      <c r="BC7" s="56"/>
      <c r="BD7" s="60"/>
      <c r="BE7" s="56"/>
      <c r="BF7" s="56"/>
      <c r="BG7" s="56"/>
      <c r="BH7" s="56"/>
      <c r="BI7" s="56"/>
      <c r="BJ7" s="56"/>
      <c r="BK7" s="56"/>
      <c r="BL7" s="60"/>
      <c r="BM7" s="56"/>
      <c r="BN7" s="60"/>
      <c r="BO7" s="57"/>
      <c r="BP7" s="60"/>
      <c r="BQ7" s="57"/>
      <c r="BR7" s="60"/>
      <c r="BS7" s="57"/>
      <c r="BT7" s="57"/>
      <c r="BU7" s="57"/>
      <c r="BV7" s="57"/>
      <c r="BW7" s="57"/>
      <c r="BX7" s="57"/>
      <c r="BY7" s="57"/>
      <c r="BZ7" s="60"/>
      <c r="CA7" s="57"/>
    </row>
    <row r="8" spans="1:79" x14ac:dyDescent="0.15">
      <c r="A8" s="55">
        <v>6</v>
      </c>
      <c r="B8" s="56"/>
      <c r="C8" s="56"/>
      <c r="D8" s="56"/>
      <c r="E8" s="56"/>
      <c r="F8" s="56"/>
      <c r="G8" s="56"/>
      <c r="H8" s="56"/>
      <c r="I8" s="56"/>
      <c r="J8" s="56"/>
      <c r="K8" s="56"/>
      <c r="L8" s="56"/>
      <c r="M8" s="56"/>
      <c r="N8" s="56"/>
      <c r="O8" s="57"/>
      <c r="P8" s="57"/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6"/>
      <c r="AC8" s="60"/>
      <c r="AD8" s="56"/>
      <c r="AE8" s="60"/>
      <c r="AF8" s="56"/>
      <c r="AG8" s="56"/>
      <c r="AH8" s="56"/>
      <c r="AI8" s="56"/>
      <c r="AJ8" s="56"/>
      <c r="AK8" s="56"/>
      <c r="AL8" s="56"/>
      <c r="AM8" s="60"/>
      <c r="AN8" s="56"/>
      <c r="AO8" s="57"/>
      <c r="AP8" s="60"/>
      <c r="AQ8" s="57"/>
      <c r="AR8" s="60"/>
      <c r="AS8" s="57"/>
      <c r="AT8" s="57"/>
      <c r="AU8" s="57"/>
      <c r="AV8" s="57"/>
      <c r="AW8" s="57"/>
      <c r="AX8" s="57"/>
      <c r="AY8" s="57"/>
      <c r="AZ8" s="60"/>
      <c r="BA8" s="57"/>
      <c r="BB8" s="60"/>
      <c r="BC8" s="56"/>
      <c r="BD8" s="60"/>
      <c r="BE8" s="56"/>
      <c r="BF8" s="56"/>
      <c r="BG8" s="56"/>
      <c r="BH8" s="56"/>
      <c r="BI8" s="56"/>
      <c r="BJ8" s="56"/>
      <c r="BK8" s="56"/>
      <c r="BL8" s="60"/>
      <c r="BM8" s="56"/>
      <c r="BN8" s="60"/>
      <c r="BO8" s="57"/>
      <c r="BP8" s="60"/>
      <c r="BQ8" s="57"/>
      <c r="BR8" s="60"/>
      <c r="BS8" s="57"/>
      <c r="BT8" s="57"/>
      <c r="BU8" s="57"/>
      <c r="BV8" s="57"/>
      <c r="BW8" s="57"/>
      <c r="BX8" s="57"/>
      <c r="BY8" s="57"/>
      <c r="BZ8" s="60"/>
      <c r="CA8" s="57"/>
    </row>
    <row r="9" spans="1:79" x14ac:dyDescent="0.15">
      <c r="A9" s="55">
        <v>7</v>
      </c>
      <c r="B9" s="56"/>
      <c r="C9" s="56"/>
      <c r="D9" s="56"/>
      <c r="E9" s="56"/>
      <c r="F9" s="56"/>
      <c r="G9" s="56"/>
      <c r="H9" s="56"/>
      <c r="I9" s="56"/>
      <c r="J9" s="56"/>
      <c r="K9" s="56"/>
      <c r="L9" s="56"/>
      <c r="M9" s="56"/>
      <c r="N9" s="56"/>
      <c r="O9" s="57"/>
      <c r="P9" s="57"/>
      <c r="Q9" s="57"/>
      <c r="R9" s="57"/>
      <c r="S9" s="57"/>
      <c r="T9" s="57"/>
      <c r="U9" s="57"/>
      <c r="V9" s="57"/>
      <c r="W9" s="57"/>
      <c r="X9" s="57"/>
      <c r="Y9" s="57"/>
      <c r="Z9" s="57"/>
      <c r="AA9" s="57"/>
      <c r="AB9" s="56"/>
      <c r="AC9" s="60"/>
      <c r="AD9" s="56"/>
      <c r="AE9" s="60"/>
      <c r="AF9" s="56"/>
      <c r="AG9" s="56"/>
      <c r="AH9" s="56"/>
      <c r="AI9" s="56"/>
      <c r="AJ9" s="56"/>
      <c r="AK9" s="56"/>
      <c r="AL9" s="56"/>
      <c r="AM9" s="60"/>
      <c r="AN9" s="56"/>
      <c r="AO9" s="57"/>
      <c r="AP9" s="60"/>
      <c r="AQ9" s="57"/>
      <c r="AR9" s="60"/>
      <c r="AS9" s="57"/>
      <c r="AT9" s="57"/>
      <c r="AU9" s="57"/>
      <c r="AV9" s="57"/>
      <c r="AW9" s="57"/>
      <c r="AX9" s="57"/>
      <c r="AY9" s="57"/>
      <c r="AZ9" s="60"/>
      <c r="BA9" s="57"/>
      <c r="BB9" s="60"/>
      <c r="BC9" s="56"/>
      <c r="BD9" s="60"/>
      <c r="BE9" s="56"/>
      <c r="BF9" s="56"/>
      <c r="BG9" s="56"/>
      <c r="BH9" s="56"/>
      <c r="BI9" s="56"/>
      <c r="BJ9" s="56"/>
      <c r="BK9" s="56"/>
      <c r="BL9" s="60"/>
      <c r="BM9" s="56"/>
      <c r="BN9" s="60"/>
      <c r="BO9" s="57"/>
      <c r="BP9" s="60"/>
      <c r="BQ9" s="57"/>
      <c r="BR9" s="60"/>
      <c r="BS9" s="57"/>
      <c r="BT9" s="57"/>
      <c r="BU9" s="57"/>
      <c r="BV9" s="57"/>
      <c r="BW9" s="57"/>
      <c r="BX9" s="57"/>
      <c r="BY9" s="57"/>
      <c r="BZ9" s="60"/>
      <c r="CA9" s="57"/>
    </row>
    <row r="10" spans="1:79" x14ac:dyDescent="0.15">
      <c r="A10" s="55">
        <v>8</v>
      </c>
      <c r="B10" s="56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6"/>
      <c r="AC10" s="60"/>
      <c r="AD10" s="56"/>
      <c r="AE10" s="60"/>
      <c r="AF10" s="56"/>
      <c r="AG10" s="56"/>
      <c r="AH10" s="56"/>
      <c r="AI10" s="56"/>
      <c r="AJ10" s="56"/>
      <c r="AK10" s="56"/>
      <c r="AL10" s="56"/>
      <c r="AM10" s="60"/>
      <c r="AN10" s="56"/>
      <c r="AO10" s="57"/>
      <c r="AP10" s="60"/>
      <c r="AQ10" s="57"/>
      <c r="AR10" s="60"/>
      <c r="AS10" s="57"/>
      <c r="AT10" s="57"/>
      <c r="AU10" s="57"/>
      <c r="AV10" s="57"/>
      <c r="AW10" s="57"/>
      <c r="AX10" s="57"/>
      <c r="AY10" s="57"/>
      <c r="AZ10" s="60"/>
      <c r="BA10" s="57"/>
      <c r="BB10" s="60"/>
      <c r="BC10" s="56"/>
      <c r="BD10" s="60"/>
      <c r="BE10" s="56"/>
      <c r="BF10" s="56"/>
      <c r="BG10" s="56"/>
      <c r="BH10" s="56"/>
      <c r="BI10" s="56"/>
      <c r="BJ10" s="56"/>
      <c r="BK10" s="56"/>
      <c r="BL10" s="60"/>
      <c r="BM10" s="56"/>
      <c r="BN10" s="60"/>
      <c r="BO10" s="57"/>
      <c r="BP10" s="60"/>
      <c r="BQ10" s="57"/>
      <c r="BR10" s="60"/>
      <c r="BS10" s="57"/>
      <c r="BT10" s="57"/>
      <c r="BU10" s="57"/>
      <c r="BV10" s="57"/>
      <c r="BW10" s="57"/>
      <c r="BX10" s="57"/>
      <c r="BY10" s="57"/>
      <c r="BZ10" s="60"/>
      <c r="CA10" s="57"/>
    </row>
    <row r="11" spans="1:79" x14ac:dyDescent="0.15">
      <c r="A11" s="55">
        <v>9</v>
      </c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6"/>
      <c r="AC11" s="60"/>
      <c r="AD11" s="56"/>
      <c r="AE11" s="60"/>
      <c r="AF11" s="56"/>
      <c r="AG11" s="56"/>
      <c r="AH11" s="56"/>
      <c r="AI11" s="56"/>
      <c r="AJ11" s="56"/>
      <c r="AK11" s="56"/>
      <c r="AL11" s="56"/>
      <c r="AM11" s="60"/>
      <c r="AN11" s="56"/>
      <c r="AO11" s="57"/>
      <c r="AP11" s="60"/>
      <c r="AQ11" s="57"/>
      <c r="AR11" s="60"/>
      <c r="AS11" s="57"/>
      <c r="AT11" s="57"/>
      <c r="AU11" s="57"/>
      <c r="AV11" s="57"/>
      <c r="AW11" s="57"/>
      <c r="AX11" s="57"/>
      <c r="AY11" s="57"/>
      <c r="AZ11" s="60"/>
      <c r="BA11" s="57"/>
      <c r="BB11" s="60"/>
      <c r="BC11" s="56"/>
      <c r="BD11" s="60"/>
      <c r="BE11" s="56"/>
      <c r="BF11" s="56"/>
      <c r="BG11" s="56"/>
      <c r="BH11" s="56"/>
      <c r="BI11" s="56"/>
      <c r="BJ11" s="56"/>
      <c r="BK11" s="56"/>
      <c r="BL11" s="60"/>
      <c r="BM11" s="56"/>
      <c r="BN11" s="60"/>
      <c r="BO11" s="57"/>
      <c r="BP11" s="60"/>
      <c r="BQ11" s="57"/>
      <c r="BR11" s="60"/>
      <c r="BS11" s="57"/>
      <c r="BT11" s="57"/>
      <c r="BU11" s="57"/>
      <c r="BV11" s="57"/>
      <c r="BW11" s="57"/>
      <c r="BX11" s="57"/>
      <c r="BY11" s="57"/>
      <c r="BZ11" s="60"/>
      <c r="CA11" s="57"/>
    </row>
    <row r="12" spans="1:79" x14ac:dyDescent="0.15">
      <c r="A12" s="55">
        <v>10</v>
      </c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56"/>
      <c r="O12" s="57"/>
      <c r="P12" s="57"/>
      <c r="Q12" s="57"/>
      <c r="R12" s="57"/>
      <c r="S12" s="57"/>
      <c r="T12" s="57"/>
      <c r="U12" s="57"/>
      <c r="V12" s="57"/>
      <c r="W12" s="57"/>
      <c r="X12" s="57"/>
      <c r="Y12" s="57"/>
      <c r="Z12" s="57"/>
      <c r="AA12" s="57"/>
      <c r="AB12" s="56"/>
      <c r="AC12" s="60"/>
      <c r="AD12" s="56"/>
      <c r="AE12" s="60"/>
      <c r="AF12" s="56"/>
      <c r="AG12" s="56"/>
      <c r="AH12" s="56"/>
      <c r="AI12" s="56"/>
      <c r="AJ12" s="56"/>
      <c r="AK12" s="56"/>
      <c r="AL12" s="56"/>
      <c r="AM12" s="60"/>
      <c r="AN12" s="56"/>
      <c r="AO12" s="57"/>
      <c r="AP12" s="60"/>
      <c r="AQ12" s="57"/>
      <c r="AR12" s="60"/>
      <c r="AS12" s="57"/>
      <c r="AT12" s="57"/>
      <c r="AU12" s="57"/>
      <c r="AV12" s="57"/>
      <c r="AW12" s="57"/>
      <c r="AX12" s="57"/>
      <c r="AY12" s="57"/>
      <c r="AZ12" s="60"/>
      <c r="BA12" s="57"/>
      <c r="BB12" s="60"/>
      <c r="BC12" s="56"/>
      <c r="BD12" s="60"/>
      <c r="BE12" s="56"/>
      <c r="BF12" s="56"/>
      <c r="BG12" s="56"/>
      <c r="BH12" s="56"/>
      <c r="BI12" s="56"/>
      <c r="BJ12" s="56"/>
      <c r="BK12" s="56"/>
      <c r="BL12" s="60"/>
      <c r="BM12" s="56"/>
      <c r="BN12" s="60"/>
      <c r="BO12" s="57"/>
      <c r="BP12" s="60"/>
      <c r="BQ12" s="57"/>
      <c r="BR12" s="60"/>
      <c r="BS12" s="57"/>
      <c r="BT12" s="57"/>
      <c r="BU12" s="57"/>
      <c r="BV12" s="57"/>
      <c r="BW12" s="57"/>
      <c r="BX12" s="57"/>
      <c r="BY12" s="57"/>
      <c r="BZ12" s="60"/>
      <c r="CA12" s="57"/>
    </row>
    <row r="13" spans="1:79" x14ac:dyDescent="0.15">
      <c r="A13" s="55">
        <v>11</v>
      </c>
      <c r="B13" s="56"/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6"/>
      <c r="AC13" s="60"/>
      <c r="AD13" s="56"/>
      <c r="AE13" s="60"/>
      <c r="AF13" s="56"/>
      <c r="AG13" s="56"/>
      <c r="AH13" s="56"/>
      <c r="AI13" s="56"/>
      <c r="AJ13" s="56"/>
      <c r="AK13" s="56"/>
      <c r="AL13" s="56"/>
      <c r="AM13" s="60"/>
      <c r="AN13" s="56"/>
      <c r="AO13" s="57"/>
      <c r="AP13" s="60"/>
      <c r="AQ13" s="57"/>
      <c r="AR13" s="60"/>
      <c r="AS13" s="57"/>
      <c r="AT13" s="57"/>
      <c r="AU13" s="57"/>
      <c r="AV13" s="57"/>
      <c r="AW13" s="57"/>
      <c r="AX13" s="57"/>
      <c r="AY13" s="57"/>
      <c r="AZ13" s="60"/>
      <c r="BA13" s="57"/>
      <c r="BB13" s="60"/>
      <c r="BC13" s="56"/>
      <c r="BD13" s="60"/>
      <c r="BE13" s="56"/>
      <c r="BF13" s="56"/>
      <c r="BG13" s="56"/>
      <c r="BH13" s="56"/>
      <c r="BI13" s="56"/>
      <c r="BJ13" s="56"/>
      <c r="BK13" s="56"/>
      <c r="BL13" s="60"/>
      <c r="BM13" s="56"/>
      <c r="BN13" s="60"/>
      <c r="BO13" s="57"/>
      <c r="BP13" s="60"/>
      <c r="BQ13" s="57"/>
      <c r="BR13" s="60"/>
      <c r="BS13" s="57"/>
      <c r="BT13" s="57"/>
      <c r="BU13" s="57"/>
      <c r="BV13" s="57"/>
      <c r="BW13" s="57"/>
      <c r="BX13" s="57"/>
      <c r="BY13" s="57"/>
      <c r="BZ13" s="60"/>
      <c r="CA13" s="57"/>
    </row>
    <row r="14" spans="1:79" x14ac:dyDescent="0.15">
      <c r="A14" s="55">
        <v>12</v>
      </c>
      <c r="B14" s="56"/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6"/>
      <c r="AC14" s="60"/>
      <c r="AD14" s="56"/>
      <c r="AE14" s="60"/>
      <c r="AF14" s="56"/>
      <c r="AG14" s="56"/>
      <c r="AH14" s="56"/>
      <c r="AI14" s="56"/>
      <c r="AJ14" s="56"/>
      <c r="AK14" s="56"/>
      <c r="AL14" s="56"/>
      <c r="AM14" s="60"/>
      <c r="AN14" s="56"/>
      <c r="AO14" s="57"/>
      <c r="AP14" s="60"/>
      <c r="AQ14" s="57"/>
      <c r="AR14" s="60"/>
      <c r="AS14" s="57"/>
      <c r="AT14" s="57"/>
      <c r="AU14" s="57"/>
      <c r="AV14" s="57"/>
      <c r="AW14" s="57"/>
      <c r="AX14" s="57"/>
      <c r="AY14" s="57"/>
      <c r="AZ14" s="60"/>
      <c r="BA14" s="57"/>
      <c r="BB14" s="60"/>
      <c r="BC14" s="56"/>
      <c r="BD14" s="60"/>
      <c r="BE14" s="56"/>
      <c r="BF14" s="56"/>
      <c r="BG14" s="56"/>
      <c r="BH14" s="56"/>
      <c r="BI14" s="56"/>
      <c r="BJ14" s="56"/>
      <c r="BK14" s="56"/>
      <c r="BL14" s="60"/>
      <c r="BM14" s="56"/>
      <c r="BN14" s="60"/>
      <c r="BO14" s="57"/>
      <c r="BP14" s="60"/>
      <c r="BQ14" s="57"/>
      <c r="BR14" s="60"/>
      <c r="BS14" s="57"/>
      <c r="BT14" s="57"/>
      <c r="BU14" s="57"/>
      <c r="BV14" s="57"/>
      <c r="BW14" s="57"/>
      <c r="BX14" s="57"/>
      <c r="BY14" s="57"/>
      <c r="BZ14" s="60"/>
      <c r="CA14" s="57"/>
    </row>
    <row r="15" spans="1:79" x14ac:dyDescent="0.15">
      <c r="A15" s="55">
        <v>13</v>
      </c>
      <c r="B15" s="56"/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6"/>
      <c r="AC15" s="60"/>
      <c r="AD15" s="56"/>
      <c r="AE15" s="60"/>
      <c r="AF15" s="56"/>
      <c r="AG15" s="56"/>
      <c r="AH15" s="56"/>
      <c r="AI15" s="56"/>
      <c r="AJ15" s="56"/>
      <c r="AK15" s="56"/>
      <c r="AL15" s="56"/>
      <c r="AM15" s="60"/>
      <c r="AN15" s="56"/>
      <c r="AO15" s="57"/>
      <c r="AP15" s="60"/>
      <c r="AQ15" s="57"/>
      <c r="AR15" s="60"/>
      <c r="AS15" s="57"/>
      <c r="AT15" s="57"/>
      <c r="AU15" s="57"/>
      <c r="AV15" s="57"/>
      <c r="AW15" s="57"/>
      <c r="AX15" s="57"/>
      <c r="AY15" s="57"/>
      <c r="AZ15" s="60"/>
      <c r="BA15" s="57"/>
      <c r="BB15" s="60"/>
      <c r="BC15" s="56"/>
      <c r="BD15" s="60"/>
      <c r="BE15" s="56"/>
      <c r="BF15" s="56"/>
      <c r="BG15" s="56"/>
      <c r="BH15" s="56"/>
      <c r="BI15" s="56"/>
      <c r="BJ15" s="56"/>
      <c r="BK15" s="56"/>
      <c r="BL15" s="60"/>
      <c r="BM15" s="56"/>
      <c r="BN15" s="60"/>
      <c r="BO15" s="57"/>
      <c r="BP15" s="60"/>
      <c r="BQ15" s="57"/>
      <c r="BR15" s="60"/>
      <c r="BS15" s="57"/>
      <c r="BT15" s="57"/>
      <c r="BU15" s="57"/>
      <c r="BV15" s="57"/>
      <c r="BW15" s="57"/>
      <c r="BX15" s="57"/>
      <c r="BY15" s="57"/>
      <c r="BZ15" s="60"/>
      <c r="CA15" s="57"/>
    </row>
    <row r="16" spans="1:79" x14ac:dyDescent="0.15">
      <c r="A16" s="55">
        <v>14</v>
      </c>
      <c r="B16" s="56"/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6"/>
      <c r="AC16" s="60"/>
      <c r="AD16" s="56"/>
      <c r="AE16" s="60"/>
      <c r="AF16" s="56"/>
      <c r="AG16" s="56"/>
      <c r="AH16" s="56"/>
      <c r="AI16" s="56"/>
      <c r="AJ16" s="56"/>
      <c r="AK16" s="56"/>
      <c r="AL16" s="56"/>
      <c r="AM16" s="60"/>
      <c r="AN16" s="56"/>
      <c r="AO16" s="57"/>
      <c r="AP16" s="60"/>
      <c r="AQ16" s="57"/>
      <c r="AR16" s="60"/>
      <c r="AS16" s="57"/>
      <c r="AT16" s="57"/>
      <c r="AU16" s="57"/>
      <c r="AV16" s="57"/>
      <c r="AW16" s="57"/>
      <c r="AX16" s="57"/>
      <c r="AY16" s="57"/>
      <c r="AZ16" s="60"/>
      <c r="BA16" s="57"/>
      <c r="BB16" s="60"/>
      <c r="BC16" s="56"/>
      <c r="BD16" s="60"/>
      <c r="BE16" s="56"/>
      <c r="BF16" s="56"/>
      <c r="BG16" s="56"/>
      <c r="BH16" s="56"/>
      <c r="BI16" s="56"/>
      <c r="BJ16" s="56"/>
      <c r="BK16" s="56"/>
      <c r="BL16" s="60"/>
      <c r="BM16" s="56"/>
      <c r="BN16" s="60"/>
      <c r="BO16" s="57"/>
      <c r="BP16" s="60"/>
      <c r="BQ16" s="57"/>
      <c r="BR16" s="60"/>
      <c r="BS16" s="57"/>
      <c r="BT16" s="57"/>
      <c r="BU16" s="57"/>
      <c r="BV16" s="57"/>
      <c r="BW16" s="57"/>
      <c r="BX16" s="57"/>
      <c r="BY16" s="57"/>
      <c r="BZ16" s="60"/>
      <c r="CA16" s="57"/>
    </row>
    <row r="17" spans="1:79" x14ac:dyDescent="0.15">
      <c r="A17" s="55">
        <v>15</v>
      </c>
      <c r="B17" s="56"/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6"/>
      <c r="AC17" s="60"/>
      <c r="AD17" s="56"/>
      <c r="AE17" s="60"/>
      <c r="AF17" s="56"/>
      <c r="AG17" s="56"/>
      <c r="AH17" s="56"/>
      <c r="AI17" s="56"/>
      <c r="AJ17" s="56"/>
      <c r="AK17" s="56"/>
      <c r="AL17" s="56"/>
      <c r="AM17" s="60"/>
      <c r="AN17" s="56"/>
      <c r="AO17" s="57"/>
      <c r="AP17" s="60"/>
      <c r="AQ17" s="57"/>
      <c r="AR17" s="60"/>
      <c r="AS17" s="57"/>
      <c r="AT17" s="57"/>
      <c r="AU17" s="57"/>
      <c r="AV17" s="57"/>
      <c r="AW17" s="57"/>
      <c r="AX17" s="57"/>
      <c r="AY17" s="57"/>
      <c r="AZ17" s="60"/>
      <c r="BA17" s="57"/>
      <c r="BB17" s="60"/>
      <c r="BC17" s="56"/>
      <c r="BD17" s="60"/>
      <c r="BE17" s="56"/>
      <c r="BF17" s="56"/>
      <c r="BG17" s="56"/>
      <c r="BH17" s="56"/>
      <c r="BI17" s="56"/>
      <c r="BJ17" s="56"/>
      <c r="BK17" s="56"/>
      <c r="BL17" s="60"/>
      <c r="BM17" s="56"/>
      <c r="BN17" s="60"/>
      <c r="BO17" s="57"/>
      <c r="BP17" s="60"/>
      <c r="BQ17" s="57"/>
      <c r="BR17" s="60"/>
      <c r="BS17" s="57"/>
      <c r="BT17" s="57"/>
      <c r="BU17" s="57"/>
      <c r="BV17" s="57"/>
      <c r="BW17" s="57"/>
      <c r="BX17" s="57"/>
      <c r="BY17" s="57"/>
      <c r="BZ17" s="60"/>
      <c r="CA17" s="57"/>
    </row>
    <row r="18" spans="1:79" x14ac:dyDescent="0.15">
      <c r="A18" s="55">
        <v>16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6"/>
      <c r="AC18" s="60"/>
      <c r="AD18" s="56"/>
      <c r="AE18" s="60"/>
      <c r="AF18" s="56"/>
      <c r="AG18" s="56"/>
      <c r="AH18" s="56"/>
      <c r="AI18" s="56"/>
      <c r="AJ18" s="56"/>
      <c r="AK18" s="56"/>
      <c r="AL18" s="56"/>
      <c r="AM18" s="60"/>
      <c r="AN18" s="56"/>
      <c r="AO18" s="57"/>
      <c r="AP18" s="60"/>
      <c r="AQ18" s="57"/>
      <c r="AR18" s="60"/>
      <c r="AS18" s="57"/>
      <c r="AT18" s="57"/>
      <c r="AU18" s="57"/>
      <c r="AV18" s="57"/>
      <c r="AW18" s="57"/>
      <c r="AX18" s="57"/>
      <c r="AY18" s="57"/>
      <c r="AZ18" s="60"/>
      <c r="BA18" s="57"/>
      <c r="BB18" s="60"/>
      <c r="BC18" s="56"/>
      <c r="BD18" s="60"/>
      <c r="BE18" s="56"/>
      <c r="BF18" s="56"/>
      <c r="BG18" s="56"/>
      <c r="BH18" s="56"/>
      <c r="BI18" s="56"/>
      <c r="BJ18" s="56"/>
      <c r="BK18" s="56"/>
      <c r="BL18" s="60"/>
      <c r="BM18" s="56"/>
      <c r="BN18" s="60"/>
      <c r="BO18" s="57"/>
      <c r="BP18" s="60"/>
      <c r="BQ18" s="57"/>
      <c r="BR18" s="60"/>
      <c r="BS18" s="57"/>
      <c r="BT18" s="57"/>
      <c r="BU18" s="57"/>
      <c r="BV18" s="57"/>
      <c r="BW18" s="57"/>
      <c r="BX18" s="57"/>
      <c r="BY18" s="57"/>
      <c r="BZ18" s="60"/>
      <c r="CA18" s="57"/>
    </row>
    <row r="19" spans="1:79" x14ac:dyDescent="0.15">
      <c r="A19" s="55">
        <v>17</v>
      </c>
      <c r="B19" s="56"/>
      <c r="C19" s="56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6"/>
      <c r="AC19" s="60"/>
      <c r="AD19" s="56"/>
      <c r="AE19" s="60"/>
      <c r="AF19" s="56"/>
      <c r="AG19" s="56"/>
      <c r="AH19" s="56"/>
      <c r="AI19" s="56"/>
      <c r="AJ19" s="56"/>
      <c r="AK19" s="56"/>
      <c r="AL19" s="56"/>
      <c r="AM19" s="60"/>
      <c r="AN19" s="56"/>
      <c r="AO19" s="57"/>
      <c r="AP19" s="60"/>
      <c r="AQ19" s="57"/>
      <c r="AR19" s="60"/>
      <c r="AS19" s="57"/>
      <c r="AT19" s="57"/>
      <c r="AU19" s="57"/>
      <c r="AV19" s="57"/>
      <c r="AW19" s="57"/>
      <c r="AX19" s="57"/>
      <c r="AY19" s="57"/>
      <c r="AZ19" s="60"/>
      <c r="BA19" s="57"/>
      <c r="BB19" s="60"/>
      <c r="BC19" s="56"/>
      <c r="BD19" s="60"/>
      <c r="BE19" s="56"/>
      <c r="BF19" s="56"/>
      <c r="BG19" s="56"/>
      <c r="BH19" s="56"/>
      <c r="BI19" s="56"/>
      <c r="BJ19" s="56"/>
      <c r="BK19" s="56"/>
      <c r="BL19" s="60"/>
      <c r="BM19" s="56"/>
      <c r="BN19" s="60"/>
      <c r="BO19" s="57"/>
      <c r="BP19" s="60"/>
      <c r="BQ19" s="57"/>
      <c r="BR19" s="60"/>
      <c r="BS19" s="57"/>
      <c r="BT19" s="57"/>
      <c r="BU19" s="57"/>
      <c r="BV19" s="57"/>
      <c r="BW19" s="57"/>
      <c r="BX19" s="57"/>
      <c r="BY19" s="57"/>
      <c r="BZ19" s="60"/>
      <c r="CA19" s="57"/>
    </row>
    <row r="20" spans="1:79" x14ac:dyDescent="0.15">
      <c r="A20" s="55">
        <v>18</v>
      </c>
      <c r="B20" s="56"/>
      <c r="C20" s="56"/>
      <c r="D20" s="56"/>
      <c r="E20" s="56"/>
      <c r="F20" s="56"/>
      <c r="G20" s="56"/>
      <c r="H20" s="56"/>
      <c r="I20" s="56"/>
      <c r="J20" s="56"/>
      <c r="K20" s="56"/>
      <c r="L20" s="56"/>
      <c r="M20" s="56"/>
      <c r="N20" s="56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6"/>
      <c r="AC20" s="60"/>
      <c r="AD20" s="56"/>
      <c r="AE20" s="60"/>
      <c r="AF20" s="56"/>
      <c r="AG20" s="56"/>
      <c r="AH20" s="56"/>
      <c r="AI20" s="56"/>
      <c r="AJ20" s="56"/>
      <c r="AK20" s="56"/>
      <c r="AL20" s="56"/>
      <c r="AM20" s="60"/>
      <c r="AN20" s="56"/>
      <c r="AO20" s="57"/>
      <c r="AP20" s="60"/>
      <c r="AQ20" s="57"/>
      <c r="AR20" s="60"/>
      <c r="AS20" s="57"/>
      <c r="AT20" s="57"/>
      <c r="AU20" s="57"/>
      <c r="AV20" s="57"/>
      <c r="AW20" s="57"/>
      <c r="AX20" s="57"/>
      <c r="AY20" s="57"/>
      <c r="AZ20" s="60"/>
      <c r="BA20" s="57"/>
      <c r="BB20" s="60"/>
      <c r="BC20" s="56"/>
      <c r="BD20" s="60"/>
      <c r="BE20" s="56"/>
      <c r="BF20" s="56"/>
      <c r="BG20" s="56"/>
      <c r="BH20" s="56"/>
      <c r="BI20" s="56"/>
      <c r="BJ20" s="56"/>
      <c r="BK20" s="56"/>
      <c r="BL20" s="60"/>
      <c r="BM20" s="56"/>
      <c r="BN20" s="60"/>
      <c r="BO20" s="57"/>
      <c r="BP20" s="60"/>
      <c r="BQ20" s="57"/>
      <c r="BR20" s="60"/>
      <c r="BS20" s="57"/>
      <c r="BT20" s="57"/>
      <c r="BU20" s="57"/>
      <c r="BV20" s="57"/>
      <c r="BW20" s="57"/>
      <c r="BX20" s="57"/>
      <c r="BY20" s="57"/>
      <c r="BZ20" s="60"/>
      <c r="CA20" s="57"/>
    </row>
    <row r="21" spans="1:79" x14ac:dyDescent="0.15">
      <c r="A21" s="55">
        <v>19</v>
      </c>
      <c r="B21" s="56"/>
      <c r="C21" s="56"/>
      <c r="D21" s="56"/>
      <c r="E21" s="56"/>
      <c r="F21" s="56"/>
      <c r="G21" s="56"/>
      <c r="H21" s="56"/>
      <c r="I21" s="56"/>
      <c r="J21" s="56"/>
      <c r="K21" s="56"/>
      <c r="L21" s="56"/>
      <c r="M21" s="56"/>
      <c r="N21" s="56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6"/>
      <c r="AC21" s="60"/>
      <c r="AD21" s="56"/>
      <c r="AE21" s="60"/>
      <c r="AF21" s="56"/>
      <c r="AG21" s="56"/>
      <c r="AH21" s="56"/>
      <c r="AI21" s="56"/>
      <c r="AJ21" s="56"/>
      <c r="AK21" s="56"/>
      <c r="AL21" s="56"/>
      <c r="AM21" s="60"/>
      <c r="AN21" s="56"/>
      <c r="AO21" s="57"/>
      <c r="AP21" s="60"/>
      <c r="AQ21" s="57"/>
      <c r="AR21" s="60"/>
      <c r="AS21" s="57"/>
      <c r="AT21" s="57"/>
      <c r="AU21" s="57"/>
      <c r="AV21" s="57"/>
      <c r="AW21" s="57"/>
      <c r="AX21" s="57"/>
      <c r="AY21" s="57"/>
      <c r="AZ21" s="60"/>
      <c r="BA21" s="57"/>
      <c r="BB21" s="60"/>
      <c r="BC21" s="56"/>
      <c r="BD21" s="60"/>
      <c r="BE21" s="56"/>
      <c r="BF21" s="56"/>
      <c r="BG21" s="56"/>
      <c r="BH21" s="56"/>
      <c r="BI21" s="56"/>
      <c r="BJ21" s="56"/>
      <c r="BK21" s="56"/>
      <c r="BL21" s="60"/>
      <c r="BM21" s="56"/>
      <c r="BN21" s="60"/>
      <c r="BO21" s="57"/>
      <c r="BP21" s="60"/>
      <c r="BQ21" s="57"/>
      <c r="BR21" s="60"/>
      <c r="BS21" s="57"/>
      <c r="BT21" s="57"/>
      <c r="BU21" s="57"/>
      <c r="BV21" s="57"/>
      <c r="BW21" s="57"/>
      <c r="BX21" s="57"/>
      <c r="BY21" s="57"/>
      <c r="BZ21" s="60"/>
      <c r="CA21" s="57"/>
    </row>
    <row r="22" spans="1:79" x14ac:dyDescent="0.15">
      <c r="A22" s="55">
        <v>20</v>
      </c>
      <c r="B22" s="56"/>
      <c r="C22" s="56"/>
      <c r="D22" s="56"/>
      <c r="E22" s="56"/>
      <c r="F22" s="56"/>
      <c r="G22" s="56"/>
      <c r="H22" s="56"/>
      <c r="I22" s="56"/>
      <c r="J22" s="56"/>
      <c r="K22" s="56"/>
      <c r="L22" s="56"/>
      <c r="M22" s="56"/>
      <c r="N22" s="56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6"/>
      <c r="AC22" s="60"/>
      <c r="AD22" s="56"/>
      <c r="AE22" s="60"/>
      <c r="AF22" s="56"/>
      <c r="AG22" s="56"/>
      <c r="AH22" s="56"/>
      <c r="AI22" s="56"/>
      <c r="AJ22" s="56"/>
      <c r="AK22" s="56"/>
      <c r="AL22" s="56"/>
      <c r="AM22" s="60"/>
      <c r="AN22" s="56"/>
      <c r="AO22" s="57"/>
      <c r="AP22" s="60"/>
      <c r="AQ22" s="57"/>
      <c r="AR22" s="60"/>
      <c r="AS22" s="57"/>
      <c r="AT22" s="57"/>
      <c r="AU22" s="57"/>
      <c r="AV22" s="57"/>
      <c r="AW22" s="57"/>
      <c r="AX22" s="57"/>
      <c r="AY22" s="57"/>
      <c r="AZ22" s="60"/>
      <c r="BA22" s="57"/>
      <c r="BB22" s="60"/>
      <c r="BC22" s="56"/>
      <c r="BD22" s="60"/>
      <c r="BE22" s="56"/>
      <c r="BF22" s="56"/>
      <c r="BG22" s="56"/>
      <c r="BH22" s="56"/>
      <c r="BI22" s="56"/>
      <c r="BJ22" s="56"/>
      <c r="BK22" s="56"/>
      <c r="BL22" s="60"/>
      <c r="BM22" s="56"/>
      <c r="BN22" s="60"/>
      <c r="BO22" s="57"/>
      <c r="BP22" s="60"/>
      <c r="BQ22" s="57"/>
      <c r="BR22" s="60"/>
      <c r="BS22" s="57"/>
      <c r="BT22" s="57"/>
      <c r="BU22" s="57"/>
      <c r="BV22" s="57"/>
      <c r="BW22" s="57"/>
      <c r="BX22" s="57"/>
      <c r="BY22" s="57"/>
      <c r="BZ22" s="60"/>
      <c r="CA22" s="57"/>
    </row>
    <row r="23" spans="1:79" x14ac:dyDescent="0.15">
      <c r="A23" s="55">
        <v>21</v>
      </c>
      <c r="B23" s="56"/>
      <c r="C23" s="56"/>
      <c r="D23" s="56"/>
      <c r="E23" s="56"/>
      <c r="F23" s="56"/>
      <c r="G23" s="56"/>
      <c r="H23" s="56"/>
      <c r="I23" s="56"/>
      <c r="J23" s="56"/>
      <c r="K23" s="56"/>
      <c r="L23" s="56"/>
      <c r="M23" s="56"/>
      <c r="N23" s="56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6"/>
      <c r="AC23" s="60"/>
      <c r="AD23" s="56"/>
      <c r="AE23" s="60"/>
      <c r="AF23" s="56"/>
      <c r="AG23" s="56"/>
      <c r="AH23" s="56"/>
      <c r="AI23" s="56"/>
      <c r="AJ23" s="56"/>
      <c r="AK23" s="56"/>
      <c r="AL23" s="56"/>
      <c r="AM23" s="60"/>
      <c r="AN23" s="56"/>
      <c r="AO23" s="57"/>
      <c r="AP23" s="60"/>
      <c r="AQ23" s="57"/>
      <c r="AR23" s="60"/>
      <c r="AS23" s="57"/>
      <c r="AT23" s="57"/>
      <c r="AU23" s="57"/>
      <c r="AV23" s="57"/>
      <c r="AW23" s="57"/>
      <c r="AX23" s="57"/>
      <c r="AY23" s="57"/>
      <c r="AZ23" s="60"/>
      <c r="BA23" s="57"/>
      <c r="BB23" s="60"/>
      <c r="BC23" s="56"/>
      <c r="BD23" s="60"/>
      <c r="BE23" s="56"/>
      <c r="BF23" s="56"/>
      <c r="BG23" s="56"/>
      <c r="BH23" s="56"/>
      <c r="BI23" s="56"/>
      <c r="BJ23" s="56"/>
      <c r="BK23" s="56"/>
      <c r="BL23" s="60"/>
      <c r="BM23" s="56"/>
      <c r="BN23" s="60"/>
      <c r="BO23" s="57"/>
      <c r="BP23" s="60"/>
      <c r="BQ23" s="57"/>
      <c r="BR23" s="60"/>
      <c r="BS23" s="57"/>
      <c r="BT23" s="57"/>
      <c r="BU23" s="57"/>
      <c r="BV23" s="57"/>
      <c r="BW23" s="57"/>
      <c r="BX23" s="57"/>
      <c r="BY23" s="57"/>
      <c r="BZ23" s="60"/>
      <c r="CA23" s="57"/>
    </row>
    <row r="24" spans="1:79" x14ac:dyDescent="0.15">
      <c r="A24" s="55">
        <v>22</v>
      </c>
      <c r="B24" s="56"/>
      <c r="C24" s="56"/>
      <c r="D24" s="56"/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6"/>
      <c r="AC24" s="60"/>
      <c r="AD24" s="56"/>
      <c r="AE24" s="60"/>
      <c r="AF24" s="56"/>
      <c r="AG24" s="56"/>
      <c r="AH24" s="56"/>
      <c r="AI24" s="56"/>
      <c r="AJ24" s="56"/>
      <c r="AK24" s="56"/>
      <c r="AL24" s="56"/>
      <c r="AM24" s="60"/>
      <c r="AN24" s="56"/>
      <c r="AO24" s="57"/>
      <c r="AP24" s="60"/>
      <c r="AQ24" s="57"/>
      <c r="AR24" s="60"/>
      <c r="AS24" s="57"/>
      <c r="AT24" s="57"/>
      <c r="AU24" s="57"/>
      <c r="AV24" s="57"/>
      <c r="AW24" s="57"/>
      <c r="AX24" s="57"/>
      <c r="AY24" s="57"/>
      <c r="AZ24" s="60"/>
      <c r="BA24" s="57"/>
      <c r="BB24" s="60"/>
      <c r="BC24" s="56"/>
      <c r="BD24" s="60"/>
      <c r="BE24" s="56"/>
      <c r="BF24" s="56"/>
      <c r="BG24" s="56"/>
      <c r="BH24" s="56"/>
      <c r="BI24" s="56"/>
      <c r="BJ24" s="56"/>
      <c r="BK24" s="56"/>
      <c r="BL24" s="60"/>
      <c r="BM24" s="56"/>
      <c r="BN24" s="60"/>
      <c r="BO24" s="57"/>
      <c r="BP24" s="60"/>
      <c r="BQ24" s="57"/>
      <c r="BR24" s="60"/>
      <c r="BS24" s="57"/>
      <c r="BT24" s="57"/>
      <c r="BU24" s="57"/>
      <c r="BV24" s="57"/>
      <c r="BW24" s="57"/>
      <c r="BX24" s="57"/>
      <c r="BY24" s="57"/>
      <c r="BZ24" s="60"/>
      <c r="CA24" s="57"/>
    </row>
    <row r="25" spans="1:79" x14ac:dyDescent="0.15">
      <c r="A25" s="55">
        <v>23</v>
      </c>
      <c r="B25" s="56"/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6"/>
      <c r="AC25" s="60"/>
      <c r="AD25" s="56"/>
      <c r="AE25" s="60"/>
      <c r="AF25" s="56"/>
      <c r="AG25" s="56"/>
      <c r="AH25" s="56"/>
      <c r="AI25" s="56"/>
      <c r="AJ25" s="56"/>
      <c r="AK25" s="56"/>
      <c r="AL25" s="56"/>
      <c r="AM25" s="60"/>
      <c r="AN25" s="56"/>
      <c r="AO25" s="57"/>
      <c r="AP25" s="60"/>
      <c r="AQ25" s="57"/>
      <c r="AR25" s="60"/>
      <c r="AS25" s="57"/>
      <c r="AT25" s="57"/>
      <c r="AU25" s="57"/>
      <c r="AV25" s="57"/>
      <c r="AW25" s="57"/>
      <c r="AX25" s="57"/>
      <c r="AY25" s="57"/>
      <c r="AZ25" s="60"/>
      <c r="BA25" s="57"/>
      <c r="BB25" s="60"/>
      <c r="BC25" s="56"/>
      <c r="BD25" s="60"/>
      <c r="BE25" s="56"/>
      <c r="BF25" s="56"/>
      <c r="BG25" s="56"/>
      <c r="BH25" s="56"/>
      <c r="BI25" s="56"/>
      <c r="BJ25" s="56"/>
      <c r="BK25" s="56"/>
      <c r="BL25" s="60"/>
      <c r="BM25" s="56"/>
      <c r="BN25" s="60"/>
      <c r="BO25" s="57"/>
      <c r="BP25" s="60"/>
      <c r="BQ25" s="57"/>
      <c r="BR25" s="60"/>
      <c r="BS25" s="57"/>
      <c r="BT25" s="57"/>
      <c r="BU25" s="57"/>
      <c r="BV25" s="57"/>
      <c r="BW25" s="57"/>
      <c r="BX25" s="57"/>
      <c r="BY25" s="57"/>
      <c r="BZ25" s="60"/>
      <c r="CA25" s="57"/>
    </row>
    <row r="26" spans="1:79" x14ac:dyDescent="0.15">
      <c r="A26" s="55">
        <v>24</v>
      </c>
      <c r="B26" s="56"/>
      <c r="C26" s="56"/>
      <c r="D26" s="56"/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6"/>
      <c r="AC26" s="60"/>
      <c r="AD26" s="56"/>
      <c r="AE26" s="60"/>
      <c r="AF26" s="56"/>
      <c r="AG26" s="56"/>
      <c r="AH26" s="56"/>
      <c r="AI26" s="56"/>
      <c r="AJ26" s="56"/>
      <c r="AK26" s="56"/>
      <c r="AL26" s="56"/>
      <c r="AM26" s="60"/>
      <c r="AN26" s="56"/>
      <c r="AO26" s="57"/>
      <c r="AP26" s="60"/>
      <c r="AQ26" s="57"/>
      <c r="AR26" s="60"/>
      <c r="AS26" s="57"/>
      <c r="AT26" s="57"/>
      <c r="AU26" s="57"/>
      <c r="AV26" s="57"/>
      <c r="AW26" s="57"/>
      <c r="AX26" s="57"/>
      <c r="AY26" s="57"/>
      <c r="AZ26" s="60"/>
      <c r="BA26" s="57"/>
      <c r="BB26" s="60"/>
      <c r="BC26" s="56"/>
      <c r="BD26" s="60"/>
      <c r="BE26" s="56"/>
      <c r="BF26" s="56"/>
      <c r="BG26" s="56"/>
      <c r="BH26" s="56"/>
      <c r="BI26" s="56"/>
      <c r="BJ26" s="56"/>
      <c r="BK26" s="56"/>
      <c r="BL26" s="60"/>
      <c r="BM26" s="56"/>
      <c r="BN26" s="60"/>
      <c r="BO26" s="57"/>
      <c r="BP26" s="60"/>
      <c r="BQ26" s="57"/>
      <c r="BR26" s="60"/>
      <c r="BS26" s="57"/>
      <c r="BT26" s="57"/>
      <c r="BU26" s="57"/>
      <c r="BV26" s="57"/>
      <c r="BW26" s="57"/>
      <c r="BX26" s="57"/>
      <c r="BY26" s="57"/>
      <c r="BZ26" s="60"/>
      <c r="CA26" s="57"/>
    </row>
    <row r="27" spans="1:79" x14ac:dyDescent="0.15">
      <c r="A27" s="55">
        <v>25</v>
      </c>
      <c r="B27" s="56"/>
      <c r="C27" s="56"/>
      <c r="D27" s="56"/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6"/>
      <c r="AC27" s="60"/>
      <c r="AD27" s="56"/>
      <c r="AE27" s="60"/>
      <c r="AF27" s="56"/>
      <c r="AG27" s="56"/>
      <c r="AH27" s="56"/>
      <c r="AI27" s="56"/>
      <c r="AJ27" s="56"/>
      <c r="AK27" s="56"/>
      <c r="AL27" s="56"/>
      <c r="AM27" s="60"/>
      <c r="AN27" s="56"/>
      <c r="AO27" s="57"/>
      <c r="AP27" s="60"/>
      <c r="AQ27" s="57"/>
      <c r="AR27" s="60"/>
      <c r="AS27" s="57"/>
      <c r="AT27" s="57"/>
      <c r="AU27" s="57"/>
      <c r="AV27" s="57"/>
      <c r="AW27" s="57"/>
      <c r="AX27" s="57"/>
      <c r="AY27" s="57"/>
      <c r="AZ27" s="60"/>
      <c r="BA27" s="57"/>
      <c r="BB27" s="60"/>
      <c r="BC27" s="56"/>
      <c r="BD27" s="60"/>
      <c r="BE27" s="56"/>
      <c r="BF27" s="56"/>
      <c r="BG27" s="56"/>
      <c r="BH27" s="56"/>
      <c r="BI27" s="56"/>
      <c r="BJ27" s="56"/>
      <c r="BK27" s="56"/>
      <c r="BL27" s="60"/>
      <c r="BM27" s="56"/>
      <c r="BN27" s="60"/>
      <c r="BO27" s="57"/>
      <c r="BP27" s="60"/>
      <c r="BQ27" s="57"/>
      <c r="BR27" s="60"/>
      <c r="BS27" s="57"/>
      <c r="BT27" s="57"/>
      <c r="BU27" s="57"/>
      <c r="BV27" s="57"/>
      <c r="BW27" s="57"/>
      <c r="BX27" s="57"/>
      <c r="BY27" s="57"/>
      <c r="BZ27" s="60"/>
      <c r="CA27" s="57"/>
    </row>
    <row r="28" spans="1:79" x14ac:dyDescent="0.15">
      <c r="A28" s="55">
        <v>26</v>
      </c>
      <c r="B28" s="56"/>
      <c r="C28" s="56"/>
      <c r="D28" s="56"/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6"/>
      <c r="AC28" s="60"/>
      <c r="AD28" s="56"/>
      <c r="AE28" s="60"/>
      <c r="AF28" s="56"/>
      <c r="AG28" s="56"/>
      <c r="AH28" s="56"/>
      <c r="AI28" s="56"/>
      <c r="AJ28" s="56"/>
      <c r="AK28" s="56"/>
      <c r="AL28" s="56"/>
      <c r="AM28" s="60"/>
      <c r="AN28" s="56"/>
      <c r="AO28" s="57"/>
      <c r="AP28" s="60"/>
      <c r="AQ28" s="57"/>
      <c r="AR28" s="60"/>
      <c r="AS28" s="57"/>
      <c r="AT28" s="57"/>
      <c r="AU28" s="57"/>
      <c r="AV28" s="57"/>
      <c r="AW28" s="57"/>
      <c r="AX28" s="57"/>
      <c r="AY28" s="57"/>
      <c r="AZ28" s="60"/>
      <c r="BA28" s="57"/>
      <c r="BB28" s="60"/>
      <c r="BC28" s="56"/>
      <c r="BD28" s="60"/>
      <c r="BE28" s="56"/>
      <c r="BF28" s="56"/>
      <c r="BG28" s="56"/>
      <c r="BH28" s="56"/>
      <c r="BI28" s="56"/>
      <c r="BJ28" s="56"/>
      <c r="BK28" s="56"/>
      <c r="BL28" s="60"/>
      <c r="BM28" s="56"/>
      <c r="BN28" s="60"/>
      <c r="BO28" s="57"/>
      <c r="BP28" s="60"/>
      <c r="BQ28" s="57"/>
      <c r="BR28" s="60"/>
      <c r="BS28" s="57"/>
      <c r="BT28" s="57"/>
      <c r="BU28" s="57"/>
      <c r="BV28" s="57"/>
      <c r="BW28" s="57"/>
      <c r="BX28" s="57"/>
      <c r="BY28" s="57"/>
      <c r="BZ28" s="60"/>
      <c r="CA28" s="57"/>
    </row>
    <row r="29" spans="1:79" x14ac:dyDescent="0.15">
      <c r="A29" s="55">
        <v>27</v>
      </c>
      <c r="B29" s="56"/>
      <c r="C29" s="56"/>
      <c r="D29" s="56"/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6"/>
      <c r="AC29" s="60"/>
      <c r="AD29" s="56"/>
      <c r="AE29" s="60"/>
      <c r="AF29" s="56"/>
      <c r="AG29" s="56"/>
      <c r="AH29" s="56"/>
      <c r="AI29" s="56"/>
      <c r="AJ29" s="56"/>
      <c r="AK29" s="56"/>
      <c r="AL29" s="56"/>
      <c r="AM29" s="60"/>
      <c r="AN29" s="56"/>
      <c r="AO29" s="57"/>
      <c r="AP29" s="60"/>
      <c r="AQ29" s="57"/>
      <c r="AR29" s="60"/>
      <c r="AS29" s="57"/>
      <c r="AT29" s="57"/>
      <c r="AU29" s="57"/>
      <c r="AV29" s="57"/>
      <c r="AW29" s="57"/>
      <c r="AX29" s="57"/>
      <c r="AY29" s="57"/>
      <c r="AZ29" s="60"/>
      <c r="BA29" s="57"/>
      <c r="BB29" s="60"/>
      <c r="BC29" s="56"/>
      <c r="BD29" s="60"/>
      <c r="BE29" s="56"/>
      <c r="BF29" s="56"/>
      <c r="BG29" s="56"/>
      <c r="BH29" s="56"/>
      <c r="BI29" s="56"/>
      <c r="BJ29" s="56"/>
      <c r="BK29" s="56"/>
      <c r="BL29" s="60"/>
      <c r="BM29" s="56"/>
      <c r="BN29" s="60"/>
      <c r="BO29" s="57"/>
      <c r="BP29" s="60"/>
      <c r="BQ29" s="57"/>
      <c r="BR29" s="60"/>
      <c r="BS29" s="57"/>
      <c r="BT29" s="57"/>
      <c r="BU29" s="57"/>
      <c r="BV29" s="57"/>
      <c r="BW29" s="57"/>
      <c r="BX29" s="57"/>
      <c r="BY29" s="57"/>
      <c r="BZ29" s="60"/>
      <c r="CA29" s="57"/>
    </row>
    <row r="30" spans="1:79" x14ac:dyDescent="0.15">
      <c r="A30" s="55">
        <v>28</v>
      </c>
      <c r="B30" s="56"/>
      <c r="C30" s="56"/>
      <c r="D30" s="56"/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6"/>
      <c r="AC30" s="60"/>
      <c r="AD30" s="56"/>
      <c r="AE30" s="60"/>
      <c r="AF30" s="56"/>
      <c r="AG30" s="56"/>
      <c r="AH30" s="56"/>
      <c r="AI30" s="56"/>
      <c r="AJ30" s="56"/>
      <c r="AK30" s="56"/>
      <c r="AL30" s="56"/>
      <c r="AM30" s="60"/>
      <c r="AN30" s="56"/>
      <c r="AO30" s="57"/>
      <c r="AP30" s="60"/>
      <c r="AQ30" s="57"/>
      <c r="AR30" s="60"/>
      <c r="AS30" s="57"/>
      <c r="AT30" s="57"/>
      <c r="AU30" s="57"/>
      <c r="AV30" s="57"/>
      <c r="AW30" s="57"/>
      <c r="AX30" s="57"/>
      <c r="AY30" s="57"/>
      <c r="AZ30" s="60"/>
      <c r="BA30" s="57"/>
      <c r="BB30" s="60"/>
      <c r="BC30" s="56"/>
      <c r="BD30" s="60"/>
      <c r="BE30" s="56"/>
      <c r="BF30" s="56"/>
      <c r="BG30" s="56"/>
      <c r="BH30" s="56"/>
      <c r="BI30" s="56"/>
      <c r="BJ30" s="56"/>
      <c r="BK30" s="56"/>
      <c r="BL30" s="60"/>
      <c r="BM30" s="56"/>
      <c r="BN30" s="60"/>
      <c r="BO30" s="57"/>
      <c r="BP30" s="60"/>
      <c r="BQ30" s="57"/>
      <c r="BR30" s="60"/>
      <c r="BS30" s="57"/>
      <c r="BT30" s="57"/>
      <c r="BU30" s="57"/>
      <c r="BV30" s="57"/>
      <c r="BW30" s="57"/>
      <c r="BX30" s="57"/>
      <c r="BY30" s="57"/>
      <c r="BZ30" s="60"/>
      <c r="CA30" s="57"/>
    </row>
    <row r="31" spans="1:79" x14ac:dyDescent="0.15">
      <c r="A31" s="55">
        <v>29</v>
      </c>
      <c r="B31" s="56"/>
      <c r="C31" s="56"/>
      <c r="D31" s="56"/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6"/>
      <c r="AC31" s="60"/>
      <c r="AD31" s="56"/>
      <c r="AE31" s="60"/>
      <c r="AF31" s="56"/>
      <c r="AG31" s="56"/>
      <c r="AH31" s="56"/>
      <c r="AI31" s="56"/>
      <c r="AJ31" s="56"/>
      <c r="AK31" s="56"/>
      <c r="AL31" s="56"/>
      <c r="AM31" s="60"/>
      <c r="AN31" s="56"/>
      <c r="AO31" s="57"/>
      <c r="AP31" s="60"/>
      <c r="AQ31" s="57"/>
      <c r="AR31" s="60"/>
      <c r="AS31" s="57"/>
      <c r="AT31" s="57"/>
      <c r="AU31" s="57"/>
      <c r="AV31" s="57"/>
      <c r="AW31" s="57"/>
      <c r="AX31" s="57"/>
      <c r="AY31" s="57"/>
      <c r="AZ31" s="60"/>
      <c r="BA31" s="57"/>
      <c r="BB31" s="60"/>
      <c r="BC31" s="56"/>
      <c r="BD31" s="60"/>
      <c r="BE31" s="56"/>
      <c r="BF31" s="56"/>
      <c r="BG31" s="56"/>
      <c r="BH31" s="56"/>
      <c r="BI31" s="56"/>
      <c r="BJ31" s="56"/>
      <c r="BK31" s="56"/>
      <c r="BL31" s="60"/>
      <c r="BM31" s="56"/>
      <c r="BN31" s="60"/>
      <c r="BO31" s="57"/>
      <c r="BP31" s="60"/>
      <c r="BQ31" s="57"/>
      <c r="BR31" s="60"/>
      <c r="BS31" s="57"/>
      <c r="BT31" s="57"/>
      <c r="BU31" s="57"/>
      <c r="BV31" s="57"/>
      <c r="BW31" s="57"/>
      <c r="BX31" s="57"/>
      <c r="BY31" s="57"/>
      <c r="BZ31" s="60"/>
      <c r="CA31" s="57"/>
    </row>
    <row r="32" spans="1:79" x14ac:dyDescent="0.15">
      <c r="A32" s="55">
        <v>30</v>
      </c>
      <c r="B32" s="56"/>
      <c r="C32" s="56"/>
      <c r="D32" s="56"/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6"/>
      <c r="AC32" s="60"/>
      <c r="AD32" s="56"/>
      <c r="AE32" s="60"/>
      <c r="AF32" s="56"/>
      <c r="AG32" s="56"/>
      <c r="AH32" s="56"/>
      <c r="AI32" s="56"/>
      <c r="AJ32" s="56"/>
      <c r="AK32" s="56"/>
      <c r="AL32" s="56"/>
      <c r="AM32" s="60"/>
      <c r="AN32" s="56"/>
      <c r="AO32" s="57"/>
      <c r="AP32" s="60"/>
      <c r="AQ32" s="57"/>
      <c r="AR32" s="60"/>
      <c r="AS32" s="57"/>
      <c r="AT32" s="57"/>
      <c r="AU32" s="57"/>
      <c r="AV32" s="57"/>
      <c r="AW32" s="57"/>
      <c r="AX32" s="57"/>
      <c r="AY32" s="57"/>
      <c r="AZ32" s="60"/>
      <c r="BA32" s="57"/>
      <c r="BB32" s="60"/>
      <c r="BC32" s="56"/>
      <c r="BD32" s="60"/>
      <c r="BE32" s="56"/>
      <c r="BF32" s="56"/>
      <c r="BG32" s="56"/>
      <c r="BH32" s="56"/>
      <c r="BI32" s="56"/>
      <c r="BJ32" s="56"/>
      <c r="BK32" s="56"/>
      <c r="BL32" s="60"/>
      <c r="BM32" s="56"/>
      <c r="BN32" s="60"/>
      <c r="BO32" s="57"/>
      <c r="BP32" s="60"/>
      <c r="BQ32" s="57"/>
      <c r="BR32" s="60"/>
      <c r="BS32" s="57"/>
      <c r="BT32" s="57"/>
      <c r="BU32" s="57"/>
      <c r="BV32" s="57"/>
      <c r="BW32" s="57"/>
      <c r="BX32" s="57"/>
      <c r="BY32" s="57"/>
      <c r="BZ32" s="60"/>
      <c r="CA32" s="57"/>
    </row>
    <row r="33" spans="1:79" x14ac:dyDescent="0.15">
      <c r="A33" s="55">
        <v>31</v>
      </c>
      <c r="B33" s="56"/>
      <c r="C33" s="56"/>
      <c r="D33" s="56"/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6"/>
      <c r="AC33" s="60"/>
      <c r="AD33" s="56"/>
      <c r="AE33" s="60"/>
      <c r="AF33" s="56"/>
      <c r="AG33" s="56"/>
      <c r="AH33" s="56"/>
      <c r="AI33" s="56"/>
      <c r="AJ33" s="56"/>
      <c r="AK33" s="56"/>
      <c r="AL33" s="56"/>
      <c r="AM33" s="60"/>
      <c r="AN33" s="56"/>
      <c r="AO33" s="57"/>
      <c r="AP33" s="60"/>
      <c r="AQ33" s="57"/>
      <c r="AR33" s="60"/>
      <c r="AS33" s="57"/>
      <c r="AT33" s="57"/>
      <c r="AU33" s="57"/>
      <c r="AV33" s="57"/>
      <c r="AW33" s="57"/>
      <c r="AX33" s="57"/>
      <c r="AY33" s="57"/>
      <c r="AZ33" s="60"/>
      <c r="BA33" s="57"/>
      <c r="BB33" s="60"/>
      <c r="BC33" s="56"/>
      <c r="BD33" s="60"/>
      <c r="BE33" s="56"/>
      <c r="BF33" s="56"/>
      <c r="BG33" s="56"/>
      <c r="BH33" s="56"/>
      <c r="BI33" s="56"/>
      <c r="BJ33" s="56"/>
      <c r="BK33" s="56"/>
      <c r="BL33" s="60"/>
      <c r="BM33" s="56"/>
      <c r="BN33" s="60"/>
      <c r="BO33" s="57"/>
      <c r="BP33" s="60"/>
      <c r="BQ33" s="57"/>
      <c r="BR33" s="60"/>
      <c r="BS33" s="57"/>
      <c r="BT33" s="57"/>
      <c r="BU33" s="57"/>
      <c r="BV33" s="57"/>
      <c r="BW33" s="57"/>
      <c r="BX33" s="57"/>
      <c r="BY33" s="57"/>
      <c r="BZ33" s="60"/>
      <c r="CA33" s="57"/>
    </row>
    <row r="34" spans="1:79" x14ac:dyDescent="0.15">
      <c r="A34" s="55">
        <v>32</v>
      </c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6"/>
      <c r="AC34" s="60"/>
      <c r="AD34" s="56"/>
      <c r="AE34" s="60"/>
      <c r="AF34" s="56"/>
      <c r="AG34" s="56"/>
      <c r="AH34" s="56"/>
      <c r="AI34" s="56"/>
      <c r="AJ34" s="56"/>
      <c r="AK34" s="56"/>
      <c r="AL34" s="56"/>
      <c r="AM34" s="60"/>
      <c r="AN34" s="56"/>
      <c r="AO34" s="57"/>
      <c r="AP34" s="60"/>
      <c r="AQ34" s="57"/>
      <c r="AR34" s="60"/>
      <c r="AS34" s="57"/>
      <c r="AT34" s="57"/>
      <c r="AU34" s="57"/>
      <c r="AV34" s="57"/>
      <c r="AW34" s="57"/>
      <c r="AX34" s="57"/>
      <c r="AY34" s="57"/>
      <c r="AZ34" s="60"/>
      <c r="BA34" s="57"/>
      <c r="BB34" s="60"/>
      <c r="BC34" s="56"/>
      <c r="BD34" s="60"/>
      <c r="BE34" s="56"/>
      <c r="BF34" s="56"/>
      <c r="BG34" s="56"/>
      <c r="BH34" s="56"/>
      <c r="BI34" s="56"/>
      <c r="BJ34" s="56"/>
      <c r="BK34" s="56"/>
      <c r="BL34" s="60"/>
      <c r="BM34" s="56"/>
      <c r="BN34" s="60"/>
      <c r="BO34" s="57"/>
      <c r="BP34" s="60"/>
      <c r="BQ34" s="57"/>
      <c r="BR34" s="60"/>
      <c r="BS34" s="57"/>
      <c r="BT34" s="57"/>
      <c r="BU34" s="57"/>
      <c r="BV34" s="57"/>
      <c r="BW34" s="57"/>
      <c r="BX34" s="57"/>
      <c r="BY34" s="57"/>
      <c r="BZ34" s="60"/>
      <c r="CA34" s="57"/>
    </row>
    <row r="35" spans="1:79" x14ac:dyDescent="0.15">
      <c r="A35" s="55">
        <v>33</v>
      </c>
      <c r="B35" s="56"/>
      <c r="C35" s="56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6"/>
      <c r="AC35" s="60"/>
      <c r="AD35" s="56"/>
      <c r="AE35" s="60"/>
      <c r="AF35" s="56"/>
      <c r="AG35" s="56"/>
      <c r="AH35" s="56"/>
      <c r="AI35" s="56"/>
      <c r="AJ35" s="56"/>
      <c r="AK35" s="56"/>
      <c r="AL35" s="56"/>
      <c r="AM35" s="60"/>
      <c r="AN35" s="56"/>
      <c r="AO35" s="57"/>
      <c r="AP35" s="60"/>
      <c r="AQ35" s="57"/>
      <c r="AR35" s="60"/>
      <c r="AS35" s="57"/>
      <c r="AT35" s="57"/>
      <c r="AU35" s="57"/>
      <c r="AV35" s="57"/>
      <c r="AW35" s="57"/>
      <c r="AX35" s="57"/>
      <c r="AY35" s="57"/>
      <c r="AZ35" s="60"/>
      <c r="BA35" s="57"/>
      <c r="BB35" s="60"/>
      <c r="BC35" s="56"/>
      <c r="BD35" s="60"/>
      <c r="BE35" s="56"/>
      <c r="BF35" s="56"/>
      <c r="BG35" s="56"/>
      <c r="BH35" s="56"/>
      <c r="BI35" s="56"/>
      <c r="BJ35" s="56"/>
      <c r="BK35" s="56"/>
      <c r="BL35" s="60"/>
      <c r="BM35" s="56"/>
      <c r="BN35" s="60"/>
      <c r="BO35" s="57"/>
      <c r="BP35" s="60"/>
      <c r="BQ35" s="57"/>
      <c r="BR35" s="60"/>
      <c r="BS35" s="57"/>
      <c r="BT35" s="57"/>
      <c r="BU35" s="57"/>
      <c r="BV35" s="57"/>
      <c r="BW35" s="57"/>
      <c r="BX35" s="57"/>
      <c r="BY35" s="57"/>
      <c r="BZ35" s="60"/>
      <c r="CA35" s="57"/>
    </row>
    <row r="36" spans="1:79" x14ac:dyDescent="0.15">
      <c r="A36" s="55">
        <v>34</v>
      </c>
      <c r="B36" s="56"/>
      <c r="C36" s="56"/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6"/>
      <c r="AC36" s="60"/>
      <c r="AD36" s="56"/>
      <c r="AE36" s="60"/>
      <c r="AF36" s="56"/>
      <c r="AG36" s="56"/>
      <c r="AH36" s="56"/>
      <c r="AI36" s="56"/>
      <c r="AJ36" s="56"/>
      <c r="AK36" s="56"/>
      <c r="AL36" s="56"/>
      <c r="AM36" s="60"/>
      <c r="AN36" s="56"/>
      <c r="AO36" s="57"/>
      <c r="AP36" s="60"/>
      <c r="AQ36" s="57"/>
      <c r="AR36" s="60"/>
      <c r="AS36" s="57"/>
      <c r="AT36" s="57"/>
      <c r="AU36" s="57"/>
      <c r="AV36" s="57"/>
      <c r="AW36" s="57"/>
      <c r="AX36" s="57"/>
      <c r="AY36" s="57"/>
      <c r="AZ36" s="60"/>
      <c r="BA36" s="57"/>
      <c r="BB36" s="60"/>
      <c r="BC36" s="56"/>
      <c r="BD36" s="60"/>
      <c r="BE36" s="56"/>
      <c r="BF36" s="56"/>
      <c r="BG36" s="56"/>
      <c r="BH36" s="56"/>
      <c r="BI36" s="56"/>
      <c r="BJ36" s="56"/>
      <c r="BK36" s="56"/>
      <c r="BL36" s="60"/>
      <c r="BM36" s="56"/>
      <c r="BN36" s="60"/>
      <c r="BO36" s="57"/>
      <c r="BP36" s="60"/>
      <c r="BQ36" s="57"/>
      <c r="BR36" s="60"/>
      <c r="BS36" s="57"/>
      <c r="BT36" s="57"/>
      <c r="BU36" s="57"/>
      <c r="BV36" s="57"/>
      <c r="BW36" s="57"/>
      <c r="BX36" s="57"/>
      <c r="BY36" s="57"/>
      <c r="BZ36" s="60"/>
      <c r="CA36" s="57"/>
    </row>
    <row r="37" spans="1:79" x14ac:dyDescent="0.15">
      <c r="A37" s="55">
        <v>35</v>
      </c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6"/>
      <c r="AC37" s="60"/>
      <c r="AD37" s="56"/>
      <c r="AE37" s="60"/>
      <c r="AF37" s="56"/>
      <c r="AG37" s="56"/>
      <c r="AH37" s="56"/>
      <c r="AI37" s="56"/>
      <c r="AJ37" s="56"/>
      <c r="AK37" s="56"/>
      <c r="AL37" s="56"/>
      <c r="AM37" s="60"/>
      <c r="AN37" s="56"/>
      <c r="AO37" s="57"/>
      <c r="AP37" s="60"/>
      <c r="AQ37" s="57"/>
      <c r="AR37" s="60"/>
      <c r="AS37" s="57"/>
      <c r="AT37" s="57"/>
      <c r="AU37" s="57"/>
      <c r="AV37" s="57"/>
      <c r="AW37" s="57"/>
      <c r="AX37" s="57"/>
      <c r="AY37" s="57"/>
      <c r="AZ37" s="60"/>
      <c r="BA37" s="57"/>
      <c r="BB37" s="60"/>
      <c r="BC37" s="56"/>
      <c r="BD37" s="60"/>
      <c r="BE37" s="56"/>
      <c r="BF37" s="56"/>
      <c r="BG37" s="56"/>
      <c r="BH37" s="56"/>
      <c r="BI37" s="56"/>
      <c r="BJ37" s="56"/>
      <c r="BK37" s="56"/>
      <c r="BL37" s="60"/>
      <c r="BM37" s="56"/>
      <c r="BN37" s="60"/>
      <c r="BO37" s="57"/>
      <c r="BP37" s="60"/>
      <c r="BQ37" s="57"/>
      <c r="BR37" s="60"/>
      <c r="BS37" s="57"/>
      <c r="BT37" s="57"/>
      <c r="BU37" s="57"/>
      <c r="BV37" s="57"/>
      <c r="BW37" s="57"/>
      <c r="BX37" s="57"/>
      <c r="BY37" s="57"/>
      <c r="BZ37" s="60"/>
      <c r="CA37" s="57"/>
    </row>
    <row r="38" spans="1:79" x14ac:dyDescent="0.15">
      <c r="A38" s="55">
        <v>36</v>
      </c>
      <c r="B38" s="56"/>
      <c r="C38" s="56"/>
      <c r="D38" s="56"/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6"/>
      <c r="AC38" s="60"/>
      <c r="AD38" s="56"/>
      <c r="AE38" s="60"/>
      <c r="AF38" s="56"/>
      <c r="AG38" s="56"/>
      <c r="AH38" s="56"/>
      <c r="AI38" s="56"/>
      <c r="AJ38" s="56"/>
      <c r="AK38" s="56"/>
      <c r="AL38" s="56"/>
      <c r="AM38" s="60"/>
      <c r="AN38" s="56"/>
      <c r="AO38" s="57"/>
      <c r="AP38" s="60"/>
      <c r="AQ38" s="57"/>
      <c r="AR38" s="60"/>
      <c r="AS38" s="57"/>
      <c r="AT38" s="57"/>
      <c r="AU38" s="57"/>
      <c r="AV38" s="57"/>
      <c r="AW38" s="57"/>
      <c r="AX38" s="57"/>
      <c r="AY38" s="57"/>
      <c r="AZ38" s="60"/>
      <c r="BA38" s="57"/>
      <c r="BB38" s="60"/>
      <c r="BC38" s="56"/>
      <c r="BD38" s="60"/>
      <c r="BE38" s="56"/>
      <c r="BF38" s="56"/>
      <c r="BG38" s="56"/>
      <c r="BH38" s="56"/>
      <c r="BI38" s="56"/>
      <c r="BJ38" s="56"/>
      <c r="BK38" s="56"/>
      <c r="BL38" s="60"/>
      <c r="BM38" s="56"/>
      <c r="BN38" s="60"/>
      <c r="BO38" s="57"/>
      <c r="BP38" s="60"/>
      <c r="BQ38" s="57"/>
      <c r="BR38" s="60"/>
      <c r="BS38" s="57"/>
      <c r="BT38" s="57"/>
      <c r="BU38" s="57"/>
      <c r="BV38" s="57"/>
      <c r="BW38" s="57"/>
      <c r="BX38" s="57"/>
      <c r="BY38" s="57"/>
      <c r="BZ38" s="60"/>
      <c r="CA38" s="57"/>
    </row>
    <row r="39" spans="1:79" x14ac:dyDescent="0.15">
      <c r="A39" s="55">
        <v>37</v>
      </c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6"/>
      <c r="AC39" s="60"/>
      <c r="AD39" s="56"/>
      <c r="AE39" s="60"/>
      <c r="AF39" s="56"/>
      <c r="AG39" s="56"/>
      <c r="AH39" s="56"/>
      <c r="AI39" s="56"/>
      <c r="AJ39" s="56"/>
      <c r="AK39" s="56"/>
      <c r="AL39" s="56"/>
      <c r="AM39" s="60"/>
      <c r="AN39" s="56"/>
      <c r="AO39" s="57"/>
      <c r="AP39" s="60"/>
      <c r="AQ39" s="57"/>
      <c r="AR39" s="60"/>
      <c r="AS39" s="57"/>
      <c r="AT39" s="57"/>
      <c r="AU39" s="57"/>
      <c r="AV39" s="57"/>
      <c r="AW39" s="57"/>
      <c r="AX39" s="57"/>
      <c r="AY39" s="57"/>
      <c r="AZ39" s="60"/>
      <c r="BA39" s="57"/>
      <c r="BB39" s="60"/>
      <c r="BC39" s="56"/>
      <c r="BD39" s="60"/>
      <c r="BE39" s="56"/>
      <c r="BF39" s="56"/>
      <c r="BG39" s="56"/>
      <c r="BH39" s="56"/>
      <c r="BI39" s="56"/>
      <c r="BJ39" s="56"/>
      <c r="BK39" s="56"/>
      <c r="BL39" s="60"/>
      <c r="BM39" s="56"/>
      <c r="BN39" s="60"/>
      <c r="BO39" s="57"/>
      <c r="BP39" s="60"/>
      <c r="BQ39" s="57"/>
      <c r="BR39" s="60"/>
      <c r="BS39" s="57"/>
      <c r="BT39" s="57"/>
      <c r="BU39" s="57"/>
      <c r="BV39" s="57"/>
      <c r="BW39" s="57"/>
      <c r="BX39" s="57"/>
      <c r="BY39" s="57"/>
      <c r="BZ39" s="60"/>
      <c r="CA39" s="57"/>
    </row>
    <row r="40" spans="1:79" x14ac:dyDescent="0.15">
      <c r="A40" s="55">
        <v>38</v>
      </c>
      <c r="B40" s="56"/>
      <c r="C40" s="56"/>
      <c r="D40" s="56"/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6"/>
      <c r="AC40" s="60"/>
      <c r="AD40" s="56"/>
      <c r="AE40" s="60"/>
      <c r="AF40" s="56"/>
      <c r="AG40" s="56"/>
      <c r="AH40" s="56"/>
      <c r="AI40" s="56"/>
      <c r="AJ40" s="56"/>
      <c r="AK40" s="56"/>
      <c r="AL40" s="56"/>
      <c r="AM40" s="60"/>
      <c r="AN40" s="56"/>
      <c r="AO40" s="57"/>
      <c r="AP40" s="60"/>
      <c r="AQ40" s="57"/>
      <c r="AR40" s="60"/>
      <c r="AS40" s="57"/>
      <c r="AT40" s="57"/>
      <c r="AU40" s="57"/>
      <c r="AV40" s="57"/>
      <c r="AW40" s="57"/>
      <c r="AX40" s="57"/>
      <c r="AY40" s="57"/>
      <c r="AZ40" s="60"/>
      <c r="BA40" s="57"/>
      <c r="BB40" s="60"/>
      <c r="BC40" s="56"/>
      <c r="BD40" s="60"/>
      <c r="BE40" s="56"/>
      <c r="BF40" s="56"/>
      <c r="BG40" s="56"/>
      <c r="BH40" s="56"/>
      <c r="BI40" s="56"/>
      <c r="BJ40" s="56"/>
      <c r="BK40" s="56"/>
      <c r="BL40" s="60"/>
      <c r="BM40" s="56"/>
      <c r="BN40" s="60"/>
      <c r="BO40" s="57"/>
      <c r="BP40" s="60"/>
      <c r="BQ40" s="57"/>
      <c r="BR40" s="60"/>
      <c r="BS40" s="57"/>
      <c r="BT40" s="57"/>
      <c r="BU40" s="57"/>
      <c r="BV40" s="57"/>
      <c r="BW40" s="57"/>
      <c r="BX40" s="57"/>
      <c r="BY40" s="57"/>
      <c r="BZ40" s="60"/>
      <c r="CA40" s="57"/>
    </row>
    <row r="41" spans="1:79" x14ac:dyDescent="0.15">
      <c r="A41" s="55">
        <v>39</v>
      </c>
      <c r="B41" s="56"/>
      <c r="C41" s="56"/>
      <c r="D41" s="56"/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6"/>
      <c r="AC41" s="60"/>
      <c r="AD41" s="56"/>
      <c r="AE41" s="60"/>
      <c r="AF41" s="56"/>
      <c r="AG41" s="56"/>
      <c r="AH41" s="56"/>
      <c r="AI41" s="56"/>
      <c r="AJ41" s="56"/>
      <c r="AK41" s="56"/>
      <c r="AL41" s="56"/>
      <c r="AM41" s="60"/>
      <c r="AN41" s="56"/>
      <c r="AO41" s="57"/>
      <c r="AP41" s="60"/>
      <c r="AQ41" s="57"/>
      <c r="AR41" s="60"/>
      <c r="AS41" s="57"/>
      <c r="AT41" s="57"/>
      <c r="AU41" s="57"/>
      <c r="AV41" s="57"/>
      <c r="AW41" s="57"/>
      <c r="AX41" s="57"/>
      <c r="AY41" s="57"/>
      <c r="AZ41" s="60"/>
      <c r="BA41" s="57"/>
      <c r="BB41" s="60"/>
      <c r="BC41" s="56"/>
      <c r="BD41" s="60"/>
      <c r="BE41" s="56"/>
      <c r="BF41" s="56"/>
      <c r="BG41" s="56"/>
      <c r="BH41" s="56"/>
      <c r="BI41" s="56"/>
      <c r="BJ41" s="56"/>
      <c r="BK41" s="56"/>
      <c r="BL41" s="60"/>
      <c r="BM41" s="56"/>
      <c r="BN41" s="60"/>
      <c r="BO41" s="57"/>
      <c r="BP41" s="60"/>
      <c r="BQ41" s="57"/>
      <c r="BR41" s="60"/>
      <c r="BS41" s="57"/>
      <c r="BT41" s="57"/>
      <c r="BU41" s="57"/>
      <c r="BV41" s="57"/>
      <c r="BW41" s="57"/>
      <c r="BX41" s="57"/>
      <c r="BY41" s="57"/>
      <c r="BZ41" s="60"/>
      <c r="CA41" s="57"/>
    </row>
    <row r="42" spans="1:79" x14ac:dyDescent="0.15">
      <c r="A42" s="55">
        <v>40</v>
      </c>
      <c r="B42" s="56"/>
      <c r="C42" s="56"/>
      <c r="D42" s="56"/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6"/>
      <c r="AC42" s="60"/>
      <c r="AD42" s="56"/>
      <c r="AE42" s="60"/>
      <c r="AF42" s="56"/>
      <c r="AG42" s="56"/>
      <c r="AH42" s="56"/>
      <c r="AI42" s="56"/>
      <c r="AJ42" s="56"/>
      <c r="AK42" s="56"/>
      <c r="AL42" s="56"/>
      <c r="AM42" s="60"/>
      <c r="AN42" s="56"/>
      <c r="AO42" s="57"/>
      <c r="AP42" s="60"/>
      <c r="AQ42" s="57"/>
      <c r="AR42" s="60"/>
      <c r="AS42" s="57"/>
      <c r="AT42" s="57"/>
      <c r="AU42" s="57"/>
      <c r="AV42" s="57"/>
      <c r="AW42" s="57"/>
      <c r="AX42" s="57"/>
      <c r="AY42" s="57"/>
      <c r="AZ42" s="60"/>
      <c r="BA42" s="57"/>
      <c r="BB42" s="60"/>
      <c r="BC42" s="56"/>
      <c r="BD42" s="60"/>
      <c r="BE42" s="56"/>
      <c r="BF42" s="56"/>
      <c r="BG42" s="56"/>
      <c r="BH42" s="56"/>
      <c r="BI42" s="56"/>
      <c r="BJ42" s="56"/>
      <c r="BK42" s="56"/>
      <c r="BL42" s="60"/>
      <c r="BM42" s="56"/>
      <c r="BN42" s="60"/>
      <c r="BO42" s="57"/>
      <c r="BP42" s="60"/>
      <c r="BQ42" s="57"/>
      <c r="BR42" s="60"/>
      <c r="BS42" s="57"/>
      <c r="BT42" s="57"/>
      <c r="BU42" s="57"/>
      <c r="BV42" s="57"/>
      <c r="BW42" s="57"/>
      <c r="BX42" s="57"/>
      <c r="BY42" s="57"/>
      <c r="BZ42" s="60"/>
      <c r="CA42" s="57"/>
    </row>
    <row r="43" spans="1:79" x14ac:dyDescent="0.15">
      <c r="A43" s="55">
        <v>41</v>
      </c>
      <c r="B43" s="56"/>
      <c r="C43" s="56"/>
      <c r="D43" s="56"/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6"/>
      <c r="AC43" s="60"/>
      <c r="AD43" s="56"/>
      <c r="AE43" s="60"/>
      <c r="AF43" s="56"/>
      <c r="AG43" s="56"/>
      <c r="AH43" s="56"/>
      <c r="AI43" s="56"/>
      <c r="AJ43" s="56"/>
      <c r="AK43" s="56"/>
      <c r="AL43" s="56"/>
      <c r="AM43" s="60"/>
      <c r="AN43" s="56"/>
      <c r="AO43" s="57"/>
      <c r="AP43" s="60"/>
      <c r="AQ43" s="57"/>
      <c r="AR43" s="60"/>
      <c r="AS43" s="57"/>
      <c r="AT43" s="57"/>
      <c r="AU43" s="57"/>
      <c r="AV43" s="57"/>
      <c r="AW43" s="57"/>
      <c r="AX43" s="57"/>
      <c r="AY43" s="57"/>
      <c r="AZ43" s="60"/>
      <c r="BA43" s="57"/>
      <c r="BB43" s="60"/>
      <c r="BC43" s="56"/>
      <c r="BD43" s="60"/>
      <c r="BE43" s="56"/>
      <c r="BF43" s="56"/>
      <c r="BG43" s="56"/>
      <c r="BH43" s="56"/>
      <c r="BI43" s="56"/>
      <c r="BJ43" s="56"/>
      <c r="BK43" s="56"/>
      <c r="BL43" s="60"/>
      <c r="BM43" s="56"/>
      <c r="BN43" s="60"/>
      <c r="BO43" s="57"/>
      <c r="BP43" s="60"/>
      <c r="BQ43" s="57"/>
      <c r="BR43" s="60"/>
      <c r="BS43" s="57"/>
      <c r="BT43" s="57"/>
      <c r="BU43" s="57"/>
      <c r="BV43" s="57"/>
      <c r="BW43" s="57"/>
      <c r="BX43" s="57"/>
      <c r="BY43" s="57"/>
      <c r="BZ43" s="60"/>
      <c r="CA43" s="57"/>
    </row>
    <row r="44" spans="1:79" x14ac:dyDescent="0.15">
      <c r="A44" s="55">
        <v>42</v>
      </c>
      <c r="B44" s="56"/>
      <c r="C44" s="56"/>
      <c r="D44" s="56"/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6"/>
      <c r="AC44" s="60"/>
      <c r="AD44" s="56"/>
      <c r="AE44" s="60"/>
      <c r="AF44" s="56"/>
      <c r="AG44" s="56"/>
      <c r="AH44" s="56"/>
      <c r="AI44" s="56"/>
      <c r="AJ44" s="56"/>
      <c r="AK44" s="56"/>
      <c r="AL44" s="56"/>
      <c r="AM44" s="60"/>
      <c r="AN44" s="56"/>
      <c r="AO44" s="57"/>
      <c r="AP44" s="60"/>
      <c r="AQ44" s="57"/>
      <c r="AR44" s="60"/>
      <c r="AS44" s="57"/>
      <c r="AT44" s="57"/>
      <c r="AU44" s="57"/>
      <c r="AV44" s="57"/>
      <c r="AW44" s="57"/>
      <c r="AX44" s="57"/>
      <c r="AY44" s="57"/>
      <c r="AZ44" s="60"/>
      <c r="BA44" s="57"/>
      <c r="BB44" s="60"/>
      <c r="BC44" s="56"/>
      <c r="BD44" s="60"/>
      <c r="BE44" s="56"/>
      <c r="BF44" s="56"/>
      <c r="BG44" s="56"/>
      <c r="BH44" s="56"/>
      <c r="BI44" s="56"/>
      <c r="BJ44" s="56"/>
      <c r="BK44" s="56"/>
      <c r="BL44" s="60"/>
      <c r="BM44" s="56"/>
      <c r="BN44" s="60"/>
      <c r="BO44" s="57"/>
      <c r="BP44" s="60"/>
      <c r="BQ44" s="57"/>
      <c r="BR44" s="60"/>
      <c r="BS44" s="57"/>
      <c r="BT44" s="57"/>
      <c r="BU44" s="57"/>
      <c r="BV44" s="57"/>
      <c r="BW44" s="57"/>
      <c r="BX44" s="57"/>
      <c r="BY44" s="57"/>
      <c r="BZ44" s="60"/>
      <c r="CA44" s="57"/>
    </row>
    <row r="45" spans="1:79" x14ac:dyDescent="0.15">
      <c r="A45" s="55">
        <v>43</v>
      </c>
      <c r="B45" s="56"/>
      <c r="C45" s="56"/>
      <c r="D45" s="56"/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6"/>
      <c r="AC45" s="60"/>
      <c r="AD45" s="56"/>
      <c r="AE45" s="60"/>
      <c r="AF45" s="56"/>
      <c r="AG45" s="56"/>
      <c r="AH45" s="56"/>
      <c r="AI45" s="56"/>
      <c r="AJ45" s="56"/>
      <c r="AK45" s="56"/>
      <c r="AL45" s="56"/>
      <c r="AM45" s="60"/>
      <c r="AN45" s="56"/>
      <c r="AO45" s="57"/>
      <c r="AP45" s="60"/>
      <c r="AQ45" s="57"/>
      <c r="AR45" s="60"/>
      <c r="AS45" s="57"/>
      <c r="AT45" s="57"/>
      <c r="AU45" s="57"/>
      <c r="AV45" s="57"/>
      <c r="AW45" s="57"/>
      <c r="AX45" s="57"/>
      <c r="AY45" s="57"/>
      <c r="AZ45" s="60"/>
      <c r="BA45" s="57"/>
      <c r="BB45" s="60"/>
      <c r="BC45" s="56"/>
      <c r="BD45" s="60"/>
      <c r="BE45" s="56"/>
      <c r="BF45" s="56"/>
      <c r="BG45" s="56"/>
      <c r="BH45" s="56"/>
      <c r="BI45" s="56"/>
      <c r="BJ45" s="56"/>
      <c r="BK45" s="56"/>
      <c r="BL45" s="60"/>
      <c r="BM45" s="56"/>
      <c r="BN45" s="60"/>
      <c r="BO45" s="57"/>
      <c r="BP45" s="60"/>
      <c r="BQ45" s="57"/>
      <c r="BR45" s="60"/>
      <c r="BS45" s="57"/>
      <c r="BT45" s="57"/>
      <c r="BU45" s="57"/>
      <c r="BV45" s="57"/>
      <c r="BW45" s="57"/>
      <c r="BX45" s="57"/>
      <c r="BY45" s="57"/>
      <c r="BZ45" s="60"/>
      <c r="CA45" s="57"/>
    </row>
    <row r="46" spans="1:79" x14ac:dyDescent="0.15">
      <c r="A46" s="55">
        <v>44</v>
      </c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6"/>
      <c r="AC46" s="60"/>
      <c r="AD46" s="56"/>
      <c r="AE46" s="60"/>
      <c r="AF46" s="56"/>
      <c r="AG46" s="56"/>
      <c r="AH46" s="56"/>
      <c r="AI46" s="56"/>
      <c r="AJ46" s="56"/>
      <c r="AK46" s="56"/>
      <c r="AL46" s="56"/>
      <c r="AM46" s="60"/>
      <c r="AN46" s="56"/>
      <c r="AO46" s="57"/>
      <c r="AP46" s="60"/>
      <c r="AQ46" s="57"/>
      <c r="AR46" s="60"/>
      <c r="AS46" s="57"/>
      <c r="AT46" s="57"/>
      <c r="AU46" s="57"/>
      <c r="AV46" s="57"/>
      <c r="AW46" s="57"/>
      <c r="AX46" s="57"/>
      <c r="AY46" s="57"/>
      <c r="AZ46" s="60"/>
      <c r="BA46" s="57"/>
      <c r="BB46" s="60"/>
      <c r="BC46" s="56"/>
      <c r="BD46" s="60"/>
      <c r="BE46" s="56"/>
      <c r="BF46" s="56"/>
      <c r="BG46" s="56"/>
      <c r="BH46" s="56"/>
      <c r="BI46" s="56"/>
      <c r="BJ46" s="56"/>
      <c r="BK46" s="56"/>
      <c r="BL46" s="60"/>
      <c r="BM46" s="56"/>
      <c r="BN46" s="60"/>
      <c r="BO46" s="57"/>
      <c r="BP46" s="60"/>
      <c r="BQ46" s="57"/>
      <c r="BR46" s="60"/>
      <c r="BS46" s="57"/>
      <c r="BT46" s="57"/>
      <c r="BU46" s="57"/>
      <c r="BV46" s="57"/>
      <c r="BW46" s="57"/>
      <c r="BX46" s="57"/>
      <c r="BY46" s="57"/>
      <c r="BZ46" s="60"/>
      <c r="CA46" s="57"/>
    </row>
    <row r="47" spans="1:79" x14ac:dyDescent="0.15">
      <c r="A47" s="55">
        <v>45</v>
      </c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6"/>
      <c r="AC47" s="60"/>
      <c r="AD47" s="56"/>
      <c r="AE47" s="60"/>
      <c r="AF47" s="56"/>
      <c r="AG47" s="56"/>
      <c r="AH47" s="56"/>
      <c r="AI47" s="56"/>
      <c r="AJ47" s="56"/>
      <c r="AK47" s="56"/>
      <c r="AL47" s="56"/>
      <c r="AM47" s="60"/>
      <c r="AN47" s="56"/>
      <c r="AO47" s="57"/>
      <c r="AP47" s="60"/>
      <c r="AQ47" s="57"/>
      <c r="AR47" s="60"/>
      <c r="AS47" s="57"/>
      <c r="AT47" s="57"/>
      <c r="AU47" s="57"/>
      <c r="AV47" s="57"/>
      <c r="AW47" s="57"/>
      <c r="AX47" s="57"/>
      <c r="AY47" s="57"/>
      <c r="AZ47" s="60"/>
      <c r="BA47" s="57"/>
      <c r="BB47" s="60"/>
      <c r="BC47" s="56"/>
      <c r="BD47" s="60"/>
      <c r="BE47" s="56"/>
      <c r="BF47" s="56"/>
      <c r="BG47" s="56"/>
      <c r="BH47" s="56"/>
      <c r="BI47" s="56"/>
      <c r="BJ47" s="56"/>
      <c r="BK47" s="56"/>
      <c r="BL47" s="60"/>
      <c r="BM47" s="56"/>
      <c r="BN47" s="60"/>
      <c r="BO47" s="57"/>
      <c r="BP47" s="60"/>
      <c r="BQ47" s="57"/>
      <c r="BR47" s="60"/>
      <c r="BS47" s="57"/>
      <c r="BT47" s="57"/>
      <c r="BU47" s="57"/>
      <c r="BV47" s="57"/>
      <c r="BW47" s="57"/>
      <c r="BX47" s="57"/>
      <c r="BY47" s="57"/>
      <c r="BZ47" s="60"/>
      <c r="CA47" s="57"/>
    </row>
    <row r="48" spans="1:79" x14ac:dyDescent="0.15">
      <c r="A48" s="55">
        <v>46</v>
      </c>
      <c r="B48" s="56"/>
      <c r="C48" s="56"/>
      <c r="D48" s="56"/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6"/>
      <c r="AC48" s="60"/>
      <c r="AD48" s="56"/>
      <c r="AE48" s="60"/>
      <c r="AF48" s="56"/>
      <c r="AG48" s="56"/>
      <c r="AH48" s="56"/>
      <c r="AI48" s="56"/>
      <c r="AJ48" s="56"/>
      <c r="AK48" s="56"/>
      <c r="AL48" s="56"/>
      <c r="AM48" s="60"/>
      <c r="AN48" s="56"/>
      <c r="AO48" s="57"/>
      <c r="AP48" s="60"/>
      <c r="AQ48" s="57"/>
      <c r="AR48" s="60"/>
      <c r="AS48" s="57"/>
      <c r="AT48" s="57"/>
      <c r="AU48" s="57"/>
      <c r="AV48" s="57"/>
      <c r="AW48" s="57"/>
      <c r="AX48" s="57"/>
      <c r="AY48" s="57"/>
      <c r="AZ48" s="60"/>
      <c r="BA48" s="57"/>
      <c r="BB48" s="60"/>
      <c r="BC48" s="56"/>
      <c r="BD48" s="60"/>
      <c r="BE48" s="56"/>
      <c r="BF48" s="56"/>
      <c r="BG48" s="56"/>
      <c r="BH48" s="56"/>
      <c r="BI48" s="56"/>
      <c r="BJ48" s="56"/>
      <c r="BK48" s="56"/>
      <c r="BL48" s="60"/>
      <c r="BM48" s="56"/>
      <c r="BN48" s="60"/>
      <c r="BO48" s="57"/>
      <c r="BP48" s="60"/>
      <c r="BQ48" s="57"/>
      <c r="BR48" s="60"/>
      <c r="BS48" s="57"/>
      <c r="BT48" s="57"/>
      <c r="BU48" s="57"/>
      <c r="BV48" s="57"/>
      <c r="BW48" s="57"/>
      <c r="BX48" s="57"/>
      <c r="BY48" s="57"/>
      <c r="BZ48" s="60"/>
      <c r="CA48" s="57"/>
    </row>
    <row r="49" spans="1:79" x14ac:dyDescent="0.15">
      <c r="A49" s="55">
        <v>47</v>
      </c>
      <c r="B49" s="56"/>
      <c r="C49" s="56"/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7"/>
      <c r="P49" s="57"/>
      <c r="Q49" s="57"/>
      <c r="R49" s="57"/>
      <c r="S49" s="57"/>
      <c r="T49" s="57"/>
      <c r="U49" s="57"/>
      <c r="V49" s="57"/>
      <c r="W49" s="57"/>
      <c r="X49" s="57"/>
      <c r="Y49" s="57"/>
      <c r="Z49" s="57"/>
      <c r="AA49" s="57"/>
      <c r="AB49" s="56"/>
      <c r="AC49" s="60"/>
      <c r="AD49" s="56"/>
      <c r="AE49" s="60"/>
      <c r="AF49" s="56"/>
      <c r="AG49" s="56"/>
      <c r="AH49" s="56"/>
      <c r="AI49" s="56"/>
      <c r="AJ49" s="56"/>
      <c r="AK49" s="56"/>
      <c r="AL49" s="56"/>
      <c r="AM49" s="60"/>
      <c r="AN49" s="56"/>
      <c r="AO49" s="57"/>
      <c r="AP49" s="60"/>
      <c r="AQ49" s="57"/>
      <c r="AR49" s="60"/>
      <c r="AS49" s="57"/>
      <c r="AT49" s="57"/>
      <c r="AU49" s="57"/>
      <c r="AV49" s="57"/>
      <c r="AW49" s="57"/>
      <c r="AX49" s="57"/>
      <c r="AY49" s="57"/>
      <c r="AZ49" s="60"/>
      <c r="BA49" s="57"/>
      <c r="BB49" s="60"/>
      <c r="BC49" s="56"/>
      <c r="BD49" s="60"/>
      <c r="BE49" s="56"/>
      <c r="BF49" s="56"/>
      <c r="BG49" s="56"/>
      <c r="BH49" s="56"/>
      <c r="BI49" s="56"/>
      <c r="BJ49" s="56"/>
      <c r="BK49" s="56"/>
      <c r="BL49" s="60"/>
      <c r="BM49" s="56"/>
      <c r="BN49" s="60"/>
      <c r="BO49" s="57"/>
      <c r="BP49" s="60"/>
      <c r="BQ49" s="57"/>
      <c r="BR49" s="60"/>
      <c r="BS49" s="57"/>
      <c r="BT49" s="57"/>
      <c r="BU49" s="57"/>
      <c r="BV49" s="57"/>
      <c r="BW49" s="57"/>
      <c r="BX49" s="57"/>
      <c r="BY49" s="57"/>
      <c r="BZ49" s="60"/>
      <c r="CA49" s="57"/>
    </row>
    <row r="50" spans="1:79" x14ac:dyDescent="0.15">
      <c r="A50" s="55">
        <v>48</v>
      </c>
      <c r="B50" s="56"/>
      <c r="C50" s="56"/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7"/>
      <c r="P50" s="57"/>
      <c r="Q50" s="57"/>
      <c r="R50" s="57"/>
      <c r="S50" s="57"/>
      <c r="T50" s="57"/>
      <c r="U50" s="57"/>
      <c r="V50" s="57"/>
      <c r="W50" s="57"/>
      <c r="X50" s="57"/>
      <c r="Y50" s="57"/>
      <c r="Z50" s="57"/>
      <c r="AA50" s="57"/>
      <c r="AB50" s="56"/>
      <c r="AC50" s="60"/>
      <c r="AD50" s="56"/>
      <c r="AE50" s="60"/>
      <c r="AF50" s="56"/>
      <c r="AG50" s="56"/>
      <c r="AH50" s="56"/>
      <c r="AI50" s="56"/>
      <c r="AJ50" s="56"/>
      <c r="AK50" s="56"/>
      <c r="AL50" s="56"/>
      <c r="AM50" s="60"/>
      <c r="AN50" s="56"/>
      <c r="AO50" s="57"/>
      <c r="AP50" s="60"/>
      <c r="AQ50" s="57"/>
      <c r="AR50" s="60"/>
      <c r="AS50" s="57"/>
      <c r="AT50" s="57"/>
      <c r="AU50" s="57"/>
      <c r="AV50" s="57"/>
      <c r="AW50" s="57"/>
      <c r="AX50" s="57"/>
      <c r="AY50" s="57"/>
      <c r="AZ50" s="60"/>
      <c r="BA50" s="57"/>
      <c r="BB50" s="60"/>
      <c r="BC50" s="56"/>
      <c r="BD50" s="60"/>
      <c r="BE50" s="56"/>
      <c r="BF50" s="56"/>
      <c r="BG50" s="56"/>
      <c r="BH50" s="56"/>
      <c r="BI50" s="56"/>
      <c r="BJ50" s="56"/>
      <c r="BK50" s="56"/>
      <c r="BL50" s="60"/>
      <c r="BM50" s="56"/>
      <c r="BN50" s="60"/>
      <c r="BO50" s="57"/>
      <c r="BP50" s="60"/>
      <c r="BQ50" s="57"/>
      <c r="BR50" s="60"/>
      <c r="BS50" s="57"/>
      <c r="BT50" s="57"/>
      <c r="BU50" s="57"/>
      <c r="BV50" s="57"/>
      <c r="BW50" s="57"/>
      <c r="BX50" s="57"/>
      <c r="BY50" s="57"/>
      <c r="BZ50" s="60"/>
      <c r="CA50" s="57"/>
    </row>
    <row r="51" spans="1:79" x14ac:dyDescent="0.15">
      <c r="A51" s="55">
        <v>49</v>
      </c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7"/>
      <c r="P51" s="57"/>
      <c r="Q51" s="57"/>
      <c r="R51" s="57"/>
      <c r="S51" s="57"/>
      <c r="T51" s="57"/>
      <c r="U51" s="57"/>
      <c r="V51" s="57"/>
      <c r="W51" s="57"/>
      <c r="X51" s="57"/>
      <c r="Y51" s="57"/>
      <c r="Z51" s="57"/>
      <c r="AA51" s="57"/>
      <c r="AB51" s="56"/>
      <c r="AC51" s="60"/>
      <c r="AD51" s="56"/>
      <c r="AE51" s="60"/>
      <c r="AF51" s="56"/>
      <c r="AG51" s="56"/>
      <c r="AH51" s="56"/>
      <c r="AI51" s="56"/>
      <c r="AJ51" s="56"/>
      <c r="AK51" s="56"/>
      <c r="AL51" s="56"/>
      <c r="AM51" s="60"/>
      <c r="AN51" s="56"/>
      <c r="AO51" s="57"/>
      <c r="AP51" s="60"/>
      <c r="AQ51" s="57"/>
      <c r="AR51" s="60"/>
      <c r="AS51" s="57"/>
      <c r="AT51" s="57"/>
      <c r="AU51" s="57"/>
      <c r="AV51" s="57"/>
      <c r="AW51" s="57"/>
      <c r="AX51" s="57"/>
      <c r="AY51" s="57"/>
      <c r="AZ51" s="60"/>
      <c r="BA51" s="57"/>
      <c r="BB51" s="60"/>
      <c r="BC51" s="56"/>
      <c r="BD51" s="60"/>
      <c r="BE51" s="56"/>
      <c r="BF51" s="56"/>
      <c r="BG51" s="56"/>
      <c r="BH51" s="56"/>
      <c r="BI51" s="56"/>
      <c r="BJ51" s="56"/>
      <c r="BK51" s="56"/>
      <c r="BL51" s="60"/>
      <c r="BM51" s="56"/>
      <c r="BN51" s="60"/>
      <c r="BO51" s="57"/>
      <c r="BP51" s="60"/>
      <c r="BQ51" s="57"/>
      <c r="BR51" s="60"/>
      <c r="BS51" s="57"/>
      <c r="BT51" s="57"/>
      <c r="BU51" s="57"/>
      <c r="BV51" s="57"/>
      <c r="BW51" s="57"/>
      <c r="BX51" s="57"/>
      <c r="BY51" s="57"/>
      <c r="BZ51" s="60"/>
      <c r="CA51" s="57"/>
    </row>
    <row r="52" spans="1:79" x14ac:dyDescent="0.15">
      <c r="A52" s="55">
        <v>50</v>
      </c>
      <c r="B52" s="56"/>
      <c r="C52" s="56"/>
      <c r="D52" s="56"/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7"/>
      <c r="P52" s="57"/>
      <c r="Q52" s="57"/>
      <c r="R52" s="57"/>
      <c r="S52" s="57"/>
      <c r="T52" s="57"/>
      <c r="U52" s="57"/>
      <c r="V52" s="57"/>
      <c r="W52" s="57"/>
      <c r="X52" s="57"/>
      <c r="Y52" s="57"/>
      <c r="Z52" s="57"/>
      <c r="AA52" s="57"/>
      <c r="AB52" s="56"/>
      <c r="AC52" s="60"/>
      <c r="AD52" s="56"/>
      <c r="AE52" s="60"/>
      <c r="AF52" s="56"/>
      <c r="AG52" s="56"/>
      <c r="AH52" s="56"/>
      <c r="AI52" s="56"/>
      <c r="AJ52" s="56"/>
      <c r="AK52" s="56"/>
      <c r="AL52" s="56"/>
      <c r="AM52" s="60"/>
      <c r="AN52" s="56"/>
      <c r="AO52" s="57"/>
      <c r="AP52" s="60"/>
      <c r="AQ52" s="57"/>
      <c r="AR52" s="60"/>
      <c r="AS52" s="57"/>
      <c r="AT52" s="57"/>
      <c r="AU52" s="57"/>
      <c r="AV52" s="57"/>
      <c r="AW52" s="57"/>
      <c r="AX52" s="57"/>
      <c r="AY52" s="57"/>
      <c r="AZ52" s="60"/>
      <c r="BA52" s="57"/>
      <c r="BB52" s="60"/>
      <c r="BC52" s="56"/>
      <c r="BD52" s="60"/>
      <c r="BE52" s="56"/>
      <c r="BF52" s="56"/>
      <c r="BG52" s="56"/>
      <c r="BH52" s="56"/>
      <c r="BI52" s="56"/>
      <c r="BJ52" s="56"/>
      <c r="BK52" s="56"/>
      <c r="BL52" s="60"/>
      <c r="BM52" s="56"/>
      <c r="BN52" s="60"/>
      <c r="BO52" s="57"/>
      <c r="BP52" s="60"/>
      <c r="BQ52" s="57"/>
      <c r="BR52" s="60"/>
      <c r="BS52" s="57"/>
      <c r="BT52" s="57"/>
      <c r="BU52" s="57"/>
      <c r="BV52" s="57"/>
      <c r="BW52" s="57"/>
      <c r="BX52" s="57"/>
      <c r="BY52" s="57"/>
      <c r="BZ52" s="60"/>
      <c r="CA52" s="57"/>
    </row>
    <row r="53" spans="1:79" x14ac:dyDescent="0.15">
      <c r="A53" s="55">
        <v>51</v>
      </c>
      <c r="B53" s="56"/>
      <c r="C53" s="56"/>
      <c r="D53" s="56"/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7"/>
      <c r="P53" s="57"/>
      <c r="Q53" s="57"/>
      <c r="R53" s="57"/>
      <c r="S53" s="57"/>
      <c r="T53" s="57"/>
      <c r="U53" s="57"/>
      <c r="V53" s="57"/>
      <c r="W53" s="57"/>
      <c r="X53" s="57"/>
      <c r="Y53" s="57"/>
      <c r="Z53" s="57"/>
      <c r="AA53" s="57"/>
      <c r="AB53" s="56"/>
      <c r="AC53" s="60"/>
      <c r="AD53" s="56"/>
      <c r="AE53" s="60"/>
      <c r="AF53" s="56"/>
      <c r="AG53" s="56"/>
      <c r="AH53" s="56"/>
      <c r="AI53" s="56"/>
      <c r="AJ53" s="56"/>
      <c r="AK53" s="56"/>
      <c r="AL53" s="56"/>
      <c r="AM53" s="60"/>
      <c r="AN53" s="56"/>
      <c r="AO53" s="57"/>
      <c r="AP53" s="60"/>
      <c r="AQ53" s="57"/>
      <c r="AR53" s="60"/>
      <c r="AS53" s="57"/>
      <c r="AT53" s="57"/>
      <c r="AU53" s="57"/>
      <c r="AV53" s="57"/>
      <c r="AW53" s="57"/>
      <c r="AX53" s="57"/>
      <c r="AY53" s="57"/>
      <c r="AZ53" s="60"/>
      <c r="BA53" s="57"/>
      <c r="BB53" s="60"/>
      <c r="BC53" s="56"/>
      <c r="BD53" s="60"/>
      <c r="BE53" s="56"/>
      <c r="BF53" s="56"/>
      <c r="BG53" s="56"/>
      <c r="BH53" s="56"/>
      <c r="BI53" s="56"/>
      <c r="BJ53" s="56"/>
      <c r="BK53" s="56"/>
      <c r="BL53" s="60"/>
      <c r="BM53" s="56"/>
      <c r="BN53" s="60"/>
      <c r="BO53" s="57"/>
      <c r="BP53" s="60"/>
      <c r="BQ53" s="57"/>
      <c r="BR53" s="60"/>
      <c r="BS53" s="57"/>
      <c r="BT53" s="57"/>
      <c r="BU53" s="57"/>
      <c r="BV53" s="57"/>
      <c r="BW53" s="57"/>
      <c r="BX53" s="57"/>
      <c r="BY53" s="57"/>
      <c r="BZ53" s="60"/>
      <c r="CA53" s="57"/>
    </row>
    <row r="54" spans="1:79" x14ac:dyDescent="0.15">
      <c r="A54" s="55">
        <v>52</v>
      </c>
      <c r="B54" s="56"/>
      <c r="C54" s="56"/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7"/>
      <c r="P54" s="57"/>
      <c r="Q54" s="57"/>
      <c r="R54" s="57"/>
      <c r="S54" s="57"/>
      <c r="T54" s="57"/>
      <c r="U54" s="57"/>
      <c r="V54" s="57"/>
      <c r="W54" s="57"/>
      <c r="X54" s="57"/>
      <c r="Y54" s="57"/>
      <c r="Z54" s="57"/>
      <c r="AA54" s="57"/>
      <c r="AB54" s="56"/>
      <c r="AC54" s="60"/>
      <c r="AD54" s="56"/>
      <c r="AE54" s="60"/>
      <c r="AF54" s="56"/>
      <c r="AG54" s="56"/>
      <c r="AH54" s="56"/>
      <c r="AI54" s="56"/>
      <c r="AJ54" s="56"/>
      <c r="AK54" s="56"/>
      <c r="AL54" s="56"/>
      <c r="AM54" s="60"/>
      <c r="AN54" s="56"/>
      <c r="AO54" s="57"/>
      <c r="AP54" s="60"/>
      <c r="AQ54" s="57"/>
      <c r="AR54" s="60"/>
      <c r="AS54" s="57"/>
      <c r="AT54" s="57"/>
      <c r="AU54" s="57"/>
      <c r="AV54" s="57"/>
      <c r="AW54" s="57"/>
      <c r="AX54" s="57"/>
      <c r="AY54" s="57"/>
      <c r="AZ54" s="60"/>
      <c r="BA54" s="57"/>
      <c r="BB54" s="60"/>
      <c r="BC54" s="56"/>
      <c r="BD54" s="60"/>
      <c r="BE54" s="56"/>
      <c r="BF54" s="56"/>
      <c r="BG54" s="56"/>
      <c r="BH54" s="56"/>
      <c r="BI54" s="56"/>
      <c r="BJ54" s="56"/>
      <c r="BK54" s="56"/>
      <c r="BL54" s="60"/>
      <c r="BM54" s="56"/>
      <c r="BN54" s="60"/>
      <c r="BO54" s="57"/>
      <c r="BP54" s="60"/>
      <c r="BQ54" s="57"/>
      <c r="BR54" s="60"/>
      <c r="BS54" s="57"/>
      <c r="BT54" s="57"/>
      <c r="BU54" s="57"/>
      <c r="BV54" s="57"/>
      <c r="BW54" s="57"/>
      <c r="BX54" s="57"/>
      <c r="BY54" s="57"/>
      <c r="BZ54" s="60"/>
      <c r="CA54" s="57"/>
    </row>
    <row r="55" spans="1:79" x14ac:dyDescent="0.15">
      <c r="A55" s="55">
        <v>53</v>
      </c>
      <c r="B55" s="56"/>
      <c r="C55" s="56"/>
      <c r="D55" s="56"/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7"/>
      <c r="P55" s="57"/>
      <c r="Q55" s="57"/>
      <c r="R55" s="57"/>
      <c r="S55" s="57"/>
      <c r="T55" s="57"/>
      <c r="U55" s="57"/>
      <c r="V55" s="57"/>
      <c r="W55" s="57"/>
      <c r="X55" s="57"/>
      <c r="Y55" s="57"/>
      <c r="Z55" s="57"/>
      <c r="AA55" s="57"/>
      <c r="AB55" s="56"/>
      <c r="AC55" s="60"/>
      <c r="AD55" s="56"/>
      <c r="AE55" s="60"/>
      <c r="AF55" s="56"/>
      <c r="AG55" s="56"/>
      <c r="AH55" s="56"/>
      <c r="AI55" s="56"/>
      <c r="AJ55" s="56"/>
      <c r="AK55" s="56"/>
      <c r="AL55" s="56"/>
      <c r="AM55" s="60"/>
      <c r="AN55" s="56"/>
      <c r="AO55" s="57"/>
      <c r="AP55" s="60"/>
      <c r="AQ55" s="57"/>
      <c r="AR55" s="60"/>
      <c r="AS55" s="57"/>
      <c r="AT55" s="57"/>
      <c r="AU55" s="57"/>
      <c r="AV55" s="57"/>
      <c r="AW55" s="57"/>
      <c r="AX55" s="57"/>
      <c r="AY55" s="57"/>
      <c r="AZ55" s="60"/>
      <c r="BA55" s="57"/>
      <c r="BB55" s="60"/>
      <c r="BC55" s="56"/>
      <c r="BD55" s="60"/>
      <c r="BE55" s="56"/>
      <c r="BF55" s="56"/>
      <c r="BG55" s="56"/>
      <c r="BH55" s="56"/>
      <c r="BI55" s="56"/>
      <c r="BJ55" s="56"/>
      <c r="BK55" s="56"/>
      <c r="BL55" s="60"/>
      <c r="BM55" s="56"/>
      <c r="BN55" s="60"/>
      <c r="BO55" s="57"/>
      <c r="BP55" s="60"/>
      <c r="BQ55" s="57"/>
      <c r="BR55" s="60"/>
      <c r="BS55" s="57"/>
      <c r="BT55" s="57"/>
      <c r="BU55" s="57"/>
      <c r="BV55" s="57"/>
      <c r="BW55" s="57"/>
      <c r="BX55" s="57"/>
      <c r="BY55" s="57"/>
      <c r="BZ55" s="60"/>
      <c r="CA55" s="57"/>
    </row>
    <row r="56" spans="1:79" x14ac:dyDescent="0.15">
      <c r="A56" s="55">
        <v>54</v>
      </c>
      <c r="B56" s="56"/>
      <c r="C56" s="56"/>
      <c r="D56" s="56"/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7"/>
      <c r="P56" s="57"/>
      <c r="Q56" s="57"/>
      <c r="R56" s="57"/>
      <c r="S56" s="57"/>
      <c r="T56" s="57"/>
      <c r="U56" s="57"/>
      <c r="V56" s="57"/>
      <c r="W56" s="57"/>
      <c r="X56" s="57"/>
      <c r="Y56" s="57"/>
      <c r="Z56" s="57"/>
      <c r="AA56" s="57"/>
      <c r="AB56" s="56"/>
      <c r="AC56" s="60"/>
      <c r="AD56" s="56"/>
      <c r="AE56" s="60"/>
      <c r="AF56" s="56"/>
      <c r="AG56" s="56"/>
      <c r="AH56" s="56"/>
      <c r="AI56" s="56"/>
      <c r="AJ56" s="56"/>
      <c r="AK56" s="56"/>
      <c r="AL56" s="56"/>
      <c r="AM56" s="60"/>
      <c r="AN56" s="56"/>
      <c r="AO56" s="57"/>
      <c r="AP56" s="60"/>
      <c r="AQ56" s="57"/>
      <c r="AR56" s="60"/>
      <c r="AS56" s="57"/>
      <c r="AT56" s="57"/>
      <c r="AU56" s="57"/>
      <c r="AV56" s="57"/>
      <c r="AW56" s="57"/>
      <c r="AX56" s="57"/>
      <c r="AY56" s="57"/>
      <c r="AZ56" s="60"/>
      <c r="BA56" s="57"/>
      <c r="BB56" s="60"/>
      <c r="BC56" s="56"/>
      <c r="BD56" s="60"/>
      <c r="BE56" s="56"/>
      <c r="BF56" s="56"/>
      <c r="BG56" s="56"/>
      <c r="BH56" s="56"/>
      <c r="BI56" s="56"/>
      <c r="BJ56" s="56"/>
      <c r="BK56" s="56"/>
      <c r="BL56" s="60"/>
      <c r="BM56" s="56"/>
      <c r="BN56" s="60"/>
      <c r="BO56" s="57"/>
      <c r="BP56" s="60"/>
      <c r="BQ56" s="57"/>
      <c r="BR56" s="60"/>
      <c r="BS56" s="57"/>
      <c r="BT56" s="57"/>
      <c r="BU56" s="57"/>
      <c r="BV56" s="57"/>
      <c r="BW56" s="57"/>
      <c r="BX56" s="57"/>
      <c r="BY56" s="57"/>
      <c r="BZ56" s="60"/>
      <c r="CA56" s="57"/>
    </row>
    <row r="57" spans="1:79" x14ac:dyDescent="0.15">
      <c r="A57" s="55">
        <v>55</v>
      </c>
      <c r="B57" s="56"/>
      <c r="C57" s="56"/>
      <c r="D57" s="56"/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7"/>
      <c r="P57" s="57"/>
      <c r="Q57" s="57"/>
      <c r="R57" s="57"/>
      <c r="S57" s="57"/>
      <c r="T57" s="57"/>
      <c r="U57" s="57"/>
      <c r="V57" s="57"/>
      <c r="W57" s="57"/>
      <c r="X57" s="57"/>
      <c r="Y57" s="57"/>
      <c r="Z57" s="57"/>
      <c r="AA57" s="57"/>
      <c r="AB57" s="56"/>
      <c r="AC57" s="60"/>
      <c r="AD57" s="56"/>
      <c r="AE57" s="60"/>
      <c r="AF57" s="56"/>
      <c r="AG57" s="56"/>
      <c r="AH57" s="56"/>
      <c r="AI57" s="56"/>
      <c r="AJ57" s="56"/>
      <c r="AK57" s="56"/>
      <c r="AL57" s="56"/>
      <c r="AM57" s="60"/>
      <c r="AN57" s="56"/>
      <c r="AO57" s="57"/>
      <c r="AP57" s="60"/>
      <c r="AQ57" s="57"/>
      <c r="AR57" s="60"/>
      <c r="AS57" s="57"/>
      <c r="AT57" s="57"/>
      <c r="AU57" s="57"/>
      <c r="AV57" s="57"/>
      <c r="AW57" s="57"/>
      <c r="AX57" s="57"/>
      <c r="AY57" s="57"/>
      <c r="AZ57" s="60"/>
      <c r="BA57" s="57"/>
      <c r="BB57" s="60"/>
      <c r="BC57" s="56"/>
      <c r="BD57" s="60"/>
      <c r="BE57" s="56"/>
      <c r="BF57" s="56"/>
      <c r="BG57" s="56"/>
      <c r="BH57" s="56"/>
      <c r="BI57" s="56"/>
      <c r="BJ57" s="56"/>
      <c r="BK57" s="56"/>
      <c r="BL57" s="60"/>
      <c r="BM57" s="56"/>
      <c r="BN57" s="60"/>
      <c r="BO57" s="57"/>
      <c r="BP57" s="60"/>
      <c r="BQ57" s="57"/>
      <c r="BR57" s="60"/>
      <c r="BS57" s="57"/>
      <c r="BT57" s="57"/>
      <c r="BU57" s="57"/>
      <c r="BV57" s="57"/>
      <c r="BW57" s="57"/>
      <c r="BX57" s="57"/>
      <c r="BY57" s="57"/>
      <c r="BZ57" s="60"/>
      <c r="CA57" s="57"/>
    </row>
    <row r="58" spans="1:79" x14ac:dyDescent="0.15">
      <c r="A58" s="55">
        <v>56</v>
      </c>
      <c r="B58" s="56"/>
      <c r="C58" s="56"/>
      <c r="D58" s="56"/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7"/>
      <c r="P58" s="57"/>
      <c r="Q58" s="57"/>
      <c r="R58" s="57"/>
      <c r="S58" s="57"/>
      <c r="T58" s="57"/>
      <c r="U58" s="57"/>
      <c r="V58" s="57"/>
      <c r="W58" s="57"/>
      <c r="X58" s="57"/>
      <c r="Y58" s="57"/>
      <c r="Z58" s="57"/>
      <c r="AA58" s="57"/>
      <c r="AB58" s="56"/>
      <c r="AC58" s="60"/>
      <c r="AD58" s="56"/>
      <c r="AE58" s="60"/>
      <c r="AF58" s="56"/>
      <c r="AG58" s="56"/>
      <c r="AH58" s="56"/>
      <c r="AI58" s="56"/>
      <c r="AJ58" s="56"/>
      <c r="AK58" s="56"/>
      <c r="AL58" s="56"/>
      <c r="AM58" s="60"/>
      <c r="AN58" s="56"/>
      <c r="AO58" s="57"/>
      <c r="AP58" s="60"/>
      <c r="AQ58" s="57"/>
      <c r="AR58" s="60"/>
      <c r="AS58" s="57"/>
      <c r="AT58" s="57"/>
      <c r="AU58" s="57"/>
      <c r="AV58" s="57"/>
      <c r="AW58" s="57"/>
      <c r="AX58" s="57"/>
      <c r="AY58" s="57"/>
      <c r="AZ58" s="60"/>
      <c r="BA58" s="57"/>
      <c r="BB58" s="60"/>
      <c r="BC58" s="56"/>
      <c r="BD58" s="60"/>
      <c r="BE58" s="56"/>
      <c r="BF58" s="56"/>
      <c r="BG58" s="56"/>
      <c r="BH58" s="56"/>
      <c r="BI58" s="56"/>
      <c r="BJ58" s="56"/>
      <c r="BK58" s="56"/>
      <c r="BL58" s="60"/>
      <c r="BM58" s="56"/>
      <c r="BN58" s="60"/>
      <c r="BO58" s="57"/>
      <c r="BP58" s="60"/>
      <c r="BQ58" s="57"/>
      <c r="BR58" s="60"/>
      <c r="BS58" s="57"/>
      <c r="BT58" s="57"/>
      <c r="BU58" s="57"/>
      <c r="BV58" s="57"/>
      <c r="BW58" s="57"/>
      <c r="BX58" s="57"/>
      <c r="BY58" s="57"/>
      <c r="BZ58" s="60"/>
      <c r="CA58" s="57"/>
    </row>
    <row r="59" spans="1:79" x14ac:dyDescent="0.15">
      <c r="A59" s="55">
        <v>57</v>
      </c>
      <c r="B59" s="56"/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7"/>
      <c r="P59" s="57"/>
      <c r="Q59" s="57"/>
      <c r="R59" s="57"/>
      <c r="S59" s="57"/>
      <c r="T59" s="57"/>
      <c r="U59" s="57"/>
      <c r="V59" s="57"/>
      <c r="W59" s="57"/>
      <c r="X59" s="57"/>
      <c r="Y59" s="57"/>
      <c r="Z59" s="57"/>
      <c r="AA59" s="57"/>
      <c r="AB59" s="56"/>
      <c r="AC59" s="60"/>
      <c r="AD59" s="56"/>
      <c r="AE59" s="60"/>
      <c r="AF59" s="56"/>
      <c r="AG59" s="56"/>
      <c r="AH59" s="56"/>
      <c r="AI59" s="56"/>
      <c r="AJ59" s="56"/>
      <c r="AK59" s="56"/>
      <c r="AL59" s="56"/>
      <c r="AM59" s="60"/>
      <c r="AN59" s="56"/>
      <c r="AO59" s="57"/>
      <c r="AP59" s="60"/>
      <c r="AQ59" s="57"/>
      <c r="AR59" s="60"/>
      <c r="AS59" s="57"/>
      <c r="AT59" s="57"/>
      <c r="AU59" s="57"/>
      <c r="AV59" s="57"/>
      <c r="AW59" s="57"/>
      <c r="AX59" s="57"/>
      <c r="AY59" s="57"/>
      <c r="AZ59" s="60"/>
      <c r="BA59" s="57"/>
      <c r="BB59" s="60"/>
      <c r="BC59" s="56"/>
      <c r="BD59" s="60"/>
      <c r="BE59" s="56"/>
      <c r="BF59" s="56"/>
      <c r="BG59" s="56"/>
      <c r="BH59" s="56"/>
      <c r="BI59" s="56"/>
      <c r="BJ59" s="56"/>
      <c r="BK59" s="56"/>
      <c r="BL59" s="60"/>
      <c r="BM59" s="56"/>
      <c r="BN59" s="60"/>
      <c r="BO59" s="57"/>
      <c r="BP59" s="60"/>
      <c r="BQ59" s="57"/>
      <c r="BR59" s="60"/>
      <c r="BS59" s="57"/>
      <c r="BT59" s="57"/>
      <c r="BU59" s="57"/>
      <c r="BV59" s="57"/>
      <c r="BW59" s="57"/>
      <c r="BX59" s="57"/>
      <c r="BY59" s="57"/>
      <c r="BZ59" s="60"/>
      <c r="CA59" s="57"/>
    </row>
    <row r="60" spans="1:79" x14ac:dyDescent="0.15">
      <c r="A60" s="55">
        <v>58</v>
      </c>
      <c r="B60" s="56"/>
      <c r="C60" s="56"/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7"/>
      <c r="P60" s="57"/>
      <c r="Q60" s="57"/>
      <c r="R60" s="57"/>
      <c r="S60" s="57"/>
      <c r="T60" s="57"/>
      <c r="U60" s="57"/>
      <c r="V60" s="57"/>
      <c r="W60" s="57"/>
      <c r="X60" s="57"/>
      <c r="Y60" s="57"/>
      <c r="Z60" s="57"/>
      <c r="AA60" s="57"/>
      <c r="AB60" s="56"/>
      <c r="AC60" s="60"/>
      <c r="AD60" s="56"/>
      <c r="AE60" s="60"/>
      <c r="AF60" s="56"/>
      <c r="AG60" s="56"/>
      <c r="AH60" s="56"/>
      <c r="AI60" s="56"/>
      <c r="AJ60" s="56"/>
      <c r="AK60" s="56"/>
      <c r="AL60" s="56"/>
      <c r="AM60" s="60"/>
      <c r="AN60" s="56"/>
      <c r="AO60" s="57"/>
      <c r="AP60" s="60"/>
      <c r="AQ60" s="57"/>
      <c r="AR60" s="60"/>
      <c r="AS60" s="57"/>
      <c r="AT60" s="57"/>
      <c r="AU60" s="57"/>
      <c r="AV60" s="57"/>
      <c r="AW60" s="57"/>
      <c r="AX60" s="57"/>
      <c r="AY60" s="57"/>
      <c r="AZ60" s="60"/>
      <c r="BA60" s="57"/>
      <c r="BB60" s="60"/>
      <c r="BC60" s="56"/>
      <c r="BD60" s="60"/>
      <c r="BE60" s="56"/>
      <c r="BF60" s="56"/>
      <c r="BG60" s="56"/>
      <c r="BH60" s="56"/>
      <c r="BI60" s="56"/>
      <c r="BJ60" s="56"/>
      <c r="BK60" s="56"/>
      <c r="BL60" s="60"/>
      <c r="BM60" s="56"/>
      <c r="BN60" s="60"/>
      <c r="BO60" s="57"/>
      <c r="BP60" s="60"/>
      <c r="BQ60" s="57"/>
      <c r="BR60" s="60"/>
      <c r="BS60" s="57"/>
      <c r="BT60" s="57"/>
      <c r="BU60" s="57"/>
      <c r="BV60" s="57"/>
      <c r="BW60" s="57"/>
      <c r="BX60" s="57"/>
      <c r="BY60" s="57"/>
      <c r="BZ60" s="60"/>
      <c r="CA60" s="57"/>
    </row>
    <row r="61" spans="1:79" x14ac:dyDescent="0.15">
      <c r="A61" s="55">
        <v>59</v>
      </c>
      <c r="B61" s="56"/>
      <c r="C61" s="56"/>
      <c r="D61" s="56"/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7"/>
      <c r="P61" s="57"/>
      <c r="Q61" s="57"/>
      <c r="R61" s="57"/>
      <c r="S61" s="57"/>
      <c r="T61" s="57"/>
      <c r="U61" s="57"/>
      <c r="V61" s="57"/>
      <c r="W61" s="57"/>
      <c r="X61" s="57"/>
      <c r="Y61" s="57"/>
      <c r="Z61" s="57"/>
      <c r="AA61" s="57"/>
      <c r="AB61" s="56"/>
      <c r="AC61" s="60"/>
      <c r="AD61" s="56"/>
      <c r="AE61" s="60"/>
      <c r="AF61" s="56"/>
      <c r="AG61" s="56"/>
      <c r="AH61" s="56"/>
      <c r="AI61" s="56"/>
      <c r="AJ61" s="56"/>
      <c r="AK61" s="56"/>
      <c r="AL61" s="56"/>
      <c r="AM61" s="60"/>
      <c r="AN61" s="56"/>
      <c r="AO61" s="57"/>
      <c r="AP61" s="60"/>
      <c r="AQ61" s="57"/>
      <c r="AR61" s="60"/>
      <c r="AS61" s="57"/>
      <c r="AT61" s="57"/>
      <c r="AU61" s="57"/>
      <c r="AV61" s="57"/>
      <c r="AW61" s="57"/>
      <c r="AX61" s="57"/>
      <c r="AY61" s="57"/>
      <c r="AZ61" s="60"/>
      <c r="BA61" s="57"/>
      <c r="BB61" s="60"/>
      <c r="BC61" s="56"/>
      <c r="BD61" s="60"/>
      <c r="BE61" s="56"/>
      <c r="BF61" s="56"/>
      <c r="BG61" s="56"/>
      <c r="BH61" s="56"/>
      <c r="BI61" s="56"/>
      <c r="BJ61" s="56"/>
      <c r="BK61" s="56"/>
      <c r="BL61" s="60"/>
      <c r="BM61" s="56"/>
      <c r="BN61" s="60"/>
      <c r="BO61" s="57"/>
      <c r="BP61" s="60"/>
      <c r="BQ61" s="57"/>
      <c r="BR61" s="60"/>
      <c r="BS61" s="57"/>
      <c r="BT61" s="57"/>
      <c r="BU61" s="57"/>
      <c r="BV61" s="57"/>
      <c r="BW61" s="57"/>
      <c r="BX61" s="57"/>
      <c r="BY61" s="57"/>
      <c r="BZ61" s="60"/>
      <c r="CA61" s="57"/>
    </row>
    <row r="62" spans="1:79" x14ac:dyDescent="0.15">
      <c r="A62" s="55">
        <v>60</v>
      </c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7"/>
      <c r="P62" s="57"/>
      <c r="Q62" s="57"/>
      <c r="R62" s="57"/>
      <c r="S62" s="57"/>
      <c r="T62" s="57"/>
      <c r="U62" s="57"/>
      <c r="V62" s="57"/>
      <c r="W62" s="57"/>
      <c r="X62" s="57"/>
      <c r="Y62" s="57"/>
      <c r="Z62" s="57"/>
      <c r="AA62" s="57"/>
      <c r="AB62" s="56"/>
      <c r="AC62" s="60"/>
      <c r="AD62" s="56"/>
      <c r="AE62" s="60"/>
      <c r="AF62" s="56"/>
      <c r="AG62" s="56"/>
      <c r="AH62" s="56"/>
      <c r="AI62" s="56"/>
      <c r="AJ62" s="56"/>
      <c r="AK62" s="56"/>
      <c r="AL62" s="56"/>
      <c r="AM62" s="60"/>
      <c r="AN62" s="56"/>
      <c r="AO62" s="57"/>
      <c r="AP62" s="60"/>
      <c r="AQ62" s="57"/>
      <c r="AR62" s="60"/>
      <c r="AS62" s="57"/>
      <c r="AT62" s="57"/>
      <c r="AU62" s="57"/>
      <c r="AV62" s="57"/>
      <c r="AW62" s="57"/>
      <c r="AX62" s="57"/>
      <c r="AY62" s="57"/>
      <c r="AZ62" s="60"/>
      <c r="BA62" s="57"/>
      <c r="BB62" s="60"/>
      <c r="BC62" s="56"/>
      <c r="BD62" s="60"/>
      <c r="BE62" s="56"/>
      <c r="BF62" s="56"/>
      <c r="BG62" s="56"/>
      <c r="BH62" s="56"/>
      <c r="BI62" s="56"/>
      <c r="BJ62" s="56"/>
      <c r="BK62" s="56"/>
      <c r="BL62" s="60"/>
      <c r="BM62" s="56"/>
      <c r="BN62" s="60"/>
      <c r="BO62" s="57"/>
      <c r="BP62" s="60"/>
      <c r="BQ62" s="57"/>
      <c r="BR62" s="60"/>
      <c r="BS62" s="57"/>
      <c r="BT62" s="57"/>
      <c r="BU62" s="57"/>
      <c r="BV62" s="57"/>
      <c r="BW62" s="57"/>
      <c r="BX62" s="57"/>
      <c r="BY62" s="57"/>
      <c r="BZ62" s="60"/>
      <c r="CA62" s="57"/>
    </row>
    <row r="63" spans="1:79" x14ac:dyDescent="0.15">
      <c r="A63" s="55">
        <v>61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7"/>
      <c r="P63" s="57"/>
      <c r="Q63" s="57"/>
      <c r="R63" s="57"/>
      <c r="S63" s="57"/>
      <c r="T63" s="57"/>
      <c r="U63" s="57"/>
      <c r="V63" s="57"/>
      <c r="W63" s="57"/>
      <c r="X63" s="57"/>
      <c r="Y63" s="57"/>
      <c r="Z63" s="57"/>
      <c r="AA63" s="57"/>
      <c r="AB63" s="56"/>
      <c r="AC63" s="60"/>
      <c r="AD63" s="56"/>
      <c r="AE63" s="60"/>
      <c r="AF63" s="56"/>
      <c r="AG63" s="56"/>
      <c r="AH63" s="56"/>
      <c r="AI63" s="56"/>
      <c r="AJ63" s="56"/>
      <c r="AK63" s="56"/>
      <c r="AL63" s="56"/>
      <c r="AM63" s="60"/>
      <c r="AN63" s="56"/>
      <c r="AO63" s="57"/>
      <c r="AP63" s="60"/>
      <c r="AQ63" s="57"/>
      <c r="AR63" s="60"/>
      <c r="AS63" s="57"/>
      <c r="AT63" s="57"/>
      <c r="AU63" s="57"/>
      <c r="AV63" s="57"/>
      <c r="AW63" s="57"/>
      <c r="AX63" s="57"/>
      <c r="AY63" s="57"/>
      <c r="AZ63" s="60"/>
      <c r="BA63" s="57"/>
      <c r="BB63" s="60"/>
      <c r="BC63" s="56"/>
      <c r="BD63" s="60"/>
      <c r="BE63" s="56"/>
      <c r="BF63" s="56"/>
      <c r="BG63" s="56"/>
      <c r="BH63" s="56"/>
      <c r="BI63" s="56"/>
      <c r="BJ63" s="56"/>
      <c r="BK63" s="56"/>
      <c r="BL63" s="60"/>
      <c r="BM63" s="56"/>
      <c r="BN63" s="60"/>
      <c r="BO63" s="57"/>
      <c r="BP63" s="60"/>
      <c r="BQ63" s="57"/>
      <c r="BR63" s="60"/>
      <c r="BS63" s="57"/>
      <c r="BT63" s="57"/>
      <c r="BU63" s="57"/>
      <c r="BV63" s="57"/>
      <c r="BW63" s="57"/>
      <c r="BX63" s="57"/>
      <c r="BY63" s="57"/>
      <c r="BZ63" s="60"/>
      <c r="CA63" s="57"/>
    </row>
    <row r="64" spans="1:79" x14ac:dyDescent="0.15">
      <c r="A64" s="55">
        <v>62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7"/>
      <c r="P64" s="57"/>
      <c r="Q64" s="57"/>
      <c r="R64" s="57"/>
      <c r="S64" s="57"/>
      <c r="T64" s="57"/>
      <c r="U64" s="57"/>
      <c r="V64" s="57"/>
      <c r="W64" s="57"/>
      <c r="X64" s="57"/>
      <c r="Y64" s="57"/>
      <c r="Z64" s="57"/>
      <c r="AA64" s="57"/>
      <c r="AB64" s="56"/>
      <c r="AC64" s="60"/>
      <c r="AD64" s="56"/>
      <c r="AE64" s="60"/>
      <c r="AF64" s="56"/>
      <c r="AG64" s="56"/>
      <c r="AH64" s="56"/>
      <c r="AI64" s="56"/>
      <c r="AJ64" s="56"/>
      <c r="AK64" s="56"/>
      <c r="AL64" s="56"/>
      <c r="AM64" s="60"/>
      <c r="AN64" s="56"/>
      <c r="AO64" s="57"/>
      <c r="AP64" s="60"/>
      <c r="AQ64" s="57"/>
      <c r="AR64" s="60"/>
      <c r="AS64" s="57"/>
      <c r="AT64" s="57"/>
      <c r="AU64" s="57"/>
      <c r="AV64" s="57"/>
      <c r="AW64" s="57"/>
      <c r="AX64" s="57"/>
      <c r="AY64" s="57"/>
      <c r="AZ64" s="60"/>
      <c r="BA64" s="57"/>
      <c r="BB64" s="60"/>
      <c r="BC64" s="56"/>
      <c r="BD64" s="60"/>
      <c r="BE64" s="56"/>
      <c r="BF64" s="56"/>
      <c r="BG64" s="56"/>
      <c r="BH64" s="56"/>
      <c r="BI64" s="56"/>
      <c r="BJ64" s="56"/>
      <c r="BK64" s="56"/>
      <c r="BL64" s="60"/>
      <c r="BM64" s="56"/>
      <c r="BN64" s="60"/>
      <c r="BO64" s="57"/>
      <c r="BP64" s="60"/>
      <c r="BQ64" s="57"/>
      <c r="BR64" s="60"/>
      <c r="BS64" s="57"/>
      <c r="BT64" s="57"/>
      <c r="BU64" s="57"/>
      <c r="BV64" s="57"/>
      <c r="BW64" s="57"/>
      <c r="BX64" s="57"/>
      <c r="BY64" s="57"/>
      <c r="BZ64" s="60"/>
      <c r="CA64" s="57"/>
    </row>
    <row r="65" spans="1:79" x14ac:dyDescent="0.15">
      <c r="A65" s="55">
        <v>63</v>
      </c>
      <c r="B65" s="56"/>
      <c r="C65" s="56"/>
      <c r="D65" s="56"/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7"/>
      <c r="P65" s="57"/>
      <c r="Q65" s="57"/>
      <c r="R65" s="57"/>
      <c r="S65" s="57"/>
      <c r="T65" s="57"/>
      <c r="U65" s="57"/>
      <c r="V65" s="57"/>
      <c r="W65" s="57"/>
      <c r="X65" s="57"/>
      <c r="Y65" s="57"/>
      <c r="Z65" s="57"/>
      <c r="AA65" s="57"/>
      <c r="AB65" s="56"/>
      <c r="AC65" s="60"/>
      <c r="AD65" s="56"/>
      <c r="AE65" s="60"/>
      <c r="AF65" s="56"/>
      <c r="AG65" s="56"/>
      <c r="AH65" s="56"/>
      <c r="AI65" s="56"/>
      <c r="AJ65" s="56"/>
      <c r="AK65" s="56"/>
      <c r="AL65" s="56"/>
      <c r="AM65" s="60"/>
      <c r="AN65" s="56"/>
      <c r="AO65" s="57"/>
      <c r="AP65" s="60"/>
      <c r="AQ65" s="57"/>
      <c r="AR65" s="60"/>
      <c r="AS65" s="57"/>
      <c r="AT65" s="57"/>
      <c r="AU65" s="57"/>
      <c r="AV65" s="57"/>
      <c r="AW65" s="57"/>
      <c r="AX65" s="57"/>
      <c r="AY65" s="57"/>
      <c r="AZ65" s="60"/>
      <c r="BA65" s="57"/>
      <c r="BB65" s="60"/>
      <c r="BC65" s="56"/>
      <c r="BD65" s="60"/>
      <c r="BE65" s="56"/>
      <c r="BF65" s="56"/>
      <c r="BG65" s="56"/>
      <c r="BH65" s="56"/>
      <c r="BI65" s="56"/>
      <c r="BJ65" s="56"/>
      <c r="BK65" s="56"/>
      <c r="BL65" s="60"/>
      <c r="BM65" s="56"/>
      <c r="BN65" s="60"/>
      <c r="BO65" s="57"/>
      <c r="BP65" s="60"/>
      <c r="BQ65" s="57"/>
      <c r="BR65" s="60"/>
      <c r="BS65" s="57"/>
      <c r="BT65" s="57"/>
      <c r="BU65" s="57"/>
      <c r="BV65" s="57"/>
      <c r="BW65" s="57"/>
      <c r="BX65" s="57"/>
      <c r="BY65" s="57"/>
      <c r="BZ65" s="60"/>
      <c r="CA65" s="57"/>
    </row>
    <row r="66" spans="1:79" x14ac:dyDescent="0.15">
      <c r="A66" s="55">
        <v>64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7"/>
      <c r="P66" s="57"/>
      <c r="Q66" s="57"/>
      <c r="R66" s="57"/>
      <c r="S66" s="57"/>
      <c r="T66" s="57"/>
      <c r="U66" s="57"/>
      <c r="V66" s="57"/>
      <c r="W66" s="57"/>
      <c r="X66" s="57"/>
      <c r="Y66" s="57"/>
      <c r="Z66" s="57"/>
      <c r="AA66" s="57"/>
      <c r="AB66" s="56"/>
      <c r="AC66" s="60"/>
      <c r="AD66" s="56"/>
      <c r="AE66" s="60"/>
      <c r="AF66" s="56"/>
      <c r="AG66" s="56"/>
      <c r="AH66" s="56"/>
      <c r="AI66" s="56"/>
      <c r="AJ66" s="56"/>
      <c r="AK66" s="56"/>
      <c r="AL66" s="56"/>
      <c r="AM66" s="60"/>
      <c r="AN66" s="56"/>
      <c r="AO66" s="57"/>
      <c r="AP66" s="60"/>
      <c r="AQ66" s="57"/>
      <c r="AR66" s="60"/>
      <c r="AS66" s="57"/>
      <c r="AT66" s="57"/>
      <c r="AU66" s="57"/>
      <c r="AV66" s="57"/>
      <c r="AW66" s="57"/>
      <c r="AX66" s="57"/>
      <c r="AY66" s="57"/>
      <c r="AZ66" s="60"/>
      <c r="BA66" s="57"/>
      <c r="BB66" s="60"/>
      <c r="BC66" s="56"/>
      <c r="BD66" s="60"/>
      <c r="BE66" s="56"/>
      <c r="BF66" s="56"/>
      <c r="BG66" s="56"/>
      <c r="BH66" s="56"/>
      <c r="BI66" s="56"/>
      <c r="BJ66" s="56"/>
      <c r="BK66" s="56"/>
      <c r="BL66" s="60"/>
      <c r="BM66" s="56"/>
      <c r="BN66" s="60"/>
      <c r="BO66" s="57"/>
      <c r="BP66" s="60"/>
      <c r="BQ66" s="57"/>
      <c r="BR66" s="60"/>
      <c r="BS66" s="57"/>
      <c r="BT66" s="57"/>
      <c r="BU66" s="57"/>
      <c r="BV66" s="57"/>
      <c r="BW66" s="57"/>
      <c r="BX66" s="57"/>
      <c r="BY66" s="57"/>
      <c r="BZ66" s="60"/>
      <c r="CA66" s="57"/>
    </row>
    <row r="67" spans="1:79" x14ac:dyDescent="0.15">
      <c r="A67" s="55">
        <v>65</v>
      </c>
      <c r="B67" s="56"/>
      <c r="C67" s="56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7"/>
      <c r="P67" s="57"/>
      <c r="Q67" s="57"/>
      <c r="R67" s="57"/>
      <c r="S67" s="57"/>
      <c r="T67" s="57"/>
      <c r="U67" s="57"/>
      <c r="V67" s="57"/>
      <c r="W67" s="57"/>
      <c r="X67" s="57"/>
      <c r="Y67" s="57"/>
      <c r="Z67" s="57"/>
      <c r="AA67" s="57"/>
      <c r="AB67" s="56"/>
      <c r="AC67" s="60"/>
      <c r="AD67" s="56"/>
      <c r="AE67" s="60"/>
      <c r="AF67" s="56"/>
      <c r="AG67" s="56"/>
      <c r="AH67" s="56"/>
      <c r="AI67" s="56"/>
      <c r="AJ67" s="56"/>
      <c r="AK67" s="56"/>
      <c r="AL67" s="56"/>
      <c r="AM67" s="60"/>
      <c r="AN67" s="56"/>
      <c r="AO67" s="57"/>
      <c r="AP67" s="60"/>
      <c r="AQ67" s="57"/>
      <c r="AR67" s="60"/>
      <c r="AS67" s="57"/>
      <c r="AT67" s="57"/>
      <c r="AU67" s="57"/>
      <c r="AV67" s="57"/>
      <c r="AW67" s="57"/>
      <c r="AX67" s="57"/>
      <c r="AY67" s="57"/>
      <c r="AZ67" s="60"/>
      <c r="BA67" s="57"/>
      <c r="BB67" s="60"/>
      <c r="BC67" s="56"/>
      <c r="BD67" s="60"/>
      <c r="BE67" s="56"/>
      <c r="BF67" s="56"/>
      <c r="BG67" s="56"/>
      <c r="BH67" s="56"/>
      <c r="BI67" s="56"/>
      <c r="BJ67" s="56"/>
      <c r="BK67" s="56"/>
      <c r="BL67" s="60"/>
      <c r="BM67" s="56"/>
      <c r="BN67" s="60"/>
      <c r="BO67" s="57"/>
      <c r="BP67" s="60"/>
      <c r="BQ67" s="57"/>
      <c r="BR67" s="60"/>
      <c r="BS67" s="57"/>
      <c r="BT67" s="57"/>
      <c r="BU67" s="57"/>
      <c r="BV67" s="57"/>
      <c r="BW67" s="57"/>
      <c r="BX67" s="57"/>
      <c r="BY67" s="57"/>
      <c r="BZ67" s="60"/>
      <c r="CA67" s="57"/>
    </row>
    <row r="68" spans="1:79" x14ac:dyDescent="0.15">
      <c r="A68" s="55">
        <v>66</v>
      </c>
      <c r="B68" s="56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7"/>
      <c r="P68" s="57"/>
      <c r="Q68" s="57"/>
      <c r="R68" s="57"/>
      <c r="S68" s="57"/>
      <c r="T68" s="57"/>
      <c r="U68" s="57"/>
      <c r="V68" s="57"/>
      <c r="W68" s="57"/>
      <c r="X68" s="57"/>
      <c r="Y68" s="57"/>
      <c r="Z68" s="57"/>
      <c r="AA68" s="57"/>
      <c r="AB68" s="56"/>
      <c r="AC68" s="60"/>
      <c r="AD68" s="56"/>
      <c r="AE68" s="60"/>
      <c r="AF68" s="56"/>
      <c r="AG68" s="56"/>
      <c r="AH68" s="56"/>
      <c r="AI68" s="56"/>
      <c r="AJ68" s="56"/>
      <c r="AK68" s="56"/>
      <c r="AL68" s="56"/>
      <c r="AM68" s="60"/>
      <c r="AN68" s="56"/>
      <c r="AO68" s="57"/>
      <c r="AP68" s="60"/>
      <c r="AQ68" s="57"/>
      <c r="AR68" s="60"/>
      <c r="AS68" s="57"/>
      <c r="AT68" s="57"/>
      <c r="AU68" s="57"/>
      <c r="AV68" s="57"/>
      <c r="AW68" s="57"/>
      <c r="AX68" s="57"/>
      <c r="AY68" s="57"/>
      <c r="AZ68" s="60"/>
      <c r="BA68" s="57"/>
      <c r="BB68" s="60"/>
      <c r="BC68" s="56"/>
      <c r="BD68" s="60"/>
      <c r="BE68" s="56"/>
      <c r="BF68" s="56"/>
      <c r="BG68" s="56"/>
      <c r="BH68" s="56"/>
      <c r="BI68" s="56"/>
      <c r="BJ68" s="56"/>
      <c r="BK68" s="56"/>
      <c r="BL68" s="60"/>
      <c r="BM68" s="56"/>
      <c r="BN68" s="60"/>
      <c r="BO68" s="57"/>
      <c r="BP68" s="60"/>
      <c r="BQ68" s="57"/>
      <c r="BR68" s="60"/>
      <c r="BS68" s="57"/>
      <c r="BT68" s="57"/>
      <c r="BU68" s="57"/>
      <c r="BV68" s="57"/>
      <c r="BW68" s="57"/>
      <c r="BX68" s="57"/>
      <c r="BY68" s="57"/>
      <c r="BZ68" s="60"/>
      <c r="CA68" s="57"/>
    </row>
    <row r="69" spans="1:79" x14ac:dyDescent="0.15">
      <c r="A69" s="55">
        <v>67</v>
      </c>
      <c r="B69" s="56"/>
      <c r="C69" s="56"/>
      <c r="D69" s="56"/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7"/>
      <c r="P69" s="57"/>
      <c r="Q69" s="57"/>
      <c r="R69" s="57"/>
      <c r="S69" s="57"/>
      <c r="T69" s="57"/>
      <c r="U69" s="57"/>
      <c r="V69" s="57"/>
      <c r="W69" s="57"/>
      <c r="X69" s="57"/>
      <c r="Y69" s="57"/>
      <c r="Z69" s="57"/>
      <c r="AA69" s="57"/>
      <c r="AB69" s="56"/>
      <c r="AC69" s="60"/>
      <c r="AD69" s="56"/>
      <c r="AE69" s="60"/>
      <c r="AF69" s="56"/>
      <c r="AG69" s="56"/>
      <c r="AH69" s="56"/>
      <c r="AI69" s="56"/>
      <c r="AJ69" s="56"/>
      <c r="AK69" s="56"/>
      <c r="AL69" s="56"/>
      <c r="AM69" s="60"/>
      <c r="AN69" s="56"/>
      <c r="AO69" s="57"/>
      <c r="AP69" s="60"/>
      <c r="AQ69" s="57"/>
      <c r="AR69" s="60"/>
      <c r="AS69" s="57"/>
      <c r="AT69" s="57"/>
      <c r="AU69" s="57"/>
      <c r="AV69" s="57"/>
      <c r="AW69" s="57"/>
      <c r="AX69" s="57"/>
      <c r="AY69" s="57"/>
      <c r="AZ69" s="60"/>
      <c r="BA69" s="57"/>
      <c r="BB69" s="60"/>
      <c r="BC69" s="56"/>
      <c r="BD69" s="60"/>
      <c r="BE69" s="56"/>
      <c r="BF69" s="56"/>
      <c r="BG69" s="56"/>
      <c r="BH69" s="56"/>
      <c r="BI69" s="56"/>
      <c r="BJ69" s="56"/>
      <c r="BK69" s="56"/>
      <c r="BL69" s="60"/>
      <c r="BM69" s="56"/>
      <c r="BN69" s="60"/>
      <c r="BO69" s="57"/>
      <c r="BP69" s="60"/>
      <c r="BQ69" s="57"/>
      <c r="BR69" s="60"/>
      <c r="BS69" s="57"/>
      <c r="BT69" s="57"/>
      <c r="BU69" s="57"/>
      <c r="BV69" s="57"/>
      <c r="BW69" s="57"/>
      <c r="BX69" s="57"/>
      <c r="BY69" s="57"/>
      <c r="BZ69" s="60"/>
      <c r="CA69" s="57"/>
    </row>
    <row r="70" spans="1:79" x14ac:dyDescent="0.15">
      <c r="A70" s="55">
        <v>68</v>
      </c>
      <c r="B70" s="56"/>
      <c r="C70" s="56"/>
      <c r="D70" s="56"/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7"/>
      <c r="P70" s="57"/>
      <c r="Q70" s="57"/>
      <c r="R70" s="57"/>
      <c r="S70" s="57"/>
      <c r="T70" s="57"/>
      <c r="U70" s="57"/>
      <c r="V70" s="57"/>
      <c r="W70" s="57"/>
      <c r="X70" s="57"/>
      <c r="Y70" s="57"/>
      <c r="Z70" s="57"/>
      <c r="AA70" s="57"/>
      <c r="AB70" s="56"/>
      <c r="AC70" s="60"/>
      <c r="AD70" s="56"/>
      <c r="AE70" s="60"/>
      <c r="AF70" s="56"/>
      <c r="AG70" s="56"/>
      <c r="AH70" s="56"/>
      <c r="AI70" s="56"/>
      <c r="AJ70" s="56"/>
      <c r="AK70" s="56"/>
      <c r="AL70" s="56"/>
      <c r="AM70" s="60"/>
      <c r="AN70" s="56"/>
      <c r="AO70" s="57"/>
      <c r="AP70" s="60"/>
      <c r="AQ70" s="57"/>
      <c r="AR70" s="60"/>
      <c r="AS70" s="57"/>
      <c r="AT70" s="57"/>
      <c r="AU70" s="57"/>
      <c r="AV70" s="57"/>
      <c r="AW70" s="57"/>
      <c r="AX70" s="57"/>
      <c r="AY70" s="57"/>
      <c r="AZ70" s="60"/>
      <c r="BA70" s="57"/>
      <c r="BB70" s="60"/>
      <c r="BC70" s="56"/>
      <c r="BD70" s="60"/>
      <c r="BE70" s="56"/>
      <c r="BF70" s="56"/>
      <c r="BG70" s="56"/>
      <c r="BH70" s="56"/>
      <c r="BI70" s="56"/>
      <c r="BJ70" s="56"/>
      <c r="BK70" s="56"/>
      <c r="BL70" s="60"/>
      <c r="BM70" s="56"/>
      <c r="BN70" s="60"/>
      <c r="BO70" s="57"/>
      <c r="BP70" s="60"/>
      <c r="BQ70" s="57"/>
      <c r="BR70" s="60"/>
      <c r="BS70" s="57"/>
      <c r="BT70" s="57"/>
      <c r="BU70" s="57"/>
      <c r="BV70" s="57"/>
      <c r="BW70" s="57"/>
      <c r="BX70" s="57"/>
      <c r="BY70" s="57"/>
      <c r="BZ70" s="60"/>
      <c r="CA70" s="57"/>
    </row>
    <row r="71" spans="1:79" x14ac:dyDescent="0.15">
      <c r="A71" s="55">
        <v>69</v>
      </c>
      <c r="B71" s="56"/>
      <c r="C71" s="56"/>
      <c r="D71" s="56"/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7"/>
      <c r="P71" s="57"/>
      <c r="Q71" s="57"/>
      <c r="R71" s="57"/>
      <c r="S71" s="57"/>
      <c r="T71" s="57"/>
      <c r="U71" s="57"/>
      <c r="V71" s="57"/>
      <c r="W71" s="57"/>
      <c r="X71" s="57"/>
      <c r="Y71" s="57"/>
      <c r="Z71" s="57"/>
      <c r="AA71" s="57"/>
      <c r="AB71" s="56"/>
      <c r="AC71" s="60"/>
      <c r="AD71" s="56"/>
      <c r="AE71" s="60"/>
      <c r="AF71" s="56"/>
      <c r="AG71" s="56"/>
      <c r="AH71" s="56"/>
      <c r="AI71" s="56"/>
      <c r="AJ71" s="56"/>
      <c r="AK71" s="56"/>
      <c r="AL71" s="56"/>
      <c r="AM71" s="60"/>
      <c r="AN71" s="56"/>
      <c r="AO71" s="57"/>
      <c r="AP71" s="60"/>
      <c r="AQ71" s="57"/>
      <c r="AR71" s="60"/>
      <c r="AS71" s="57"/>
      <c r="AT71" s="57"/>
      <c r="AU71" s="57"/>
      <c r="AV71" s="57"/>
      <c r="AW71" s="57"/>
      <c r="AX71" s="57"/>
      <c r="AY71" s="57"/>
      <c r="AZ71" s="60"/>
      <c r="BA71" s="57"/>
      <c r="BB71" s="60"/>
      <c r="BC71" s="56"/>
      <c r="BD71" s="60"/>
      <c r="BE71" s="56"/>
      <c r="BF71" s="56"/>
      <c r="BG71" s="56"/>
      <c r="BH71" s="56"/>
      <c r="BI71" s="56"/>
      <c r="BJ71" s="56"/>
      <c r="BK71" s="56"/>
      <c r="BL71" s="60"/>
      <c r="BM71" s="56"/>
      <c r="BN71" s="60"/>
      <c r="BO71" s="57"/>
      <c r="BP71" s="60"/>
      <c r="BQ71" s="57"/>
      <c r="BR71" s="60"/>
      <c r="BS71" s="57"/>
      <c r="BT71" s="57"/>
      <c r="BU71" s="57"/>
      <c r="BV71" s="57"/>
      <c r="BW71" s="57"/>
      <c r="BX71" s="57"/>
      <c r="BY71" s="57"/>
      <c r="BZ71" s="60"/>
      <c r="CA71" s="57"/>
    </row>
    <row r="72" spans="1:79" x14ac:dyDescent="0.15">
      <c r="A72" s="55">
        <v>70</v>
      </c>
      <c r="B72" s="56"/>
      <c r="C72" s="56"/>
      <c r="D72" s="56"/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7"/>
      <c r="P72" s="57"/>
      <c r="Q72" s="57"/>
      <c r="R72" s="57"/>
      <c r="S72" s="57"/>
      <c r="T72" s="57"/>
      <c r="U72" s="57"/>
      <c r="V72" s="57"/>
      <c r="W72" s="57"/>
      <c r="X72" s="57"/>
      <c r="Y72" s="57"/>
      <c r="Z72" s="57"/>
      <c r="AA72" s="57"/>
      <c r="AB72" s="56"/>
      <c r="AC72" s="60"/>
      <c r="AD72" s="56"/>
      <c r="AE72" s="60"/>
      <c r="AF72" s="56"/>
      <c r="AG72" s="56"/>
      <c r="AH72" s="56"/>
      <c r="AI72" s="56"/>
      <c r="AJ72" s="56"/>
      <c r="AK72" s="56"/>
      <c r="AL72" s="56"/>
      <c r="AM72" s="60"/>
      <c r="AN72" s="56"/>
      <c r="AO72" s="57"/>
      <c r="AP72" s="60"/>
      <c r="AQ72" s="57"/>
      <c r="AR72" s="60"/>
      <c r="AS72" s="57"/>
      <c r="AT72" s="57"/>
      <c r="AU72" s="57"/>
      <c r="AV72" s="57"/>
      <c r="AW72" s="57"/>
      <c r="AX72" s="57"/>
      <c r="AY72" s="57"/>
      <c r="AZ72" s="60"/>
      <c r="BA72" s="57"/>
      <c r="BB72" s="60"/>
      <c r="BC72" s="56"/>
      <c r="BD72" s="60"/>
      <c r="BE72" s="56"/>
      <c r="BF72" s="56"/>
      <c r="BG72" s="56"/>
      <c r="BH72" s="56"/>
      <c r="BI72" s="56"/>
      <c r="BJ72" s="56"/>
      <c r="BK72" s="56"/>
      <c r="BL72" s="60"/>
      <c r="BM72" s="56"/>
      <c r="BN72" s="60"/>
      <c r="BO72" s="57"/>
      <c r="BP72" s="60"/>
      <c r="BQ72" s="57"/>
      <c r="BR72" s="60"/>
      <c r="BS72" s="57"/>
      <c r="BT72" s="57"/>
      <c r="BU72" s="57"/>
      <c r="BV72" s="57"/>
      <c r="BW72" s="57"/>
      <c r="BX72" s="57"/>
      <c r="BY72" s="57"/>
      <c r="BZ72" s="60"/>
      <c r="CA72" s="57"/>
    </row>
    <row r="73" spans="1:79" x14ac:dyDescent="0.15">
      <c r="A73" s="55">
        <v>71</v>
      </c>
      <c r="B73" s="56"/>
      <c r="C73" s="56"/>
      <c r="D73" s="56"/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7"/>
      <c r="P73" s="57"/>
      <c r="Q73" s="57"/>
      <c r="R73" s="57"/>
      <c r="S73" s="57"/>
      <c r="T73" s="57"/>
      <c r="U73" s="57"/>
      <c r="V73" s="57"/>
      <c r="W73" s="57"/>
      <c r="X73" s="57"/>
      <c r="Y73" s="57"/>
      <c r="Z73" s="57"/>
      <c r="AA73" s="57"/>
      <c r="AB73" s="56"/>
      <c r="AC73" s="60"/>
      <c r="AD73" s="56"/>
      <c r="AE73" s="60"/>
      <c r="AF73" s="56"/>
      <c r="AG73" s="56"/>
      <c r="AH73" s="56"/>
      <c r="AI73" s="56"/>
      <c r="AJ73" s="56"/>
      <c r="AK73" s="56"/>
      <c r="AL73" s="56"/>
      <c r="AM73" s="60"/>
      <c r="AN73" s="56"/>
      <c r="AO73" s="57"/>
      <c r="AP73" s="60"/>
      <c r="AQ73" s="57"/>
      <c r="AR73" s="60"/>
      <c r="AS73" s="57"/>
      <c r="AT73" s="57"/>
      <c r="AU73" s="57"/>
      <c r="AV73" s="57"/>
      <c r="AW73" s="57"/>
      <c r="AX73" s="57"/>
      <c r="AY73" s="57"/>
      <c r="AZ73" s="60"/>
      <c r="BA73" s="57"/>
      <c r="BB73" s="60"/>
      <c r="BC73" s="56"/>
      <c r="BD73" s="60"/>
      <c r="BE73" s="56"/>
      <c r="BF73" s="56"/>
      <c r="BG73" s="56"/>
      <c r="BH73" s="56"/>
      <c r="BI73" s="56"/>
      <c r="BJ73" s="56"/>
      <c r="BK73" s="56"/>
      <c r="BL73" s="60"/>
      <c r="BM73" s="56"/>
      <c r="BN73" s="60"/>
      <c r="BO73" s="57"/>
      <c r="BP73" s="60"/>
      <c r="BQ73" s="57"/>
      <c r="BR73" s="60"/>
      <c r="BS73" s="57"/>
      <c r="BT73" s="57"/>
      <c r="BU73" s="57"/>
      <c r="BV73" s="57"/>
      <c r="BW73" s="57"/>
      <c r="BX73" s="57"/>
      <c r="BY73" s="57"/>
      <c r="BZ73" s="60"/>
      <c r="CA73" s="57"/>
    </row>
    <row r="74" spans="1:79" x14ac:dyDescent="0.15">
      <c r="A74" s="55">
        <v>72</v>
      </c>
      <c r="B74" s="56"/>
      <c r="C74" s="56"/>
      <c r="D74" s="56"/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7"/>
      <c r="P74" s="57"/>
      <c r="Q74" s="57"/>
      <c r="R74" s="57"/>
      <c r="S74" s="57"/>
      <c r="T74" s="57"/>
      <c r="U74" s="57"/>
      <c r="V74" s="57"/>
      <c r="W74" s="57"/>
      <c r="X74" s="57"/>
      <c r="Y74" s="57"/>
      <c r="Z74" s="57"/>
      <c r="AA74" s="57"/>
      <c r="AB74" s="56"/>
      <c r="AC74" s="60"/>
      <c r="AD74" s="56"/>
      <c r="AE74" s="60"/>
      <c r="AF74" s="56"/>
      <c r="AG74" s="56"/>
      <c r="AH74" s="56"/>
      <c r="AI74" s="56"/>
      <c r="AJ74" s="56"/>
      <c r="AK74" s="56"/>
      <c r="AL74" s="56"/>
      <c r="AM74" s="60"/>
      <c r="AN74" s="56"/>
      <c r="AO74" s="57"/>
      <c r="AP74" s="60"/>
      <c r="AQ74" s="57"/>
      <c r="AR74" s="60"/>
      <c r="AS74" s="57"/>
      <c r="AT74" s="57"/>
      <c r="AU74" s="57"/>
      <c r="AV74" s="57"/>
      <c r="AW74" s="57"/>
      <c r="AX74" s="57"/>
      <c r="AY74" s="57"/>
      <c r="AZ74" s="60"/>
      <c r="BA74" s="57"/>
      <c r="BB74" s="60"/>
      <c r="BC74" s="56"/>
      <c r="BD74" s="60"/>
      <c r="BE74" s="56"/>
      <c r="BF74" s="56"/>
      <c r="BG74" s="56"/>
      <c r="BH74" s="56"/>
      <c r="BI74" s="56"/>
      <c r="BJ74" s="56"/>
      <c r="BK74" s="56"/>
      <c r="BL74" s="60"/>
      <c r="BM74" s="56"/>
      <c r="BN74" s="60"/>
      <c r="BO74" s="57"/>
      <c r="BP74" s="60"/>
      <c r="BQ74" s="57"/>
      <c r="BR74" s="60"/>
      <c r="BS74" s="57"/>
      <c r="BT74" s="57"/>
      <c r="BU74" s="57"/>
      <c r="BV74" s="57"/>
      <c r="BW74" s="57"/>
      <c r="BX74" s="57"/>
      <c r="BY74" s="57"/>
      <c r="BZ74" s="60"/>
      <c r="CA74" s="57"/>
    </row>
    <row r="75" spans="1:79" x14ac:dyDescent="0.15">
      <c r="A75" s="55">
        <v>73</v>
      </c>
      <c r="B75" s="56"/>
      <c r="C75" s="56"/>
      <c r="D75" s="56"/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7"/>
      <c r="P75" s="57"/>
      <c r="Q75" s="57"/>
      <c r="R75" s="57"/>
      <c r="S75" s="57"/>
      <c r="T75" s="57"/>
      <c r="U75" s="57"/>
      <c r="V75" s="57"/>
      <c r="W75" s="57"/>
      <c r="X75" s="57"/>
      <c r="Y75" s="57"/>
      <c r="Z75" s="57"/>
      <c r="AA75" s="57"/>
      <c r="AB75" s="56"/>
      <c r="AC75" s="60"/>
      <c r="AD75" s="56"/>
      <c r="AE75" s="60"/>
      <c r="AF75" s="56"/>
      <c r="AG75" s="56"/>
      <c r="AH75" s="56"/>
      <c r="AI75" s="56"/>
      <c r="AJ75" s="56"/>
      <c r="AK75" s="56"/>
      <c r="AL75" s="56"/>
      <c r="AM75" s="60"/>
      <c r="AN75" s="56"/>
      <c r="AO75" s="57"/>
      <c r="AP75" s="60"/>
      <c r="AQ75" s="57"/>
      <c r="AR75" s="60"/>
      <c r="AS75" s="57"/>
      <c r="AT75" s="57"/>
      <c r="AU75" s="57"/>
      <c r="AV75" s="57"/>
      <c r="AW75" s="57"/>
      <c r="AX75" s="57"/>
      <c r="AY75" s="57"/>
      <c r="AZ75" s="60"/>
      <c r="BA75" s="57"/>
      <c r="BB75" s="60"/>
      <c r="BC75" s="56"/>
      <c r="BD75" s="60"/>
      <c r="BE75" s="56"/>
      <c r="BF75" s="56"/>
      <c r="BG75" s="56"/>
      <c r="BH75" s="56"/>
      <c r="BI75" s="56"/>
      <c r="BJ75" s="56"/>
      <c r="BK75" s="56"/>
      <c r="BL75" s="60"/>
      <c r="BM75" s="56"/>
      <c r="BN75" s="60"/>
      <c r="BO75" s="57"/>
      <c r="BP75" s="60"/>
      <c r="BQ75" s="57"/>
      <c r="BR75" s="60"/>
      <c r="BS75" s="57"/>
      <c r="BT75" s="57"/>
      <c r="BU75" s="57"/>
      <c r="BV75" s="57"/>
      <c r="BW75" s="57"/>
      <c r="BX75" s="57"/>
      <c r="BY75" s="57"/>
      <c r="BZ75" s="60"/>
      <c r="CA75" s="57"/>
    </row>
    <row r="76" spans="1:79" x14ac:dyDescent="0.15">
      <c r="A76" s="55">
        <v>74</v>
      </c>
      <c r="B76" s="56"/>
      <c r="C76" s="56"/>
      <c r="D76" s="56"/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7"/>
      <c r="P76" s="57"/>
      <c r="Q76" s="57"/>
      <c r="R76" s="57"/>
      <c r="S76" s="57"/>
      <c r="T76" s="57"/>
      <c r="U76" s="57"/>
      <c r="V76" s="57"/>
      <c r="W76" s="57"/>
      <c r="X76" s="57"/>
      <c r="Y76" s="57"/>
      <c r="Z76" s="57"/>
      <c r="AA76" s="57"/>
      <c r="AB76" s="56"/>
      <c r="AC76" s="60"/>
      <c r="AD76" s="56"/>
      <c r="AE76" s="60"/>
      <c r="AF76" s="56"/>
      <c r="AG76" s="56"/>
      <c r="AH76" s="56"/>
      <c r="AI76" s="56"/>
      <c r="AJ76" s="56"/>
      <c r="AK76" s="56"/>
      <c r="AL76" s="56"/>
      <c r="AM76" s="60"/>
      <c r="AN76" s="56"/>
      <c r="AO76" s="57"/>
      <c r="AP76" s="60"/>
      <c r="AQ76" s="57"/>
      <c r="AR76" s="60"/>
      <c r="AS76" s="57"/>
      <c r="AT76" s="57"/>
      <c r="AU76" s="57"/>
      <c r="AV76" s="57"/>
      <c r="AW76" s="57"/>
      <c r="AX76" s="57"/>
      <c r="AY76" s="57"/>
      <c r="AZ76" s="60"/>
      <c r="BA76" s="57"/>
      <c r="BB76" s="60"/>
      <c r="BC76" s="56"/>
      <c r="BD76" s="60"/>
      <c r="BE76" s="56"/>
      <c r="BF76" s="56"/>
      <c r="BG76" s="56"/>
      <c r="BH76" s="56"/>
      <c r="BI76" s="56"/>
      <c r="BJ76" s="56"/>
      <c r="BK76" s="56"/>
      <c r="BL76" s="60"/>
      <c r="BM76" s="56"/>
      <c r="BN76" s="60"/>
      <c r="BO76" s="57"/>
      <c r="BP76" s="60"/>
      <c r="BQ76" s="57"/>
      <c r="BR76" s="60"/>
      <c r="BS76" s="57"/>
      <c r="BT76" s="57"/>
      <c r="BU76" s="57"/>
      <c r="BV76" s="57"/>
      <c r="BW76" s="57"/>
      <c r="BX76" s="57"/>
      <c r="BY76" s="57"/>
      <c r="BZ76" s="60"/>
      <c r="CA76" s="57"/>
    </row>
    <row r="77" spans="1:79" x14ac:dyDescent="0.15">
      <c r="A77" s="55">
        <v>75</v>
      </c>
      <c r="B77" s="56"/>
      <c r="C77" s="56"/>
      <c r="D77" s="56"/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7"/>
      <c r="P77" s="57"/>
      <c r="Q77" s="57"/>
      <c r="R77" s="57"/>
      <c r="S77" s="57"/>
      <c r="T77" s="57"/>
      <c r="U77" s="57"/>
      <c r="V77" s="57"/>
      <c r="W77" s="57"/>
      <c r="X77" s="57"/>
      <c r="Y77" s="57"/>
      <c r="Z77" s="57"/>
      <c r="AA77" s="57"/>
      <c r="AB77" s="56"/>
      <c r="AC77" s="60"/>
      <c r="AD77" s="56"/>
      <c r="AE77" s="60"/>
      <c r="AF77" s="56"/>
      <c r="AG77" s="56"/>
      <c r="AH77" s="56"/>
      <c r="AI77" s="56"/>
      <c r="AJ77" s="56"/>
      <c r="AK77" s="56"/>
      <c r="AL77" s="56"/>
      <c r="AM77" s="60"/>
      <c r="AN77" s="56"/>
      <c r="AO77" s="57"/>
      <c r="AP77" s="60"/>
      <c r="AQ77" s="57"/>
      <c r="AR77" s="60"/>
      <c r="AS77" s="57"/>
      <c r="AT77" s="57"/>
      <c r="AU77" s="57"/>
      <c r="AV77" s="57"/>
      <c r="AW77" s="57"/>
      <c r="AX77" s="57"/>
      <c r="AY77" s="57"/>
      <c r="AZ77" s="60"/>
      <c r="BA77" s="57"/>
      <c r="BB77" s="60"/>
      <c r="BC77" s="56"/>
      <c r="BD77" s="60"/>
      <c r="BE77" s="56"/>
      <c r="BF77" s="56"/>
      <c r="BG77" s="56"/>
      <c r="BH77" s="56"/>
      <c r="BI77" s="56"/>
      <c r="BJ77" s="56"/>
      <c r="BK77" s="56"/>
      <c r="BL77" s="60"/>
      <c r="BM77" s="56"/>
      <c r="BN77" s="60"/>
      <c r="BO77" s="57"/>
      <c r="BP77" s="60"/>
      <c r="BQ77" s="57"/>
      <c r="BR77" s="60"/>
      <c r="BS77" s="57"/>
      <c r="BT77" s="57"/>
      <c r="BU77" s="57"/>
      <c r="BV77" s="57"/>
      <c r="BW77" s="57"/>
      <c r="BX77" s="57"/>
      <c r="BY77" s="57"/>
      <c r="BZ77" s="60"/>
      <c r="CA77" s="57"/>
    </row>
    <row r="78" spans="1:79" x14ac:dyDescent="0.15">
      <c r="A78" s="55">
        <v>76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7"/>
      <c r="P78" s="57"/>
      <c r="Q78" s="57"/>
      <c r="R78" s="57"/>
      <c r="S78" s="57"/>
      <c r="T78" s="57"/>
      <c r="U78" s="57"/>
      <c r="V78" s="57"/>
      <c r="W78" s="57"/>
      <c r="X78" s="57"/>
      <c r="Y78" s="57"/>
      <c r="Z78" s="57"/>
      <c r="AA78" s="57"/>
      <c r="AB78" s="56"/>
      <c r="AC78" s="60"/>
      <c r="AD78" s="56"/>
      <c r="AE78" s="60"/>
      <c r="AF78" s="56"/>
      <c r="AG78" s="56"/>
      <c r="AH78" s="56"/>
      <c r="AI78" s="56"/>
      <c r="AJ78" s="56"/>
      <c r="AK78" s="56"/>
      <c r="AL78" s="56"/>
      <c r="AM78" s="60"/>
      <c r="AN78" s="56"/>
      <c r="AO78" s="57"/>
      <c r="AP78" s="60"/>
      <c r="AQ78" s="57"/>
      <c r="AR78" s="60"/>
      <c r="AS78" s="57"/>
      <c r="AT78" s="57"/>
      <c r="AU78" s="57"/>
      <c r="AV78" s="57"/>
      <c r="AW78" s="57"/>
      <c r="AX78" s="57"/>
      <c r="AY78" s="57"/>
      <c r="AZ78" s="60"/>
      <c r="BA78" s="57"/>
      <c r="BB78" s="60"/>
      <c r="BC78" s="56"/>
      <c r="BD78" s="60"/>
      <c r="BE78" s="56"/>
      <c r="BF78" s="56"/>
      <c r="BG78" s="56"/>
      <c r="BH78" s="56"/>
      <c r="BI78" s="56"/>
      <c r="BJ78" s="56"/>
      <c r="BK78" s="56"/>
      <c r="BL78" s="60"/>
      <c r="BM78" s="56"/>
      <c r="BN78" s="60"/>
      <c r="BO78" s="57"/>
      <c r="BP78" s="60"/>
      <c r="BQ78" s="57"/>
      <c r="BR78" s="60"/>
      <c r="BS78" s="57"/>
      <c r="BT78" s="57"/>
      <c r="BU78" s="57"/>
      <c r="BV78" s="57"/>
      <c r="BW78" s="57"/>
      <c r="BX78" s="57"/>
      <c r="BY78" s="57"/>
      <c r="BZ78" s="60"/>
      <c r="CA78" s="57"/>
    </row>
    <row r="79" spans="1:79" x14ac:dyDescent="0.15">
      <c r="A79" s="55">
        <v>77</v>
      </c>
      <c r="B79" s="56"/>
      <c r="C79" s="56"/>
      <c r="D79" s="56"/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7"/>
      <c r="P79" s="57"/>
      <c r="Q79" s="57"/>
      <c r="R79" s="57"/>
      <c r="S79" s="57"/>
      <c r="T79" s="57"/>
      <c r="U79" s="57"/>
      <c r="V79" s="57"/>
      <c r="W79" s="57"/>
      <c r="X79" s="57"/>
      <c r="Y79" s="57"/>
      <c r="Z79" s="57"/>
      <c r="AA79" s="57"/>
      <c r="AB79" s="56"/>
      <c r="AC79" s="60"/>
      <c r="AD79" s="56"/>
      <c r="AE79" s="60"/>
      <c r="AF79" s="56"/>
      <c r="AG79" s="56"/>
      <c r="AH79" s="56"/>
      <c r="AI79" s="56"/>
      <c r="AJ79" s="56"/>
      <c r="AK79" s="56"/>
      <c r="AL79" s="56"/>
      <c r="AM79" s="60"/>
      <c r="AN79" s="56"/>
      <c r="AO79" s="57"/>
      <c r="AP79" s="60"/>
      <c r="AQ79" s="57"/>
      <c r="AR79" s="60"/>
      <c r="AS79" s="57"/>
      <c r="AT79" s="57"/>
      <c r="AU79" s="57"/>
      <c r="AV79" s="57"/>
      <c r="AW79" s="57"/>
      <c r="AX79" s="57"/>
      <c r="AY79" s="57"/>
      <c r="AZ79" s="60"/>
      <c r="BA79" s="57"/>
      <c r="BB79" s="60"/>
      <c r="BC79" s="56"/>
      <c r="BD79" s="60"/>
      <c r="BE79" s="56"/>
      <c r="BF79" s="56"/>
      <c r="BG79" s="56"/>
      <c r="BH79" s="56"/>
      <c r="BI79" s="56"/>
      <c r="BJ79" s="56"/>
      <c r="BK79" s="56"/>
      <c r="BL79" s="60"/>
      <c r="BM79" s="56"/>
      <c r="BN79" s="60"/>
      <c r="BO79" s="57"/>
      <c r="BP79" s="60"/>
      <c r="BQ79" s="57"/>
      <c r="BR79" s="60"/>
      <c r="BS79" s="57"/>
      <c r="BT79" s="57"/>
      <c r="BU79" s="57"/>
      <c r="BV79" s="57"/>
      <c r="BW79" s="57"/>
      <c r="BX79" s="57"/>
      <c r="BY79" s="57"/>
      <c r="BZ79" s="60"/>
      <c r="CA79" s="57"/>
    </row>
    <row r="80" spans="1:79" x14ac:dyDescent="0.15">
      <c r="A80" s="55">
        <v>78</v>
      </c>
      <c r="B80" s="56"/>
      <c r="C80" s="56"/>
      <c r="D80" s="56"/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7"/>
      <c r="P80" s="57"/>
      <c r="Q80" s="57"/>
      <c r="R80" s="57"/>
      <c r="S80" s="57"/>
      <c r="T80" s="57"/>
      <c r="U80" s="57"/>
      <c r="V80" s="57"/>
      <c r="W80" s="57"/>
      <c r="X80" s="57"/>
      <c r="Y80" s="57"/>
      <c r="Z80" s="57"/>
      <c r="AA80" s="57"/>
      <c r="AB80" s="56"/>
      <c r="AC80" s="60"/>
      <c r="AD80" s="56"/>
      <c r="AE80" s="60"/>
      <c r="AF80" s="56"/>
      <c r="AG80" s="56"/>
      <c r="AH80" s="56"/>
      <c r="AI80" s="56"/>
      <c r="AJ80" s="56"/>
      <c r="AK80" s="56"/>
      <c r="AL80" s="56"/>
      <c r="AM80" s="60"/>
      <c r="AN80" s="56"/>
      <c r="AO80" s="57"/>
      <c r="AP80" s="60"/>
      <c r="AQ80" s="57"/>
      <c r="AR80" s="60"/>
      <c r="AS80" s="57"/>
      <c r="AT80" s="57"/>
      <c r="AU80" s="57"/>
      <c r="AV80" s="57"/>
      <c r="AW80" s="57"/>
      <c r="AX80" s="57"/>
      <c r="AY80" s="57"/>
      <c r="AZ80" s="60"/>
      <c r="BA80" s="57"/>
      <c r="BB80" s="60"/>
      <c r="BC80" s="56"/>
      <c r="BD80" s="60"/>
      <c r="BE80" s="56"/>
      <c r="BF80" s="56"/>
      <c r="BG80" s="56"/>
      <c r="BH80" s="56"/>
      <c r="BI80" s="56"/>
      <c r="BJ80" s="56"/>
      <c r="BK80" s="56"/>
      <c r="BL80" s="60"/>
      <c r="BM80" s="56"/>
      <c r="BN80" s="60"/>
      <c r="BO80" s="57"/>
      <c r="BP80" s="60"/>
      <c r="BQ80" s="57"/>
      <c r="BR80" s="60"/>
      <c r="BS80" s="57"/>
      <c r="BT80" s="57"/>
      <c r="BU80" s="57"/>
      <c r="BV80" s="57"/>
      <c r="BW80" s="57"/>
      <c r="BX80" s="57"/>
      <c r="BY80" s="57"/>
      <c r="BZ80" s="60"/>
      <c r="CA80" s="57"/>
    </row>
    <row r="81" spans="1:79" x14ac:dyDescent="0.15">
      <c r="A81" s="55">
        <v>79</v>
      </c>
      <c r="B81" s="56"/>
      <c r="C81" s="56"/>
      <c r="D81" s="56"/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7"/>
      <c r="P81" s="57"/>
      <c r="Q81" s="57"/>
      <c r="R81" s="57"/>
      <c r="S81" s="57"/>
      <c r="T81" s="57"/>
      <c r="U81" s="57"/>
      <c r="V81" s="57"/>
      <c r="W81" s="57"/>
      <c r="X81" s="57"/>
      <c r="Y81" s="57"/>
      <c r="Z81" s="57"/>
      <c r="AA81" s="57"/>
      <c r="AB81" s="56"/>
      <c r="AC81" s="60"/>
      <c r="AD81" s="56"/>
      <c r="AE81" s="60"/>
      <c r="AF81" s="56"/>
      <c r="AG81" s="56"/>
      <c r="AH81" s="56"/>
      <c r="AI81" s="56"/>
      <c r="AJ81" s="56"/>
      <c r="AK81" s="56"/>
      <c r="AL81" s="56"/>
      <c r="AM81" s="60"/>
      <c r="AN81" s="56"/>
      <c r="AO81" s="57"/>
      <c r="AP81" s="60"/>
      <c r="AQ81" s="57"/>
      <c r="AR81" s="60"/>
      <c r="AS81" s="57"/>
      <c r="AT81" s="57"/>
      <c r="AU81" s="57"/>
      <c r="AV81" s="57"/>
      <c r="AW81" s="57"/>
      <c r="AX81" s="57"/>
      <c r="AY81" s="57"/>
      <c r="AZ81" s="60"/>
      <c r="BA81" s="57"/>
      <c r="BB81" s="60"/>
      <c r="BC81" s="56"/>
      <c r="BD81" s="60"/>
      <c r="BE81" s="56"/>
      <c r="BF81" s="56"/>
      <c r="BG81" s="56"/>
      <c r="BH81" s="56"/>
      <c r="BI81" s="56"/>
      <c r="BJ81" s="56"/>
      <c r="BK81" s="56"/>
      <c r="BL81" s="60"/>
      <c r="BM81" s="56"/>
      <c r="BN81" s="60"/>
      <c r="BO81" s="57"/>
      <c r="BP81" s="60"/>
      <c r="BQ81" s="57"/>
      <c r="BR81" s="60"/>
      <c r="BS81" s="57"/>
      <c r="BT81" s="57"/>
      <c r="BU81" s="57"/>
      <c r="BV81" s="57"/>
      <c r="BW81" s="57"/>
      <c r="BX81" s="57"/>
      <c r="BY81" s="57"/>
      <c r="BZ81" s="60"/>
      <c r="CA81" s="57"/>
    </row>
    <row r="82" spans="1:79" x14ac:dyDescent="0.15">
      <c r="A82" s="55">
        <v>80</v>
      </c>
      <c r="B82" s="56"/>
      <c r="C82" s="56"/>
      <c r="D82" s="56"/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7"/>
      <c r="P82" s="57"/>
      <c r="Q82" s="57"/>
      <c r="R82" s="57"/>
      <c r="S82" s="57"/>
      <c r="T82" s="57"/>
      <c r="U82" s="57"/>
      <c r="V82" s="57"/>
      <c r="W82" s="57"/>
      <c r="X82" s="57"/>
      <c r="Y82" s="57"/>
      <c r="Z82" s="57"/>
      <c r="AA82" s="57"/>
      <c r="AB82" s="56"/>
      <c r="AC82" s="60"/>
      <c r="AD82" s="56"/>
      <c r="AE82" s="60"/>
      <c r="AF82" s="56"/>
      <c r="AG82" s="56"/>
      <c r="AH82" s="56"/>
      <c r="AI82" s="56"/>
      <c r="AJ82" s="56"/>
      <c r="AK82" s="56"/>
      <c r="AL82" s="56"/>
      <c r="AM82" s="60"/>
      <c r="AN82" s="56"/>
      <c r="AO82" s="57"/>
      <c r="AP82" s="60"/>
      <c r="AQ82" s="57"/>
      <c r="AR82" s="60"/>
      <c r="AS82" s="57"/>
      <c r="AT82" s="57"/>
      <c r="AU82" s="57"/>
      <c r="AV82" s="57"/>
      <c r="AW82" s="57"/>
      <c r="AX82" s="57"/>
      <c r="AY82" s="57"/>
      <c r="AZ82" s="60"/>
      <c r="BA82" s="57"/>
      <c r="BB82" s="60"/>
      <c r="BC82" s="56"/>
      <c r="BD82" s="60"/>
      <c r="BE82" s="56"/>
      <c r="BF82" s="56"/>
      <c r="BG82" s="56"/>
      <c r="BH82" s="56"/>
      <c r="BI82" s="56"/>
      <c r="BJ82" s="56"/>
      <c r="BK82" s="56"/>
      <c r="BL82" s="60"/>
      <c r="BM82" s="56"/>
      <c r="BN82" s="60"/>
      <c r="BO82" s="57"/>
      <c r="BP82" s="60"/>
      <c r="BQ82" s="57"/>
      <c r="BR82" s="60"/>
      <c r="BS82" s="57"/>
      <c r="BT82" s="57"/>
      <c r="BU82" s="57"/>
      <c r="BV82" s="57"/>
      <c r="BW82" s="57"/>
      <c r="BX82" s="57"/>
      <c r="BY82" s="57"/>
      <c r="BZ82" s="60"/>
      <c r="CA82" s="57"/>
    </row>
    <row r="83" spans="1:79" x14ac:dyDescent="0.15">
      <c r="A83" s="55">
        <v>81</v>
      </c>
      <c r="B83" s="56"/>
      <c r="C83" s="56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7"/>
      <c r="P83" s="57"/>
      <c r="Q83" s="57"/>
      <c r="R83" s="57"/>
      <c r="S83" s="57"/>
      <c r="T83" s="57"/>
      <c r="U83" s="57"/>
      <c r="V83" s="57"/>
      <c r="W83" s="57"/>
      <c r="X83" s="57"/>
      <c r="Y83" s="57"/>
      <c r="Z83" s="57"/>
      <c r="AA83" s="57"/>
      <c r="AB83" s="56"/>
      <c r="AC83" s="60"/>
      <c r="AD83" s="56"/>
      <c r="AE83" s="60"/>
      <c r="AF83" s="56"/>
      <c r="AG83" s="56"/>
      <c r="AH83" s="56"/>
      <c r="AI83" s="56"/>
      <c r="AJ83" s="56"/>
      <c r="AK83" s="56"/>
      <c r="AL83" s="56"/>
      <c r="AM83" s="60"/>
      <c r="AN83" s="56"/>
      <c r="AO83" s="57"/>
      <c r="AP83" s="60"/>
      <c r="AQ83" s="57"/>
      <c r="AR83" s="60"/>
      <c r="AS83" s="57"/>
      <c r="AT83" s="57"/>
      <c r="AU83" s="57"/>
      <c r="AV83" s="57"/>
      <c r="AW83" s="57"/>
      <c r="AX83" s="57"/>
      <c r="AY83" s="57"/>
      <c r="AZ83" s="60"/>
      <c r="BA83" s="57"/>
      <c r="BB83" s="60"/>
      <c r="BC83" s="56"/>
      <c r="BD83" s="60"/>
      <c r="BE83" s="56"/>
      <c r="BF83" s="56"/>
      <c r="BG83" s="56"/>
      <c r="BH83" s="56"/>
      <c r="BI83" s="56"/>
      <c r="BJ83" s="56"/>
      <c r="BK83" s="56"/>
      <c r="BL83" s="60"/>
      <c r="BM83" s="56"/>
      <c r="BN83" s="60"/>
      <c r="BO83" s="57"/>
      <c r="BP83" s="60"/>
      <c r="BQ83" s="57"/>
      <c r="BR83" s="60"/>
      <c r="BS83" s="57"/>
      <c r="BT83" s="57"/>
      <c r="BU83" s="57"/>
      <c r="BV83" s="57"/>
      <c r="BW83" s="57"/>
      <c r="BX83" s="57"/>
      <c r="BY83" s="57"/>
      <c r="BZ83" s="60"/>
      <c r="CA83" s="57"/>
    </row>
    <row r="84" spans="1:79" x14ac:dyDescent="0.15">
      <c r="A84" s="55">
        <v>82</v>
      </c>
      <c r="B84" s="56"/>
      <c r="C84" s="56"/>
      <c r="D84" s="56"/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7"/>
      <c r="P84" s="57"/>
      <c r="Q84" s="57"/>
      <c r="R84" s="57"/>
      <c r="S84" s="57"/>
      <c r="T84" s="57"/>
      <c r="U84" s="57"/>
      <c r="V84" s="57"/>
      <c r="W84" s="57"/>
      <c r="X84" s="57"/>
      <c r="Y84" s="57"/>
      <c r="Z84" s="57"/>
      <c r="AA84" s="57"/>
      <c r="AB84" s="56"/>
      <c r="AC84" s="60"/>
      <c r="AD84" s="56"/>
      <c r="AE84" s="60"/>
      <c r="AF84" s="56"/>
      <c r="AG84" s="56"/>
      <c r="AH84" s="56"/>
      <c r="AI84" s="56"/>
      <c r="AJ84" s="56"/>
      <c r="AK84" s="56"/>
      <c r="AL84" s="56"/>
      <c r="AM84" s="60"/>
      <c r="AN84" s="56"/>
      <c r="AO84" s="57"/>
      <c r="AP84" s="60"/>
      <c r="AQ84" s="57"/>
      <c r="AR84" s="60"/>
      <c r="AS84" s="57"/>
      <c r="AT84" s="57"/>
      <c r="AU84" s="57"/>
      <c r="AV84" s="57"/>
      <c r="AW84" s="57"/>
      <c r="AX84" s="57"/>
      <c r="AY84" s="57"/>
      <c r="AZ84" s="60"/>
      <c r="BA84" s="57"/>
      <c r="BB84" s="60"/>
      <c r="BC84" s="56"/>
      <c r="BD84" s="60"/>
      <c r="BE84" s="56"/>
      <c r="BF84" s="56"/>
      <c r="BG84" s="56"/>
      <c r="BH84" s="56"/>
      <c r="BI84" s="56"/>
      <c r="BJ84" s="56"/>
      <c r="BK84" s="56"/>
      <c r="BL84" s="60"/>
      <c r="BM84" s="56"/>
      <c r="BN84" s="60"/>
      <c r="BO84" s="57"/>
      <c r="BP84" s="60"/>
      <c r="BQ84" s="57"/>
      <c r="BR84" s="60"/>
      <c r="BS84" s="57"/>
      <c r="BT84" s="57"/>
      <c r="BU84" s="57"/>
      <c r="BV84" s="57"/>
      <c r="BW84" s="57"/>
      <c r="BX84" s="57"/>
      <c r="BY84" s="57"/>
      <c r="BZ84" s="60"/>
      <c r="CA84" s="57"/>
    </row>
    <row r="85" spans="1:79" x14ac:dyDescent="0.15">
      <c r="A85" s="55">
        <v>83</v>
      </c>
      <c r="B85" s="56"/>
      <c r="C85" s="56"/>
      <c r="D85" s="56"/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7"/>
      <c r="P85" s="57"/>
      <c r="Q85" s="57"/>
      <c r="R85" s="57"/>
      <c r="S85" s="57"/>
      <c r="T85" s="57"/>
      <c r="U85" s="57"/>
      <c r="V85" s="57"/>
      <c r="W85" s="57"/>
      <c r="X85" s="57"/>
      <c r="Y85" s="57"/>
      <c r="Z85" s="57"/>
      <c r="AA85" s="57"/>
      <c r="AB85" s="56"/>
      <c r="AC85" s="60"/>
      <c r="AD85" s="56"/>
      <c r="AE85" s="60"/>
      <c r="AF85" s="56"/>
      <c r="AG85" s="56"/>
      <c r="AH85" s="56"/>
      <c r="AI85" s="56"/>
      <c r="AJ85" s="56"/>
      <c r="AK85" s="56"/>
      <c r="AL85" s="56"/>
      <c r="AM85" s="60"/>
      <c r="AN85" s="56"/>
      <c r="AO85" s="57"/>
      <c r="AP85" s="60"/>
      <c r="AQ85" s="57"/>
      <c r="AR85" s="60"/>
      <c r="AS85" s="57"/>
      <c r="AT85" s="57"/>
      <c r="AU85" s="57"/>
      <c r="AV85" s="57"/>
      <c r="AW85" s="57"/>
      <c r="AX85" s="57"/>
      <c r="AY85" s="57"/>
      <c r="AZ85" s="60"/>
      <c r="BA85" s="57"/>
      <c r="BB85" s="60"/>
      <c r="BC85" s="56"/>
      <c r="BD85" s="60"/>
      <c r="BE85" s="56"/>
      <c r="BF85" s="56"/>
      <c r="BG85" s="56"/>
      <c r="BH85" s="56"/>
      <c r="BI85" s="56"/>
      <c r="BJ85" s="56"/>
      <c r="BK85" s="56"/>
      <c r="BL85" s="60"/>
      <c r="BM85" s="56"/>
      <c r="BN85" s="60"/>
      <c r="BO85" s="57"/>
      <c r="BP85" s="60"/>
      <c r="BQ85" s="57"/>
      <c r="BR85" s="60"/>
      <c r="BS85" s="57"/>
      <c r="BT85" s="57"/>
      <c r="BU85" s="57"/>
      <c r="BV85" s="57"/>
      <c r="BW85" s="57"/>
      <c r="BX85" s="57"/>
      <c r="BY85" s="57"/>
      <c r="BZ85" s="60"/>
      <c r="CA85" s="57"/>
    </row>
    <row r="86" spans="1:79" x14ac:dyDescent="0.15">
      <c r="A86" s="55">
        <v>84</v>
      </c>
      <c r="B86" s="56"/>
      <c r="C86" s="56"/>
      <c r="D86" s="56"/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7"/>
      <c r="P86" s="57"/>
      <c r="Q86" s="57"/>
      <c r="R86" s="57"/>
      <c r="S86" s="57"/>
      <c r="T86" s="57"/>
      <c r="U86" s="57"/>
      <c r="V86" s="57"/>
      <c r="W86" s="57"/>
      <c r="X86" s="57"/>
      <c r="Y86" s="57"/>
      <c r="Z86" s="57"/>
      <c r="AA86" s="57"/>
      <c r="AB86" s="56"/>
      <c r="AC86" s="60"/>
      <c r="AD86" s="56"/>
      <c r="AE86" s="60"/>
      <c r="AF86" s="56"/>
      <c r="AG86" s="56"/>
      <c r="AH86" s="56"/>
      <c r="AI86" s="56"/>
      <c r="AJ86" s="56"/>
      <c r="AK86" s="56"/>
      <c r="AL86" s="56"/>
      <c r="AM86" s="60"/>
      <c r="AN86" s="56"/>
      <c r="AO86" s="57"/>
      <c r="AP86" s="60"/>
      <c r="AQ86" s="57"/>
      <c r="AR86" s="60"/>
      <c r="AS86" s="57"/>
      <c r="AT86" s="57"/>
      <c r="AU86" s="57"/>
      <c r="AV86" s="57"/>
      <c r="AW86" s="57"/>
      <c r="AX86" s="57"/>
      <c r="AY86" s="57"/>
      <c r="AZ86" s="60"/>
      <c r="BA86" s="57"/>
      <c r="BB86" s="60"/>
      <c r="BC86" s="56"/>
      <c r="BD86" s="60"/>
      <c r="BE86" s="56"/>
      <c r="BF86" s="56"/>
      <c r="BG86" s="56"/>
      <c r="BH86" s="56"/>
      <c r="BI86" s="56"/>
      <c r="BJ86" s="56"/>
      <c r="BK86" s="56"/>
      <c r="BL86" s="60"/>
      <c r="BM86" s="56"/>
      <c r="BN86" s="60"/>
      <c r="BO86" s="57"/>
      <c r="BP86" s="60"/>
      <c r="BQ86" s="57"/>
      <c r="BR86" s="60"/>
      <c r="BS86" s="57"/>
      <c r="BT86" s="57"/>
      <c r="BU86" s="57"/>
      <c r="BV86" s="57"/>
      <c r="BW86" s="57"/>
      <c r="BX86" s="57"/>
      <c r="BY86" s="57"/>
      <c r="BZ86" s="60"/>
      <c r="CA86" s="57"/>
    </row>
    <row r="87" spans="1:79" x14ac:dyDescent="0.15">
      <c r="A87" s="55">
        <v>85</v>
      </c>
      <c r="B87" s="56"/>
      <c r="C87" s="56"/>
      <c r="D87" s="56"/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7"/>
      <c r="P87" s="57"/>
      <c r="Q87" s="57"/>
      <c r="R87" s="57"/>
      <c r="S87" s="57"/>
      <c r="T87" s="57"/>
      <c r="U87" s="57"/>
      <c r="V87" s="57"/>
      <c r="W87" s="57"/>
      <c r="X87" s="57"/>
      <c r="Y87" s="57"/>
      <c r="Z87" s="57"/>
      <c r="AA87" s="57"/>
      <c r="AB87" s="56"/>
      <c r="AC87" s="60"/>
      <c r="AD87" s="56"/>
      <c r="AE87" s="60"/>
      <c r="AF87" s="56"/>
      <c r="AG87" s="56"/>
      <c r="AH87" s="56"/>
      <c r="AI87" s="56"/>
      <c r="AJ87" s="56"/>
      <c r="AK87" s="56"/>
      <c r="AL87" s="56"/>
      <c r="AM87" s="60"/>
      <c r="AN87" s="56"/>
      <c r="AO87" s="57"/>
      <c r="AP87" s="60"/>
      <c r="AQ87" s="57"/>
      <c r="AR87" s="60"/>
      <c r="AS87" s="57"/>
      <c r="AT87" s="57"/>
      <c r="AU87" s="57"/>
      <c r="AV87" s="57"/>
      <c r="AW87" s="57"/>
      <c r="AX87" s="57"/>
      <c r="AY87" s="57"/>
      <c r="AZ87" s="60"/>
      <c r="BA87" s="57"/>
      <c r="BB87" s="60"/>
      <c r="BC87" s="56"/>
      <c r="BD87" s="60"/>
      <c r="BE87" s="56"/>
      <c r="BF87" s="56"/>
      <c r="BG87" s="56"/>
      <c r="BH87" s="56"/>
      <c r="BI87" s="56"/>
      <c r="BJ87" s="56"/>
      <c r="BK87" s="56"/>
      <c r="BL87" s="60"/>
      <c r="BM87" s="56"/>
      <c r="BN87" s="60"/>
      <c r="BO87" s="57"/>
      <c r="BP87" s="60"/>
      <c r="BQ87" s="57"/>
      <c r="BR87" s="60"/>
      <c r="BS87" s="57"/>
      <c r="BT87" s="57"/>
      <c r="BU87" s="57"/>
      <c r="BV87" s="57"/>
      <c r="BW87" s="57"/>
      <c r="BX87" s="57"/>
      <c r="BY87" s="57"/>
      <c r="BZ87" s="60"/>
      <c r="CA87" s="57"/>
    </row>
    <row r="88" spans="1:79" x14ac:dyDescent="0.15">
      <c r="A88" s="55">
        <v>86</v>
      </c>
      <c r="B88" s="56"/>
      <c r="C88" s="56"/>
      <c r="D88" s="56"/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7"/>
      <c r="P88" s="57"/>
      <c r="Q88" s="57"/>
      <c r="R88" s="57"/>
      <c r="S88" s="57"/>
      <c r="T88" s="57"/>
      <c r="U88" s="57"/>
      <c r="V88" s="57"/>
      <c r="W88" s="57"/>
      <c r="X88" s="57"/>
      <c r="Y88" s="57"/>
      <c r="Z88" s="57"/>
      <c r="AA88" s="57"/>
      <c r="AB88" s="56"/>
      <c r="AC88" s="60"/>
      <c r="AD88" s="56"/>
      <c r="AE88" s="60"/>
      <c r="AF88" s="56"/>
      <c r="AG88" s="56"/>
      <c r="AH88" s="56"/>
      <c r="AI88" s="56"/>
      <c r="AJ88" s="56"/>
      <c r="AK88" s="56"/>
      <c r="AL88" s="56"/>
      <c r="AM88" s="60"/>
      <c r="AN88" s="56"/>
      <c r="AO88" s="57"/>
      <c r="AP88" s="60"/>
      <c r="AQ88" s="57"/>
      <c r="AR88" s="60"/>
      <c r="AS88" s="57"/>
      <c r="AT88" s="57"/>
      <c r="AU88" s="57"/>
      <c r="AV88" s="57"/>
      <c r="AW88" s="57"/>
      <c r="AX88" s="57"/>
      <c r="AY88" s="57"/>
      <c r="AZ88" s="60"/>
      <c r="BA88" s="57"/>
      <c r="BB88" s="60"/>
      <c r="BC88" s="56"/>
      <c r="BD88" s="60"/>
      <c r="BE88" s="56"/>
      <c r="BF88" s="56"/>
      <c r="BG88" s="56"/>
      <c r="BH88" s="56"/>
      <c r="BI88" s="56"/>
      <c r="BJ88" s="56"/>
      <c r="BK88" s="56"/>
      <c r="BL88" s="60"/>
      <c r="BM88" s="56"/>
      <c r="BN88" s="60"/>
      <c r="BO88" s="57"/>
      <c r="BP88" s="60"/>
      <c r="BQ88" s="57"/>
      <c r="BR88" s="60"/>
      <c r="BS88" s="57"/>
      <c r="BT88" s="57"/>
      <c r="BU88" s="57"/>
      <c r="BV88" s="57"/>
      <c r="BW88" s="57"/>
      <c r="BX88" s="57"/>
      <c r="BY88" s="57"/>
      <c r="BZ88" s="60"/>
      <c r="CA88" s="57"/>
    </row>
    <row r="89" spans="1:79" x14ac:dyDescent="0.15">
      <c r="A89" s="55">
        <v>87</v>
      </c>
      <c r="B89" s="56"/>
      <c r="C89" s="56"/>
      <c r="D89" s="56"/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7"/>
      <c r="P89" s="57"/>
      <c r="Q89" s="57"/>
      <c r="R89" s="57"/>
      <c r="S89" s="57"/>
      <c r="T89" s="57"/>
      <c r="U89" s="57"/>
      <c r="V89" s="57"/>
      <c r="W89" s="57"/>
      <c r="X89" s="57"/>
      <c r="Y89" s="57"/>
      <c r="Z89" s="57"/>
      <c r="AA89" s="57"/>
      <c r="AB89" s="56"/>
      <c r="AC89" s="60"/>
      <c r="AD89" s="56"/>
      <c r="AE89" s="60"/>
      <c r="AF89" s="56"/>
      <c r="AG89" s="56"/>
      <c r="AH89" s="56"/>
      <c r="AI89" s="56"/>
      <c r="AJ89" s="56"/>
      <c r="AK89" s="56"/>
      <c r="AL89" s="56"/>
      <c r="AM89" s="60"/>
      <c r="AN89" s="56"/>
      <c r="AO89" s="57"/>
      <c r="AP89" s="60"/>
      <c r="AQ89" s="57"/>
      <c r="AR89" s="60"/>
      <c r="AS89" s="57"/>
      <c r="AT89" s="57"/>
      <c r="AU89" s="57"/>
      <c r="AV89" s="57"/>
      <c r="AW89" s="57"/>
      <c r="AX89" s="57"/>
      <c r="AY89" s="57"/>
      <c r="AZ89" s="60"/>
      <c r="BA89" s="57"/>
      <c r="BB89" s="60"/>
      <c r="BC89" s="56"/>
      <c r="BD89" s="60"/>
      <c r="BE89" s="56"/>
      <c r="BF89" s="56"/>
      <c r="BG89" s="56"/>
      <c r="BH89" s="56"/>
      <c r="BI89" s="56"/>
      <c r="BJ89" s="56"/>
      <c r="BK89" s="56"/>
      <c r="BL89" s="60"/>
      <c r="BM89" s="56"/>
      <c r="BN89" s="60"/>
      <c r="BO89" s="57"/>
      <c r="BP89" s="60"/>
      <c r="BQ89" s="57"/>
      <c r="BR89" s="60"/>
      <c r="BS89" s="57"/>
      <c r="BT89" s="57"/>
      <c r="BU89" s="57"/>
      <c r="BV89" s="57"/>
      <c r="BW89" s="57"/>
      <c r="BX89" s="57"/>
      <c r="BY89" s="57"/>
      <c r="BZ89" s="60"/>
      <c r="CA89" s="57"/>
    </row>
    <row r="90" spans="1:79" x14ac:dyDescent="0.15">
      <c r="A90" s="55">
        <v>88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7"/>
      <c r="P90" s="57"/>
      <c r="Q90" s="57"/>
      <c r="R90" s="57"/>
      <c r="S90" s="57"/>
      <c r="T90" s="57"/>
      <c r="U90" s="57"/>
      <c r="V90" s="57"/>
      <c r="W90" s="57"/>
      <c r="X90" s="57"/>
      <c r="Y90" s="57"/>
      <c r="Z90" s="57"/>
      <c r="AA90" s="57"/>
      <c r="AB90" s="56"/>
      <c r="AC90" s="60"/>
      <c r="AD90" s="56"/>
      <c r="AE90" s="60"/>
      <c r="AF90" s="56"/>
      <c r="AG90" s="56"/>
      <c r="AH90" s="56"/>
      <c r="AI90" s="56"/>
      <c r="AJ90" s="56"/>
      <c r="AK90" s="56"/>
      <c r="AL90" s="56"/>
      <c r="AM90" s="60"/>
      <c r="AN90" s="56"/>
      <c r="AO90" s="57"/>
      <c r="AP90" s="60"/>
      <c r="AQ90" s="57"/>
      <c r="AR90" s="60"/>
      <c r="AS90" s="57"/>
      <c r="AT90" s="57"/>
      <c r="AU90" s="57"/>
      <c r="AV90" s="57"/>
      <c r="AW90" s="57"/>
      <c r="AX90" s="57"/>
      <c r="AY90" s="57"/>
      <c r="AZ90" s="60"/>
      <c r="BA90" s="57"/>
      <c r="BB90" s="60"/>
      <c r="BC90" s="56"/>
      <c r="BD90" s="60"/>
      <c r="BE90" s="56"/>
      <c r="BF90" s="56"/>
      <c r="BG90" s="56"/>
      <c r="BH90" s="56"/>
      <c r="BI90" s="56"/>
      <c r="BJ90" s="56"/>
      <c r="BK90" s="56"/>
      <c r="BL90" s="60"/>
      <c r="BM90" s="56"/>
      <c r="BN90" s="60"/>
      <c r="BO90" s="57"/>
      <c r="BP90" s="60"/>
      <c r="BQ90" s="57"/>
      <c r="BR90" s="60"/>
      <c r="BS90" s="57"/>
      <c r="BT90" s="57"/>
      <c r="BU90" s="57"/>
      <c r="BV90" s="57"/>
      <c r="BW90" s="57"/>
      <c r="BX90" s="57"/>
      <c r="BY90" s="57"/>
      <c r="BZ90" s="60"/>
      <c r="CA90" s="57"/>
    </row>
    <row r="91" spans="1:79" x14ac:dyDescent="0.15">
      <c r="A91" s="55">
        <v>89</v>
      </c>
      <c r="B91" s="56"/>
      <c r="C91" s="56"/>
      <c r="D91" s="56"/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7"/>
      <c r="P91" s="57"/>
      <c r="Q91" s="57"/>
      <c r="R91" s="57"/>
      <c r="S91" s="57"/>
      <c r="T91" s="57"/>
      <c r="U91" s="57"/>
      <c r="V91" s="57"/>
      <c r="W91" s="57"/>
      <c r="X91" s="57"/>
      <c r="Y91" s="57"/>
      <c r="Z91" s="57"/>
      <c r="AA91" s="57"/>
      <c r="AB91" s="56"/>
      <c r="AC91" s="60"/>
      <c r="AD91" s="56"/>
      <c r="AE91" s="60"/>
      <c r="AF91" s="56"/>
      <c r="AG91" s="56"/>
      <c r="AH91" s="56"/>
      <c r="AI91" s="56"/>
      <c r="AJ91" s="56"/>
      <c r="AK91" s="56"/>
      <c r="AL91" s="56"/>
      <c r="AM91" s="60"/>
      <c r="AN91" s="56"/>
      <c r="AO91" s="57"/>
      <c r="AP91" s="60"/>
      <c r="AQ91" s="57"/>
      <c r="AR91" s="60"/>
      <c r="AS91" s="57"/>
      <c r="AT91" s="57"/>
      <c r="AU91" s="57"/>
      <c r="AV91" s="57"/>
      <c r="AW91" s="57"/>
      <c r="AX91" s="57"/>
      <c r="AY91" s="57"/>
      <c r="AZ91" s="60"/>
      <c r="BA91" s="57"/>
      <c r="BB91" s="60"/>
      <c r="BC91" s="56"/>
      <c r="BD91" s="60"/>
      <c r="BE91" s="56"/>
      <c r="BF91" s="56"/>
      <c r="BG91" s="56"/>
      <c r="BH91" s="56"/>
      <c r="BI91" s="56"/>
      <c r="BJ91" s="56"/>
      <c r="BK91" s="56"/>
      <c r="BL91" s="60"/>
      <c r="BM91" s="56"/>
      <c r="BN91" s="60"/>
      <c r="BO91" s="57"/>
      <c r="BP91" s="60"/>
      <c r="BQ91" s="57"/>
      <c r="BR91" s="60"/>
      <c r="BS91" s="57"/>
      <c r="BT91" s="57"/>
      <c r="BU91" s="57"/>
      <c r="BV91" s="57"/>
      <c r="BW91" s="57"/>
      <c r="BX91" s="57"/>
      <c r="BY91" s="57"/>
      <c r="BZ91" s="60"/>
      <c r="CA91" s="57"/>
    </row>
    <row r="92" spans="1:79" x14ac:dyDescent="0.15">
      <c r="A92" s="55">
        <v>90</v>
      </c>
      <c r="B92" s="56"/>
      <c r="C92" s="56"/>
      <c r="D92" s="56"/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7"/>
      <c r="P92" s="57"/>
      <c r="Q92" s="57"/>
      <c r="R92" s="57"/>
      <c r="S92" s="57"/>
      <c r="T92" s="57"/>
      <c r="U92" s="57"/>
      <c r="V92" s="57"/>
      <c r="W92" s="57"/>
      <c r="X92" s="57"/>
      <c r="Y92" s="57"/>
      <c r="Z92" s="57"/>
      <c r="AA92" s="57"/>
      <c r="AB92" s="56"/>
      <c r="AC92" s="60"/>
      <c r="AD92" s="56"/>
      <c r="AE92" s="60"/>
      <c r="AF92" s="56"/>
      <c r="AG92" s="56"/>
      <c r="AH92" s="56"/>
      <c r="AI92" s="56"/>
      <c r="AJ92" s="56"/>
      <c r="AK92" s="56"/>
      <c r="AL92" s="56"/>
      <c r="AM92" s="60"/>
      <c r="AN92" s="56"/>
      <c r="AO92" s="57"/>
      <c r="AP92" s="60"/>
      <c r="AQ92" s="57"/>
      <c r="AR92" s="60"/>
      <c r="AS92" s="57"/>
      <c r="AT92" s="57"/>
      <c r="AU92" s="57"/>
      <c r="AV92" s="57"/>
      <c r="AW92" s="57"/>
      <c r="AX92" s="57"/>
      <c r="AY92" s="57"/>
      <c r="AZ92" s="60"/>
      <c r="BA92" s="57"/>
      <c r="BB92" s="60"/>
      <c r="BC92" s="56"/>
      <c r="BD92" s="60"/>
      <c r="BE92" s="56"/>
      <c r="BF92" s="56"/>
      <c r="BG92" s="56"/>
      <c r="BH92" s="56"/>
      <c r="BI92" s="56"/>
      <c r="BJ92" s="56"/>
      <c r="BK92" s="56"/>
      <c r="BL92" s="60"/>
      <c r="BM92" s="56"/>
      <c r="BN92" s="60"/>
      <c r="BO92" s="57"/>
      <c r="BP92" s="60"/>
      <c r="BQ92" s="57"/>
      <c r="BR92" s="60"/>
      <c r="BS92" s="57"/>
      <c r="BT92" s="57"/>
      <c r="BU92" s="57"/>
      <c r="BV92" s="57"/>
      <c r="BW92" s="57"/>
      <c r="BX92" s="57"/>
      <c r="BY92" s="57"/>
      <c r="BZ92" s="60"/>
      <c r="CA92" s="57"/>
    </row>
    <row r="93" spans="1:79" x14ac:dyDescent="0.15">
      <c r="A93" s="55">
        <v>91</v>
      </c>
      <c r="B93" s="56"/>
      <c r="C93" s="56"/>
      <c r="D93" s="56"/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7"/>
      <c r="P93" s="57"/>
      <c r="Q93" s="57"/>
      <c r="R93" s="57"/>
      <c r="S93" s="57"/>
      <c r="T93" s="57"/>
      <c r="U93" s="57"/>
      <c r="V93" s="57"/>
      <c r="W93" s="57"/>
      <c r="X93" s="57"/>
      <c r="Y93" s="57"/>
      <c r="Z93" s="57"/>
      <c r="AA93" s="57"/>
      <c r="AB93" s="56"/>
      <c r="AC93" s="60"/>
      <c r="AD93" s="56"/>
      <c r="AE93" s="60"/>
      <c r="AF93" s="56"/>
      <c r="AG93" s="56"/>
      <c r="AH93" s="56"/>
      <c r="AI93" s="56"/>
      <c r="AJ93" s="56"/>
      <c r="AK93" s="56"/>
      <c r="AL93" s="56"/>
      <c r="AM93" s="60"/>
      <c r="AN93" s="56"/>
      <c r="AO93" s="57"/>
      <c r="AP93" s="60"/>
      <c r="AQ93" s="57"/>
      <c r="AR93" s="60"/>
      <c r="AS93" s="57"/>
      <c r="AT93" s="57"/>
      <c r="AU93" s="57"/>
      <c r="AV93" s="57"/>
      <c r="AW93" s="57"/>
      <c r="AX93" s="57"/>
      <c r="AY93" s="57"/>
      <c r="AZ93" s="60"/>
      <c r="BA93" s="57"/>
      <c r="BB93" s="60"/>
      <c r="BC93" s="56"/>
      <c r="BD93" s="60"/>
      <c r="BE93" s="56"/>
      <c r="BF93" s="56"/>
      <c r="BG93" s="56"/>
      <c r="BH93" s="56"/>
      <c r="BI93" s="56"/>
      <c r="BJ93" s="56"/>
      <c r="BK93" s="56"/>
      <c r="BL93" s="60"/>
      <c r="BM93" s="56"/>
      <c r="BN93" s="60"/>
      <c r="BO93" s="57"/>
      <c r="BP93" s="60"/>
      <c r="BQ93" s="57"/>
      <c r="BR93" s="60"/>
      <c r="BS93" s="57"/>
      <c r="BT93" s="57"/>
      <c r="BU93" s="57"/>
      <c r="BV93" s="57"/>
      <c r="BW93" s="57"/>
      <c r="BX93" s="57"/>
      <c r="BY93" s="57"/>
      <c r="BZ93" s="60"/>
      <c r="CA93" s="57"/>
    </row>
    <row r="94" spans="1:79" x14ac:dyDescent="0.15">
      <c r="A94" s="55">
        <v>92</v>
      </c>
      <c r="B94" s="56"/>
      <c r="C94" s="56"/>
      <c r="D94" s="56"/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7"/>
      <c r="P94" s="57"/>
      <c r="Q94" s="57"/>
      <c r="R94" s="57"/>
      <c r="S94" s="57"/>
      <c r="T94" s="57"/>
      <c r="U94" s="57"/>
      <c r="V94" s="57"/>
      <c r="W94" s="57"/>
      <c r="X94" s="57"/>
      <c r="Y94" s="57"/>
      <c r="Z94" s="57"/>
      <c r="AA94" s="57"/>
      <c r="AB94" s="56"/>
      <c r="AC94" s="60"/>
      <c r="AD94" s="56"/>
      <c r="AE94" s="60"/>
      <c r="AF94" s="56"/>
      <c r="AG94" s="56"/>
      <c r="AH94" s="56"/>
      <c r="AI94" s="56"/>
      <c r="AJ94" s="56"/>
      <c r="AK94" s="56"/>
      <c r="AL94" s="56"/>
      <c r="AM94" s="60"/>
      <c r="AN94" s="56"/>
      <c r="AO94" s="57"/>
      <c r="AP94" s="60"/>
      <c r="AQ94" s="57"/>
      <c r="AR94" s="60"/>
      <c r="AS94" s="57"/>
      <c r="AT94" s="57"/>
      <c r="AU94" s="57"/>
      <c r="AV94" s="57"/>
      <c r="AW94" s="57"/>
      <c r="AX94" s="57"/>
      <c r="AY94" s="57"/>
      <c r="AZ94" s="60"/>
      <c r="BA94" s="57"/>
      <c r="BB94" s="60"/>
      <c r="BC94" s="56"/>
      <c r="BD94" s="60"/>
      <c r="BE94" s="56"/>
      <c r="BF94" s="56"/>
      <c r="BG94" s="56"/>
      <c r="BH94" s="56"/>
      <c r="BI94" s="56"/>
      <c r="BJ94" s="56"/>
      <c r="BK94" s="56"/>
      <c r="BL94" s="60"/>
      <c r="BM94" s="56"/>
      <c r="BN94" s="60"/>
      <c r="BO94" s="57"/>
      <c r="BP94" s="60"/>
      <c r="BQ94" s="57"/>
      <c r="BR94" s="60"/>
      <c r="BS94" s="57"/>
      <c r="BT94" s="57"/>
      <c r="BU94" s="57"/>
      <c r="BV94" s="57"/>
      <c r="BW94" s="57"/>
      <c r="BX94" s="57"/>
      <c r="BY94" s="57"/>
      <c r="BZ94" s="60"/>
      <c r="CA94" s="57"/>
    </row>
    <row r="95" spans="1:79" x14ac:dyDescent="0.15">
      <c r="A95" s="55">
        <v>93</v>
      </c>
      <c r="B95" s="56"/>
      <c r="C95" s="56"/>
      <c r="D95" s="56"/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7"/>
      <c r="P95" s="57"/>
      <c r="Q95" s="57"/>
      <c r="R95" s="57"/>
      <c r="S95" s="57"/>
      <c r="T95" s="57"/>
      <c r="U95" s="57"/>
      <c r="V95" s="57"/>
      <c r="W95" s="57"/>
      <c r="X95" s="57"/>
      <c r="Y95" s="57"/>
      <c r="Z95" s="57"/>
      <c r="AA95" s="57"/>
      <c r="AB95" s="56"/>
      <c r="AC95" s="60"/>
      <c r="AD95" s="56"/>
      <c r="AE95" s="60"/>
      <c r="AF95" s="56"/>
      <c r="AG95" s="56"/>
      <c r="AH95" s="56"/>
      <c r="AI95" s="56"/>
      <c r="AJ95" s="56"/>
      <c r="AK95" s="56"/>
      <c r="AL95" s="56"/>
      <c r="AM95" s="60"/>
      <c r="AN95" s="56"/>
      <c r="AO95" s="57"/>
      <c r="AP95" s="60"/>
      <c r="AQ95" s="57"/>
      <c r="AR95" s="60"/>
      <c r="AS95" s="57"/>
      <c r="AT95" s="57"/>
      <c r="AU95" s="57"/>
      <c r="AV95" s="57"/>
      <c r="AW95" s="57"/>
      <c r="AX95" s="57"/>
      <c r="AY95" s="57"/>
      <c r="AZ95" s="60"/>
      <c r="BA95" s="57"/>
      <c r="BB95" s="60"/>
      <c r="BC95" s="56"/>
      <c r="BD95" s="60"/>
      <c r="BE95" s="56"/>
      <c r="BF95" s="56"/>
      <c r="BG95" s="56"/>
      <c r="BH95" s="56"/>
      <c r="BI95" s="56"/>
      <c r="BJ95" s="56"/>
      <c r="BK95" s="56"/>
      <c r="BL95" s="60"/>
      <c r="BM95" s="56"/>
      <c r="BN95" s="60"/>
      <c r="BO95" s="57"/>
      <c r="BP95" s="60"/>
      <c r="BQ95" s="57"/>
      <c r="BR95" s="60"/>
      <c r="BS95" s="57"/>
      <c r="BT95" s="57"/>
      <c r="BU95" s="57"/>
      <c r="BV95" s="57"/>
      <c r="BW95" s="57"/>
      <c r="BX95" s="57"/>
      <c r="BY95" s="57"/>
      <c r="BZ95" s="60"/>
      <c r="CA95" s="57"/>
    </row>
    <row r="96" spans="1:79" x14ac:dyDescent="0.15">
      <c r="A96" s="55">
        <v>94</v>
      </c>
      <c r="B96" s="56"/>
      <c r="C96" s="56"/>
      <c r="D96" s="56"/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7"/>
      <c r="P96" s="57"/>
      <c r="Q96" s="57"/>
      <c r="R96" s="57"/>
      <c r="S96" s="57"/>
      <c r="T96" s="57"/>
      <c r="U96" s="57"/>
      <c r="V96" s="57"/>
      <c r="W96" s="57"/>
      <c r="X96" s="57"/>
      <c r="Y96" s="57"/>
      <c r="Z96" s="57"/>
      <c r="AA96" s="57"/>
      <c r="AB96" s="56"/>
      <c r="AC96" s="60"/>
      <c r="AD96" s="56"/>
      <c r="AE96" s="60"/>
      <c r="AF96" s="56"/>
      <c r="AG96" s="56"/>
      <c r="AH96" s="56"/>
      <c r="AI96" s="56"/>
      <c r="AJ96" s="56"/>
      <c r="AK96" s="56"/>
      <c r="AL96" s="56"/>
      <c r="AM96" s="60"/>
      <c r="AN96" s="56"/>
      <c r="AO96" s="57"/>
      <c r="AP96" s="60"/>
      <c r="AQ96" s="57"/>
      <c r="AR96" s="60"/>
      <c r="AS96" s="57"/>
      <c r="AT96" s="57"/>
      <c r="AU96" s="57"/>
      <c r="AV96" s="57"/>
      <c r="AW96" s="57"/>
      <c r="AX96" s="57"/>
      <c r="AY96" s="57"/>
      <c r="AZ96" s="60"/>
      <c r="BA96" s="57"/>
      <c r="BB96" s="60"/>
      <c r="BC96" s="56"/>
      <c r="BD96" s="60"/>
      <c r="BE96" s="56"/>
      <c r="BF96" s="56"/>
      <c r="BG96" s="56"/>
      <c r="BH96" s="56"/>
      <c r="BI96" s="56"/>
      <c r="BJ96" s="56"/>
      <c r="BK96" s="56"/>
      <c r="BL96" s="60"/>
      <c r="BM96" s="56"/>
      <c r="BN96" s="60"/>
      <c r="BO96" s="57"/>
      <c r="BP96" s="60"/>
      <c r="BQ96" s="57"/>
      <c r="BR96" s="60"/>
      <c r="BS96" s="57"/>
      <c r="BT96" s="57"/>
      <c r="BU96" s="57"/>
      <c r="BV96" s="57"/>
      <c r="BW96" s="57"/>
      <c r="BX96" s="57"/>
      <c r="BY96" s="57"/>
      <c r="BZ96" s="60"/>
      <c r="CA96" s="57"/>
    </row>
    <row r="97" spans="1:79" x14ac:dyDescent="0.15">
      <c r="A97" s="55">
        <v>95</v>
      </c>
      <c r="B97" s="56"/>
      <c r="C97" s="56"/>
      <c r="D97" s="56"/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7"/>
      <c r="P97" s="57"/>
      <c r="Q97" s="57"/>
      <c r="R97" s="57"/>
      <c r="S97" s="57"/>
      <c r="T97" s="57"/>
      <c r="U97" s="57"/>
      <c r="V97" s="57"/>
      <c r="W97" s="57"/>
      <c r="X97" s="57"/>
      <c r="Y97" s="57"/>
      <c r="Z97" s="57"/>
      <c r="AA97" s="57"/>
      <c r="AB97" s="56"/>
      <c r="AC97" s="60"/>
      <c r="AD97" s="56"/>
      <c r="AE97" s="60"/>
      <c r="AF97" s="56"/>
      <c r="AG97" s="56"/>
      <c r="AH97" s="56"/>
      <c r="AI97" s="56"/>
      <c r="AJ97" s="56"/>
      <c r="AK97" s="56"/>
      <c r="AL97" s="56"/>
      <c r="AM97" s="60"/>
      <c r="AN97" s="56"/>
      <c r="AO97" s="57"/>
      <c r="AP97" s="60"/>
      <c r="AQ97" s="57"/>
      <c r="AR97" s="60"/>
      <c r="AS97" s="57"/>
      <c r="AT97" s="57"/>
      <c r="AU97" s="57"/>
      <c r="AV97" s="57"/>
      <c r="AW97" s="57"/>
      <c r="AX97" s="57"/>
      <c r="AY97" s="57"/>
      <c r="AZ97" s="60"/>
      <c r="BA97" s="57"/>
      <c r="BB97" s="60"/>
      <c r="BC97" s="56"/>
      <c r="BD97" s="60"/>
      <c r="BE97" s="56"/>
      <c r="BF97" s="56"/>
      <c r="BG97" s="56"/>
      <c r="BH97" s="56"/>
      <c r="BI97" s="56"/>
      <c r="BJ97" s="56"/>
      <c r="BK97" s="56"/>
      <c r="BL97" s="60"/>
      <c r="BM97" s="56"/>
      <c r="BN97" s="60"/>
      <c r="BO97" s="57"/>
      <c r="BP97" s="60"/>
      <c r="BQ97" s="57"/>
      <c r="BR97" s="60"/>
      <c r="BS97" s="57"/>
      <c r="BT97" s="57"/>
      <c r="BU97" s="57"/>
      <c r="BV97" s="57"/>
      <c r="BW97" s="57"/>
      <c r="BX97" s="57"/>
      <c r="BY97" s="57"/>
      <c r="BZ97" s="60"/>
      <c r="CA97" s="57"/>
    </row>
    <row r="98" spans="1:79" x14ac:dyDescent="0.15">
      <c r="A98" s="55">
        <v>96</v>
      </c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7"/>
      <c r="P98" s="57"/>
      <c r="Q98" s="57"/>
      <c r="R98" s="57"/>
      <c r="S98" s="57"/>
      <c r="T98" s="57"/>
      <c r="U98" s="57"/>
      <c r="V98" s="57"/>
      <c r="W98" s="57"/>
      <c r="X98" s="57"/>
      <c r="Y98" s="57"/>
      <c r="Z98" s="57"/>
      <c r="AA98" s="57"/>
      <c r="AB98" s="56"/>
      <c r="AC98" s="60"/>
      <c r="AD98" s="56"/>
      <c r="AE98" s="60"/>
      <c r="AF98" s="56"/>
      <c r="AG98" s="56"/>
      <c r="AH98" s="56"/>
      <c r="AI98" s="56"/>
      <c r="AJ98" s="56"/>
      <c r="AK98" s="56"/>
      <c r="AL98" s="56"/>
      <c r="AM98" s="60"/>
      <c r="AN98" s="56"/>
      <c r="AO98" s="57"/>
      <c r="AP98" s="60"/>
      <c r="AQ98" s="57"/>
      <c r="AR98" s="60"/>
      <c r="AS98" s="57"/>
      <c r="AT98" s="57"/>
      <c r="AU98" s="57"/>
      <c r="AV98" s="57"/>
      <c r="AW98" s="57"/>
      <c r="AX98" s="57"/>
      <c r="AY98" s="57"/>
      <c r="AZ98" s="60"/>
      <c r="BA98" s="57"/>
      <c r="BB98" s="60"/>
      <c r="BC98" s="56"/>
      <c r="BD98" s="60"/>
      <c r="BE98" s="56"/>
      <c r="BF98" s="56"/>
      <c r="BG98" s="56"/>
      <c r="BH98" s="56"/>
      <c r="BI98" s="56"/>
      <c r="BJ98" s="56"/>
      <c r="BK98" s="56"/>
      <c r="BL98" s="60"/>
      <c r="BM98" s="56"/>
      <c r="BN98" s="60"/>
      <c r="BO98" s="57"/>
      <c r="BP98" s="60"/>
      <c r="BQ98" s="57"/>
      <c r="BR98" s="60"/>
      <c r="BS98" s="57"/>
      <c r="BT98" s="57"/>
      <c r="BU98" s="57"/>
      <c r="BV98" s="57"/>
      <c r="BW98" s="57"/>
      <c r="BX98" s="57"/>
      <c r="BY98" s="57"/>
      <c r="BZ98" s="60"/>
      <c r="CA98" s="57"/>
    </row>
    <row r="99" spans="1:79" x14ac:dyDescent="0.15">
      <c r="A99" s="55">
        <v>97</v>
      </c>
      <c r="B99" s="56"/>
      <c r="C99" s="56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7"/>
      <c r="P99" s="57"/>
      <c r="Q99" s="57"/>
      <c r="R99" s="57"/>
      <c r="S99" s="57"/>
      <c r="T99" s="57"/>
      <c r="U99" s="57"/>
      <c r="V99" s="57"/>
      <c r="W99" s="57"/>
      <c r="X99" s="57"/>
      <c r="Y99" s="57"/>
      <c r="Z99" s="57"/>
      <c r="AA99" s="57"/>
      <c r="AB99" s="56"/>
      <c r="AC99" s="60"/>
      <c r="AD99" s="56"/>
      <c r="AE99" s="60"/>
      <c r="AF99" s="56"/>
      <c r="AG99" s="56"/>
      <c r="AH99" s="56"/>
      <c r="AI99" s="56"/>
      <c r="AJ99" s="56"/>
      <c r="AK99" s="56"/>
      <c r="AL99" s="56"/>
      <c r="AM99" s="60"/>
      <c r="AN99" s="56"/>
      <c r="AO99" s="57"/>
      <c r="AP99" s="60"/>
      <c r="AQ99" s="57"/>
      <c r="AR99" s="60"/>
      <c r="AS99" s="57"/>
      <c r="AT99" s="57"/>
      <c r="AU99" s="57"/>
      <c r="AV99" s="57"/>
      <c r="AW99" s="57"/>
      <c r="AX99" s="57"/>
      <c r="AY99" s="57"/>
      <c r="AZ99" s="60"/>
      <c r="BA99" s="57"/>
      <c r="BB99" s="60"/>
      <c r="BC99" s="56"/>
      <c r="BD99" s="60"/>
      <c r="BE99" s="56"/>
      <c r="BF99" s="56"/>
      <c r="BG99" s="56"/>
      <c r="BH99" s="56"/>
      <c r="BI99" s="56"/>
      <c r="BJ99" s="56"/>
      <c r="BK99" s="56"/>
      <c r="BL99" s="60"/>
      <c r="BM99" s="56"/>
      <c r="BN99" s="60"/>
      <c r="BO99" s="57"/>
      <c r="BP99" s="60"/>
      <c r="BQ99" s="57"/>
      <c r="BR99" s="60"/>
      <c r="BS99" s="57"/>
      <c r="BT99" s="57"/>
      <c r="BU99" s="57"/>
      <c r="BV99" s="57"/>
      <c r="BW99" s="57"/>
      <c r="BX99" s="57"/>
      <c r="BY99" s="57"/>
      <c r="BZ99" s="60"/>
      <c r="CA99" s="57"/>
    </row>
    <row r="100" spans="1:79" x14ac:dyDescent="0.15">
      <c r="A100" s="55">
        <v>98</v>
      </c>
      <c r="B100" s="56"/>
      <c r="C100" s="56"/>
      <c r="D100" s="56"/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7"/>
      <c r="P100" s="57"/>
      <c r="Q100" s="57"/>
      <c r="R100" s="57"/>
      <c r="S100" s="57"/>
      <c r="T100" s="57"/>
      <c r="U100" s="57"/>
      <c r="V100" s="57"/>
      <c r="W100" s="57"/>
      <c r="X100" s="57"/>
      <c r="Y100" s="57"/>
      <c r="Z100" s="57"/>
      <c r="AA100" s="57"/>
      <c r="AB100" s="56"/>
      <c r="AC100" s="60"/>
      <c r="AD100" s="56"/>
      <c r="AE100" s="60"/>
      <c r="AF100" s="56"/>
      <c r="AG100" s="56"/>
      <c r="AH100" s="56"/>
      <c r="AI100" s="56"/>
      <c r="AJ100" s="56"/>
      <c r="AK100" s="56"/>
      <c r="AL100" s="56"/>
      <c r="AM100" s="60"/>
      <c r="AN100" s="56"/>
      <c r="AO100" s="57"/>
      <c r="AP100" s="60"/>
      <c r="AQ100" s="57"/>
      <c r="AR100" s="60"/>
      <c r="AS100" s="57"/>
      <c r="AT100" s="57"/>
      <c r="AU100" s="57"/>
      <c r="AV100" s="57"/>
      <c r="AW100" s="57"/>
      <c r="AX100" s="57"/>
      <c r="AY100" s="57"/>
      <c r="AZ100" s="60"/>
      <c r="BA100" s="57"/>
      <c r="BB100" s="60"/>
      <c r="BC100" s="56"/>
      <c r="BD100" s="60"/>
      <c r="BE100" s="56"/>
      <c r="BF100" s="56"/>
      <c r="BG100" s="56"/>
      <c r="BH100" s="56"/>
      <c r="BI100" s="56"/>
      <c r="BJ100" s="56"/>
      <c r="BK100" s="56"/>
      <c r="BL100" s="60"/>
      <c r="BM100" s="56"/>
      <c r="BN100" s="60"/>
      <c r="BO100" s="57"/>
      <c r="BP100" s="60"/>
      <c r="BQ100" s="57"/>
      <c r="BR100" s="60"/>
      <c r="BS100" s="57"/>
      <c r="BT100" s="57"/>
      <c r="BU100" s="57"/>
      <c r="BV100" s="57"/>
      <c r="BW100" s="57"/>
      <c r="BX100" s="57"/>
      <c r="BY100" s="57"/>
      <c r="BZ100" s="60"/>
      <c r="CA100" s="57"/>
    </row>
    <row r="101" spans="1:79" x14ac:dyDescent="0.15">
      <c r="A101" s="55">
        <v>99</v>
      </c>
      <c r="B101" s="56"/>
      <c r="C101" s="56"/>
      <c r="D101" s="56"/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7"/>
      <c r="P101" s="57"/>
      <c r="Q101" s="57"/>
      <c r="R101" s="57"/>
      <c r="S101" s="57"/>
      <c r="T101" s="57"/>
      <c r="U101" s="57"/>
      <c r="V101" s="57"/>
      <c r="W101" s="57"/>
      <c r="X101" s="57"/>
      <c r="Y101" s="57"/>
      <c r="Z101" s="57"/>
      <c r="AA101" s="57"/>
      <c r="AB101" s="56"/>
      <c r="AC101" s="60"/>
      <c r="AD101" s="56"/>
      <c r="AE101" s="60"/>
      <c r="AF101" s="56"/>
      <c r="AG101" s="56"/>
      <c r="AH101" s="56"/>
      <c r="AI101" s="56"/>
      <c r="AJ101" s="56"/>
      <c r="AK101" s="56"/>
      <c r="AL101" s="56"/>
      <c r="AM101" s="60"/>
      <c r="AN101" s="56"/>
      <c r="AO101" s="57"/>
      <c r="AP101" s="60"/>
      <c r="AQ101" s="57"/>
      <c r="AR101" s="60"/>
      <c r="AS101" s="57"/>
      <c r="AT101" s="57"/>
      <c r="AU101" s="57"/>
      <c r="AV101" s="57"/>
      <c r="AW101" s="57"/>
      <c r="AX101" s="57"/>
      <c r="AY101" s="57"/>
      <c r="AZ101" s="60"/>
      <c r="BA101" s="57"/>
      <c r="BB101" s="60"/>
      <c r="BC101" s="56"/>
      <c r="BD101" s="60"/>
      <c r="BE101" s="56"/>
      <c r="BF101" s="56"/>
      <c r="BG101" s="56"/>
      <c r="BH101" s="56"/>
      <c r="BI101" s="56"/>
      <c r="BJ101" s="56"/>
      <c r="BK101" s="56"/>
      <c r="BL101" s="60"/>
      <c r="BM101" s="56"/>
      <c r="BN101" s="60"/>
      <c r="BO101" s="57"/>
      <c r="BP101" s="60"/>
      <c r="BQ101" s="57"/>
      <c r="BR101" s="60"/>
      <c r="BS101" s="57"/>
      <c r="BT101" s="57"/>
      <c r="BU101" s="57"/>
      <c r="BV101" s="57"/>
      <c r="BW101" s="57"/>
      <c r="BX101" s="57"/>
      <c r="BY101" s="57"/>
      <c r="BZ101" s="60"/>
      <c r="CA101" s="57"/>
    </row>
    <row r="102" spans="1:79" x14ac:dyDescent="0.15">
      <c r="A102" s="55">
        <v>100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7"/>
      <c r="P102" s="57"/>
      <c r="Q102" s="57"/>
      <c r="R102" s="57"/>
      <c r="S102" s="57"/>
      <c r="T102" s="57"/>
      <c r="U102" s="57"/>
      <c r="V102" s="57"/>
      <c r="W102" s="57"/>
      <c r="X102" s="57"/>
      <c r="Y102" s="57"/>
      <c r="Z102" s="57"/>
      <c r="AA102" s="57"/>
      <c r="AB102" s="56"/>
      <c r="AC102" s="60"/>
      <c r="AD102" s="56"/>
      <c r="AE102" s="60"/>
      <c r="AF102" s="56"/>
      <c r="AG102" s="56"/>
      <c r="AH102" s="56"/>
      <c r="AI102" s="56"/>
      <c r="AJ102" s="56"/>
      <c r="AK102" s="56"/>
      <c r="AL102" s="56"/>
      <c r="AM102" s="60"/>
      <c r="AN102" s="56"/>
      <c r="AO102" s="57"/>
      <c r="AP102" s="60"/>
      <c r="AQ102" s="57"/>
      <c r="AR102" s="60"/>
      <c r="AS102" s="57"/>
      <c r="AT102" s="57"/>
      <c r="AU102" s="57"/>
      <c r="AV102" s="57"/>
      <c r="AW102" s="57"/>
      <c r="AX102" s="57"/>
      <c r="AY102" s="57"/>
      <c r="AZ102" s="60"/>
      <c r="BA102" s="57"/>
      <c r="BB102" s="60"/>
      <c r="BC102" s="56"/>
      <c r="BD102" s="60"/>
      <c r="BE102" s="56"/>
      <c r="BF102" s="56"/>
      <c r="BG102" s="56"/>
      <c r="BH102" s="56"/>
      <c r="BI102" s="56"/>
      <c r="BJ102" s="56"/>
      <c r="BK102" s="56"/>
      <c r="BL102" s="60"/>
      <c r="BM102" s="56"/>
      <c r="BN102" s="60"/>
      <c r="BO102" s="57"/>
      <c r="BP102" s="60"/>
      <c r="BQ102" s="57"/>
      <c r="BR102" s="60"/>
      <c r="BS102" s="57"/>
      <c r="BT102" s="57"/>
      <c r="BU102" s="57"/>
      <c r="BV102" s="57"/>
      <c r="BW102" s="57"/>
      <c r="BX102" s="57"/>
      <c r="BY102" s="57"/>
      <c r="BZ102" s="60"/>
      <c r="CA102" s="57"/>
    </row>
    <row r="103" spans="1:79" x14ac:dyDescent="0.15">
      <c r="A103" s="55">
        <v>101</v>
      </c>
      <c r="B103" s="56"/>
      <c r="C103" s="56"/>
      <c r="D103" s="56"/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7"/>
      <c r="P103" s="57"/>
      <c r="Q103" s="57"/>
      <c r="R103" s="57"/>
      <c r="S103" s="57"/>
      <c r="T103" s="57"/>
      <c r="U103" s="57"/>
      <c r="V103" s="57"/>
      <c r="W103" s="57"/>
      <c r="X103" s="57"/>
      <c r="Y103" s="57"/>
      <c r="Z103" s="57"/>
      <c r="AA103" s="57"/>
      <c r="AB103" s="56"/>
      <c r="AC103" s="60"/>
      <c r="AD103" s="56"/>
      <c r="AE103" s="60"/>
      <c r="AF103" s="56"/>
      <c r="AG103" s="56"/>
      <c r="AH103" s="56"/>
      <c r="AI103" s="56"/>
      <c r="AJ103" s="56"/>
      <c r="AK103" s="56"/>
      <c r="AL103" s="56"/>
      <c r="AM103" s="60"/>
      <c r="AN103" s="56"/>
      <c r="AO103" s="57"/>
      <c r="AP103" s="60"/>
      <c r="AQ103" s="57"/>
      <c r="AR103" s="60"/>
      <c r="AS103" s="57"/>
      <c r="AT103" s="57"/>
      <c r="AU103" s="57"/>
      <c r="AV103" s="57"/>
      <c r="AW103" s="57"/>
      <c r="AX103" s="57"/>
      <c r="AY103" s="57"/>
      <c r="AZ103" s="60"/>
      <c r="BA103" s="57"/>
      <c r="BB103" s="60"/>
      <c r="BC103" s="56"/>
      <c r="BD103" s="60"/>
      <c r="BE103" s="56"/>
      <c r="BF103" s="56"/>
      <c r="BG103" s="56"/>
      <c r="BH103" s="56"/>
      <c r="BI103" s="56"/>
      <c r="BJ103" s="56"/>
      <c r="BK103" s="56"/>
      <c r="BL103" s="60"/>
      <c r="BM103" s="56"/>
      <c r="BN103" s="60"/>
      <c r="BO103" s="57"/>
      <c r="BP103" s="60"/>
      <c r="BQ103" s="57"/>
      <c r="BR103" s="60"/>
      <c r="BS103" s="57"/>
      <c r="BT103" s="57"/>
      <c r="BU103" s="57"/>
      <c r="BV103" s="57"/>
      <c r="BW103" s="57"/>
      <c r="BX103" s="57"/>
      <c r="BY103" s="57"/>
      <c r="BZ103" s="60"/>
      <c r="CA103" s="57"/>
    </row>
    <row r="104" spans="1:79" x14ac:dyDescent="0.15">
      <c r="A104" s="55">
        <v>102</v>
      </c>
      <c r="B104" s="56"/>
      <c r="C104" s="56"/>
      <c r="D104" s="56"/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7"/>
      <c r="P104" s="57"/>
      <c r="Q104" s="57"/>
      <c r="R104" s="57"/>
      <c r="S104" s="57"/>
      <c r="T104" s="57"/>
      <c r="U104" s="57"/>
      <c r="V104" s="57"/>
      <c r="W104" s="57"/>
      <c r="X104" s="57"/>
      <c r="Y104" s="57"/>
      <c r="Z104" s="57"/>
      <c r="AA104" s="57"/>
      <c r="AB104" s="56"/>
      <c r="AC104" s="60"/>
      <c r="AD104" s="56"/>
      <c r="AE104" s="60"/>
      <c r="AF104" s="56"/>
      <c r="AG104" s="56"/>
      <c r="AH104" s="56"/>
      <c r="AI104" s="56"/>
      <c r="AJ104" s="56"/>
      <c r="AK104" s="56"/>
      <c r="AL104" s="56"/>
      <c r="AM104" s="60"/>
      <c r="AN104" s="56"/>
      <c r="AO104" s="57"/>
      <c r="AP104" s="60"/>
      <c r="AQ104" s="57"/>
      <c r="AR104" s="60"/>
      <c r="AS104" s="57"/>
      <c r="AT104" s="57"/>
      <c r="AU104" s="57"/>
      <c r="AV104" s="57"/>
      <c r="AW104" s="57"/>
      <c r="AX104" s="57"/>
      <c r="AY104" s="57"/>
      <c r="AZ104" s="60"/>
      <c r="BA104" s="57"/>
      <c r="BB104" s="60"/>
      <c r="BC104" s="56"/>
      <c r="BD104" s="60"/>
      <c r="BE104" s="56"/>
      <c r="BF104" s="56"/>
      <c r="BG104" s="56"/>
      <c r="BH104" s="56"/>
      <c r="BI104" s="56"/>
      <c r="BJ104" s="56"/>
      <c r="BK104" s="56"/>
      <c r="BL104" s="60"/>
      <c r="BM104" s="56"/>
      <c r="BN104" s="60"/>
      <c r="BO104" s="57"/>
      <c r="BP104" s="60"/>
      <c r="BQ104" s="57"/>
      <c r="BR104" s="60"/>
      <c r="BS104" s="57"/>
      <c r="BT104" s="57"/>
      <c r="BU104" s="57"/>
      <c r="BV104" s="57"/>
      <c r="BW104" s="57"/>
      <c r="BX104" s="57"/>
      <c r="BY104" s="57"/>
      <c r="BZ104" s="60"/>
      <c r="CA104" s="57"/>
    </row>
    <row r="105" spans="1:79" x14ac:dyDescent="0.15">
      <c r="A105" s="55">
        <v>103</v>
      </c>
      <c r="B105" s="56"/>
      <c r="C105" s="56"/>
      <c r="D105" s="56"/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7"/>
      <c r="P105" s="57"/>
      <c r="Q105" s="57"/>
      <c r="R105" s="57"/>
      <c r="S105" s="57"/>
      <c r="T105" s="57"/>
      <c r="U105" s="57"/>
      <c r="V105" s="57"/>
      <c r="W105" s="57"/>
      <c r="X105" s="57"/>
      <c r="Y105" s="57"/>
      <c r="Z105" s="57"/>
      <c r="AA105" s="57"/>
      <c r="AB105" s="56"/>
      <c r="AC105" s="60"/>
      <c r="AD105" s="56"/>
      <c r="AE105" s="60"/>
      <c r="AF105" s="56"/>
      <c r="AG105" s="56"/>
      <c r="AH105" s="56"/>
      <c r="AI105" s="56"/>
      <c r="AJ105" s="56"/>
      <c r="AK105" s="56"/>
      <c r="AL105" s="56"/>
      <c r="AM105" s="60"/>
      <c r="AN105" s="56"/>
      <c r="AO105" s="57"/>
      <c r="AP105" s="60"/>
      <c r="AQ105" s="57"/>
      <c r="AR105" s="60"/>
      <c r="AS105" s="57"/>
      <c r="AT105" s="57"/>
      <c r="AU105" s="57"/>
      <c r="AV105" s="57"/>
      <c r="AW105" s="57"/>
      <c r="AX105" s="57"/>
      <c r="AY105" s="57"/>
      <c r="AZ105" s="60"/>
      <c r="BA105" s="57"/>
      <c r="BB105" s="60"/>
      <c r="BC105" s="56"/>
      <c r="BD105" s="60"/>
      <c r="BE105" s="56"/>
      <c r="BF105" s="56"/>
      <c r="BG105" s="56"/>
      <c r="BH105" s="56"/>
      <c r="BI105" s="56"/>
      <c r="BJ105" s="56"/>
      <c r="BK105" s="56"/>
      <c r="BL105" s="60"/>
      <c r="BM105" s="56"/>
      <c r="BN105" s="60"/>
      <c r="BO105" s="57"/>
      <c r="BP105" s="60"/>
      <c r="BQ105" s="57"/>
      <c r="BR105" s="60"/>
      <c r="BS105" s="57"/>
      <c r="BT105" s="57"/>
      <c r="BU105" s="57"/>
      <c r="BV105" s="57"/>
      <c r="BW105" s="57"/>
      <c r="BX105" s="57"/>
      <c r="BY105" s="57"/>
      <c r="BZ105" s="60"/>
      <c r="CA105" s="57"/>
    </row>
    <row r="106" spans="1:79" x14ac:dyDescent="0.15">
      <c r="A106" s="55">
        <v>104</v>
      </c>
      <c r="B106" s="56"/>
      <c r="C106" s="56"/>
      <c r="D106" s="56"/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7"/>
      <c r="P106" s="57"/>
      <c r="Q106" s="57"/>
      <c r="R106" s="57"/>
      <c r="S106" s="57"/>
      <c r="T106" s="57"/>
      <c r="U106" s="57"/>
      <c r="V106" s="57"/>
      <c r="W106" s="57"/>
      <c r="X106" s="57"/>
      <c r="Y106" s="57"/>
      <c r="Z106" s="57"/>
      <c r="AA106" s="57"/>
      <c r="AB106" s="56"/>
      <c r="AC106" s="60"/>
      <c r="AD106" s="56"/>
      <c r="AE106" s="60"/>
      <c r="AF106" s="56"/>
      <c r="AG106" s="56"/>
      <c r="AH106" s="56"/>
      <c r="AI106" s="56"/>
      <c r="AJ106" s="56"/>
      <c r="AK106" s="56"/>
      <c r="AL106" s="56"/>
      <c r="AM106" s="60"/>
      <c r="AN106" s="56"/>
      <c r="AO106" s="57"/>
      <c r="AP106" s="60"/>
      <c r="AQ106" s="57"/>
      <c r="AR106" s="60"/>
      <c r="AS106" s="57"/>
      <c r="AT106" s="57"/>
      <c r="AU106" s="57"/>
      <c r="AV106" s="57"/>
      <c r="AW106" s="57"/>
      <c r="AX106" s="57"/>
      <c r="AY106" s="57"/>
      <c r="AZ106" s="60"/>
      <c r="BA106" s="57"/>
      <c r="BB106" s="60"/>
      <c r="BC106" s="56"/>
      <c r="BD106" s="60"/>
      <c r="BE106" s="56"/>
      <c r="BF106" s="56"/>
      <c r="BG106" s="56"/>
      <c r="BH106" s="56"/>
      <c r="BI106" s="56"/>
      <c r="BJ106" s="56"/>
      <c r="BK106" s="56"/>
      <c r="BL106" s="60"/>
      <c r="BM106" s="56"/>
      <c r="BN106" s="60"/>
      <c r="BO106" s="57"/>
      <c r="BP106" s="60"/>
      <c r="BQ106" s="57"/>
      <c r="BR106" s="60"/>
      <c r="BS106" s="57"/>
      <c r="BT106" s="57"/>
      <c r="BU106" s="57"/>
      <c r="BV106" s="57"/>
      <c r="BW106" s="57"/>
      <c r="BX106" s="57"/>
      <c r="BY106" s="57"/>
      <c r="BZ106" s="60"/>
      <c r="CA106" s="57"/>
    </row>
    <row r="107" spans="1:79" x14ac:dyDescent="0.15">
      <c r="A107" s="55">
        <v>105</v>
      </c>
      <c r="B107" s="56"/>
      <c r="C107" s="56"/>
      <c r="D107" s="56"/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7"/>
      <c r="P107" s="57"/>
      <c r="Q107" s="57"/>
      <c r="R107" s="57"/>
      <c r="S107" s="57"/>
      <c r="T107" s="57"/>
      <c r="U107" s="57"/>
      <c r="V107" s="57"/>
      <c r="W107" s="57"/>
      <c r="X107" s="57"/>
      <c r="Y107" s="57"/>
      <c r="Z107" s="57"/>
      <c r="AA107" s="57"/>
      <c r="AB107" s="56"/>
      <c r="AC107" s="60"/>
      <c r="AD107" s="56"/>
      <c r="AE107" s="60"/>
      <c r="AF107" s="56"/>
      <c r="AG107" s="56"/>
      <c r="AH107" s="56"/>
      <c r="AI107" s="56"/>
      <c r="AJ107" s="56"/>
      <c r="AK107" s="56"/>
      <c r="AL107" s="56"/>
      <c r="AM107" s="60"/>
      <c r="AN107" s="56"/>
      <c r="AO107" s="57"/>
      <c r="AP107" s="60"/>
      <c r="AQ107" s="57"/>
      <c r="AR107" s="60"/>
      <c r="AS107" s="57"/>
      <c r="AT107" s="57"/>
      <c r="AU107" s="57"/>
      <c r="AV107" s="57"/>
      <c r="AW107" s="57"/>
      <c r="AX107" s="57"/>
      <c r="AY107" s="57"/>
      <c r="AZ107" s="60"/>
      <c r="BA107" s="57"/>
      <c r="BB107" s="60"/>
      <c r="BC107" s="56"/>
      <c r="BD107" s="60"/>
      <c r="BE107" s="56"/>
      <c r="BF107" s="56"/>
      <c r="BG107" s="56"/>
      <c r="BH107" s="56"/>
      <c r="BI107" s="56"/>
      <c r="BJ107" s="56"/>
      <c r="BK107" s="56"/>
      <c r="BL107" s="60"/>
      <c r="BM107" s="56"/>
      <c r="BN107" s="60"/>
      <c r="BO107" s="57"/>
      <c r="BP107" s="60"/>
      <c r="BQ107" s="57"/>
      <c r="BR107" s="60"/>
      <c r="BS107" s="57"/>
      <c r="BT107" s="57"/>
      <c r="BU107" s="57"/>
      <c r="BV107" s="57"/>
      <c r="BW107" s="57"/>
      <c r="BX107" s="57"/>
      <c r="BY107" s="57"/>
      <c r="BZ107" s="60"/>
      <c r="CA107" s="57"/>
    </row>
    <row r="108" spans="1:79" x14ac:dyDescent="0.15">
      <c r="A108" s="55">
        <v>106</v>
      </c>
      <c r="B108" s="56"/>
      <c r="C108" s="56"/>
      <c r="D108" s="56"/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7"/>
      <c r="P108" s="57"/>
      <c r="Q108" s="57"/>
      <c r="R108" s="57"/>
      <c r="S108" s="57"/>
      <c r="T108" s="57"/>
      <c r="U108" s="57"/>
      <c r="V108" s="57"/>
      <c r="W108" s="57"/>
      <c r="X108" s="57"/>
      <c r="Y108" s="57"/>
      <c r="Z108" s="57"/>
      <c r="AA108" s="57"/>
      <c r="AB108" s="56"/>
      <c r="AC108" s="60"/>
      <c r="AD108" s="56"/>
      <c r="AE108" s="60"/>
      <c r="AF108" s="56"/>
      <c r="AG108" s="56"/>
      <c r="AH108" s="56"/>
      <c r="AI108" s="56"/>
      <c r="AJ108" s="56"/>
      <c r="AK108" s="56"/>
      <c r="AL108" s="56"/>
      <c r="AM108" s="60"/>
      <c r="AN108" s="56"/>
      <c r="AO108" s="57"/>
      <c r="AP108" s="60"/>
      <c r="AQ108" s="57"/>
      <c r="AR108" s="60"/>
      <c r="AS108" s="57"/>
      <c r="AT108" s="57"/>
      <c r="AU108" s="57"/>
      <c r="AV108" s="57"/>
      <c r="AW108" s="57"/>
      <c r="AX108" s="57"/>
      <c r="AY108" s="57"/>
      <c r="AZ108" s="60"/>
      <c r="BA108" s="57"/>
      <c r="BB108" s="60"/>
      <c r="BC108" s="56"/>
      <c r="BD108" s="60"/>
      <c r="BE108" s="56"/>
      <c r="BF108" s="56"/>
      <c r="BG108" s="56"/>
      <c r="BH108" s="56"/>
      <c r="BI108" s="56"/>
      <c r="BJ108" s="56"/>
      <c r="BK108" s="56"/>
      <c r="BL108" s="60"/>
      <c r="BM108" s="56"/>
      <c r="BN108" s="60"/>
      <c r="BO108" s="57"/>
      <c r="BP108" s="60"/>
      <c r="BQ108" s="57"/>
      <c r="BR108" s="60"/>
      <c r="BS108" s="57"/>
      <c r="BT108" s="57"/>
      <c r="BU108" s="57"/>
      <c r="BV108" s="57"/>
      <c r="BW108" s="57"/>
      <c r="BX108" s="57"/>
      <c r="BY108" s="57"/>
      <c r="BZ108" s="60"/>
      <c r="CA108" s="57"/>
    </row>
    <row r="109" spans="1:79" x14ac:dyDescent="0.15">
      <c r="A109" s="55">
        <v>107</v>
      </c>
      <c r="B109" s="56"/>
      <c r="C109" s="56"/>
      <c r="D109" s="56"/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7"/>
      <c r="P109" s="57"/>
      <c r="Q109" s="57"/>
      <c r="R109" s="57"/>
      <c r="S109" s="57"/>
      <c r="T109" s="57"/>
      <c r="U109" s="57"/>
      <c r="V109" s="57"/>
      <c r="W109" s="57"/>
      <c r="X109" s="57"/>
      <c r="Y109" s="57"/>
      <c r="Z109" s="57"/>
      <c r="AA109" s="57"/>
      <c r="AB109" s="56"/>
      <c r="AC109" s="60"/>
      <c r="AD109" s="56"/>
      <c r="AE109" s="60"/>
      <c r="AF109" s="56"/>
      <c r="AG109" s="56"/>
      <c r="AH109" s="56"/>
      <c r="AI109" s="56"/>
      <c r="AJ109" s="56"/>
      <c r="AK109" s="56"/>
      <c r="AL109" s="56"/>
      <c r="AM109" s="60"/>
      <c r="AN109" s="56"/>
      <c r="AO109" s="57"/>
      <c r="AP109" s="60"/>
      <c r="AQ109" s="57"/>
      <c r="AR109" s="60"/>
      <c r="AS109" s="57"/>
      <c r="AT109" s="57"/>
      <c r="AU109" s="57"/>
      <c r="AV109" s="57"/>
      <c r="AW109" s="57"/>
      <c r="AX109" s="57"/>
      <c r="AY109" s="57"/>
      <c r="AZ109" s="60"/>
      <c r="BA109" s="57"/>
      <c r="BB109" s="60"/>
      <c r="BC109" s="56"/>
      <c r="BD109" s="60"/>
      <c r="BE109" s="56"/>
      <c r="BF109" s="56"/>
      <c r="BG109" s="56"/>
      <c r="BH109" s="56"/>
      <c r="BI109" s="56"/>
      <c r="BJ109" s="56"/>
      <c r="BK109" s="56"/>
      <c r="BL109" s="60"/>
      <c r="BM109" s="56"/>
      <c r="BN109" s="60"/>
      <c r="BO109" s="57"/>
      <c r="BP109" s="60"/>
      <c r="BQ109" s="57"/>
      <c r="BR109" s="60"/>
      <c r="BS109" s="57"/>
      <c r="BT109" s="57"/>
      <c r="BU109" s="57"/>
      <c r="BV109" s="57"/>
      <c r="BW109" s="57"/>
      <c r="BX109" s="57"/>
      <c r="BY109" s="57"/>
      <c r="BZ109" s="60"/>
      <c r="CA109" s="57"/>
    </row>
    <row r="110" spans="1:79" x14ac:dyDescent="0.15">
      <c r="A110" s="55">
        <v>108</v>
      </c>
      <c r="B110" s="56"/>
      <c r="C110" s="56"/>
      <c r="D110" s="56"/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7"/>
      <c r="P110" s="57"/>
      <c r="Q110" s="57"/>
      <c r="R110" s="57"/>
      <c r="S110" s="57"/>
      <c r="T110" s="57"/>
      <c r="U110" s="57"/>
      <c r="V110" s="57"/>
      <c r="W110" s="57"/>
      <c r="X110" s="57"/>
      <c r="Y110" s="57"/>
      <c r="Z110" s="57"/>
      <c r="AA110" s="57"/>
      <c r="AB110" s="56"/>
      <c r="AC110" s="60"/>
      <c r="AD110" s="56"/>
      <c r="AE110" s="60"/>
      <c r="AF110" s="56"/>
      <c r="AG110" s="56"/>
      <c r="AH110" s="56"/>
      <c r="AI110" s="56"/>
      <c r="AJ110" s="56"/>
      <c r="AK110" s="56"/>
      <c r="AL110" s="56"/>
      <c r="AM110" s="60"/>
      <c r="AN110" s="56"/>
      <c r="AO110" s="57"/>
      <c r="AP110" s="60"/>
      <c r="AQ110" s="57"/>
      <c r="AR110" s="60"/>
      <c r="AS110" s="57"/>
      <c r="AT110" s="57"/>
      <c r="AU110" s="57"/>
      <c r="AV110" s="57"/>
      <c r="AW110" s="57"/>
      <c r="AX110" s="57"/>
      <c r="AY110" s="57"/>
      <c r="AZ110" s="60"/>
      <c r="BA110" s="57"/>
      <c r="BB110" s="60"/>
      <c r="BC110" s="56"/>
      <c r="BD110" s="60"/>
      <c r="BE110" s="56"/>
      <c r="BF110" s="56"/>
      <c r="BG110" s="56"/>
      <c r="BH110" s="56"/>
      <c r="BI110" s="56"/>
      <c r="BJ110" s="56"/>
      <c r="BK110" s="56"/>
      <c r="BL110" s="60"/>
      <c r="BM110" s="56"/>
      <c r="BN110" s="60"/>
      <c r="BO110" s="57"/>
      <c r="BP110" s="60"/>
      <c r="BQ110" s="57"/>
      <c r="BR110" s="60"/>
      <c r="BS110" s="57"/>
      <c r="BT110" s="57"/>
      <c r="BU110" s="57"/>
      <c r="BV110" s="57"/>
      <c r="BW110" s="57"/>
      <c r="BX110" s="57"/>
      <c r="BY110" s="57"/>
      <c r="BZ110" s="60"/>
      <c r="CA110" s="57"/>
    </row>
    <row r="111" spans="1:79" x14ac:dyDescent="0.15">
      <c r="A111" s="55">
        <v>109</v>
      </c>
      <c r="B111" s="56"/>
      <c r="C111" s="56"/>
      <c r="D111" s="56"/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7"/>
      <c r="P111" s="57"/>
      <c r="Q111" s="57"/>
      <c r="R111" s="57"/>
      <c r="S111" s="57"/>
      <c r="T111" s="57"/>
      <c r="U111" s="57"/>
      <c r="V111" s="57"/>
      <c r="W111" s="57"/>
      <c r="X111" s="57"/>
      <c r="Y111" s="57"/>
      <c r="Z111" s="57"/>
      <c r="AA111" s="57"/>
      <c r="AB111" s="56"/>
      <c r="AC111" s="60"/>
      <c r="AD111" s="56"/>
      <c r="AE111" s="60"/>
      <c r="AF111" s="56"/>
      <c r="AG111" s="56"/>
      <c r="AH111" s="56"/>
      <c r="AI111" s="56"/>
      <c r="AJ111" s="56"/>
      <c r="AK111" s="56"/>
      <c r="AL111" s="56"/>
      <c r="AM111" s="60"/>
      <c r="AN111" s="56"/>
      <c r="AO111" s="57"/>
      <c r="AP111" s="60"/>
      <c r="AQ111" s="57"/>
      <c r="AR111" s="60"/>
      <c r="AS111" s="57"/>
      <c r="AT111" s="57"/>
      <c r="AU111" s="57"/>
      <c r="AV111" s="57"/>
      <c r="AW111" s="57"/>
      <c r="AX111" s="57"/>
      <c r="AY111" s="57"/>
      <c r="AZ111" s="60"/>
      <c r="BA111" s="57"/>
      <c r="BB111" s="60"/>
      <c r="BC111" s="56"/>
      <c r="BD111" s="60"/>
      <c r="BE111" s="56"/>
      <c r="BF111" s="56"/>
      <c r="BG111" s="56"/>
      <c r="BH111" s="56"/>
      <c r="BI111" s="56"/>
      <c r="BJ111" s="56"/>
      <c r="BK111" s="56"/>
      <c r="BL111" s="60"/>
      <c r="BM111" s="56"/>
      <c r="BN111" s="60"/>
      <c r="BO111" s="57"/>
      <c r="BP111" s="60"/>
      <c r="BQ111" s="57"/>
      <c r="BR111" s="60"/>
      <c r="BS111" s="57"/>
      <c r="BT111" s="57"/>
      <c r="BU111" s="57"/>
      <c r="BV111" s="57"/>
      <c r="BW111" s="57"/>
      <c r="BX111" s="57"/>
      <c r="BY111" s="57"/>
      <c r="BZ111" s="60"/>
      <c r="CA111" s="57"/>
    </row>
    <row r="112" spans="1:79" x14ac:dyDescent="0.15">
      <c r="A112" s="55">
        <v>110</v>
      </c>
      <c r="B112" s="56"/>
      <c r="C112" s="56"/>
      <c r="D112" s="56"/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7"/>
      <c r="P112" s="57"/>
      <c r="Q112" s="57"/>
      <c r="R112" s="57"/>
      <c r="S112" s="57"/>
      <c r="T112" s="57"/>
      <c r="U112" s="57"/>
      <c r="V112" s="57"/>
      <c r="W112" s="57"/>
      <c r="X112" s="57"/>
      <c r="Y112" s="57"/>
      <c r="Z112" s="57"/>
      <c r="AA112" s="57"/>
      <c r="AB112" s="56"/>
      <c r="AC112" s="60"/>
      <c r="AD112" s="56"/>
      <c r="AE112" s="60"/>
      <c r="AF112" s="56"/>
      <c r="AG112" s="56"/>
      <c r="AH112" s="56"/>
      <c r="AI112" s="56"/>
      <c r="AJ112" s="56"/>
      <c r="AK112" s="56"/>
      <c r="AL112" s="56"/>
      <c r="AM112" s="60"/>
      <c r="AN112" s="56"/>
      <c r="AO112" s="57"/>
      <c r="AP112" s="60"/>
      <c r="AQ112" s="57"/>
      <c r="AR112" s="60"/>
      <c r="AS112" s="57"/>
      <c r="AT112" s="57"/>
      <c r="AU112" s="57"/>
      <c r="AV112" s="57"/>
      <c r="AW112" s="57"/>
      <c r="AX112" s="57"/>
      <c r="AY112" s="57"/>
      <c r="AZ112" s="60"/>
      <c r="BA112" s="57"/>
      <c r="BB112" s="60"/>
      <c r="BC112" s="56"/>
      <c r="BD112" s="60"/>
      <c r="BE112" s="56"/>
      <c r="BF112" s="56"/>
      <c r="BG112" s="56"/>
      <c r="BH112" s="56"/>
      <c r="BI112" s="56"/>
      <c r="BJ112" s="56"/>
      <c r="BK112" s="56"/>
      <c r="BL112" s="60"/>
      <c r="BM112" s="56"/>
      <c r="BN112" s="60"/>
      <c r="BO112" s="57"/>
      <c r="BP112" s="60"/>
      <c r="BQ112" s="57"/>
      <c r="BR112" s="60"/>
      <c r="BS112" s="57"/>
      <c r="BT112" s="57"/>
      <c r="BU112" s="57"/>
      <c r="BV112" s="57"/>
      <c r="BW112" s="57"/>
      <c r="BX112" s="57"/>
      <c r="BY112" s="57"/>
      <c r="BZ112" s="60"/>
      <c r="CA112" s="57"/>
    </row>
    <row r="113" spans="1:79" x14ac:dyDescent="0.15">
      <c r="A113" s="55">
        <v>111</v>
      </c>
      <c r="B113" s="56"/>
      <c r="C113" s="56"/>
      <c r="D113" s="56"/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7"/>
      <c r="P113" s="57"/>
      <c r="Q113" s="57"/>
      <c r="R113" s="57"/>
      <c r="S113" s="57"/>
      <c r="T113" s="57"/>
      <c r="U113" s="57"/>
      <c r="V113" s="57"/>
      <c r="W113" s="57"/>
      <c r="X113" s="57"/>
      <c r="Y113" s="57"/>
      <c r="Z113" s="57"/>
      <c r="AA113" s="57"/>
      <c r="AB113" s="56"/>
      <c r="AC113" s="60"/>
      <c r="AD113" s="56"/>
      <c r="AE113" s="60"/>
      <c r="AF113" s="56"/>
      <c r="AG113" s="56"/>
      <c r="AH113" s="56"/>
      <c r="AI113" s="56"/>
      <c r="AJ113" s="56"/>
      <c r="AK113" s="56"/>
      <c r="AL113" s="56"/>
      <c r="AM113" s="60"/>
      <c r="AN113" s="56"/>
      <c r="AO113" s="57"/>
      <c r="AP113" s="60"/>
      <c r="AQ113" s="57"/>
      <c r="AR113" s="60"/>
      <c r="AS113" s="57"/>
      <c r="AT113" s="57"/>
      <c r="AU113" s="57"/>
      <c r="AV113" s="57"/>
      <c r="AW113" s="57"/>
      <c r="AX113" s="57"/>
      <c r="AY113" s="57"/>
      <c r="AZ113" s="60"/>
      <c r="BA113" s="57"/>
      <c r="BB113" s="60"/>
      <c r="BC113" s="56"/>
      <c r="BD113" s="60"/>
      <c r="BE113" s="56"/>
      <c r="BF113" s="56"/>
      <c r="BG113" s="56"/>
      <c r="BH113" s="56"/>
      <c r="BI113" s="56"/>
      <c r="BJ113" s="56"/>
      <c r="BK113" s="56"/>
      <c r="BL113" s="60"/>
      <c r="BM113" s="56"/>
      <c r="BN113" s="60"/>
      <c r="BO113" s="57"/>
      <c r="BP113" s="60"/>
      <c r="BQ113" s="57"/>
      <c r="BR113" s="60"/>
      <c r="BS113" s="57"/>
      <c r="BT113" s="57"/>
      <c r="BU113" s="57"/>
      <c r="BV113" s="57"/>
      <c r="BW113" s="57"/>
      <c r="BX113" s="57"/>
      <c r="BY113" s="57"/>
      <c r="BZ113" s="60"/>
      <c r="CA113" s="57"/>
    </row>
    <row r="114" spans="1:79" x14ac:dyDescent="0.15">
      <c r="A114" s="55">
        <v>112</v>
      </c>
      <c r="B114" s="56"/>
      <c r="C114" s="56"/>
      <c r="D114" s="56"/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7"/>
      <c r="P114" s="57"/>
      <c r="Q114" s="57"/>
      <c r="R114" s="57"/>
      <c r="S114" s="57"/>
      <c r="T114" s="57"/>
      <c r="U114" s="57"/>
      <c r="V114" s="57"/>
      <c r="W114" s="57"/>
      <c r="X114" s="57"/>
      <c r="Y114" s="57"/>
      <c r="Z114" s="57"/>
      <c r="AA114" s="57"/>
      <c r="AB114" s="56"/>
      <c r="AC114" s="60"/>
      <c r="AD114" s="56"/>
      <c r="AE114" s="60"/>
      <c r="AF114" s="56"/>
      <c r="AG114" s="56"/>
      <c r="AH114" s="56"/>
      <c r="AI114" s="56"/>
      <c r="AJ114" s="56"/>
      <c r="AK114" s="56"/>
      <c r="AL114" s="56"/>
      <c r="AM114" s="60"/>
      <c r="AN114" s="56"/>
      <c r="AO114" s="57"/>
      <c r="AP114" s="60"/>
      <c r="AQ114" s="57"/>
      <c r="AR114" s="60"/>
      <c r="AS114" s="57"/>
      <c r="AT114" s="57"/>
      <c r="AU114" s="57"/>
      <c r="AV114" s="57"/>
      <c r="AW114" s="57"/>
      <c r="AX114" s="57"/>
      <c r="AY114" s="57"/>
      <c r="AZ114" s="60"/>
      <c r="BA114" s="57"/>
      <c r="BB114" s="60"/>
      <c r="BC114" s="56"/>
      <c r="BD114" s="60"/>
      <c r="BE114" s="56"/>
      <c r="BF114" s="56"/>
      <c r="BG114" s="56"/>
      <c r="BH114" s="56"/>
      <c r="BI114" s="56"/>
      <c r="BJ114" s="56"/>
      <c r="BK114" s="56"/>
      <c r="BL114" s="60"/>
      <c r="BM114" s="56"/>
      <c r="BN114" s="60"/>
      <c r="BO114" s="57"/>
      <c r="BP114" s="60"/>
      <c r="BQ114" s="57"/>
      <c r="BR114" s="60"/>
      <c r="BS114" s="57"/>
      <c r="BT114" s="57"/>
      <c r="BU114" s="57"/>
      <c r="BV114" s="57"/>
      <c r="BW114" s="57"/>
      <c r="BX114" s="57"/>
      <c r="BY114" s="57"/>
      <c r="BZ114" s="60"/>
      <c r="CA114" s="57"/>
    </row>
    <row r="115" spans="1:79" x14ac:dyDescent="0.15">
      <c r="A115" s="55">
        <v>113</v>
      </c>
      <c r="B115" s="56"/>
      <c r="C115" s="56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7"/>
      <c r="P115" s="57"/>
      <c r="Q115" s="57"/>
      <c r="R115" s="57"/>
      <c r="S115" s="57"/>
      <c r="T115" s="57"/>
      <c r="U115" s="57"/>
      <c r="V115" s="57"/>
      <c r="W115" s="57"/>
      <c r="X115" s="57"/>
      <c r="Y115" s="57"/>
      <c r="Z115" s="57"/>
      <c r="AA115" s="57"/>
      <c r="AB115" s="56"/>
      <c r="AC115" s="60"/>
      <c r="AD115" s="56"/>
      <c r="AE115" s="60"/>
      <c r="AF115" s="56"/>
      <c r="AG115" s="56"/>
      <c r="AH115" s="56"/>
      <c r="AI115" s="56"/>
      <c r="AJ115" s="56"/>
      <c r="AK115" s="56"/>
      <c r="AL115" s="56"/>
      <c r="AM115" s="60"/>
      <c r="AN115" s="56"/>
      <c r="AO115" s="57"/>
      <c r="AP115" s="60"/>
      <c r="AQ115" s="57"/>
      <c r="AR115" s="60"/>
      <c r="AS115" s="57"/>
      <c r="AT115" s="57"/>
      <c r="AU115" s="57"/>
      <c r="AV115" s="57"/>
      <c r="AW115" s="57"/>
      <c r="AX115" s="57"/>
      <c r="AY115" s="57"/>
      <c r="AZ115" s="60"/>
      <c r="BA115" s="57"/>
      <c r="BB115" s="60"/>
      <c r="BC115" s="56"/>
      <c r="BD115" s="60"/>
      <c r="BE115" s="56"/>
      <c r="BF115" s="56"/>
      <c r="BG115" s="56"/>
      <c r="BH115" s="56"/>
      <c r="BI115" s="56"/>
      <c r="BJ115" s="56"/>
      <c r="BK115" s="56"/>
      <c r="BL115" s="60"/>
      <c r="BM115" s="56"/>
      <c r="BN115" s="60"/>
      <c r="BO115" s="57"/>
      <c r="BP115" s="60"/>
      <c r="BQ115" s="57"/>
      <c r="BR115" s="60"/>
      <c r="BS115" s="57"/>
      <c r="BT115" s="57"/>
      <c r="BU115" s="57"/>
      <c r="BV115" s="57"/>
      <c r="BW115" s="57"/>
      <c r="BX115" s="57"/>
      <c r="BY115" s="57"/>
      <c r="BZ115" s="60"/>
      <c r="CA115" s="57"/>
    </row>
    <row r="116" spans="1:79" x14ac:dyDescent="0.15">
      <c r="A116" s="55">
        <v>114</v>
      </c>
      <c r="B116" s="56"/>
      <c r="C116" s="56"/>
      <c r="D116" s="56"/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7"/>
      <c r="P116" s="57"/>
      <c r="Q116" s="57"/>
      <c r="R116" s="57"/>
      <c r="S116" s="57"/>
      <c r="T116" s="57"/>
      <c r="U116" s="57"/>
      <c r="V116" s="57"/>
      <c r="W116" s="57"/>
      <c r="X116" s="57"/>
      <c r="Y116" s="57"/>
      <c r="Z116" s="57"/>
      <c r="AA116" s="57"/>
      <c r="AB116" s="56"/>
      <c r="AC116" s="60"/>
      <c r="AD116" s="56"/>
      <c r="AE116" s="60"/>
      <c r="AF116" s="56"/>
      <c r="AG116" s="56"/>
      <c r="AH116" s="56"/>
      <c r="AI116" s="56"/>
      <c r="AJ116" s="56"/>
      <c r="AK116" s="56"/>
      <c r="AL116" s="56"/>
      <c r="AM116" s="60"/>
      <c r="AN116" s="56"/>
      <c r="AO116" s="57"/>
      <c r="AP116" s="60"/>
      <c r="AQ116" s="57"/>
      <c r="AR116" s="60"/>
      <c r="AS116" s="57"/>
      <c r="AT116" s="57"/>
      <c r="AU116" s="57"/>
      <c r="AV116" s="57"/>
      <c r="AW116" s="57"/>
      <c r="AX116" s="57"/>
      <c r="AY116" s="57"/>
      <c r="AZ116" s="60"/>
      <c r="BA116" s="57"/>
      <c r="BB116" s="60"/>
      <c r="BC116" s="56"/>
      <c r="BD116" s="60"/>
      <c r="BE116" s="56"/>
      <c r="BF116" s="56"/>
      <c r="BG116" s="56"/>
      <c r="BH116" s="56"/>
      <c r="BI116" s="56"/>
      <c r="BJ116" s="56"/>
      <c r="BK116" s="56"/>
      <c r="BL116" s="60"/>
      <c r="BM116" s="56"/>
      <c r="BN116" s="60"/>
      <c r="BO116" s="57"/>
      <c r="BP116" s="60"/>
      <c r="BQ116" s="57"/>
      <c r="BR116" s="60"/>
      <c r="BS116" s="57"/>
      <c r="BT116" s="57"/>
      <c r="BU116" s="57"/>
      <c r="BV116" s="57"/>
      <c r="BW116" s="57"/>
      <c r="BX116" s="57"/>
      <c r="BY116" s="57"/>
      <c r="BZ116" s="60"/>
      <c r="CA116" s="57"/>
    </row>
    <row r="117" spans="1:79" x14ac:dyDescent="0.15">
      <c r="A117" s="55">
        <v>115</v>
      </c>
      <c r="B117" s="56"/>
      <c r="C117" s="56"/>
      <c r="D117" s="56"/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7"/>
      <c r="P117" s="57"/>
      <c r="Q117" s="57"/>
      <c r="R117" s="57"/>
      <c r="S117" s="57"/>
      <c r="T117" s="57"/>
      <c r="U117" s="57"/>
      <c r="V117" s="57"/>
      <c r="W117" s="57"/>
      <c r="X117" s="57"/>
      <c r="Y117" s="57"/>
      <c r="Z117" s="57"/>
      <c r="AA117" s="57"/>
      <c r="AB117" s="56"/>
      <c r="AC117" s="60"/>
      <c r="AD117" s="56"/>
      <c r="AE117" s="60"/>
      <c r="AF117" s="56"/>
      <c r="AG117" s="56"/>
      <c r="AH117" s="56"/>
      <c r="AI117" s="56"/>
      <c r="AJ117" s="56"/>
      <c r="AK117" s="56"/>
      <c r="AL117" s="56"/>
      <c r="AM117" s="60"/>
      <c r="AN117" s="56"/>
      <c r="AO117" s="57"/>
      <c r="AP117" s="60"/>
      <c r="AQ117" s="57"/>
      <c r="AR117" s="60"/>
      <c r="AS117" s="57"/>
      <c r="AT117" s="57"/>
      <c r="AU117" s="57"/>
      <c r="AV117" s="57"/>
      <c r="AW117" s="57"/>
      <c r="AX117" s="57"/>
      <c r="AY117" s="57"/>
      <c r="AZ117" s="60"/>
      <c r="BA117" s="57"/>
      <c r="BB117" s="60"/>
      <c r="BC117" s="56"/>
      <c r="BD117" s="60"/>
      <c r="BE117" s="56"/>
      <c r="BF117" s="56"/>
      <c r="BG117" s="56"/>
      <c r="BH117" s="56"/>
      <c r="BI117" s="56"/>
      <c r="BJ117" s="56"/>
      <c r="BK117" s="56"/>
      <c r="BL117" s="60"/>
      <c r="BM117" s="56"/>
      <c r="BN117" s="60"/>
      <c r="BO117" s="57"/>
      <c r="BP117" s="60"/>
      <c r="BQ117" s="57"/>
      <c r="BR117" s="60"/>
      <c r="BS117" s="57"/>
      <c r="BT117" s="57"/>
      <c r="BU117" s="57"/>
      <c r="BV117" s="57"/>
      <c r="BW117" s="57"/>
      <c r="BX117" s="57"/>
      <c r="BY117" s="57"/>
      <c r="BZ117" s="60"/>
      <c r="CA117" s="57"/>
    </row>
    <row r="118" spans="1:79" x14ac:dyDescent="0.15">
      <c r="A118" s="55">
        <v>116</v>
      </c>
      <c r="B118" s="56"/>
      <c r="C118" s="56"/>
      <c r="D118" s="56"/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6"/>
      <c r="AC118" s="60"/>
      <c r="AD118" s="56"/>
      <c r="AE118" s="60"/>
      <c r="AF118" s="56"/>
      <c r="AG118" s="56"/>
      <c r="AH118" s="56"/>
      <c r="AI118" s="56"/>
      <c r="AJ118" s="56"/>
      <c r="AK118" s="56"/>
      <c r="AL118" s="56"/>
      <c r="AM118" s="60"/>
      <c r="AN118" s="56"/>
      <c r="AO118" s="57"/>
      <c r="AP118" s="60"/>
      <c r="AQ118" s="57"/>
      <c r="AR118" s="60"/>
      <c r="AS118" s="57"/>
      <c r="AT118" s="57"/>
      <c r="AU118" s="57"/>
      <c r="AV118" s="57"/>
      <c r="AW118" s="57"/>
      <c r="AX118" s="57"/>
      <c r="AY118" s="57"/>
      <c r="AZ118" s="60"/>
      <c r="BA118" s="57"/>
      <c r="BB118" s="60"/>
      <c r="BC118" s="56"/>
      <c r="BD118" s="60"/>
      <c r="BE118" s="56"/>
      <c r="BF118" s="56"/>
      <c r="BG118" s="56"/>
      <c r="BH118" s="56"/>
      <c r="BI118" s="56"/>
      <c r="BJ118" s="56"/>
      <c r="BK118" s="56"/>
      <c r="BL118" s="60"/>
      <c r="BM118" s="56"/>
      <c r="BN118" s="60"/>
      <c r="BO118" s="57"/>
      <c r="BP118" s="60"/>
      <c r="BQ118" s="57"/>
      <c r="BR118" s="60"/>
      <c r="BS118" s="57"/>
      <c r="BT118" s="57"/>
      <c r="BU118" s="57"/>
      <c r="BV118" s="57"/>
      <c r="BW118" s="57"/>
      <c r="BX118" s="57"/>
      <c r="BY118" s="57"/>
      <c r="BZ118" s="60"/>
      <c r="CA118" s="57"/>
    </row>
    <row r="119" spans="1:79" x14ac:dyDescent="0.15">
      <c r="A119" s="55">
        <v>117</v>
      </c>
      <c r="B119" s="56"/>
      <c r="C119" s="56"/>
      <c r="D119" s="56"/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7"/>
      <c r="P119" s="57"/>
      <c r="Q119" s="57"/>
      <c r="R119" s="57"/>
      <c r="S119" s="57"/>
      <c r="T119" s="57"/>
      <c r="U119" s="57"/>
      <c r="V119" s="57"/>
      <c r="W119" s="57"/>
      <c r="X119" s="57"/>
      <c r="Y119" s="57"/>
      <c r="Z119" s="57"/>
      <c r="AA119" s="57"/>
      <c r="AB119" s="56"/>
      <c r="AC119" s="60"/>
      <c r="AD119" s="56"/>
      <c r="AE119" s="60"/>
      <c r="AF119" s="56"/>
      <c r="AG119" s="56"/>
      <c r="AH119" s="56"/>
      <c r="AI119" s="56"/>
      <c r="AJ119" s="56"/>
      <c r="AK119" s="56"/>
      <c r="AL119" s="56"/>
      <c r="AM119" s="60"/>
      <c r="AN119" s="56"/>
      <c r="AO119" s="57"/>
      <c r="AP119" s="60"/>
      <c r="AQ119" s="57"/>
      <c r="AR119" s="60"/>
      <c r="AS119" s="57"/>
      <c r="AT119" s="57"/>
      <c r="AU119" s="57"/>
      <c r="AV119" s="57"/>
      <c r="AW119" s="57"/>
      <c r="AX119" s="57"/>
      <c r="AY119" s="57"/>
      <c r="AZ119" s="60"/>
      <c r="BA119" s="57"/>
      <c r="BB119" s="60"/>
      <c r="BC119" s="56"/>
      <c r="BD119" s="60"/>
      <c r="BE119" s="56"/>
      <c r="BF119" s="56"/>
      <c r="BG119" s="56"/>
      <c r="BH119" s="56"/>
      <c r="BI119" s="56"/>
      <c r="BJ119" s="56"/>
      <c r="BK119" s="56"/>
      <c r="BL119" s="60"/>
      <c r="BM119" s="56"/>
      <c r="BN119" s="60"/>
      <c r="BO119" s="57"/>
      <c r="BP119" s="60"/>
      <c r="BQ119" s="57"/>
      <c r="BR119" s="60"/>
      <c r="BS119" s="57"/>
      <c r="BT119" s="57"/>
      <c r="BU119" s="57"/>
      <c r="BV119" s="57"/>
      <c r="BW119" s="57"/>
      <c r="BX119" s="57"/>
      <c r="BY119" s="57"/>
      <c r="BZ119" s="60"/>
      <c r="CA119" s="57"/>
    </row>
    <row r="120" spans="1:79" x14ac:dyDescent="0.15">
      <c r="A120" s="55">
        <v>118</v>
      </c>
      <c r="B120" s="56"/>
      <c r="C120" s="56"/>
      <c r="D120" s="56"/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7"/>
      <c r="P120" s="57"/>
      <c r="Q120" s="57"/>
      <c r="R120" s="57"/>
      <c r="S120" s="57"/>
      <c r="T120" s="57"/>
      <c r="U120" s="57"/>
      <c r="V120" s="57"/>
      <c r="W120" s="57"/>
      <c r="X120" s="57"/>
      <c r="Y120" s="57"/>
      <c r="Z120" s="57"/>
      <c r="AA120" s="57"/>
      <c r="AB120" s="56"/>
      <c r="AC120" s="60"/>
      <c r="AD120" s="56"/>
      <c r="AE120" s="60"/>
      <c r="AF120" s="56"/>
      <c r="AG120" s="56"/>
      <c r="AH120" s="56"/>
      <c r="AI120" s="56"/>
      <c r="AJ120" s="56"/>
      <c r="AK120" s="56"/>
      <c r="AL120" s="56"/>
      <c r="AM120" s="60"/>
      <c r="AN120" s="56"/>
      <c r="AO120" s="57"/>
      <c r="AP120" s="60"/>
      <c r="AQ120" s="57"/>
      <c r="AR120" s="60"/>
      <c r="AS120" s="57"/>
      <c r="AT120" s="57"/>
      <c r="AU120" s="57"/>
      <c r="AV120" s="57"/>
      <c r="AW120" s="57"/>
      <c r="AX120" s="57"/>
      <c r="AY120" s="57"/>
      <c r="AZ120" s="60"/>
      <c r="BA120" s="57"/>
      <c r="BB120" s="60"/>
      <c r="BC120" s="56"/>
      <c r="BD120" s="60"/>
      <c r="BE120" s="56"/>
      <c r="BF120" s="56"/>
      <c r="BG120" s="56"/>
      <c r="BH120" s="56"/>
      <c r="BI120" s="56"/>
      <c r="BJ120" s="56"/>
      <c r="BK120" s="56"/>
      <c r="BL120" s="60"/>
      <c r="BM120" s="56"/>
      <c r="BN120" s="60"/>
      <c r="BO120" s="57"/>
      <c r="BP120" s="60"/>
      <c r="BQ120" s="57"/>
      <c r="BR120" s="60"/>
      <c r="BS120" s="57"/>
      <c r="BT120" s="57"/>
      <c r="BU120" s="57"/>
      <c r="BV120" s="57"/>
      <c r="BW120" s="57"/>
      <c r="BX120" s="57"/>
      <c r="BY120" s="57"/>
      <c r="BZ120" s="60"/>
      <c r="CA120" s="57"/>
    </row>
    <row r="121" spans="1:79" x14ac:dyDescent="0.15">
      <c r="A121" s="55">
        <v>119</v>
      </c>
      <c r="B121" s="56"/>
      <c r="C121" s="56"/>
      <c r="D121" s="56"/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7"/>
      <c r="P121" s="57"/>
      <c r="Q121" s="57"/>
      <c r="R121" s="57"/>
      <c r="S121" s="57"/>
      <c r="T121" s="57"/>
      <c r="U121" s="57"/>
      <c r="V121" s="57"/>
      <c r="W121" s="57"/>
      <c r="X121" s="57"/>
      <c r="Y121" s="57"/>
      <c r="Z121" s="57"/>
      <c r="AA121" s="57"/>
      <c r="AB121" s="56"/>
      <c r="AC121" s="60"/>
      <c r="AD121" s="56"/>
      <c r="AE121" s="60"/>
      <c r="AF121" s="56"/>
      <c r="AG121" s="56"/>
      <c r="AH121" s="56"/>
      <c r="AI121" s="56"/>
      <c r="AJ121" s="56"/>
      <c r="AK121" s="56"/>
      <c r="AL121" s="56"/>
      <c r="AM121" s="60"/>
      <c r="AN121" s="56"/>
      <c r="AO121" s="57"/>
      <c r="AP121" s="60"/>
      <c r="AQ121" s="57"/>
      <c r="AR121" s="60"/>
      <c r="AS121" s="57"/>
      <c r="AT121" s="57"/>
      <c r="AU121" s="57"/>
      <c r="AV121" s="57"/>
      <c r="AW121" s="57"/>
      <c r="AX121" s="57"/>
      <c r="AY121" s="57"/>
      <c r="AZ121" s="60"/>
      <c r="BA121" s="57"/>
      <c r="BB121" s="60"/>
      <c r="BC121" s="56"/>
      <c r="BD121" s="60"/>
      <c r="BE121" s="56"/>
      <c r="BF121" s="56"/>
      <c r="BG121" s="56"/>
      <c r="BH121" s="56"/>
      <c r="BI121" s="56"/>
      <c r="BJ121" s="56"/>
      <c r="BK121" s="56"/>
      <c r="BL121" s="60"/>
      <c r="BM121" s="56"/>
      <c r="BN121" s="60"/>
      <c r="BO121" s="57"/>
      <c r="BP121" s="60"/>
      <c r="BQ121" s="57"/>
      <c r="BR121" s="60"/>
      <c r="BS121" s="57"/>
      <c r="BT121" s="57"/>
      <c r="BU121" s="57"/>
      <c r="BV121" s="57"/>
      <c r="BW121" s="57"/>
      <c r="BX121" s="57"/>
      <c r="BY121" s="57"/>
      <c r="BZ121" s="60"/>
      <c r="CA121" s="57"/>
    </row>
    <row r="122" spans="1:79" x14ac:dyDescent="0.15">
      <c r="A122" s="55">
        <v>120</v>
      </c>
      <c r="B122" s="56"/>
      <c r="C122" s="56"/>
      <c r="D122" s="56"/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7"/>
      <c r="P122" s="57"/>
      <c r="Q122" s="57"/>
      <c r="R122" s="57"/>
      <c r="S122" s="57"/>
      <c r="T122" s="57"/>
      <c r="U122" s="57"/>
      <c r="V122" s="57"/>
      <c r="W122" s="57"/>
      <c r="X122" s="57"/>
      <c r="Y122" s="57"/>
      <c r="Z122" s="57"/>
      <c r="AA122" s="57"/>
      <c r="AB122" s="56"/>
      <c r="AC122" s="60"/>
      <c r="AD122" s="56"/>
      <c r="AE122" s="60"/>
      <c r="AF122" s="56"/>
      <c r="AG122" s="56"/>
      <c r="AH122" s="56"/>
      <c r="AI122" s="56"/>
      <c r="AJ122" s="56"/>
      <c r="AK122" s="56"/>
      <c r="AL122" s="56"/>
      <c r="AM122" s="60"/>
      <c r="AN122" s="56"/>
      <c r="AO122" s="57"/>
      <c r="AP122" s="60"/>
      <c r="AQ122" s="57"/>
      <c r="AR122" s="60"/>
      <c r="AS122" s="57"/>
      <c r="AT122" s="57"/>
      <c r="AU122" s="57"/>
      <c r="AV122" s="57"/>
      <c r="AW122" s="57"/>
      <c r="AX122" s="57"/>
      <c r="AY122" s="57"/>
      <c r="AZ122" s="60"/>
      <c r="BA122" s="57"/>
      <c r="BB122" s="60"/>
      <c r="BC122" s="56"/>
      <c r="BD122" s="60"/>
      <c r="BE122" s="56"/>
      <c r="BF122" s="56"/>
      <c r="BG122" s="56"/>
      <c r="BH122" s="56"/>
      <c r="BI122" s="56"/>
      <c r="BJ122" s="56"/>
      <c r="BK122" s="56"/>
      <c r="BL122" s="60"/>
      <c r="BM122" s="56"/>
      <c r="BN122" s="60"/>
      <c r="BO122" s="57"/>
      <c r="BP122" s="60"/>
      <c r="BQ122" s="57"/>
      <c r="BR122" s="60"/>
      <c r="BS122" s="57"/>
      <c r="BT122" s="57"/>
      <c r="BU122" s="57"/>
      <c r="BV122" s="57"/>
      <c r="BW122" s="57"/>
      <c r="BX122" s="57"/>
      <c r="BY122" s="57"/>
      <c r="BZ122" s="60"/>
      <c r="CA122" s="57"/>
    </row>
    <row r="123" spans="1:79" x14ac:dyDescent="0.15">
      <c r="A123" s="55">
        <v>121</v>
      </c>
      <c r="B123" s="56"/>
      <c r="C123" s="56"/>
      <c r="D123" s="56"/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7"/>
      <c r="P123" s="57"/>
      <c r="Q123" s="57"/>
      <c r="R123" s="57"/>
      <c r="S123" s="57"/>
      <c r="T123" s="57"/>
      <c r="U123" s="57"/>
      <c r="V123" s="57"/>
      <c r="W123" s="57"/>
      <c r="X123" s="57"/>
      <c r="Y123" s="57"/>
      <c r="Z123" s="57"/>
      <c r="AA123" s="57"/>
      <c r="AB123" s="56"/>
      <c r="AC123" s="60"/>
      <c r="AD123" s="56"/>
      <c r="AE123" s="60"/>
      <c r="AF123" s="56"/>
      <c r="AG123" s="56"/>
      <c r="AH123" s="56"/>
      <c r="AI123" s="56"/>
      <c r="AJ123" s="56"/>
      <c r="AK123" s="56"/>
      <c r="AL123" s="56"/>
      <c r="AM123" s="60"/>
      <c r="AN123" s="56"/>
      <c r="AO123" s="57"/>
      <c r="AP123" s="60"/>
      <c r="AQ123" s="57"/>
      <c r="AR123" s="60"/>
      <c r="AS123" s="57"/>
      <c r="AT123" s="57"/>
      <c r="AU123" s="57"/>
      <c r="AV123" s="57"/>
      <c r="AW123" s="57"/>
      <c r="AX123" s="57"/>
      <c r="AY123" s="57"/>
      <c r="AZ123" s="60"/>
      <c r="BA123" s="57"/>
      <c r="BB123" s="60"/>
      <c r="BC123" s="56"/>
      <c r="BD123" s="60"/>
      <c r="BE123" s="56"/>
      <c r="BF123" s="56"/>
      <c r="BG123" s="56"/>
      <c r="BH123" s="56"/>
      <c r="BI123" s="56"/>
      <c r="BJ123" s="56"/>
      <c r="BK123" s="56"/>
      <c r="BL123" s="60"/>
      <c r="BM123" s="56"/>
      <c r="BN123" s="60"/>
      <c r="BO123" s="57"/>
      <c r="BP123" s="60"/>
      <c r="BQ123" s="57"/>
      <c r="BR123" s="60"/>
      <c r="BS123" s="57"/>
      <c r="BT123" s="57"/>
      <c r="BU123" s="57"/>
      <c r="BV123" s="57"/>
      <c r="BW123" s="57"/>
      <c r="BX123" s="57"/>
      <c r="BY123" s="57"/>
      <c r="BZ123" s="60"/>
      <c r="CA123" s="57"/>
    </row>
    <row r="124" spans="1:79" x14ac:dyDescent="0.15">
      <c r="A124" s="55">
        <v>122</v>
      </c>
      <c r="B124" s="56"/>
      <c r="C124" s="56"/>
      <c r="D124" s="56"/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7"/>
      <c r="P124" s="57"/>
      <c r="Q124" s="57"/>
      <c r="R124" s="57"/>
      <c r="S124" s="57"/>
      <c r="T124" s="57"/>
      <c r="U124" s="57"/>
      <c r="V124" s="57"/>
      <c r="W124" s="57"/>
      <c r="X124" s="57"/>
      <c r="Y124" s="57"/>
      <c r="Z124" s="57"/>
      <c r="AA124" s="57"/>
      <c r="AB124" s="56"/>
      <c r="AC124" s="60"/>
      <c r="AD124" s="56"/>
      <c r="AE124" s="60"/>
      <c r="AF124" s="56"/>
      <c r="AG124" s="56"/>
      <c r="AH124" s="56"/>
      <c r="AI124" s="56"/>
      <c r="AJ124" s="56"/>
      <c r="AK124" s="56"/>
      <c r="AL124" s="56"/>
      <c r="AM124" s="60"/>
      <c r="AN124" s="56"/>
      <c r="AO124" s="57"/>
      <c r="AP124" s="60"/>
      <c r="AQ124" s="57"/>
      <c r="AR124" s="60"/>
      <c r="AS124" s="57"/>
      <c r="AT124" s="57"/>
      <c r="AU124" s="57"/>
      <c r="AV124" s="57"/>
      <c r="AW124" s="57"/>
      <c r="AX124" s="57"/>
      <c r="AY124" s="57"/>
      <c r="AZ124" s="60"/>
      <c r="BA124" s="57"/>
      <c r="BB124" s="60"/>
      <c r="BC124" s="56"/>
      <c r="BD124" s="60"/>
      <c r="BE124" s="56"/>
      <c r="BF124" s="56"/>
      <c r="BG124" s="56"/>
      <c r="BH124" s="56"/>
      <c r="BI124" s="56"/>
      <c r="BJ124" s="56"/>
      <c r="BK124" s="56"/>
      <c r="BL124" s="60"/>
      <c r="BM124" s="56"/>
      <c r="BN124" s="60"/>
      <c r="BO124" s="57"/>
      <c r="BP124" s="60"/>
      <c r="BQ124" s="57"/>
      <c r="BR124" s="60"/>
      <c r="BS124" s="57"/>
      <c r="BT124" s="57"/>
      <c r="BU124" s="57"/>
      <c r="BV124" s="57"/>
      <c r="BW124" s="57"/>
      <c r="BX124" s="57"/>
      <c r="BY124" s="57"/>
      <c r="BZ124" s="60"/>
      <c r="CA124" s="57"/>
    </row>
    <row r="125" spans="1:79" x14ac:dyDescent="0.15">
      <c r="A125" s="55">
        <v>123</v>
      </c>
      <c r="B125" s="56"/>
      <c r="C125" s="56"/>
      <c r="D125" s="56"/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7"/>
      <c r="P125" s="57"/>
      <c r="Q125" s="57"/>
      <c r="R125" s="57"/>
      <c r="S125" s="57"/>
      <c r="T125" s="57"/>
      <c r="U125" s="57"/>
      <c r="V125" s="57"/>
      <c r="W125" s="57"/>
      <c r="X125" s="57"/>
      <c r="Y125" s="57"/>
      <c r="Z125" s="57"/>
      <c r="AA125" s="57"/>
      <c r="AB125" s="56"/>
      <c r="AC125" s="60"/>
      <c r="AD125" s="56"/>
      <c r="AE125" s="60"/>
      <c r="AF125" s="56"/>
      <c r="AG125" s="56"/>
      <c r="AH125" s="56"/>
      <c r="AI125" s="56"/>
      <c r="AJ125" s="56"/>
      <c r="AK125" s="56"/>
      <c r="AL125" s="56"/>
      <c r="AM125" s="60"/>
      <c r="AN125" s="56"/>
      <c r="AO125" s="57"/>
      <c r="AP125" s="60"/>
      <c r="AQ125" s="57"/>
      <c r="AR125" s="60"/>
      <c r="AS125" s="57"/>
      <c r="AT125" s="57"/>
      <c r="AU125" s="57"/>
      <c r="AV125" s="57"/>
      <c r="AW125" s="57"/>
      <c r="AX125" s="57"/>
      <c r="AY125" s="57"/>
      <c r="AZ125" s="60"/>
      <c r="BA125" s="57"/>
      <c r="BB125" s="60"/>
      <c r="BC125" s="56"/>
      <c r="BD125" s="60"/>
      <c r="BE125" s="56"/>
      <c r="BF125" s="56"/>
      <c r="BG125" s="56"/>
      <c r="BH125" s="56"/>
      <c r="BI125" s="56"/>
      <c r="BJ125" s="56"/>
      <c r="BK125" s="56"/>
      <c r="BL125" s="60"/>
      <c r="BM125" s="56"/>
      <c r="BN125" s="60"/>
      <c r="BO125" s="57"/>
      <c r="BP125" s="60"/>
      <c r="BQ125" s="57"/>
      <c r="BR125" s="60"/>
      <c r="BS125" s="57"/>
      <c r="BT125" s="57"/>
      <c r="BU125" s="57"/>
      <c r="BV125" s="57"/>
      <c r="BW125" s="57"/>
      <c r="BX125" s="57"/>
      <c r="BY125" s="57"/>
      <c r="BZ125" s="60"/>
      <c r="CA125" s="57"/>
    </row>
    <row r="126" spans="1:79" x14ac:dyDescent="0.15">
      <c r="A126" s="55">
        <v>124</v>
      </c>
      <c r="B126" s="56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7"/>
      <c r="P126" s="57"/>
      <c r="Q126" s="57"/>
      <c r="R126" s="57"/>
      <c r="S126" s="57"/>
      <c r="T126" s="57"/>
      <c r="U126" s="57"/>
      <c r="V126" s="57"/>
      <c r="W126" s="57"/>
      <c r="X126" s="57"/>
      <c r="Y126" s="57"/>
      <c r="Z126" s="57"/>
      <c r="AA126" s="57"/>
      <c r="AB126" s="56"/>
      <c r="AC126" s="60"/>
      <c r="AD126" s="56"/>
      <c r="AE126" s="60"/>
      <c r="AF126" s="56"/>
      <c r="AG126" s="56"/>
      <c r="AH126" s="56"/>
      <c r="AI126" s="56"/>
      <c r="AJ126" s="56"/>
      <c r="AK126" s="56"/>
      <c r="AL126" s="56"/>
      <c r="AM126" s="60"/>
      <c r="AN126" s="56"/>
      <c r="AO126" s="57"/>
      <c r="AP126" s="60"/>
      <c r="AQ126" s="57"/>
      <c r="AR126" s="60"/>
      <c r="AS126" s="57"/>
      <c r="AT126" s="57"/>
      <c r="AU126" s="57"/>
      <c r="AV126" s="57"/>
      <c r="AW126" s="57"/>
      <c r="AX126" s="57"/>
      <c r="AY126" s="57"/>
      <c r="AZ126" s="60"/>
      <c r="BA126" s="57"/>
      <c r="BB126" s="60"/>
      <c r="BC126" s="56"/>
      <c r="BD126" s="60"/>
      <c r="BE126" s="56"/>
      <c r="BF126" s="56"/>
      <c r="BG126" s="56"/>
      <c r="BH126" s="56"/>
      <c r="BI126" s="56"/>
      <c r="BJ126" s="56"/>
      <c r="BK126" s="56"/>
      <c r="BL126" s="60"/>
      <c r="BM126" s="56"/>
      <c r="BN126" s="60"/>
      <c r="BO126" s="57"/>
      <c r="BP126" s="60"/>
      <c r="BQ126" s="57"/>
      <c r="BR126" s="60"/>
      <c r="BS126" s="57"/>
      <c r="BT126" s="57"/>
      <c r="BU126" s="57"/>
      <c r="BV126" s="57"/>
      <c r="BW126" s="57"/>
      <c r="BX126" s="57"/>
      <c r="BY126" s="57"/>
      <c r="BZ126" s="60"/>
      <c r="CA126" s="57"/>
    </row>
    <row r="127" spans="1:79" x14ac:dyDescent="0.15">
      <c r="A127" s="55">
        <v>125</v>
      </c>
      <c r="B127" s="56"/>
      <c r="C127" s="56"/>
      <c r="D127" s="56"/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7"/>
      <c r="P127" s="57"/>
      <c r="Q127" s="57"/>
      <c r="R127" s="57"/>
      <c r="S127" s="57"/>
      <c r="T127" s="57"/>
      <c r="U127" s="57"/>
      <c r="V127" s="57"/>
      <c r="W127" s="57"/>
      <c r="X127" s="57"/>
      <c r="Y127" s="57"/>
      <c r="Z127" s="57"/>
      <c r="AA127" s="57"/>
      <c r="AB127" s="56"/>
      <c r="AC127" s="60"/>
      <c r="AD127" s="56"/>
      <c r="AE127" s="60"/>
      <c r="AF127" s="56"/>
      <c r="AG127" s="56"/>
      <c r="AH127" s="56"/>
      <c r="AI127" s="56"/>
      <c r="AJ127" s="56"/>
      <c r="AK127" s="56"/>
      <c r="AL127" s="56"/>
      <c r="AM127" s="60"/>
      <c r="AN127" s="56"/>
      <c r="AO127" s="57"/>
      <c r="AP127" s="60"/>
      <c r="AQ127" s="57"/>
      <c r="AR127" s="60"/>
      <c r="AS127" s="57"/>
      <c r="AT127" s="57"/>
      <c r="AU127" s="57"/>
      <c r="AV127" s="57"/>
      <c r="AW127" s="57"/>
      <c r="AX127" s="57"/>
      <c r="AY127" s="57"/>
      <c r="AZ127" s="60"/>
      <c r="BA127" s="57"/>
      <c r="BB127" s="60"/>
      <c r="BC127" s="56"/>
      <c r="BD127" s="60"/>
      <c r="BE127" s="56"/>
      <c r="BF127" s="56"/>
      <c r="BG127" s="56"/>
      <c r="BH127" s="56"/>
      <c r="BI127" s="56"/>
      <c r="BJ127" s="56"/>
      <c r="BK127" s="56"/>
      <c r="BL127" s="60"/>
      <c r="BM127" s="56"/>
      <c r="BN127" s="60"/>
      <c r="BO127" s="57"/>
      <c r="BP127" s="60"/>
      <c r="BQ127" s="57"/>
      <c r="BR127" s="60"/>
      <c r="BS127" s="57"/>
      <c r="BT127" s="57"/>
      <c r="BU127" s="57"/>
      <c r="BV127" s="57"/>
      <c r="BW127" s="57"/>
      <c r="BX127" s="57"/>
      <c r="BY127" s="57"/>
      <c r="BZ127" s="60"/>
      <c r="CA127" s="57"/>
    </row>
    <row r="128" spans="1:79" x14ac:dyDescent="0.15">
      <c r="A128" s="55">
        <v>126</v>
      </c>
      <c r="B128" s="56"/>
      <c r="C128" s="56"/>
      <c r="D128" s="56"/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7"/>
      <c r="P128" s="57"/>
      <c r="Q128" s="57"/>
      <c r="R128" s="57"/>
      <c r="S128" s="57"/>
      <c r="T128" s="57"/>
      <c r="U128" s="57"/>
      <c r="V128" s="57"/>
      <c r="W128" s="57"/>
      <c r="X128" s="57"/>
      <c r="Y128" s="57"/>
      <c r="Z128" s="57"/>
      <c r="AA128" s="57"/>
      <c r="AB128" s="56"/>
      <c r="AC128" s="60"/>
      <c r="AD128" s="56"/>
      <c r="AE128" s="60"/>
      <c r="AF128" s="56"/>
      <c r="AG128" s="56"/>
      <c r="AH128" s="56"/>
      <c r="AI128" s="56"/>
      <c r="AJ128" s="56"/>
      <c r="AK128" s="56"/>
      <c r="AL128" s="56"/>
      <c r="AM128" s="60"/>
      <c r="AN128" s="56"/>
      <c r="AO128" s="57"/>
      <c r="AP128" s="60"/>
      <c r="AQ128" s="57"/>
      <c r="AR128" s="60"/>
      <c r="AS128" s="57"/>
      <c r="AT128" s="57"/>
      <c r="AU128" s="57"/>
      <c r="AV128" s="57"/>
      <c r="AW128" s="57"/>
      <c r="AX128" s="57"/>
      <c r="AY128" s="57"/>
      <c r="AZ128" s="60"/>
      <c r="BA128" s="57"/>
      <c r="BB128" s="60"/>
      <c r="BC128" s="56"/>
      <c r="BD128" s="60"/>
      <c r="BE128" s="56"/>
      <c r="BF128" s="56"/>
      <c r="BG128" s="56"/>
      <c r="BH128" s="56"/>
      <c r="BI128" s="56"/>
      <c r="BJ128" s="56"/>
      <c r="BK128" s="56"/>
      <c r="BL128" s="60"/>
      <c r="BM128" s="56"/>
      <c r="BN128" s="60"/>
      <c r="BO128" s="57"/>
      <c r="BP128" s="60"/>
      <c r="BQ128" s="57"/>
      <c r="BR128" s="60"/>
      <c r="BS128" s="57"/>
      <c r="BT128" s="57"/>
      <c r="BU128" s="57"/>
      <c r="BV128" s="57"/>
      <c r="BW128" s="57"/>
      <c r="BX128" s="57"/>
      <c r="BY128" s="57"/>
      <c r="BZ128" s="60"/>
      <c r="CA128" s="57"/>
    </row>
    <row r="129" spans="1:79" x14ac:dyDescent="0.15">
      <c r="A129" s="55">
        <v>127</v>
      </c>
      <c r="B129" s="56"/>
      <c r="C129" s="56"/>
      <c r="D129" s="56"/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7"/>
      <c r="P129" s="57"/>
      <c r="Q129" s="57"/>
      <c r="R129" s="57"/>
      <c r="S129" s="57"/>
      <c r="T129" s="57"/>
      <c r="U129" s="57"/>
      <c r="V129" s="57"/>
      <c r="W129" s="57"/>
      <c r="X129" s="57"/>
      <c r="Y129" s="57"/>
      <c r="Z129" s="57"/>
      <c r="AA129" s="57"/>
      <c r="AB129" s="56"/>
      <c r="AC129" s="60"/>
      <c r="AD129" s="56"/>
      <c r="AE129" s="60"/>
      <c r="AF129" s="56"/>
      <c r="AG129" s="56"/>
      <c r="AH129" s="56"/>
      <c r="AI129" s="56"/>
      <c r="AJ129" s="56"/>
      <c r="AK129" s="56"/>
      <c r="AL129" s="56"/>
      <c r="AM129" s="60"/>
      <c r="AN129" s="56"/>
      <c r="AO129" s="57"/>
      <c r="AP129" s="60"/>
      <c r="AQ129" s="57"/>
      <c r="AR129" s="60"/>
      <c r="AS129" s="57"/>
      <c r="AT129" s="57"/>
      <c r="AU129" s="57"/>
      <c r="AV129" s="57"/>
      <c r="AW129" s="57"/>
      <c r="AX129" s="57"/>
      <c r="AY129" s="57"/>
      <c r="AZ129" s="60"/>
      <c r="BA129" s="57"/>
      <c r="BB129" s="60"/>
      <c r="BC129" s="56"/>
      <c r="BD129" s="60"/>
      <c r="BE129" s="56"/>
      <c r="BF129" s="56"/>
      <c r="BG129" s="56"/>
      <c r="BH129" s="56"/>
      <c r="BI129" s="56"/>
      <c r="BJ129" s="56"/>
      <c r="BK129" s="56"/>
      <c r="BL129" s="60"/>
      <c r="BM129" s="56"/>
      <c r="BN129" s="60"/>
      <c r="BO129" s="57"/>
      <c r="BP129" s="60"/>
      <c r="BQ129" s="57"/>
      <c r="BR129" s="60"/>
      <c r="BS129" s="57"/>
      <c r="BT129" s="57"/>
      <c r="BU129" s="57"/>
      <c r="BV129" s="57"/>
      <c r="BW129" s="57"/>
      <c r="BX129" s="57"/>
      <c r="BY129" s="57"/>
      <c r="BZ129" s="60"/>
      <c r="CA129" s="57"/>
    </row>
    <row r="130" spans="1:79" x14ac:dyDescent="0.15">
      <c r="A130" s="55">
        <v>128</v>
      </c>
      <c r="B130" s="56"/>
      <c r="C130" s="56"/>
      <c r="D130" s="56"/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7"/>
      <c r="P130" s="57"/>
      <c r="Q130" s="57"/>
      <c r="R130" s="57"/>
      <c r="S130" s="57"/>
      <c r="T130" s="57"/>
      <c r="U130" s="57"/>
      <c r="V130" s="57"/>
      <c r="W130" s="57"/>
      <c r="X130" s="57"/>
      <c r="Y130" s="57"/>
      <c r="Z130" s="57"/>
      <c r="AA130" s="57"/>
      <c r="AB130" s="56"/>
      <c r="AC130" s="60"/>
      <c r="AD130" s="56"/>
      <c r="AE130" s="60"/>
      <c r="AF130" s="56"/>
      <c r="AG130" s="56"/>
      <c r="AH130" s="56"/>
      <c r="AI130" s="56"/>
      <c r="AJ130" s="56"/>
      <c r="AK130" s="56"/>
      <c r="AL130" s="56"/>
      <c r="AM130" s="60"/>
      <c r="AN130" s="56"/>
      <c r="AO130" s="57"/>
      <c r="AP130" s="60"/>
      <c r="AQ130" s="57"/>
      <c r="AR130" s="60"/>
      <c r="AS130" s="57"/>
      <c r="AT130" s="57"/>
      <c r="AU130" s="57"/>
      <c r="AV130" s="57"/>
      <c r="AW130" s="57"/>
      <c r="AX130" s="57"/>
      <c r="AY130" s="57"/>
      <c r="AZ130" s="60"/>
      <c r="BA130" s="57"/>
      <c r="BB130" s="60"/>
      <c r="BC130" s="56"/>
      <c r="BD130" s="60"/>
      <c r="BE130" s="56"/>
      <c r="BF130" s="56"/>
      <c r="BG130" s="56"/>
      <c r="BH130" s="56"/>
      <c r="BI130" s="56"/>
      <c r="BJ130" s="56"/>
      <c r="BK130" s="56"/>
      <c r="BL130" s="60"/>
      <c r="BM130" s="56"/>
      <c r="BN130" s="60"/>
      <c r="BO130" s="57"/>
      <c r="BP130" s="60"/>
      <c r="BQ130" s="57"/>
      <c r="BR130" s="60"/>
      <c r="BS130" s="57"/>
      <c r="BT130" s="57"/>
      <c r="BU130" s="57"/>
      <c r="BV130" s="57"/>
      <c r="BW130" s="57"/>
      <c r="BX130" s="57"/>
      <c r="BY130" s="57"/>
      <c r="BZ130" s="60"/>
      <c r="CA130" s="57"/>
    </row>
    <row r="131" spans="1:79" x14ac:dyDescent="0.15">
      <c r="A131" s="55">
        <v>129</v>
      </c>
      <c r="B131" s="56"/>
      <c r="C131" s="56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7"/>
      <c r="P131" s="57"/>
      <c r="Q131" s="57"/>
      <c r="R131" s="57"/>
      <c r="S131" s="57"/>
      <c r="T131" s="57"/>
      <c r="U131" s="57"/>
      <c r="V131" s="57"/>
      <c r="W131" s="57"/>
      <c r="X131" s="57"/>
      <c r="Y131" s="57"/>
      <c r="Z131" s="57"/>
      <c r="AA131" s="57"/>
      <c r="AB131" s="56"/>
      <c r="AC131" s="60"/>
      <c r="AD131" s="56"/>
      <c r="AE131" s="60"/>
      <c r="AF131" s="56"/>
      <c r="AG131" s="56"/>
      <c r="AH131" s="56"/>
      <c r="AI131" s="56"/>
      <c r="AJ131" s="56"/>
      <c r="AK131" s="56"/>
      <c r="AL131" s="56"/>
      <c r="AM131" s="60"/>
      <c r="AN131" s="56"/>
      <c r="AO131" s="57"/>
      <c r="AP131" s="60"/>
      <c r="AQ131" s="57"/>
      <c r="AR131" s="60"/>
      <c r="AS131" s="57"/>
      <c r="AT131" s="57"/>
      <c r="AU131" s="57"/>
      <c r="AV131" s="57"/>
      <c r="AW131" s="57"/>
      <c r="AX131" s="57"/>
      <c r="AY131" s="57"/>
      <c r="AZ131" s="60"/>
      <c r="BA131" s="57"/>
      <c r="BB131" s="60"/>
      <c r="BC131" s="56"/>
      <c r="BD131" s="60"/>
      <c r="BE131" s="56"/>
      <c r="BF131" s="56"/>
      <c r="BG131" s="56"/>
      <c r="BH131" s="56"/>
      <c r="BI131" s="56"/>
      <c r="BJ131" s="56"/>
      <c r="BK131" s="56"/>
      <c r="BL131" s="60"/>
      <c r="BM131" s="56"/>
      <c r="BN131" s="60"/>
      <c r="BO131" s="57"/>
      <c r="BP131" s="60"/>
      <c r="BQ131" s="57"/>
      <c r="BR131" s="60"/>
      <c r="BS131" s="57"/>
      <c r="BT131" s="57"/>
      <c r="BU131" s="57"/>
      <c r="BV131" s="57"/>
      <c r="BW131" s="57"/>
      <c r="BX131" s="57"/>
      <c r="BY131" s="57"/>
      <c r="BZ131" s="60"/>
      <c r="CA131" s="57"/>
    </row>
    <row r="132" spans="1:79" x14ac:dyDescent="0.15">
      <c r="A132" s="55">
        <v>130</v>
      </c>
      <c r="B132" s="56"/>
      <c r="C132" s="56"/>
      <c r="D132" s="56"/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7"/>
      <c r="P132" s="57"/>
      <c r="Q132" s="57"/>
      <c r="R132" s="57"/>
      <c r="S132" s="57"/>
      <c r="T132" s="57"/>
      <c r="U132" s="57"/>
      <c r="V132" s="57"/>
      <c r="W132" s="57"/>
      <c r="X132" s="57"/>
      <c r="Y132" s="57"/>
      <c r="Z132" s="57"/>
      <c r="AA132" s="57"/>
      <c r="AB132" s="56"/>
      <c r="AC132" s="60"/>
      <c r="AD132" s="56"/>
      <c r="AE132" s="60"/>
      <c r="AF132" s="56"/>
      <c r="AG132" s="56"/>
      <c r="AH132" s="56"/>
      <c r="AI132" s="56"/>
      <c r="AJ132" s="56"/>
      <c r="AK132" s="56"/>
      <c r="AL132" s="56"/>
      <c r="AM132" s="60"/>
      <c r="AN132" s="56"/>
      <c r="AO132" s="57"/>
      <c r="AP132" s="60"/>
      <c r="AQ132" s="57"/>
      <c r="AR132" s="60"/>
      <c r="AS132" s="57"/>
      <c r="AT132" s="57"/>
      <c r="AU132" s="57"/>
      <c r="AV132" s="57"/>
      <c r="AW132" s="57"/>
      <c r="AX132" s="57"/>
      <c r="AY132" s="57"/>
      <c r="AZ132" s="60"/>
      <c r="BA132" s="57"/>
      <c r="BB132" s="60"/>
      <c r="BC132" s="56"/>
      <c r="BD132" s="60"/>
      <c r="BE132" s="56"/>
      <c r="BF132" s="56"/>
      <c r="BG132" s="56"/>
      <c r="BH132" s="56"/>
      <c r="BI132" s="56"/>
      <c r="BJ132" s="56"/>
      <c r="BK132" s="56"/>
      <c r="BL132" s="60"/>
      <c r="BM132" s="56"/>
      <c r="BN132" s="60"/>
      <c r="BO132" s="57"/>
      <c r="BP132" s="60"/>
      <c r="BQ132" s="57"/>
      <c r="BR132" s="60"/>
      <c r="BS132" s="57"/>
      <c r="BT132" s="57"/>
      <c r="BU132" s="57"/>
      <c r="BV132" s="57"/>
      <c r="BW132" s="57"/>
      <c r="BX132" s="57"/>
      <c r="BY132" s="57"/>
      <c r="BZ132" s="60"/>
      <c r="CA132" s="57"/>
    </row>
    <row r="133" spans="1:79" x14ac:dyDescent="0.15">
      <c r="A133" s="55">
        <v>131</v>
      </c>
      <c r="B133" s="56"/>
      <c r="C133" s="56"/>
      <c r="D133" s="56"/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7"/>
      <c r="P133" s="57"/>
      <c r="Q133" s="57"/>
      <c r="R133" s="57"/>
      <c r="S133" s="57"/>
      <c r="T133" s="57"/>
      <c r="U133" s="57"/>
      <c r="V133" s="57"/>
      <c r="W133" s="57"/>
      <c r="X133" s="57"/>
      <c r="Y133" s="57"/>
      <c r="Z133" s="57"/>
      <c r="AA133" s="57"/>
      <c r="AB133" s="56"/>
      <c r="AC133" s="60"/>
      <c r="AD133" s="56"/>
      <c r="AE133" s="60"/>
      <c r="AF133" s="56"/>
      <c r="AG133" s="56"/>
      <c r="AH133" s="56"/>
      <c r="AI133" s="56"/>
      <c r="AJ133" s="56"/>
      <c r="AK133" s="56"/>
      <c r="AL133" s="56"/>
      <c r="AM133" s="60"/>
      <c r="AN133" s="56"/>
      <c r="AO133" s="57"/>
      <c r="AP133" s="60"/>
      <c r="AQ133" s="57"/>
      <c r="AR133" s="60"/>
      <c r="AS133" s="57"/>
      <c r="AT133" s="57"/>
      <c r="AU133" s="57"/>
      <c r="AV133" s="57"/>
      <c r="AW133" s="57"/>
      <c r="AX133" s="57"/>
      <c r="AY133" s="57"/>
      <c r="AZ133" s="60"/>
      <c r="BA133" s="57"/>
      <c r="BB133" s="60"/>
      <c r="BC133" s="56"/>
      <c r="BD133" s="60"/>
      <c r="BE133" s="56"/>
      <c r="BF133" s="56"/>
      <c r="BG133" s="56"/>
      <c r="BH133" s="56"/>
      <c r="BI133" s="56"/>
      <c r="BJ133" s="56"/>
      <c r="BK133" s="56"/>
      <c r="BL133" s="60"/>
      <c r="BM133" s="56"/>
      <c r="BN133" s="60"/>
      <c r="BO133" s="57"/>
      <c r="BP133" s="60"/>
      <c r="BQ133" s="57"/>
      <c r="BR133" s="60"/>
      <c r="BS133" s="57"/>
      <c r="BT133" s="57"/>
      <c r="BU133" s="57"/>
      <c r="BV133" s="57"/>
      <c r="BW133" s="57"/>
      <c r="BX133" s="57"/>
      <c r="BY133" s="57"/>
      <c r="BZ133" s="60"/>
      <c r="CA133" s="57"/>
    </row>
    <row r="134" spans="1:79" x14ac:dyDescent="0.15">
      <c r="A134" s="55">
        <v>132</v>
      </c>
      <c r="B134" s="56"/>
      <c r="C134" s="56"/>
      <c r="D134" s="56"/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7"/>
      <c r="P134" s="57"/>
      <c r="Q134" s="57"/>
      <c r="R134" s="57"/>
      <c r="S134" s="57"/>
      <c r="T134" s="57"/>
      <c r="U134" s="57"/>
      <c r="V134" s="57"/>
      <c r="W134" s="57"/>
      <c r="X134" s="57"/>
      <c r="Y134" s="57"/>
      <c r="Z134" s="57"/>
      <c r="AA134" s="57"/>
      <c r="AB134" s="56"/>
      <c r="AC134" s="60"/>
      <c r="AD134" s="56"/>
      <c r="AE134" s="60"/>
      <c r="AF134" s="56"/>
      <c r="AG134" s="56"/>
      <c r="AH134" s="56"/>
      <c r="AI134" s="56"/>
      <c r="AJ134" s="56"/>
      <c r="AK134" s="56"/>
      <c r="AL134" s="56"/>
      <c r="AM134" s="60"/>
      <c r="AN134" s="56"/>
      <c r="AO134" s="57"/>
      <c r="AP134" s="60"/>
      <c r="AQ134" s="57"/>
      <c r="AR134" s="60"/>
      <c r="AS134" s="57"/>
      <c r="AT134" s="57"/>
      <c r="AU134" s="57"/>
      <c r="AV134" s="57"/>
      <c r="AW134" s="57"/>
      <c r="AX134" s="57"/>
      <c r="AY134" s="57"/>
      <c r="AZ134" s="60"/>
      <c r="BA134" s="57"/>
      <c r="BB134" s="60"/>
      <c r="BC134" s="56"/>
      <c r="BD134" s="60"/>
      <c r="BE134" s="56"/>
      <c r="BF134" s="56"/>
      <c r="BG134" s="56"/>
      <c r="BH134" s="56"/>
      <c r="BI134" s="56"/>
      <c r="BJ134" s="56"/>
      <c r="BK134" s="56"/>
      <c r="BL134" s="60"/>
      <c r="BM134" s="56"/>
      <c r="BN134" s="60"/>
      <c r="BO134" s="57"/>
      <c r="BP134" s="60"/>
      <c r="BQ134" s="57"/>
      <c r="BR134" s="60"/>
      <c r="BS134" s="57"/>
      <c r="BT134" s="57"/>
      <c r="BU134" s="57"/>
      <c r="BV134" s="57"/>
      <c r="BW134" s="57"/>
      <c r="BX134" s="57"/>
      <c r="BY134" s="57"/>
      <c r="BZ134" s="60"/>
      <c r="CA134" s="57"/>
    </row>
    <row r="135" spans="1:79" x14ac:dyDescent="0.15">
      <c r="A135" s="55">
        <v>133</v>
      </c>
      <c r="B135" s="56"/>
      <c r="C135" s="56"/>
      <c r="D135" s="56"/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7"/>
      <c r="P135" s="57"/>
      <c r="Q135" s="57"/>
      <c r="R135" s="57"/>
      <c r="S135" s="57"/>
      <c r="T135" s="57"/>
      <c r="U135" s="57"/>
      <c r="V135" s="57"/>
      <c r="W135" s="57"/>
      <c r="X135" s="57"/>
      <c r="Y135" s="57"/>
      <c r="Z135" s="57"/>
      <c r="AA135" s="57"/>
      <c r="AB135" s="56"/>
      <c r="AC135" s="60"/>
      <c r="AD135" s="56"/>
      <c r="AE135" s="60"/>
      <c r="AF135" s="56"/>
      <c r="AG135" s="56"/>
      <c r="AH135" s="56"/>
      <c r="AI135" s="56"/>
      <c r="AJ135" s="56"/>
      <c r="AK135" s="56"/>
      <c r="AL135" s="56"/>
      <c r="AM135" s="60"/>
      <c r="AN135" s="56"/>
      <c r="AO135" s="57"/>
      <c r="AP135" s="60"/>
      <c r="AQ135" s="57"/>
      <c r="AR135" s="60"/>
      <c r="AS135" s="57"/>
      <c r="AT135" s="57"/>
      <c r="AU135" s="57"/>
      <c r="AV135" s="57"/>
      <c r="AW135" s="57"/>
      <c r="AX135" s="57"/>
      <c r="AY135" s="57"/>
      <c r="AZ135" s="60"/>
      <c r="BA135" s="57"/>
      <c r="BB135" s="60"/>
      <c r="BC135" s="56"/>
      <c r="BD135" s="60"/>
      <c r="BE135" s="56"/>
      <c r="BF135" s="56"/>
      <c r="BG135" s="56"/>
      <c r="BH135" s="56"/>
      <c r="BI135" s="56"/>
      <c r="BJ135" s="56"/>
      <c r="BK135" s="56"/>
      <c r="BL135" s="60"/>
      <c r="BM135" s="56"/>
      <c r="BN135" s="60"/>
      <c r="BO135" s="57"/>
      <c r="BP135" s="60"/>
      <c r="BQ135" s="57"/>
      <c r="BR135" s="60"/>
      <c r="BS135" s="57"/>
      <c r="BT135" s="57"/>
      <c r="BU135" s="57"/>
      <c r="BV135" s="57"/>
      <c r="BW135" s="57"/>
      <c r="BX135" s="57"/>
      <c r="BY135" s="57"/>
      <c r="BZ135" s="60"/>
      <c r="CA135" s="57"/>
    </row>
    <row r="136" spans="1:79" x14ac:dyDescent="0.15">
      <c r="A136" s="55">
        <v>134</v>
      </c>
      <c r="B136" s="56"/>
      <c r="C136" s="56"/>
      <c r="D136" s="56"/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7"/>
      <c r="P136" s="57"/>
      <c r="Q136" s="57"/>
      <c r="R136" s="57"/>
      <c r="S136" s="57"/>
      <c r="T136" s="57"/>
      <c r="U136" s="57"/>
      <c r="V136" s="57"/>
      <c r="W136" s="57"/>
      <c r="X136" s="57"/>
      <c r="Y136" s="57"/>
      <c r="Z136" s="57"/>
      <c r="AA136" s="57"/>
      <c r="AB136" s="56"/>
      <c r="AC136" s="60"/>
      <c r="AD136" s="56"/>
      <c r="AE136" s="60"/>
      <c r="AF136" s="56"/>
      <c r="AG136" s="56"/>
      <c r="AH136" s="56"/>
      <c r="AI136" s="56"/>
      <c r="AJ136" s="56"/>
      <c r="AK136" s="56"/>
      <c r="AL136" s="56"/>
      <c r="AM136" s="60"/>
      <c r="AN136" s="56"/>
      <c r="AO136" s="57"/>
      <c r="AP136" s="60"/>
      <c r="AQ136" s="57"/>
      <c r="AR136" s="60"/>
      <c r="AS136" s="57"/>
      <c r="AT136" s="57"/>
      <c r="AU136" s="57"/>
      <c r="AV136" s="57"/>
      <c r="AW136" s="57"/>
      <c r="AX136" s="57"/>
      <c r="AY136" s="57"/>
      <c r="AZ136" s="60"/>
      <c r="BA136" s="57"/>
      <c r="BB136" s="60"/>
      <c r="BC136" s="56"/>
      <c r="BD136" s="60"/>
      <c r="BE136" s="56"/>
      <c r="BF136" s="56"/>
      <c r="BG136" s="56"/>
      <c r="BH136" s="56"/>
      <c r="BI136" s="56"/>
      <c r="BJ136" s="56"/>
      <c r="BK136" s="56"/>
      <c r="BL136" s="60"/>
      <c r="BM136" s="56"/>
      <c r="BN136" s="60"/>
      <c r="BO136" s="57"/>
      <c r="BP136" s="60"/>
      <c r="BQ136" s="57"/>
      <c r="BR136" s="60"/>
      <c r="BS136" s="57"/>
      <c r="BT136" s="57"/>
      <c r="BU136" s="57"/>
      <c r="BV136" s="57"/>
      <c r="BW136" s="57"/>
      <c r="BX136" s="57"/>
      <c r="BY136" s="57"/>
      <c r="BZ136" s="60"/>
      <c r="CA136" s="57"/>
    </row>
    <row r="137" spans="1:79" x14ac:dyDescent="0.15">
      <c r="A137" s="55">
        <v>135</v>
      </c>
      <c r="B137" s="56"/>
      <c r="C137" s="56"/>
      <c r="D137" s="56"/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7"/>
      <c r="P137" s="57"/>
      <c r="Q137" s="57"/>
      <c r="R137" s="57"/>
      <c r="S137" s="57"/>
      <c r="T137" s="57"/>
      <c r="U137" s="57"/>
      <c r="V137" s="57"/>
      <c r="W137" s="57"/>
      <c r="X137" s="57"/>
      <c r="Y137" s="57"/>
      <c r="Z137" s="57"/>
      <c r="AA137" s="57"/>
      <c r="AB137" s="56"/>
      <c r="AC137" s="60"/>
      <c r="AD137" s="56"/>
      <c r="AE137" s="60"/>
      <c r="AF137" s="56"/>
      <c r="AG137" s="56"/>
      <c r="AH137" s="56"/>
      <c r="AI137" s="56"/>
      <c r="AJ137" s="56"/>
      <c r="AK137" s="56"/>
      <c r="AL137" s="56"/>
      <c r="AM137" s="60"/>
      <c r="AN137" s="56"/>
      <c r="AO137" s="57"/>
      <c r="AP137" s="60"/>
      <c r="AQ137" s="57"/>
      <c r="AR137" s="60"/>
      <c r="AS137" s="57"/>
      <c r="AT137" s="57"/>
      <c r="AU137" s="57"/>
      <c r="AV137" s="57"/>
      <c r="AW137" s="57"/>
      <c r="AX137" s="57"/>
      <c r="AY137" s="57"/>
      <c r="AZ137" s="60"/>
      <c r="BA137" s="57"/>
      <c r="BB137" s="60"/>
      <c r="BC137" s="56"/>
      <c r="BD137" s="60"/>
      <c r="BE137" s="56"/>
      <c r="BF137" s="56"/>
      <c r="BG137" s="56"/>
      <c r="BH137" s="56"/>
      <c r="BI137" s="56"/>
      <c r="BJ137" s="56"/>
      <c r="BK137" s="56"/>
      <c r="BL137" s="60"/>
      <c r="BM137" s="56"/>
      <c r="BN137" s="60"/>
      <c r="BO137" s="57"/>
      <c r="BP137" s="60"/>
      <c r="BQ137" s="57"/>
      <c r="BR137" s="60"/>
      <c r="BS137" s="57"/>
      <c r="BT137" s="57"/>
      <c r="BU137" s="57"/>
      <c r="BV137" s="57"/>
      <c r="BW137" s="57"/>
      <c r="BX137" s="57"/>
      <c r="BY137" s="57"/>
      <c r="BZ137" s="60"/>
      <c r="CA137" s="57"/>
    </row>
    <row r="138" spans="1:79" x14ac:dyDescent="0.15">
      <c r="A138" s="55">
        <v>136</v>
      </c>
      <c r="B138" s="56"/>
      <c r="C138" s="56"/>
      <c r="D138" s="56"/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7"/>
      <c r="P138" s="57"/>
      <c r="Q138" s="57"/>
      <c r="R138" s="57"/>
      <c r="S138" s="57"/>
      <c r="T138" s="57"/>
      <c r="U138" s="57"/>
      <c r="V138" s="57"/>
      <c r="W138" s="57"/>
      <c r="X138" s="57"/>
      <c r="Y138" s="57"/>
      <c r="Z138" s="57"/>
      <c r="AA138" s="57"/>
      <c r="AB138" s="56"/>
      <c r="AC138" s="60"/>
      <c r="AD138" s="56"/>
      <c r="AE138" s="60"/>
      <c r="AF138" s="56"/>
      <c r="AG138" s="56"/>
      <c r="AH138" s="56"/>
      <c r="AI138" s="56"/>
      <c r="AJ138" s="56"/>
      <c r="AK138" s="56"/>
      <c r="AL138" s="56"/>
      <c r="AM138" s="60"/>
      <c r="AN138" s="56"/>
      <c r="AO138" s="57"/>
      <c r="AP138" s="60"/>
      <c r="AQ138" s="57"/>
      <c r="AR138" s="60"/>
      <c r="AS138" s="57"/>
      <c r="AT138" s="57"/>
      <c r="AU138" s="57"/>
      <c r="AV138" s="57"/>
      <c r="AW138" s="57"/>
      <c r="AX138" s="57"/>
      <c r="AY138" s="57"/>
      <c r="AZ138" s="60"/>
      <c r="BA138" s="57"/>
      <c r="BB138" s="60"/>
      <c r="BC138" s="56"/>
      <c r="BD138" s="60"/>
      <c r="BE138" s="56"/>
      <c r="BF138" s="56"/>
      <c r="BG138" s="56"/>
      <c r="BH138" s="56"/>
      <c r="BI138" s="56"/>
      <c r="BJ138" s="56"/>
      <c r="BK138" s="56"/>
      <c r="BL138" s="60"/>
      <c r="BM138" s="56"/>
      <c r="BN138" s="60"/>
      <c r="BO138" s="57"/>
      <c r="BP138" s="60"/>
      <c r="BQ138" s="57"/>
      <c r="BR138" s="60"/>
      <c r="BS138" s="57"/>
      <c r="BT138" s="57"/>
      <c r="BU138" s="57"/>
      <c r="BV138" s="57"/>
      <c r="BW138" s="57"/>
      <c r="BX138" s="57"/>
      <c r="BY138" s="57"/>
      <c r="BZ138" s="60"/>
      <c r="CA138" s="57"/>
    </row>
    <row r="139" spans="1:79" x14ac:dyDescent="0.15">
      <c r="A139" s="55">
        <v>137</v>
      </c>
      <c r="B139" s="56"/>
      <c r="C139" s="56"/>
      <c r="D139" s="56"/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7"/>
      <c r="P139" s="57"/>
      <c r="Q139" s="57"/>
      <c r="R139" s="57"/>
      <c r="S139" s="57"/>
      <c r="T139" s="57"/>
      <c r="U139" s="57"/>
      <c r="V139" s="57"/>
      <c r="W139" s="57"/>
      <c r="X139" s="57"/>
      <c r="Y139" s="57"/>
      <c r="Z139" s="57"/>
      <c r="AA139" s="57"/>
      <c r="AB139" s="56"/>
      <c r="AC139" s="60"/>
      <c r="AD139" s="56"/>
      <c r="AE139" s="60"/>
      <c r="AF139" s="56"/>
      <c r="AG139" s="56"/>
      <c r="AH139" s="56"/>
      <c r="AI139" s="56"/>
      <c r="AJ139" s="56"/>
      <c r="AK139" s="56"/>
      <c r="AL139" s="56"/>
      <c r="AM139" s="60"/>
      <c r="AN139" s="56"/>
      <c r="AO139" s="57"/>
      <c r="AP139" s="60"/>
      <c r="AQ139" s="57"/>
      <c r="AR139" s="60"/>
      <c r="AS139" s="57"/>
      <c r="AT139" s="57"/>
      <c r="AU139" s="57"/>
      <c r="AV139" s="57"/>
      <c r="AW139" s="57"/>
      <c r="AX139" s="57"/>
      <c r="AY139" s="57"/>
      <c r="AZ139" s="60"/>
      <c r="BA139" s="57"/>
      <c r="BB139" s="60"/>
      <c r="BC139" s="56"/>
      <c r="BD139" s="60"/>
      <c r="BE139" s="56"/>
      <c r="BF139" s="56"/>
      <c r="BG139" s="56"/>
      <c r="BH139" s="56"/>
      <c r="BI139" s="56"/>
      <c r="BJ139" s="56"/>
      <c r="BK139" s="56"/>
      <c r="BL139" s="60"/>
      <c r="BM139" s="56"/>
      <c r="BN139" s="60"/>
      <c r="BO139" s="57"/>
      <c r="BP139" s="60"/>
      <c r="BQ139" s="57"/>
      <c r="BR139" s="60"/>
      <c r="BS139" s="57"/>
      <c r="BT139" s="57"/>
      <c r="BU139" s="57"/>
      <c r="BV139" s="57"/>
      <c r="BW139" s="57"/>
      <c r="BX139" s="57"/>
      <c r="BY139" s="57"/>
      <c r="BZ139" s="60"/>
      <c r="CA139" s="57"/>
    </row>
    <row r="140" spans="1:79" x14ac:dyDescent="0.15">
      <c r="A140" s="55">
        <v>138</v>
      </c>
      <c r="B140" s="56"/>
      <c r="C140" s="56"/>
      <c r="D140" s="56"/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7"/>
      <c r="P140" s="57"/>
      <c r="Q140" s="57"/>
      <c r="R140" s="57"/>
      <c r="S140" s="57"/>
      <c r="T140" s="57"/>
      <c r="U140" s="57"/>
      <c r="V140" s="57"/>
      <c r="W140" s="57"/>
      <c r="X140" s="57"/>
      <c r="Y140" s="57"/>
      <c r="Z140" s="57"/>
      <c r="AA140" s="57"/>
      <c r="AB140" s="56"/>
      <c r="AC140" s="60"/>
      <c r="AD140" s="56"/>
      <c r="AE140" s="60"/>
      <c r="AF140" s="56"/>
      <c r="AG140" s="56"/>
      <c r="AH140" s="56"/>
      <c r="AI140" s="56"/>
      <c r="AJ140" s="56"/>
      <c r="AK140" s="56"/>
      <c r="AL140" s="56"/>
      <c r="AM140" s="60"/>
      <c r="AN140" s="56"/>
      <c r="AO140" s="57"/>
      <c r="AP140" s="60"/>
      <c r="AQ140" s="57"/>
      <c r="AR140" s="60"/>
      <c r="AS140" s="57"/>
      <c r="AT140" s="57"/>
      <c r="AU140" s="57"/>
      <c r="AV140" s="57"/>
      <c r="AW140" s="57"/>
      <c r="AX140" s="57"/>
      <c r="AY140" s="57"/>
      <c r="AZ140" s="60"/>
      <c r="BA140" s="57"/>
      <c r="BB140" s="60"/>
      <c r="BC140" s="56"/>
      <c r="BD140" s="60"/>
      <c r="BE140" s="56"/>
      <c r="BF140" s="56"/>
      <c r="BG140" s="56"/>
      <c r="BH140" s="56"/>
      <c r="BI140" s="56"/>
      <c r="BJ140" s="56"/>
      <c r="BK140" s="56"/>
      <c r="BL140" s="60"/>
      <c r="BM140" s="56"/>
      <c r="BN140" s="60"/>
      <c r="BO140" s="57"/>
      <c r="BP140" s="60"/>
      <c r="BQ140" s="57"/>
      <c r="BR140" s="60"/>
      <c r="BS140" s="57"/>
      <c r="BT140" s="57"/>
      <c r="BU140" s="57"/>
      <c r="BV140" s="57"/>
      <c r="BW140" s="57"/>
      <c r="BX140" s="57"/>
      <c r="BY140" s="57"/>
      <c r="BZ140" s="60"/>
      <c r="CA140" s="57"/>
    </row>
    <row r="141" spans="1:79" x14ac:dyDescent="0.15">
      <c r="A141" s="55">
        <v>139</v>
      </c>
      <c r="B141" s="56"/>
      <c r="C141" s="56"/>
      <c r="D141" s="56"/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7"/>
      <c r="P141" s="57"/>
      <c r="Q141" s="57"/>
      <c r="R141" s="57"/>
      <c r="S141" s="57"/>
      <c r="T141" s="57"/>
      <c r="U141" s="57"/>
      <c r="V141" s="57"/>
      <c r="W141" s="57"/>
      <c r="X141" s="57"/>
      <c r="Y141" s="57"/>
      <c r="Z141" s="57"/>
      <c r="AA141" s="57"/>
      <c r="AB141" s="56"/>
      <c r="AC141" s="60"/>
      <c r="AD141" s="56"/>
      <c r="AE141" s="60"/>
      <c r="AF141" s="56"/>
      <c r="AG141" s="56"/>
      <c r="AH141" s="56"/>
      <c r="AI141" s="56"/>
      <c r="AJ141" s="56"/>
      <c r="AK141" s="56"/>
      <c r="AL141" s="56"/>
      <c r="AM141" s="60"/>
      <c r="AN141" s="56"/>
      <c r="AO141" s="57"/>
      <c r="AP141" s="60"/>
      <c r="AQ141" s="57"/>
      <c r="AR141" s="60"/>
      <c r="AS141" s="57"/>
      <c r="AT141" s="57"/>
      <c r="AU141" s="57"/>
      <c r="AV141" s="57"/>
      <c r="AW141" s="57"/>
      <c r="AX141" s="57"/>
      <c r="AY141" s="57"/>
      <c r="AZ141" s="60"/>
      <c r="BA141" s="57"/>
      <c r="BB141" s="60"/>
      <c r="BC141" s="56"/>
      <c r="BD141" s="60"/>
      <c r="BE141" s="56"/>
      <c r="BF141" s="56"/>
      <c r="BG141" s="56"/>
      <c r="BH141" s="56"/>
      <c r="BI141" s="56"/>
      <c r="BJ141" s="56"/>
      <c r="BK141" s="56"/>
      <c r="BL141" s="60"/>
      <c r="BM141" s="56"/>
      <c r="BN141" s="60"/>
      <c r="BO141" s="57"/>
      <c r="BP141" s="60"/>
      <c r="BQ141" s="57"/>
      <c r="BR141" s="60"/>
      <c r="BS141" s="57"/>
      <c r="BT141" s="57"/>
      <c r="BU141" s="57"/>
      <c r="BV141" s="57"/>
      <c r="BW141" s="57"/>
      <c r="BX141" s="57"/>
      <c r="BY141" s="57"/>
      <c r="BZ141" s="60"/>
      <c r="CA141" s="57"/>
    </row>
    <row r="142" spans="1:79" x14ac:dyDescent="0.15">
      <c r="A142" s="55">
        <v>140</v>
      </c>
      <c r="B142" s="56"/>
      <c r="C142" s="56"/>
      <c r="D142" s="56"/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7"/>
      <c r="P142" s="57"/>
      <c r="Q142" s="57"/>
      <c r="R142" s="57"/>
      <c r="S142" s="57"/>
      <c r="T142" s="57"/>
      <c r="U142" s="57"/>
      <c r="V142" s="57"/>
      <c r="W142" s="57"/>
      <c r="X142" s="57"/>
      <c r="Y142" s="57"/>
      <c r="Z142" s="57"/>
      <c r="AA142" s="57"/>
      <c r="AB142" s="56"/>
      <c r="AC142" s="60"/>
      <c r="AD142" s="56"/>
      <c r="AE142" s="60"/>
      <c r="AF142" s="56"/>
      <c r="AG142" s="56"/>
      <c r="AH142" s="56"/>
      <c r="AI142" s="56"/>
      <c r="AJ142" s="56"/>
      <c r="AK142" s="56"/>
      <c r="AL142" s="56"/>
      <c r="AM142" s="60"/>
      <c r="AN142" s="56"/>
      <c r="AO142" s="57"/>
      <c r="AP142" s="60"/>
      <c r="AQ142" s="57"/>
      <c r="AR142" s="60"/>
      <c r="AS142" s="57"/>
      <c r="AT142" s="57"/>
      <c r="AU142" s="57"/>
      <c r="AV142" s="57"/>
      <c r="AW142" s="57"/>
      <c r="AX142" s="57"/>
      <c r="AY142" s="57"/>
      <c r="AZ142" s="60"/>
      <c r="BA142" s="57"/>
      <c r="BB142" s="60"/>
      <c r="BC142" s="56"/>
      <c r="BD142" s="60"/>
      <c r="BE142" s="56"/>
      <c r="BF142" s="56"/>
      <c r="BG142" s="56"/>
      <c r="BH142" s="56"/>
      <c r="BI142" s="56"/>
      <c r="BJ142" s="56"/>
      <c r="BK142" s="56"/>
      <c r="BL142" s="60"/>
      <c r="BM142" s="56"/>
      <c r="BN142" s="60"/>
      <c r="BO142" s="57"/>
      <c r="BP142" s="60"/>
      <c r="BQ142" s="57"/>
      <c r="BR142" s="60"/>
      <c r="BS142" s="57"/>
      <c r="BT142" s="57"/>
      <c r="BU142" s="57"/>
      <c r="BV142" s="57"/>
      <c r="BW142" s="57"/>
      <c r="BX142" s="57"/>
      <c r="BY142" s="57"/>
      <c r="BZ142" s="60"/>
      <c r="CA142" s="57"/>
    </row>
    <row r="143" spans="1:79" x14ac:dyDescent="0.15">
      <c r="A143" s="55">
        <v>141</v>
      </c>
      <c r="B143" s="56"/>
      <c r="C143" s="56"/>
      <c r="D143" s="56"/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7"/>
      <c r="P143" s="57"/>
      <c r="Q143" s="57"/>
      <c r="R143" s="57"/>
      <c r="S143" s="57"/>
      <c r="T143" s="57"/>
      <c r="U143" s="57"/>
      <c r="V143" s="57"/>
      <c r="W143" s="57"/>
      <c r="X143" s="57"/>
      <c r="Y143" s="57"/>
      <c r="Z143" s="57"/>
      <c r="AA143" s="57"/>
      <c r="AB143" s="56"/>
      <c r="AC143" s="60"/>
      <c r="AD143" s="56"/>
      <c r="AE143" s="60"/>
      <c r="AF143" s="56"/>
      <c r="AG143" s="56"/>
      <c r="AH143" s="56"/>
      <c r="AI143" s="56"/>
      <c r="AJ143" s="56"/>
      <c r="AK143" s="56"/>
      <c r="AL143" s="56"/>
      <c r="AM143" s="60"/>
      <c r="AN143" s="56"/>
      <c r="AO143" s="57"/>
      <c r="AP143" s="60"/>
      <c r="AQ143" s="57"/>
      <c r="AR143" s="60"/>
      <c r="AS143" s="57"/>
      <c r="AT143" s="57"/>
      <c r="AU143" s="57"/>
      <c r="AV143" s="57"/>
      <c r="AW143" s="57"/>
      <c r="AX143" s="57"/>
      <c r="AY143" s="57"/>
      <c r="AZ143" s="60"/>
      <c r="BA143" s="57"/>
      <c r="BB143" s="60"/>
      <c r="BC143" s="56"/>
      <c r="BD143" s="60"/>
      <c r="BE143" s="56"/>
      <c r="BF143" s="56"/>
      <c r="BG143" s="56"/>
      <c r="BH143" s="56"/>
      <c r="BI143" s="56"/>
      <c r="BJ143" s="56"/>
      <c r="BK143" s="56"/>
      <c r="BL143" s="60"/>
      <c r="BM143" s="56"/>
      <c r="BN143" s="60"/>
      <c r="BO143" s="57"/>
      <c r="BP143" s="60"/>
      <c r="BQ143" s="57"/>
      <c r="BR143" s="60"/>
      <c r="BS143" s="57"/>
      <c r="BT143" s="57"/>
      <c r="BU143" s="57"/>
      <c r="BV143" s="57"/>
      <c r="BW143" s="57"/>
      <c r="BX143" s="57"/>
      <c r="BY143" s="57"/>
      <c r="BZ143" s="60"/>
      <c r="CA143" s="57"/>
    </row>
    <row r="144" spans="1:79" x14ac:dyDescent="0.15">
      <c r="A144" s="55">
        <v>142</v>
      </c>
      <c r="B144" s="56"/>
      <c r="C144" s="56"/>
      <c r="D144" s="56"/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7"/>
      <c r="P144" s="57"/>
      <c r="Q144" s="57"/>
      <c r="R144" s="57"/>
      <c r="S144" s="57"/>
      <c r="T144" s="57"/>
      <c r="U144" s="57"/>
      <c r="V144" s="57"/>
      <c r="W144" s="57"/>
      <c r="X144" s="57"/>
      <c r="Y144" s="57"/>
      <c r="Z144" s="57"/>
      <c r="AA144" s="57"/>
      <c r="AB144" s="56"/>
      <c r="AC144" s="60"/>
      <c r="AD144" s="56"/>
      <c r="AE144" s="60"/>
      <c r="AF144" s="56"/>
      <c r="AG144" s="56"/>
      <c r="AH144" s="56"/>
      <c r="AI144" s="56"/>
      <c r="AJ144" s="56"/>
      <c r="AK144" s="56"/>
      <c r="AL144" s="56"/>
      <c r="AM144" s="60"/>
      <c r="AN144" s="56"/>
      <c r="AO144" s="57"/>
      <c r="AP144" s="60"/>
      <c r="AQ144" s="57"/>
      <c r="AR144" s="60"/>
      <c r="AS144" s="57"/>
      <c r="AT144" s="57"/>
      <c r="AU144" s="57"/>
      <c r="AV144" s="57"/>
      <c r="AW144" s="57"/>
      <c r="AX144" s="57"/>
      <c r="AY144" s="57"/>
      <c r="AZ144" s="60"/>
      <c r="BA144" s="57"/>
      <c r="BB144" s="60"/>
      <c r="BC144" s="56"/>
      <c r="BD144" s="60"/>
      <c r="BE144" s="56"/>
      <c r="BF144" s="56"/>
      <c r="BG144" s="56"/>
      <c r="BH144" s="56"/>
      <c r="BI144" s="56"/>
      <c r="BJ144" s="56"/>
      <c r="BK144" s="56"/>
      <c r="BL144" s="60"/>
      <c r="BM144" s="56"/>
      <c r="BN144" s="60"/>
      <c r="BO144" s="57"/>
      <c r="BP144" s="60"/>
      <c r="BQ144" s="57"/>
      <c r="BR144" s="60"/>
      <c r="BS144" s="57"/>
      <c r="BT144" s="57"/>
      <c r="BU144" s="57"/>
      <c r="BV144" s="57"/>
      <c r="BW144" s="57"/>
      <c r="BX144" s="57"/>
      <c r="BY144" s="57"/>
      <c r="BZ144" s="60"/>
      <c r="CA144" s="57"/>
    </row>
    <row r="145" spans="1:79" x14ac:dyDescent="0.15">
      <c r="A145" s="55">
        <v>143</v>
      </c>
      <c r="B145" s="56"/>
      <c r="C145" s="56"/>
      <c r="D145" s="56"/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7"/>
      <c r="P145" s="57"/>
      <c r="Q145" s="57"/>
      <c r="R145" s="57"/>
      <c r="S145" s="57"/>
      <c r="T145" s="57"/>
      <c r="U145" s="57"/>
      <c r="V145" s="57"/>
      <c r="W145" s="57"/>
      <c r="X145" s="57"/>
      <c r="Y145" s="57"/>
      <c r="Z145" s="57"/>
      <c r="AA145" s="57"/>
      <c r="AB145" s="56"/>
      <c r="AC145" s="60"/>
      <c r="AD145" s="56"/>
      <c r="AE145" s="60"/>
      <c r="AF145" s="56"/>
      <c r="AG145" s="56"/>
      <c r="AH145" s="56"/>
      <c r="AI145" s="56"/>
      <c r="AJ145" s="56"/>
      <c r="AK145" s="56"/>
      <c r="AL145" s="56"/>
      <c r="AM145" s="60"/>
      <c r="AN145" s="56"/>
      <c r="AO145" s="57"/>
      <c r="AP145" s="60"/>
      <c r="AQ145" s="57"/>
      <c r="AR145" s="60"/>
      <c r="AS145" s="57"/>
      <c r="AT145" s="57"/>
      <c r="AU145" s="57"/>
      <c r="AV145" s="57"/>
      <c r="AW145" s="57"/>
      <c r="AX145" s="57"/>
      <c r="AY145" s="57"/>
      <c r="AZ145" s="60"/>
      <c r="BA145" s="57"/>
      <c r="BB145" s="60"/>
      <c r="BC145" s="56"/>
      <c r="BD145" s="60"/>
      <c r="BE145" s="56"/>
      <c r="BF145" s="56"/>
      <c r="BG145" s="56"/>
      <c r="BH145" s="56"/>
      <c r="BI145" s="56"/>
      <c r="BJ145" s="56"/>
      <c r="BK145" s="56"/>
      <c r="BL145" s="60"/>
      <c r="BM145" s="56"/>
      <c r="BN145" s="60"/>
      <c r="BO145" s="57"/>
      <c r="BP145" s="60"/>
      <c r="BQ145" s="57"/>
      <c r="BR145" s="60"/>
      <c r="BS145" s="57"/>
      <c r="BT145" s="57"/>
      <c r="BU145" s="57"/>
      <c r="BV145" s="57"/>
      <c r="BW145" s="57"/>
      <c r="BX145" s="57"/>
      <c r="BY145" s="57"/>
      <c r="BZ145" s="60"/>
      <c r="CA145" s="57"/>
    </row>
    <row r="146" spans="1:79" x14ac:dyDescent="0.15">
      <c r="A146" s="55">
        <v>144</v>
      </c>
      <c r="B146" s="56"/>
      <c r="C146" s="56"/>
      <c r="D146" s="56"/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7"/>
      <c r="P146" s="57"/>
      <c r="Q146" s="57"/>
      <c r="R146" s="57"/>
      <c r="S146" s="57"/>
      <c r="T146" s="57"/>
      <c r="U146" s="57"/>
      <c r="V146" s="57"/>
      <c r="W146" s="57"/>
      <c r="X146" s="57"/>
      <c r="Y146" s="57"/>
      <c r="Z146" s="57"/>
      <c r="AA146" s="57"/>
      <c r="AB146" s="56"/>
      <c r="AC146" s="60"/>
      <c r="AD146" s="56"/>
      <c r="AE146" s="60"/>
      <c r="AF146" s="56"/>
      <c r="AG146" s="56"/>
      <c r="AH146" s="56"/>
      <c r="AI146" s="56"/>
      <c r="AJ146" s="56"/>
      <c r="AK146" s="56"/>
      <c r="AL146" s="56"/>
      <c r="AM146" s="60"/>
      <c r="AN146" s="56"/>
      <c r="AO146" s="57"/>
      <c r="AP146" s="60"/>
      <c r="AQ146" s="57"/>
      <c r="AR146" s="60"/>
      <c r="AS146" s="57"/>
      <c r="AT146" s="57"/>
      <c r="AU146" s="57"/>
      <c r="AV146" s="57"/>
      <c r="AW146" s="57"/>
      <c r="AX146" s="57"/>
      <c r="AY146" s="57"/>
      <c r="AZ146" s="60"/>
      <c r="BA146" s="57"/>
      <c r="BB146" s="60"/>
      <c r="BC146" s="56"/>
      <c r="BD146" s="60"/>
      <c r="BE146" s="56"/>
      <c r="BF146" s="56"/>
      <c r="BG146" s="56"/>
      <c r="BH146" s="56"/>
      <c r="BI146" s="56"/>
      <c r="BJ146" s="56"/>
      <c r="BK146" s="56"/>
      <c r="BL146" s="60"/>
      <c r="BM146" s="56"/>
      <c r="BN146" s="60"/>
      <c r="BO146" s="57"/>
      <c r="BP146" s="60"/>
      <c r="BQ146" s="57"/>
      <c r="BR146" s="60"/>
      <c r="BS146" s="57"/>
      <c r="BT146" s="57"/>
      <c r="BU146" s="57"/>
      <c r="BV146" s="57"/>
      <c r="BW146" s="57"/>
      <c r="BX146" s="57"/>
      <c r="BY146" s="57"/>
      <c r="BZ146" s="60"/>
      <c r="CA146" s="57"/>
    </row>
    <row r="147" spans="1:79" x14ac:dyDescent="0.15">
      <c r="A147" s="55">
        <v>145</v>
      </c>
      <c r="B147" s="56"/>
      <c r="C147" s="56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7"/>
      <c r="P147" s="57"/>
      <c r="Q147" s="57"/>
      <c r="R147" s="57"/>
      <c r="S147" s="57"/>
      <c r="T147" s="57"/>
      <c r="U147" s="57"/>
      <c r="V147" s="57"/>
      <c r="W147" s="57"/>
      <c r="X147" s="57"/>
      <c r="Y147" s="57"/>
      <c r="Z147" s="57"/>
      <c r="AA147" s="57"/>
      <c r="AB147" s="56"/>
      <c r="AC147" s="60"/>
      <c r="AD147" s="56"/>
      <c r="AE147" s="60"/>
      <c r="AF147" s="56"/>
      <c r="AG147" s="56"/>
      <c r="AH147" s="56"/>
      <c r="AI147" s="56"/>
      <c r="AJ147" s="56"/>
      <c r="AK147" s="56"/>
      <c r="AL147" s="56"/>
      <c r="AM147" s="60"/>
      <c r="AN147" s="56"/>
      <c r="AO147" s="57"/>
      <c r="AP147" s="60"/>
      <c r="AQ147" s="57"/>
      <c r="AR147" s="60"/>
      <c r="AS147" s="57"/>
      <c r="AT147" s="57"/>
      <c r="AU147" s="57"/>
      <c r="AV147" s="57"/>
      <c r="AW147" s="57"/>
      <c r="AX147" s="57"/>
      <c r="AY147" s="57"/>
      <c r="AZ147" s="60"/>
      <c r="BA147" s="57"/>
      <c r="BB147" s="60"/>
      <c r="BC147" s="56"/>
      <c r="BD147" s="60"/>
      <c r="BE147" s="56"/>
      <c r="BF147" s="56"/>
      <c r="BG147" s="56"/>
      <c r="BH147" s="56"/>
      <c r="BI147" s="56"/>
      <c r="BJ147" s="56"/>
      <c r="BK147" s="56"/>
      <c r="BL147" s="60"/>
      <c r="BM147" s="56"/>
      <c r="BN147" s="60"/>
      <c r="BO147" s="57"/>
      <c r="BP147" s="60"/>
      <c r="BQ147" s="57"/>
      <c r="BR147" s="60"/>
      <c r="BS147" s="57"/>
      <c r="BT147" s="57"/>
      <c r="BU147" s="57"/>
      <c r="BV147" s="57"/>
      <c r="BW147" s="57"/>
      <c r="BX147" s="57"/>
      <c r="BY147" s="57"/>
      <c r="BZ147" s="60"/>
      <c r="CA147" s="57"/>
    </row>
    <row r="148" spans="1:79" x14ac:dyDescent="0.15">
      <c r="A148" s="55">
        <v>146</v>
      </c>
      <c r="B148" s="56"/>
      <c r="C148" s="56"/>
      <c r="D148" s="56"/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7"/>
      <c r="P148" s="57"/>
      <c r="Q148" s="57"/>
      <c r="R148" s="57"/>
      <c r="S148" s="57"/>
      <c r="T148" s="57"/>
      <c r="U148" s="57"/>
      <c r="V148" s="57"/>
      <c r="W148" s="57"/>
      <c r="X148" s="57"/>
      <c r="Y148" s="57"/>
      <c r="Z148" s="57"/>
      <c r="AA148" s="57"/>
      <c r="AB148" s="56"/>
      <c r="AC148" s="60"/>
      <c r="AD148" s="56"/>
      <c r="AE148" s="60"/>
      <c r="AF148" s="56"/>
      <c r="AG148" s="56"/>
      <c r="AH148" s="56"/>
      <c r="AI148" s="56"/>
      <c r="AJ148" s="56"/>
      <c r="AK148" s="56"/>
      <c r="AL148" s="56"/>
      <c r="AM148" s="60"/>
      <c r="AN148" s="56"/>
      <c r="AO148" s="57"/>
      <c r="AP148" s="60"/>
      <c r="AQ148" s="57"/>
      <c r="AR148" s="60"/>
      <c r="AS148" s="57"/>
      <c r="AT148" s="57"/>
      <c r="AU148" s="57"/>
      <c r="AV148" s="57"/>
      <c r="AW148" s="57"/>
      <c r="AX148" s="57"/>
      <c r="AY148" s="57"/>
      <c r="AZ148" s="60"/>
      <c r="BA148" s="57"/>
      <c r="BB148" s="60"/>
      <c r="BC148" s="56"/>
      <c r="BD148" s="60"/>
      <c r="BE148" s="56"/>
      <c r="BF148" s="56"/>
      <c r="BG148" s="56"/>
      <c r="BH148" s="56"/>
      <c r="BI148" s="56"/>
      <c r="BJ148" s="56"/>
      <c r="BK148" s="56"/>
      <c r="BL148" s="60"/>
      <c r="BM148" s="56"/>
      <c r="BN148" s="60"/>
      <c r="BO148" s="57"/>
      <c r="BP148" s="60"/>
      <c r="BQ148" s="57"/>
      <c r="BR148" s="60"/>
      <c r="BS148" s="57"/>
      <c r="BT148" s="57"/>
      <c r="BU148" s="57"/>
      <c r="BV148" s="57"/>
      <c r="BW148" s="57"/>
      <c r="BX148" s="57"/>
      <c r="BY148" s="57"/>
      <c r="BZ148" s="60"/>
      <c r="CA148" s="57"/>
    </row>
    <row r="149" spans="1:79" x14ac:dyDescent="0.15">
      <c r="A149" s="55">
        <v>147</v>
      </c>
      <c r="B149" s="56"/>
      <c r="C149" s="56"/>
      <c r="D149" s="56"/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7"/>
      <c r="P149" s="57"/>
      <c r="Q149" s="57"/>
      <c r="R149" s="57"/>
      <c r="S149" s="57"/>
      <c r="T149" s="57"/>
      <c r="U149" s="57"/>
      <c r="V149" s="57"/>
      <c r="W149" s="57"/>
      <c r="X149" s="57"/>
      <c r="Y149" s="57"/>
      <c r="Z149" s="57"/>
      <c r="AA149" s="57"/>
      <c r="AB149" s="56"/>
      <c r="AC149" s="60"/>
      <c r="AD149" s="56"/>
      <c r="AE149" s="60"/>
      <c r="AF149" s="56"/>
      <c r="AG149" s="56"/>
      <c r="AH149" s="56"/>
      <c r="AI149" s="56"/>
      <c r="AJ149" s="56"/>
      <c r="AK149" s="56"/>
      <c r="AL149" s="56"/>
      <c r="AM149" s="60"/>
      <c r="AN149" s="56"/>
      <c r="AO149" s="57"/>
      <c r="AP149" s="60"/>
      <c r="AQ149" s="57"/>
      <c r="AR149" s="60"/>
      <c r="AS149" s="57"/>
      <c r="AT149" s="57"/>
      <c r="AU149" s="57"/>
      <c r="AV149" s="57"/>
      <c r="AW149" s="57"/>
      <c r="AX149" s="57"/>
      <c r="AY149" s="57"/>
      <c r="AZ149" s="60"/>
      <c r="BA149" s="57"/>
      <c r="BB149" s="60"/>
      <c r="BC149" s="56"/>
      <c r="BD149" s="60"/>
      <c r="BE149" s="56"/>
      <c r="BF149" s="56"/>
      <c r="BG149" s="56"/>
      <c r="BH149" s="56"/>
      <c r="BI149" s="56"/>
      <c r="BJ149" s="56"/>
      <c r="BK149" s="56"/>
      <c r="BL149" s="60"/>
      <c r="BM149" s="56"/>
      <c r="BN149" s="60"/>
      <c r="BO149" s="57"/>
      <c r="BP149" s="60"/>
      <c r="BQ149" s="57"/>
      <c r="BR149" s="60"/>
      <c r="BS149" s="57"/>
      <c r="BT149" s="57"/>
      <c r="BU149" s="57"/>
      <c r="BV149" s="57"/>
      <c r="BW149" s="57"/>
      <c r="BX149" s="57"/>
      <c r="BY149" s="57"/>
      <c r="BZ149" s="60"/>
      <c r="CA149" s="57"/>
    </row>
    <row r="150" spans="1:79" x14ac:dyDescent="0.15">
      <c r="A150" s="55">
        <v>148</v>
      </c>
      <c r="B150" s="56"/>
      <c r="C150" s="56"/>
      <c r="D150" s="56"/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7"/>
      <c r="P150" s="57"/>
      <c r="Q150" s="57"/>
      <c r="R150" s="57"/>
      <c r="S150" s="57"/>
      <c r="T150" s="57"/>
      <c r="U150" s="57"/>
      <c r="V150" s="57"/>
      <c r="W150" s="57"/>
      <c r="X150" s="57"/>
      <c r="Y150" s="57"/>
      <c r="Z150" s="57"/>
      <c r="AA150" s="57"/>
      <c r="AB150" s="56"/>
      <c r="AC150" s="60"/>
      <c r="AD150" s="56"/>
      <c r="AE150" s="60"/>
      <c r="AF150" s="56"/>
      <c r="AG150" s="56"/>
      <c r="AH150" s="56"/>
      <c r="AI150" s="56"/>
      <c r="AJ150" s="56"/>
      <c r="AK150" s="56"/>
      <c r="AL150" s="56"/>
      <c r="AM150" s="60"/>
      <c r="AN150" s="56"/>
      <c r="AO150" s="57"/>
      <c r="AP150" s="60"/>
      <c r="AQ150" s="57"/>
      <c r="AR150" s="60"/>
      <c r="AS150" s="57"/>
      <c r="AT150" s="57"/>
      <c r="AU150" s="57"/>
      <c r="AV150" s="57"/>
      <c r="AW150" s="57"/>
      <c r="AX150" s="57"/>
      <c r="AY150" s="57"/>
      <c r="AZ150" s="60"/>
      <c r="BA150" s="57"/>
      <c r="BB150" s="60"/>
      <c r="BC150" s="56"/>
      <c r="BD150" s="60"/>
      <c r="BE150" s="56"/>
      <c r="BF150" s="56"/>
      <c r="BG150" s="56"/>
      <c r="BH150" s="56"/>
      <c r="BI150" s="56"/>
      <c r="BJ150" s="56"/>
      <c r="BK150" s="56"/>
      <c r="BL150" s="60"/>
      <c r="BM150" s="56"/>
      <c r="BN150" s="60"/>
      <c r="BO150" s="57"/>
      <c r="BP150" s="60"/>
      <c r="BQ150" s="57"/>
      <c r="BR150" s="60"/>
      <c r="BS150" s="57"/>
      <c r="BT150" s="57"/>
      <c r="BU150" s="57"/>
      <c r="BV150" s="57"/>
      <c r="BW150" s="57"/>
      <c r="BX150" s="57"/>
      <c r="BY150" s="57"/>
      <c r="BZ150" s="60"/>
      <c r="CA150" s="57"/>
    </row>
    <row r="151" spans="1:79" x14ac:dyDescent="0.15">
      <c r="A151" s="55">
        <v>149</v>
      </c>
      <c r="B151" s="56"/>
      <c r="C151" s="56"/>
      <c r="D151" s="56"/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7"/>
      <c r="P151" s="57"/>
      <c r="Q151" s="57"/>
      <c r="R151" s="57"/>
      <c r="S151" s="57"/>
      <c r="T151" s="57"/>
      <c r="U151" s="57"/>
      <c r="V151" s="57"/>
      <c r="W151" s="57"/>
      <c r="X151" s="57"/>
      <c r="Y151" s="57"/>
      <c r="Z151" s="57"/>
      <c r="AA151" s="57"/>
      <c r="AB151" s="56"/>
      <c r="AC151" s="60"/>
      <c r="AD151" s="56"/>
      <c r="AE151" s="60"/>
      <c r="AF151" s="56"/>
      <c r="AG151" s="56"/>
      <c r="AH151" s="56"/>
      <c r="AI151" s="56"/>
      <c r="AJ151" s="56"/>
      <c r="AK151" s="56"/>
      <c r="AL151" s="56"/>
      <c r="AM151" s="60"/>
      <c r="AN151" s="56"/>
      <c r="AO151" s="57"/>
      <c r="AP151" s="60"/>
      <c r="AQ151" s="57"/>
      <c r="AR151" s="60"/>
      <c r="AS151" s="57"/>
      <c r="AT151" s="57"/>
      <c r="AU151" s="57"/>
      <c r="AV151" s="57"/>
      <c r="AW151" s="57"/>
      <c r="AX151" s="57"/>
      <c r="AY151" s="57"/>
      <c r="AZ151" s="60"/>
      <c r="BA151" s="57"/>
      <c r="BB151" s="60"/>
      <c r="BC151" s="56"/>
      <c r="BD151" s="60"/>
      <c r="BE151" s="56"/>
      <c r="BF151" s="56"/>
      <c r="BG151" s="56"/>
      <c r="BH151" s="56"/>
      <c r="BI151" s="56"/>
      <c r="BJ151" s="56"/>
      <c r="BK151" s="56"/>
      <c r="BL151" s="60"/>
      <c r="BM151" s="56"/>
      <c r="BN151" s="60"/>
      <c r="BO151" s="57"/>
      <c r="BP151" s="60"/>
      <c r="BQ151" s="57"/>
      <c r="BR151" s="60"/>
      <c r="BS151" s="57"/>
      <c r="BT151" s="57"/>
      <c r="BU151" s="57"/>
      <c r="BV151" s="57"/>
      <c r="BW151" s="57"/>
      <c r="BX151" s="57"/>
      <c r="BY151" s="57"/>
      <c r="BZ151" s="60"/>
      <c r="CA151" s="57"/>
    </row>
    <row r="152" spans="1:79" x14ac:dyDescent="0.15">
      <c r="A152" s="55">
        <v>150</v>
      </c>
      <c r="B152" s="56"/>
      <c r="C152" s="56"/>
      <c r="D152" s="56"/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7"/>
      <c r="P152" s="57"/>
      <c r="Q152" s="57"/>
      <c r="R152" s="57"/>
      <c r="S152" s="57"/>
      <c r="T152" s="57"/>
      <c r="U152" s="57"/>
      <c r="V152" s="57"/>
      <c r="W152" s="57"/>
      <c r="X152" s="57"/>
      <c r="Y152" s="57"/>
      <c r="Z152" s="57"/>
      <c r="AA152" s="57"/>
      <c r="AB152" s="56"/>
      <c r="AC152" s="60"/>
      <c r="AD152" s="56"/>
      <c r="AE152" s="60"/>
      <c r="AF152" s="56"/>
      <c r="AG152" s="56"/>
      <c r="AH152" s="56"/>
      <c r="AI152" s="56"/>
      <c r="AJ152" s="56"/>
      <c r="AK152" s="56"/>
      <c r="AL152" s="56"/>
      <c r="AM152" s="60"/>
      <c r="AN152" s="56"/>
      <c r="AO152" s="57"/>
      <c r="AP152" s="60"/>
      <c r="AQ152" s="57"/>
      <c r="AR152" s="60"/>
      <c r="AS152" s="57"/>
      <c r="AT152" s="57"/>
      <c r="AU152" s="57"/>
      <c r="AV152" s="57"/>
      <c r="AW152" s="57"/>
      <c r="AX152" s="57"/>
      <c r="AY152" s="57"/>
      <c r="AZ152" s="60"/>
      <c r="BA152" s="57"/>
      <c r="BB152" s="60"/>
      <c r="BC152" s="56"/>
      <c r="BD152" s="60"/>
      <c r="BE152" s="56"/>
      <c r="BF152" s="56"/>
      <c r="BG152" s="56"/>
      <c r="BH152" s="56"/>
      <c r="BI152" s="56"/>
      <c r="BJ152" s="56"/>
      <c r="BK152" s="56"/>
      <c r="BL152" s="60"/>
      <c r="BM152" s="56"/>
      <c r="BN152" s="60"/>
      <c r="BO152" s="57"/>
      <c r="BP152" s="60"/>
      <c r="BQ152" s="57"/>
      <c r="BR152" s="60"/>
      <c r="BS152" s="57"/>
      <c r="BT152" s="57"/>
      <c r="BU152" s="57"/>
      <c r="BV152" s="57"/>
      <c r="BW152" s="57"/>
      <c r="BX152" s="57"/>
      <c r="BY152" s="57"/>
      <c r="BZ152" s="60"/>
      <c r="CA152" s="57"/>
    </row>
    <row r="153" spans="1:79" x14ac:dyDescent="0.15">
      <c r="A153" s="55">
        <v>151</v>
      </c>
      <c r="B153" s="56"/>
      <c r="C153" s="56"/>
      <c r="D153" s="56"/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7"/>
      <c r="P153" s="57"/>
      <c r="Q153" s="57"/>
      <c r="R153" s="57"/>
      <c r="S153" s="57"/>
      <c r="T153" s="57"/>
      <c r="U153" s="57"/>
      <c r="V153" s="57"/>
      <c r="W153" s="57"/>
      <c r="X153" s="57"/>
      <c r="Y153" s="57"/>
      <c r="Z153" s="57"/>
      <c r="AA153" s="57"/>
      <c r="AB153" s="56"/>
      <c r="AC153" s="60"/>
      <c r="AD153" s="56"/>
      <c r="AE153" s="60"/>
      <c r="AF153" s="56"/>
      <c r="AG153" s="56"/>
      <c r="AH153" s="56"/>
      <c r="AI153" s="56"/>
      <c r="AJ153" s="56"/>
      <c r="AK153" s="56"/>
      <c r="AL153" s="56"/>
      <c r="AM153" s="60"/>
      <c r="AN153" s="56"/>
      <c r="AO153" s="57"/>
      <c r="AP153" s="60"/>
      <c r="AQ153" s="57"/>
      <c r="AR153" s="60"/>
      <c r="AS153" s="57"/>
      <c r="AT153" s="57"/>
      <c r="AU153" s="57"/>
      <c r="AV153" s="57"/>
      <c r="AW153" s="57"/>
      <c r="AX153" s="57"/>
      <c r="AY153" s="57"/>
      <c r="AZ153" s="60"/>
      <c r="BA153" s="57"/>
      <c r="BB153" s="60"/>
      <c r="BC153" s="56"/>
      <c r="BD153" s="60"/>
      <c r="BE153" s="56"/>
      <c r="BF153" s="56"/>
      <c r="BG153" s="56"/>
      <c r="BH153" s="56"/>
      <c r="BI153" s="56"/>
      <c r="BJ153" s="56"/>
      <c r="BK153" s="56"/>
      <c r="BL153" s="60"/>
      <c r="BM153" s="56"/>
      <c r="BN153" s="60"/>
      <c r="BO153" s="57"/>
      <c r="BP153" s="60"/>
      <c r="BQ153" s="57"/>
      <c r="BR153" s="60"/>
      <c r="BS153" s="57"/>
      <c r="BT153" s="57"/>
      <c r="BU153" s="57"/>
      <c r="BV153" s="57"/>
      <c r="BW153" s="57"/>
      <c r="BX153" s="57"/>
      <c r="BY153" s="57"/>
      <c r="BZ153" s="60"/>
      <c r="CA153" s="57"/>
    </row>
    <row r="154" spans="1:79" x14ac:dyDescent="0.15">
      <c r="A154" s="55">
        <v>152</v>
      </c>
      <c r="B154" s="56"/>
      <c r="C154" s="56"/>
      <c r="D154" s="56"/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7"/>
      <c r="P154" s="57"/>
      <c r="Q154" s="57"/>
      <c r="R154" s="57"/>
      <c r="S154" s="57"/>
      <c r="T154" s="57"/>
      <c r="U154" s="57"/>
      <c r="V154" s="57"/>
      <c r="W154" s="57"/>
      <c r="X154" s="57"/>
      <c r="Y154" s="57"/>
      <c r="Z154" s="57"/>
      <c r="AA154" s="57"/>
      <c r="AB154" s="56"/>
      <c r="AC154" s="60"/>
      <c r="AD154" s="56"/>
      <c r="AE154" s="60"/>
      <c r="AF154" s="56"/>
      <c r="AG154" s="56"/>
      <c r="AH154" s="56"/>
      <c r="AI154" s="56"/>
      <c r="AJ154" s="56"/>
      <c r="AK154" s="56"/>
      <c r="AL154" s="56"/>
      <c r="AM154" s="60"/>
      <c r="AN154" s="56"/>
      <c r="AO154" s="57"/>
      <c r="AP154" s="60"/>
      <c r="AQ154" s="57"/>
      <c r="AR154" s="60"/>
      <c r="AS154" s="57"/>
      <c r="AT154" s="57"/>
      <c r="AU154" s="57"/>
      <c r="AV154" s="57"/>
      <c r="AW154" s="57"/>
      <c r="AX154" s="57"/>
      <c r="AY154" s="57"/>
      <c r="AZ154" s="60"/>
      <c r="BA154" s="57"/>
      <c r="BB154" s="60"/>
      <c r="BC154" s="56"/>
      <c r="BD154" s="60"/>
      <c r="BE154" s="56"/>
      <c r="BF154" s="56"/>
      <c r="BG154" s="56"/>
      <c r="BH154" s="56"/>
      <c r="BI154" s="56"/>
      <c r="BJ154" s="56"/>
      <c r="BK154" s="56"/>
      <c r="BL154" s="60"/>
      <c r="BM154" s="56"/>
      <c r="BN154" s="60"/>
      <c r="BO154" s="57"/>
      <c r="BP154" s="60"/>
      <c r="BQ154" s="57"/>
      <c r="BR154" s="60"/>
      <c r="BS154" s="57"/>
      <c r="BT154" s="57"/>
      <c r="BU154" s="57"/>
      <c r="BV154" s="57"/>
      <c r="BW154" s="57"/>
      <c r="BX154" s="57"/>
      <c r="BY154" s="57"/>
      <c r="BZ154" s="60"/>
      <c r="CA154" s="57"/>
    </row>
    <row r="155" spans="1:79" x14ac:dyDescent="0.15">
      <c r="A155" s="55">
        <v>153</v>
      </c>
      <c r="B155" s="56"/>
      <c r="C155" s="56"/>
      <c r="D155" s="56"/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7"/>
      <c r="P155" s="57"/>
      <c r="Q155" s="57"/>
      <c r="R155" s="57"/>
      <c r="S155" s="57"/>
      <c r="T155" s="57"/>
      <c r="U155" s="57"/>
      <c r="V155" s="57"/>
      <c r="W155" s="57"/>
      <c r="X155" s="57"/>
      <c r="Y155" s="57"/>
      <c r="Z155" s="57"/>
      <c r="AA155" s="57"/>
      <c r="AB155" s="56"/>
      <c r="AC155" s="60"/>
      <c r="AD155" s="56"/>
      <c r="AE155" s="60"/>
      <c r="AF155" s="56"/>
      <c r="AG155" s="56"/>
      <c r="AH155" s="56"/>
      <c r="AI155" s="56"/>
      <c r="AJ155" s="56"/>
      <c r="AK155" s="56"/>
      <c r="AL155" s="56"/>
      <c r="AM155" s="60"/>
      <c r="AN155" s="56"/>
      <c r="AO155" s="57"/>
      <c r="AP155" s="60"/>
      <c r="AQ155" s="57"/>
      <c r="AR155" s="60"/>
      <c r="AS155" s="57"/>
      <c r="AT155" s="57"/>
      <c r="AU155" s="57"/>
      <c r="AV155" s="57"/>
      <c r="AW155" s="57"/>
      <c r="AX155" s="57"/>
      <c r="AY155" s="57"/>
      <c r="AZ155" s="60"/>
      <c r="BA155" s="57"/>
      <c r="BB155" s="60"/>
      <c r="BC155" s="56"/>
      <c r="BD155" s="60"/>
      <c r="BE155" s="56"/>
      <c r="BF155" s="56"/>
      <c r="BG155" s="56"/>
      <c r="BH155" s="56"/>
      <c r="BI155" s="56"/>
      <c r="BJ155" s="56"/>
      <c r="BK155" s="56"/>
      <c r="BL155" s="60"/>
      <c r="BM155" s="56"/>
      <c r="BN155" s="60"/>
      <c r="BO155" s="57"/>
      <c r="BP155" s="60"/>
      <c r="BQ155" s="57"/>
      <c r="BR155" s="60"/>
      <c r="BS155" s="57"/>
      <c r="BT155" s="57"/>
      <c r="BU155" s="57"/>
      <c r="BV155" s="57"/>
      <c r="BW155" s="57"/>
      <c r="BX155" s="57"/>
      <c r="BY155" s="57"/>
      <c r="BZ155" s="60"/>
      <c r="CA155" s="57"/>
    </row>
    <row r="156" spans="1:79" x14ac:dyDescent="0.15">
      <c r="A156" s="55">
        <v>154</v>
      </c>
      <c r="B156" s="56"/>
      <c r="C156" s="56"/>
      <c r="D156" s="56"/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7"/>
      <c r="P156" s="57"/>
      <c r="Q156" s="57"/>
      <c r="R156" s="57"/>
      <c r="S156" s="57"/>
      <c r="T156" s="57"/>
      <c r="U156" s="57"/>
      <c r="V156" s="57"/>
      <c r="W156" s="57"/>
      <c r="X156" s="57"/>
      <c r="Y156" s="57"/>
      <c r="Z156" s="57"/>
      <c r="AA156" s="57"/>
      <c r="AB156" s="56"/>
      <c r="AC156" s="60"/>
      <c r="AD156" s="56"/>
      <c r="AE156" s="60"/>
      <c r="AF156" s="56"/>
      <c r="AG156" s="56"/>
      <c r="AH156" s="56"/>
      <c r="AI156" s="56"/>
      <c r="AJ156" s="56"/>
      <c r="AK156" s="56"/>
      <c r="AL156" s="56"/>
      <c r="AM156" s="60"/>
      <c r="AN156" s="56"/>
      <c r="AO156" s="57"/>
      <c r="AP156" s="60"/>
      <c r="AQ156" s="57"/>
      <c r="AR156" s="60"/>
      <c r="AS156" s="57"/>
      <c r="AT156" s="57"/>
      <c r="AU156" s="57"/>
      <c r="AV156" s="57"/>
      <c r="AW156" s="57"/>
      <c r="AX156" s="57"/>
      <c r="AY156" s="57"/>
      <c r="AZ156" s="60"/>
      <c r="BA156" s="57"/>
      <c r="BB156" s="60"/>
      <c r="BC156" s="56"/>
      <c r="BD156" s="60"/>
      <c r="BE156" s="56"/>
      <c r="BF156" s="56"/>
      <c r="BG156" s="56"/>
      <c r="BH156" s="56"/>
      <c r="BI156" s="56"/>
      <c r="BJ156" s="56"/>
      <c r="BK156" s="56"/>
      <c r="BL156" s="60"/>
      <c r="BM156" s="56"/>
      <c r="BN156" s="60"/>
      <c r="BO156" s="57"/>
      <c r="BP156" s="60"/>
      <c r="BQ156" s="57"/>
      <c r="BR156" s="60"/>
      <c r="BS156" s="57"/>
      <c r="BT156" s="57"/>
      <c r="BU156" s="57"/>
      <c r="BV156" s="57"/>
      <c r="BW156" s="57"/>
      <c r="BX156" s="57"/>
      <c r="BY156" s="57"/>
      <c r="BZ156" s="60"/>
      <c r="CA156" s="57"/>
    </row>
    <row r="157" spans="1:79" x14ac:dyDescent="0.15">
      <c r="A157" s="55">
        <v>155</v>
      </c>
      <c r="B157" s="56"/>
      <c r="C157" s="56"/>
      <c r="D157" s="56"/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7"/>
      <c r="P157" s="57"/>
      <c r="Q157" s="57"/>
      <c r="R157" s="57"/>
      <c r="S157" s="57"/>
      <c r="T157" s="57"/>
      <c r="U157" s="57"/>
      <c r="V157" s="57"/>
      <c r="W157" s="57"/>
      <c r="X157" s="57"/>
      <c r="Y157" s="57"/>
      <c r="Z157" s="57"/>
      <c r="AA157" s="57"/>
      <c r="AB157" s="56"/>
      <c r="AC157" s="60"/>
      <c r="AD157" s="56"/>
      <c r="AE157" s="60"/>
      <c r="AF157" s="56"/>
      <c r="AG157" s="56"/>
      <c r="AH157" s="56"/>
      <c r="AI157" s="56"/>
      <c r="AJ157" s="56"/>
      <c r="AK157" s="56"/>
      <c r="AL157" s="56"/>
      <c r="AM157" s="60"/>
      <c r="AN157" s="56"/>
      <c r="AO157" s="57"/>
      <c r="AP157" s="60"/>
      <c r="AQ157" s="57"/>
      <c r="AR157" s="60"/>
      <c r="AS157" s="57"/>
      <c r="AT157" s="57"/>
      <c r="AU157" s="57"/>
      <c r="AV157" s="57"/>
      <c r="AW157" s="57"/>
      <c r="AX157" s="57"/>
      <c r="AY157" s="57"/>
      <c r="AZ157" s="60"/>
      <c r="BA157" s="57"/>
      <c r="BB157" s="60"/>
      <c r="BC157" s="56"/>
      <c r="BD157" s="60"/>
      <c r="BE157" s="56"/>
      <c r="BF157" s="56"/>
      <c r="BG157" s="56"/>
      <c r="BH157" s="56"/>
      <c r="BI157" s="56"/>
      <c r="BJ157" s="56"/>
      <c r="BK157" s="56"/>
      <c r="BL157" s="60"/>
      <c r="BM157" s="56"/>
      <c r="BN157" s="60"/>
      <c r="BO157" s="57"/>
      <c r="BP157" s="60"/>
      <c r="BQ157" s="57"/>
      <c r="BR157" s="60"/>
      <c r="BS157" s="57"/>
      <c r="BT157" s="57"/>
      <c r="BU157" s="57"/>
      <c r="BV157" s="57"/>
      <c r="BW157" s="57"/>
      <c r="BX157" s="57"/>
      <c r="BY157" s="57"/>
      <c r="BZ157" s="60"/>
      <c r="CA157" s="57"/>
    </row>
    <row r="158" spans="1:79" x14ac:dyDescent="0.15">
      <c r="A158" s="55">
        <v>156</v>
      </c>
      <c r="B158" s="56"/>
      <c r="C158" s="56"/>
      <c r="D158" s="56"/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7"/>
      <c r="P158" s="57"/>
      <c r="Q158" s="57"/>
      <c r="R158" s="57"/>
      <c r="S158" s="57"/>
      <c r="T158" s="57"/>
      <c r="U158" s="57"/>
      <c r="V158" s="57"/>
      <c r="W158" s="57"/>
      <c r="X158" s="57"/>
      <c r="Y158" s="57"/>
      <c r="Z158" s="57"/>
      <c r="AA158" s="57"/>
      <c r="AB158" s="56"/>
      <c r="AC158" s="60"/>
      <c r="AD158" s="56"/>
      <c r="AE158" s="60"/>
      <c r="AF158" s="56"/>
      <c r="AG158" s="56"/>
      <c r="AH158" s="56"/>
      <c r="AI158" s="56"/>
      <c r="AJ158" s="56"/>
      <c r="AK158" s="56"/>
      <c r="AL158" s="56"/>
      <c r="AM158" s="60"/>
      <c r="AN158" s="56"/>
      <c r="AO158" s="57"/>
      <c r="AP158" s="60"/>
      <c r="AQ158" s="57"/>
      <c r="AR158" s="60"/>
      <c r="AS158" s="57"/>
      <c r="AT158" s="57"/>
      <c r="AU158" s="57"/>
      <c r="AV158" s="57"/>
      <c r="AW158" s="57"/>
      <c r="AX158" s="57"/>
      <c r="AY158" s="57"/>
      <c r="AZ158" s="60"/>
      <c r="BA158" s="57"/>
      <c r="BB158" s="60"/>
      <c r="BC158" s="56"/>
      <c r="BD158" s="60"/>
      <c r="BE158" s="56"/>
      <c r="BF158" s="56"/>
      <c r="BG158" s="56"/>
      <c r="BH158" s="56"/>
      <c r="BI158" s="56"/>
      <c r="BJ158" s="56"/>
      <c r="BK158" s="56"/>
      <c r="BL158" s="60"/>
      <c r="BM158" s="56"/>
      <c r="BN158" s="60"/>
      <c r="BO158" s="57"/>
      <c r="BP158" s="60"/>
      <c r="BQ158" s="57"/>
      <c r="BR158" s="60"/>
      <c r="BS158" s="57"/>
      <c r="BT158" s="57"/>
      <c r="BU158" s="57"/>
      <c r="BV158" s="57"/>
      <c r="BW158" s="57"/>
      <c r="BX158" s="57"/>
      <c r="BY158" s="57"/>
      <c r="BZ158" s="60"/>
      <c r="CA158" s="57"/>
    </row>
    <row r="159" spans="1:79" x14ac:dyDescent="0.15">
      <c r="A159" s="55">
        <v>157</v>
      </c>
      <c r="B159" s="56"/>
      <c r="C159" s="56"/>
      <c r="D159" s="56"/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7"/>
      <c r="P159" s="57"/>
      <c r="Q159" s="57"/>
      <c r="R159" s="57"/>
      <c r="S159" s="57"/>
      <c r="T159" s="57"/>
      <c r="U159" s="57"/>
      <c r="V159" s="57"/>
      <c r="W159" s="57"/>
      <c r="X159" s="57"/>
      <c r="Y159" s="57"/>
      <c r="Z159" s="57"/>
      <c r="AA159" s="57"/>
      <c r="AB159" s="56"/>
      <c r="AC159" s="60"/>
      <c r="AD159" s="56"/>
      <c r="AE159" s="60"/>
      <c r="AF159" s="56"/>
      <c r="AG159" s="56"/>
      <c r="AH159" s="56"/>
      <c r="AI159" s="56"/>
      <c r="AJ159" s="56"/>
      <c r="AK159" s="56"/>
      <c r="AL159" s="56"/>
      <c r="AM159" s="60"/>
      <c r="AN159" s="56"/>
      <c r="AO159" s="57"/>
      <c r="AP159" s="60"/>
      <c r="AQ159" s="57"/>
      <c r="AR159" s="60"/>
      <c r="AS159" s="57"/>
      <c r="AT159" s="57"/>
      <c r="AU159" s="57"/>
      <c r="AV159" s="57"/>
      <c r="AW159" s="57"/>
      <c r="AX159" s="57"/>
      <c r="AY159" s="57"/>
      <c r="AZ159" s="60"/>
      <c r="BA159" s="57"/>
      <c r="BB159" s="60"/>
      <c r="BC159" s="56"/>
      <c r="BD159" s="60"/>
      <c r="BE159" s="56"/>
      <c r="BF159" s="56"/>
      <c r="BG159" s="56"/>
      <c r="BH159" s="56"/>
      <c r="BI159" s="56"/>
      <c r="BJ159" s="56"/>
      <c r="BK159" s="56"/>
      <c r="BL159" s="60"/>
      <c r="BM159" s="56"/>
      <c r="BN159" s="60"/>
      <c r="BO159" s="57"/>
      <c r="BP159" s="60"/>
      <c r="BQ159" s="57"/>
      <c r="BR159" s="60"/>
      <c r="BS159" s="57"/>
      <c r="BT159" s="57"/>
      <c r="BU159" s="57"/>
      <c r="BV159" s="57"/>
      <c r="BW159" s="57"/>
      <c r="BX159" s="57"/>
      <c r="BY159" s="57"/>
      <c r="BZ159" s="60"/>
      <c r="CA159" s="57"/>
    </row>
    <row r="160" spans="1:79" x14ac:dyDescent="0.15">
      <c r="A160" s="55">
        <v>158</v>
      </c>
      <c r="B160" s="56"/>
      <c r="C160" s="56"/>
      <c r="D160" s="56"/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7"/>
      <c r="P160" s="57"/>
      <c r="Q160" s="57"/>
      <c r="R160" s="57"/>
      <c r="S160" s="57"/>
      <c r="T160" s="57"/>
      <c r="U160" s="57"/>
      <c r="V160" s="57"/>
      <c r="W160" s="57"/>
      <c r="X160" s="57"/>
      <c r="Y160" s="57"/>
      <c r="Z160" s="57"/>
      <c r="AA160" s="57"/>
      <c r="AB160" s="56"/>
      <c r="AC160" s="60"/>
      <c r="AD160" s="56"/>
      <c r="AE160" s="60"/>
      <c r="AF160" s="56"/>
      <c r="AG160" s="56"/>
      <c r="AH160" s="56"/>
      <c r="AI160" s="56"/>
      <c r="AJ160" s="56"/>
      <c r="AK160" s="56"/>
      <c r="AL160" s="56"/>
      <c r="AM160" s="60"/>
      <c r="AN160" s="56"/>
      <c r="AO160" s="57"/>
      <c r="AP160" s="60"/>
      <c r="AQ160" s="57"/>
      <c r="AR160" s="60"/>
      <c r="AS160" s="57"/>
      <c r="AT160" s="57"/>
      <c r="AU160" s="57"/>
      <c r="AV160" s="57"/>
      <c r="AW160" s="57"/>
      <c r="AX160" s="57"/>
      <c r="AY160" s="57"/>
      <c r="AZ160" s="60"/>
      <c r="BA160" s="57"/>
      <c r="BB160" s="60"/>
      <c r="BC160" s="56"/>
      <c r="BD160" s="60"/>
      <c r="BE160" s="56"/>
      <c r="BF160" s="56"/>
      <c r="BG160" s="56"/>
      <c r="BH160" s="56"/>
      <c r="BI160" s="56"/>
      <c r="BJ160" s="56"/>
      <c r="BK160" s="56"/>
      <c r="BL160" s="60"/>
      <c r="BM160" s="56"/>
      <c r="BN160" s="60"/>
      <c r="BO160" s="57"/>
      <c r="BP160" s="60"/>
      <c r="BQ160" s="57"/>
      <c r="BR160" s="60"/>
      <c r="BS160" s="57"/>
      <c r="BT160" s="57"/>
      <c r="BU160" s="57"/>
      <c r="BV160" s="57"/>
      <c r="BW160" s="57"/>
      <c r="BX160" s="57"/>
      <c r="BY160" s="57"/>
      <c r="BZ160" s="60"/>
      <c r="CA160" s="57"/>
    </row>
    <row r="161" spans="1:79" x14ac:dyDescent="0.15">
      <c r="A161" s="55">
        <v>159</v>
      </c>
      <c r="B161" s="56"/>
      <c r="C161" s="56"/>
      <c r="D161" s="56"/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7"/>
      <c r="P161" s="57"/>
      <c r="Q161" s="57"/>
      <c r="R161" s="57"/>
      <c r="S161" s="57"/>
      <c r="T161" s="57"/>
      <c r="U161" s="57"/>
      <c r="V161" s="57"/>
      <c r="W161" s="57"/>
      <c r="X161" s="57"/>
      <c r="Y161" s="57"/>
      <c r="Z161" s="57"/>
      <c r="AA161" s="57"/>
      <c r="AB161" s="56"/>
      <c r="AC161" s="60"/>
      <c r="AD161" s="56"/>
      <c r="AE161" s="60"/>
      <c r="AF161" s="56"/>
      <c r="AG161" s="56"/>
      <c r="AH161" s="56"/>
      <c r="AI161" s="56"/>
      <c r="AJ161" s="56"/>
      <c r="AK161" s="56"/>
      <c r="AL161" s="56"/>
      <c r="AM161" s="60"/>
      <c r="AN161" s="56"/>
      <c r="AO161" s="57"/>
      <c r="AP161" s="60"/>
      <c r="AQ161" s="57"/>
      <c r="AR161" s="60"/>
      <c r="AS161" s="57"/>
      <c r="AT161" s="57"/>
      <c r="AU161" s="57"/>
      <c r="AV161" s="57"/>
      <c r="AW161" s="57"/>
      <c r="AX161" s="57"/>
      <c r="AY161" s="57"/>
      <c r="AZ161" s="60"/>
      <c r="BA161" s="57"/>
      <c r="BB161" s="60"/>
      <c r="BC161" s="56"/>
      <c r="BD161" s="60"/>
      <c r="BE161" s="56"/>
      <c r="BF161" s="56"/>
      <c r="BG161" s="56"/>
      <c r="BH161" s="56"/>
      <c r="BI161" s="56"/>
      <c r="BJ161" s="56"/>
      <c r="BK161" s="56"/>
      <c r="BL161" s="60"/>
      <c r="BM161" s="56"/>
      <c r="BN161" s="60"/>
      <c r="BO161" s="57"/>
      <c r="BP161" s="60"/>
      <c r="BQ161" s="57"/>
      <c r="BR161" s="60"/>
      <c r="BS161" s="57"/>
      <c r="BT161" s="57"/>
      <c r="BU161" s="57"/>
      <c r="BV161" s="57"/>
      <c r="BW161" s="57"/>
      <c r="BX161" s="57"/>
      <c r="BY161" s="57"/>
      <c r="BZ161" s="60"/>
      <c r="CA161" s="57"/>
    </row>
    <row r="162" spans="1:79" x14ac:dyDescent="0.15">
      <c r="A162" s="55">
        <v>160</v>
      </c>
      <c r="B162" s="56"/>
      <c r="C162" s="56"/>
      <c r="D162" s="56"/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7"/>
      <c r="P162" s="57"/>
      <c r="Q162" s="57"/>
      <c r="R162" s="57"/>
      <c r="S162" s="57"/>
      <c r="T162" s="57"/>
      <c r="U162" s="57"/>
      <c r="V162" s="57"/>
      <c r="W162" s="57"/>
      <c r="X162" s="57"/>
      <c r="Y162" s="57"/>
      <c r="Z162" s="57"/>
      <c r="AA162" s="57"/>
      <c r="AB162" s="56"/>
      <c r="AC162" s="60"/>
      <c r="AD162" s="56"/>
      <c r="AE162" s="60"/>
      <c r="AF162" s="56"/>
      <c r="AG162" s="56"/>
      <c r="AH162" s="56"/>
      <c r="AI162" s="56"/>
      <c r="AJ162" s="56"/>
      <c r="AK162" s="56"/>
      <c r="AL162" s="56"/>
      <c r="AM162" s="60"/>
      <c r="AN162" s="56"/>
      <c r="AO162" s="57"/>
      <c r="AP162" s="60"/>
      <c r="AQ162" s="57"/>
      <c r="AR162" s="60"/>
      <c r="AS162" s="57"/>
      <c r="AT162" s="57"/>
      <c r="AU162" s="57"/>
      <c r="AV162" s="57"/>
      <c r="AW162" s="57"/>
      <c r="AX162" s="57"/>
      <c r="AY162" s="57"/>
      <c r="AZ162" s="60"/>
      <c r="BA162" s="57"/>
      <c r="BB162" s="60"/>
      <c r="BC162" s="56"/>
      <c r="BD162" s="60"/>
      <c r="BE162" s="56"/>
      <c r="BF162" s="56"/>
      <c r="BG162" s="56"/>
      <c r="BH162" s="56"/>
      <c r="BI162" s="56"/>
      <c r="BJ162" s="56"/>
      <c r="BK162" s="56"/>
      <c r="BL162" s="60"/>
      <c r="BM162" s="56"/>
      <c r="BN162" s="60"/>
      <c r="BO162" s="57"/>
      <c r="BP162" s="60"/>
      <c r="BQ162" s="57"/>
      <c r="BR162" s="60"/>
      <c r="BS162" s="57"/>
      <c r="BT162" s="57"/>
      <c r="BU162" s="57"/>
      <c r="BV162" s="57"/>
      <c r="BW162" s="57"/>
      <c r="BX162" s="57"/>
      <c r="BY162" s="57"/>
      <c r="BZ162" s="60"/>
      <c r="CA162" s="57"/>
    </row>
    <row r="163" spans="1:79" x14ac:dyDescent="0.15">
      <c r="A163" s="55">
        <v>161</v>
      </c>
      <c r="B163" s="56"/>
      <c r="C163" s="56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7"/>
      <c r="P163" s="57"/>
      <c r="Q163" s="57"/>
      <c r="R163" s="57"/>
      <c r="S163" s="57"/>
      <c r="T163" s="57"/>
      <c r="U163" s="57"/>
      <c r="V163" s="57"/>
      <c r="W163" s="57"/>
      <c r="X163" s="57"/>
      <c r="Y163" s="57"/>
      <c r="Z163" s="57"/>
      <c r="AA163" s="57"/>
      <c r="AB163" s="56"/>
      <c r="AC163" s="60"/>
      <c r="AD163" s="56"/>
      <c r="AE163" s="60"/>
      <c r="AF163" s="56"/>
      <c r="AG163" s="56"/>
      <c r="AH163" s="56"/>
      <c r="AI163" s="56"/>
      <c r="AJ163" s="56"/>
      <c r="AK163" s="56"/>
      <c r="AL163" s="56"/>
      <c r="AM163" s="60"/>
      <c r="AN163" s="56"/>
      <c r="AO163" s="57"/>
      <c r="AP163" s="60"/>
      <c r="AQ163" s="57"/>
      <c r="AR163" s="60"/>
      <c r="AS163" s="57"/>
      <c r="AT163" s="57"/>
      <c r="AU163" s="57"/>
      <c r="AV163" s="57"/>
      <c r="AW163" s="57"/>
      <c r="AX163" s="57"/>
      <c r="AY163" s="57"/>
      <c r="AZ163" s="60"/>
      <c r="BA163" s="57"/>
      <c r="BB163" s="60"/>
      <c r="BC163" s="56"/>
      <c r="BD163" s="60"/>
      <c r="BE163" s="56"/>
      <c r="BF163" s="56"/>
      <c r="BG163" s="56"/>
      <c r="BH163" s="56"/>
      <c r="BI163" s="56"/>
      <c r="BJ163" s="56"/>
      <c r="BK163" s="56"/>
      <c r="BL163" s="60"/>
      <c r="BM163" s="56"/>
      <c r="BN163" s="60"/>
      <c r="BO163" s="57"/>
      <c r="BP163" s="60"/>
      <c r="BQ163" s="57"/>
      <c r="BR163" s="60"/>
      <c r="BS163" s="57"/>
      <c r="BT163" s="57"/>
      <c r="BU163" s="57"/>
      <c r="BV163" s="57"/>
      <c r="BW163" s="57"/>
      <c r="BX163" s="57"/>
      <c r="BY163" s="57"/>
      <c r="BZ163" s="60"/>
      <c r="CA163" s="57"/>
    </row>
    <row r="164" spans="1:79" x14ac:dyDescent="0.15">
      <c r="A164" s="55">
        <v>162</v>
      </c>
      <c r="B164" s="56"/>
      <c r="C164" s="56"/>
      <c r="D164" s="56"/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7"/>
      <c r="P164" s="57"/>
      <c r="Q164" s="57"/>
      <c r="R164" s="57"/>
      <c r="S164" s="57"/>
      <c r="T164" s="57"/>
      <c r="U164" s="57"/>
      <c r="V164" s="57"/>
      <c r="W164" s="57"/>
      <c r="X164" s="57"/>
      <c r="Y164" s="57"/>
      <c r="Z164" s="57"/>
      <c r="AA164" s="57"/>
      <c r="AB164" s="56"/>
      <c r="AC164" s="60"/>
      <c r="AD164" s="56"/>
      <c r="AE164" s="60"/>
      <c r="AF164" s="56"/>
      <c r="AG164" s="56"/>
      <c r="AH164" s="56"/>
      <c r="AI164" s="56"/>
      <c r="AJ164" s="56"/>
      <c r="AK164" s="56"/>
      <c r="AL164" s="56"/>
      <c r="AM164" s="60"/>
      <c r="AN164" s="56"/>
      <c r="AO164" s="57"/>
      <c r="AP164" s="60"/>
      <c r="AQ164" s="57"/>
      <c r="AR164" s="60"/>
      <c r="AS164" s="57"/>
      <c r="AT164" s="57"/>
      <c r="AU164" s="57"/>
      <c r="AV164" s="57"/>
      <c r="AW164" s="57"/>
      <c r="AX164" s="57"/>
      <c r="AY164" s="57"/>
      <c r="AZ164" s="60"/>
      <c r="BA164" s="57"/>
      <c r="BB164" s="60"/>
      <c r="BC164" s="56"/>
      <c r="BD164" s="60"/>
      <c r="BE164" s="56"/>
      <c r="BF164" s="56"/>
      <c r="BG164" s="56"/>
      <c r="BH164" s="56"/>
      <c r="BI164" s="56"/>
      <c r="BJ164" s="56"/>
      <c r="BK164" s="56"/>
      <c r="BL164" s="60"/>
      <c r="BM164" s="56"/>
      <c r="BN164" s="60"/>
      <c r="BO164" s="57"/>
      <c r="BP164" s="60"/>
      <c r="BQ164" s="57"/>
      <c r="BR164" s="60"/>
      <c r="BS164" s="57"/>
      <c r="BT164" s="57"/>
      <c r="BU164" s="57"/>
      <c r="BV164" s="57"/>
      <c r="BW164" s="57"/>
      <c r="BX164" s="57"/>
      <c r="BY164" s="57"/>
      <c r="BZ164" s="60"/>
      <c r="CA164" s="57"/>
    </row>
    <row r="165" spans="1:79" x14ac:dyDescent="0.15">
      <c r="A165" s="55">
        <v>163</v>
      </c>
      <c r="B165" s="56"/>
      <c r="C165" s="56"/>
      <c r="D165" s="56"/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7"/>
      <c r="P165" s="57"/>
      <c r="Q165" s="57"/>
      <c r="R165" s="57"/>
      <c r="S165" s="57"/>
      <c r="T165" s="57"/>
      <c r="U165" s="57"/>
      <c r="V165" s="57"/>
      <c r="W165" s="57"/>
      <c r="X165" s="57"/>
      <c r="Y165" s="57"/>
      <c r="Z165" s="57"/>
      <c r="AA165" s="57"/>
      <c r="AB165" s="56"/>
      <c r="AC165" s="60"/>
      <c r="AD165" s="56"/>
      <c r="AE165" s="60"/>
      <c r="AF165" s="56"/>
      <c r="AG165" s="56"/>
      <c r="AH165" s="56"/>
      <c r="AI165" s="56"/>
      <c r="AJ165" s="56"/>
      <c r="AK165" s="56"/>
      <c r="AL165" s="56"/>
      <c r="AM165" s="60"/>
      <c r="AN165" s="56"/>
      <c r="AO165" s="57"/>
      <c r="AP165" s="60"/>
      <c r="AQ165" s="57"/>
      <c r="AR165" s="60"/>
      <c r="AS165" s="57"/>
      <c r="AT165" s="57"/>
      <c r="AU165" s="57"/>
      <c r="AV165" s="57"/>
      <c r="AW165" s="57"/>
      <c r="AX165" s="57"/>
      <c r="AY165" s="57"/>
      <c r="AZ165" s="60"/>
      <c r="BA165" s="57"/>
      <c r="BB165" s="60"/>
      <c r="BC165" s="56"/>
      <c r="BD165" s="60"/>
      <c r="BE165" s="56"/>
      <c r="BF165" s="56"/>
      <c r="BG165" s="56"/>
      <c r="BH165" s="56"/>
      <c r="BI165" s="56"/>
      <c r="BJ165" s="56"/>
      <c r="BK165" s="56"/>
      <c r="BL165" s="60"/>
      <c r="BM165" s="56"/>
      <c r="BN165" s="60"/>
      <c r="BO165" s="57"/>
      <c r="BP165" s="60"/>
      <c r="BQ165" s="57"/>
      <c r="BR165" s="60"/>
      <c r="BS165" s="57"/>
      <c r="BT165" s="57"/>
      <c r="BU165" s="57"/>
      <c r="BV165" s="57"/>
      <c r="BW165" s="57"/>
      <c r="BX165" s="57"/>
      <c r="BY165" s="57"/>
      <c r="BZ165" s="60"/>
      <c r="CA165" s="57"/>
    </row>
    <row r="166" spans="1:79" x14ac:dyDescent="0.15">
      <c r="A166" s="55">
        <v>164</v>
      </c>
      <c r="B166" s="56"/>
      <c r="C166" s="56"/>
      <c r="D166" s="56"/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7"/>
      <c r="P166" s="57"/>
      <c r="Q166" s="57"/>
      <c r="R166" s="57"/>
      <c r="S166" s="57"/>
      <c r="T166" s="57"/>
      <c r="U166" s="57"/>
      <c r="V166" s="57"/>
      <c r="W166" s="57"/>
      <c r="X166" s="57"/>
      <c r="Y166" s="57"/>
      <c r="Z166" s="57"/>
      <c r="AA166" s="57"/>
      <c r="AB166" s="56"/>
      <c r="AC166" s="60"/>
      <c r="AD166" s="56"/>
      <c r="AE166" s="60"/>
      <c r="AF166" s="56"/>
      <c r="AG166" s="56"/>
      <c r="AH166" s="56"/>
      <c r="AI166" s="56"/>
      <c r="AJ166" s="56"/>
      <c r="AK166" s="56"/>
      <c r="AL166" s="56"/>
      <c r="AM166" s="60"/>
      <c r="AN166" s="56"/>
      <c r="AO166" s="57"/>
      <c r="AP166" s="60"/>
      <c r="AQ166" s="57"/>
      <c r="AR166" s="60"/>
      <c r="AS166" s="57"/>
      <c r="AT166" s="57"/>
      <c r="AU166" s="57"/>
      <c r="AV166" s="57"/>
      <c r="AW166" s="57"/>
      <c r="AX166" s="57"/>
      <c r="AY166" s="57"/>
      <c r="AZ166" s="60"/>
      <c r="BA166" s="57"/>
      <c r="BB166" s="60"/>
      <c r="BC166" s="56"/>
      <c r="BD166" s="60"/>
      <c r="BE166" s="56"/>
      <c r="BF166" s="56"/>
      <c r="BG166" s="56"/>
      <c r="BH166" s="56"/>
      <c r="BI166" s="56"/>
      <c r="BJ166" s="56"/>
      <c r="BK166" s="56"/>
      <c r="BL166" s="60"/>
      <c r="BM166" s="56"/>
      <c r="BN166" s="60"/>
      <c r="BO166" s="57"/>
      <c r="BP166" s="60"/>
      <c r="BQ166" s="57"/>
      <c r="BR166" s="60"/>
      <c r="BS166" s="57"/>
      <c r="BT166" s="57"/>
      <c r="BU166" s="57"/>
      <c r="BV166" s="57"/>
      <c r="BW166" s="57"/>
      <c r="BX166" s="57"/>
      <c r="BY166" s="57"/>
      <c r="BZ166" s="60"/>
      <c r="CA166" s="57"/>
    </row>
    <row r="167" spans="1:79" x14ac:dyDescent="0.15">
      <c r="A167" s="55">
        <v>165</v>
      </c>
      <c r="B167" s="56"/>
      <c r="C167" s="56"/>
      <c r="D167" s="56"/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7"/>
      <c r="P167" s="57"/>
      <c r="Q167" s="57"/>
      <c r="R167" s="57"/>
      <c r="S167" s="57"/>
      <c r="T167" s="57"/>
      <c r="U167" s="57"/>
      <c r="V167" s="57"/>
      <c r="W167" s="57"/>
      <c r="X167" s="57"/>
      <c r="Y167" s="57"/>
      <c r="Z167" s="57"/>
      <c r="AA167" s="57"/>
      <c r="AB167" s="56"/>
      <c r="AC167" s="60"/>
      <c r="AD167" s="56"/>
      <c r="AE167" s="60"/>
      <c r="AF167" s="56"/>
      <c r="AG167" s="56"/>
      <c r="AH167" s="56"/>
      <c r="AI167" s="56"/>
      <c r="AJ167" s="56"/>
      <c r="AK167" s="56"/>
      <c r="AL167" s="56"/>
      <c r="AM167" s="60"/>
      <c r="AN167" s="56"/>
      <c r="AO167" s="57"/>
      <c r="AP167" s="60"/>
      <c r="AQ167" s="57"/>
      <c r="AR167" s="60"/>
      <c r="AS167" s="57"/>
      <c r="AT167" s="57"/>
      <c r="AU167" s="57"/>
      <c r="AV167" s="57"/>
      <c r="AW167" s="57"/>
      <c r="AX167" s="57"/>
      <c r="AY167" s="57"/>
      <c r="AZ167" s="60"/>
      <c r="BA167" s="57"/>
      <c r="BB167" s="60"/>
      <c r="BC167" s="56"/>
      <c r="BD167" s="60"/>
      <c r="BE167" s="56"/>
      <c r="BF167" s="56"/>
      <c r="BG167" s="56"/>
      <c r="BH167" s="56"/>
      <c r="BI167" s="56"/>
      <c r="BJ167" s="56"/>
      <c r="BK167" s="56"/>
      <c r="BL167" s="60"/>
      <c r="BM167" s="56"/>
      <c r="BN167" s="60"/>
      <c r="BO167" s="57"/>
      <c r="BP167" s="60"/>
      <c r="BQ167" s="57"/>
      <c r="BR167" s="60"/>
      <c r="BS167" s="57"/>
      <c r="BT167" s="57"/>
      <c r="BU167" s="57"/>
      <c r="BV167" s="57"/>
      <c r="BW167" s="57"/>
      <c r="BX167" s="57"/>
      <c r="BY167" s="57"/>
      <c r="BZ167" s="60"/>
      <c r="CA167" s="57"/>
    </row>
    <row r="168" spans="1:79" x14ac:dyDescent="0.15">
      <c r="A168" s="55">
        <v>166</v>
      </c>
      <c r="B168" s="56"/>
      <c r="C168" s="56"/>
      <c r="D168" s="56"/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7"/>
      <c r="P168" s="57"/>
      <c r="Q168" s="57"/>
      <c r="R168" s="57"/>
      <c r="S168" s="57"/>
      <c r="T168" s="57"/>
      <c r="U168" s="57"/>
      <c r="V168" s="57"/>
      <c r="W168" s="57"/>
      <c r="X168" s="57"/>
      <c r="Y168" s="57"/>
      <c r="Z168" s="57"/>
      <c r="AA168" s="57"/>
      <c r="AB168" s="56"/>
      <c r="AC168" s="60"/>
      <c r="AD168" s="56"/>
      <c r="AE168" s="60"/>
      <c r="AF168" s="56"/>
      <c r="AG168" s="56"/>
      <c r="AH168" s="56"/>
      <c r="AI168" s="56"/>
      <c r="AJ168" s="56"/>
      <c r="AK168" s="56"/>
      <c r="AL168" s="56"/>
      <c r="AM168" s="60"/>
      <c r="AN168" s="56"/>
      <c r="AO168" s="57"/>
      <c r="AP168" s="60"/>
      <c r="AQ168" s="57"/>
      <c r="AR168" s="60"/>
      <c r="AS168" s="57"/>
      <c r="AT168" s="57"/>
      <c r="AU168" s="57"/>
      <c r="AV168" s="57"/>
      <c r="AW168" s="57"/>
      <c r="AX168" s="57"/>
      <c r="AY168" s="57"/>
      <c r="AZ168" s="60"/>
      <c r="BA168" s="57"/>
      <c r="BB168" s="60"/>
      <c r="BC168" s="56"/>
      <c r="BD168" s="60"/>
      <c r="BE168" s="56"/>
      <c r="BF168" s="56"/>
      <c r="BG168" s="56"/>
      <c r="BH168" s="56"/>
      <c r="BI168" s="56"/>
      <c r="BJ168" s="56"/>
      <c r="BK168" s="56"/>
      <c r="BL168" s="60"/>
      <c r="BM168" s="56"/>
      <c r="BN168" s="60"/>
      <c r="BO168" s="57"/>
      <c r="BP168" s="60"/>
      <c r="BQ168" s="57"/>
      <c r="BR168" s="60"/>
      <c r="BS168" s="57"/>
      <c r="BT168" s="57"/>
      <c r="BU168" s="57"/>
      <c r="BV168" s="57"/>
      <c r="BW168" s="57"/>
      <c r="BX168" s="57"/>
      <c r="BY168" s="57"/>
      <c r="BZ168" s="60"/>
      <c r="CA168" s="57"/>
    </row>
    <row r="169" spans="1:79" x14ac:dyDescent="0.15">
      <c r="A169" s="55">
        <v>167</v>
      </c>
      <c r="B169" s="56"/>
      <c r="C169" s="56"/>
      <c r="D169" s="56"/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7"/>
      <c r="P169" s="57"/>
      <c r="Q169" s="57"/>
      <c r="R169" s="57"/>
      <c r="S169" s="57"/>
      <c r="T169" s="57"/>
      <c r="U169" s="57"/>
      <c r="V169" s="57"/>
      <c r="W169" s="57"/>
      <c r="X169" s="57"/>
      <c r="Y169" s="57"/>
      <c r="Z169" s="57"/>
      <c r="AA169" s="57"/>
      <c r="AB169" s="56"/>
      <c r="AC169" s="60"/>
      <c r="AD169" s="56"/>
      <c r="AE169" s="60"/>
      <c r="AF169" s="56"/>
      <c r="AG169" s="56"/>
      <c r="AH169" s="56"/>
      <c r="AI169" s="56"/>
      <c r="AJ169" s="56"/>
      <c r="AK169" s="56"/>
      <c r="AL169" s="56"/>
      <c r="AM169" s="60"/>
      <c r="AN169" s="56"/>
      <c r="AO169" s="57"/>
      <c r="AP169" s="60"/>
      <c r="AQ169" s="57"/>
      <c r="AR169" s="60"/>
      <c r="AS169" s="57"/>
      <c r="AT169" s="57"/>
      <c r="AU169" s="57"/>
      <c r="AV169" s="57"/>
      <c r="AW169" s="57"/>
      <c r="AX169" s="57"/>
      <c r="AY169" s="57"/>
      <c r="AZ169" s="60"/>
      <c r="BA169" s="57"/>
      <c r="BB169" s="60"/>
      <c r="BC169" s="56"/>
      <c r="BD169" s="60"/>
      <c r="BE169" s="56"/>
      <c r="BF169" s="56"/>
      <c r="BG169" s="56"/>
      <c r="BH169" s="56"/>
      <c r="BI169" s="56"/>
      <c r="BJ169" s="56"/>
      <c r="BK169" s="56"/>
      <c r="BL169" s="60"/>
      <c r="BM169" s="56"/>
      <c r="BN169" s="60"/>
      <c r="BO169" s="57"/>
      <c r="BP169" s="60"/>
      <c r="BQ169" s="57"/>
      <c r="BR169" s="60"/>
      <c r="BS169" s="57"/>
      <c r="BT169" s="57"/>
      <c r="BU169" s="57"/>
      <c r="BV169" s="57"/>
      <c r="BW169" s="57"/>
      <c r="BX169" s="57"/>
      <c r="BY169" s="57"/>
      <c r="BZ169" s="60"/>
      <c r="CA169" s="57"/>
    </row>
    <row r="170" spans="1:79" x14ac:dyDescent="0.15">
      <c r="A170" s="55">
        <v>168</v>
      </c>
      <c r="B170" s="56"/>
      <c r="C170" s="56"/>
      <c r="D170" s="56"/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7"/>
      <c r="P170" s="57"/>
      <c r="Q170" s="57"/>
      <c r="R170" s="57"/>
      <c r="S170" s="57"/>
      <c r="T170" s="57"/>
      <c r="U170" s="57"/>
      <c r="V170" s="57"/>
      <c r="W170" s="57"/>
      <c r="X170" s="57"/>
      <c r="Y170" s="57"/>
      <c r="Z170" s="57"/>
      <c r="AA170" s="57"/>
      <c r="AB170" s="56"/>
      <c r="AC170" s="60"/>
      <c r="AD170" s="56"/>
      <c r="AE170" s="60"/>
      <c r="AF170" s="56"/>
      <c r="AG170" s="56"/>
      <c r="AH170" s="56"/>
      <c r="AI170" s="56"/>
      <c r="AJ170" s="56"/>
      <c r="AK170" s="56"/>
      <c r="AL170" s="56"/>
      <c r="AM170" s="60"/>
      <c r="AN170" s="56"/>
      <c r="AO170" s="57"/>
      <c r="AP170" s="60"/>
      <c r="AQ170" s="57"/>
      <c r="AR170" s="60"/>
      <c r="AS170" s="57"/>
      <c r="AT170" s="57"/>
      <c r="AU170" s="57"/>
      <c r="AV170" s="57"/>
      <c r="AW170" s="57"/>
      <c r="AX170" s="57"/>
      <c r="AY170" s="57"/>
      <c r="AZ170" s="60"/>
      <c r="BA170" s="57"/>
      <c r="BB170" s="60"/>
      <c r="BC170" s="56"/>
      <c r="BD170" s="60"/>
      <c r="BE170" s="56"/>
      <c r="BF170" s="56"/>
      <c r="BG170" s="56"/>
      <c r="BH170" s="56"/>
      <c r="BI170" s="56"/>
      <c r="BJ170" s="56"/>
      <c r="BK170" s="56"/>
      <c r="BL170" s="60"/>
      <c r="BM170" s="56"/>
      <c r="BN170" s="60"/>
      <c r="BO170" s="57"/>
      <c r="BP170" s="60"/>
      <c r="BQ170" s="57"/>
      <c r="BR170" s="60"/>
      <c r="BS170" s="57"/>
      <c r="BT170" s="57"/>
      <c r="BU170" s="57"/>
      <c r="BV170" s="57"/>
      <c r="BW170" s="57"/>
      <c r="BX170" s="57"/>
      <c r="BY170" s="57"/>
      <c r="BZ170" s="60"/>
      <c r="CA170" s="57"/>
    </row>
    <row r="171" spans="1:79" x14ac:dyDescent="0.15">
      <c r="A171" s="55">
        <v>169</v>
      </c>
      <c r="B171" s="56"/>
      <c r="C171" s="56"/>
      <c r="D171" s="56"/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7"/>
      <c r="P171" s="57"/>
      <c r="Q171" s="57"/>
      <c r="R171" s="57"/>
      <c r="S171" s="57"/>
      <c r="T171" s="57"/>
      <c r="U171" s="57"/>
      <c r="V171" s="57"/>
      <c r="W171" s="57"/>
      <c r="X171" s="57"/>
      <c r="Y171" s="57"/>
      <c r="Z171" s="57"/>
      <c r="AA171" s="57"/>
      <c r="AB171" s="56"/>
      <c r="AC171" s="60"/>
      <c r="AD171" s="56"/>
      <c r="AE171" s="60"/>
      <c r="AF171" s="56"/>
      <c r="AG171" s="56"/>
      <c r="AH171" s="56"/>
      <c r="AI171" s="56"/>
      <c r="AJ171" s="56"/>
      <c r="AK171" s="56"/>
      <c r="AL171" s="56"/>
      <c r="AM171" s="60"/>
      <c r="AN171" s="56"/>
      <c r="AO171" s="57"/>
      <c r="AP171" s="60"/>
      <c r="AQ171" s="57"/>
      <c r="AR171" s="60"/>
      <c r="AS171" s="57"/>
      <c r="AT171" s="57"/>
      <c r="AU171" s="57"/>
      <c r="AV171" s="57"/>
      <c r="AW171" s="57"/>
      <c r="AX171" s="57"/>
      <c r="AY171" s="57"/>
      <c r="AZ171" s="60"/>
      <c r="BA171" s="57"/>
      <c r="BB171" s="60"/>
      <c r="BC171" s="56"/>
      <c r="BD171" s="60"/>
      <c r="BE171" s="56"/>
      <c r="BF171" s="56"/>
      <c r="BG171" s="56"/>
      <c r="BH171" s="56"/>
      <c r="BI171" s="56"/>
      <c r="BJ171" s="56"/>
      <c r="BK171" s="56"/>
      <c r="BL171" s="60"/>
      <c r="BM171" s="56"/>
      <c r="BN171" s="60"/>
      <c r="BO171" s="57"/>
      <c r="BP171" s="60"/>
      <c r="BQ171" s="57"/>
      <c r="BR171" s="60"/>
      <c r="BS171" s="57"/>
      <c r="BT171" s="57"/>
      <c r="BU171" s="57"/>
      <c r="BV171" s="57"/>
      <c r="BW171" s="57"/>
      <c r="BX171" s="57"/>
      <c r="BY171" s="57"/>
      <c r="BZ171" s="60"/>
      <c r="CA171" s="57"/>
    </row>
    <row r="172" spans="1:79" x14ac:dyDescent="0.15">
      <c r="A172" s="55">
        <v>170</v>
      </c>
      <c r="B172" s="56"/>
      <c r="C172" s="56"/>
      <c r="D172" s="56"/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7"/>
      <c r="P172" s="57"/>
      <c r="Q172" s="57"/>
      <c r="R172" s="57"/>
      <c r="S172" s="57"/>
      <c r="T172" s="57"/>
      <c r="U172" s="57"/>
      <c r="V172" s="57"/>
      <c r="W172" s="57"/>
      <c r="X172" s="57"/>
      <c r="Y172" s="57"/>
      <c r="Z172" s="57"/>
      <c r="AA172" s="57"/>
      <c r="AB172" s="56"/>
      <c r="AC172" s="60"/>
      <c r="AD172" s="56"/>
      <c r="AE172" s="60"/>
      <c r="AF172" s="56"/>
      <c r="AG172" s="56"/>
      <c r="AH172" s="56"/>
      <c r="AI172" s="56"/>
      <c r="AJ172" s="56"/>
      <c r="AK172" s="56"/>
      <c r="AL172" s="56"/>
      <c r="AM172" s="60"/>
      <c r="AN172" s="56"/>
      <c r="AO172" s="57"/>
      <c r="AP172" s="60"/>
      <c r="AQ172" s="57"/>
      <c r="AR172" s="60"/>
      <c r="AS172" s="57"/>
      <c r="AT172" s="57"/>
      <c r="AU172" s="57"/>
      <c r="AV172" s="57"/>
      <c r="AW172" s="57"/>
      <c r="AX172" s="57"/>
      <c r="AY172" s="57"/>
      <c r="AZ172" s="60"/>
      <c r="BA172" s="57"/>
      <c r="BB172" s="60"/>
      <c r="BC172" s="56"/>
      <c r="BD172" s="60"/>
      <c r="BE172" s="56"/>
      <c r="BF172" s="56"/>
      <c r="BG172" s="56"/>
      <c r="BH172" s="56"/>
      <c r="BI172" s="56"/>
      <c r="BJ172" s="56"/>
      <c r="BK172" s="56"/>
      <c r="BL172" s="60"/>
      <c r="BM172" s="56"/>
      <c r="BN172" s="60"/>
      <c r="BO172" s="57"/>
      <c r="BP172" s="60"/>
      <c r="BQ172" s="57"/>
      <c r="BR172" s="60"/>
      <c r="BS172" s="57"/>
      <c r="BT172" s="57"/>
      <c r="BU172" s="57"/>
      <c r="BV172" s="57"/>
      <c r="BW172" s="57"/>
      <c r="BX172" s="57"/>
      <c r="BY172" s="57"/>
      <c r="BZ172" s="60"/>
      <c r="CA172" s="57"/>
    </row>
    <row r="173" spans="1:79" x14ac:dyDescent="0.15">
      <c r="A173" s="55">
        <v>171</v>
      </c>
      <c r="B173" s="56"/>
      <c r="C173" s="56"/>
      <c r="D173" s="56"/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7"/>
      <c r="P173" s="57"/>
      <c r="Q173" s="57"/>
      <c r="R173" s="57"/>
      <c r="S173" s="57"/>
      <c r="T173" s="57"/>
      <c r="U173" s="57"/>
      <c r="V173" s="57"/>
      <c r="W173" s="57"/>
      <c r="X173" s="57"/>
      <c r="Y173" s="57"/>
      <c r="Z173" s="57"/>
      <c r="AA173" s="57"/>
      <c r="AB173" s="56"/>
      <c r="AC173" s="60"/>
      <c r="AD173" s="56"/>
      <c r="AE173" s="60"/>
      <c r="AF173" s="56"/>
      <c r="AG173" s="56"/>
      <c r="AH173" s="56"/>
      <c r="AI173" s="56"/>
      <c r="AJ173" s="56"/>
      <c r="AK173" s="56"/>
      <c r="AL173" s="56"/>
      <c r="AM173" s="60"/>
      <c r="AN173" s="56"/>
      <c r="AO173" s="57"/>
      <c r="AP173" s="60"/>
      <c r="AQ173" s="57"/>
      <c r="AR173" s="60"/>
      <c r="AS173" s="57"/>
      <c r="AT173" s="57"/>
      <c r="AU173" s="57"/>
      <c r="AV173" s="57"/>
      <c r="AW173" s="57"/>
      <c r="AX173" s="57"/>
      <c r="AY173" s="57"/>
      <c r="AZ173" s="60"/>
      <c r="BA173" s="57"/>
      <c r="BB173" s="60"/>
      <c r="BC173" s="56"/>
      <c r="BD173" s="60"/>
      <c r="BE173" s="56"/>
      <c r="BF173" s="56"/>
      <c r="BG173" s="56"/>
      <c r="BH173" s="56"/>
      <c r="BI173" s="56"/>
      <c r="BJ173" s="56"/>
      <c r="BK173" s="56"/>
      <c r="BL173" s="60"/>
      <c r="BM173" s="56"/>
      <c r="BN173" s="60"/>
      <c r="BO173" s="57"/>
      <c r="BP173" s="60"/>
      <c r="BQ173" s="57"/>
      <c r="BR173" s="60"/>
      <c r="BS173" s="57"/>
      <c r="BT173" s="57"/>
      <c r="BU173" s="57"/>
      <c r="BV173" s="57"/>
      <c r="BW173" s="57"/>
      <c r="BX173" s="57"/>
      <c r="BY173" s="57"/>
      <c r="BZ173" s="60"/>
      <c r="CA173" s="57"/>
    </row>
    <row r="174" spans="1:79" x14ac:dyDescent="0.15">
      <c r="A174" s="55">
        <v>172</v>
      </c>
      <c r="B174" s="56"/>
      <c r="C174" s="56"/>
      <c r="D174" s="56"/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7"/>
      <c r="P174" s="57"/>
      <c r="Q174" s="57"/>
      <c r="R174" s="57"/>
      <c r="S174" s="57"/>
      <c r="T174" s="57"/>
      <c r="U174" s="57"/>
      <c r="V174" s="57"/>
      <c r="W174" s="57"/>
      <c r="X174" s="57"/>
      <c r="Y174" s="57"/>
      <c r="Z174" s="57"/>
      <c r="AA174" s="57"/>
      <c r="AB174" s="56"/>
      <c r="AC174" s="60"/>
      <c r="AD174" s="56"/>
      <c r="AE174" s="60"/>
      <c r="AF174" s="56"/>
      <c r="AG174" s="56"/>
      <c r="AH174" s="56"/>
      <c r="AI174" s="56"/>
      <c r="AJ174" s="56"/>
      <c r="AK174" s="56"/>
      <c r="AL174" s="56"/>
      <c r="AM174" s="60"/>
      <c r="AN174" s="56"/>
      <c r="AO174" s="57"/>
      <c r="AP174" s="60"/>
      <c r="AQ174" s="57"/>
      <c r="AR174" s="60"/>
      <c r="AS174" s="57"/>
      <c r="AT174" s="57"/>
      <c r="AU174" s="57"/>
      <c r="AV174" s="57"/>
      <c r="AW174" s="57"/>
      <c r="AX174" s="57"/>
      <c r="AY174" s="57"/>
      <c r="AZ174" s="60"/>
      <c r="BA174" s="57"/>
      <c r="BB174" s="60"/>
      <c r="BC174" s="56"/>
      <c r="BD174" s="60"/>
      <c r="BE174" s="56"/>
      <c r="BF174" s="56"/>
      <c r="BG174" s="56"/>
      <c r="BH174" s="56"/>
      <c r="BI174" s="56"/>
      <c r="BJ174" s="56"/>
      <c r="BK174" s="56"/>
      <c r="BL174" s="60"/>
      <c r="BM174" s="56"/>
      <c r="BN174" s="60"/>
      <c r="BO174" s="57"/>
      <c r="BP174" s="60"/>
      <c r="BQ174" s="57"/>
      <c r="BR174" s="60"/>
      <c r="BS174" s="57"/>
      <c r="BT174" s="57"/>
      <c r="BU174" s="57"/>
      <c r="BV174" s="57"/>
      <c r="BW174" s="57"/>
      <c r="BX174" s="57"/>
      <c r="BY174" s="57"/>
      <c r="BZ174" s="60"/>
      <c r="CA174" s="57"/>
    </row>
    <row r="175" spans="1:79" x14ac:dyDescent="0.15">
      <c r="A175" s="55">
        <v>173</v>
      </c>
      <c r="B175" s="56"/>
      <c r="C175" s="56"/>
      <c r="D175" s="56"/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7"/>
      <c r="P175" s="57"/>
      <c r="Q175" s="57"/>
      <c r="R175" s="57"/>
      <c r="S175" s="57"/>
      <c r="T175" s="57"/>
      <c r="U175" s="57"/>
      <c r="V175" s="57"/>
      <c r="W175" s="57"/>
      <c r="X175" s="57"/>
      <c r="Y175" s="57"/>
      <c r="Z175" s="57"/>
      <c r="AA175" s="57"/>
      <c r="AB175" s="56"/>
      <c r="AC175" s="60"/>
      <c r="AD175" s="56"/>
      <c r="AE175" s="60"/>
      <c r="AF175" s="56"/>
      <c r="AG175" s="56"/>
      <c r="AH175" s="56"/>
      <c r="AI175" s="56"/>
      <c r="AJ175" s="56"/>
      <c r="AK175" s="56"/>
      <c r="AL175" s="56"/>
      <c r="AM175" s="60"/>
      <c r="AN175" s="56"/>
      <c r="AO175" s="57"/>
      <c r="AP175" s="60"/>
      <c r="AQ175" s="57"/>
      <c r="AR175" s="60"/>
      <c r="AS175" s="57"/>
      <c r="AT175" s="57"/>
      <c r="AU175" s="57"/>
      <c r="AV175" s="57"/>
      <c r="AW175" s="57"/>
      <c r="AX175" s="57"/>
      <c r="AY175" s="57"/>
      <c r="AZ175" s="60"/>
      <c r="BA175" s="57"/>
      <c r="BB175" s="60"/>
      <c r="BC175" s="56"/>
      <c r="BD175" s="60"/>
      <c r="BE175" s="56"/>
      <c r="BF175" s="56"/>
      <c r="BG175" s="56"/>
      <c r="BH175" s="56"/>
      <c r="BI175" s="56"/>
      <c r="BJ175" s="56"/>
      <c r="BK175" s="56"/>
      <c r="BL175" s="60"/>
      <c r="BM175" s="56"/>
      <c r="BN175" s="60"/>
      <c r="BO175" s="57"/>
      <c r="BP175" s="60"/>
      <c r="BQ175" s="57"/>
      <c r="BR175" s="60"/>
      <c r="BS175" s="57"/>
      <c r="BT175" s="57"/>
      <c r="BU175" s="57"/>
      <c r="BV175" s="57"/>
      <c r="BW175" s="57"/>
      <c r="BX175" s="57"/>
      <c r="BY175" s="57"/>
      <c r="BZ175" s="60"/>
      <c r="CA175" s="57"/>
    </row>
    <row r="176" spans="1:79" x14ac:dyDescent="0.15">
      <c r="A176" s="55">
        <v>174</v>
      </c>
      <c r="B176" s="56"/>
      <c r="C176" s="56"/>
      <c r="D176" s="56"/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7"/>
      <c r="P176" s="57"/>
      <c r="Q176" s="57"/>
      <c r="R176" s="57"/>
      <c r="S176" s="57"/>
      <c r="T176" s="57"/>
      <c r="U176" s="57"/>
      <c r="V176" s="57"/>
      <c r="W176" s="57"/>
      <c r="X176" s="57"/>
      <c r="Y176" s="57"/>
      <c r="Z176" s="57"/>
      <c r="AA176" s="57"/>
      <c r="AB176" s="56"/>
      <c r="AC176" s="60"/>
      <c r="AD176" s="56"/>
      <c r="AE176" s="60"/>
      <c r="AF176" s="56"/>
      <c r="AG176" s="56"/>
      <c r="AH176" s="56"/>
      <c r="AI176" s="56"/>
      <c r="AJ176" s="56"/>
      <c r="AK176" s="56"/>
      <c r="AL176" s="56"/>
      <c r="AM176" s="60"/>
      <c r="AN176" s="56"/>
      <c r="AO176" s="57"/>
      <c r="AP176" s="60"/>
      <c r="AQ176" s="57"/>
      <c r="AR176" s="60"/>
      <c r="AS176" s="57"/>
      <c r="AT176" s="57"/>
      <c r="AU176" s="57"/>
      <c r="AV176" s="57"/>
      <c r="AW176" s="57"/>
      <c r="AX176" s="57"/>
      <c r="AY176" s="57"/>
      <c r="AZ176" s="60"/>
      <c r="BA176" s="57"/>
      <c r="BB176" s="60"/>
      <c r="BC176" s="56"/>
      <c r="BD176" s="60"/>
      <c r="BE176" s="56"/>
      <c r="BF176" s="56"/>
      <c r="BG176" s="56"/>
      <c r="BH176" s="56"/>
      <c r="BI176" s="56"/>
      <c r="BJ176" s="56"/>
      <c r="BK176" s="56"/>
      <c r="BL176" s="60"/>
      <c r="BM176" s="56"/>
      <c r="BN176" s="60"/>
      <c r="BO176" s="57"/>
      <c r="BP176" s="60"/>
      <c r="BQ176" s="57"/>
      <c r="BR176" s="60"/>
      <c r="BS176" s="57"/>
      <c r="BT176" s="57"/>
      <c r="BU176" s="57"/>
      <c r="BV176" s="57"/>
      <c r="BW176" s="57"/>
      <c r="BX176" s="57"/>
      <c r="BY176" s="57"/>
      <c r="BZ176" s="60"/>
      <c r="CA176" s="57"/>
    </row>
    <row r="177" spans="1:79" x14ac:dyDescent="0.15">
      <c r="A177" s="55">
        <v>175</v>
      </c>
      <c r="B177" s="56"/>
      <c r="C177" s="56"/>
      <c r="D177" s="56"/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7"/>
      <c r="P177" s="57"/>
      <c r="Q177" s="57"/>
      <c r="R177" s="57"/>
      <c r="S177" s="57"/>
      <c r="T177" s="57"/>
      <c r="U177" s="57"/>
      <c r="V177" s="57"/>
      <c r="W177" s="57"/>
      <c r="X177" s="57"/>
      <c r="Y177" s="57"/>
      <c r="Z177" s="57"/>
      <c r="AA177" s="57"/>
      <c r="AB177" s="56"/>
      <c r="AC177" s="60"/>
      <c r="AD177" s="56"/>
      <c r="AE177" s="60"/>
      <c r="AF177" s="56"/>
      <c r="AG177" s="56"/>
      <c r="AH177" s="56"/>
      <c r="AI177" s="56"/>
      <c r="AJ177" s="56"/>
      <c r="AK177" s="56"/>
      <c r="AL177" s="56"/>
      <c r="AM177" s="60"/>
      <c r="AN177" s="56"/>
      <c r="AO177" s="57"/>
      <c r="AP177" s="60"/>
      <c r="AQ177" s="57"/>
      <c r="AR177" s="60"/>
      <c r="AS177" s="57"/>
      <c r="AT177" s="57"/>
      <c r="AU177" s="57"/>
      <c r="AV177" s="57"/>
      <c r="AW177" s="57"/>
      <c r="AX177" s="57"/>
      <c r="AY177" s="57"/>
      <c r="AZ177" s="60"/>
      <c r="BA177" s="57"/>
      <c r="BB177" s="60"/>
      <c r="BC177" s="56"/>
      <c r="BD177" s="60"/>
      <c r="BE177" s="56"/>
      <c r="BF177" s="56"/>
      <c r="BG177" s="56"/>
      <c r="BH177" s="56"/>
      <c r="BI177" s="56"/>
      <c r="BJ177" s="56"/>
      <c r="BK177" s="56"/>
      <c r="BL177" s="60"/>
      <c r="BM177" s="56"/>
      <c r="BN177" s="60"/>
      <c r="BO177" s="57"/>
      <c r="BP177" s="60"/>
      <c r="BQ177" s="57"/>
      <c r="BR177" s="60"/>
      <c r="BS177" s="57"/>
      <c r="BT177" s="57"/>
      <c r="BU177" s="57"/>
      <c r="BV177" s="57"/>
      <c r="BW177" s="57"/>
      <c r="BX177" s="57"/>
      <c r="BY177" s="57"/>
      <c r="BZ177" s="60"/>
      <c r="CA177" s="57"/>
    </row>
    <row r="178" spans="1:79" x14ac:dyDescent="0.15">
      <c r="A178" s="55">
        <v>176</v>
      </c>
      <c r="B178" s="56"/>
      <c r="C178" s="56"/>
      <c r="D178" s="56"/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7"/>
      <c r="P178" s="57"/>
      <c r="Q178" s="57"/>
      <c r="R178" s="57"/>
      <c r="S178" s="57"/>
      <c r="T178" s="57"/>
      <c r="U178" s="57"/>
      <c r="V178" s="57"/>
      <c r="W178" s="57"/>
      <c r="X178" s="57"/>
      <c r="Y178" s="57"/>
      <c r="Z178" s="57"/>
      <c r="AA178" s="57"/>
      <c r="AB178" s="56"/>
      <c r="AC178" s="60"/>
      <c r="AD178" s="56"/>
      <c r="AE178" s="60"/>
      <c r="AF178" s="56"/>
      <c r="AG178" s="56"/>
      <c r="AH178" s="56"/>
      <c r="AI178" s="56"/>
      <c r="AJ178" s="56"/>
      <c r="AK178" s="56"/>
      <c r="AL178" s="56"/>
      <c r="AM178" s="60"/>
      <c r="AN178" s="56"/>
      <c r="AO178" s="57"/>
      <c r="AP178" s="60"/>
      <c r="AQ178" s="57"/>
      <c r="AR178" s="60"/>
      <c r="AS178" s="57"/>
      <c r="AT178" s="57"/>
      <c r="AU178" s="57"/>
      <c r="AV178" s="57"/>
      <c r="AW178" s="57"/>
      <c r="AX178" s="57"/>
      <c r="AY178" s="57"/>
      <c r="AZ178" s="60"/>
      <c r="BA178" s="57"/>
      <c r="BB178" s="60"/>
      <c r="BC178" s="56"/>
      <c r="BD178" s="60"/>
      <c r="BE178" s="56"/>
      <c r="BF178" s="56"/>
      <c r="BG178" s="56"/>
      <c r="BH178" s="56"/>
      <c r="BI178" s="56"/>
      <c r="BJ178" s="56"/>
      <c r="BK178" s="56"/>
      <c r="BL178" s="60"/>
      <c r="BM178" s="56"/>
      <c r="BN178" s="60"/>
      <c r="BO178" s="57"/>
      <c r="BP178" s="60"/>
      <c r="BQ178" s="57"/>
      <c r="BR178" s="60"/>
      <c r="BS178" s="57"/>
      <c r="BT178" s="57"/>
      <c r="BU178" s="57"/>
      <c r="BV178" s="57"/>
      <c r="BW178" s="57"/>
      <c r="BX178" s="57"/>
      <c r="BY178" s="57"/>
      <c r="BZ178" s="60"/>
      <c r="CA178" s="57"/>
    </row>
    <row r="179" spans="1:79" x14ac:dyDescent="0.15">
      <c r="A179" s="55">
        <v>177</v>
      </c>
      <c r="B179" s="56"/>
      <c r="C179" s="56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7"/>
      <c r="P179" s="57"/>
      <c r="Q179" s="57"/>
      <c r="R179" s="57"/>
      <c r="S179" s="57"/>
      <c r="T179" s="57"/>
      <c r="U179" s="57"/>
      <c r="V179" s="57"/>
      <c r="W179" s="57"/>
      <c r="X179" s="57"/>
      <c r="Y179" s="57"/>
      <c r="Z179" s="57"/>
      <c r="AA179" s="57"/>
      <c r="AB179" s="56"/>
      <c r="AC179" s="60"/>
      <c r="AD179" s="56"/>
      <c r="AE179" s="60"/>
      <c r="AF179" s="56"/>
      <c r="AG179" s="56"/>
      <c r="AH179" s="56"/>
      <c r="AI179" s="56"/>
      <c r="AJ179" s="56"/>
      <c r="AK179" s="56"/>
      <c r="AL179" s="56"/>
      <c r="AM179" s="60"/>
      <c r="AN179" s="56"/>
      <c r="AO179" s="57"/>
      <c r="AP179" s="60"/>
      <c r="AQ179" s="57"/>
      <c r="AR179" s="60"/>
      <c r="AS179" s="57"/>
      <c r="AT179" s="57"/>
      <c r="AU179" s="57"/>
      <c r="AV179" s="57"/>
      <c r="AW179" s="57"/>
      <c r="AX179" s="57"/>
      <c r="AY179" s="57"/>
      <c r="AZ179" s="60"/>
      <c r="BA179" s="57"/>
      <c r="BB179" s="60"/>
      <c r="BC179" s="56"/>
      <c r="BD179" s="60"/>
      <c r="BE179" s="56"/>
      <c r="BF179" s="56"/>
      <c r="BG179" s="56"/>
      <c r="BH179" s="56"/>
      <c r="BI179" s="56"/>
      <c r="BJ179" s="56"/>
      <c r="BK179" s="56"/>
      <c r="BL179" s="60"/>
      <c r="BM179" s="56"/>
      <c r="BN179" s="60"/>
      <c r="BO179" s="57"/>
      <c r="BP179" s="60"/>
      <c r="BQ179" s="57"/>
      <c r="BR179" s="60"/>
      <c r="BS179" s="57"/>
      <c r="BT179" s="57"/>
      <c r="BU179" s="57"/>
      <c r="BV179" s="57"/>
      <c r="BW179" s="57"/>
      <c r="BX179" s="57"/>
      <c r="BY179" s="57"/>
      <c r="BZ179" s="60"/>
      <c r="CA179" s="57"/>
    </row>
    <row r="180" spans="1:79" x14ac:dyDescent="0.15">
      <c r="A180" s="55">
        <v>178</v>
      </c>
      <c r="B180" s="56"/>
      <c r="C180" s="56"/>
      <c r="D180" s="56"/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7"/>
      <c r="P180" s="57"/>
      <c r="Q180" s="57"/>
      <c r="R180" s="57"/>
      <c r="S180" s="57"/>
      <c r="T180" s="57"/>
      <c r="U180" s="57"/>
      <c r="V180" s="57"/>
      <c r="W180" s="57"/>
      <c r="X180" s="57"/>
      <c r="Y180" s="57"/>
      <c r="Z180" s="57"/>
      <c r="AA180" s="57"/>
      <c r="AB180" s="56"/>
      <c r="AC180" s="60"/>
      <c r="AD180" s="56"/>
      <c r="AE180" s="60"/>
      <c r="AF180" s="56"/>
      <c r="AG180" s="56"/>
      <c r="AH180" s="56"/>
      <c r="AI180" s="56"/>
      <c r="AJ180" s="56"/>
      <c r="AK180" s="56"/>
      <c r="AL180" s="56"/>
      <c r="AM180" s="60"/>
      <c r="AN180" s="56"/>
      <c r="AO180" s="57"/>
      <c r="AP180" s="60"/>
      <c r="AQ180" s="57"/>
      <c r="AR180" s="60"/>
      <c r="AS180" s="57"/>
      <c r="AT180" s="57"/>
      <c r="AU180" s="57"/>
      <c r="AV180" s="57"/>
      <c r="AW180" s="57"/>
      <c r="AX180" s="57"/>
      <c r="AY180" s="57"/>
      <c r="AZ180" s="60"/>
      <c r="BA180" s="57"/>
      <c r="BB180" s="60"/>
      <c r="BC180" s="56"/>
      <c r="BD180" s="60"/>
      <c r="BE180" s="56"/>
      <c r="BF180" s="56"/>
      <c r="BG180" s="56"/>
      <c r="BH180" s="56"/>
      <c r="BI180" s="56"/>
      <c r="BJ180" s="56"/>
      <c r="BK180" s="56"/>
      <c r="BL180" s="60"/>
      <c r="BM180" s="56"/>
      <c r="BN180" s="60"/>
      <c r="BO180" s="57"/>
      <c r="BP180" s="60"/>
      <c r="BQ180" s="57"/>
      <c r="BR180" s="60"/>
      <c r="BS180" s="57"/>
      <c r="BT180" s="57"/>
      <c r="BU180" s="57"/>
      <c r="BV180" s="57"/>
      <c r="BW180" s="57"/>
      <c r="BX180" s="57"/>
      <c r="BY180" s="57"/>
      <c r="BZ180" s="60"/>
      <c r="CA180" s="57"/>
    </row>
    <row r="181" spans="1:79" x14ac:dyDescent="0.15">
      <c r="A181" s="55">
        <v>179</v>
      </c>
      <c r="B181" s="56"/>
      <c r="C181" s="56"/>
      <c r="D181" s="56"/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7"/>
      <c r="P181" s="57"/>
      <c r="Q181" s="57"/>
      <c r="R181" s="57"/>
      <c r="S181" s="57"/>
      <c r="T181" s="57"/>
      <c r="U181" s="57"/>
      <c r="V181" s="57"/>
      <c r="W181" s="57"/>
      <c r="X181" s="57"/>
      <c r="Y181" s="57"/>
      <c r="Z181" s="57"/>
      <c r="AA181" s="57"/>
      <c r="AB181" s="56"/>
      <c r="AC181" s="60"/>
      <c r="AD181" s="56"/>
      <c r="AE181" s="60"/>
      <c r="AF181" s="56"/>
      <c r="AG181" s="56"/>
      <c r="AH181" s="56"/>
      <c r="AI181" s="56"/>
      <c r="AJ181" s="56"/>
      <c r="AK181" s="56"/>
      <c r="AL181" s="56"/>
      <c r="AM181" s="60"/>
      <c r="AN181" s="56"/>
      <c r="AO181" s="57"/>
      <c r="AP181" s="60"/>
      <c r="AQ181" s="57"/>
      <c r="AR181" s="60"/>
      <c r="AS181" s="57"/>
      <c r="AT181" s="57"/>
      <c r="AU181" s="57"/>
      <c r="AV181" s="57"/>
      <c r="AW181" s="57"/>
      <c r="AX181" s="57"/>
      <c r="AY181" s="57"/>
      <c r="AZ181" s="60"/>
      <c r="BA181" s="57"/>
      <c r="BB181" s="60"/>
      <c r="BC181" s="56"/>
      <c r="BD181" s="60"/>
      <c r="BE181" s="56"/>
      <c r="BF181" s="56"/>
      <c r="BG181" s="56"/>
      <c r="BH181" s="56"/>
      <c r="BI181" s="56"/>
      <c r="BJ181" s="56"/>
      <c r="BK181" s="56"/>
      <c r="BL181" s="60"/>
      <c r="BM181" s="56"/>
      <c r="BN181" s="60"/>
      <c r="BO181" s="57"/>
      <c r="BP181" s="60"/>
      <c r="BQ181" s="57"/>
      <c r="BR181" s="60"/>
      <c r="BS181" s="57"/>
      <c r="BT181" s="57"/>
      <c r="BU181" s="57"/>
      <c r="BV181" s="57"/>
      <c r="BW181" s="57"/>
      <c r="BX181" s="57"/>
      <c r="BY181" s="57"/>
      <c r="BZ181" s="60"/>
      <c r="CA181" s="57"/>
    </row>
    <row r="182" spans="1:79" x14ac:dyDescent="0.15">
      <c r="A182" s="55">
        <v>180</v>
      </c>
      <c r="B182" s="56"/>
      <c r="C182" s="56"/>
      <c r="D182" s="56"/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7"/>
      <c r="P182" s="57"/>
      <c r="Q182" s="57"/>
      <c r="R182" s="57"/>
      <c r="S182" s="57"/>
      <c r="T182" s="57"/>
      <c r="U182" s="57"/>
      <c r="V182" s="57"/>
      <c r="W182" s="57"/>
      <c r="X182" s="57"/>
      <c r="Y182" s="57"/>
      <c r="Z182" s="57"/>
      <c r="AA182" s="57"/>
      <c r="AB182" s="56"/>
      <c r="AC182" s="60"/>
      <c r="AD182" s="56"/>
      <c r="AE182" s="60"/>
      <c r="AF182" s="56"/>
      <c r="AG182" s="56"/>
      <c r="AH182" s="56"/>
      <c r="AI182" s="56"/>
      <c r="AJ182" s="56"/>
      <c r="AK182" s="56"/>
      <c r="AL182" s="56"/>
      <c r="AM182" s="60"/>
      <c r="AN182" s="56"/>
      <c r="AO182" s="57"/>
      <c r="AP182" s="60"/>
      <c r="AQ182" s="57"/>
      <c r="AR182" s="60"/>
      <c r="AS182" s="57"/>
      <c r="AT182" s="57"/>
      <c r="AU182" s="57"/>
      <c r="AV182" s="57"/>
      <c r="AW182" s="57"/>
      <c r="AX182" s="57"/>
      <c r="AY182" s="57"/>
      <c r="AZ182" s="60"/>
      <c r="BA182" s="57"/>
      <c r="BB182" s="60"/>
      <c r="BC182" s="56"/>
      <c r="BD182" s="60"/>
      <c r="BE182" s="56"/>
      <c r="BF182" s="56"/>
      <c r="BG182" s="56"/>
      <c r="BH182" s="56"/>
      <c r="BI182" s="56"/>
      <c r="BJ182" s="56"/>
      <c r="BK182" s="56"/>
      <c r="BL182" s="60"/>
      <c r="BM182" s="56"/>
      <c r="BN182" s="60"/>
      <c r="BO182" s="57"/>
      <c r="BP182" s="60"/>
      <c r="BQ182" s="57"/>
      <c r="BR182" s="60"/>
      <c r="BS182" s="57"/>
      <c r="BT182" s="57"/>
      <c r="BU182" s="57"/>
      <c r="BV182" s="57"/>
      <c r="BW182" s="57"/>
      <c r="BX182" s="57"/>
      <c r="BY182" s="57"/>
      <c r="BZ182" s="60"/>
      <c r="CA182" s="57"/>
    </row>
  </sheetData>
  <mergeCells count="7">
    <mergeCell ref="BO1:CA1"/>
    <mergeCell ref="AO1:BA1"/>
    <mergeCell ref="AB1:AN1"/>
    <mergeCell ref="A1:A2"/>
    <mergeCell ref="O1:AA1"/>
    <mergeCell ref="B1:N1"/>
    <mergeCell ref="BB1:BN1"/>
  </mergeCells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M205"/>
  <sheetViews>
    <sheetView zoomScale="70" zoomScaleNormal="70" workbookViewId="0">
      <selection activeCell="F3" sqref="F3"/>
    </sheetView>
  </sheetViews>
  <sheetFormatPr defaultRowHeight="14.25" x14ac:dyDescent="0.15"/>
  <cols>
    <col min="1" max="1" width="9" style="51"/>
    <col min="2" max="16384" width="9" style="47"/>
  </cols>
  <sheetData>
    <row r="1" spans="1:91" x14ac:dyDescent="0.15">
      <c r="A1" s="149" t="s">
        <v>145</v>
      </c>
      <c r="B1" s="147" t="s">
        <v>146</v>
      </c>
      <c r="C1" s="147"/>
      <c r="D1" s="147"/>
      <c r="E1" s="147"/>
      <c r="F1" s="147"/>
      <c r="G1" s="147"/>
      <c r="H1" s="147"/>
      <c r="I1" s="147"/>
      <c r="J1" s="147"/>
      <c r="K1" s="147" t="s">
        <v>147</v>
      </c>
      <c r="L1" s="147"/>
      <c r="M1" s="147"/>
      <c r="N1" s="147"/>
      <c r="O1" s="147"/>
      <c r="P1" s="147"/>
      <c r="Q1" s="147"/>
      <c r="R1" s="147"/>
      <c r="S1" s="147"/>
      <c r="T1" s="147" t="s">
        <v>148</v>
      </c>
      <c r="U1" s="147"/>
      <c r="V1" s="147"/>
      <c r="W1" s="147"/>
      <c r="X1" s="147"/>
      <c r="Y1" s="147"/>
      <c r="Z1" s="147"/>
      <c r="AA1" s="147"/>
      <c r="AB1" s="147"/>
      <c r="AC1" s="147" t="s">
        <v>144</v>
      </c>
      <c r="AD1" s="147"/>
      <c r="AE1" s="147"/>
      <c r="AF1" s="147"/>
      <c r="AG1" s="147"/>
      <c r="AH1" s="147"/>
      <c r="AI1" s="147"/>
      <c r="AJ1" s="147"/>
      <c r="AK1" s="147"/>
      <c r="AL1" s="147" t="s">
        <v>149</v>
      </c>
      <c r="AM1" s="147"/>
      <c r="AN1" s="147"/>
      <c r="AO1" s="147"/>
      <c r="AP1" s="147"/>
      <c r="AQ1" s="147"/>
      <c r="AR1" s="147"/>
      <c r="AS1" s="147"/>
      <c r="AT1" s="147"/>
      <c r="AU1" s="147" t="s">
        <v>150</v>
      </c>
      <c r="AV1" s="147"/>
      <c r="AW1" s="147"/>
      <c r="AX1" s="147"/>
      <c r="AY1" s="147"/>
      <c r="AZ1" s="147"/>
      <c r="BA1" s="147"/>
      <c r="BB1" s="147"/>
      <c r="BC1" s="147"/>
      <c r="BD1" s="147" t="s">
        <v>174</v>
      </c>
      <c r="BE1" s="147"/>
      <c r="BF1" s="147"/>
      <c r="BG1" s="147"/>
      <c r="BH1" s="147"/>
      <c r="BI1" s="147"/>
      <c r="BJ1" s="147"/>
      <c r="BK1" s="147"/>
      <c r="BL1" s="147"/>
      <c r="BM1" s="148" t="s">
        <v>165</v>
      </c>
      <c r="BN1" s="148"/>
      <c r="BO1" s="148"/>
      <c r="BP1" s="148"/>
      <c r="BQ1" s="148"/>
      <c r="BR1" s="148"/>
      <c r="BS1" s="148"/>
      <c r="BT1" s="148"/>
      <c r="BU1" s="148"/>
      <c r="BV1" s="148" t="s">
        <v>184</v>
      </c>
      <c r="BW1" s="148"/>
      <c r="BX1" s="148"/>
      <c r="BY1" s="148"/>
      <c r="BZ1" s="148"/>
      <c r="CA1" s="148"/>
      <c r="CB1" s="148"/>
      <c r="CC1" s="148"/>
      <c r="CD1" s="148"/>
      <c r="CE1" s="147" t="s">
        <v>175</v>
      </c>
      <c r="CF1" s="147"/>
      <c r="CG1" s="147"/>
      <c r="CH1" s="147"/>
      <c r="CI1" s="147"/>
      <c r="CJ1" s="147"/>
      <c r="CK1" s="147"/>
      <c r="CL1" s="147"/>
      <c r="CM1" s="147"/>
    </row>
    <row r="2" spans="1:91" s="49" customFormat="1" x14ac:dyDescent="0.15">
      <c r="A2" s="15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</v>
      </c>
      <c r="L2" s="40">
        <v>2</v>
      </c>
      <c r="M2" s="40">
        <v>3</v>
      </c>
      <c r="N2" s="40">
        <v>4</v>
      </c>
      <c r="O2" s="40">
        <v>5</v>
      </c>
      <c r="P2" s="40">
        <v>6</v>
      </c>
      <c r="Q2" s="40">
        <v>7</v>
      </c>
      <c r="R2" s="40">
        <v>8</v>
      </c>
      <c r="S2" s="40">
        <v>9</v>
      </c>
      <c r="T2" s="40">
        <v>1</v>
      </c>
      <c r="U2" s="40">
        <v>2</v>
      </c>
      <c r="V2" s="40">
        <v>3</v>
      </c>
      <c r="W2" s="40">
        <v>4</v>
      </c>
      <c r="X2" s="40">
        <v>5</v>
      </c>
      <c r="Y2" s="40">
        <v>6</v>
      </c>
      <c r="Z2" s="40">
        <v>7</v>
      </c>
      <c r="AA2" s="40">
        <v>8</v>
      </c>
      <c r="AB2" s="40">
        <v>9</v>
      </c>
      <c r="AC2" s="40">
        <v>1</v>
      </c>
      <c r="AD2" s="40">
        <v>2</v>
      </c>
      <c r="AE2" s="40">
        <v>3</v>
      </c>
      <c r="AF2" s="40">
        <v>4</v>
      </c>
      <c r="AG2" s="40">
        <v>5</v>
      </c>
      <c r="AH2" s="40">
        <v>6</v>
      </c>
      <c r="AI2" s="40">
        <v>7</v>
      </c>
      <c r="AJ2" s="40">
        <v>8</v>
      </c>
      <c r="AK2" s="40">
        <v>9</v>
      </c>
      <c r="AL2" s="40">
        <v>1</v>
      </c>
      <c r="AM2" s="40">
        <v>2</v>
      </c>
      <c r="AN2" s="40">
        <v>3</v>
      </c>
      <c r="AO2" s="40">
        <v>4</v>
      </c>
      <c r="AP2" s="40">
        <v>5</v>
      </c>
      <c r="AQ2" s="40">
        <v>6</v>
      </c>
      <c r="AR2" s="40">
        <v>7</v>
      </c>
      <c r="AS2" s="40">
        <v>8</v>
      </c>
      <c r="AT2" s="40">
        <v>9</v>
      </c>
      <c r="AU2" s="40">
        <v>1</v>
      </c>
      <c r="AV2" s="40">
        <v>2</v>
      </c>
      <c r="AW2" s="40">
        <v>3</v>
      </c>
      <c r="AX2" s="40">
        <v>4</v>
      </c>
      <c r="AY2" s="40">
        <v>5</v>
      </c>
      <c r="AZ2" s="40">
        <v>6</v>
      </c>
      <c r="BA2" s="40">
        <v>7</v>
      </c>
      <c r="BB2" s="40">
        <v>8</v>
      </c>
      <c r="BC2" s="40">
        <v>9</v>
      </c>
      <c r="BD2" s="40">
        <v>1</v>
      </c>
      <c r="BE2" s="40">
        <v>2</v>
      </c>
      <c r="BF2" s="40">
        <v>3</v>
      </c>
      <c r="BG2" s="40">
        <v>4</v>
      </c>
      <c r="BH2" s="40">
        <v>5</v>
      </c>
      <c r="BI2" s="40">
        <v>6</v>
      </c>
      <c r="BJ2" s="40">
        <v>7</v>
      </c>
      <c r="BK2" s="40">
        <v>8</v>
      </c>
      <c r="BL2" s="40">
        <v>9</v>
      </c>
      <c r="BM2" s="48">
        <v>1</v>
      </c>
      <c r="BN2" s="48">
        <v>2</v>
      </c>
      <c r="BO2" s="48">
        <v>3</v>
      </c>
      <c r="BP2" s="48">
        <v>4</v>
      </c>
      <c r="BQ2" s="48">
        <v>5</v>
      </c>
      <c r="BR2" s="48">
        <v>6</v>
      </c>
      <c r="BS2" s="48">
        <v>7</v>
      </c>
      <c r="BT2" s="48">
        <v>8</v>
      </c>
      <c r="BU2" s="48">
        <v>9</v>
      </c>
      <c r="BV2" s="48">
        <v>1</v>
      </c>
      <c r="BW2" s="48">
        <v>2</v>
      </c>
      <c r="BX2" s="48">
        <v>3</v>
      </c>
      <c r="BY2" s="48">
        <v>4</v>
      </c>
      <c r="BZ2" s="48">
        <v>5</v>
      </c>
      <c r="CA2" s="48">
        <v>6</v>
      </c>
      <c r="CB2" s="48">
        <v>7</v>
      </c>
      <c r="CC2" s="48">
        <v>8</v>
      </c>
      <c r="CD2" s="48">
        <v>9</v>
      </c>
      <c r="CE2" s="40">
        <v>1</v>
      </c>
      <c r="CF2" s="40">
        <v>2</v>
      </c>
      <c r="CG2" s="40">
        <v>3</v>
      </c>
      <c r="CH2" s="40">
        <v>4</v>
      </c>
      <c r="CI2" s="40">
        <v>5</v>
      </c>
      <c r="CJ2" s="40">
        <v>6</v>
      </c>
      <c r="CK2" s="40">
        <v>7</v>
      </c>
      <c r="CL2" s="40">
        <v>8</v>
      </c>
      <c r="CM2" s="40">
        <v>9</v>
      </c>
    </row>
    <row r="3" spans="1:91" x14ac:dyDescent="0.15">
      <c r="A3" s="41">
        <v>1</v>
      </c>
      <c r="B3" s="42">
        <v>1</v>
      </c>
      <c r="C3" s="42">
        <v>1</v>
      </c>
      <c r="D3" s="42">
        <v>1</v>
      </c>
      <c r="E3" s="42">
        <v>1</v>
      </c>
      <c r="F3" s="42">
        <v>1</v>
      </c>
      <c r="G3" s="42">
        <v>1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0</v>
      </c>
      <c r="N3" s="42">
        <v>0</v>
      </c>
      <c r="O3" s="42">
        <v>0</v>
      </c>
      <c r="P3" s="42">
        <v>0</v>
      </c>
      <c r="Q3" s="42">
        <v>0</v>
      </c>
      <c r="R3" s="42">
        <v>0</v>
      </c>
      <c r="S3" s="42">
        <v>0</v>
      </c>
      <c r="T3" s="88"/>
      <c r="U3" s="88"/>
      <c r="V3" s="88"/>
      <c r="W3" s="88"/>
      <c r="X3" s="88"/>
      <c r="Y3" s="88"/>
      <c r="Z3" s="88"/>
      <c r="AA3" s="88"/>
      <c r="AB3" s="88"/>
      <c r="AC3" s="43">
        <f>D200</f>
        <v>0</v>
      </c>
      <c r="AD3" s="43">
        <f>F200</f>
        <v>0</v>
      </c>
      <c r="AE3" s="43">
        <f>G200</f>
        <v>0</v>
      </c>
      <c r="AF3" s="43">
        <f t="shared" ref="AF3:AJ3" si="0">H200</f>
        <v>0</v>
      </c>
      <c r="AG3" s="43">
        <f t="shared" si="0"/>
        <v>0</v>
      </c>
      <c r="AH3" s="43">
        <f t="shared" si="0"/>
        <v>0</v>
      </c>
      <c r="AI3" s="43">
        <f t="shared" si="0"/>
        <v>0</v>
      </c>
      <c r="AJ3" s="43">
        <f t="shared" si="0"/>
        <v>0</v>
      </c>
      <c r="AK3" s="43">
        <f>N200</f>
        <v>0</v>
      </c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4"/>
      <c r="BE3" s="44"/>
      <c r="BF3" s="44"/>
      <c r="BG3" s="44"/>
      <c r="BH3" s="44"/>
      <c r="BI3" s="44"/>
      <c r="BJ3" s="44"/>
      <c r="BK3" s="44"/>
      <c r="BL3" s="44"/>
      <c r="BM3" s="50"/>
      <c r="BN3" s="50"/>
      <c r="BO3" s="50"/>
      <c r="BP3" s="50"/>
      <c r="BQ3" s="50"/>
      <c r="BR3" s="50"/>
      <c r="BS3" s="50"/>
      <c r="BT3" s="50"/>
      <c r="BU3" s="50"/>
      <c r="BV3" s="50"/>
      <c r="BW3" s="50"/>
      <c r="BX3" s="50"/>
      <c r="BY3" s="50"/>
      <c r="BZ3" s="50"/>
      <c r="CA3" s="50"/>
      <c r="CB3" s="50"/>
      <c r="CC3" s="50"/>
      <c r="CD3" s="50"/>
      <c r="CE3" s="42">
        <v>0</v>
      </c>
      <c r="CF3" s="42">
        <v>0</v>
      </c>
      <c r="CG3" s="42">
        <v>0</v>
      </c>
      <c r="CH3" s="42">
        <v>0</v>
      </c>
      <c r="CI3" s="42">
        <v>0</v>
      </c>
      <c r="CJ3" s="42">
        <v>0</v>
      </c>
      <c r="CK3" s="42">
        <v>0</v>
      </c>
      <c r="CL3" s="42">
        <v>0</v>
      </c>
      <c r="CM3" s="42">
        <v>0</v>
      </c>
    </row>
    <row r="4" spans="1:91" x14ac:dyDescent="0.15">
      <c r="A4" s="41">
        <v>2</v>
      </c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  <c r="AS4" s="43"/>
      <c r="AT4" s="43"/>
      <c r="AU4" s="43"/>
      <c r="AV4" s="43"/>
      <c r="AW4" s="43"/>
      <c r="AX4" s="43"/>
      <c r="AY4" s="43"/>
      <c r="AZ4" s="43"/>
      <c r="BA4" s="43"/>
      <c r="BB4" s="43"/>
      <c r="BC4" s="43"/>
      <c r="BD4" s="43"/>
      <c r="BE4" s="43"/>
      <c r="BF4" s="43"/>
      <c r="BG4" s="43"/>
      <c r="BH4" s="43"/>
      <c r="BI4" s="43"/>
      <c r="BJ4" s="43"/>
      <c r="BK4" s="43"/>
      <c r="BL4" s="43"/>
      <c r="BM4" s="50"/>
      <c r="BN4" s="50"/>
      <c r="BO4" s="50"/>
      <c r="BP4" s="50"/>
      <c r="BQ4" s="50"/>
      <c r="BR4" s="50"/>
      <c r="BS4" s="50"/>
      <c r="BT4" s="50"/>
      <c r="BU4" s="50"/>
      <c r="BV4" s="50"/>
      <c r="BW4" s="50"/>
      <c r="BX4" s="50"/>
      <c r="BY4" s="50"/>
      <c r="BZ4" s="50"/>
      <c r="CA4" s="50"/>
      <c r="CB4" s="50"/>
      <c r="CC4" s="50"/>
      <c r="CD4" s="50"/>
      <c r="CE4" s="52"/>
      <c r="CF4" s="52"/>
      <c r="CG4" s="52"/>
      <c r="CH4" s="52"/>
      <c r="CI4" s="52"/>
      <c r="CJ4" s="52"/>
      <c r="CK4" s="52"/>
      <c r="CL4" s="52"/>
      <c r="CM4" s="52"/>
    </row>
    <row r="5" spans="1:91" x14ac:dyDescent="0.15">
      <c r="A5" s="41">
        <v>3</v>
      </c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  <c r="AS5" s="43"/>
      <c r="AT5" s="43"/>
      <c r="AU5" s="43"/>
      <c r="AV5" s="43"/>
      <c r="AW5" s="43"/>
      <c r="AX5" s="43"/>
      <c r="AY5" s="43"/>
      <c r="AZ5" s="43"/>
      <c r="BA5" s="43"/>
      <c r="BB5" s="43"/>
      <c r="BC5" s="43"/>
      <c r="BD5" s="43"/>
      <c r="BE5" s="43"/>
      <c r="BF5" s="43"/>
      <c r="BG5" s="43"/>
      <c r="BH5" s="43"/>
      <c r="BI5" s="43"/>
      <c r="BJ5" s="43"/>
      <c r="BK5" s="43"/>
      <c r="BL5" s="43"/>
      <c r="BM5" s="50"/>
      <c r="BN5" s="50"/>
      <c r="BO5" s="50"/>
      <c r="BP5" s="50"/>
      <c r="BQ5" s="50"/>
      <c r="BR5" s="50"/>
      <c r="BS5" s="50"/>
      <c r="BT5" s="50"/>
      <c r="BU5" s="50"/>
      <c r="BV5" s="50"/>
      <c r="BW5" s="50"/>
      <c r="BX5" s="50"/>
      <c r="BY5" s="50"/>
      <c r="BZ5" s="50"/>
      <c r="CA5" s="50"/>
      <c r="CB5" s="50"/>
      <c r="CC5" s="50"/>
      <c r="CD5" s="50"/>
      <c r="CE5" s="52"/>
      <c r="CF5" s="52"/>
      <c r="CG5" s="52"/>
      <c r="CH5" s="52"/>
      <c r="CI5" s="52"/>
      <c r="CJ5" s="52"/>
      <c r="CK5" s="52"/>
      <c r="CL5" s="52"/>
      <c r="CM5" s="52"/>
    </row>
    <row r="6" spans="1:91" x14ac:dyDescent="0.15">
      <c r="A6" s="41">
        <v>4</v>
      </c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  <c r="AS6" s="43"/>
      <c r="AT6" s="43"/>
      <c r="AU6" s="43"/>
      <c r="AV6" s="43"/>
      <c r="AW6" s="43"/>
      <c r="AX6" s="43"/>
      <c r="AY6" s="43"/>
      <c r="AZ6" s="43"/>
      <c r="BA6" s="43"/>
      <c r="BB6" s="43"/>
      <c r="BC6" s="43"/>
      <c r="BD6" s="43"/>
      <c r="BE6" s="43"/>
      <c r="BF6" s="43"/>
      <c r="BG6" s="43"/>
      <c r="BH6" s="43"/>
      <c r="BI6" s="43"/>
      <c r="BJ6" s="43"/>
      <c r="BK6" s="43"/>
      <c r="BL6" s="43"/>
      <c r="BM6" s="50"/>
      <c r="BN6" s="50"/>
      <c r="BO6" s="50"/>
      <c r="BP6" s="50"/>
      <c r="BQ6" s="50"/>
      <c r="BR6" s="50"/>
      <c r="BS6" s="50"/>
      <c r="BT6" s="50"/>
      <c r="BU6" s="50"/>
      <c r="BV6" s="50"/>
      <c r="BW6" s="50"/>
      <c r="BX6" s="50"/>
      <c r="BY6" s="50"/>
      <c r="BZ6" s="50"/>
      <c r="CA6" s="50"/>
      <c r="CB6" s="50"/>
      <c r="CC6" s="50"/>
      <c r="CD6" s="50"/>
      <c r="CE6" s="52"/>
      <c r="CF6" s="52"/>
      <c r="CG6" s="52"/>
      <c r="CH6" s="52"/>
      <c r="CI6" s="52"/>
      <c r="CJ6" s="52"/>
      <c r="CK6" s="52"/>
      <c r="CL6" s="52"/>
      <c r="CM6" s="52"/>
    </row>
    <row r="7" spans="1:91" x14ac:dyDescent="0.15">
      <c r="A7" s="41">
        <v>5</v>
      </c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3"/>
      <c r="AY7" s="43"/>
      <c r="AZ7" s="43"/>
      <c r="BA7" s="43"/>
      <c r="BB7" s="43"/>
      <c r="BC7" s="43"/>
      <c r="BD7" s="43"/>
      <c r="BE7" s="43"/>
      <c r="BF7" s="43"/>
      <c r="BG7" s="43"/>
      <c r="BH7" s="43"/>
      <c r="BI7" s="43"/>
      <c r="BJ7" s="43"/>
      <c r="BK7" s="43"/>
      <c r="BL7" s="43"/>
      <c r="BM7" s="50"/>
      <c r="BN7" s="50"/>
      <c r="BO7" s="50"/>
      <c r="BP7" s="50"/>
      <c r="BQ7" s="50"/>
      <c r="BR7" s="50"/>
      <c r="BS7" s="50"/>
      <c r="BT7" s="50"/>
      <c r="BU7" s="50"/>
      <c r="BV7" s="50"/>
      <c r="BW7" s="50"/>
      <c r="BX7" s="50"/>
      <c r="BY7" s="50"/>
      <c r="BZ7" s="50"/>
      <c r="CA7" s="50"/>
      <c r="CB7" s="50"/>
      <c r="CC7" s="50"/>
      <c r="CD7" s="50"/>
      <c r="CE7" s="52"/>
      <c r="CF7" s="52"/>
      <c r="CG7" s="52"/>
      <c r="CH7" s="52"/>
      <c r="CI7" s="52"/>
      <c r="CJ7" s="52"/>
      <c r="CK7" s="52"/>
      <c r="CL7" s="52"/>
      <c r="CM7" s="52"/>
    </row>
    <row r="8" spans="1:91" x14ac:dyDescent="0.15">
      <c r="A8" s="41">
        <v>6</v>
      </c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3"/>
      <c r="AY8" s="43"/>
      <c r="AZ8" s="43"/>
      <c r="BA8" s="43"/>
      <c r="BB8" s="43"/>
      <c r="BC8" s="43"/>
      <c r="BD8" s="43"/>
      <c r="BE8" s="43"/>
      <c r="BF8" s="43"/>
      <c r="BG8" s="43"/>
      <c r="BH8" s="43"/>
      <c r="BI8" s="43"/>
      <c r="BJ8" s="43"/>
      <c r="BK8" s="43"/>
      <c r="BL8" s="43"/>
      <c r="BM8" s="50"/>
      <c r="BN8" s="50"/>
      <c r="BO8" s="50"/>
      <c r="BP8" s="50"/>
      <c r="BQ8" s="50"/>
      <c r="BR8" s="50"/>
      <c r="BS8" s="50"/>
      <c r="BT8" s="50"/>
      <c r="BU8" s="50"/>
      <c r="BV8" s="50"/>
      <c r="BW8" s="50"/>
      <c r="BX8" s="50"/>
      <c r="BY8" s="50"/>
      <c r="BZ8" s="50"/>
      <c r="CA8" s="50"/>
      <c r="CB8" s="50"/>
      <c r="CC8" s="50"/>
      <c r="CD8" s="50"/>
      <c r="CE8" s="52"/>
      <c r="CF8" s="52"/>
      <c r="CG8" s="52"/>
      <c r="CH8" s="52"/>
      <c r="CI8" s="52"/>
      <c r="CJ8" s="52"/>
      <c r="CK8" s="52"/>
      <c r="CL8" s="52"/>
      <c r="CM8" s="52"/>
    </row>
    <row r="9" spans="1:91" x14ac:dyDescent="0.15">
      <c r="A9" s="41">
        <v>7</v>
      </c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  <c r="AS9" s="43"/>
      <c r="AT9" s="43"/>
      <c r="AU9" s="43"/>
      <c r="AV9" s="43"/>
      <c r="AW9" s="43"/>
      <c r="AX9" s="43"/>
      <c r="AY9" s="43"/>
      <c r="AZ9" s="43"/>
      <c r="BA9" s="43"/>
      <c r="BB9" s="43"/>
      <c r="BC9" s="43"/>
      <c r="BD9" s="43"/>
      <c r="BE9" s="43"/>
      <c r="BF9" s="43"/>
      <c r="BG9" s="43"/>
      <c r="BH9" s="43"/>
      <c r="BI9" s="43"/>
      <c r="BJ9" s="43"/>
      <c r="BK9" s="43"/>
      <c r="BL9" s="43"/>
      <c r="BM9" s="50"/>
      <c r="BN9" s="50"/>
      <c r="BO9" s="50"/>
      <c r="BP9" s="50"/>
      <c r="BQ9" s="50"/>
      <c r="BR9" s="50"/>
      <c r="BS9" s="50"/>
      <c r="BT9" s="50"/>
      <c r="BU9" s="50"/>
      <c r="BV9" s="50"/>
      <c r="BW9" s="50"/>
      <c r="BX9" s="50"/>
      <c r="BY9" s="50"/>
      <c r="BZ9" s="50"/>
      <c r="CA9" s="50"/>
      <c r="CB9" s="50"/>
      <c r="CC9" s="50"/>
      <c r="CD9" s="50"/>
      <c r="CE9" s="52"/>
      <c r="CF9" s="52"/>
      <c r="CG9" s="52"/>
      <c r="CH9" s="52"/>
      <c r="CI9" s="52"/>
      <c r="CJ9" s="52"/>
      <c r="CK9" s="52"/>
      <c r="CL9" s="52"/>
      <c r="CM9" s="52"/>
    </row>
    <row r="10" spans="1:91" x14ac:dyDescent="0.15">
      <c r="A10" s="41">
        <v>8</v>
      </c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  <c r="AS10" s="43"/>
      <c r="AT10" s="43"/>
      <c r="AU10" s="43"/>
      <c r="AV10" s="43"/>
      <c r="AW10" s="43"/>
      <c r="AX10" s="43"/>
      <c r="AY10" s="43"/>
      <c r="AZ10" s="43"/>
      <c r="BA10" s="43"/>
      <c r="BB10" s="43"/>
      <c r="BC10" s="43"/>
      <c r="BD10" s="43"/>
      <c r="BE10" s="43"/>
      <c r="BF10" s="43"/>
      <c r="BG10" s="43"/>
      <c r="BH10" s="43"/>
      <c r="BI10" s="43"/>
      <c r="BJ10" s="43"/>
      <c r="BK10" s="43"/>
      <c r="BL10" s="43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2"/>
      <c r="CF10" s="52"/>
      <c r="CG10" s="52"/>
      <c r="CH10" s="52"/>
      <c r="CI10" s="52"/>
      <c r="CJ10" s="52"/>
      <c r="CK10" s="52"/>
      <c r="CL10" s="52"/>
      <c r="CM10" s="52"/>
    </row>
    <row r="11" spans="1:91" x14ac:dyDescent="0.15">
      <c r="A11" s="41">
        <v>9</v>
      </c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2"/>
      <c r="CF11" s="52"/>
      <c r="CG11" s="52"/>
      <c r="CH11" s="52"/>
      <c r="CI11" s="52"/>
      <c r="CJ11" s="52"/>
      <c r="CK11" s="52"/>
      <c r="CL11" s="52"/>
      <c r="CM11" s="52"/>
    </row>
    <row r="12" spans="1:91" x14ac:dyDescent="0.15">
      <c r="A12" s="41">
        <v>10</v>
      </c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3"/>
      <c r="AY12" s="43"/>
      <c r="AZ12" s="43"/>
      <c r="BA12" s="43"/>
      <c r="BB12" s="43"/>
      <c r="BC12" s="43"/>
      <c r="BD12" s="43"/>
      <c r="BE12" s="43"/>
      <c r="BF12" s="43"/>
      <c r="BG12" s="43"/>
      <c r="BH12" s="43"/>
      <c r="BI12" s="43"/>
      <c r="BJ12" s="43"/>
      <c r="BK12" s="43"/>
      <c r="BL12" s="43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2"/>
      <c r="CF12" s="52"/>
      <c r="CG12" s="52"/>
      <c r="CH12" s="52"/>
      <c r="CI12" s="52"/>
      <c r="CJ12" s="52"/>
      <c r="CK12" s="52"/>
      <c r="CL12" s="52"/>
      <c r="CM12" s="52"/>
    </row>
    <row r="13" spans="1:91" x14ac:dyDescent="0.15">
      <c r="A13" s="41">
        <v>11</v>
      </c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2"/>
      <c r="CF13" s="52"/>
      <c r="CG13" s="52"/>
      <c r="CH13" s="52"/>
      <c r="CI13" s="52"/>
      <c r="CJ13" s="52"/>
      <c r="CK13" s="52"/>
      <c r="CL13" s="52"/>
      <c r="CM13" s="52"/>
    </row>
    <row r="14" spans="1:91" x14ac:dyDescent="0.15">
      <c r="A14" s="41">
        <v>12</v>
      </c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3"/>
      <c r="AY14" s="43"/>
      <c r="AZ14" s="43"/>
      <c r="BA14" s="43"/>
      <c r="BB14" s="43"/>
      <c r="BC14" s="43"/>
      <c r="BD14" s="43"/>
      <c r="BE14" s="43"/>
      <c r="BF14" s="43"/>
      <c r="BG14" s="43"/>
      <c r="BH14" s="43"/>
      <c r="BI14" s="43"/>
      <c r="BJ14" s="43"/>
      <c r="BK14" s="43"/>
      <c r="BL14" s="43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2"/>
      <c r="CF14" s="52"/>
      <c r="CG14" s="52"/>
      <c r="CH14" s="52"/>
      <c r="CI14" s="52"/>
      <c r="CJ14" s="52"/>
      <c r="CK14" s="52"/>
      <c r="CL14" s="52"/>
      <c r="CM14" s="52"/>
    </row>
    <row r="15" spans="1:91" x14ac:dyDescent="0.15">
      <c r="A15" s="41">
        <v>13</v>
      </c>
      <c r="B15" s="45"/>
      <c r="C15" s="45"/>
      <c r="D15" s="45"/>
      <c r="E15" s="45"/>
      <c r="F15" s="45"/>
      <c r="G15" s="45"/>
      <c r="H15" s="45"/>
      <c r="I15" s="45"/>
      <c r="J15" s="45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3"/>
      <c r="AY15" s="43"/>
      <c r="AZ15" s="43"/>
      <c r="BA15" s="43"/>
      <c r="BB15" s="43"/>
      <c r="BC15" s="43"/>
      <c r="BD15" s="43"/>
      <c r="BE15" s="43"/>
      <c r="BF15" s="43"/>
      <c r="BG15" s="43"/>
      <c r="BH15" s="43"/>
      <c r="BI15" s="43"/>
      <c r="BJ15" s="43"/>
      <c r="BK15" s="43"/>
      <c r="BL15" s="43"/>
      <c r="BM15" s="50"/>
      <c r="BN15" s="50"/>
      <c r="BO15" s="50"/>
      <c r="BP15" s="50"/>
      <c r="BQ15" s="50"/>
      <c r="BR15" s="50"/>
      <c r="BS15" s="50"/>
      <c r="BT15" s="50"/>
      <c r="BU15" s="50"/>
      <c r="BV15" s="50"/>
      <c r="BW15" s="50"/>
      <c r="BX15" s="50"/>
      <c r="BY15" s="50"/>
      <c r="BZ15" s="50"/>
      <c r="CA15" s="50"/>
      <c r="CB15" s="50"/>
      <c r="CC15" s="50"/>
      <c r="CD15" s="50"/>
      <c r="CE15" s="52"/>
      <c r="CF15" s="52"/>
      <c r="CG15" s="52"/>
      <c r="CH15" s="52"/>
      <c r="CI15" s="52"/>
      <c r="CJ15" s="52"/>
      <c r="CK15" s="52"/>
      <c r="CL15" s="52"/>
      <c r="CM15" s="52"/>
    </row>
    <row r="16" spans="1:91" x14ac:dyDescent="0.15">
      <c r="A16" s="41">
        <v>14</v>
      </c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3"/>
      <c r="AU16" s="43"/>
      <c r="AV16" s="43"/>
      <c r="AW16" s="43"/>
      <c r="AX16" s="43"/>
      <c r="AY16" s="43"/>
      <c r="AZ16" s="43"/>
      <c r="BA16" s="43"/>
      <c r="BB16" s="43"/>
      <c r="BC16" s="43"/>
      <c r="BD16" s="43"/>
      <c r="BE16" s="43"/>
      <c r="BF16" s="43"/>
      <c r="BG16" s="43"/>
      <c r="BH16" s="43"/>
      <c r="BI16" s="43"/>
      <c r="BJ16" s="43"/>
      <c r="BK16" s="43"/>
      <c r="BL16" s="43"/>
      <c r="BM16" s="50"/>
      <c r="BN16" s="50"/>
      <c r="BO16" s="50"/>
      <c r="BP16" s="50"/>
      <c r="BQ16" s="50"/>
      <c r="BR16" s="50"/>
      <c r="BS16" s="50"/>
      <c r="BT16" s="50"/>
      <c r="BU16" s="50"/>
      <c r="BV16" s="50"/>
      <c r="BW16" s="50"/>
      <c r="BX16" s="50"/>
      <c r="BY16" s="50"/>
      <c r="BZ16" s="50"/>
      <c r="CA16" s="50"/>
      <c r="CB16" s="50"/>
      <c r="CC16" s="50"/>
      <c r="CD16" s="50"/>
      <c r="CE16" s="52"/>
      <c r="CF16" s="52"/>
      <c r="CG16" s="52"/>
      <c r="CH16" s="52"/>
      <c r="CI16" s="52"/>
      <c r="CJ16" s="52"/>
      <c r="CK16" s="52"/>
      <c r="CL16" s="52"/>
      <c r="CM16" s="52"/>
    </row>
    <row r="17" spans="1:91" x14ac:dyDescent="0.15">
      <c r="A17" s="41">
        <v>15</v>
      </c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  <c r="AS17" s="43"/>
      <c r="AT17" s="43"/>
      <c r="AU17" s="43"/>
      <c r="AV17" s="43"/>
      <c r="AW17" s="43"/>
      <c r="AX17" s="43"/>
      <c r="AY17" s="43"/>
      <c r="AZ17" s="43"/>
      <c r="BA17" s="43"/>
      <c r="BB17" s="43"/>
      <c r="BC17" s="43"/>
      <c r="BD17" s="43"/>
      <c r="BE17" s="43"/>
      <c r="BF17" s="43"/>
      <c r="BG17" s="43"/>
      <c r="BH17" s="43"/>
      <c r="BI17" s="43"/>
      <c r="BJ17" s="43"/>
      <c r="BK17" s="43"/>
      <c r="BL17" s="43"/>
      <c r="BM17" s="50"/>
      <c r="BN17" s="50"/>
      <c r="BO17" s="50"/>
      <c r="BP17" s="50"/>
      <c r="BQ17" s="50"/>
      <c r="BR17" s="50"/>
      <c r="BS17" s="50"/>
      <c r="BT17" s="50"/>
      <c r="BU17" s="50"/>
      <c r="BV17" s="50"/>
      <c r="BW17" s="50"/>
      <c r="BX17" s="50"/>
      <c r="BY17" s="50"/>
      <c r="BZ17" s="50"/>
      <c r="CA17" s="50"/>
      <c r="CB17" s="50"/>
      <c r="CC17" s="50"/>
      <c r="CD17" s="50"/>
      <c r="CE17" s="52"/>
      <c r="CF17" s="52"/>
      <c r="CG17" s="52"/>
      <c r="CH17" s="52"/>
      <c r="CI17" s="52"/>
      <c r="CJ17" s="52"/>
      <c r="CK17" s="52"/>
      <c r="CL17" s="52"/>
      <c r="CM17" s="52"/>
    </row>
    <row r="18" spans="1:91" x14ac:dyDescent="0.15">
      <c r="A18" s="41">
        <v>16</v>
      </c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  <c r="AS18" s="43"/>
      <c r="AT18" s="43"/>
      <c r="AU18" s="43"/>
      <c r="AV18" s="43"/>
      <c r="AW18" s="43"/>
      <c r="AX18" s="43"/>
      <c r="AY18" s="43"/>
      <c r="AZ18" s="43"/>
      <c r="BA18" s="43"/>
      <c r="BB18" s="43"/>
      <c r="BC18" s="43"/>
      <c r="BD18" s="43"/>
      <c r="BE18" s="43"/>
      <c r="BF18" s="43"/>
      <c r="BG18" s="43"/>
      <c r="BH18" s="43"/>
      <c r="BI18" s="43"/>
      <c r="BJ18" s="43"/>
      <c r="BK18" s="43"/>
      <c r="BL18" s="43"/>
      <c r="BM18" s="50"/>
      <c r="BN18" s="50"/>
      <c r="BO18" s="50"/>
      <c r="BP18" s="50"/>
      <c r="BQ18" s="50"/>
      <c r="BR18" s="50"/>
      <c r="BS18" s="50"/>
      <c r="BT18" s="50"/>
      <c r="BU18" s="50"/>
      <c r="BV18" s="50"/>
      <c r="BW18" s="50"/>
      <c r="BX18" s="50"/>
      <c r="BY18" s="50"/>
      <c r="BZ18" s="50"/>
      <c r="CA18" s="50"/>
      <c r="CB18" s="50"/>
      <c r="CC18" s="50"/>
      <c r="CD18" s="50"/>
      <c r="CE18" s="52"/>
      <c r="CF18" s="52"/>
      <c r="CG18" s="52"/>
      <c r="CH18" s="52"/>
      <c r="CI18" s="52"/>
      <c r="CJ18" s="52"/>
      <c r="CK18" s="52"/>
      <c r="CL18" s="52"/>
      <c r="CM18" s="52"/>
    </row>
    <row r="19" spans="1:91" x14ac:dyDescent="0.15">
      <c r="A19" s="41">
        <v>17</v>
      </c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2"/>
      <c r="CF19" s="52"/>
      <c r="CG19" s="52"/>
      <c r="CH19" s="52"/>
      <c r="CI19" s="52"/>
      <c r="CJ19" s="52"/>
      <c r="CK19" s="52"/>
      <c r="CL19" s="52"/>
      <c r="CM19" s="52"/>
    </row>
    <row r="20" spans="1:91" x14ac:dyDescent="0.15">
      <c r="A20" s="41">
        <v>18</v>
      </c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  <c r="AS20" s="43"/>
      <c r="AT20" s="43"/>
      <c r="AU20" s="43"/>
      <c r="AV20" s="43"/>
      <c r="AW20" s="43"/>
      <c r="AX20" s="43"/>
      <c r="AY20" s="43"/>
      <c r="AZ20" s="43"/>
      <c r="BA20" s="43"/>
      <c r="BB20" s="43"/>
      <c r="BC20" s="43"/>
      <c r="BD20" s="43"/>
      <c r="BE20" s="43"/>
      <c r="BF20" s="43"/>
      <c r="BG20" s="43"/>
      <c r="BH20" s="43"/>
      <c r="BI20" s="43"/>
      <c r="BJ20" s="43"/>
      <c r="BK20" s="43"/>
      <c r="BL20" s="43"/>
      <c r="BM20" s="50"/>
      <c r="BN20" s="50"/>
      <c r="BO20" s="50"/>
      <c r="BP20" s="50"/>
      <c r="BQ20" s="50"/>
      <c r="BR20" s="50"/>
      <c r="BS20" s="50"/>
      <c r="BT20" s="50"/>
      <c r="BU20" s="50"/>
      <c r="BV20" s="50"/>
      <c r="BW20" s="50"/>
      <c r="BX20" s="50"/>
      <c r="BY20" s="50"/>
      <c r="BZ20" s="50"/>
      <c r="CA20" s="50"/>
      <c r="CB20" s="50"/>
      <c r="CC20" s="50"/>
      <c r="CD20" s="50"/>
      <c r="CE20" s="52"/>
      <c r="CF20" s="52"/>
      <c r="CG20" s="52"/>
      <c r="CH20" s="52"/>
      <c r="CI20" s="52"/>
      <c r="CJ20" s="52"/>
      <c r="CK20" s="52"/>
      <c r="CL20" s="52"/>
      <c r="CM20" s="52"/>
    </row>
    <row r="21" spans="1:91" x14ac:dyDescent="0.15">
      <c r="A21" s="41">
        <v>19</v>
      </c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  <c r="AS21" s="43"/>
      <c r="AT21" s="43"/>
      <c r="AU21" s="43"/>
      <c r="AV21" s="43"/>
      <c r="AW21" s="43"/>
      <c r="AX21" s="43"/>
      <c r="AY21" s="43"/>
      <c r="AZ21" s="43"/>
      <c r="BA21" s="43"/>
      <c r="BB21" s="43"/>
      <c r="BC21" s="43"/>
      <c r="BD21" s="43"/>
      <c r="BE21" s="43"/>
      <c r="BF21" s="43"/>
      <c r="BG21" s="43"/>
      <c r="BH21" s="43"/>
      <c r="BI21" s="43"/>
      <c r="BJ21" s="43"/>
      <c r="BK21" s="43"/>
      <c r="BL21" s="43"/>
      <c r="BM21" s="50"/>
      <c r="BN21" s="50"/>
      <c r="BO21" s="50"/>
      <c r="BP21" s="50"/>
      <c r="BQ21" s="50"/>
      <c r="BR21" s="50"/>
      <c r="BS21" s="50"/>
      <c r="BT21" s="50"/>
      <c r="BU21" s="50"/>
      <c r="BV21" s="50"/>
      <c r="BW21" s="50"/>
      <c r="BX21" s="50"/>
      <c r="BY21" s="50"/>
      <c r="BZ21" s="50"/>
      <c r="CA21" s="50"/>
      <c r="CB21" s="50"/>
      <c r="CC21" s="50"/>
      <c r="CD21" s="50"/>
      <c r="CE21" s="52"/>
      <c r="CF21" s="52"/>
      <c r="CG21" s="52"/>
      <c r="CH21" s="52"/>
      <c r="CI21" s="52"/>
      <c r="CJ21" s="52"/>
      <c r="CK21" s="52"/>
      <c r="CL21" s="52"/>
      <c r="CM21" s="52"/>
    </row>
    <row r="22" spans="1:91" x14ac:dyDescent="0.15">
      <c r="A22" s="41">
        <v>20</v>
      </c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  <c r="AS22" s="43"/>
      <c r="AT22" s="43"/>
      <c r="AU22" s="43"/>
      <c r="AV22" s="43"/>
      <c r="AW22" s="43"/>
      <c r="AX22" s="43"/>
      <c r="AY22" s="43"/>
      <c r="AZ22" s="43"/>
      <c r="BA22" s="43"/>
      <c r="BB22" s="43"/>
      <c r="BC22" s="43"/>
      <c r="BD22" s="43"/>
      <c r="BE22" s="43"/>
      <c r="BF22" s="43"/>
      <c r="BG22" s="43"/>
      <c r="BH22" s="43"/>
      <c r="BI22" s="43"/>
      <c r="BJ22" s="43"/>
      <c r="BK22" s="43"/>
      <c r="BL22" s="43"/>
      <c r="BM22" s="50"/>
      <c r="BN22" s="50"/>
      <c r="BO22" s="50"/>
      <c r="BP22" s="50"/>
      <c r="BQ22" s="50"/>
      <c r="BR22" s="50"/>
      <c r="BS22" s="50"/>
      <c r="BT22" s="50"/>
      <c r="BU22" s="50"/>
      <c r="BV22" s="50"/>
      <c r="BW22" s="50"/>
      <c r="BX22" s="50"/>
      <c r="BY22" s="50"/>
      <c r="BZ22" s="50"/>
      <c r="CA22" s="50"/>
      <c r="CB22" s="50"/>
      <c r="CC22" s="50"/>
      <c r="CD22" s="50"/>
      <c r="CE22" s="52"/>
      <c r="CF22" s="52"/>
      <c r="CG22" s="52"/>
      <c r="CH22" s="52"/>
      <c r="CI22" s="52"/>
      <c r="CJ22" s="52"/>
      <c r="CK22" s="52"/>
      <c r="CL22" s="52"/>
      <c r="CM22" s="52"/>
    </row>
    <row r="23" spans="1:91" x14ac:dyDescent="0.15">
      <c r="A23" s="41">
        <v>21</v>
      </c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  <c r="AS23" s="43"/>
      <c r="AT23" s="43"/>
      <c r="AU23" s="43"/>
      <c r="AV23" s="43"/>
      <c r="AW23" s="43"/>
      <c r="AX23" s="43"/>
      <c r="AY23" s="43"/>
      <c r="AZ23" s="43"/>
      <c r="BA23" s="43"/>
      <c r="BB23" s="43"/>
      <c r="BC23" s="43"/>
      <c r="BD23" s="43"/>
      <c r="BE23" s="43"/>
      <c r="BF23" s="43"/>
      <c r="BG23" s="43"/>
      <c r="BH23" s="43"/>
      <c r="BI23" s="43"/>
      <c r="BJ23" s="43"/>
      <c r="BK23" s="43"/>
      <c r="BL23" s="43"/>
      <c r="BM23" s="50"/>
      <c r="BN23" s="50"/>
      <c r="BO23" s="50"/>
      <c r="BP23" s="50"/>
      <c r="BQ23" s="50"/>
      <c r="BR23" s="50"/>
      <c r="BS23" s="50"/>
      <c r="BT23" s="50"/>
      <c r="BU23" s="50"/>
      <c r="BV23" s="50"/>
      <c r="BW23" s="50"/>
      <c r="BX23" s="50"/>
      <c r="BY23" s="50"/>
      <c r="BZ23" s="50"/>
      <c r="CA23" s="50"/>
      <c r="CB23" s="50"/>
      <c r="CC23" s="50"/>
      <c r="CD23" s="50"/>
      <c r="CE23" s="52"/>
      <c r="CF23" s="52"/>
      <c r="CG23" s="52"/>
      <c r="CH23" s="52"/>
      <c r="CI23" s="52"/>
      <c r="CJ23" s="52"/>
      <c r="CK23" s="52"/>
      <c r="CL23" s="52"/>
      <c r="CM23" s="52"/>
    </row>
    <row r="24" spans="1:91" x14ac:dyDescent="0.15">
      <c r="A24" s="41">
        <v>22</v>
      </c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3"/>
      <c r="BA24" s="43"/>
      <c r="BB24" s="43"/>
      <c r="BC24" s="43"/>
      <c r="BD24" s="43"/>
      <c r="BE24" s="43"/>
      <c r="BF24" s="43"/>
      <c r="BG24" s="43"/>
      <c r="BH24" s="43"/>
      <c r="BI24" s="43"/>
      <c r="BJ24" s="43"/>
      <c r="BK24" s="43"/>
      <c r="BL24" s="43"/>
      <c r="BM24" s="50"/>
      <c r="BN24" s="50"/>
      <c r="BO24" s="50"/>
      <c r="BP24" s="50"/>
      <c r="BQ24" s="50"/>
      <c r="BR24" s="50"/>
      <c r="BS24" s="50"/>
      <c r="BT24" s="50"/>
      <c r="BU24" s="50"/>
      <c r="BV24" s="50"/>
      <c r="BW24" s="50"/>
      <c r="BX24" s="50"/>
      <c r="BY24" s="50"/>
      <c r="BZ24" s="50"/>
      <c r="CA24" s="50"/>
      <c r="CB24" s="50"/>
      <c r="CC24" s="50"/>
      <c r="CD24" s="50"/>
      <c r="CE24" s="52"/>
      <c r="CF24" s="52"/>
      <c r="CG24" s="52"/>
      <c r="CH24" s="52"/>
      <c r="CI24" s="52"/>
      <c r="CJ24" s="52"/>
      <c r="CK24" s="52"/>
      <c r="CL24" s="52"/>
      <c r="CM24" s="52"/>
    </row>
    <row r="25" spans="1:91" x14ac:dyDescent="0.15">
      <c r="A25" s="41">
        <v>23</v>
      </c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3"/>
      <c r="BA25" s="43"/>
      <c r="BB25" s="43"/>
      <c r="BC25" s="43"/>
      <c r="BD25" s="43"/>
      <c r="BE25" s="43"/>
      <c r="BF25" s="43"/>
      <c r="BG25" s="43"/>
      <c r="BH25" s="43"/>
      <c r="BI25" s="43"/>
      <c r="BJ25" s="43"/>
      <c r="BK25" s="43"/>
      <c r="BL25" s="43"/>
      <c r="BM25" s="50"/>
      <c r="BN25" s="50"/>
      <c r="BO25" s="50"/>
      <c r="BP25" s="50"/>
      <c r="BQ25" s="50"/>
      <c r="BR25" s="50"/>
      <c r="BS25" s="50"/>
      <c r="BT25" s="50"/>
      <c r="BU25" s="50"/>
      <c r="BV25" s="50"/>
      <c r="BW25" s="50"/>
      <c r="BX25" s="50"/>
      <c r="BY25" s="50"/>
      <c r="BZ25" s="50"/>
      <c r="CA25" s="50"/>
      <c r="CB25" s="50"/>
      <c r="CC25" s="50"/>
      <c r="CD25" s="50"/>
      <c r="CE25" s="52"/>
      <c r="CF25" s="52"/>
      <c r="CG25" s="52"/>
      <c r="CH25" s="52"/>
      <c r="CI25" s="52"/>
      <c r="CJ25" s="52"/>
      <c r="CK25" s="52"/>
      <c r="CL25" s="52"/>
      <c r="CM25" s="52"/>
    </row>
    <row r="26" spans="1:91" x14ac:dyDescent="0.15">
      <c r="A26" s="41">
        <v>24</v>
      </c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3"/>
      <c r="BA26" s="43"/>
      <c r="BB26" s="43"/>
      <c r="BC26" s="43"/>
      <c r="BD26" s="43"/>
      <c r="BE26" s="43"/>
      <c r="BF26" s="43"/>
      <c r="BG26" s="43"/>
      <c r="BH26" s="43"/>
      <c r="BI26" s="43"/>
      <c r="BJ26" s="43"/>
      <c r="BK26" s="43"/>
      <c r="BL26" s="43"/>
      <c r="BM26" s="50"/>
      <c r="BN26" s="50"/>
      <c r="BO26" s="50"/>
      <c r="BP26" s="50"/>
      <c r="BQ26" s="50"/>
      <c r="BR26" s="50"/>
      <c r="BS26" s="50"/>
      <c r="BT26" s="50"/>
      <c r="BU26" s="50"/>
      <c r="BV26" s="50"/>
      <c r="BW26" s="50"/>
      <c r="BX26" s="50"/>
      <c r="BY26" s="50"/>
      <c r="BZ26" s="50"/>
      <c r="CA26" s="50"/>
      <c r="CB26" s="50"/>
      <c r="CC26" s="50"/>
      <c r="CD26" s="50"/>
      <c r="CE26" s="52"/>
      <c r="CF26" s="52"/>
      <c r="CG26" s="52"/>
      <c r="CH26" s="52"/>
      <c r="CI26" s="52"/>
      <c r="CJ26" s="52"/>
      <c r="CK26" s="52"/>
      <c r="CL26" s="52"/>
      <c r="CM26" s="52"/>
    </row>
    <row r="27" spans="1:91" x14ac:dyDescent="0.15">
      <c r="A27" s="41">
        <v>25</v>
      </c>
      <c r="B27" s="45"/>
      <c r="C27" s="45"/>
      <c r="D27" s="45"/>
      <c r="E27" s="45"/>
      <c r="F27" s="45"/>
      <c r="G27" s="45"/>
      <c r="H27" s="45"/>
      <c r="I27" s="45"/>
      <c r="J27" s="45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3"/>
      <c r="BA27" s="43"/>
      <c r="BB27" s="43"/>
      <c r="BC27" s="43"/>
      <c r="BD27" s="43"/>
      <c r="BE27" s="43"/>
      <c r="BF27" s="43"/>
      <c r="BG27" s="43"/>
      <c r="BH27" s="43"/>
      <c r="BI27" s="43"/>
      <c r="BJ27" s="43"/>
      <c r="BK27" s="43"/>
      <c r="BL27" s="43"/>
      <c r="BM27" s="50"/>
      <c r="BN27" s="50"/>
      <c r="BO27" s="50"/>
      <c r="BP27" s="50"/>
      <c r="BQ27" s="50"/>
      <c r="BR27" s="50"/>
      <c r="BS27" s="50"/>
      <c r="BT27" s="50"/>
      <c r="BU27" s="50"/>
      <c r="BV27" s="50"/>
      <c r="BW27" s="50"/>
      <c r="BX27" s="50"/>
      <c r="BY27" s="50"/>
      <c r="BZ27" s="50"/>
      <c r="CA27" s="50"/>
      <c r="CB27" s="50"/>
      <c r="CC27" s="50"/>
      <c r="CD27" s="50"/>
      <c r="CE27" s="52"/>
      <c r="CF27" s="52"/>
      <c r="CG27" s="52"/>
      <c r="CH27" s="52"/>
      <c r="CI27" s="52"/>
      <c r="CJ27" s="52"/>
      <c r="CK27" s="52"/>
      <c r="CL27" s="52"/>
      <c r="CM27" s="52"/>
    </row>
    <row r="28" spans="1:91" x14ac:dyDescent="0.15">
      <c r="A28" s="41">
        <v>26</v>
      </c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3"/>
      <c r="BA28" s="43"/>
      <c r="BB28" s="43"/>
      <c r="BC28" s="43"/>
      <c r="BD28" s="43"/>
      <c r="BE28" s="43"/>
      <c r="BF28" s="43"/>
      <c r="BG28" s="43"/>
      <c r="BH28" s="43"/>
      <c r="BI28" s="43"/>
      <c r="BJ28" s="43"/>
      <c r="BK28" s="43"/>
      <c r="BL28" s="43"/>
      <c r="BM28" s="50"/>
      <c r="BN28" s="50"/>
      <c r="BO28" s="50"/>
      <c r="BP28" s="50"/>
      <c r="BQ28" s="50"/>
      <c r="BR28" s="50"/>
      <c r="BS28" s="50"/>
      <c r="BT28" s="50"/>
      <c r="BU28" s="50"/>
      <c r="BV28" s="50"/>
      <c r="BW28" s="50"/>
      <c r="BX28" s="50"/>
      <c r="BY28" s="50"/>
      <c r="BZ28" s="50"/>
      <c r="CA28" s="50"/>
      <c r="CB28" s="50"/>
      <c r="CC28" s="50"/>
      <c r="CD28" s="50"/>
      <c r="CE28" s="52"/>
      <c r="CF28" s="52"/>
      <c r="CG28" s="52"/>
      <c r="CH28" s="52"/>
      <c r="CI28" s="52"/>
      <c r="CJ28" s="52"/>
      <c r="CK28" s="52"/>
      <c r="CL28" s="52"/>
      <c r="CM28" s="52"/>
    </row>
    <row r="29" spans="1:91" x14ac:dyDescent="0.15">
      <c r="A29" s="41">
        <v>27</v>
      </c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3"/>
      <c r="BA29" s="43"/>
      <c r="BB29" s="43"/>
      <c r="BC29" s="43"/>
      <c r="BD29" s="43"/>
      <c r="BE29" s="43"/>
      <c r="BF29" s="43"/>
      <c r="BG29" s="43"/>
      <c r="BH29" s="43"/>
      <c r="BI29" s="43"/>
      <c r="BJ29" s="43"/>
      <c r="BK29" s="43"/>
      <c r="BL29" s="43"/>
      <c r="BM29" s="50"/>
      <c r="BN29" s="50"/>
      <c r="BO29" s="50"/>
      <c r="BP29" s="50"/>
      <c r="BQ29" s="50"/>
      <c r="BR29" s="50"/>
      <c r="BS29" s="50"/>
      <c r="BT29" s="50"/>
      <c r="BU29" s="50"/>
      <c r="BV29" s="50"/>
      <c r="BW29" s="50"/>
      <c r="BX29" s="50"/>
      <c r="BY29" s="50"/>
      <c r="BZ29" s="50"/>
      <c r="CA29" s="50"/>
      <c r="CB29" s="50"/>
      <c r="CC29" s="50"/>
      <c r="CD29" s="50"/>
      <c r="CE29" s="52"/>
      <c r="CF29" s="52"/>
      <c r="CG29" s="52"/>
      <c r="CH29" s="52"/>
      <c r="CI29" s="52"/>
      <c r="CJ29" s="52"/>
      <c r="CK29" s="52"/>
      <c r="CL29" s="52"/>
      <c r="CM29" s="52"/>
    </row>
    <row r="30" spans="1:91" x14ac:dyDescent="0.15">
      <c r="A30" s="41">
        <v>28</v>
      </c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3"/>
      <c r="BA30" s="43"/>
      <c r="BB30" s="43"/>
      <c r="BC30" s="43"/>
      <c r="BD30" s="43"/>
      <c r="BE30" s="43"/>
      <c r="BF30" s="43"/>
      <c r="BG30" s="43"/>
      <c r="BH30" s="43"/>
      <c r="BI30" s="43"/>
      <c r="BJ30" s="43"/>
      <c r="BK30" s="43"/>
      <c r="BL30" s="43"/>
      <c r="BM30" s="50"/>
      <c r="BN30" s="50"/>
      <c r="BO30" s="50"/>
      <c r="BP30" s="50"/>
      <c r="BQ30" s="50"/>
      <c r="BR30" s="50"/>
      <c r="BS30" s="50"/>
      <c r="BT30" s="50"/>
      <c r="BU30" s="50"/>
      <c r="BV30" s="50"/>
      <c r="BW30" s="50"/>
      <c r="BX30" s="50"/>
      <c r="BY30" s="50"/>
      <c r="BZ30" s="50"/>
      <c r="CA30" s="50"/>
      <c r="CB30" s="50"/>
      <c r="CC30" s="50"/>
      <c r="CD30" s="50"/>
      <c r="CE30" s="52"/>
      <c r="CF30" s="52"/>
      <c r="CG30" s="52"/>
      <c r="CH30" s="52"/>
      <c r="CI30" s="52"/>
      <c r="CJ30" s="52"/>
      <c r="CK30" s="52"/>
      <c r="CL30" s="52"/>
      <c r="CM30" s="52"/>
    </row>
    <row r="31" spans="1:91" x14ac:dyDescent="0.15">
      <c r="A31" s="41">
        <v>29</v>
      </c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3"/>
      <c r="BA31" s="43"/>
      <c r="BB31" s="43"/>
      <c r="BC31" s="43"/>
      <c r="BD31" s="43"/>
      <c r="BE31" s="43"/>
      <c r="BF31" s="43"/>
      <c r="BG31" s="43"/>
      <c r="BH31" s="43"/>
      <c r="BI31" s="43"/>
      <c r="BJ31" s="43"/>
      <c r="BK31" s="43"/>
      <c r="BL31" s="43"/>
      <c r="BM31" s="50"/>
      <c r="BN31" s="50"/>
      <c r="BO31" s="50"/>
      <c r="BP31" s="50"/>
      <c r="BQ31" s="50"/>
      <c r="BR31" s="50"/>
      <c r="BS31" s="50"/>
      <c r="BT31" s="50"/>
      <c r="BU31" s="50"/>
      <c r="BV31" s="50"/>
      <c r="BW31" s="50"/>
      <c r="BX31" s="50"/>
      <c r="BY31" s="50"/>
      <c r="BZ31" s="50"/>
      <c r="CA31" s="50"/>
      <c r="CB31" s="50"/>
      <c r="CC31" s="50"/>
      <c r="CD31" s="50"/>
      <c r="CE31" s="52"/>
      <c r="CF31" s="52"/>
      <c r="CG31" s="52"/>
      <c r="CH31" s="52"/>
      <c r="CI31" s="52"/>
      <c r="CJ31" s="52"/>
      <c r="CK31" s="52"/>
      <c r="CL31" s="52"/>
      <c r="CM31" s="52"/>
    </row>
    <row r="32" spans="1:91" x14ac:dyDescent="0.15">
      <c r="A32" s="41">
        <v>30</v>
      </c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3"/>
      <c r="BA32" s="43"/>
      <c r="BB32" s="43"/>
      <c r="BC32" s="43"/>
      <c r="BD32" s="43"/>
      <c r="BE32" s="43"/>
      <c r="BF32" s="43"/>
      <c r="BG32" s="43"/>
      <c r="BH32" s="43"/>
      <c r="BI32" s="43"/>
      <c r="BJ32" s="43"/>
      <c r="BK32" s="43"/>
      <c r="BL32" s="43"/>
      <c r="BM32" s="50"/>
      <c r="BN32" s="50"/>
      <c r="BO32" s="50"/>
      <c r="BP32" s="50"/>
      <c r="BQ32" s="50"/>
      <c r="BR32" s="50"/>
      <c r="BS32" s="50"/>
      <c r="BT32" s="50"/>
      <c r="BU32" s="50"/>
      <c r="BV32" s="50"/>
      <c r="BW32" s="50"/>
      <c r="BX32" s="50"/>
      <c r="BY32" s="50"/>
      <c r="BZ32" s="50"/>
      <c r="CA32" s="50"/>
      <c r="CB32" s="50"/>
      <c r="CC32" s="50"/>
      <c r="CD32" s="50"/>
      <c r="CE32" s="52"/>
      <c r="CF32" s="52"/>
      <c r="CG32" s="52"/>
      <c r="CH32" s="52"/>
      <c r="CI32" s="52"/>
      <c r="CJ32" s="52"/>
      <c r="CK32" s="52"/>
      <c r="CL32" s="52"/>
      <c r="CM32" s="52"/>
    </row>
    <row r="33" spans="1:91" x14ac:dyDescent="0.15">
      <c r="A33" s="41">
        <v>31</v>
      </c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3"/>
      <c r="BA33" s="43"/>
      <c r="BB33" s="43"/>
      <c r="BC33" s="43"/>
      <c r="BD33" s="43"/>
      <c r="BE33" s="43"/>
      <c r="BF33" s="43"/>
      <c r="BG33" s="43"/>
      <c r="BH33" s="43"/>
      <c r="BI33" s="43"/>
      <c r="BJ33" s="43"/>
      <c r="BK33" s="43"/>
      <c r="BL33" s="43"/>
      <c r="BM33" s="50"/>
      <c r="BN33" s="50"/>
      <c r="BO33" s="50"/>
      <c r="BP33" s="50"/>
      <c r="BQ33" s="50"/>
      <c r="BR33" s="50"/>
      <c r="BS33" s="50"/>
      <c r="BT33" s="50"/>
      <c r="BU33" s="50"/>
      <c r="BV33" s="50"/>
      <c r="BW33" s="50"/>
      <c r="BX33" s="50"/>
      <c r="BY33" s="50"/>
      <c r="BZ33" s="50"/>
      <c r="CA33" s="50"/>
      <c r="CB33" s="50"/>
      <c r="CC33" s="50"/>
      <c r="CD33" s="50"/>
      <c r="CE33" s="52"/>
      <c r="CF33" s="52"/>
      <c r="CG33" s="52"/>
      <c r="CH33" s="52"/>
      <c r="CI33" s="52"/>
      <c r="CJ33" s="52"/>
      <c r="CK33" s="52"/>
      <c r="CL33" s="52"/>
      <c r="CM33" s="52"/>
    </row>
    <row r="34" spans="1:91" x14ac:dyDescent="0.15">
      <c r="A34" s="41">
        <v>32</v>
      </c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3"/>
      <c r="BA34" s="43"/>
      <c r="BB34" s="43"/>
      <c r="BC34" s="43"/>
      <c r="BD34" s="43"/>
      <c r="BE34" s="43"/>
      <c r="BF34" s="43"/>
      <c r="BG34" s="43"/>
      <c r="BH34" s="43"/>
      <c r="BI34" s="43"/>
      <c r="BJ34" s="43"/>
      <c r="BK34" s="43"/>
      <c r="BL34" s="43"/>
      <c r="BM34" s="50"/>
      <c r="BN34" s="50"/>
      <c r="BO34" s="50"/>
      <c r="BP34" s="50"/>
      <c r="BQ34" s="50"/>
      <c r="BR34" s="50"/>
      <c r="BS34" s="50"/>
      <c r="BT34" s="50"/>
      <c r="BU34" s="50"/>
      <c r="BV34" s="50"/>
      <c r="BW34" s="50"/>
      <c r="BX34" s="50"/>
      <c r="BY34" s="50"/>
      <c r="BZ34" s="50"/>
      <c r="CA34" s="50"/>
      <c r="CB34" s="50"/>
      <c r="CC34" s="50"/>
      <c r="CD34" s="50"/>
      <c r="CE34" s="52"/>
      <c r="CF34" s="52"/>
      <c r="CG34" s="52"/>
      <c r="CH34" s="52"/>
      <c r="CI34" s="52"/>
      <c r="CJ34" s="52"/>
      <c r="CK34" s="52"/>
      <c r="CL34" s="52"/>
      <c r="CM34" s="52"/>
    </row>
    <row r="35" spans="1:91" x14ac:dyDescent="0.15">
      <c r="A35" s="41">
        <v>33</v>
      </c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50"/>
      <c r="BN35" s="50"/>
      <c r="BO35" s="50"/>
      <c r="BP35" s="50"/>
      <c r="BQ35" s="50"/>
      <c r="BR35" s="50"/>
      <c r="BS35" s="50"/>
      <c r="BT35" s="50"/>
      <c r="BU35" s="50"/>
      <c r="BV35" s="50"/>
      <c r="BW35" s="50"/>
      <c r="BX35" s="50"/>
      <c r="BY35" s="50"/>
      <c r="BZ35" s="50"/>
      <c r="CA35" s="50"/>
      <c r="CB35" s="50"/>
      <c r="CC35" s="50"/>
      <c r="CD35" s="50"/>
      <c r="CE35" s="52"/>
      <c r="CF35" s="52"/>
      <c r="CG35" s="52"/>
      <c r="CH35" s="52"/>
      <c r="CI35" s="52"/>
      <c r="CJ35" s="52"/>
      <c r="CK35" s="52"/>
      <c r="CL35" s="52"/>
      <c r="CM35" s="52"/>
    </row>
    <row r="36" spans="1:91" x14ac:dyDescent="0.15">
      <c r="A36" s="41">
        <v>34</v>
      </c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3"/>
      <c r="BA36" s="43"/>
      <c r="BB36" s="43"/>
      <c r="BC36" s="43"/>
      <c r="BD36" s="43"/>
      <c r="BE36" s="43"/>
      <c r="BF36" s="43"/>
      <c r="BG36" s="43"/>
      <c r="BH36" s="43"/>
      <c r="BI36" s="43"/>
      <c r="BJ36" s="43"/>
      <c r="BK36" s="43"/>
      <c r="BL36" s="43"/>
      <c r="BM36" s="50"/>
      <c r="BN36" s="50"/>
      <c r="BO36" s="50"/>
      <c r="BP36" s="50"/>
      <c r="BQ36" s="50"/>
      <c r="BR36" s="50"/>
      <c r="BS36" s="50"/>
      <c r="BT36" s="50"/>
      <c r="BU36" s="50"/>
      <c r="BV36" s="50"/>
      <c r="BW36" s="50"/>
      <c r="BX36" s="50"/>
      <c r="BY36" s="50"/>
      <c r="BZ36" s="50"/>
      <c r="CA36" s="50"/>
      <c r="CB36" s="50"/>
      <c r="CC36" s="50"/>
      <c r="CD36" s="50"/>
      <c r="CE36" s="52"/>
      <c r="CF36" s="52"/>
      <c r="CG36" s="52"/>
      <c r="CH36" s="52"/>
      <c r="CI36" s="52"/>
      <c r="CJ36" s="52"/>
      <c r="CK36" s="52"/>
      <c r="CL36" s="52"/>
      <c r="CM36" s="52"/>
    </row>
    <row r="37" spans="1:91" x14ac:dyDescent="0.15">
      <c r="A37" s="41">
        <v>35</v>
      </c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3"/>
      <c r="BA37" s="43"/>
      <c r="BB37" s="43"/>
      <c r="BC37" s="43"/>
      <c r="BD37" s="43"/>
      <c r="BE37" s="43"/>
      <c r="BF37" s="43"/>
      <c r="BG37" s="43"/>
      <c r="BH37" s="43"/>
      <c r="BI37" s="43"/>
      <c r="BJ37" s="43"/>
      <c r="BK37" s="43"/>
      <c r="BL37" s="43"/>
      <c r="BM37" s="50"/>
      <c r="BN37" s="50"/>
      <c r="BO37" s="50"/>
      <c r="BP37" s="50"/>
      <c r="BQ37" s="50"/>
      <c r="BR37" s="50"/>
      <c r="BS37" s="50"/>
      <c r="BT37" s="50"/>
      <c r="BU37" s="50"/>
      <c r="BV37" s="50"/>
      <c r="BW37" s="50"/>
      <c r="BX37" s="50"/>
      <c r="BY37" s="50"/>
      <c r="BZ37" s="50"/>
      <c r="CA37" s="50"/>
      <c r="CB37" s="50"/>
      <c r="CC37" s="50"/>
      <c r="CD37" s="50"/>
      <c r="CE37" s="52"/>
      <c r="CF37" s="52"/>
      <c r="CG37" s="52"/>
      <c r="CH37" s="52"/>
      <c r="CI37" s="52"/>
      <c r="CJ37" s="52"/>
      <c r="CK37" s="52"/>
      <c r="CL37" s="52"/>
      <c r="CM37" s="52"/>
    </row>
    <row r="38" spans="1:91" x14ac:dyDescent="0.15">
      <c r="A38" s="41">
        <v>36</v>
      </c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3"/>
      <c r="BA38" s="43"/>
      <c r="BB38" s="43"/>
      <c r="BC38" s="43"/>
      <c r="BD38" s="43"/>
      <c r="BE38" s="43"/>
      <c r="BF38" s="43"/>
      <c r="BG38" s="43"/>
      <c r="BH38" s="43"/>
      <c r="BI38" s="43"/>
      <c r="BJ38" s="43"/>
      <c r="BK38" s="43"/>
      <c r="BL38" s="43"/>
      <c r="BM38" s="50"/>
      <c r="BN38" s="50"/>
      <c r="BO38" s="50"/>
      <c r="BP38" s="50"/>
      <c r="BQ38" s="50"/>
      <c r="BR38" s="50"/>
      <c r="BS38" s="50"/>
      <c r="BT38" s="50"/>
      <c r="BU38" s="50"/>
      <c r="BV38" s="50"/>
      <c r="BW38" s="50"/>
      <c r="BX38" s="50"/>
      <c r="BY38" s="50"/>
      <c r="BZ38" s="50"/>
      <c r="CA38" s="50"/>
      <c r="CB38" s="50"/>
      <c r="CC38" s="50"/>
      <c r="CD38" s="50"/>
      <c r="CE38" s="52"/>
      <c r="CF38" s="52"/>
      <c r="CG38" s="52"/>
      <c r="CH38" s="52"/>
      <c r="CI38" s="52"/>
      <c r="CJ38" s="52"/>
      <c r="CK38" s="52"/>
      <c r="CL38" s="52"/>
      <c r="CM38" s="52"/>
    </row>
    <row r="39" spans="1:91" x14ac:dyDescent="0.15">
      <c r="A39" s="41">
        <v>37</v>
      </c>
      <c r="B39" s="45"/>
      <c r="C39" s="45"/>
      <c r="D39" s="45"/>
      <c r="E39" s="45"/>
      <c r="F39" s="45"/>
      <c r="G39" s="45"/>
      <c r="H39" s="45"/>
      <c r="I39" s="45"/>
      <c r="J39" s="45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3"/>
      <c r="BA39" s="43"/>
      <c r="BB39" s="43"/>
      <c r="BC39" s="43"/>
      <c r="BD39" s="43"/>
      <c r="BE39" s="43"/>
      <c r="BF39" s="43"/>
      <c r="BG39" s="43"/>
      <c r="BH39" s="43"/>
      <c r="BI39" s="43"/>
      <c r="BJ39" s="43"/>
      <c r="BK39" s="43"/>
      <c r="BL39" s="43"/>
      <c r="BM39" s="50"/>
      <c r="BN39" s="50"/>
      <c r="BO39" s="50"/>
      <c r="BP39" s="50"/>
      <c r="BQ39" s="50"/>
      <c r="BR39" s="50"/>
      <c r="BS39" s="50"/>
      <c r="BT39" s="50"/>
      <c r="BU39" s="50"/>
      <c r="BV39" s="50"/>
      <c r="BW39" s="50"/>
      <c r="BX39" s="50"/>
      <c r="BY39" s="50"/>
      <c r="BZ39" s="50"/>
      <c r="CA39" s="50"/>
      <c r="CB39" s="50"/>
      <c r="CC39" s="50"/>
      <c r="CD39" s="50"/>
      <c r="CE39" s="52"/>
      <c r="CF39" s="52"/>
      <c r="CG39" s="52"/>
      <c r="CH39" s="52"/>
      <c r="CI39" s="52"/>
      <c r="CJ39" s="52"/>
      <c r="CK39" s="52"/>
      <c r="CL39" s="52"/>
      <c r="CM39" s="52"/>
    </row>
    <row r="40" spans="1:91" x14ac:dyDescent="0.15">
      <c r="A40" s="41">
        <v>38</v>
      </c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3"/>
      <c r="BA40" s="43"/>
      <c r="BB40" s="43"/>
      <c r="BC40" s="43"/>
      <c r="BD40" s="43"/>
      <c r="BE40" s="43"/>
      <c r="BF40" s="43"/>
      <c r="BG40" s="43"/>
      <c r="BH40" s="43"/>
      <c r="BI40" s="43"/>
      <c r="BJ40" s="43"/>
      <c r="BK40" s="43"/>
      <c r="BL40" s="43"/>
      <c r="BM40" s="50"/>
      <c r="BN40" s="50"/>
      <c r="BO40" s="50"/>
      <c r="BP40" s="50"/>
      <c r="BQ40" s="50"/>
      <c r="BR40" s="50"/>
      <c r="BS40" s="50"/>
      <c r="BT40" s="50"/>
      <c r="BU40" s="50"/>
      <c r="BV40" s="50"/>
      <c r="BW40" s="50"/>
      <c r="BX40" s="50"/>
      <c r="BY40" s="50"/>
      <c r="BZ40" s="50"/>
      <c r="CA40" s="50"/>
      <c r="CB40" s="50"/>
      <c r="CC40" s="50"/>
      <c r="CD40" s="50"/>
      <c r="CE40" s="52"/>
      <c r="CF40" s="52"/>
      <c r="CG40" s="52"/>
      <c r="CH40" s="52"/>
      <c r="CI40" s="52"/>
      <c r="CJ40" s="52"/>
      <c r="CK40" s="52"/>
      <c r="CL40" s="52"/>
      <c r="CM40" s="52"/>
    </row>
    <row r="41" spans="1:91" x14ac:dyDescent="0.15">
      <c r="A41" s="41">
        <v>39</v>
      </c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3"/>
      <c r="BA41" s="43"/>
      <c r="BB41" s="43"/>
      <c r="BC41" s="43"/>
      <c r="BD41" s="43"/>
      <c r="BE41" s="43"/>
      <c r="BF41" s="43"/>
      <c r="BG41" s="43"/>
      <c r="BH41" s="43"/>
      <c r="BI41" s="43"/>
      <c r="BJ41" s="43"/>
      <c r="BK41" s="43"/>
      <c r="BL41" s="43"/>
      <c r="BM41" s="50"/>
      <c r="BN41" s="50"/>
      <c r="BO41" s="50"/>
      <c r="BP41" s="50"/>
      <c r="BQ41" s="50"/>
      <c r="BR41" s="50"/>
      <c r="BS41" s="50"/>
      <c r="BT41" s="50"/>
      <c r="BU41" s="50"/>
      <c r="BV41" s="50"/>
      <c r="BW41" s="50"/>
      <c r="BX41" s="50"/>
      <c r="BY41" s="50"/>
      <c r="BZ41" s="50"/>
      <c r="CA41" s="50"/>
      <c r="CB41" s="50"/>
      <c r="CC41" s="50"/>
      <c r="CD41" s="50"/>
      <c r="CE41" s="52"/>
      <c r="CF41" s="52"/>
      <c r="CG41" s="52"/>
      <c r="CH41" s="52"/>
      <c r="CI41" s="52"/>
      <c r="CJ41" s="52"/>
      <c r="CK41" s="52"/>
      <c r="CL41" s="52"/>
      <c r="CM41" s="52"/>
    </row>
    <row r="42" spans="1:91" x14ac:dyDescent="0.15">
      <c r="A42" s="41">
        <v>40</v>
      </c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3"/>
      <c r="BA42" s="43"/>
      <c r="BB42" s="43"/>
      <c r="BC42" s="43"/>
      <c r="BD42" s="43"/>
      <c r="BE42" s="43"/>
      <c r="BF42" s="43"/>
      <c r="BG42" s="43"/>
      <c r="BH42" s="43"/>
      <c r="BI42" s="43"/>
      <c r="BJ42" s="43"/>
      <c r="BK42" s="43"/>
      <c r="BL42" s="43"/>
      <c r="BM42" s="50"/>
      <c r="BN42" s="50"/>
      <c r="BO42" s="50"/>
      <c r="BP42" s="50"/>
      <c r="BQ42" s="50"/>
      <c r="BR42" s="50"/>
      <c r="BS42" s="50"/>
      <c r="BT42" s="50"/>
      <c r="BU42" s="50"/>
      <c r="BV42" s="50"/>
      <c r="BW42" s="50"/>
      <c r="BX42" s="50"/>
      <c r="BY42" s="50"/>
      <c r="BZ42" s="50"/>
      <c r="CA42" s="50"/>
      <c r="CB42" s="50"/>
      <c r="CC42" s="50"/>
      <c r="CD42" s="50"/>
      <c r="CE42" s="52"/>
      <c r="CF42" s="52"/>
      <c r="CG42" s="52"/>
      <c r="CH42" s="52"/>
      <c r="CI42" s="52"/>
      <c r="CJ42" s="52"/>
      <c r="CK42" s="52"/>
      <c r="CL42" s="52"/>
      <c r="CM42" s="52"/>
    </row>
    <row r="43" spans="1:91" x14ac:dyDescent="0.15">
      <c r="A43" s="41">
        <v>41</v>
      </c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3"/>
      <c r="BA43" s="43"/>
      <c r="BB43" s="43"/>
      <c r="BC43" s="43"/>
      <c r="BD43" s="43"/>
      <c r="BE43" s="43"/>
      <c r="BF43" s="43"/>
      <c r="BG43" s="43"/>
      <c r="BH43" s="43"/>
      <c r="BI43" s="43"/>
      <c r="BJ43" s="43"/>
      <c r="BK43" s="43"/>
      <c r="BL43" s="43"/>
      <c r="BM43" s="50"/>
      <c r="BN43" s="50"/>
      <c r="BO43" s="50"/>
      <c r="BP43" s="50"/>
      <c r="BQ43" s="50"/>
      <c r="BR43" s="50"/>
      <c r="BS43" s="50"/>
      <c r="BT43" s="50"/>
      <c r="BU43" s="50"/>
      <c r="BV43" s="50"/>
      <c r="BW43" s="50"/>
      <c r="BX43" s="50"/>
      <c r="BY43" s="50"/>
      <c r="BZ43" s="50"/>
      <c r="CA43" s="50"/>
      <c r="CB43" s="50"/>
      <c r="CC43" s="50"/>
      <c r="CD43" s="50"/>
      <c r="CE43" s="52"/>
      <c r="CF43" s="52"/>
      <c r="CG43" s="52"/>
      <c r="CH43" s="52"/>
      <c r="CI43" s="52"/>
      <c r="CJ43" s="52"/>
      <c r="CK43" s="52"/>
      <c r="CL43" s="52"/>
      <c r="CM43" s="52"/>
    </row>
    <row r="44" spans="1:91" x14ac:dyDescent="0.15">
      <c r="A44" s="41">
        <v>42</v>
      </c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3"/>
      <c r="BA44" s="43"/>
      <c r="BB44" s="43"/>
      <c r="BC44" s="43"/>
      <c r="BD44" s="43"/>
      <c r="BE44" s="43"/>
      <c r="BF44" s="43"/>
      <c r="BG44" s="43"/>
      <c r="BH44" s="43"/>
      <c r="BI44" s="43"/>
      <c r="BJ44" s="43"/>
      <c r="BK44" s="43"/>
      <c r="BL44" s="43"/>
      <c r="BM44" s="50"/>
      <c r="BN44" s="50"/>
      <c r="BO44" s="50"/>
      <c r="BP44" s="50"/>
      <c r="BQ44" s="50"/>
      <c r="BR44" s="50"/>
      <c r="BS44" s="50"/>
      <c r="BT44" s="50"/>
      <c r="BU44" s="50"/>
      <c r="BV44" s="50"/>
      <c r="BW44" s="50"/>
      <c r="BX44" s="50"/>
      <c r="BY44" s="50"/>
      <c r="BZ44" s="50"/>
      <c r="CA44" s="50"/>
      <c r="CB44" s="50"/>
      <c r="CC44" s="50"/>
      <c r="CD44" s="50"/>
      <c r="CE44" s="52"/>
      <c r="CF44" s="52"/>
      <c r="CG44" s="52"/>
      <c r="CH44" s="52"/>
      <c r="CI44" s="52"/>
      <c r="CJ44" s="52"/>
      <c r="CK44" s="52"/>
      <c r="CL44" s="52"/>
      <c r="CM44" s="52"/>
    </row>
    <row r="45" spans="1:91" x14ac:dyDescent="0.15">
      <c r="A45" s="41">
        <v>43</v>
      </c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3"/>
      <c r="BA45" s="43"/>
      <c r="BB45" s="43"/>
      <c r="BC45" s="43"/>
      <c r="BD45" s="43"/>
      <c r="BE45" s="43"/>
      <c r="BF45" s="43"/>
      <c r="BG45" s="43"/>
      <c r="BH45" s="43"/>
      <c r="BI45" s="43"/>
      <c r="BJ45" s="43"/>
      <c r="BK45" s="43"/>
      <c r="BL45" s="43"/>
      <c r="BM45" s="50"/>
      <c r="BN45" s="50"/>
      <c r="BO45" s="50"/>
      <c r="BP45" s="50"/>
      <c r="BQ45" s="50"/>
      <c r="BR45" s="50"/>
      <c r="BS45" s="50"/>
      <c r="BT45" s="50"/>
      <c r="BU45" s="50"/>
      <c r="BV45" s="50"/>
      <c r="BW45" s="50"/>
      <c r="BX45" s="50"/>
      <c r="BY45" s="50"/>
      <c r="BZ45" s="50"/>
      <c r="CA45" s="50"/>
      <c r="CB45" s="50"/>
      <c r="CC45" s="50"/>
      <c r="CD45" s="50"/>
      <c r="CE45" s="52"/>
      <c r="CF45" s="52"/>
      <c r="CG45" s="52"/>
      <c r="CH45" s="52"/>
      <c r="CI45" s="52"/>
      <c r="CJ45" s="52"/>
      <c r="CK45" s="52"/>
      <c r="CL45" s="52"/>
      <c r="CM45" s="52"/>
    </row>
    <row r="46" spans="1:91" x14ac:dyDescent="0.15">
      <c r="A46" s="41">
        <v>44</v>
      </c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3"/>
      <c r="BA46" s="43"/>
      <c r="BB46" s="43"/>
      <c r="BC46" s="43"/>
      <c r="BD46" s="43"/>
      <c r="BE46" s="43"/>
      <c r="BF46" s="43"/>
      <c r="BG46" s="43"/>
      <c r="BH46" s="43"/>
      <c r="BI46" s="43"/>
      <c r="BJ46" s="43"/>
      <c r="BK46" s="43"/>
      <c r="BL46" s="43"/>
      <c r="BM46" s="50"/>
      <c r="BN46" s="50"/>
      <c r="BO46" s="50"/>
      <c r="BP46" s="50"/>
      <c r="BQ46" s="50"/>
      <c r="BR46" s="50"/>
      <c r="BS46" s="50"/>
      <c r="BT46" s="50"/>
      <c r="BU46" s="50"/>
      <c r="BV46" s="50"/>
      <c r="BW46" s="50"/>
      <c r="BX46" s="50"/>
      <c r="BY46" s="50"/>
      <c r="BZ46" s="50"/>
      <c r="CA46" s="50"/>
      <c r="CB46" s="50"/>
      <c r="CC46" s="50"/>
      <c r="CD46" s="50"/>
      <c r="CE46" s="52"/>
      <c r="CF46" s="52"/>
      <c r="CG46" s="52"/>
      <c r="CH46" s="52"/>
      <c r="CI46" s="52"/>
      <c r="CJ46" s="52"/>
      <c r="CK46" s="52"/>
      <c r="CL46" s="52"/>
      <c r="CM46" s="52"/>
    </row>
    <row r="47" spans="1:91" x14ac:dyDescent="0.15">
      <c r="A47" s="41">
        <v>45</v>
      </c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50"/>
      <c r="BN47" s="50"/>
      <c r="BO47" s="50"/>
      <c r="BP47" s="50"/>
      <c r="BQ47" s="50"/>
      <c r="BR47" s="50"/>
      <c r="BS47" s="50"/>
      <c r="BT47" s="50"/>
      <c r="BU47" s="50"/>
      <c r="BV47" s="50"/>
      <c r="BW47" s="50"/>
      <c r="BX47" s="50"/>
      <c r="BY47" s="50"/>
      <c r="BZ47" s="50"/>
      <c r="CA47" s="50"/>
      <c r="CB47" s="50"/>
      <c r="CC47" s="50"/>
      <c r="CD47" s="50"/>
      <c r="CE47" s="52"/>
      <c r="CF47" s="52"/>
      <c r="CG47" s="52"/>
      <c r="CH47" s="52"/>
      <c r="CI47" s="52"/>
      <c r="CJ47" s="52"/>
      <c r="CK47" s="52"/>
      <c r="CL47" s="52"/>
      <c r="CM47" s="52"/>
    </row>
    <row r="48" spans="1:91" x14ac:dyDescent="0.15">
      <c r="A48" s="41">
        <v>46</v>
      </c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3"/>
      <c r="BA48" s="43"/>
      <c r="BB48" s="43"/>
      <c r="BC48" s="43"/>
      <c r="BD48" s="43"/>
      <c r="BE48" s="43"/>
      <c r="BF48" s="43"/>
      <c r="BG48" s="43"/>
      <c r="BH48" s="43"/>
      <c r="BI48" s="43"/>
      <c r="BJ48" s="43"/>
      <c r="BK48" s="43"/>
      <c r="BL48" s="43"/>
      <c r="BM48" s="50"/>
      <c r="BN48" s="50"/>
      <c r="BO48" s="50"/>
      <c r="BP48" s="50"/>
      <c r="BQ48" s="50"/>
      <c r="BR48" s="50"/>
      <c r="BS48" s="50"/>
      <c r="BT48" s="50"/>
      <c r="BU48" s="50"/>
      <c r="BV48" s="50"/>
      <c r="BW48" s="50"/>
      <c r="BX48" s="50"/>
      <c r="BY48" s="50"/>
      <c r="BZ48" s="50"/>
      <c r="CA48" s="50"/>
      <c r="CB48" s="50"/>
      <c r="CC48" s="50"/>
      <c r="CD48" s="50"/>
      <c r="CE48" s="52"/>
      <c r="CF48" s="52"/>
      <c r="CG48" s="52"/>
      <c r="CH48" s="52"/>
      <c r="CI48" s="52"/>
      <c r="CJ48" s="52"/>
      <c r="CK48" s="52"/>
      <c r="CL48" s="52"/>
      <c r="CM48" s="52"/>
    </row>
    <row r="49" spans="1:91" x14ac:dyDescent="0.15">
      <c r="A49" s="41">
        <v>47</v>
      </c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50"/>
      <c r="BN49" s="50"/>
      <c r="BO49" s="50"/>
      <c r="BP49" s="50"/>
      <c r="BQ49" s="50"/>
      <c r="BR49" s="50"/>
      <c r="BS49" s="50"/>
      <c r="BT49" s="50"/>
      <c r="BU49" s="50"/>
      <c r="BV49" s="50"/>
      <c r="BW49" s="50"/>
      <c r="BX49" s="50"/>
      <c r="BY49" s="50"/>
      <c r="BZ49" s="50"/>
      <c r="CA49" s="50"/>
      <c r="CB49" s="50"/>
      <c r="CC49" s="50"/>
      <c r="CD49" s="50"/>
      <c r="CE49" s="52"/>
      <c r="CF49" s="52"/>
      <c r="CG49" s="52"/>
      <c r="CH49" s="52"/>
      <c r="CI49" s="52"/>
      <c r="CJ49" s="52"/>
      <c r="CK49" s="52"/>
      <c r="CL49" s="52"/>
      <c r="CM49" s="52"/>
    </row>
    <row r="50" spans="1:91" x14ac:dyDescent="0.15">
      <c r="A50" s="41">
        <v>48</v>
      </c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3"/>
      <c r="BA50" s="43"/>
      <c r="BB50" s="43"/>
      <c r="BC50" s="43"/>
      <c r="BD50" s="43"/>
      <c r="BE50" s="43"/>
      <c r="BF50" s="43"/>
      <c r="BG50" s="43"/>
      <c r="BH50" s="43"/>
      <c r="BI50" s="43"/>
      <c r="BJ50" s="43"/>
      <c r="BK50" s="43"/>
      <c r="BL50" s="43"/>
      <c r="BM50" s="50"/>
      <c r="BN50" s="50"/>
      <c r="BO50" s="50"/>
      <c r="BP50" s="50"/>
      <c r="BQ50" s="50"/>
      <c r="BR50" s="50"/>
      <c r="BS50" s="50"/>
      <c r="BT50" s="50"/>
      <c r="BU50" s="50"/>
      <c r="BV50" s="50"/>
      <c r="BW50" s="50"/>
      <c r="BX50" s="50"/>
      <c r="BY50" s="50"/>
      <c r="BZ50" s="50"/>
      <c r="CA50" s="50"/>
      <c r="CB50" s="50"/>
      <c r="CC50" s="50"/>
      <c r="CD50" s="50"/>
      <c r="CE50" s="52"/>
      <c r="CF50" s="52"/>
      <c r="CG50" s="52"/>
      <c r="CH50" s="52"/>
      <c r="CI50" s="52"/>
      <c r="CJ50" s="52"/>
      <c r="CK50" s="52"/>
      <c r="CL50" s="52"/>
      <c r="CM50" s="52"/>
    </row>
    <row r="51" spans="1:91" x14ac:dyDescent="0.15">
      <c r="A51" s="41">
        <v>49</v>
      </c>
      <c r="B51" s="45"/>
      <c r="C51" s="45"/>
      <c r="D51" s="45"/>
      <c r="E51" s="45"/>
      <c r="F51" s="45"/>
      <c r="G51" s="45"/>
      <c r="H51" s="45"/>
      <c r="I51" s="45"/>
      <c r="J51" s="45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3"/>
      <c r="BA51" s="43"/>
      <c r="BB51" s="43"/>
      <c r="BC51" s="43"/>
      <c r="BD51" s="43"/>
      <c r="BE51" s="43"/>
      <c r="BF51" s="43"/>
      <c r="BG51" s="43"/>
      <c r="BH51" s="43"/>
      <c r="BI51" s="43"/>
      <c r="BJ51" s="43"/>
      <c r="BK51" s="43"/>
      <c r="BL51" s="43"/>
      <c r="BM51" s="50"/>
      <c r="BN51" s="50"/>
      <c r="BO51" s="50"/>
      <c r="BP51" s="50"/>
      <c r="BQ51" s="50"/>
      <c r="BR51" s="50"/>
      <c r="BS51" s="50"/>
      <c r="BT51" s="50"/>
      <c r="BU51" s="50"/>
      <c r="BV51" s="50"/>
      <c r="BW51" s="50"/>
      <c r="BX51" s="50"/>
      <c r="BY51" s="50"/>
      <c r="BZ51" s="50"/>
      <c r="CA51" s="50"/>
      <c r="CB51" s="50"/>
      <c r="CC51" s="50"/>
      <c r="CD51" s="50"/>
      <c r="CE51" s="52"/>
      <c r="CF51" s="52"/>
      <c r="CG51" s="52"/>
      <c r="CH51" s="52"/>
      <c r="CI51" s="52"/>
      <c r="CJ51" s="52"/>
      <c r="CK51" s="52"/>
      <c r="CL51" s="52"/>
      <c r="CM51" s="52"/>
    </row>
    <row r="52" spans="1:91" x14ac:dyDescent="0.15">
      <c r="A52" s="41">
        <v>50</v>
      </c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3"/>
      <c r="BA52" s="43"/>
      <c r="BB52" s="43"/>
      <c r="BC52" s="43"/>
      <c r="BD52" s="43"/>
      <c r="BE52" s="43"/>
      <c r="BF52" s="43"/>
      <c r="BG52" s="43"/>
      <c r="BH52" s="43"/>
      <c r="BI52" s="43"/>
      <c r="BJ52" s="43"/>
      <c r="BK52" s="43"/>
      <c r="BL52" s="43"/>
      <c r="BM52" s="50"/>
      <c r="BN52" s="50"/>
      <c r="BO52" s="50"/>
      <c r="BP52" s="50"/>
      <c r="BQ52" s="50"/>
      <c r="BR52" s="50"/>
      <c r="BS52" s="50"/>
      <c r="BT52" s="50"/>
      <c r="BU52" s="50"/>
      <c r="BV52" s="50"/>
      <c r="BW52" s="50"/>
      <c r="BX52" s="50"/>
      <c r="BY52" s="50"/>
      <c r="BZ52" s="50"/>
      <c r="CA52" s="50"/>
      <c r="CB52" s="50"/>
      <c r="CC52" s="50"/>
      <c r="CD52" s="50"/>
      <c r="CE52" s="52"/>
      <c r="CF52" s="52"/>
      <c r="CG52" s="52"/>
      <c r="CH52" s="52"/>
      <c r="CI52" s="52"/>
      <c r="CJ52" s="52"/>
      <c r="CK52" s="52"/>
      <c r="CL52" s="52"/>
      <c r="CM52" s="52"/>
    </row>
    <row r="53" spans="1:91" x14ac:dyDescent="0.15">
      <c r="A53" s="41">
        <v>51</v>
      </c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3"/>
      <c r="BA53" s="43"/>
      <c r="BB53" s="43"/>
      <c r="BC53" s="43"/>
      <c r="BD53" s="43"/>
      <c r="BE53" s="43"/>
      <c r="BF53" s="43"/>
      <c r="BG53" s="43"/>
      <c r="BH53" s="43"/>
      <c r="BI53" s="43"/>
      <c r="BJ53" s="43"/>
      <c r="BK53" s="43"/>
      <c r="BL53" s="43"/>
      <c r="BM53" s="50"/>
      <c r="BN53" s="50"/>
      <c r="BO53" s="50"/>
      <c r="BP53" s="50"/>
      <c r="BQ53" s="50"/>
      <c r="BR53" s="50"/>
      <c r="BS53" s="50"/>
      <c r="BT53" s="50"/>
      <c r="BU53" s="50"/>
      <c r="BV53" s="50"/>
      <c r="BW53" s="50"/>
      <c r="BX53" s="50"/>
      <c r="BY53" s="50"/>
      <c r="BZ53" s="50"/>
      <c r="CA53" s="50"/>
      <c r="CB53" s="50"/>
      <c r="CC53" s="50"/>
      <c r="CD53" s="50"/>
      <c r="CE53" s="52"/>
      <c r="CF53" s="52"/>
      <c r="CG53" s="52"/>
      <c r="CH53" s="52"/>
      <c r="CI53" s="52"/>
      <c r="CJ53" s="52"/>
      <c r="CK53" s="52"/>
      <c r="CL53" s="52"/>
      <c r="CM53" s="52"/>
    </row>
    <row r="54" spans="1:91" x14ac:dyDescent="0.15">
      <c r="A54" s="41">
        <v>52</v>
      </c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3"/>
      <c r="BA54" s="43"/>
      <c r="BB54" s="43"/>
      <c r="BC54" s="43"/>
      <c r="BD54" s="43"/>
      <c r="BE54" s="43"/>
      <c r="BF54" s="43"/>
      <c r="BG54" s="43"/>
      <c r="BH54" s="43"/>
      <c r="BI54" s="43"/>
      <c r="BJ54" s="43"/>
      <c r="BK54" s="43"/>
      <c r="BL54" s="43"/>
      <c r="BM54" s="50"/>
      <c r="BN54" s="50"/>
      <c r="BO54" s="50"/>
      <c r="BP54" s="50"/>
      <c r="BQ54" s="50"/>
      <c r="BR54" s="50"/>
      <c r="BS54" s="50"/>
      <c r="BT54" s="50"/>
      <c r="BU54" s="50"/>
      <c r="BV54" s="50"/>
      <c r="BW54" s="50"/>
      <c r="BX54" s="50"/>
      <c r="BY54" s="50"/>
      <c r="BZ54" s="50"/>
      <c r="CA54" s="50"/>
      <c r="CB54" s="50"/>
      <c r="CC54" s="50"/>
      <c r="CD54" s="50"/>
      <c r="CE54" s="52"/>
      <c r="CF54" s="52"/>
      <c r="CG54" s="52"/>
      <c r="CH54" s="52"/>
      <c r="CI54" s="52"/>
      <c r="CJ54" s="52"/>
      <c r="CK54" s="52"/>
      <c r="CL54" s="52"/>
      <c r="CM54" s="52"/>
    </row>
    <row r="55" spans="1:91" x14ac:dyDescent="0.15">
      <c r="A55" s="41">
        <v>53</v>
      </c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50"/>
      <c r="BN55" s="50"/>
      <c r="BO55" s="50"/>
      <c r="BP55" s="50"/>
      <c r="BQ55" s="50"/>
      <c r="BR55" s="50"/>
      <c r="BS55" s="50"/>
      <c r="BT55" s="50"/>
      <c r="BU55" s="50"/>
      <c r="BV55" s="50"/>
      <c r="BW55" s="50"/>
      <c r="BX55" s="50"/>
      <c r="BY55" s="50"/>
      <c r="BZ55" s="50"/>
      <c r="CA55" s="50"/>
      <c r="CB55" s="50"/>
      <c r="CC55" s="50"/>
      <c r="CD55" s="50"/>
      <c r="CE55" s="52"/>
      <c r="CF55" s="52"/>
      <c r="CG55" s="52"/>
      <c r="CH55" s="52"/>
      <c r="CI55" s="52"/>
      <c r="CJ55" s="52"/>
      <c r="CK55" s="52"/>
      <c r="CL55" s="52"/>
      <c r="CM55" s="52"/>
    </row>
    <row r="56" spans="1:91" x14ac:dyDescent="0.15">
      <c r="A56" s="41">
        <v>54</v>
      </c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3"/>
      <c r="BA56" s="43"/>
      <c r="BB56" s="43"/>
      <c r="BC56" s="43"/>
      <c r="BD56" s="43"/>
      <c r="BE56" s="43"/>
      <c r="BF56" s="43"/>
      <c r="BG56" s="43"/>
      <c r="BH56" s="43"/>
      <c r="BI56" s="43"/>
      <c r="BJ56" s="43"/>
      <c r="BK56" s="43"/>
      <c r="BL56" s="43"/>
      <c r="BM56" s="50"/>
      <c r="BN56" s="50"/>
      <c r="BO56" s="50"/>
      <c r="BP56" s="50"/>
      <c r="BQ56" s="50"/>
      <c r="BR56" s="50"/>
      <c r="BS56" s="50"/>
      <c r="BT56" s="50"/>
      <c r="BU56" s="50"/>
      <c r="BV56" s="50"/>
      <c r="BW56" s="50"/>
      <c r="BX56" s="50"/>
      <c r="BY56" s="50"/>
      <c r="BZ56" s="50"/>
      <c r="CA56" s="50"/>
      <c r="CB56" s="50"/>
      <c r="CC56" s="50"/>
      <c r="CD56" s="50"/>
      <c r="CE56" s="52"/>
      <c r="CF56" s="52"/>
      <c r="CG56" s="52"/>
      <c r="CH56" s="52"/>
      <c r="CI56" s="52"/>
      <c r="CJ56" s="52"/>
      <c r="CK56" s="52"/>
      <c r="CL56" s="52"/>
      <c r="CM56" s="52"/>
    </row>
    <row r="57" spans="1:91" x14ac:dyDescent="0.15">
      <c r="A57" s="41">
        <v>55</v>
      </c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3"/>
      <c r="BA57" s="43"/>
      <c r="BB57" s="43"/>
      <c r="BC57" s="43"/>
      <c r="BD57" s="43"/>
      <c r="BE57" s="43"/>
      <c r="BF57" s="43"/>
      <c r="BG57" s="43"/>
      <c r="BH57" s="43"/>
      <c r="BI57" s="43"/>
      <c r="BJ57" s="43"/>
      <c r="BK57" s="43"/>
      <c r="BL57" s="43"/>
      <c r="BM57" s="50"/>
      <c r="BN57" s="50"/>
      <c r="BO57" s="50"/>
      <c r="BP57" s="50"/>
      <c r="BQ57" s="50"/>
      <c r="BR57" s="50"/>
      <c r="BS57" s="50"/>
      <c r="BT57" s="50"/>
      <c r="BU57" s="50"/>
      <c r="BV57" s="50"/>
      <c r="BW57" s="50"/>
      <c r="BX57" s="50"/>
      <c r="BY57" s="50"/>
      <c r="BZ57" s="50"/>
      <c r="CA57" s="50"/>
      <c r="CB57" s="50"/>
      <c r="CC57" s="50"/>
      <c r="CD57" s="50"/>
      <c r="CE57" s="52"/>
      <c r="CF57" s="52"/>
      <c r="CG57" s="52"/>
      <c r="CH57" s="52"/>
      <c r="CI57" s="52"/>
      <c r="CJ57" s="52"/>
      <c r="CK57" s="52"/>
      <c r="CL57" s="52"/>
      <c r="CM57" s="52"/>
    </row>
    <row r="58" spans="1:91" x14ac:dyDescent="0.15">
      <c r="A58" s="41">
        <v>56</v>
      </c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50"/>
      <c r="BN58" s="50"/>
      <c r="BO58" s="50"/>
      <c r="BP58" s="50"/>
      <c r="BQ58" s="50"/>
      <c r="BR58" s="50"/>
      <c r="BS58" s="50"/>
      <c r="BT58" s="50"/>
      <c r="BU58" s="50"/>
      <c r="BV58" s="50"/>
      <c r="BW58" s="50"/>
      <c r="BX58" s="50"/>
      <c r="BY58" s="50"/>
      <c r="BZ58" s="50"/>
      <c r="CA58" s="50"/>
      <c r="CB58" s="50"/>
      <c r="CC58" s="50"/>
      <c r="CD58" s="50"/>
      <c r="CE58" s="52"/>
      <c r="CF58" s="52"/>
      <c r="CG58" s="52"/>
      <c r="CH58" s="52"/>
      <c r="CI58" s="52"/>
      <c r="CJ58" s="52"/>
      <c r="CK58" s="52"/>
      <c r="CL58" s="52"/>
      <c r="CM58" s="52"/>
    </row>
    <row r="59" spans="1:91" x14ac:dyDescent="0.15">
      <c r="A59" s="41">
        <v>57</v>
      </c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3"/>
      <c r="AN59" s="43"/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3"/>
      <c r="BA59" s="43"/>
      <c r="BB59" s="43"/>
      <c r="BC59" s="43"/>
      <c r="BD59" s="43"/>
      <c r="BE59" s="43"/>
      <c r="BF59" s="43"/>
      <c r="BG59" s="43"/>
      <c r="BH59" s="43"/>
      <c r="BI59" s="43"/>
      <c r="BJ59" s="43"/>
      <c r="BK59" s="43"/>
      <c r="BL59" s="43"/>
      <c r="BM59" s="50"/>
      <c r="BN59" s="50"/>
      <c r="BO59" s="50"/>
      <c r="BP59" s="50"/>
      <c r="BQ59" s="50"/>
      <c r="BR59" s="50"/>
      <c r="BS59" s="50"/>
      <c r="BT59" s="50"/>
      <c r="BU59" s="50"/>
      <c r="BV59" s="50"/>
      <c r="BW59" s="50"/>
      <c r="BX59" s="50"/>
      <c r="BY59" s="50"/>
      <c r="BZ59" s="50"/>
      <c r="CA59" s="50"/>
      <c r="CB59" s="50"/>
      <c r="CC59" s="50"/>
      <c r="CD59" s="50"/>
      <c r="CE59" s="52"/>
      <c r="CF59" s="52"/>
      <c r="CG59" s="52"/>
      <c r="CH59" s="52"/>
      <c r="CI59" s="52"/>
      <c r="CJ59" s="52"/>
      <c r="CK59" s="52"/>
      <c r="CL59" s="52"/>
      <c r="CM59" s="52"/>
    </row>
    <row r="60" spans="1:91" x14ac:dyDescent="0.15">
      <c r="A60" s="41">
        <v>58</v>
      </c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50"/>
      <c r="BN60" s="50"/>
      <c r="BO60" s="50"/>
      <c r="BP60" s="50"/>
      <c r="BQ60" s="50"/>
      <c r="BR60" s="50"/>
      <c r="BS60" s="50"/>
      <c r="BT60" s="50"/>
      <c r="BU60" s="50"/>
      <c r="BV60" s="50"/>
      <c r="BW60" s="50"/>
      <c r="BX60" s="50"/>
      <c r="BY60" s="50"/>
      <c r="BZ60" s="50"/>
      <c r="CA60" s="50"/>
      <c r="CB60" s="50"/>
      <c r="CC60" s="50"/>
      <c r="CD60" s="50"/>
      <c r="CE60" s="52"/>
      <c r="CF60" s="52"/>
      <c r="CG60" s="52"/>
      <c r="CH60" s="52"/>
      <c r="CI60" s="52"/>
      <c r="CJ60" s="52"/>
      <c r="CK60" s="52"/>
      <c r="CL60" s="52"/>
      <c r="CM60" s="52"/>
    </row>
    <row r="61" spans="1:91" x14ac:dyDescent="0.15">
      <c r="A61" s="41">
        <v>59</v>
      </c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  <c r="AF61" s="43"/>
      <c r="AG61" s="43"/>
      <c r="AH61" s="43"/>
      <c r="AI61" s="43"/>
      <c r="AJ61" s="43"/>
      <c r="AK61" s="43"/>
      <c r="AL61" s="43"/>
      <c r="AM61" s="43"/>
      <c r="AN61" s="43"/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3"/>
      <c r="BA61" s="43"/>
      <c r="BB61" s="43"/>
      <c r="BC61" s="43"/>
      <c r="BD61" s="43"/>
      <c r="BE61" s="43"/>
      <c r="BF61" s="43"/>
      <c r="BG61" s="43"/>
      <c r="BH61" s="43"/>
      <c r="BI61" s="43"/>
      <c r="BJ61" s="43"/>
      <c r="BK61" s="43"/>
      <c r="BL61" s="43"/>
      <c r="BM61" s="50"/>
      <c r="BN61" s="50"/>
      <c r="BO61" s="50"/>
      <c r="BP61" s="50"/>
      <c r="BQ61" s="50"/>
      <c r="BR61" s="50"/>
      <c r="BS61" s="50"/>
      <c r="BT61" s="50"/>
      <c r="BU61" s="50"/>
      <c r="BV61" s="50"/>
      <c r="BW61" s="50"/>
      <c r="BX61" s="50"/>
      <c r="BY61" s="50"/>
      <c r="BZ61" s="50"/>
      <c r="CA61" s="50"/>
      <c r="CB61" s="50"/>
      <c r="CC61" s="50"/>
      <c r="CD61" s="50"/>
      <c r="CE61" s="52"/>
      <c r="CF61" s="52"/>
      <c r="CG61" s="52"/>
      <c r="CH61" s="52"/>
      <c r="CI61" s="52"/>
      <c r="CJ61" s="52"/>
      <c r="CK61" s="52"/>
      <c r="CL61" s="52"/>
      <c r="CM61" s="52"/>
    </row>
    <row r="62" spans="1:91" x14ac:dyDescent="0.15">
      <c r="A62" s="41">
        <v>60</v>
      </c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  <c r="AF62" s="43"/>
      <c r="AG62" s="43"/>
      <c r="AH62" s="43"/>
      <c r="AI62" s="43"/>
      <c r="AJ62" s="43"/>
      <c r="AK62" s="43"/>
      <c r="AL62" s="43"/>
      <c r="AM62" s="43"/>
      <c r="AN62" s="43"/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3"/>
      <c r="BA62" s="43"/>
      <c r="BB62" s="43"/>
      <c r="BC62" s="43"/>
      <c r="BD62" s="43"/>
      <c r="BE62" s="43"/>
      <c r="BF62" s="43"/>
      <c r="BG62" s="43"/>
      <c r="BH62" s="43"/>
      <c r="BI62" s="43"/>
      <c r="BJ62" s="43"/>
      <c r="BK62" s="43"/>
      <c r="BL62" s="43"/>
      <c r="BM62" s="50"/>
      <c r="BN62" s="50"/>
      <c r="BO62" s="50"/>
      <c r="BP62" s="50"/>
      <c r="BQ62" s="50"/>
      <c r="BR62" s="50"/>
      <c r="BS62" s="50"/>
      <c r="BT62" s="50"/>
      <c r="BU62" s="50"/>
      <c r="BV62" s="50"/>
      <c r="BW62" s="50"/>
      <c r="BX62" s="50"/>
      <c r="BY62" s="50"/>
      <c r="BZ62" s="50"/>
      <c r="CA62" s="50"/>
      <c r="CB62" s="50"/>
      <c r="CC62" s="50"/>
      <c r="CD62" s="50"/>
      <c r="CE62" s="52"/>
      <c r="CF62" s="52"/>
      <c r="CG62" s="52"/>
      <c r="CH62" s="52"/>
      <c r="CI62" s="52"/>
      <c r="CJ62" s="52"/>
      <c r="CK62" s="52"/>
      <c r="CL62" s="52"/>
      <c r="CM62" s="52"/>
    </row>
    <row r="63" spans="1:91" x14ac:dyDescent="0.15">
      <c r="A63" s="41">
        <v>61</v>
      </c>
      <c r="B63" s="45"/>
      <c r="C63" s="45"/>
      <c r="D63" s="45"/>
      <c r="E63" s="45"/>
      <c r="F63" s="45"/>
      <c r="G63" s="45"/>
      <c r="H63" s="45"/>
      <c r="I63" s="45"/>
      <c r="J63" s="45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50"/>
      <c r="BN63" s="50"/>
      <c r="BO63" s="50"/>
      <c r="BP63" s="50"/>
      <c r="BQ63" s="50"/>
      <c r="BR63" s="50"/>
      <c r="BS63" s="50"/>
      <c r="BT63" s="50"/>
      <c r="BU63" s="50"/>
      <c r="BV63" s="50"/>
      <c r="BW63" s="50"/>
      <c r="BX63" s="50"/>
      <c r="BY63" s="50"/>
      <c r="BZ63" s="50"/>
      <c r="CA63" s="50"/>
      <c r="CB63" s="50"/>
      <c r="CC63" s="50"/>
      <c r="CD63" s="50"/>
      <c r="CE63" s="52"/>
      <c r="CF63" s="52"/>
      <c r="CG63" s="52"/>
      <c r="CH63" s="52"/>
      <c r="CI63" s="52"/>
      <c r="CJ63" s="52"/>
      <c r="CK63" s="52"/>
      <c r="CL63" s="52"/>
      <c r="CM63" s="52"/>
    </row>
    <row r="64" spans="1:91" x14ac:dyDescent="0.15">
      <c r="A64" s="41">
        <v>62</v>
      </c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3"/>
      <c r="AN64" s="43"/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43"/>
      <c r="BC64" s="43"/>
      <c r="BD64" s="43"/>
      <c r="BE64" s="43"/>
      <c r="BF64" s="43"/>
      <c r="BG64" s="43"/>
      <c r="BH64" s="43"/>
      <c r="BI64" s="43"/>
      <c r="BJ64" s="43"/>
      <c r="BK64" s="43"/>
      <c r="BL64" s="43"/>
      <c r="BM64" s="50"/>
      <c r="BN64" s="50"/>
      <c r="BO64" s="50"/>
      <c r="BP64" s="50"/>
      <c r="BQ64" s="50"/>
      <c r="BR64" s="50"/>
      <c r="BS64" s="50"/>
      <c r="BT64" s="50"/>
      <c r="BU64" s="50"/>
      <c r="BV64" s="50"/>
      <c r="BW64" s="50"/>
      <c r="BX64" s="50"/>
      <c r="BY64" s="50"/>
      <c r="BZ64" s="50"/>
      <c r="CA64" s="50"/>
      <c r="CB64" s="50"/>
      <c r="CC64" s="50"/>
      <c r="CD64" s="50"/>
      <c r="CE64" s="52"/>
      <c r="CF64" s="52"/>
      <c r="CG64" s="52"/>
      <c r="CH64" s="52"/>
      <c r="CI64" s="52"/>
      <c r="CJ64" s="52"/>
      <c r="CK64" s="52"/>
      <c r="CL64" s="52"/>
      <c r="CM64" s="52"/>
    </row>
    <row r="65" spans="1:91" x14ac:dyDescent="0.15">
      <c r="A65" s="41">
        <v>63</v>
      </c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50"/>
      <c r="BN65" s="50"/>
      <c r="BO65" s="50"/>
      <c r="BP65" s="50"/>
      <c r="BQ65" s="50"/>
      <c r="BR65" s="50"/>
      <c r="BS65" s="50"/>
      <c r="BT65" s="50"/>
      <c r="BU65" s="50"/>
      <c r="BV65" s="50"/>
      <c r="BW65" s="50"/>
      <c r="BX65" s="50"/>
      <c r="BY65" s="50"/>
      <c r="BZ65" s="50"/>
      <c r="CA65" s="50"/>
      <c r="CB65" s="50"/>
      <c r="CC65" s="50"/>
      <c r="CD65" s="50"/>
      <c r="CE65" s="52"/>
      <c r="CF65" s="52"/>
      <c r="CG65" s="52"/>
      <c r="CH65" s="52"/>
      <c r="CI65" s="52"/>
      <c r="CJ65" s="52"/>
      <c r="CK65" s="52"/>
      <c r="CL65" s="52"/>
      <c r="CM65" s="52"/>
    </row>
    <row r="66" spans="1:91" x14ac:dyDescent="0.15">
      <c r="A66" s="41">
        <v>64</v>
      </c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  <c r="AF66" s="43"/>
      <c r="AG66" s="43"/>
      <c r="AH66" s="43"/>
      <c r="AI66" s="43"/>
      <c r="AJ66" s="43"/>
      <c r="AK66" s="43"/>
      <c r="AL66" s="43"/>
      <c r="AM66" s="43"/>
      <c r="AN66" s="43"/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3"/>
      <c r="BA66" s="43"/>
      <c r="BB66" s="43"/>
      <c r="BC66" s="43"/>
      <c r="BD66" s="43"/>
      <c r="BE66" s="43"/>
      <c r="BF66" s="43"/>
      <c r="BG66" s="43"/>
      <c r="BH66" s="43"/>
      <c r="BI66" s="43"/>
      <c r="BJ66" s="43"/>
      <c r="BK66" s="43"/>
      <c r="BL66" s="43"/>
      <c r="BM66" s="50"/>
      <c r="BN66" s="50"/>
      <c r="BO66" s="50"/>
      <c r="BP66" s="50"/>
      <c r="BQ66" s="50"/>
      <c r="BR66" s="50"/>
      <c r="BS66" s="50"/>
      <c r="BT66" s="50"/>
      <c r="BU66" s="50"/>
      <c r="BV66" s="50"/>
      <c r="BW66" s="50"/>
      <c r="BX66" s="50"/>
      <c r="BY66" s="50"/>
      <c r="BZ66" s="50"/>
      <c r="CA66" s="50"/>
      <c r="CB66" s="50"/>
      <c r="CC66" s="50"/>
      <c r="CD66" s="50"/>
      <c r="CE66" s="52"/>
      <c r="CF66" s="52"/>
      <c r="CG66" s="52"/>
      <c r="CH66" s="52"/>
      <c r="CI66" s="52"/>
      <c r="CJ66" s="52"/>
      <c r="CK66" s="52"/>
      <c r="CL66" s="52"/>
      <c r="CM66" s="52"/>
    </row>
    <row r="67" spans="1:91" x14ac:dyDescent="0.15">
      <c r="A67" s="41">
        <v>65</v>
      </c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  <c r="AF67" s="43"/>
      <c r="AG67" s="43"/>
      <c r="AH67" s="43"/>
      <c r="AI67" s="43"/>
      <c r="AJ67" s="43"/>
      <c r="AK67" s="43"/>
      <c r="AL67" s="43"/>
      <c r="AM67" s="43"/>
      <c r="AN67" s="43"/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3"/>
      <c r="BA67" s="43"/>
      <c r="BB67" s="43"/>
      <c r="BC67" s="43"/>
      <c r="BD67" s="43"/>
      <c r="BE67" s="43"/>
      <c r="BF67" s="43"/>
      <c r="BG67" s="43"/>
      <c r="BH67" s="43"/>
      <c r="BI67" s="43"/>
      <c r="BJ67" s="43"/>
      <c r="BK67" s="43"/>
      <c r="BL67" s="43"/>
      <c r="BM67" s="50"/>
      <c r="BN67" s="50"/>
      <c r="BO67" s="50"/>
      <c r="BP67" s="50"/>
      <c r="BQ67" s="50"/>
      <c r="BR67" s="50"/>
      <c r="BS67" s="50"/>
      <c r="BT67" s="50"/>
      <c r="BU67" s="50"/>
      <c r="BV67" s="50"/>
      <c r="BW67" s="50"/>
      <c r="BX67" s="50"/>
      <c r="BY67" s="50"/>
      <c r="BZ67" s="50"/>
      <c r="CA67" s="50"/>
      <c r="CB67" s="50"/>
      <c r="CC67" s="50"/>
      <c r="CD67" s="50"/>
      <c r="CE67" s="52"/>
      <c r="CF67" s="52"/>
      <c r="CG67" s="52"/>
      <c r="CH67" s="52"/>
      <c r="CI67" s="52"/>
      <c r="CJ67" s="52"/>
      <c r="CK67" s="52"/>
      <c r="CL67" s="52"/>
      <c r="CM67" s="52"/>
    </row>
    <row r="68" spans="1:91" x14ac:dyDescent="0.15">
      <c r="A68" s="41">
        <v>66</v>
      </c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50"/>
      <c r="BN68" s="50"/>
      <c r="BO68" s="50"/>
      <c r="BP68" s="50"/>
      <c r="BQ68" s="50"/>
      <c r="BR68" s="50"/>
      <c r="BS68" s="50"/>
      <c r="BT68" s="50"/>
      <c r="BU68" s="50"/>
      <c r="BV68" s="50"/>
      <c r="BW68" s="50"/>
      <c r="BX68" s="50"/>
      <c r="BY68" s="50"/>
      <c r="BZ68" s="50"/>
      <c r="CA68" s="50"/>
      <c r="CB68" s="50"/>
      <c r="CC68" s="50"/>
      <c r="CD68" s="50"/>
      <c r="CE68" s="52"/>
      <c r="CF68" s="52"/>
      <c r="CG68" s="52"/>
      <c r="CH68" s="52"/>
      <c r="CI68" s="52"/>
      <c r="CJ68" s="52"/>
      <c r="CK68" s="52"/>
      <c r="CL68" s="52"/>
      <c r="CM68" s="52"/>
    </row>
    <row r="69" spans="1:91" x14ac:dyDescent="0.15">
      <c r="A69" s="41">
        <v>67</v>
      </c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3"/>
      <c r="AN69" s="43"/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43"/>
      <c r="BC69" s="43"/>
      <c r="BD69" s="43"/>
      <c r="BE69" s="43"/>
      <c r="BF69" s="43"/>
      <c r="BG69" s="43"/>
      <c r="BH69" s="43"/>
      <c r="BI69" s="43"/>
      <c r="BJ69" s="43"/>
      <c r="BK69" s="43"/>
      <c r="BL69" s="43"/>
      <c r="BM69" s="50"/>
      <c r="BN69" s="50"/>
      <c r="BO69" s="50"/>
      <c r="BP69" s="50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A69" s="50"/>
      <c r="CB69" s="50"/>
      <c r="CC69" s="50"/>
      <c r="CD69" s="50"/>
      <c r="CE69" s="52"/>
      <c r="CF69" s="52"/>
      <c r="CG69" s="52"/>
      <c r="CH69" s="52"/>
      <c r="CI69" s="52"/>
      <c r="CJ69" s="52"/>
      <c r="CK69" s="52"/>
      <c r="CL69" s="52"/>
      <c r="CM69" s="52"/>
    </row>
    <row r="70" spans="1:91" x14ac:dyDescent="0.15">
      <c r="A70" s="41">
        <v>68</v>
      </c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3"/>
      <c r="AN70" s="43"/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50"/>
      <c r="BN70" s="50"/>
      <c r="BO70" s="50"/>
      <c r="BP70" s="50"/>
      <c r="BQ70" s="50"/>
      <c r="BR70" s="50"/>
      <c r="BS70" s="50"/>
      <c r="BT70" s="50"/>
      <c r="BU70" s="50"/>
      <c r="BV70" s="50"/>
      <c r="BW70" s="50"/>
      <c r="BX70" s="50"/>
      <c r="BY70" s="50"/>
      <c r="BZ70" s="50"/>
      <c r="CA70" s="50"/>
      <c r="CB70" s="50"/>
      <c r="CC70" s="50"/>
      <c r="CD70" s="50"/>
      <c r="CE70" s="52"/>
      <c r="CF70" s="52"/>
      <c r="CG70" s="52"/>
      <c r="CH70" s="52"/>
      <c r="CI70" s="52"/>
      <c r="CJ70" s="52"/>
      <c r="CK70" s="52"/>
      <c r="CL70" s="52"/>
      <c r="CM70" s="52"/>
    </row>
    <row r="71" spans="1:91" x14ac:dyDescent="0.15">
      <c r="A71" s="41">
        <v>69</v>
      </c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50"/>
      <c r="BN71" s="50"/>
      <c r="BO71" s="50"/>
      <c r="BP71" s="50"/>
      <c r="BQ71" s="50"/>
      <c r="BR71" s="50"/>
      <c r="BS71" s="50"/>
      <c r="BT71" s="50"/>
      <c r="BU71" s="50"/>
      <c r="BV71" s="50"/>
      <c r="BW71" s="50"/>
      <c r="BX71" s="50"/>
      <c r="BY71" s="50"/>
      <c r="BZ71" s="50"/>
      <c r="CA71" s="50"/>
      <c r="CB71" s="50"/>
      <c r="CC71" s="50"/>
      <c r="CD71" s="50"/>
      <c r="CE71" s="52"/>
      <c r="CF71" s="52"/>
      <c r="CG71" s="52"/>
      <c r="CH71" s="52"/>
      <c r="CI71" s="52"/>
      <c r="CJ71" s="52"/>
      <c r="CK71" s="52"/>
      <c r="CL71" s="52"/>
      <c r="CM71" s="52"/>
    </row>
    <row r="72" spans="1:91" x14ac:dyDescent="0.15">
      <c r="A72" s="41">
        <v>70</v>
      </c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  <c r="AG72" s="43"/>
      <c r="AH72" s="43"/>
      <c r="AI72" s="43"/>
      <c r="AJ72" s="43"/>
      <c r="AK72" s="43"/>
      <c r="AL72" s="43"/>
      <c r="AM72" s="43"/>
      <c r="AN72" s="43"/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50"/>
      <c r="BN72" s="50"/>
      <c r="BO72" s="50"/>
      <c r="BP72" s="50"/>
      <c r="BQ72" s="50"/>
      <c r="BR72" s="50"/>
      <c r="BS72" s="50"/>
      <c r="BT72" s="50"/>
      <c r="BU72" s="50"/>
      <c r="BV72" s="50"/>
      <c r="BW72" s="50"/>
      <c r="BX72" s="50"/>
      <c r="BY72" s="50"/>
      <c r="BZ72" s="50"/>
      <c r="CA72" s="50"/>
      <c r="CB72" s="50"/>
      <c r="CC72" s="50"/>
      <c r="CD72" s="50"/>
      <c r="CE72" s="52"/>
      <c r="CF72" s="52"/>
      <c r="CG72" s="52"/>
      <c r="CH72" s="52"/>
      <c r="CI72" s="52"/>
      <c r="CJ72" s="52"/>
      <c r="CK72" s="52"/>
      <c r="CL72" s="52"/>
      <c r="CM72" s="52"/>
    </row>
    <row r="73" spans="1:91" x14ac:dyDescent="0.15">
      <c r="A73" s="41">
        <v>71</v>
      </c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43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50"/>
      <c r="BN73" s="50"/>
      <c r="BO73" s="50"/>
      <c r="BP73" s="50"/>
      <c r="BQ73" s="50"/>
      <c r="BR73" s="50"/>
      <c r="BS73" s="50"/>
      <c r="BT73" s="50"/>
      <c r="BU73" s="50"/>
      <c r="BV73" s="50"/>
      <c r="BW73" s="50"/>
      <c r="BX73" s="50"/>
      <c r="BY73" s="50"/>
      <c r="BZ73" s="50"/>
      <c r="CA73" s="50"/>
      <c r="CB73" s="50"/>
      <c r="CC73" s="50"/>
      <c r="CD73" s="50"/>
      <c r="CE73" s="52"/>
      <c r="CF73" s="52"/>
      <c r="CG73" s="52"/>
      <c r="CH73" s="52"/>
      <c r="CI73" s="52"/>
      <c r="CJ73" s="52"/>
      <c r="CK73" s="52"/>
      <c r="CL73" s="52"/>
      <c r="CM73" s="52"/>
    </row>
    <row r="74" spans="1:91" x14ac:dyDescent="0.15">
      <c r="A74" s="41">
        <v>72</v>
      </c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  <c r="AG74" s="43"/>
      <c r="AH74" s="43"/>
      <c r="AI74" s="43"/>
      <c r="AJ74" s="43"/>
      <c r="AK74" s="43"/>
      <c r="AL74" s="43"/>
      <c r="AM74" s="43"/>
      <c r="AN74" s="43"/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3"/>
      <c r="BA74" s="43"/>
      <c r="BB74" s="43"/>
      <c r="BC74" s="43"/>
      <c r="BD74" s="43"/>
      <c r="BE74" s="43"/>
      <c r="BF74" s="43"/>
      <c r="BG74" s="43"/>
      <c r="BH74" s="43"/>
      <c r="BI74" s="43"/>
      <c r="BJ74" s="43"/>
      <c r="BK74" s="43"/>
      <c r="BL74" s="43"/>
      <c r="BM74" s="50"/>
      <c r="BN74" s="50"/>
      <c r="BO74" s="50"/>
      <c r="BP74" s="50"/>
      <c r="BQ74" s="50"/>
      <c r="BR74" s="50"/>
      <c r="BS74" s="50"/>
      <c r="BT74" s="50"/>
      <c r="BU74" s="50"/>
      <c r="BV74" s="50"/>
      <c r="BW74" s="50"/>
      <c r="BX74" s="50"/>
      <c r="BY74" s="50"/>
      <c r="BZ74" s="50"/>
      <c r="CA74" s="50"/>
      <c r="CB74" s="50"/>
      <c r="CC74" s="50"/>
      <c r="CD74" s="50"/>
      <c r="CE74" s="52"/>
      <c r="CF74" s="52"/>
      <c r="CG74" s="52"/>
      <c r="CH74" s="52"/>
      <c r="CI74" s="52"/>
      <c r="CJ74" s="52"/>
      <c r="CK74" s="52"/>
      <c r="CL74" s="52"/>
      <c r="CM74" s="52"/>
    </row>
    <row r="75" spans="1:91" x14ac:dyDescent="0.15">
      <c r="A75" s="41">
        <v>73</v>
      </c>
      <c r="B75" s="45"/>
      <c r="C75" s="45"/>
      <c r="D75" s="45"/>
      <c r="E75" s="45"/>
      <c r="F75" s="45"/>
      <c r="G75" s="45"/>
      <c r="H75" s="45"/>
      <c r="I75" s="45"/>
      <c r="J75" s="45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3"/>
      <c r="AN75" s="43"/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3"/>
      <c r="BA75" s="43"/>
      <c r="BB75" s="43"/>
      <c r="BC75" s="43"/>
      <c r="BD75" s="43"/>
      <c r="BE75" s="43"/>
      <c r="BF75" s="43"/>
      <c r="BG75" s="43"/>
      <c r="BH75" s="43"/>
      <c r="BI75" s="43"/>
      <c r="BJ75" s="43"/>
      <c r="BK75" s="43"/>
      <c r="BL75" s="43"/>
      <c r="BM75" s="50"/>
      <c r="BN75" s="50"/>
      <c r="BO75" s="50"/>
      <c r="BP75" s="50"/>
      <c r="BQ75" s="50"/>
      <c r="BR75" s="50"/>
      <c r="BS75" s="50"/>
      <c r="BT75" s="50"/>
      <c r="BU75" s="50"/>
      <c r="BV75" s="50"/>
      <c r="BW75" s="50"/>
      <c r="BX75" s="50"/>
      <c r="BY75" s="50"/>
      <c r="BZ75" s="50"/>
      <c r="CA75" s="50"/>
      <c r="CB75" s="50"/>
      <c r="CC75" s="50"/>
      <c r="CD75" s="50"/>
      <c r="CE75" s="52"/>
      <c r="CF75" s="52"/>
      <c r="CG75" s="52"/>
      <c r="CH75" s="52"/>
      <c r="CI75" s="52"/>
      <c r="CJ75" s="52"/>
      <c r="CK75" s="52"/>
      <c r="CL75" s="52"/>
      <c r="CM75" s="52"/>
    </row>
    <row r="76" spans="1:91" x14ac:dyDescent="0.15">
      <c r="A76" s="41">
        <v>74</v>
      </c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3"/>
      <c r="AN76" s="43"/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3"/>
      <c r="BA76" s="43"/>
      <c r="BB76" s="43"/>
      <c r="BC76" s="43"/>
      <c r="BD76" s="43"/>
      <c r="BE76" s="43"/>
      <c r="BF76" s="43"/>
      <c r="BG76" s="43"/>
      <c r="BH76" s="43"/>
      <c r="BI76" s="43"/>
      <c r="BJ76" s="43"/>
      <c r="BK76" s="43"/>
      <c r="BL76" s="43"/>
      <c r="BM76" s="50"/>
      <c r="BN76" s="50"/>
      <c r="BO76" s="50"/>
      <c r="BP76" s="50"/>
      <c r="BQ76" s="50"/>
      <c r="BR76" s="50"/>
      <c r="BS76" s="50"/>
      <c r="BT76" s="50"/>
      <c r="BU76" s="50"/>
      <c r="BV76" s="50"/>
      <c r="BW76" s="50"/>
      <c r="BX76" s="50"/>
      <c r="BY76" s="50"/>
      <c r="BZ76" s="50"/>
      <c r="CA76" s="50"/>
      <c r="CB76" s="50"/>
      <c r="CC76" s="50"/>
      <c r="CD76" s="50"/>
      <c r="CE76" s="52"/>
      <c r="CF76" s="52"/>
      <c r="CG76" s="52"/>
      <c r="CH76" s="52"/>
      <c r="CI76" s="52"/>
      <c r="CJ76" s="52"/>
      <c r="CK76" s="52"/>
      <c r="CL76" s="52"/>
      <c r="CM76" s="52"/>
    </row>
    <row r="77" spans="1:91" x14ac:dyDescent="0.15">
      <c r="A77" s="41">
        <v>75</v>
      </c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3"/>
      <c r="AN77" s="43"/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3"/>
      <c r="BA77" s="43"/>
      <c r="BB77" s="43"/>
      <c r="BC77" s="43"/>
      <c r="BD77" s="43"/>
      <c r="BE77" s="43"/>
      <c r="BF77" s="43"/>
      <c r="BG77" s="43"/>
      <c r="BH77" s="43"/>
      <c r="BI77" s="43"/>
      <c r="BJ77" s="43"/>
      <c r="BK77" s="43"/>
      <c r="BL77" s="43"/>
      <c r="BM77" s="50"/>
      <c r="BN77" s="50"/>
      <c r="BO77" s="50"/>
      <c r="BP77" s="50"/>
      <c r="BQ77" s="50"/>
      <c r="BR77" s="50"/>
      <c r="BS77" s="50"/>
      <c r="BT77" s="50"/>
      <c r="BU77" s="50"/>
      <c r="BV77" s="50"/>
      <c r="BW77" s="50"/>
      <c r="BX77" s="50"/>
      <c r="BY77" s="50"/>
      <c r="BZ77" s="50"/>
      <c r="CA77" s="50"/>
      <c r="CB77" s="50"/>
      <c r="CC77" s="50"/>
      <c r="CD77" s="50"/>
      <c r="CE77" s="52"/>
      <c r="CF77" s="52"/>
      <c r="CG77" s="52"/>
      <c r="CH77" s="52"/>
      <c r="CI77" s="52"/>
      <c r="CJ77" s="52"/>
      <c r="CK77" s="52"/>
      <c r="CL77" s="52"/>
      <c r="CM77" s="52"/>
    </row>
    <row r="78" spans="1:91" x14ac:dyDescent="0.15">
      <c r="A78" s="41">
        <v>76</v>
      </c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  <c r="AG78" s="43"/>
      <c r="AH78" s="43"/>
      <c r="AI78" s="43"/>
      <c r="AJ78" s="43"/>
      <c r="AK78" s="43"/>
      <c r="AL78" s="43"/>
      <c r="AM78" s="43"/>
      <c r="AN78" s="43"/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3"/>
      <c r="BA78" s="43"/>
      <c r="BB78" s="43"/>
      <c r="BC78" s="43"/>
      <c r="BD78" s="43"/>
      <c r="BE78" s="43"/>
      <c r="BF78" s="43"/>
      <c r="BG78" s="43"/>
      <c r="BH78" s="43"/>
      <c r="BI78" s="43"/>
      <c r="BJ78" s="43"/>
      <c r="BK78" s="43"/>
      <c r="BL78" s="43"/>
      <c r="BM78" s="50"/>
      <c r="BN78" s="50"/>
      <c r="BO78" s="50"/>
      <c r="BP78" s="50"/>
      <c r="BQ78" s="50"/>
      <c r="BR78" s="50"/>
      <c r="BS78" s="50"/>
      <c r="BT78" s="50"/>
      <c r="BU78" s="50"/>
      <c r="BV78" s="50"/>
      <c r="BW78" s="50"/>
      <c r="BX78" s="50"/>
      <c r="BY78" s="50"/>
      <c r="BZ78" s="50"/>
      <c r="CA78" s="50"/>
      <c r="CB78" s="50"/>
      <c r="CC78" s="50"/>
      <c r="CD78" s="50"/>
      <c r="CE78" s="52"/>
      <c r="CF78" s="52"/>
      <c r="CG78" s="52"/>
      <c r="CH78" s="52"/>
      <c r="CI78" s="52"/>
      <c r="CJ78" s="52"/>
      <c r="CK78" s="52"/>
      <c r="CL78" s="52"/>
      <c r="CM78" s="52"/>
    </row>
    <row r="79" spans="1:91" x14ac:dyDescent="0.15">
      <c r="A79" s="41">
        <v>77</v>
      </c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50"/>
      <c r="BN79" s="50"/>
      <c r="BO79" s="50"/>
      <c r="BP79" s="50"/>
      <c r="BQ79" s="50"/>
      <c r="BR79" s="50"/>
      <c r="BS79" s="50"/>
      <c r="BT79" s="50"/>
      <c r="BU79" s="50"/>
      <c r="BV79" s="50"/>
      <c r="BW79" s="50"/>
      <c r="BX79" s="50"/>
      <c r="BY79" s="50"/>
      <c r="BZ79" s="50"/>
      <c r="CA79" s="50"/>
      <c r="CB79" s="50"/>
      <c r="CC79" s="50"/>
      <c r="CD79" s="50"/>
      <c r="CE79" s="52"/>
      <c r="CF79" s="52"/>
      <c r="CG79" s="52"/>
      <c r="CH79" s="52"/>
      <c r="CI79" s="52"/>
      <c r="CJ79" s="52"/>
      <c r="CK79" s="52"/>
      <c r="CL79" s="52"/>
      <c r="CM79" s="52"/>
    </row>
    <row r="80" spans="1:91" x14ac:dyDescent="0.15">
      <c r="A80" s="41">
        <v>78</v>
      </c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3"/>
      <c r="AI80" s="43"/>
      <c r="AJ80" s="43"/>
      <c r="AK80" s="43"/>
      <c r="AL80" s="43"/>
      <c r="AM80" s="43"/>
      <c r="AN80" s="43"/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3"/>
      <c r="BA80" s="43"/>
      <c r="BB80" s="43"/>
      <c r="BC80" s="43"/>
      <c r="BD80" s="43"/>
      <c r="BE80" s="43"/>
      <c r="BF80" s="43"/>
      <c r="BG80" s="43"/>
      <c r="BH80" s="43"/>
      <c r="BI80" s="43"/>
      <c r="BJ80" s="43"/>
      <c r="BK80" s="43"/>
      <c r="BL80" s="43"/>
      <c r="BM80" s="50"/>
      <c r="BN80" s="50"/>
      <c r="BO80" s="50"/>
      <c r="BP80" s="50"/>
      <c r="BQ80" s="50"/>
      <c r="BR80" s="50"/>
      <c r="BS80" s="50"/>
      <c r="BT80" s="50"/>
      <c r="BU80" s="50"/>
      <c r="BV80" s="50"/>
      <c r="BW80" s="50"/>
      <c r="BX80" s="50"/>
      <c r="BY80" s="50"/>
      <c r="BZ80" s="50"/>
      <c r="CA80" s="50"/>
      <c r="CB80" s="50"/>
      <c r="CC80" s="50"/>
      <c r="CD80" s="50"/>
      <c r="CE80" s="52"/>
      <c r="CF80" s="52"/>
      <c r="CG80" s="52"/>
      <c r="CH80" s="52"/>
      <c r="CI80" s="52"/>
      <c r="CJ80" s="52"/>
      <c r="CK80" s="52"/>
      <c r="CL80" s="52"/>
      <c r="CM80" s="52"/>
    </row>
    <row r="81" spans="1:91" x14ac:dyDescent="0.15">
      <c r="A81" s="41">
        <v>79</v>
      </c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3"/>
      <c r="AN81" s="43"/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3"/>
      <c r="BA81" s="43"/>
      <c r="BB81" s="43"/>
      <c r="BC81" s="43"/>
      <c r="BD81" s="43"/>
      <c r="BE81" s="43"/>
      <c r="BF81" s="43"/>
      <c r="BG81" s="43"/>
      <c r="BH81" s="43"/>
      <c r="BI81" s="43"/>
      <c r="BJ81" s="43"/>
      <c r="BK81" s="43"/>
      <c r="BL81" s="43"/>
      <c r="BM81" s="50"/>
      <c r="BN81" s="50"/>
      <c r="BO81" s="50"/>
      <c r="BP81" s="50"/>
      <c r="BQ81" s="50"/>
      <c r="BR81" s="50"/>
      <c r="BS81" s="50"/>
      <c r="BT81" s="50"/>
      <c r="BU81" s="50"/>
      <c r="BV81" s="50"/>
      <c r="BW81" s="50"/>
      <c r="BX81" s="50"/>
      <c r="BY81" s="50"/>
      <c r="BZ81" s="50"/>
      <c r="CA81" s="50"/>
      <c r="CB81" s="50"/>
      <c r="CC81" s="50"/>
      <c r="CD81" s="50"/>
      <c r="CE81" s="52"/>
      <c r="CF81" s="52"/>
      <c r="CG81" s="52"/>
      <c r="CH81" s="52"/>
      <c r="CI81" s="52"/>
      <c r="CJ81" s="52"/>
      <c r="CK81" s="52"/>
      <c r="CL81" s="52"/>
      <c r="CM81" s="52"/>
    </row>
    <row r="82" spans="1:91" x14ac:dyDescent="0.15">
      <c r="A82" s="41">
        <v>80</v>
      </c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3"/>
      <c r="AN82" s="43"/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3"/>
      <c r="BA82" s="43"/>
      <c r="BB82" s="43"/>
      <c r="BC82" s="43"/>
      <c r="BD82" s="43"/>
      <c r="BE82" s="43"/>
      <c r="BF82" s="43"/>
      <c r="BG82" s="43"/>
      <c r="BH82" s="43"/>
      <c r="BI82" s="43"/>
      <c r="BJ82" s="43"/>
      <c r="BK82" s="43"/>
      <c r="BL82" s="43"/>
      <c r="BM82" s="50"/>
      <c r="BN82" s="50"/>
      <c r="BO82" s="50"/>
      <c r="BP82" s="50"/>
      <c r="BQ82" s="50"/>
      <c r="BR82" s="50"/>
      <c r="BS82" s="50"/>
      <c r="BT82" s="50"/>
      <c r="BU82" s="50"/>
      <c r="BV82" s="50"/>
      <c r="BW82" s="50"/>
      <c r="BX82" s="50"/>
      <c r="BY82" s="50"/>
      <c r="BZ82" s="50"/>
      <c r="CA82" s="50"/>
      <c r="CB82" s="50"/>
      <c r="CC82" s="50"/>
      <c r="CD82" s="50"/>
      <c r="CE82" s="52"/>
      <c r="CF82" s="52"/>
      <c r="CG82" s="52"/>
      <c r="CH82" s="52"/>
      <c r="CI82" s="52"/>
      <c r="CJ82" s="52"/>
      <c r="CK82" s="52"/>
      <c r="CL82" s="52"/>
      <c r="CM82" s="52"/>
    </row>
    <row r="83" spans="1:91" x14ac:dyDescent="0.15">
      <c r="A83" s="41">
        <v>81</v>
      </c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3"/>
      <c r="AN83" s="43"/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3"/>
      <c r="BA83" s="43"/>
      <c r="BB83" s="43"/>
      <c r="BC83" s="43"/>
      <c r="BD83" s="43"/>
      <c r="BE83" s="43"/>
      <c r="BF83" s="43"/>
      <c r="BG83" s="43"/>
      <c r="BH83" s="43"/>
      <c r="BI83" s="43"/>
      <c r="BJ83" s="43"/>
      <c r="BK83" s="43"/>
      <c r="BL83" s="43"/>
      <c r="BM83" s="50"/>
      <c r="BN83" s="50"/>
      <c r="BO83" s="50"/>
      <c r="BP83" s="50"/>
      <c r="BQ83" s="50"/>
      <c r="BR83" s="50"/>
      <c r="BS83" s="50"/>
      <c r="BT83" s="50"/>
      <c r="BU83" s="50"/>
      <c r="BV83" s="50"/>
      <c r="BW83" s="50"/>
      <c r="BX83" s="50"/>
      <c r="BY83" s="50"/>
      <c r="BZ83" s="50"/>
      <c r="CA83" s="50"/>
      <c r="CB83" s="50"/>
      <c r="CC83" s="50"/>
      <c r="CD83" s="50"/>
      <c r="CE83" s="52"/>
      <c r="CF83" s="52"/>
      <c r="CG83" s="52"/>
      <c r="CH83" s="52"/>
      <c r="CI83" s="52"/>
      <c r="CJ83" s="52"/>
      <c r="CK83" s="52"/>
      <c r="CL83" s="52"/>
      <c r="CM83" s="52"/>
    </row>
    <row r="84" spans="1:91" x14ac:dyDescent="0.15">
      <c r="A84" s="41">
        <v>82</v>
      </c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  <c r="AG84" s="43"/>
      <c r="AH84" s="43"/>
      <c r="AI84" s="43"/>
      <c r="AJ84" s="43"/>
      <c r="AK84" s="43"/>
      <c r="AL84" s="43"/>
      <c r="AM84" s="43"/>
      <c r="AN84" s="43"/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3"/>
      <c r="BA84" s="43"/>
      <c r="BB84" s="43"/>
      <c r="BC84" s="43"/>
      <c r="BD84" s="43"/>
      <c r="BE84" s="43"/>
      <c r="BF84" s="43"/>
      <c r="BG84" s="43"/>
      <c r="BH84" s="43"/>
      <c r="BI84" s="43"/>
      <c r="BJ84" s="43"/>
      <c r="BK84" s="43"/>
      <c r="BL84" s="43"/>
      <c r="BM84" s="50"/>
      <c r="BN84" s="50"/>
      <c r="BO84" s="50"/>
      <c r="BP84" s="50"/>
      <c r="BQ84" s="50"/>
      <c r="BR84" s="50"/>
      <c r="BS84" s="50"/>
      <c r="BT84" s="50"/>
      <c r="BU84" s="50"/>
      <c r="BV84" s="50"/>
      <c r="BW84" s="50"/>
      <c r="BX84" s="50"/>
      <c r="BY84" s="50"/>
      <c r="BZ84" s="50"/>
      <c r="CA84" s="50"/>
      <c r="CB84" s="50"/>
      <c r="CC84" s="50"/>
      <c r="CD84" s="50"/>
      <c r="CE84" s="52"/>
      <c r="CF84" s="52"/>
      <c r="CG84" s="52"/>
      <c r="CH84" s="52"/>
      <c r="CI84" s="52"/>
      <c r="CJ84" s="52"/>
      <c r="CK84" s="52"/>
      <c r="CL84" s="52"/>
      <c r="CM84" s="52"/>
    </row>
    <row r="85" spans="1:91" x14ac:dyDescent="0.15">
      <c r="A85" s="41">
        <v>83</v>
      </c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  <c r="AG85" s="43"/>
      <c r="AH85" s="43"/>
      <c r="AI85" s="43"/>
      <c r="AJ85" s="43"/>
      <c r="AK85" s="43"/>
      <c r="AL85" s="43"/>
      <c r="AM85" s="43"/>
      <c r="AN85" s="43"/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3"/>
      <c r="BA85" s="43"/>
      <c r="BB85" s="43"/>
      <c r="BC85" s="43"/>
      <c r="BD85" s="43"/>
      <c r="BE85" s="43"/>
      <c r="BF85" s="43"/>
      <c r="BG85" s="43"/>
      <c r="BH85" s="43"/>
      <c r="BI85" s="43"/>
      <c r="BJ85" s="43"/>
      <c r="BK85" s="43"/>
      <c r="BL85" s="43"/>
      <c r="BM85" s="50"/>
      <c r="BN85" s="50"/>
      <c r="BO85" s="50"/>
      <c r="BP85" s="50"/>
      <c r="BQ85" s="50"/>
      <c r="BR85" s="50"/>
      <c r="BS85" s="50"/>
      <c r="BT85" s="50"/>
      <c r="BU85" s="50"/>
      <c r="BV85" s="50"/>
      <c r="BW85" s="50"/>
      <c r="BX85" s="50"/>
      <c r="BY85" s="50"/>
      <c r="BZ85" s="50"/>
      <c r="CA85" s="50"/>
      <c r="CB85" s="50"/>
      <c r="CC85" s="50"/>
      <c r="CD85" s="50"/>
      <c r="CE85" s="52"/>
      <c r="CF85" s="52"/>
      <c r="CG85" s="52"/>
      <c r="CH85" s="52"/>
      <c r="CI85" s="52"/>
      <c r="CJ85" s="52"/>
      <c r="CK85" s="52"/>
      <c r="CL85" s="52"/>
      <c r="CM85" s="52"/>
    </row>
    <row r="86" spans="1:91" x14ac:dyDescent="0.15">
      <c r="A86" s="41">
        <v>84</v>
      </c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  <c r="AG86" s="43"/>
      <c r="AH86" s="43"/>
      <c r="AI86" s="43"/>
      <c r="AJ86" s="43"/>
      <c r="AK86" s="43"/>
      <c r="AL86" s="43"/>
      <c r="AM86" s="43"/>
      <c r="AN86" s="43"/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3"/>
      <c r="BA86" s="43"/>
      <c r="BB86" s="43"/>
      <c r="BC86" s="43"/>
      <c r="BD86" s="43"/>
      <c r="BE86" s="43"/>
      <c r="BF86" s="43"/>
      <c r="BG86" s="43"/>
      <c r="BH86" s="43"/>
      <c r="BI86" s="43"/>
      <c r="BJ86" s="43"/>
      <c r="BK86" s="43"/>
      <c r="BL86" s="43"/>
      <c r="BM86" s="50"/>
      <c r="BN86" s="50"/>
      <c r="BO86" s="50"/>
      <c r="BP86" s="50"/>
      <c r="BQ86" s="50"/>
      <c r="BR86" s="50"/>
      <c r="BS86" s="50"/>
      <c r="BT86" s="50"/>
      <c r="BU86" s="50"/>
      <c r="BV86" s="50"/>
      <c r="BW86" s="50"/>
      <c r="BX86" s="50"/>
      <c r="BY86" s="50"/>
      <c r="BZ86" s="50"/>
      <c r="CA86" s="50"/>
      <c r="CB86" s="50"/>
      <c r="CC86" s="50"/>
      <c r="CD86" s="50"/>
      <c r="CE86" s="52"/>
      <c r="CF86" s="52"/>
      <c r="CG86" s="52"/>
      <c r="CH86" s="52"/>
      <c r="CI86" s="52"/>
      <c r="CJ86" s="52"/>
      <c r="CK86" s="52"/>
      <c r="CL86" s="52"/>
      <c r="CM86" s="52"/>
    </row>
    <row r="87" spans="1:91" x14ac:dyDescent="0.15">
      <c r="A87" s="41">
        <v>85</v>
      </c>
      <c r="B87" s="45"/>
      <c r="C87" s="45"/>
      <c r="D87" s="45"/>
      <c r="E87" s="45"/>
      <c r="F87" s="45"/>
      <c r="G87" s="45"/>
      <c r="H87" s="45"/>
      <c r="I87" s="45"/>
      <c r="J87" s="45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3"/>
      <c r="AN87" s="43"/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3"/>
      <c r="BA87" s="43"/>
      <c r="BB87" s="43"/>
      <c r="BC87" s="43"/>
      <c r="BD87" s="43"/>
      <c r="BE87" s="43"/>
      <c r="BF87" s="43"/>
      <c r="BG87" s="43"/>
      <c r="BH87" s="43"/>
      <c r="BI87" s="43"/>
      <c r="BJ87" s="43"/>
      <c r="BK87" s="43"/>
      <c r="BL87" s="43"/>
      <c r="BM87" s="50"/>
      <c r="BN87" s="50"/>
      <c r="BO87" s="50"/>
      <c r="BP87" s="50"/>
      <c r="BQ87" s="50"/>
      <c r="BR87" s="50"/>
      <c r="BS87" s="50"/>
      <c r="BT87" s="50"/>
      <c r="BU87" s="50"/>
      <c r="BV87" s="50"/>
      <c r="BW87" s="50"/>
      <c r="BX87" s="50"/>
      <c r="BY87" s="50"/>
      <c r="BZ87" s="50"/>
      <c r="CA87" s="50"/>
      <c r="CB87" s="50"/>
      <c r="CC87" s="50"/>
      <c r="CD87" s="50"/>
      <c r="CE87" s="52"/>
      <c r="CF87" s="52"/>
      <c r="CG87" s="52"/>
      <c r="CH87" s="52"/>
      <c r="CI87" s="52"/>
      <c r="CJ87" s="52"/>
      <c r="CK87" s="52"/>
      <c r="CL87" s="52"/>
      <c r="CM87" s="52"/>
    </row>
    <row r="88" spans="1:91" x14ac:dyDescent="0.15">
      <c r="A88" s="41">
        <v>86</v>
      </c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3"/>
      <c r="AN88" s="43"/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3"/>
      <c r="BA88" s="43"/>
      <c r="BB88" s="43"/>
      <c r="BC88" s="43"/>
      <c r="BD88" s="43"/>
      <c r="BE88" s="43"/>
      <c r="BF88" s="43"/>
      <c r="BG88" s="43"/>
      <c r="BH88" s="43"/>
      <c r="BI88" s="43"/>
      <c r="BJ88" s="43"/>
      <c r="BK88" s="43"/>
      <c r="BL88" s="43"/>
      <c r="BM88" s="50"/>
      <c r="BN88" s="50"/>
      <c r="BO88" s="50"/>
      <c r="BP88" s="50"/>
      <c r="BQ88" s="50"/>
      <c r="BR88" s="50"/>
      <c r="BS88" s="50"/>
      <c r="BT88" s="50"/>
      <c r="BU88" s="50"/>
      <c r="BV88" s="50"/>
      <c r="BW88" s="50"/>
      <c r="BX88" s="50"/>
      <c r="BY88" s="50"/>
      <c r="BZ88" s="50"/>
      <c r="CA88" s="50"/>
      <c r="CB88" s="50"/>
      <c r="CC88" s="50"/>
      <c r="CD88" s="50"/>
      <c r="CE88" s="52"/>
      <c r="CF88" s="52"/>
      <c r="CG88" s="52"/>
      <c r="CH88" s="52"/>
      <c r="CI88" s="52"/>
      <c r="CJ88" s="52"/>
      <c r="CK88" s="52"/>
      <c r="CL88" s="52"/>
      <c r="CM88" s="52"/>
    </row>
    <row r="89" spans="1:91" x14ac:dyDescent="0.15">
      <c r="A89" s="41">
        <v>87</v>
      </c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3"/>
      <c r="AN89" s="43"/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3"/>
      <c r="BA89" s="43"/>
      <c r="BB89" s="43"/>
      <c r="BC89" s="43"/>
      <c r="BD89" s="43"/>
      <c r="BE89" s="43"/>
      <c r="BF89" s="43"/>
      <c r="BG89" s="43"/>
      <c r="BH89" s="43"/>
      <c r="BI89" s="43"/>
      <c r="BJ89" s="43"/>
      <c r="BK89" s="43"/>
      <c r="BL89" s="43"/>
      <c r="BM89" s="50"/>
      <c r="BN89" s="50"/>
      <c r="BO89" s="50"/>
      <c r="BP89" s="50"/>
      <c r="BQ89" s="50"/>
      <c r="BR89" s="50"/>
      <c r="BS89" s="50"/>
      <c r="BT89" s="50"/>
      <c r="BU89" s="50"/>
      <c r="BV89" s="50"/>
      <c r="BW89" s="50"/>
      <c r="BX89" s="50"/>
      <c r="BY89" s="50"/>
      <c r="BZ89" s="50"/>
      <c r="CA89" s="50"/>
      <c r="CB89" s="50"/>
      <c r="CC89" s="50"/>
      <c r="CD89" s="50"/>
      <c r="CE89" s="52"/>
      <c r="CF89" s="52"/>
      <c r="CG89" s="52"/>
      <c r="CH89" s="52"/>
      <c r="CI89" s="52"/>
      <c r="CJ89" s="52"/>
      <c r="CK89" s="52"/>
      <c r="CL89" s="52"/>
      <c r="CM89" s="52"/>
    </row>
    <row r="90" spans="1:91" x14ac:dyDescent="0.15">
      <c r="A90" s="41">
        <v>88</v>
      </c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  <c r="AG90" s="43"/>
      <c r="AH90" s="43"/>
      <c r="AI90" s="43"/>
      <c r="AJ90" s="43"/>
      <c r="AK90" s="43"/>
      <c r="AL90" s="43"/>
      <c r="AM90" s="43"/>
      <c r="AN90" s="43"/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3"/>
      <c r="BA90" s="43"/>
      <c r="BB90" s="43"/>
      <c r="BC90" s="43"/>
      <c r="BD90" s="43"/>
      <c r="BE90" s="43"/>
      <c r="BF90" s="43"/>
      <c r="BG90" s="43"/>
      <c r="BH90" s="43"/>
      <c r="BI90" s="43"/>
      <c r="BJ90" s="43"/>
      <c r="BK90" s="43"/>
      <c r="BL90" s="43"/>
      <c r="BM90" s="50"/>
      <c r="BN90" s="50"/>
      <c r="BO90" s="50"/>
      <c r="BP90" s="50"/>
      <c r="BQ90" s="50"/>
      <c r="BR90" s="50"/>
      <c r="BS90" s="50"/>
      <c r="BT90" s="50"/>
      <c r="BU90" s="50"/>
      <c r="BV90" s="50"/>
      <c r="BW90" s="50"/>
      <c r="BX90" s="50"/>
      <c r="BY90" s="50"/>
      <c r="BZ90" s="50"/>
      <c r="CA90" s="50"/>
      <c r="CB90" s="50"/>
      <c r="CC90" s="50"/>
      <c r="CD90" s="50"/>
      <c r="CE90" s="52"/>
      <c r="CF90" s="52"/>
      <c r="CG90" s="52"/>
      <c r="CH90" s="52"/>
      <c r="CI90" s="52"/>
      <c r="CJ90" s="52"/>
      <c r="CK90" s="52"/>
      <c r="CL90" s="52"/>
      <c r="CM90" s="52"/>
    </row>
    <row r="91" spans="1:91" x14ac:dyDescent="0.15">
      <c r="A91" s="41">
        <v>89</v>
      </c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  <c r="AG91" s="43"/>
      <c r="AH91" s="43"/>
      <c r="AI91" s="43"/>
      <c r="AJ91" s="43"/>
      <c r="AK91" s="43"/>
      <c r="AL91" s="43"/>
      <c r="AM91" s="43"/>
      <c r="AN91" s="43"/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3"/>
      <c r="BA91" s="43"/>
      <c r="BB91" s="43"/>
      <c r="BC91" s="43"/>
      <c r="BD91" s="43"/>
      <c r="BE91" s="43"/>
      <c r="BF91" s="43"/>
      <c r="BG91" s="43"/>
      <c r="BH91" s="43"/>
      <c r="BI91" s="43"/>
      <c r="BJ91" s="43"/>
      <c r="BK91" s="43"/>
      <c r="BL91" s="43"/>
      <c r="BM91" s="50"/>
      <c r="BN91" s="50"/>
      <c r="BO91" s="50"/>
      <c r="BP91" s="50"/>
      <c r="BQ91" s="50"/>
      <c r="BR91" s="50"/>
      <c r="BS91" s="50"/>
      <c r="BT91" s="50"/>
      <c r="BU91" s="50"/>
      <c r="BV91" s="50"/>
      <c r="BW91" s="50"/>
      <c r="BX91" s="50"/>
      <c r="BY91" s="50"/>
      <c r="BZ91" s="50"/>
      <c r="CA91" s="50"/>
      <c r="CB91" s="50"/>
      <c r="CC91" s="50"/>
      <c r="CD91" s="50"/>
      <c r="CE91" s="52"/>
      <c r="CF91" s="52"/>
      <c r="CG91" s="52"/>
      <c r="CH91" s="52"/>
      <c r="CI91" s="52"/>
      <c r="CJ91" s="52"/>
      <c r="CK91" s="52"/>
      <c r="CL91" s="52"/>
      <c r="CM91" s="52"/>
    </row>
    <row r="92" spans="1:91" x14ac:dyDescent="0.15">
      <c r="A92" s="41">
        <v>90</v>
      </c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  <c r="AG92" s="43"/>
      <c r="AH92" s="43"/>
      <c r="AI92" s="43"/>
      <c r="AJ92" s="43"/>
      <c r="AK92" s="43"/>
      <c r="AL92" s="43"/>
      <c r="AM92" s="43"/>
      <c r="AN92" s="43"/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3"/>
      <c r="BA92" s="43"/>
      <c r="BB92" s="43"/>
      <c r="BC92" s="43"/>
      <c r="BD92" s="43"/>
      <c r="BE92" s="43"/>
      <c r="BF92" s="43"/>
      <c r="BG92" s="43"/>
      <c r="BH92" s="43"/>
      <c r="BI92" s="43"/>
      <c r="BJ92" s="43"/>
      <c r="BK92" s="43"/>
      <c r="BL92" s="43"/>
      <c r="BM92" s="50"/>
      <c r="BN92" s="50"/>
      <c r="BO92" s="50"/>
      <c r="BP92" s="50"/>
      <c r="BQ92" s="50"/>
      <c r="BR92" s="50"/>
      <c r="BS92" s="50"/>
      <c r="BT92" s="50"/>
      <c r="BU92" s="50"/>
      <c r="BV92" s="50"/>
      <c r="BW92" s="50"/>
      <c r="BX92" s="50"/>
      <c r="BY92" s="50"/>
      <c r="BZ92" s="50"/>
      <c r="CA92" s="50"/>
      <c r="CB92" s="50"/>
      <c r="CC92" s="50"/>
      <c r="CD92" s="50"/>
      <c r="CE92" s="52"/>
      <c r="CF92" s="52"/>
      <c r="CG92" s="52"/>
      <c r="CH92" s="52"/>
      <c r="CI92" s="52"/>
      <c r="CJ92" s="52"/>
      <c r="CK92" s="52"/>
      <c r="CL92" s="52"/>
      <c r="CM92" s="52"/>
    </row>
    <row r="93" spans="1:91" x14ac:dyDescent="0.15">
      <c r="A93" s="41">
        <v>91</v>
      </c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3"/>
      <c r="AN93" s="43"/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3"/>
      <c r="BA93" s="43"/>
      <c r="BB93" s="43"/>
      <c r="BC93" s="43"/>
      <c r="BD93" s="43"/>
      <c r="BE93" s="43"/>
      <c r="BF93" s="43"/>
      <c r="BG93" s="43"/>
      <c r="BH93" s="43"/>
      <c r="BI93" s="43"/>
      <c r="BJ93" s="43"/>
      <c r="BK93" s="43"/>
      <c r="BL93" s="43"/>
      <c r="BM93" s="50"/>
      <c r="BN93" s="50"/>
      <c r="BO93" s="50"/>
      <c r="BP93" s="50"/>
      <c r="BQ93" s="50"/>
      <c r="BR93" s="50"/>
      <c r="BS93" s="50"/>
      <c r="BT93" s="50"/>
      <c r="BU93" s="50"/>
      <c r="BV93" s="50"/>
      <c r="BW93" s="50"/>
      <c r="BX93" s="50"/>
      <c r="BY93" s="50"/>
      <c r="BZ93" s="50"/>
      <c r="CA93" s="50"/>
      <c r="CB93" s="50"/>
      <c r="CC93" s="50"/>
      <c r="CD93" s="50"/>
      <c r="CE93" s="52"/>
      <c r="CF93" s="52"/>
      <c r="CG93" s="52"/>
      <c r="CH93" s="52"/>
      <c r="CI93" s="52"/>
      <c r="CJ93" s="52"/>
      <c r="CK93" s="52"/>
      <c r="CL93" s="52"/>
      <c r="CM93" s="52"/>
    </row>
    <row r="94" spans="1:91" x14ac:dyDescent="0.15">
      <c r="A94" s="41">
        <v>92</v>
      </c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3"/>
      <c r="AN94" s="43"/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3"/>
      <c r="BA94" s="43"/>
      <c r="BB94" s="43"/>
      <c r="BC94" s="43"/>
      <c r="BD94" s="43"/>
      <c r="BE94" s="43"/>
      <c r="BF94" s="43"/>
      <c r="BG94" s="43"/>
      <c r="BH94" s="43"/>
      <c r="BI94" s="43"/>
      <c r="BJ94" s="43"/>
      <c r="BK94" s="43"/>
      <c r="BL94" s="43"/>
      <c r="BM94" s="50"/>
      <c r="BN94" s="50"/>
      <c r="BO94" s="50"/>
      <c r="BP94" s="50"/>
      <c r="BQ94" s="50"/>
      <c r="BR94" s="50"/>
      <c r="BS94" s="50"/>
      <c r="BT94" s="50"/>
      <c r="BU94" s="50"/>
      <c r="BV94" s="50"/>
      <c r="BW94" s="50"/>
      <c r="BX94" s="50"/>
      <c r="BY94" s="50"/>
      <c r="BZ94" s="50"/>
      <c r="CA94" s="50"/>
      <c r="CB94" s="50"/>
      <c r="CC94" s="50"/>
      <c r="CD94" s="50"/>
      <c r="CE94" s="52"/>
      <c r="CF94" s="52"/>
      <c r="CG94" s="52"/>
      <c r="CH94" s="52"/>
      <c r="CI94" s="52"/>
      <c r="CJ94" s="52"/>
      <c r="CK94" s="52"/>
      <c r="CL94" s="52"/>
      <c r="CM94" s="52"/>
    </row>
    <row r="95" spans="1:91" x14ac:dyDescent="0.15">
      <c r="A95" s="41">
        <v>93</v>
      </c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3"/>
      <c r="AN95" s="43"/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3"/>
      <c r="BA95" s="43"/>
      <c r="BB95" s="43"/>
      <c r="BC95" s="43"/>
      <c r="BD95" s="43"/>
      <c r="BE95" s="43"/>
      <c r="BF95" s="43"/>
      <c r="BG95" s="43"/>
      <c r="BH95" s="43"/>
      <c r="BI95" s="43"/>
      <c r="BJ95" s="43"/>
      <c r="BK95" s="43"/>
      <c r="BL95" s="43"/>
      <c r="BM95" s="50"/>
      <c r="BN95" s="50"/>
      <c r="BO95" s="50"/>
      <c r="BP95" s="50"/>
      <c r="BQ95" s="50"/>
      <c r="BR95" s="50"/>
      <c r="BS95" s="50"/>
      <c r="BT95" s="50"/>
      <c r="BU95" s="50"/>
      <c r="BV95" s="50"/>
      <c r="BW95" s="50"/>
      <c r="BX95" s="50"/>
      <c r="BY95" s="50"/>
      <c r="BZ95" s="50"/>
      <c r="CA95" s="50"/>
      <c r="CB95" s="50"/>
      <c r="CC95" s="50"/>
      <c r="CD95" s="50"/>
      <c r="CE95" s="52"/>
      <c r="CF95" s="52"/>
      <c r="CG95" s="52"/>
      <c r="CH95" s="52"/>
      <c r="CI95" s="52"/>
      <c r="CJ95" s="52"/>
      <c r="CK95" s="52"/>
      <c r="CL95" s="52"/>
      <c r="CM95" s="52"/>
    </row>
    <row r="96" spans="1:91" x14ac:dyDescent="0.15">
      <c r="A96" s="41">
        <v>94</v>
      </c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  <c r="AG96" s="43"/>
      <c r="AH96" s="43"/>
      <c r="AI96" s="43"/>
      <c r="AJ96" s="43"/>
      <c r="AK96" s="43"/>
      <c r="AL96" s="43"/>
      <c r="AM96" s="43"/>
      <c r="AN96" s="43"/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3"/>
      <c r="BA96" s="43"/>
      <c r="BB96" s="43"/>
      <c r="BC96" s="43"/>
      <c r="BD96" s="43"/>
      <c r="BE96" s="43"/>
      <c r="BF96" s="43"/>
      <c r="BG96" s="43"/>
      <c r="BH96" s="43"/>
      <c r="BI96" s="43"/>
      <c r="BJ96" s="43"/>
      <c r="BK96" s="43"/>
      <c r="BL96" s="43"/>
      <c r="BM96" s="50"/>
      <c r="BN96" s="50"/>
      <c r="BO96" s="50"/>
      <c r="BP96" s="50"/>
      <c r="BQ96" s="50"/>
      <c r="BR96" s="50"/>
      <c r="BS96" s="50"/>
      <c r="BT96" s="50"/>
      <c r="BU96" s="50"/>
      <c r="BV96" s="50"/>
      <c r="BW96" s="50"/>
      <c r="BX96" s="50"/>
      <c r="BY96" s="50"/>
      <c r="BZ96" s="50"/>
      <c r="CA96" s="50"/>
      <c r="CB96" s="50"/>
      <c r="CC96" s="50"/>
      <c r="CD96" s="50"/>
      <c r="CE96" s="52"/>
      <c r="CF96" s="52"/>
      <c r="CG96" s="52"/>
      <c r="CH96" s="52"/>
      <c r="CI96" s="52"/>
      <c r="CJ96" s="52"/>
      <c r="CK96" s="52"/>
      <c r="CL96" s="52"/>
      <c r="CM96" s="52"/>
    </row>
    <row r="97" spans="1:91" x14ac:dyDescent="0.15">
      <c r="A97" s="41">
        <v>95</v>
      </c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  <c r="AF97" s="43"/>
      <c r="AG97" s="43"/>
      <c r="AH97" s="43"/>
      <c r="AI97" s="43"/>
      <c r="AJ97" s="43"/>
      <c r="AK97" s="43"/>
      <c r="AL97" s="43"/>
      <c r="AM97" s="43"/>
      <c r="AN97" s="43"/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3"/>
      <c r="BA97" s="43"/>
      <c r="BB97" s="43"/>
      <c r="BC97" s="43"/>
      <c r="BD97" s="43"/>
      <c r="BE97" s="43"/>
      <c r="BF97" s="43"/>
      <c r="BG97" s="43"/>
      <c r="BH97" s="43"/>
      <c r="BI97" s="43"/>
      <c r="BJ97" s="43"/>
      <c r="BK97" s="43"/>
      <c r="BL97" s="43"/>
      <c r="BM97" s="50"/>
      <c r="BN97" s="50"/>
      <c r="BO97" s="50"/>
      <c r="BP97" s="50"/>
      <c r="BQ97" s="50"/>
      <c r="BR97" s="50"/>
      <c r="BS97" s="50"/>
      <c r="BT97" s="50"/>
      <c r="BU97" s="50"/>
      <c r="BV97" s="50"/>
      <c r="BW97" s="50"/>
      <c r="BX97" s="50"/>
      <c r="BY97" s="50"/>
      <c r="BZ97" s="50"/>
      <c r="CA97" s="50"/>
      <c r="CB97" s="50"/>
      <c r="CC97" s="50"/>
      <c r="CD97" s="50"/>
      <c r="CE97" s="52"/>
      <c r="CF97" s="52"/>
      <c r="CG97" s="52"/>
      <c r="CH97" s="52"/>
      <c r="CI97" s="52"/>
      <c r="CJ97" s="52"/>
      <c r="CK97" s="52"/>
      <c r="CL97" s="52"/>
      <c r="CM97" s="52"/>
    </row>
    <row r="98" spans="1:91" x14ac:dyDescent="0.15">
      <c r="A98" s="41">
        <v>96</v>
      </c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  <c r="AF98" s="43"/>
      <c r="AG98" s="43"/>
      <c r="AH98" s="43"/>
      <c r="AI98" s="43"/>
      <c r="AJ98" s="43"/>
      <c r="AK98" s="43"/>
      <c r="AL98" s="43"/>
      <c r="AM98" s="43"/>
      <c r="AN98" s="43"/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3"/>
      <c r="BA98" s="43"/>
      <c r="BB98" s="43"/>
      <c r="BC98" s="43"/>
      <c r="BD98" s="43"/>
      <c r="BE98" s="43"/>
      <c r="BF98" s="43"/>
      <c r="BG98" s="43"/>
      <c r="BH98" s="43"/>
      <c r="BI98" s="43"/>
      <c r="BJ98" s="43"/>
      <c r="BK98" s="43"/>
      <c r="BL98" s="43"/>
      <c r="BM98" s="50"/>
      <c r="BN98" s="50"/>
      <c r="BO98" s="50"/>
      <c r="BP98" s="50"/>
      <c r="BQ98" s="50"/>
      <c r="BR98" s="50"/>
      <c r="BS98" s="50"/>
      <c r="BT98" s="50"/>
      <c r="BU98" s="50"/>
      <c r="BV98" s="50"/>
      <c r="BW98" s="50"/>
      <c r="BX98" s="50"/>
      <c r="BY98" s="50"/>
      <c r="BZ98" s="50"/>
      <c r="CA98" s="50"/>
      <c r="CB98" s="50"/>
      <c r="CC98" s="50"/>
      <c r="CD98" s="50"/>
      <c r="CE98" s="52"/>
      <c r="CF98" s="52"/>
      <c r="CG98" s="52"/>
      <c r="CH98" s="52"/>
      <c r="CI98" s="52"/>
      <c r="CJ98" s="52"/>
      <c r="CK98" s="52"/>
      <c r="CL98" s="52"/>
      <c r="CM98" s="52"/>
    </row>
    <row r="99" spans="1:91" x14ac:dyDescent="0.15">
      <c r="A99" s="41">
        <v>97</v>
      </c>
      <c r="B99" s="45"/>
      <c r="C99" s="45"/>
      <c r="D99" s="45"/>
      <c r="E99" s="45"/>
      <c r="F99" s="45"/>
      <c r="G99" s="45"/>
      <c r="H99" s="45"/>
      <c r="I99" s="45"/>
      <c r="J99" s="45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3"/>
      <c r="AN99" s="43"/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3"/>
      <c r="BA99" s="43"/>
      <c r="BB99" s="43"/>
      <c r="BC99" s="43"/>
      <c r="BD99" s="43"/>
      <c r="BE99" s="43"/>
      <c r="BF99" s="43"/>
      <c r="BG99" s="43"/>
      <c r="BH99" s="43"/>
      <c r="BI99" s="43"/>
      <c r="BJ99" s="43"/>
      <c r="BK99" s="43"/>
      <c r="BL99" s="43"/>
      <c r="BM99" s="50"/>
      <c r="BN99" s="50"/>
      <c r="BO99" s="50"/>
      <c r="BP99" s="50"/>
      <c r="BQ99" s="50"/>
      <c r="BR99" s="50"/>
      <c r="BS99" s="50"/>
      <c r="BT99" s="50"/>
      <c r="BU99" s="50"/>
      <c r="BV99" s="50"/>
      <c r="BW99" s="50"/>
      <c r="BX99" s="50"/>
      <c r="BY99" s="50"/>
      <c r="BZ99" s="50"/>
      <c r="CA99" s="50"/>
      <c r="CB99" s="50"/>
      <c r="CC99" s="50"/>
      <c r="CD99" s="50"/>
      <c r="CE99" s="52"/>
      <c r="CF99" s="52"/>
      <c r="CG99" s="52"/>
      <c r="CH99" s="52"/>
      <c r="CI99" s="52"/>
      <c r="CJ99" s="52"/>
      <c r="CK99" s="52"/>
      <c r="CL99" s="52"/>
      <c r="CM99" s="52"/>
    </row>
    <row r="100" spans="1:91" x14ac:dyDescent="0.15">
      <c r="A100" s="41">
        <v>98</v>
      </c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3"/>
      <c r="AN100" s="43"/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3"/>
      <c r="BA100" s="43"/>
      <c r="BB100" s="43"/>
      <c r="BC100" s="43"/>
      <c r="BD100" s="43"/>
      <c r="BE100" s="43"/>
      <c r="BF100" s="43"/>
      <c r="BG100" s="43"/>
      <c r="BH100" s="43"/>
      <c r="BI100" s="43"/>
      <c r="BJ100" s="43"/>
      <c r="BK100" s="43"/>
      <c r="BL100" s="43"/>
      <c r="BM100" s="50"/>
      <c r="BN100" s="50"/>
      <c r="BO100" s="50"/>
      <c r="BP100" s="50"/>
      <c r="BQ100" s="50"/>
      <c r="BR100" s="50"/>
      <c r="BS100" s="50"/>
      <c r="BT100" s="50"/>
      <c r="BU100" s="50"/>
      <c r="BV100" s="50"/>
      <c r="BW100" s="50"/>
      <c r="BX100" s="50"/>
      <c r="BY100" s="50"/>
      <c r="BZ100" s="50"/>
      <c r="CA100" s="50"/>
      <c r="CB100" s="50"/>
      <c r="CC100" s="50"/>
      <c r="CD100" s="50"/>
      <c r="CE100" s="52"/>
      <c r="CF100" s="52"/>
      <c r="CG100" s="52"/>
      <c r="CH100" s="52"/>
      <c r="CI100" s="52"/>
      <c r="CJ100" s="52"/>
      <c r="CK100" s="52"/>
      <c r="CL100" s="52"/>
      <c r="CM100" s="52"/>
    </row>
    <row r="101" spans="1:91" x14ac:dyDescent="0.15">
      <c r="A101" s="41">
        <v>99</v>
      </c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3"/>
      <c r="AN101" s="43"/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3"/>
      <c r="BA101" s="43"/>
      <c r="BB101" s="43"/>
      <c r="BC101" s="43"/>
      <c r="BD101" s="43"/>
      <c r="BE101" s="43"/>
      <c r="BF101" s="43"/>
      <c r="BG101" s="43"/>
      <c r="BH101" s="43"/>
      <c r="BI101" s="43"/>
      <c r="BJ101" s="43"/>
      <c r="BK101" s="43"/>
      <c r="BL101" s="43"/>
      <c r="BM101" s="50"/>
      <c r="BN101" s="50"/>
      <c r="BO101" s="50"/>
      <c r="BP101" s="50"/>
      <c r="BQ101" s="50"/>
      <c r="BR101" s="50"/>
      <c r="BS101" s="50"/>
      <c r="BT101" s="50"/>
      <c r="BU101" s="50"/>
      <c r="BV101" s="50"/>
      <c r="BW101" s="50"/>
      <c r="BX101" s="50"/>
      <c r="BY101" s="50"/>
      <c r="BZ101" s="50"/>
      <c r="CA101" s="50"/>
      <c r="CB101" s="50"/>
      <c r="CC101" s="50"/>
      <c r="CD101" s="50"/>
      <c r="CE101" s="52"/>
      <c r="CF101" s="52"/>
      <c r="CG101" s="52"/>
      <c r="CH101" s="52"/>
      <c r="CI101" s="52"/>
      <c r="CJ101" s="52"/>
      <c r="CK101" s="52"/>
      <c r="CL101" s="52"/>
      <c r="CM101" s="52"/>
    </row>
    <row r="102" spans="1:91" x14ac:dyDescent="0.15">
      <c r="A102" s="41">
        <v>100</v>
      </c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  <c r="AF102" s="43"/>
      <c r="AG102" s="43"/>
      <c r="AH102" s="43"/>
      <c r="AI102" s="43"/>
      <c r="AJ102" s="43"/>
      <c r="AK102" s="43"/>
      <c r="AL102" s="43"/>
      <c r="AM102" s="43"/>
      <c r="AN102" s="43"/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3"/>
      <c r="BA102" s="43"/>
      <c r="BB102" s="43"/>
      <c r="BC102" s="43"/>
      <c r="BD102" s="43"/>
      <c r="BE102" s="43"/>
      <c r="BF102" s="43"/>
      <c r="BG102" s="43"/>
      <c r="BH102" s="43"/>
      <c r="BI102" s="43"/>
      <c r="BJ102" s="43"/>
      <c r="BK102" s="43"/>
      <c r="BL102" s="43"/>
      <c r="BM102" s="50"/>
      <c r="BN102" s="50"/>
      <c r="BO102" s="50"/>
      <c r="BP102" s="50"/>
      <c r="BQ102" s="50"/>
      <c r="BR102" s="50"/>
      <c r="BS102" s="50"/>
      <c r="BT102" s="50"/>
      <c r="BU102" s="50"/>
      <c r="BV102" s="50"/>
      <c r="BW102" s="50"/>
      <c r="BX102" s="50"/>
      <c r="BY102" s="50"/>
      <c r="BZ102" s="50"/>
      <c r="CA102" s="50"/>
      <c r="CB102" s="50"/>
      <c r="CC102" s="50"/>
      <c r="CD102" s="50"/>
      <c r="CE102" s="52"/>
      <c r="CF102" s="52"/>
      <c r="CG102" s="52"/>
      <c r="CH102" s="52"/>
      <c r="CI102" s="52"/>
      <c r="CJ102" s="52"/>
      <c r="CK102" s="52"/>
      <c r="CL102" s="52"/>
      <c r="CM102" s="52"/>
    </row>
    <row r="103" spans="1:91" x14ac:dyDescent="0.15">
      <c r="A103" s="41">
        <v>101</v>
      </c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  <c r="AF103" s="43"/>
      <c r="AG103" s="43"/>
      <c r="AH103" s="43"/>
      <c r="AI103" s="43"/>
      <c r="AJ103" s="43"/>
      <c r="AK103" s="43"/>
      <c r="AL103" s="43"/>
      <c r="AM103" s="43"/>
      <c r="AN103" s="43"/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3"/>
      <c r="BA103" s="43"/>
      <c r="BB103" s="43"/>
      <c r="BC103" s="43"/>
      <c r="BD103" s="43"/>
      <c r="BE103" s="43"/>
      <c r="BF103" s="43"/>
      <c r="BG103" s="43"/>
      <c r="BH103" s="43"/>
      <c r="BI103" s="43"/>
      <c r="BJ103" s="43"/>
      <c r="BK103" s="43"/>
      <c r="BL103" s="43"/>
      <c r="BM103" s="50"/>
      <c r="BN103" s="50"/>
      <c r="BO103" s="50"/>
      <c r="BP103" s="50"/>
      <c r="BQ103" s="50"/>
      <c r="BR103" s="50"/>
      <c r="BS103" s="50"/>
      <c r="BT103" s="50"/>
      <c r="BU103" s="50"/>
      <c r="BV103" s="50"/>
      <c r="BW103" s="50"/>
      <c r="BX103" s="50"/>
      <c r="BY103" s="50"/>
      <c r="BZ103" s="50"/>
      <c r="CA103" s="50"/>
      <c r="CB103" s="50"/>
      <c r="CC103" s="50"/>
      <c r="CD103" s="50"/>
      <c r="CE103" s="52"/>
      <c r="CF103" s="52"/>
      <c r="CG103" s="52"/>
      <c r="CH103" s="52"/>
      <c r="CI103" s="52"/>
      <c r="CJ103" s="52"/>
      <c r="CK103" s="52"/>
      <c r="CL103" s="52"/>
      <c r="CM103" s="52"/>
    </row>
    <row r="104" spans="1:91" x14ac:dyDescent="0.15">
      <c r="A104" s="41">
        <v>102</v>
      </c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  <c r="AF104" s="43"/>
      <c r="AG104" s="43"/>
      <c r="AH104" s="43"/>
      <c r="AI104" s="43"/>
      <c r="AJ104" s="43"/>
      <c r="AK104" s="43"/>
      <c r="AL104" s="43"/>
      <c r="AM104" s="43"/>
      <c r="AN104" s="43"/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3"/>
      <c r="BA104" s="43"/>
      <c r="BB104" s="43"/>
      <c r="BC104" s="43"/>
      <c r="BD104" s="43"/>
      <c r="BE104" s="43"/>
      <c r="BF104" s="43"/>
      <c r="BG104" s="43"/>
      <c r="BH104" s="43"/>
      <c r="BI104" s="43"/>
      <c r="BJ104" s="43"/>
      <c r="BK104" s="43"/>
      <c r="BL104" s="43"/>
      <c r="BM104" s="50"/>
      <c r="BN104" s="50"/>
      <c r="BO104" s="50"/>
      <c r="BP104" s="50"/>
      <c r="BQ104" s="50"/>
      <c r="BR104" s="50"/>
      <c r="BS104" s="50"/>
      <c r="BT104" s="50"/>
      <c r="BU104" s="50"/>
      <c r="BV104" s="50"/>
      <c r="BW104" s="50"/>
      <c r="BX104" s="50"/>
      <c r="BY104" s="50"/>
      <c r="BZ104" s="50"/>
      <c r="CA104" s="50"/>
      <c r="CB104" s="50"/>
      <c r="CC104" s="50"/>
      <c r="CD104" s="50"/>
      <c r="CE104" s="52"/>
      <c r="CF104" s="52"/>
      <c r="CG104" s="52"/>
      <c r="CH104" s="52"/>
      <c r="CI104" s="52"/>
      <c r="CJ104" s="52"/>
      <c r="CK104" s="52"/>
      <c r="CL104" s="52"/>
      <c r="CM104" s="52"/>
    </row>
    <row r="105" spans="1:91" x14ac:dyDescent="0.15">
      <c r="A105" s="41">
        <v>103</v>
      </c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3"/>
      <c r="AN105" s="43"/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3"/>
      <c r="BA105" s="43"/>
      <c r="BB105" s="43"/>
      <c r="BC105" s="43"/>
      <c r="BD105" s="43"/>
      <c r="BE105" s="43"/>
      <c r="BF105" s="43"/>
      <c r="BG105" s="43"/>
      <c r="BH105" s="43"/>
      <c r="BI105" s="43"/>
      <c r="BJ105" s="43"/>
      <c r="BK105" s="43"/>
      <c r="BL105" s="43"/>
      <c r="BM105" s="50"/>
      <c r="BN105" s="50"/>
      <c r="BO105" s="50"/>
      <c r="BP105" s="50"/>
      <c r="BQ105" s="50"/>
      <c r="BR105" s="50"/>
      <c r="BS105" s="50"/>
      <c r="BT105" s="50"/>
      <c r="BU105" s="50"/>
      <c r="BV105" s="50"/>
      <c r="BW105" s="50"/>
      <c r="BX105" s="50"/>
      <c r="BY105" s="50"/>
      <c r="BZ105" s="50"/>
      <c r="CA105" s="50"/>
      <c r="CB105" s="50"/>
      <c r="CC105" s="50"/>
      <c r="CD105" s="50"/>
      <c r="CE105" s="52"/>
      <c r="CF105" s="52"/>
      <c r="CG105" s="52"/>
      <c r="CH105" s="52"/>
      <c r="CI105" s="52"/>
      <c r="CJ105" s="52"/>
      <c r="CK105" s="52"/>
      <c r="CL105" s="52"/>
      <c r="CM105" s="52"/>
    </row>
    <row r="106" spans="1:91" x14ac:dyDescent="0.15">
      <c r="A106" s="41">
        <v>104</v>
      </c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3"/>
      <c r="AN106" s="43"/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3"/>
      <c r="BA106" s="43"/>
      <c r="BB106" s="43"/>
      <c r="BC106" s="43"/>
      <c r="BD106" s="43"/>
      <c r="BE106" s="43"/>
      <c r="BF106" s="43"/>
      <c r="BG106" s="43"/>
      <c r="BH106" s="43"/>
      <c r="BI106" s="43"/>
      <c r="BJ106" s="43"/>
      <c r="BK106" s="43"/>
      <c r="BL106" s="43"/>
      <c r="BM106" s="50"/>
      <c r="BN106" s="50"/>
      <c r="BO106" s="50"/>
      <c r="BP106" s="50"/>
      <c r="BQ106" s="50"/>
      <c r="BR106" s="50"/>
      <c r="BS106" s="50"/>
      <c r="BT106" s="50"/>
      <c r="BU106" s="50"/>
      <c r="BV106" s="50"/>
      <c r="BW106" s="50"/>
      <c r="BX106" s="50"/>
      <c r="BY106" s="50"/>
      <c r="BZ106" s="50"/>
      <c r="CA106" s="50"/>
      <c r="CB106" s="50"/>
      <c r="CC106" s="50"/>
      <c r="CD106" s="50"/>
      <c r="CE106" s="52"/>
      <c r="CF106" s="52"/>
      <c r="CG106" s="52"/>
      <c r="CH106" s="52"/>
      <c r="CI106" s="52"/>
      <c r="CJ106" s="52"/>
      <c r="CK106" s="52"/>
      <c r="CL106" s="52"/>
      <c r="CM106" s="52"/>
    </row>
    <row r="107" spans="1:91" x14ac:dyDescent="0.15">
      <c r="A107" s="41">
        <v>105</v>
      </c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3"/>
      <c r="AN107" s="43"/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3"/>
      <c r="BA107" s="43"/>
      <c r="BB107" s="43"/>
      <c r="BC107" s="43"/>
      <c r="BD107" s="43"/>
      <c r="BE107" s="43"/>
      <c r="BF107" s="43"/>
      <c r="BG107" s="43"/>
      <c r="BH107" s="43"/>
      <c r="BI107" s="43"/>
      <c r="BJ107" s="43"/>
      <c r="BK107" s="43"/>
      <c r="BL107" s="43"/>
      <c r="BM107" s="50"/>
      <c r="BN107" s="50"/>
      <c r="BO107" s="50"/>
      <c r="BP107" s="50"/>
      <c r="BQ107" s="50"/>
      <c r="BR107" s="50"/>
      <c r="BS107" s="50"/>
      <c r="BT107" s="50"/>
      <c r="BU107" s="50"/>
      <c r="BV107" s="50"/>
      <c r="BW107" s="50"/>
      <c r="BX107" s="50"/>
      <c r="BY107" s="50"/>
      <c r="BZ107" s="50"/>
      <c r="CA107" s="50"/>
      <c r="CB107" s="50"/>
      <c r="CC107" s="50"/>
      <c r="CD107" s="50"/>
      <c r="CE107" s="52"/>
      <c r="CF107" s="52"/>
      <c r="CG107" s="52"/>
      <c r="CH107" s="52"/>
      <c r="CI107" s="52"/>
      <c r="CJ107" s="52"/>
      <c r="CK107" s="52"/>
      <c r="CL107" s="52"/>
      <c r="CM107" s="52"/>
    </row>
    <row r="108" spans="1:91" x14ac:dyDescent="0.15">
      <c r="A108" s="41">
        <v>106</v>
      </c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  <c r="AF108" s="43"/>
      <c r="AG108" s="43"/>
      <c r="AH108" s="43"/>
      <c r="AI108" s="43"/>
      <c r="AJ108" s="43"/>
      <c r="AK108" s="43"/>
      <c r="AL108" s="43"/>
      <c r="AM108" s="43"/>
      <c r="AN108" s="43"/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3"/>
      <c r="BA108" s="43"/>
      <c r="BB108" s="43"/>
      <c r="BC108" s="43"/>
      <c r="BD108" s="43"/>
      <c r="BE108" s="43"/>
      <c r="BF108" s="43"/>
      <c r="BG108" s="43"/>
      <c r="BH108" s="43"/>
      <c r="BI108" s="43"/>
      <c r="BJ108" s="43"/>
      <c r="BK108" s="43"/>
      <c r="BL108" s="43"/>
      <c r="BM108" s="50"/>
      <c r="BN108" s="50"/>
      <c r="BO108" s="50"/>
      <c r="BP108" s="50"/>
      <c r="BQ108" s="50"/>
      <c r="BR108" s="50"/>
      <c r="BS108" s="50"/>
      <c r="BT108" s="50"/>
      <c r="BU108" s="50"/>
      <c r="BV108" s="50"/>
      <c r="BW108" s="50"/>
      <c r="BX108" s="50"/>
      <c r="BY108" s="50"/>
      <c r="BZ108" s="50"/>
      <c r="CA108" s="50"/>
      <c r="CB108" s="50"/>
      <c r="CC108" s="50"/>
      <c r="CD108" s="50"/>
      <c r="CE108" s="52"/>
      <c r="CF108" s="52"/>
      <c r="CG108" s="52"/>
      <c r="CH108" s="52"/>
      <c r="CI108" s="52"/>
      <c r="CJ108" s="52"/>
      <c r="CK108" s="52"/>
      <c r="CL108" s="52"/>
      <c r="CM108" s="52"/>
    </row>
    <row r="109" spans="1:91" x14ac:dyDescent="0.15">
      <c r="A109" s="41">
        <v>107</v>
      </c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  <c r="AF109" s="43"/>
      <c r="AG109" s="43"/>
      <c r="AH109" s="43"/>
      <c r="AI109" s="43"/>
      <c r="AJ109" s="43"/>
      <c r="AK109" s="43"/>
      <c r="AL109" s="43"/>
      <c r="AM109" s="43"/>
      <c r="AN109" s="43"/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3"/>
      <c r="BA109" s="43"/>
      <c r="BB109" s="43"/>
      <c r="BC109" s="43"/>
      <c r="BD109" s="43"/>
      <c r="BE109" s="43"/>
      <c r="BF109" s="43"/>
      <c r="BG109" s="43"/>
      <c r="BH109" s="43"/>
      <c r="BI109" s="43"/>
      <c r="BJ109" s="43"/>
      <c r="BK109" s="43"/>
      <c r="BL109" s="43"/>
      <c r="BM109" s="50"/>
      <c r="BN109" s="50"/>
      <c r="BO109" s="50"/>
      <c r="BP109" s="50"/>
      <c r="BQ109" s="50"/>
      <c r="BR109" s="50"/>
      <c r="BS109" s="50"/>
      <c r="BT109" s="50"/>
      <c r="BU109" s="50"/>
      <c r="BV109" s="50"/>
      <c r="BW109" s="50"/>
      <c r="BX109" s="50"/>
      <c r="BY109" s="50"/>
      <c r="BZ109" s="50"/>
      <c r="CA109" s="50"/>
      <c r="CB109" s="50"/>
      <c r="CC109" s="50"/>
      <c r="CD109" s="50"/>
      <c r="CE109" s="52"/>
      <c r="CF109" s="52"/>
      <c r="CG109" s="52"/>
      <c r="CH109" s="52"/>
      <c r="CI109" s="52"/>
      <c r="CJ109" s="52"/>
      <c r="CK109" s="52"/>
      <c r="CL109" s="52"/>
      <c r="CM109" s="52"/>
    </row>
    <row r="110" spans="1:91" x14ac:dyDescent="0.15">
      <c r="A110" s="41">
        <v>108</v>
      </c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  <c r="AF110" s="43"/>
      <c r="AG110" s="43"/>
      <c r="AH110" s="43"/>
      <c r="AI110" s="43"/>
      <c r="AJ110" s="43"/>
      <c r="AK110" s="43"/>
      <c r="AL110" s="43"/>
      <c r="AM110" s="43"/>
      <c r="AN110" s="43"/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3"/>
      <c r="BA110" s="43"/>
      <c r="BB110" s="43"/>
      <c r="BC110" s="43"/>
      <c r="BD110" s="43"/>
      <c r="BE110" s="43"/>
      <c r="BF110" s="43"/>
      <c r="BG110" s="43"/>
      <c r="BH110" s="43"/>
      <c r="BI110" s="43"/>
      <c r="BJ110" s="43"/>
      <c r="BK110" s="43"/>
      <c r="BL110" s="43"/>
      <c r="BM110" s="50"/>
      <c r="BN110" s="50"/>
      <c r="BO110" s="50"/>
      <c r="BP110" s="50"/>
      <c r="BQ110" s="50"/>
      <c r="BR110" s="50"/>
      <c r="BS110" s="50"/>
      <c r="BT110" s="50"/>
      <c r="BU110" s="50"/>
      <c r="BV110" s="50"/>
      <c r="BW110" s="50"/>
      <c r="BX110" s="50"/>
      <c r="BY110" s="50"/>
      <c r="BZ110" s="50"/>
      <c r="CA110" s="50"/>
      <c r="CB110" s="50"/>
      <c r="CC110" s="50"/>
      <c r="CD110" s="50"/>
      <c r="CE110" s="52"/>
      <c r="CF110" s="52"/>
      <c r="CG110" s="52"/>
      <c r="CH110" s="52"/>
      <c r="CI110" s="52"/>
      <c r="CJ110" s="52"/>
      <c r="CK110" s="52"/>
      <c r="CL110" s="52"/>
      <c r="CM110" s="52"/>
    </row>
    <row r="111" spans="1:91" x14ac:dyDescent="0.15">
      <c r="A111" s="41">
        <v>109</v>
      </c>
      <c r="B111" s="45"/>
      <c r="C111" s="45"/>
      <c r="D111" s="45"/>
      <c r="E111" s="45"/>
      <c r="F111" s="45"/>
      <c r="G111" s="45"/>
      <c r="H111" s="45"/>
      <c r="I111" s="45"/>
      <c r="J111" s="45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3"/>
      <c r="AN111" s="43"/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3"/>
      <c r="BA111" s="43"/>
      <c r="BB111" s="43"/>
      <c r="BC111" s="43"/>
      <c r="BD111" s="43"/>
      <c r="BE111" s="43"/>
      <c r="BF111" s="43"/>
      <c r="BG111" s="43"/>
      <c r="BH111" s="43"/>
      <c r="BI111" s="43"/>
      <c r="BJ111" s="43"/>
      <c r="BK111" s="43"/>
      <c r="BL111" s="43"/>
      <c r="BM111" s="50"/>
      <c r="BN111" s="50"/>
      <c r="BO111" s="50"/>
      <c r="BP111" s="50"/>
      <c r="BQ111" s="50"/>
      <c r="BR111" s="50"/>
      <c r="BS111" s="50"/>
      <c r="BT111" s="50"/>
      <c r="BU111" s="50"/>
      <c r="BV111" s="50"/>
      <c r="BW111" s="50"/>
      <c r="BX111" s="50"/>
      <c r="BY111" s="50"/>
      <c r="BZ111" s="50"/>
      <c r="CA111" s="50"/>
      <c r="CB111" s="50"/>
      <c r="CC111" s="50"/>
      <c r="CD111" s="50"/>
      <c r="CE111" s="52"/>
      <c r="CF111" s="52"/>
      <c r="CG111" s="52"/>
      <c r="CH111" s="52"/>
      <c r="CI111" s="52"/>
      <c r="CJ111" s="52"/>
      <c r="CK111" s="52"/>
      <c r="CL111" s="52"/>
      <c r="CM111" s="52"/>
    </row>
    <row r="112" spans="1:91" x14ac:dyDescent="0.15">
      <c r="A112" s="41">
        <v>110</v>
      </c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3"/>
      <c r="AN112" s="43"/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3"/>
      <c r="BA112" s="43"/>
      <c r="BB112" s="43"/>
      <c r="BC112" s="43"/>
      <c r="BD112" s="43"/>
      <c r="BE112" s="43"/>
      <c r="BF112" s="43"/>
      <c r="BG112" s="43"/>
      <c r="BH112" s="43"/>
      <c r="BI112" s="43"/>
      <c r="BJ112" s="43"/>
      <c r="BK112" s="43"/>
      <c r="BL112" s="43"/>
      <c r="BM112" s="50"/>
      <c r="BN112" s="50"/>
      <c r="BO112" s="50"/>
      <c r="BP112" s="50"/>
      <c r="BQ112" s="50"/>
      <c r="BR112" s="50"/>
      <c r="BS112" s="50"/>
      <c r="BT112" s="50"/>
      <c r="BU112" s="50"/>
      <c r="BV112" s="50"/>
      <c r="BW112" s="50"/>
      <c r="BX112" s="50"/>
      <c r="BY112" s="50"/>
      <c r="BZ112" s="50"/>
      <c r="CA112" s="50"/>
      <c r="CB112" s="50"/>
      <c r="CC112" s="50"/>
      <c r="CD112" s="50"/>
      <c r="CE112" s="52"/>
      <c r="CF112" s="52"/>
      <c r="CG112" s="52"/>
      <c r="CH112" s="52"/>
      <c r="CI112" s="52"/>
      <c r="CJ112" s="52"/>
      <c r="CK112" s="52"/>
      <c r="CL112" s="52"/>
      <c r="CM112" s="52"/>
    </row>
    <row r="113" spans="1:91" x14ac:dyDescent="0.15">
      <c r="A113" s="41">
        <v>111</v>
      </c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3"/>
      <c r="AN113" s="43"/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3"/>
      <c r="BA113" s="43"/>
      <c r="BB113" s="43"/>
      <c r="BC113" s="43"/>
      <c r="BD113" s="43"/>
      <c r="BE113" s="43"/>
      <c r="BF113" s="43"/>
      <c r="BG113" s="43"/>
      <c r="BH113" s="43"/>
      <c r="BI113" s="43"/>
      <c r="BJ113" s="43"/>
      <c r="BK113" s="43"/>
      <c r="BL113" s="43"/>
      <c r="BM113" s="50"/>
      <c r="BN113" s="50"/>
      <c r="BO113" s="50"/>
      <c r="BP113" s="50"/>
      <c r="BQ113" s="50"/>
      <c r="BR113" s="50"/>
      <c r="BS113" s="50"/>
      <c r="BT113" s="50"/>
      <c r="BU113" s="50"/>
      <c r="BV113" s="50"/>
      <c r="BW113" s="50"/>
      <c r="BX113" s="50"/>
      <c r="BY113" s="50"/>
      <c r="BZ113" s="50"/>
      <c r="CA113" s="50"/>
      <c r="CB113" s="50"/>
      <c r="CC113" s="50"/>
      <c r="CD113" s="50"/>
      <c r="CE113" s="52"/>
      <c r="CF113" s="52"/>
      <c r="CG113" s="52"/>
      <c r="CH113" s="52"/>
      <c r="CI113" s="52"/>
      <c r="CJ113" s="52"/>
      <c r="CK113" s="52"/>
      <c r="CL113" s="52"/>
      <c r="CM113" s="52"/>
    </row>
    <row r="114" spans="1:91" x14ac:dyDescent="0.15">
      <c r="A114" s="41">
        <v>112</v>
      </c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  <c r="AF114" s="43"/>
      <c r="AG114" s="43"/>
      <c r="AH114" s="43"/>
      <c r="AI114" s="43"/>
      <c r="AJ114" s="43"/>
      <c r="AK114" s="43"/>
      <c r="AL114" s="43"/>
      <c r="AM114" s="43"/>
      <c r="AN114" s="43"/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3"/>
      <c r="BA114" s="43"/>
      <c r="BB114" s="43"/>
      <c r="BC114" s="43"/>
      <c r="BD114" s="43"/>
      <c r="BE114" s="43"/>
      <c r="BF114" s="43"/>
      <c r="BG114" s="43"/>
      <c r="BH114" s="43"/>
      <c r="BI114" s="43"/>
      <c r="BJ114" s="43"/>
      <c r="BK114" s="43"/>
      <c r="BL114" s="43"/>
      <c r="BM114" s="50"/>
      <c r="BN114" s="50"/>
      <c r="BO114" s="50"/>
      <c r="BP114" s="50"/>
      <c r="BQ114" s="50"/>
      <c r="BR114" s="50"/>
      <c r="BS114" s="50"/>
      <c r="BT114" s="50"/>
      <c r="BU114" s="50"/>
      <c r="BV114" s="50"/>
      <c r="BW114" s="50"/>
      <c r="BX114" s="50"/>
      <c r="BY114" s="50"/>
      <c r="BZ114" s="50"/>
      <c r="CA114" s="50"/>
      <c r="CB114" s="50"/>
      <c r="CC114" s="50"/>
      <c r="CD114" s="50"/>
      <c r="CE114" s="52"/>
      <c r="CF114" s="52"/>
      <c r="CG114" s="52"/>
      <c r="CH114" s="52"/>
      <c r="CI114" s="52"/>
      <c r="CJ114" s="52"/>
      <c r="CK114" s="52"/>
      <c r="CL114" s="52"/>
      <c r="CM114" s="52"/>
    </row>
    <row r="115" spans="1:91" x14ac:dyDescent="0.15">
      <c r="A115" s="41">
        <v>113</v>
      </c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  <c r="AF115" s="43"/>
      <c r="AG115" s="43"/>
      <c r="AH115" s="43"/>
      <c r="AI115" s="43"/>
      <c r="AJ115" s="43"/>
      <c r="AK115" s="43"/>
      <c r="AL115" s="43"/>
      <c r="AM115" s="43"/>
      <c r="AN115" s="43"/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3"/>
      <c r="BA115" s="43"/>
      <c r="BB115" s="43"/>
      <c r="BC115" s="43"/>
      <c r="BD115" s="43"/>
      <c r="BE115" s="43"/>
      <c r="BF115" s="43"/>
      <c r="BG115" s="43"/>
      <c r="BH115" s="43"/>
      <c r="BI115" s="43"/>
      <c r="BJ115" s="43"/>
      <c r="BK115" s="43"/>
      <c r="BL115" s="43"/>
      <c r="BM115" s="50"/>
      <c r="BN115" s="50"/>
      <c r="BO115" s="50"/>
      <c r="BP115" s="50"/>
      <c r="BQ115" s="50"/>
      <c r="BR115" s="50"/>
      <c r="BS115" s="50"/>
      <c r="BT115" s="50"/>
      <c r="BU115" s="50"/>
      <c r="BV115" s="50"/>
      <c r="BW115" s="50"/>
      <c r="BX115" s="50"/>
      <c r="BY115" s="50"/>
      <c r="BZ115" s="50"/>
      <c r="CA115" s="50"/>
      <c r="CB115" s="50"/>
      <c r="CC115" s="50"/>
      <c r="CD115" s="50"/>
      <c r="CE115" s="52"/>
      <c r="CF115" s="52"/>
      <c r="CG115" s="52"/>
      <c r="CH115" s="52"/>
      <c r="CI115" s="52"/>
      <c r="CJ115" s="52"/>
      <c r="CK115" s="52"/>
      <c r="CL115" s="52"/>
      <c r="CM115" s="52"/>
    </row>
    <row r="116" spans="1:91" x14ac:dyDescent="0.15">
      <c r="A116" s="41">
        <v>114</v>
      </c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  <c r="AF116" s="43"/>
      <c r="AG116" s="43"/>
      <c r="AH116" s="43"/>
      <c r="AI116" s="43"/>
      <c r="AJ116" s="43"/>
      <c r="AK116" s="43"/>
      <c r="AL116" s="43"/>
      <c r="AM116" s="43"/>
      <c r="AN116" s="43"/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3"/>
      <c r="BA116" s="43"/>
      <c r="BB116" s="43"/>
      <c r="BC116" s="43"/>
      <c r="BD116" s="43"/>
      <c r="BE116" s="43"/>
      <c r="BF116" s="43"/>
      <c r="BG116" s="43"/>
      <c r="BH116" s="43"/>
      <c r="BI116" s="43"/>
      <c r="BJ116" s="43"/>
      <c r="BK116" s="43"/>
      <c r="BL116" s="43"/>
      <c r="BM116" s="50"/>
      <c r="BN116" s="50"/>
      <c r="BO116" s="50"/>
      <c r="BP116" s="50"/>
      <c r="BQ116" s="50"/>
      <c r="BR116" s="50"/>
      <c r="BS116" s="50"/>
      <c r="BT116" s="50"/>
      <c r="BU116" s="50"/>
      <c r="BV116" s="50"/>
      <c r="BW116" s="50"/>
      <c r="BX116" s="50"/>
      <c r="BY116" s="50"/>
      <c r="BZ116" s="50"/>
      <c r="CA116" s="50"/>
      <c r="CB116" s="50"/>
      <c r="CC116" s="50"/>
      <c r="CD116" s="50"/>
      <c r="CE116" s="52"/>
      <c r="CF116" s="52"/>
      <c r="CG116" s="52"/>
      <c r="CH116" s="52"/>
      <c r="CI116" s="52"/>
      <c r="CJ116" s="52"/>
      <c r="CK116" s="52"/>
      <c r="CL116" s="52"/>
      <c r="CM116" s="52"/>
    </row>
    <row r="117" spans="1:91" x14ac:dyDescent="0.15">
      <c r="A117" s="41">
        <v>115</v>
      </c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3"/>
      <c r="AN117" s="43"/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3"/>
      <c r="BA117" s="43"/>
      <c r="BB117" s="43"/>
      <c r="BC117" s="43"/>
      <c r="BD117" s="43"/>
      <c r="BE117" s="43"/>
      <c r="BF117" s="43"/>
      <c r="BG117" s="43"/>
      <c r="BH117" s="43"/>
      <c r="BI117" s="43"/>
      <c r="BJ117" s="43"/>
      <c r="BK117" s="43"/>
      <c r="BL117" s="43"/>
      <c r="BM117" s="50"/>
      <c r="BN117" s="50"/>
      <c r="BO117" s="50"/>
      <c r="BP117" s="50"/>
      <c r="BQ117" s="50"/>
      <c r="BR117" s="50"/>
      <c r="BS117" s="50"/>
      <c r="BT117" s="50"/>
      <c r="BU117" s="50"/>
      <c r="BV117" s="50"/>
      <c r="BW117" s="50"/>
      <c r="BX117" s="50"/>
      <c r="BY117" s="50"/>
      <c r="BZ117" s="50"/>
      <c r="CA117" s="50"/>
      <c r="CB117" s="50"/>
      <c r="CC117" s="50"/>
      <c r="CD117" s="50"/>
      <c r="CE117" s="52"/>
      <c r="CF117" s="52"/>
      <c r="CG117" s="52"/>
      <c r="CH117" s="52"/>
      <c r="CI117" s="52"/>
      <c r="CJ117" s="52"/>
      <c r="CK117" s="52"/>
      <c r="CL117" s="52"/>
      <c r="CM117" s="52"/>
    </row>
    <row r="118" spans="1:91" x14ac:dyDescent="0.15">
      <c r="A118" s="41">
        <v>116</v>
      </c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3"/>
      <c r="AN118" s="43"/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3"/>
      <c r="BA118" s="43"/>
      <c r="BB118" s="43"/>
      <c r="BC118" s="43"/>
      <c r="BD118" s="43"/>
      <c r="BE118" s="43"/>
      <c r="BF118" s="43"/>
      <c r="BG118" s="43"/>
      <c r="BH118" s="43"/>
      <c r="BI118" s="43"/>
      <c r="BJ118" s="43"/>
      <c r="BK118" s="43"/>
      <c r="BL118" s="43"/>
      <c r="BM118" s="50"/>
      <c r="BN118" s="50"/>
      <c r="BO118" s="50"/>
      <c r="BP118" s="50"/>
      <c r="BQ118" s="50"/>
      <c r="BR118" s="50"/>
      <c r="BS118" s="50"/>
      <c r="BT118" s="50"/>
      <c r="BU118" s="50"/>
      <c r="BV118" s="50"/>
      <c r="BW118" s="50"/>
      <c r="BX118" s="50"/>
      <c r="BY118" s="50"/>
      <c r="BZ118" s="50"/>
      <c r="CA118" s="50"/>
      <c r="CB118" s="50"/>
      <c r="CC118" s="50"/>
      <c r="CD118" s="50"/>
      <c r="CE118" s="52"/>
      <c r="CF118" s="52"/>
      <c r="CG118" s="52"/>
      <c r="CH118" s="52"/>
      <c r="CI118" s="52"/>
      <c r="CJ118" s="52"/>
      <c r="CK118" s="52"/>
      <c r="CL118" s="52"/>
      <c r="CM118" s="52"/>
    </row>
    <row r="119" spans="1:91" x14ac:dyDescent="0.15">
      <c r="A119" s="41">
        <v>117</v>
      </c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3"/>
      <c r="AN119" s="43"/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3"/>
      <c r="BA119" s="43"/>
      <c r="BB119" s="43"/>
      <c r="BC119" s="43"/>
      <c r="BD119" s="43"/>
      <c r="BE119" s="43"/>
      <c r="BF119" s="43"/>
      <c r="BG119" s="43"/>
      <c r="BH119" s="43"/>
      <c r="BI119" s="43"/>
      <c r="BJ119" s="43"/>
      <c r="BK119" s="43"/>
      <c r="BL119" s="43"/>
      <c r="BM119" s="50"/>
      <c r="BN119" s="50"/>
      <c r="BO119" s="50"/>
      <c r="BP119" s="50"/>
      <c r="BQ119" s="50"/>
      <c r="BR119" s="50"/>
      <c r="BS119" s="50"/>
      <c r="BT119" s="50"/>
      <c r="BU119" s="50"/>
      <c r="BV119" s="50"/>
      <c r="BW119" s="50"/>
      <c r="BX119" s="50"/>
      <c r="BY119" s="50"/>
      <c r="BZ119" s="50"/>
      <c r="CA119" s="50"/>
      <c r="CB119" s="50"/>
      <c r="CC119" s="50"/>
      <c r="CD119" s="50"/>
      <c r="CE119" s="52"/>
      <c r="CF119" s="52"/>
      <c r="CG119" s="52"/>
      <c r="CH119" s="52"/>
      <c r="CI119" s="52"/>
      <c r="CJ119" s="52"/>
      <c r="CK119" s="52"/>
      <c r="CL119" s="52"/>
      <c r="CM119" s="52"/>
    </row>
    <row r="120" spans="1:91" x14ac:dyDescent="0.15">
      <c r="A120" s="41">
        <v>118</v>
      </c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  <c r="AF120" s="43"/>
      <c r="AG120" s="43"/>
      <c r="AH120" s="43"/>
      <c r="AI120" s="43"/>
      <c r="AJ120" s="43"/>
      <c r="AK120" s="43"/>
      <c r="AL120" s="43"/>
      <c r="AM120" s="43"/>
      <c r="AN120" s="43"/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3"/>
      <c r="BA120" s="43"/>
      <c r="BB120" s="43"/>
      <c r="BC120" s="43"/>
      <c r="BD120" s="43"/>
      <c r="BE120" s="43"/>
      <c r="BF120" s="43"/>
      <c r="BG120" s="43"/>
      <c r="BH120" s="43"/>
      <c r="BI120" s="43"/>
      <c r="BJ120" s="43"/>
      <c r="BK120" s="43"/>
      <c r="BL120" s="43"/>
      <c r="BM120" s="50"/>
      <c r="BN120" s="50"/>
      <c r="BO120" s="50"/>
      <c r="BP120" s="50"/>
      <c r="BQ120" s="50"/>
      <c r="BR120" s="50"/>
      <c r="BS120" s="50"/>
      <c r="BT120" s="50"/>
      <c r="BU120" s="50"/>
      <c r="BV120" s="50"/>
      <c r="BW120" s="50"/>
      <c r="BX120" s="50"/>
      <c r="BY120" s="50"/>
      <c r="BZ120" s="50"/>
      <c r="CA120" s="50"/>
      <c r="CB120" s="50"/>
      <c r="CC120" s="50"/>
      <c r="CD120" s="50"/>
      <c r="CE120" s="52"/>
      <c r="CF120" s="52"/>
      <c r="CG120" s="52"/>
      <c r="CH120" s="52"/>
      <c r="CI120" s="52"/>
      <c r="CJ120" s="52"/>
      <c r="CK120" s="52"/>
      <c r="CL120" s="52"/>
      <c r="CM120" s="52"/>
    </row>
    <row r="121" spans="1:91" x14ac:dyDescent="0.15">
      <c r="A121" s="41">
        <v>119</v>
      </c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  <c r="AF121" s="43"/>
      <c r="AG121" s="43"/>
      <c r="AH121" s="43"/>
      <c r="AI121" s="43"/>
      <c r="AJ121" s="43"/>
      <c r="AK121" s="43"/>
      <c r="AL121" s="43"/>
      <c r="AM121" s="43"/>
      <c r="AN121" s="43"/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3"/>
      <c r="BA121" s="43"/>
      <c r="BB121" s="43"/>
      <c r="BC121" s="43"/>
      <c r="BD121" s="43"/>
      <c r="BE121" s="43"/>
      <c r="BF121" s="43"/>
      <c r="BG121" s="43"/>
      <c r="BH121" s="43"/>
      <c r="BI121" s="43"/>
      <c r="BJ121" s="43"/>
      <c r="BK121" s="43"/>
      <c r="BL121" s="43"/>
      <c r="BM121" s="50"/>
      <c r="BN121" s="50"/>
      <c r="BO121" s="50"/>
      <c r="BP121" s="50"/>
      <c r="BQ121" s="50"/>
      <c r="BR121" s="50"/>
      <c r="BS121" s="50"/>
      <c r="BT121" s="50"/>
      <c r="BU121" s="50"/>
      <c r="BV121" s="50"/>
      <c r="BW121" s="50"/>
      <c r="BX121" s="50"/>
      <c r="BY121" s="50"/>
      <c r="BZ121" s="50"/>
      <c r="CA121" s="50"/>
      <c r="CB121" s="50"/>
      <c r="CC121" s="50"/>
      <c r="CD121" s="50"/>
      <c r="CE121" s="52"/>
      <c r="CF121" s="52"/>
      <c r="CG121" s="52"/>
      <c r="CH121" s="52"/>
      <c r="CI121" s="52"/>
      <c r="CJ121" s="52"/>
      <c r="CK121" s="52"/>
      <c r="CL121" s="52"/>
      <c r="CM121" s="52"/>
    </row>
    <row r="122" spans="1:91" x14ac:dyDescent="0.15">
      <c r="A122" s="41">
        <v>120</v>
      </c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  <c r="AF122" s="43"/>
      <c r="AG122" s="43"/>
      <c r="AH122" s="43"/>
      <c r="AI122" s="43"/>
      <c r="AJ122" s="43"/>
      <c r="AK122" s="43"/>
      <c r="AL122" s="43"/>
      <c r="AM122" s="43"/>
      <c r="AN122" s="43"/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3"/>
      <c r="BA122" s="43"/>
      <c r="BB122" s="43"/>
      <c r="BC122" s="43"/>
      <c r="BD122" s="43"/>
      <c r="BE122" s="43"/>
      <c r="BF122" s="43"/>
      <c r="BG122" s="43"/>
      <c r="BH122" s="43"/>
      <c r="BI122" s="43"/>
      <c r="BJ122" s="43"/>
      <c r="BK122" s="43"/>
      <c r="BL122" s="43"/>
      <c r="BM122" s="50"/>
      <c r="BN122" s="50"/>
      <c r="BO122" s="50"/>
      <c r="BP122" s="50"/>
      <c r="BQ122" s="50"/>
      <c r="BR122" s="50"/>
      <c r="BS122" s="50"/>
      <c r="BT122" s="50"/>
      <c r="BU122" s="50"/>
      <c r="BV122" s="50"/>
      <c r="BW122" s="50"/>
      <c r="BX122" s="50"/>
      <c r="BY122" s="50"/>
      <c r="BZ122" s="50"/>
      <c r="CA122" s="50"/>
      <c r="CB122" s="50"/>
      <c r="CC122" s="50"/>
      <c r="CD122" s="50"/>
      <c r="CE122" s="52"/>
      <c r="CF122" s="52"/>
      <c r="CG122" s="52"/>
      <c r="CH122" s="52"/>
      <c r="CI122" s="52"/>
      <c r="CJ122" s="52"/>
      <c r="CK122" s="52"/>
      <c r="CL122" s="52"/>
      <c r="CM122" s="52"/>
    </row>
    <row r="123" spans="1:91" x14ac:dyDescent="0.15">
      <c r="A123" s="41">
        <v>121</v>
      </c>
      <c r="B123" s="45"/>
      <c r="C123" s="45"/>
      <c r="D123" s="45"/>
      <c r="E123" s="45"/>
      <c r="F123" s="45"/>
      <c r="G123" s="45"/>
      <c r="H123" s="45"/>
      <c r="I123" s="45"/>
      <c r="J123" s="45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3"/>
      <c r="AN123" s="43"/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3"/>
      <c r="BA123" s="43"/>
      <c r="BB123" s="43"/>
      <c r="BC123" s="43"/>
      <c r="BD123" s="43"/>
      <c r="BE123" s="43"/>
      <c r="BF123" s="43"/>
      <c r="BG123" s="43"/>
      <c r="BH123" s="43"/>
      <c r="BI123" s="43"/>
      <c r="BJ123" s="43"/>
      <c r="BK123" s="43"/>
      <c r="BL123" s="43"/>
      <c r="BM123" s="50"/>
      <c r="BN123" s="50"/>
      <c r="BO123" s="50"/>
      <c r="BP123" s="50"/>
      <c r="BQ123" s="50"/>
      <c r="BR123" s="50"/>
      <c r="BS123" s="50"/>
      <c r="BT123" s="50"/>
      <c r="BU123" s="50"/>
      <c r="BV123" s="50"/>
      <c r="BW123" s="50"/>
      <c r="BX123" s="50"/>
      <c r="BY123" s="50"/>
      <c r="BZ123" s="50"/>
      <c r="CA123" s="50"/>
      <c r="CB123" s="50"/>
      <c r="CC123" s="50"/>
      <c r="CD123" s="50"/>
      <c r="CE123" s="52"/>
      <c r="CF123" s="52"/>
      <c r="CG123" s="52"/>
      <c r="CH123" s="52"/>
      <c r="CI123" s="52"/>
      <c r="CJ123" s="52"/>
      <c r="CK123" s="52"/>
      <c r="CL123" s="52"/>
      <c r="CM123" s="52"/>
    </row>
    <row r="124" spans="1:91" x14ac:dyDescent="0.15">
      <c r="A124" s="41">
        <v>122</v>
      </c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3"/>
      <c r="AN124" s="43"/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3"/>
      <c r="BA124" s="43"/>
      <c r="BB124" s="43"/>
      <c r="BC124" s="43"/>
      <c r="BD124" s="43"/>
      <c r="BE124" s="43"/>
      <c r="BF124" s="43"/>
      <c r="BG124" s="43"/>
      <c r="BH124" s="43"/>
      <c r="BI124" s="43"/>
      <c r="BJ124" s="43"/>
      <c r="BK124" s="43"/>
      <c r="BL124" s="43"/>
      <c r="BM124" s="50"/>
      <c r="BN124" s="50"/>
      <c r="BO124" s="50"/>
      <c r="BP124" s="50"/>
      <c r="BQ124" s="50"/>
      <c r="BR124" s="50"/>
      <c r="BS124" s="50"/>
      <c r="BT124" s="50"/>
      <c r="BU124" s="50"/>
      <c r="BV124" s="50"/>
      <c r="BW124" s="50"/>
      <c r="BX124" s="50"/>
      <c r="BY124" s="50"/>
      <c r="BZ124" s="50"/>
      <c r="CA124" s="50"/>
      <c r="CB124" s="50"/>
      <c r="CC124" s="50"/>
      <c r="CD124" s="50"/>
      <c r="CE124" s="52"/>
      <c r="CF124" s="52"/>
      <c r="CG124" s="52"/>
      <c r="CH124" s="52"/>
      <c r="CI124" s="52"/>
      <c r="CJ124" s="52"/>
      <c r="CK124" s="52"/>
      <c r="CL124" s="52"/>
      <c r="CM124" s="52"/>
    </row>
    <row r="125" spans="1:91" x14ac:dyDescent="0.15">
      <c r="A125" s="41">
        <v>123</v>
      </c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3"/>
      <c r="AN125" s="43"/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3"/>
      <c r="BA125" s="43"/>
      <c r="BB125" s="43"/>
      <c r="BC125" s="43"/>
      <c r="BD125" s="43"/>
      <c r="BE125" s="43"/>
      <c r="BF125" s="43"/>
      <c r="BG125" s="43"/>
      <c r="BH125" s="43"/>
      <c r="BI125" s="43"/>
      <c r="BJ125" s="43"/>
      <c r="BK125" s="43"/>
      <c r="BL125" s="43"/>
      <c r="BM125" s="50"/>
      <c r="BN125" s="50"/>
      <c r="BO125" s="50"/>
      <c r="BP125" s="50"/>
      <c r="BQ125" s="50"/>
      <c r="BR125" s="50"/>
      <c r="BS125" s="50"/>
      <c r="BT125" s="50"/>
      <c r="BU125" s="50"/>
      <c r="BV125" s="50"/>
      <c r="BW125" s="50"/>
      <c r="BX125" s="50"/>
      <c r="BY125" s="50"/>
      <c r="BZ125" s="50"/>
      <c r="CA125" s="50"/>
      <c r="CB125" s="50"/>
      <c r="CC125" s="50"/>
      <c r="CD125" s="50"/>
      <c r="CE125" s="52"/>
      <c r="CF125" s="52"/>
      <c r="CG125" s="52"/>
      <c r="CH125" s="52"/>
      <c r="CI125" s="52"/>
      <c r="CJ125" s="52"/>
      <c r="CK125" s="52"/>
      <c r="CL125" s="52"/>
      <c r="CM125" s="52"/>
    </row>
    <row r="126" spans="1:91" x14ac:dyDescent="0.15">
      <c r="A126" s="41">
        <v>124</v>
      </c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  <c r="AF126" s="43"/>
      <c r="AG126" s="43"/>
      <c r="AH126" s="43"/>
      <c r="AI126" s="43"/>
      <c r="AJ126" s="43"/>
      <c r="AK126" s="43"/>
      <c r="AL126" s="43"/>
      <c r="AM126" s="43"/>
      <c r="AN126" s="43"/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3"/>
      <c r="BA126" s="43"/>
      <c r="BB126" s="43"/>
      <c r="BC126" s="43"/>
      <c r="BD126" s="43"/>
      <c r="BE126" s="43"/>
      <c r="BF126" s="43"/>
      <c r="BG126" s="43"/>
      <c r="BH126" s="43"/>
      <c r="BI126" s="43"/>
      <c r="BJ126" s="43"/>
      <c r="BK126" s="43"/>
      <c r="BL126" s="43"/>
      <c r="BM126" s="50"/>
      <c r="BN126" s="50"/>
      <c r="BO126" s="50"/>
      <c r="BP126" s="50"/>
      <c r="BQ126" s="50"/>
      <c r="BR126" s="50"/>
      <c r="BS126" s="50"/>
      <c r="BT126" s="50"/>
      <c r="BU126" s="50"/>
      <c r="BV126" s="50"/>
      <c r="BW126" s="50"/>
      <c r="BX126" s="50"/>
      <c r="BY126" s="50"/>
      <c r="BZ126" s="50"/>
      <c r="CA126" s="50"/>
      <c r="CB126" s="50"/>
      <c r="CC126" s="50"/>
      <c r="CD126" s="50"/>
      <c r="CE126" s="52"/>
      <c r="CF126" s="52"/>
      <c r="CG126" s="52"/>
      <c r="CH126" s="52"/>
      <c r="CI126" s="52"/>
      <c r="CJ126" s="52"/>
      <c r="CK126" s="52"/>
      <c r="CL126" s="52"/>
      <c r="CM126" s="52"/>
    </row>
    <row r="127" spans="1:91" x14ac:dyDescent="0.15">
      <c r="A127" s="41">
        <v>125</v>
      </c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  <c r="AF127" s="43"/>
      <c r="AG127" s="43"/>
      <c r="AH127" s="43"/>
      <c r="AI127" s="43"/>
      <c r="AJ127" s="43"/>
      <c r="AK127" s="43"/>
      <c r="AL127" s="43"/>
      <c r="AM127" s="43"/>
      <c r="AN127" s="43"/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3"/>
      <c r="BA127" s="43"/>
      <c r="BB127" s="43"/>
      <c r="BC127" s="43"/>
      <c r="BD127" s="43"/>
      <c r="BE127" s="43"/>
      <c r="BF127" s="43"/>
      <c r="BG127" s="43"/>
      <c r="BH127" s="43"/>
      <c r="BI127" s="43"/>
      <c r="BJ127" s="43"/>
      <c r="BK127" s="43"/>
      <c r="BL127" s="43"/>
      <c r="BM127" s="50"/>
      <c r="BN127" s="50"/>
      <c r="BO127" s="50"/>
      <c r="BP127" s="50"/>
      <c r="BQ127" s="50"/>
      <c r="BR127" s="50"/>
      <c r="BS127" s="50"/>
      <c r="BT127" s="50"/>
      <c r="BU127" s="50"/>
      <c r="BV127" s="50"/>
      <c r="BW127" s="50"/>
      <c r="BX127" s="50"/>
      <c r="BY127" s="50"/>
      <c r="BZ127" s="50"/>
      <c r="CA127" s="50"/>
      <c r="CB127" s="50"/>
      <c r="CC127" s="50"/>
      <c r="CD127" s="50"/>
      <c r="CE127" s="52"/>
      <c r="CF127" s="52"/>
      <c r="CG127" s="52"/>
      <c r="CH127" s="52"/>
      <c r="CI127" s="52"/>
      <c r="CJ127" s="52"/>
      <c r="CK127" s="52"/>
      <c r="CL127" s="52"/>
      <c r="CM127" s="52"/>
    </row>
    <row r="128" spans="1:91" x14ac:dyDescent="0.15">
      <c r="A128" s="41">
        <v>126</v>
      </c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  <c r="AF128" s="43"/>
      <c r="AG128" s="43"/>
      <c r="AH128" s="43"/>
      <c r="AI128" s="43"/>
      <c r="AJ128" s="43"/>
      <c r="AK128" s="43"/>
      <c r="AL128" s="43"/>
      <c r="AM128" s="43"/>
      <c r="AN128" s="43"/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3"/>
      <c r="BA128" s="43"/>
      <c r="BB128" s="43"/>
      <c r="BC128" s="43"/>
      <c r="BD128" s="43"/>
      <c r="BE128" s="43"/>
      <c r="BF128" s="43"/>
      <c r="BG128" s="43"/>
      <c r="BH128" s="43"/>
      <c r="BI128" s="43"/>
      <c r="BJ128" s="43"/>
      <c r="BK128" s="43"/>
      <c r="BL128" s="43"/>
      <c r="BM128" s="50"/>
      <c r="BN128" s="50"/>
      <c r="BO128" s="50"/>
      <c r="BP128" s="50"/>
      <c r="BQ128" s="50"/>
      <c r="BR128" s="50"/>
      <c r="BS128" s="50"/>
      <c r="BT128" s="50"/>
      <c r="BU128" s="50"/>
      <c r="BV128" s="50"/>
      <c r="BW128" s="50"/>
      <c r="BX128" s="50"/>
      <c r="BY128" s="50"/>
      <c r="BZ128" s="50"/>
      <c r="CA128" s="50"/>
      <c r="CB128" s="50"/>
      <c r="CC128" s="50"/>
      <c r="CD128" s="50"/>
      <c r="CE128" s="52"/>
      <c r="CF128" s="52"/>
      <c r="CG128" s="52"/>
      <c r="CH128" s="52"/>
      <c r="CI128" s="52"/>
      <c r="CJ128" s="52"/>
      <c r="CK128" s="52"/>
      <c r="CL128" s="52"/>
      <c r="CM128" s="52"/>
    </row>
    <row r="129" spans="1:91" x14ac:dyDescent="0.15">
      <c r="A129" s="41">
        <v>127</v>
      </c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3"/>
      <c r="AN129" s="43"/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3"/>
      <c r="BA129" s="43"/>
      <c r="BB129" s="43"/>
      <c r="BC129" s="43"/>
      <c r="BD129" s="43"/>
      <c r="BE129" s="43"/>
      <c r="BF129" s="43"/>
      <c r="BG129" s="43"/>
      <c r="BH129" s="43"/>
      <c r="BI129" s="43"/>
      <c r="BJ129" s="43"/>
      <c r="BK129" s="43"/>
      <c r="BL129" s="43"/>
      <c r="BM129" s="50"/>
      <c r="BN129" s="50"/>
      <c r="BO129" s="50"/>
      <c r="BP129" s="50"/>
      <c r="BQ129" s="50"/>
      <c r="BR129" s="50"/>
      <c r="BS129" s="50"/>
      <c r="BT129" s="50"/>
      <c r="BU129" s="50"/>
      <c r="BV129" s="50"/>
      <c r="BW129" s="50"/>
      <c r="BX129" s="50"/>
      <c r="BY129" s="50"/>
      <c r="BZ129" s="50"/>
      <c r="CA129" s="50"/>
      <c r="CB129" s="50"/>
      <c r="CC129" s="50"/>
      <c r="CD129" s="50"/>
      <c r="CE129" s="52"/>
      <c r="CF129" s="52"/>
      <c r="CG129" s="52"/>
      <c r="CH129" s="52"/>
      <c r="CI129" s="52"/>
      <c r="CJ129" s="52"/>
      <c r="CK129" s="52"/>
      <c r="CL129" s="52"/>
      <c r="CM129" s="52"/>
    </row>
    <row r="130" spans="1:91" x14ac:dyDescent="0.15">
      <c r="A130" s="41">
        <v>128</v>
      </c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3"/>
      <c r="AN130" s="43"/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3"/>
      <c r="BA130" s="43"/>
      <c r="BB130" s="43"/>
      <c r="BC130" s="43"/>
      <c r="BD130" s="43"/>
      <c r="BE130" s="43"/>
      <c r="BF130" s="43"/>
      <c r="BG130" s="43"/>
      <c r="BH130" s="43"/>
      <c r="BI130" s="43"/>
      <c r="BJ130" s="43"/>
      <c r="BK130" s="43"/>
      <c r="BL130" s="43"/>
      <c r="BM130" s="50"/>
      <c r="BN130" s="50"/>
      <c r="BO130" s="50"/>
      <c r="BP130" s="50"/>
      <c r="BQ130" s="50"/>
      <c r="BR130" s="50"/>
      <c r="BS130" s="50"/>
      <c r="BT130" s="50"/>
      <c r="BU130" s="50"/>
      <c r="BV130" s="50"/>
      <c r="BW130" s="50"/>
      <c r="BX130" s="50"/>
      <c r="BY130" s="50"/>
      <c r="BZ130" s="50"/>
      <c r="CA130" s="50"/>
      <c r="CB130" s="50"/>
      <c r="CC130" s="50"/>
      <c r="CD130" s="50"/>
      <c r="CE130" s="52"/>
      <c r="CF130" s="52"/>
      <c r="CG130" s="52"/>
      <c r="CH130" s="52"/>
      <c r="CI130" s="52"/>
      <c r="CJ130" s="52"/>
      <c r="CK130" s="52"/>
      <c r="CL130" s="52"/>
      <c r="CM130" s="52"/>
    </row>
    <row r="131" spans="1:91" x14ac:dyDescent="0.15">
      <c r="A131" s="41">
        <v>129</v>
      </c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3"/>
      <c r="AN131" s="43"/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3"/>
      <c r="BA131" s="43"/>
      <c r="BB131" s="43"/>
      <c r="BC131" s="43"/>
      <c r="BD131" s="43"/>
      <c r="BE131" s="43"/>
      <c r="BF131" s="43"/>
      <c r="BG131" s="43"/>
      <c r="BH131" s="43"/>
      <c r="BI131" s="43"/>
      <c r="BJ131" s="43"/>
      <c r="BK131" s="43"/>
      <c r="BL131" s="43"/>
      <c r="BM131" s="50"/>
      <c r="BN131" s="50"/>
      <c r="BO131" s="50"/>
      <c r="BP131" s="50"/>
      <c r="BQ131" s="50"/>
      <c r="BR131" s="50"/>
      <c r="BS131" s="50"/>
      <c r="BT131" s="50"/>
      <c r="BU131" s="50"/>
      <c r="BV131" s="50"/>
      <c r="BW131" s="50"/>
      <c r="BX131" s="50"/>
      <c r="BY131" s="50"/>
      <c r="BZ131" s="50"/>
      <c r="CA131" s="50"/>
      <c r="CB131" s="50"/>
      <c r="CC131" s="50"/>
      <c r="CD131" s="50"/>
      <c r="CE131" s="52"/>
      <c r="CF131" s="52"/>
      <c r="CG131" s="52"/>
      <c r="CH131" s="52"/>
      <c r="CI131" s="52"/>
      <c r="CJ131" s="52"/>
      <c r="CK131" s="52"/>
      <c r="CL131" s="52"/>
      <c r="CM131" s="52"/>
    </row>
    <row r="132" spans="1:91" x14ac:dyDescent="0.15">
      <c r="A132" s="41">
        <v>130</v>
      </c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  <c r="AF132" s="43"/>
      <c r="AG132" s="43"/>
      <c r="AH132" s="43"/>
      <c r="AI132" s="43"/>
      <c r="AJ132" s="43"/>
      <c r="AK132" s="43"/>
      <c r="AL132" s="43"/>
      <c r="AM132" s="43"/>
      <c r="AN132" s="43"/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3"/>
      <c r="BA132" s="43"/>
      <c r="BB132" s="43"/>
      <c r="BC132" s="43"/>
      <c r="BD132" s="43"/>
      <c r="BE132" s="43"/>
      <c r="BF132" s="43"/>
      <c r="BG132" s="43"/>
      <c r="BH132" s="43"/>
      <c r="BI132" s="43"/>
      <c r="BJ132" s="43"/>
      <c r="BK132" s="43"/>
      <c r="BL132" s="43"/>
      <c r="BM132" s="50"/>
      <c r="BN132" s="50"/>
      <c r="BO132" s="50"/>
      <c r="BP132" s="50"/>
      <c r="BQ132" s="50"/>
      <c r="BR132" s="50"/>
      <c r="BS132" s="50"/>
      <c r="BT132" s="50"/>
      <c r="BU132" s="50"/>
      <c r="BV132" s="50"/>
      <c r="BW132" s="50"/>
      <c r="BX132" s="50"/>
      <c r="BY132" s="50"/>
      <c r="BZ132" s="50"/>
      <c r="CA132" s="50"/>
      <c r="CB132" s="50"/>
      <c r="CC132" s="50"/>
      <c r="CD132" s="50"/>
      <c r="CE132" s="52"/>
      <c r="CF132" s="52"/>
      <c r="CG132" s="52"/>
      <c r="CH132" s="52"/>
      <c r="CI132" s="52"/>
      <c r="CJ132" s="52"/>
      <c r="CK132" s="52"/>
      <c r="CL132" s="52"/>
      <c r="CM132" s="52"/>
    </row>
    <row r="133" spans="1:91" x14ac:dyDescent="0.15">
      <c r="A133" s="41">
        <v>131</v>
      </c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  <c r="AF133" s="43"/>
      <c r="AG133" s="43"/>
      <c r="AH133" s="43"/>
      <c r="AI133" s="43"/>
      <c r="AJ133" s="43"/>
      <c r="AK133" s="43"/>
      <c r="AL133" s="43"/>
      <c r="AM133" s="43"/>
      <c r="AN133" s="43"/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3"/>
      <c r="BA133" s="43"/>
      <c r="BB133" s="43"/>
      <c r="BC133" s="43"/>
      <c r="BD133" s="43"/>
      <c r="BE133" s="43"/>
      <c r="BF133" s="43"/>
      <c r="BG133" s="43"/>
      <c r="BH133" s="43"/>
      <c r="BI133" s="43"/>
      <c r="BJ133" s="43"/>
      <c r="BK133" s="43"/>
      <c r="BL133" s="43"/>
      <c r="BM133" s="50"/>
      <c r="BN133" s="50"/>
      <c r="BO133" s="50"/>
      <c r="BP133" s="50"/>
      <c r="BQ133" s="50"/>
      <c r="BR133" s="50"/>
      <c r="BS133" s="50"/>
      <c r="BT133" s="50"/>
      <c r="BU133" s="50"/>
      <c r="BV133" s="50"/>
      <c r="BW133" s="50"/>
      <c r="BX133" s="50"/>
      <c r="BY133" s="50"/>
      <c r="BZ133" s="50"/>
      <c r="CA133" s="50"/>
      <c r="CB133" s="50"/>
      <c r="CC133" s="50"/>
      <c r="CD133" s="50"/>
      <c r="CE133" s="52"/>
      <c r="CF133" s="52"/>
      <c r="CG133" s="52"/>
      <c r="CH133" s="52"/>
      <c r="CI133" s="52"/>
      <c r="CJ133" s="52"/>
      <c r="CK133" s="52"/>
      <c r="CL133" s="52"/>
      <c r="CM133" s="52"/>
    </row>
    <row r="134" spans="1:91" x14ac:dyDescent="0.15">
      <c r="A134" s="41">
        <v>132</v>
      </c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  <c r="AF134" s="43"/>
      <c r="AG134" s="43"/>
      <c r="AH134" s="43"/>
      <c r="AI134" s="43"/>
      <c r="AJ134" s="43"/>
      <c r="AK134" s="43"/>
      <c r="AL134" s="43"/>
      <c r="AM134" s="43"/>
      <c r="AN134" s="43"/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3"/>
      <c r="BA134" s="43"/>
      <c r="BB134" s="43"/>
      <c r="BC134" s="43"/>
      <c r="BD134" s="43"/>
      <c r="BE134" s="43"/>
      <c r="BF134" s="43"/>
      <c r="BG134" s="43"/>
      <c r="BH134" s="43"/>
      <c r="BI134" s="43"/>
      <c r="BJ134" s="43"/>
      <c r="BK134" s="43"/>
      <c r="BL134" s="43"/>
      <c r="BM134" s="50"/>
      <c r="BN134" s="50"/>
      <c r="BO134" s="50"/>
      <c r="BP134" s="50"/>
      <c r="BQ134" s="50"/>
      <c r="BR134" s="50"/>
      <c r="BS134" s="50"/>
      <c r="BT134" s="50"/>
      <c r="BU134" s="50"/>
      <c r="BV134" s="50"/>
      <c r="BW134" s="50"/>
      <c r="BX134" s="50"/>
      <c r="BY134" s="50"/>
      <c r="BZ134" s="50"/>
      <c r="CA134" s="50"/>
      <c r="CB134" s="50"/>
      <c r="CC134" s="50"/>
      <c r="CD134" s="50"/>
      <c r="CE134" s="52"/>
      <c r="CF134" s="52"/>
      <c r="CG134" s="52"/>
      <c r="CH134" s="52"/>
      <c r="CI134" s="52"/>
      <c r="CJ134" s="52"/>
      <c r="CK134" s="52"/>
      <c r="CL134" s="52"/>
      <c r="CM134" s="52"/>
    </row>
    <row r="135" spans="1:91" x14ac:dyDescent="0.15">
      <c r="A135" s="41">
        <v>133</v>
      </c>
      <c r="B135" s="45"/>
      <c r="C135" s="45"/>
      <c r="D135" s="45"/>
      <c r="E135" s="45"/>
      <c r="F135" s="45"/>
      <c r="G135" s="45"/>
      <c r="H135" s="45"/>
      <c r="I135" s="45"/>
      <c r="J135" s="45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3"/>
      <c r="AN135" s="43"/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3"/>
      <c r="BA135" s="43"/>
      <c r="BB135" s="43"/>
      <c r="BC135" s="43"/>
      <c r="BD135" s="43"/>
      <c r="BE135" s="43"/>
      <c r="BF135" s="43"/>
      <c r="BG135" s="43"/>
      <c r="BH135" s="43"/>
      <c r="BI135" s="43"/>
      <c r="BJ135" s="43"/>
      <c r="BK135" s="43"/>
      <c r="BL135" s="43"/>
      <c r="BM135" s="50"/>
      <c r="BN135" s="50"/>
      <c r="BO135" s="50"/>
      <c r="BP135" s="50"/>
      <c r="BQ135" s="50"/>
      <c r="BR135" s="50"/>
      <c r="BS135" s="50"/>
      <c r="BT135" s="50"/>
      <c r="BU135" s="50"/>
      <c r="BV135" s="50"/>
      <c r="BW135" s="50"/>
      <c r="BX135" s="50"/>
      <c r="BY135" s="50"/>
      <c r="BZ135" s="50"/>
      <c r="CA135" s="50"/>
      <c r="CB135" s="50"/>
      <c r="CC135" s="50"/>
      <c r="CD135" s="50"/>
      <c r="CE135" s="52"/>
      <c r="CF135" s="52"/>
      <c r="CG135" s="52"/>
      <c r="CH135" s="52"/>
      <c r="CI135" s="52"/>
      <c r="CJ135" s="52"/>
      <c r="CK135" s="52"/>
      <c r="CL135" s="52"/>
      <c r="CM135" s="52"/>
    </row>
    <row r="136" spans="1:91" x14ac:dyDescent="0.15">
      <c r="A136" s="41">
        <v>134</v>
      </c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3"/>
      <c r="AN136" s="43"/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3"/>
      <c r="BA136" s="43"/>
      <c r="BB136" s="43"/>
      <c r="BC136" s="43"/>
      <c r="BD136" s="43"/>
      <c r="BE136" s="43"/>
      <c r="BF136" s="43"/>
      <c r="BG136" s="43"/>
      <c r="BH136" s="43"/>
      <c r="BI136" s="43"/>
      <c r="BJ136" s="43"/>
      <c r="BK136" s="43"/>
      <c r="BL136" s="43"/>
      <c r="BM136" s="50"/>
      <c r="BN136" s="50"/>
      <c r="BO136" s="50"/>
      <c r="BP136" s="50"/>
      <c r="BQ136" s="50"/>
      <c r="BR136" s="50"/>
      <c r="BS136" s="50"/>
      <c r="BT136" s="50"/>
      <c r="BU136" s="50"/>
      <c r="BV136" s="50"/>
      <c r="BW136" s="50"/>
      <c r="BX136" s="50"/>
      <c r="BY136" s="50"/>
      <c r="BZ136" s="50"/>
      <c r="CA136" s="50"/>
      <c r="CB136" s="50"/>
      <c r="CC136" s="50"/>
      <c r="CD136" s="50"/>
      <c r="CE136" s="52"/>
      <c r="CF136" s="52"/>
      <c r="CG136" s="52"/>
      <c r="CH136" s="52"/>
      <c r="CI136" s="52"/>
      <c r="CJ136" s="52"/>
      <c r="CK136" s="52"/>
      <c r="CL136" s="52"/>
      <c r="CM136" s="52"/>
    </row>
    <row r="137" spans="1:91" x14ac:dyDescent="0.15">
      <c r="A137" s="41">
        <v>135</v>
      </c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3"/>
      <c r="AN137" s="43"/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3"/>
      <c r="BA137" s="43"/>
      <c r="BB137" s="43"/>
      <c r="BC137" s="43"/>
      <c r="BD137" s="43"/>
      <c r="BE137" s="43"/>
      <c r="BF137" s="43"/>
      <c r="BG137" s="43"/>
      <c r="BH137" s="43"/>
      <c r="BI137" s="43"/>
      <c r="BJ137" s="43"/>
      <c r="BK137" s="43"/>
      <c r="BL137" s="43"/>
      <c r="BM137" s="50"/>
      <c r="BN137" s="50"/>
      <c r="BO137" s="50"/>
      <c r="BP137" s="50"/>
      <c r="BQ137" s="50"/>
      <c r="BR137" s="50"/>
      <c r="BS137" s="50"/>
      <c r="BT137" s="50"/>
      <c r="BU137" s="50"/>
      <c r="BV137" s="50"/>
      <c r="BW137" s="50"/>
      <c r="BX137" s="50"/>
      <c r="BY137" s="50"/>
      <c r="BZ137" s="50"/>
      <c r="CA137" s="50"/>
      <c r="CB137" s="50"/>
      <c r="CC137" s="50"/>
      <c r="CD137" s="50"/>
      <c r="CE137" s="52"/>
      <c r="CF137" s="52"/>
      <c r="CG137" s="52"/>
      <c r="CH137" s="52"/>
      <c r="CI137" s="52"/>
      <c r="CJ137" s="52"/>
      <c r="CK137" s="52"/>
      <c r="CL137" s="52"/>
      <c r="CM137" s="52"/>
    </row>
    <row r="138" spans="1:91" x14ac:dyDescent="0.15">
      <c r="A138" s="41">
        <v>136</v>
      </c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  <c r="AF138" s="43"/>
      <c r="AG138" s="43"/>
      <c r="AH138" s="43"/>
      <c r="AI138" s="43"/>
      <c r="AJ138" s="43"/>
      <c r="AK138" s="43"/>
      <c r="AL138" s="43"/>
      <c r="AM138" s="43"/>
      <c r="AN138" s="43"/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3"/>
      <c r="BA138" s="43"/>
      <c r="BB138" s="43"/>
      <c r="BC138" s="43"/>
      <c r="BD138" s="43"/>
      <c r="BE138" s="43"/>
      <c r="BF138" s="43"/>
      <c r="BG138" s="43"/>
      <c r="BH138" s="43"/>
      <c r="BI138" s="43"/>
      <c r="BJ138" s="43"/>
      <c r="BK138" s="43"/>
      <c r="BL138" s="43"/>
      <c r="BM138" s="50"/>
      <c r="BN138" s="50"/>
      <c r="BO138" s="50"/>
      <c r="BP138" s="50"/>
      <c r="BQ138" s="50"/>
      <c r="BR138" s="50"/>
      <c r="BS138" s="50"/>
      <c r="BT138" s="50"/>
      <c r="BU138" s="50"/>
      <c r="BV138" s="50"/>
      <c r="BW138" s="50"/>
      <c r="BX138" s="50"/>
      <c r="BY138" s="50"/>
      <c r="BZ138" s="50"/>
      <c r="CA138" s="50"/>
      <c r="CB138" s="50"/>
      <c r="CC138" s="50"/>
      <c r="CD138" s="50"/>
      <c r="CE138" s="52"/>
      <c r="CF138" s="52"/>
      <c r="CG138" s="52"/>
      <c r="CH138" s="52"/>
      <c r="CI138" s="52"/>
      <c r="CJ138" s="52"/>
      <c r="CK138" s="52"/>
      <c r="CL138" s="52"/>
      <c r="CM138" s="52"/>
    </row>
    <row r="139" spans="1:91" x14ac:dyDescent="0.15">
      <c r="A139" s="41">
        <v>137</v>
      </c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  <c r="AF139" s="43"/>
      <c r="AG139" s="43"/>
      <c r="AH139" s="43"/>
      <c r="AI139" s="43"/>
      <c r="AJ139" s="43"/>
      <c r="AK139" s="43"/>
      <c r="AL139" s="43"/>
      <c r="AM139" s="43"/>
      <c r="AN139" s="43"/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3"/>
      <c r="BA139" s="43"/>
      <c r="BB139" s="43"/>
      <c r="BC139" s="43"/>
      <c r="BD139" s="43"/>
      <c r="BE139" s="43"/>
      <c r="BF139" s="43"/>
      <c r="BG139" s="43"/>
      <c r="BH139" s="43"/>
      <c r="BI139" s="43"/>
      <c r="BJ139" s="43"/>
      <c r="BK139" s="43"/>
      <c r="BL139" s="43"/>
      <c r="BM139" s="50"/>
      <c r="BN139" s="50"/>
      <c r="BO139" s="50"/>
      <c r="BP139" s="50"/>
      <c r="BQ139" s="50"/>
      <c r="BR139" s="50"/>
      <c r="BS139" s="50"/>
      <c r="BT139" s="50"/>
      <c r="BU139" s="50"/>
      <c r="BV139" s="50"/>
      <c r="BW139" s="50"/>
      <c r="BX139" s="50"/>
      <c r="BY139" s="50"/>
      <c r="BZ139" s="50"/>
      <c r="CA139" s="50"/>
      <c r="CB139" s="50"/>
      <c r="CC139" s="50"/>
      <c r="CD139" s="50"/>
      <c r="CE139" s="52"/>
      <c r="CF139" s="52"/>
      <c r="CG139" s="52"/>
      <c r="CH139" s="52"/>
      <c r="CI139" s="52"/>
      <c r="CJ139" s="52"/>
      <c r="CK139" s="52"/>
      <c r="CL139" s="52"/>
      <c r="CM139" s="52"/>
    </row>
    <row r="140" spans="1:91" x14ac:dyDescent="0.15">
      <c r="A140" s="41">
        <v>138</v>
      </c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  <c r="AF140" s="43"/>
      <c r="AG140" s="43"/>
      <c r="AH140" s="43"/>
      <c r="AI140" s="43"/>
      <c r="AJ140" s="43"/>
      <c r="AK140" s="43"/>
      <c r="AL140" s="43"/>
      <c r="AM140" s="43"/>
      <c r="AN140" s="43"/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3"/>
      <c r="BA140" s="43"/>
      <c r="BB140" s="43"/>
      <c r="BC140" s="43"/>
      <c r="BD140" s="43"/>
      <c r="BE140" s="43"/>
      <c r="BF140" s="43"/>
      <c r="BG140" s="43"/>
      <c r="BH140" s="43"/>
      <c r="BI140" s="43"/>
      <c r="BJ140" s="43"/>
      <c r="BK140" s="43"/>
      <c r="BL140" s="43"/>
      <c r="BM140" s="50"/>
      <c r="BN140" s="50"/>
      <c r="BO140" s="50"/>
      <c r="BP140" s="50"/>
      <c r="BQ140" s="50"/>
      <c r="BR140" s="50"/>
      <c r="BS140" s="50"/>
      <c r="BT140" s="50"/>
      <c r="BU140" s="50"/>
      <c r="BV140" s="50"/>
      <c r="BW140" s="50"/>
      <c r="BX140" s="50"/>
      <c r="BY140" s="50"/>
      <c r="BZ140" s="50"/>
      <c r="CA140" s="50"/>
      <c r="CB140" s="50"/>
      <c r="CC140" s="50"/>
      <c r="CD140" s="50"/>
      <c r="CE140" s="52"/>
      <c r="CF140" s="52"/>
      <c r="CG140" s="52"/>
      <c r="CH140" s="52"/>
      <c r="CI140" s="52"/>
      <c r="CJ140" s="52"/>
      <c r="CK140" s="52"/>
      <c r="CL140" s="52"/>
      <c r="CM140" s="52"/>
    </row>
    <row r="141" spans="1:91" x14ac:dyDescent="0.15">
      <c r="A141" s="41">
        <v>139</v>
      </c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3"/>
      <c r="AN141" s="43"/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3"/>
      <c r="BA141" s="43"/>
      <c r="BB141" s="43"/>
      <c r="BC141" s="43"/>
      <c r="BD141" s="43"/>
      <c r="BE141" s="43"/>
      <c r="BF141" s="43"/>
      <c r="BG141" s="43"/>
      <c r="BH141" s="43"/>
      <c r="BI141" s="43"/>
      <c r="BJ141" s="43"/>
      <c r="BK141" s="43"/>
      <c r="BL141" s="43"/>
      <c r="BM141" s="50"/>
      <c r="BN141" s="50"/>
      <c r="BO141" s="50"/>
      <c r="BP141" s="50"/>
      <c r="BQ141" s="50"/>
      <c r="BR141" s="50"/>
      <c r="BS141" s="50"/>
      <c r="BT141" s="50"/>
      <c r="BU141" s="50"/>
      <c r="BV141" s="50"/>
      <c r="BW141" s="50"/>
      <c r="BX141" s="50"/>
      <c r="BY141" s="50"/>
      <c r="BZ141" s="50"/>
      <c r="CA141" s="50"/>
      <c r="CB141" s="50"/>
      <c r="CC141" s="50"/>
      <c r="CD141" s="50"/>
      <c r="CE141" s="52"/>
      <c r="CF141" s="52"/>
      <c r="CG141" s="52"/>
      <c r="CH141" s="52"/>
      <c r="CI141" s="52"/>
      <c r="CJ141" s="52"/>
      <c r="CK141" s="52"/>
      <c r="CL141" s="52"/>
      <c r="CM141" s="52"/>
    </row>
    <row r="142" spans="1:91" x14ac:dyDescent="0.15">
      <c r="A142" s="41">
        <v>140</v>
      </c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3"/>
      <c r="AN142" s="43"/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3"/>
      <c r="BA142" s="43"/>
      <c r="BB142" s="43"/>
      <c r="BC142" s="43"/>
      <c r="BD142" s="43"/>
      <c r="BE142" s="43"/>
      <c r="BF142" s="43"/>
      <c r="BG142" s="43"/>
      <c r="BH142" s="43"/>
      <c r="BI142" s="43"/>
      <c r="BJ142" s="43"/>
      <c r="BK142" s="43"/>
      <c r="BL142" s="43"/>
      <c r="BM142" s="50"/>
      <c r="BN142" s="50"/>
      <c r="BO142" s="50"/>
      <c r="BP142" s="50"/>
      <c r="BQ142" s="50"/>
      <c r="BR142" s="50"/>
      <c r="BS142" s="50"/>
      <c r="BT142" s="50"/>
      <c r="BU142" s="50"/>
      <c r="BV142" s="50"/>
      <c r="BW142" s="50"/>
      <c r="BX142" s="50"/>
      <c r="BY142" s="50"/>
      <c r="BZ142" s="50"/>
      <c r="CA142" s="50"/>
      <c r="CB142" s="50"/>
      <c r="CC142" s="50"/>
      <c r="CD142" s="50"/>
      <c r="CE142" s="52"/>
      <c r="CF142" s="52"/>
      <c r="CG142" s="52"/>
      <c r="CH142" s="52"/>
      <c r="CI142" s="52"/>
      <c r="CJ142" s="52"/>
      <c r="CK142" s="52"/>
      <c r="CL142" s="52"/>
      <c r="CM142" s="52"/>
    </row>
    <row r="143" spans="1:91" x14ac:dyDescent="0.15">
      <c r="A143" s="41">
        <v>141</v>
      </c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3"/>
      <c r="AN143" s="43"/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3"/>
      <c r="BA143" s="43"/>
      <c r="BB143" s="43"/>
      <c r="BC143" s="43"/>
      <c r="BD143" s="43"/>
      <c r="BE143" s="43"/>
      <c r="BF143" s="43"/>
      <c r="BG143" s="43"/>
      <c r="BH143" s="43"/>
      <c r="BI143" s="43"/>
      <c r="BJ143" s="43"/>
      <c r="BK143" s="43"/>
      <c r="BL143" s="43"/>
      <c r="BM143" s="50"/>
      <c r="BN143" s="50"/>
      <c r="BO143" s="50"/>
      <c r="BP143" s="50"/>
      <c r="BQ143" s="50"/>
      <c r="BR143" s="50"/>
      <c r="BS143" s="50"/>
      <c r="BT143" s="50"/>
      <c r="BU143" s="50"/>
      <c r="BV143" s="50"/>
      <c r="BW143" s="50"/>
      <c r="BX143" s="50"/>
      <c r="BY143" s="50"/>
      <c r="BZ143" s="50"/>
      <c r="CA143" s="50"/>
      <c r="CB143" s="50"/>
      <c r="CC143" s="50"/>
      <c r="CD143" s="50"/>
      <c r="CE143" s="52"/>
      <c r="CF143" s="52"/>
      <c r="CG143" s="52"/>
      <c r="CH143" s="52"/>
      <c r="CI143" s="52"/>
      <c r="CJ143" s="52"/>
      <c r="CK143" s="52"/>
      <c r="CL143" s="52"/>
      <c r="CM143" s="52"/>
    </row>
    <row r="144" spans="1:91" x14ac:dyDescent="0.15">
      <c r="A144" s="41">
        <v>142</v>
      </c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  <c r="AF144" s="43"/>
      <c r="AG144" s="43"/>
      <c r="AH144" s="43"/>
      <c r="AI144" s="43"/>
      <c r="AJ144" s="43"/>
      <c r="AK144" s="43"/>
      <c r="AL144" s="43"/>
      <c r="AM144" s="43"/>
      <c r="AN144" s="43"/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3"/>
      <c r="BA144" s="43"/>
      <c r="BB144" s="43"/>
      <c r="BC144" s="43"/>
      <c r="BD144" s="43"/>
      <c r="BE144" s="43"/>
      <c r="BF144" s="43"/>
      <c r="BG144" s="43"/>
      <c r="BH144" s="43"/>
      <c r="BI144" s="43"/>
      <c r="BJ144" s="43"/>
      <c r="BK144" s="43"/>
      <c r="BL144" s="43"/>
      <c r="BM144" s="50"/>
      <c r="BN144" s="50"/>
      <c r="BO144" s="50"/>
      <c r="BP144" s="50"/>
      <c r="BQ144" s="50"/>
      <c r="BR144" s="50"/>
      <c r="BS144" s="50"/>
      <c r="BT144" s="50"/>
      <c r="BU144" s="50"/>
      <c r="BV144" s="50"/>
      <c r="BW144" s="50"/>
      <c r="BX144" s="50"/>
      <c r="BY144" s="50"/>
      <c r="BZ144" s="50"/>
      <c r="CA144" s="50"/>
      <c r="CB144" s="50"/>
      <c r="CC144" s="50"/>
      <c r="CD144" s="50"/>
      <c r="CE144" s="52"/>
      <c r="CF144" s="52"/>
      <c r="CG144" s="52"/>
      <c r="CH144" s="52"/>
      <c r="CI144" s="52"/>
      <c r="CJ144" s="52"/>
      <c r="CK144" s="52"/>
      <c r="CL144" s="52"/>
      <c r="CM144" s="52"/>
    </row>
    <row r="145" spans="1:91" x14ac:dyDescent="0.15">
      <c r="A145" s="41">
        <v>143</v>
      </c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  <c r="AF145" s="43"/>
      <c r="AG145" s="43"/>
      <c r="AH145" s="43"/>
      <c r="AI145" s="43"/>
      <c r="AJ145" s="43"/>
      <c r="AK145" s="43"/>
      <c r="AL145" s="43"/>
      <c r="AM145" s="43"/>
      <c r="AN145" s="43"/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3"/>
      <c r="BA145" s="43"/>
      <c r="BB145" s="43"/>
      <c r="BC145" s="43"/>
      <c r="BD145" s="43"/>
      <c r="BE145" s="43"/>
      <c r="BF145" s="43"/>
      <c r="BG145" s="43"/>
      <c r="BH145" s="43"/>
      <c r="BI145" s="43"/>
      <c r="BJ145" s="43"/>
      <c r="BK145" s="43"/>
      <c r="BL145" s="43"/>
      <c r="BM145" s="50"/>
      <c r="BN145" s="50"/>
      <c r="BO145" s="50"/>
      <c r="BP145" s="50"/>
      <c r="BQ145" s="50"/>
      <c r="BR145" s="50"/>
      <c r="BS145" s="50"/>
      <c r="BT145" s="50"/>
      <c r="BU145" s="50"/>
      <c r="BV145" s="50"/>
      <c r="BW145" s="50"/>
      <c r="BX145" s="50"/>
      <c r="BY145" s="50"/>
      <c r="BZ145" s="50"/>
      <c r="CA145" s="50"/>
      <c r="CB145" s="50"/>
      <c r="CC145" s="50"/>
      <c r="CD145" s="50"/>
      <c r="CE145" s="52"/>
      <c r="CF145" s="52"/>
      <c r="CG145" s="52"/>
      <c r="CH145" s="52"/>
      <c r="CI145" s="52"/>
      <c r="CJ145" s="52"/>
      <c r="CK145" s="52"/>
      <c r="CL145" s="52"/>
      <c r="CM145" s="52"/>
    </row>
    <row r="146" spans="1:91" x14ac:dyDescent="0.15">
      <c r="A146" s="41">
        <v>144</v>
      </c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  <c r="AF146" s="43"/>
      <c r="AG146" s="43"/>
      <c r="AH146" s="43"/>
      <c r="AI146" s="43"/>
      <c r="AJ146" s="43"/>
      <c r="AK146" s="43"/>
      <c r="AL146" s="43"/>
      <c r="AM146" s="43"/>
      <c r="AN146" s="43"/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3"/>
      <c r="BA146" s="43"/>
      <c r="BB146" s="43"/>
      <c r="BC146" s="43"/>
      <c r="BD146" s="43"/>
      <c r="BE146" s="43"/>
      <c r="BF146" s="43"/>
      <c r="BG146" s="43"/>
      <c r="BH146" s="43"/>
      <c r="BI146" s="43"/>
      <c r="BJ146" s="43"/>
      <c r="BK146" s="43"/>
      <c r="BL146" s="43"/>
      <c r="BM146" s="50"/>
      <c r="BN146" s="50"/>
      <c r="BO146" s="50"/>
      <c r="BP146" s="50"/>
      <c r="BQ146" s="50"/>
      <c r="BR146" s="50"/>
      <c r="BS146" s="50"/>
      <c r="BT146" s="50"/>
      <c r="BU146" s="50"/>
      <c r="BV146" s="50"/>
      <c r="BW146" s="50"/>
      <c r="BX146" s="50"/>
      <c r="BY146" s="50"/>
      <c r="BZ146" s="50"/>
      <c r="CA146" s="50"/>
      <c r="CB146" s="50"/>
      <c r="CC146" s="50"/>
      <c r="CD146" s="50"/>
      <c r="CE146" s="52"/>
      <c r="CF146" s="52"/>
      <c r="CG146" s="52"/>
      <c r="CH146" s="52"/>
      <c r="CI146" s="52"/>
      <c r="CJ146" s="52"/>
      <c r="CK146" s="52"/>
      <c r="CL146" s="52"/>
      <c r="CM146" s="52"/>
    </row>
    <row r="147" spans="1:91" x14ac:dyDescent="0.15">
      <c r="A147" s="41">
        <v>145</v>
      </c>
      <c r="B147" s="45"/>
      <c r="C147" s="45"/>
      <c r="D147" s="45"/>
      <c r="E147" s="45"/>
      <c r="F147" s="45"/>
      <c r="G147" s="45"/>
      <c r="H147" s="45"/>
      <c r="I147" s="45"/>
      <c r="J147" s="45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3"/>
      <c r="AN147" s="43"/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3"/>
      <c r="BA147" s="43"/>
      <c r="BB147" s="43"/>
      <c r="BC147" s="43"/>
      <c r="BD147" s="43"/>
      <c r="BE147" s="43"/>
      <c r="BF147" s="43"/>
      <c r="BG147" s="43"/>
      <c r="BH147" s="43"/>
      <c r="BI147" s="43"/>
      <c r="BJ147" s="43"/>
      <c r="BK147" s="43"/>
      <c r="BL147" s="43"/>
      <c r="BM147" s="50"/>
      <c r="BN147" s="50"/>
      <c r="BO147" s="50"/>
      <c r="BP147" s="50"/>
      <c r="BQ147" s="50"/>
      <c r="BR147" s="50"/>
      <c r="BS147" s="50"/>
      <c r="BT147" s="50"/>
      <c r="BU147" s="50"/>
      <c r="BV147" s="50"/>
      <c r="BW147" s="50"/>
      <c r="BX147" s="50"/>
      <c r="BY147" s="50"/>
      <c r="BZ147" s="50"/>
      <c r="CA147" s="50"/>
      <c r="CB147" s="50"/>
      <c r="CC147" s="50"/>
      <c r="CD147" s="50"/>
      <c r="CE147" s="52"/>
      <c r="CF147" s="52"/>
      <c r="CG147" s="52"/>
      <c r="CH147" s="52"/>
      <c r="CI147" s="52"/>
      <c r="CJ147" s="52"/>
      <c r="CK147" s="52"/>
      <c r="CL147" s="52"/>
      <c r="CM147" s="52"/>
    </row>
    <row r="148" spans="1:91" x14ac:dyDescent="0.15">
      <c r="A148" s="41">
        <v>146</v>
      </c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3"/>
      <c r="AN148" s="43"/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3"/>
      <c r="BA148" s="43"/>
      <c r="BB148" s="43"/>
      <c r="BC148" s="43"/>
      <c r="BD148" s="43"/>
      <c r="BE148" s="43"/>
      <c r="BF148" s="43"/>
      <c r="BG148" s="43"/>
      <c r="BH148" s="43"/>
      <c r="BI148" s="43"/>
      <c r="BJ148" s="43"/>
      <c r="BK148" s="43"/>
      <c r="BL148" s="43"/>
      <c r="BM148" s="50"/>
      <c r="BN148" s="50"/>
      <c r="BO148" s="50"/>
      <c r="BP148" s="50"/>
      <c r="BQ148" s="50"/>
      <c r="BR148" s="50"/>
      <c r="BS148" s="50"/>
      <c r="BT148" s="50"/>
      <c r="BU148" s="50"/>
      <c r="BV148" s="50"/>
      <c r="BW148" s="50"/>
      <c r="BX148" s="50"/>
      <c r="BY148" s="50"/>
      <c r="BZ148" s="50"/>
      <c r="CA148" s="50"/>
      <c r="CB148" s="50"/>
      <c r="CC148" s="50"/>
      <c r="CD148" s="50"/>
      <c r="CE148" s="52"/>
      <c r="CF148" s="52"/>
      <c r="CG148" s="52"/>
      <c r="CH148" s="52"/>
      <c r="CI148" s="52"/>
      <c r="CJ148" s="52"/>
      <c r="CK148" s="52"/>
      <c r="CL148" s="52"/>
      <c r="CM148" s="52"/>
    </row>
    <row r="149" spans="1:91" x14ac:dyDescent="0.15">
      <c r="A149" s="41">
        <v>147</v>
      </c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3"/>
      <c r="AN149" s="43"/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3"/>
      <c r="BA149" s="43"/>
      <c r="BB149" s="43"/>
      <c r="BC149" s="43"/>
      <c r="BD149" s="43"/>
      <c r="BE149" s="43"/>
      <c r="BF149" s="43"/>
      <c r="BG149" s="43"/>
      <c r="BH149" s="43"/>
      <c r="BI149" s="43"/>
      <c r="BJ149" s="43"/>
      <c r="BK149" s="43"/>
      <c r="BL149" s="43"/>
      <c r="BM149" s="50"/>
      <c r="BN149" s="50"/>
      <c r="BO149" s="50"/>
      <c r="BP149" s="50"/>
      <c r="BQ149" s="50"/>
      <c r="BR149" s="50"/>
      <c r="BS149" s="50"/>
      <c r="BT149" s="50"/>
      <c r="BU149" s="50"/>
      <c r="BV149" s="50"/>
      <c r="BW149" s="50"/>
      <c r="BX149" s="50"/>
      <c r="BY149" s="50"/>
      <c r="BZ149" s="50"/>
      <c r="CA149" s="50"/>
      <c r="CB149" s="50"/>
      <c r="CC149" s="50"/>
      <c r="CD149" s="50"/>
      <c r="CE149" s="52"/>
      <c r="CF149" s="52"/>
      <c r="CG149" s="52"/>
      <c r="CH149" s="52"/>
      <c r="CI149" s="52"/>
      <c r="CJ149" s="52"/>
      <c r="CK149" s="52"/>
      <c r="CL149" s="52"/>
      <c r="CM149" s="52"/>
    </row>
    <row r="150" spans="1:91" x14ac:dyDescent="0.15">
      <c r="A150" s="41">
        <v>148</v>
      </c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  <c r="AF150" s="43"/>
      <c r="AG150" s="43"/>
      <c r="AH150" s="43"/>
      <c r="AI150" s="43"/>
      <c r="AJ150" s="43"/>
      <c r="AK150" s="43"/>
      <c r="AL150" s="43"/>
      <c r="AM150" s="43"/>
      <c r="AN150" s="43"/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3"/>
      <c r="BA150" s="43"/>
      <c r="BB150" s="43"/>
      <c r="BC150" s="43"/>
      <c r="BD150" s="43"/>
      <c r="BE150" s="43"/>
      <c r="BF150" s="43"/>
      <c r="BG150" s="43"/>
      <c r="BH150" s="43"/>
      <c r="BI150" s="43"/>
      <c r="BJ150" s="43"/>
      <c r="BK150" s="43"/>
      <c r="BL150" s="43"/>
      <c r="BM150" s="50"/>
      <c r="BN150" s="50"/>
      <c r="BO150" s="50"/>
      <c r="BP150" s="50"/>
      <c r="BQ150" s="50"/>
      <c r="BR150" s="50"/>
      <c r="BS150" s="50"/>
      <c r="BT150" s="50"/>
      <c r="BU150" s="50"/>
      <c r="BV150" s="50"/>
      <c r="BW150" s="50"/>
      <c r="BX150" s="50"/>
      <c r="BY150" s="50"/>
      <c r="BZ150" s="50"/>
      <c r="CA150" s="50"/>
      <c r="CB150" s="50"/>
      <c r="CC150" s="50"/>
      <c r="CD150" s="50"/>
      <c r="CE150" s="52"/>
      <c r="CF150" s="52"/>
      <c r="CG150" s="52"/>
      <c r="CH150" s="52"/>
      <c r="CI150" s="52"/>
      <c r="CJ150" s="52"/>
      <c r="CK150" s="52"/>
      <c r="CL150" s="52"/>
      <c r="CM150" s="52"/>
    </row>
    <row r="151" spans="1:91" x14ac:dyDescent="0.15">
      <c r="A151" s="41">
        <v>149</v>
      </c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  <c r="AF151" s="43"/>
      <c r="AG151" s="43"/>
      <c r="AH151" s="43"/>
      <c r="AI151" s="43"/>
      <c r="AJ151" s="43"/>
      <c r="AK151" s="43"/>
      <c r="AL151" s="43"/>
      <c r="AM151" s="43"/>
      <c r="AN151" s="43"/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3"/>
      <c r="BA151" s="43"/>
      <c r="BB151" s="43"/>
      <c r="BC151" s="43"/>
      <c r="BD151" s="43"/>
      <c r="BE151" s="43"/>
      <c r="BF151" s="43"/>
      <c r="BG151" s="43"/>
      <c r="BH151" s="43"/>
      <c r="BI151" s="43"/>
      <c r="BJ151" s="43"/>
      <c r="BK151" s="43"/>
      <c r="BL151" s="43"/>
      <c r="BM151" s="50"/>
      <c r="BN151" s="50"/>
      <c r="BO151" s="50"/>
      <c r="BP151" s="50"/>
      <c r="BQ151" s="50"/>
      <c r="BR151" s="50"/>
      <c r="BS151" s="50"/>
      <c r="BT151" s="50"/>
      <c r="BU151" s="50"/>
      <c r="BV151" s="50"/>
      <c r="BW151" s="50"/>
      <c r="BX151" s="50"/>
      <c r="BY151" s="50"/>
      <c r="BZ151" s="50"/>
      <c r="CA151" s="50"/>
      <c r="CB151" s="50"/>
      <c r="CC151" s="50"/>
      <c r="CD151" s="50"/>
      <c r="CE151" s="52"/>
      <c r="CF151" s="52"/>
      <c r="CG151" s="52"/>
      <c r="CH151" s="52"/>
      <c r="CI151" s="52"/>
      <c r="CJ151" s="52"/>
      <c r="CK151" s="52"/>
      <c r="CL151" s="52"/>
      <c r="CM151" s="52"/>
    </row>
    <row r="152" spans="1:91" x14ac:dyDescent="0.15">
      <c r="A152" s="41">
        <v>150</v>
      </c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  <c r="AF152" s="43"/>
      <c r="AG152" s="43"/>
      <c r="AH152" s="43"/>
      <c r="AI152" s="43"/>
      <c r="AJ152" s="43"/>
      <c r="AK152" s="43"/>
      <c r="AL152" s="43"/>
      <c r="AM152" s="43"/>
      <c r="AN152" s="43"/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3"/>
      <c r="BA152" s="43"/>
      <c r="BB152" s="43"/>
      <c r="BC152" s="43"/>
      <c r="BD152" s="43"/>
      <c r="BE152" s="43"/>
      <c r="BF152" s="43"/>
      <c r="BG152" s="43"/>
      <c r="BH152" s="43"/>
      <c r="BI152" s="43"/>
      <c r="BJ152" s="43"/>
      <c r="BK152" s="43"/>
      <c r="BL152" s="43"/>
      <c r="BM152" s="50"/>
      <c r="BN152" s="50"/>
      <c r="BO152" s="50"/>
      <c r="BP152" s="50"/>
      <c r="BQ152" s="50"/>
      <c r="BR152" s="50"/>
      <c r="BS152" s="50"/>
      <c r="BT152" s="50"/>
      <c r="BU152" s="50"/>
      <c r="BV152" s="50"/>
      <c r="BW152" s="50"/>
      <c r="BX152" s="50"/>
      <c r="BY152" s="50"/>
      <c r="BZ152" s="50"/>
      <c r="CA152" s="50"/>
      <c r="CB152" s="50"/>
      <c r="CC152" s="50"/>
      <c r="CD152" s="50"/>
      <c r="CE152" s="52"/>
      <c r="CF152" s="52"/>
      <c r="CG152" s="52"/>
      <c r="CH152" s="52"/>
      <c r="CI152" s="52"/>
      <c r="CJ152" s="52"/>
      <c r="CK152" s="52"/>
      <c r="CL152" s="52"/>
      <c r="CM152" s="52"/>
    </row>
    <row r="153" spans="1:91" x14ac:dyDescent="0.15">
      <c r="A153" s="41">
        <v>151</v>
      </c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3"/>
      <c r="AN153" s="43"/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3"/>
      <c r="BA153" s="43"/>
      <c r="BB153" s="43"/>
      <c r="BC153" s="43"/>
      <c r="BD153" s="43"/>
      <c r="BE153" s="43"/>
      <c r="BF153" s="43"/>
      <c r="BG153" s="43"/>
      <c r="BH153" s="43"/>
      <c r="BI153" s="43"/>
      <c r="BJ153" s="43"/>
      <c r="BK153" s="43"/>
      <c r="BL153" s="43"/>
      <c r="BM153" s="50"/>
      <c r="BN153" s="50"/>
      <c r="BO153" s="50"/>
      <c r="BP153" s="50"/>
      <c r="BQ153" s="50"/>
      <c r="BR153" s="50"/>
      <c r="BS153" s="50"/>
      <c r="BT153" s="50"/>
      <c r="BU153" s="50"/>
      <c r="BV153" s="50"/>
      <c r="BW153" s="50"/>
      <c r="BX153" s="50"/>
      <c r="BY153" s="50"/>
      <c r="BZ153" s="50"/>
      <c r="CA153" s="50"/>
      <c r="CB153" s="50"/>
      <c r="CC153" s="50"/>
      <c r="CD153" s="50"/>
      <c r="CE153" s="52"/>
      <c r="CF153" s="52"/>
      <c r="CG153" s="52"/>
      <c r="CH153" s="52"/>
      <c r="CI153" s="52"/>
      <c r="CJ153" s="52"/>
      <c r="CK153" s="52"/>
      <c r="CL153" s="52"/>
      <c r="CM153" s="52"/>
    </row>
    <row r="154" spans="1:91" x14ac:dyDescent="0.15">
      <c r="A154" s="41">
        <v>152</v>
      </c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3"/>
      <c r="AN154" s="43"/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3"/>
      <c r="BA154" s="43"/>
      <c r="BB154" s="43"/>
      <c r="BC154" s="43"/>
      <c r="BD154" s="43"/>
      <c r="BE154" s="43"/>
      <c r="BF154" s="43"/>
      <c r="BG154" s="43"/>
      <c r="BH154" s="43"/>
      <c r="BI154" s="43"/>
      <c r="BJ154" s="43"/>
      <c r="BK154" s="43"/>
      <c r="BL154" s="43"/>
      <c r="BM154" s="50"/>
      <c r="BN154" s="50"/>
      <c r="BO154" s="50"/>
      <c r="BP154" s="50"/>
      <c r="BQ154" s="50"/>
      <c r="BR154" s="50"/>
      <c r="BS154" s="50"/>
      <c r="BT154" s="50"/>
      <c r="BU154" s="50"/>
      <c r="BV154" s="50"/>
      <c r="BW154" s="50"/>
      <c r="BX154" s="50"/>
      <c r="BY154" s="50"/>
      <c r="BZ154" s="50"/>
      <c r="CA154" s="50"/>
      <c r="CB154" s="50"/>
      <c r="CC154" s="50"/>
      <c r="CD154" s="50"/>
      <c r="CE154" s="52"/>
      <c r="CF154" s="52"/>
      <c r="CG154" s="52"/>
      <c r="CH154" s="52"/>
      <c r="CI154" s="52"/>
      <c r="CJ154" s="52"/>
      <c r="CK154" s="52"/>
      <c r="CL154" s="52"/>
      <c r="CM154" s="52"/>
    </row>
    <row r="155" spans="1:91" x14ac:dyDescent="0.15">
      <c r="A155" s="41">
        <v>153</v>
      </c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3"/>
      <c r="AN155" s="43"/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3"/>
      <c r="BA155" s="43"/>
      <c r="BB155" s="43"/>
      <c r="BC155" s="43"/>
      <c r="BD155" s="43"/>
      <c r="BE155" s="43"/>
      <c r="BF155" s="43"/>
      <c r="BG155" s="43"/>
      <c r="BH155" s="43"/>
      <c r="BI155" s="43"/>
      <c r="BJ155" s="43"/>
      <c r="BK155" s="43"/>
      <c r="BL155" s="43"/>
      <c r="BM155" s="50"/>
      <c r="BN155" s="50"/>
      <c r="BO155" s="50"/>
      <c r="BP155" s="50"/>
      <c r="BQ155" s="50"/>
      <c r="BR155" s="50"/>
      <c r="BS155" s="50"/>
      <c r="BT155" s="50"/>
      <c r="BU155" s="50"/>
      <c r="BV155" s="50"/>
      <c r="BW155" s="50"/>
      <c r="BX155" s="50"/>
      <c r="BY155" s="50"/>
      <c r="BZ155" s="50"/>
      <c r="CA155" s="50"/>
      <c r="CB155" s="50"/>
      <c r="CC155" s="50"/>
      <c r="CD155" s="50"/>
      <c r="CE155" s="52"/>
      <c r="CF155" s="52"/>
      <c r="CG155" s="52"/>
      <c r="CH155" s="52"/>
      <c r="CI155" s="52"/>
      <c r="CJ155" s="52"/>
      <c r="CK155" s="52"/>
      <c r="CL155" s="52"/>
      <c r="CM155" s="52"/>
    </row>
    <row r="156" spans="1:91" x14ac:dyDescent="0.15">
      <c r="A156" s="41">
        <v>154</v>
      </c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  <c r="AF156" s="43"/>
      <c r="AG156" s="43"/>
      <c r="AH156" s="43"/>
      <c r="AI156" s="43"/>
      <c r="AJ156" s="43"/>
      <c r="AK156" s="43"/>
      <c r="AL156" s="43"/>
      <c r="AM156" s="43"/>
      <c r="AN156" s="43"/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3"/>
      <c r="BA156" s="43"/>
      <c r="BB156" s="43"/>
      <c r="BC156" s="43"/>
      <c r="BD156" s="43"/>
      <c r="BE156" s="43"/>
      <c r="BF156" s="43"/>
      <c r="BG156" s="43"/>
      <c r="BH156" s="43"/>
      <c r="BI156" s="43"/>
      <c r="BJ156" s="43"/>
      <c r="BK156" s="43"/>
      <c r="BL156" s="43"/>
      <c r="BM156" s="50"/>
      <c r="BN156" s="50"/>
      <c r="BO156" s="50"/>
      <c r="BP156" s="50"/>
      <c r="BQ156" s="50"/>
      <c r="BR156" s="50"/>
      <c r="BS156" s="50"/>
      <c r="BT156" s="50"/>
      <c r="BU156" s="50"/>
      <c r="BV156" s="50"/>
      <c r="BW156" s="50"/>
      <c r="BX156" s="50"/>
      <c r="BY156" s="50"/>
      <c r="BZ156" s="50"/>
      <c r="CA156" s="50"/>
      <c r="CB156" s="50"/>
      <c r="CC156" s="50"/>
      <c r="CD156" s="50"/>
      <c r="CE156" s="52"/>
      <c r="CF156" s="52"/>
      <c r="CG156" s="52"/>
      <c r="CH156" s="52"/>
      <c r="CI156" s="52"/>
      <c r="CJ156" s="52"/>
      <c r="CK156" s="52"/>
      <c r="CL156" s="52"/>
      <c r="CM156" s="52"/>
    </row>
    <row r="157" spans="1:91" x14ac:dyDescent="0.15">
      <c r="A157" s="41">
        <v>155</v>
      </c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  <c r="AF157" s="43"/>
      <c r="AG157" s="43"/>
      <c r="AH157" s="43"/>
      <c r="AI157" s="43"/>
      <c r="AJ157" s="43"/>
      <c r="AK157" s="43"/>
      <c r="AL157" s="43"/>
      <c r="AM157" s="43"/>
      <c r="AN157" s="43"/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3"/>
      <c r="BA157" s="43"/>
      <c r="BB157" s="43"/>
      <c r="BC157" s="43"/>
      <c r="BD157" s="43"/>
      <c r="BE157" s="43"/>
      <c r="BF157" s="43"/>
      <c r="BG157" s="43"/>
      <c r="BH157" s="43"/>
      <c r="BI157" s="43"/>
      <c r="BJ157" s="43"/>
      <c r="BK157" s="43"/>
      <c r="BL157" s="43"/>
      <c r="BM157" s="50"/>
      <c r="BN157" s="50"/>
      <c r="BO157" s="50"/>
      <c r="BP157" s="50"/>
      <c r="BQ157" s="50"/>
      <c r="BR157" s="50"/>
      <c r="BS157" s="50"/>
      <c r="BT157" s="50"/>
      <c r="BU157" s="50"/>
      <c r="BV157" s="50"/>
      <c r="BW157" s="50"/>
      <c r="BX157" s="50"/>
      <c r="BY157" s="50"/>
      <c r="BZ157" s="50"/>
      <c r="CA157" s="50"/>
      <c r="CB157" s="50"/>
      <c r="CC157" s="50"/>
      <c r="CD157" s="50"/>
      <c r="CE157" s="52"/>
      <c r="CF157" s="52"/>
      <c r="CG157" s="52"/>
      <c r="CH157" s="52"/>
      <c r="CI157" s="52"/>
      <c r="CJ157" s="52"/>
      <c r="CK157" s="52"/>
      <c r="CL157" s="52"/>
      <c r="CM157" s="52"/>
    </row>
    <row r="158" spans="1:91" x14ac:dyDescent="0.15">
      <c r="A158" s="41">
        <v>156</v>
      </c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  <c r="AF158" s="43"/>
      <c r="AG158" s="43"/>
      <c r="AH158" s="43"/>
      <c r="AI158" s="43"/>
      <c r="AJ158" s="43"/>
      <c r="AK158" s="43"/>
      <c r="AL158" s="43"/>
      <c r="AM158" s="43"/>
      <c r="AN158" s="43"/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3"/>
      <c r="BA158" s="43"/>
      <c r="BB158" s="43"/>
      <c r="BC158" s="43"/>
      <c r="BD158" s="43"/>
      <c r="BE158" s="43"/>
      <c r="BF158" s="43"/>
      <c r="BG158" s="43"/>
      <c r="BH158" s="43"/>
      <c r="BI158" s="43"/>
      <c r="BJ158" s="43"/>
      <c r="BK158" s="43"/>
      <c r="BL158" s="43"/>
      <c r="BM158" s="50"/>
      <c r="BN158" s="50"/>
      <c r="BO158" s="50"/>
      <c r="BP158" s="50"/>
      <c r="BQ158" s="50"/>
      <c r="BR158" s="50"/>
      <c r="BS158" s="50"/>
      <c r="BT158" s="50"/>
      <c r="BU158" s="50"/>
      <c r="BV158" s="50"/>
      <c r="BW158" s="50"/>
      <c r="BX158" s="50"/>
      <c r="BY158" s="50"/>
      <c r="BZ158" s="50"/>
      <c r="CA158" s="50"/>
      <c r="CB158" s="50"/>
      <c r="CC158" s="50"/>
      <c r="CD158" s="50"/>
      <c r="CE158" s="52"/>
      <c r="CF158" s="52"/>
      <c r="CG158" s="52"/>
      <c r="CH158" s="52"/>
      <c r="CI158" s="52"/>
      <c r="CJ158" s="52"/>
      <c r="CK158" s="52"/>
      <c r="CL158" s="52"/>
      <c r="CM158" s="52"/>
    </row>
    <row r="159" spans="1:91" x14ac:dyDescent="0.15">
      <c r="A159" s="41">
        <v>157</v>
      </c>
      <c r="B159" s="45"/>
      <c r="C159" s="45"/>
      <c r="D159" s="45"/>
      <c r="E159" s="45"/>
      <c r="F159" s="45"/>
      <c r="G159" s="45"/>
      <c r="H159" s="45"/>
      <c r="I159" s="45"/>
      <c r="J159" s="45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3"/>
      <c r="AN159" s="43"/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3"/>
      <c r="BA159" s="43"/>
      <c r="BB159" s="43"/>
      <c r="BC159" s="43"/>
      <c r="BD159" s="43"/>
      <c r="BE159" s="43"/>
      <c r="BF159" s="43"/>
      <c r="BG159" s="43"/>
      <c r="BH159" s="43"/>
      <c r="BI159" s="43"/>
      <c r="BJ159" s="43"/>
      <c r="BK159" s="43"/>
      <c r="BL159" s="43"/>
      <c r="BM159" s="50"/>
      <c r="BN159" s="50"/>
      <c r="BO159" s="50"/>
      <c r="BP159" s="50"/>
      <c r="BQ159" s="50"/>
      <c r="BR159" s="50"/>
      <c r="BS159" s="50"/>
      <c r="BT159" s="50"/>
      <c r="BU159" s="50"/>
      <c r="BV159" s="50"/>
      <c r="BW159" s="50"/>
      <c r="BX159" s="50"/>
      <c r="BY159" s="50"/>
      <c r="BZ159" s="50"/>
      <c r="CA159" s="50"/>
      <c r="CB159" s="50"/>
      <c r="CC159" s="50"/>
      <c r="CD159" s="50"/>
      <c r="CE159" s="52"/>
      <c r="CF159" s="52"/>
      <c r="CG159" s="52"/>
      <c r="CH159" s="52"/>
      <c r="CI159" s="52"/>
      <c r="CJ159" s="52"/>
      <c r="CK159" s="52"/>
      <c r="CL159" s="52"/>
      <c r="CM159" s="52"/>
    </row>
    <row r="160" spans="1:91" x14ac:dyDescent="0.15">
      <c r="A160" s="41">
        <v>158</v>
      </c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3"/>
      <c r="AN160" s="43"/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3"/>
      <c r="BA160" s="43"/>
      <c r="BB160" s="43"/>
      <c r="BC160" s="43"/>
      <c r="BD160" s="43"/>
      <c r="BE160" s="43"/>
      <c r="BF160" s="43"/>
      <c r="BG160" s="43"/>
      <c r="BH160" s="43"/>
      <c r="BI160" s="43"/>
      <c r="BJ160" s="43"/>
      <c r="BK160" s="43"/>
      <c r="BL160" s="43"/>
      <c r="BM160" s="50"/>
      <c r="BN160" s="50"/>
      <c r="BO160" s="50"/>
      <c r="BP160" s="50"/>
      <c r="BQ160" s="50"/>
      <c r="BR160" s="50"/>
      <c r="BS160" s="50"/>
      <c r="BT160" s="50"/>
      <c r="BU160" s="50"/>
      <c r="BV160" s="50"/>
      <c r="BW160" s="50"/>
      <c r="BX160" s="50"/>
      <c r="BY160" s="50"/>
      <c r="BZ160" s="50"/>
      <c r="CA160" s="50"/>
      <c r="CB160" s="50"/>
      <c r="CC160" s="50"/>
      <c r="CD160" s="50"/>
      <c r="CE160" s="52"/>
      <c r="CF160" s="52"/>
      <c r="CG160" s="52"/>
      <c r="CH160" s="52"/>
      <c r="CI160" s="52"/>
      <c r="CJ160" s="52"/>
      <c r="CK160" s="52"/>
      <c r="CL160" s="52"/>
      <c r="CM160" s="52"/>
    </row>
    <row r="161" spans="1:91" x14ac:dyDescent="0.15">
      <c r="A161" s="41">
        <v>159</v>
      </c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3"/>
      <c r="AN161" s="43"/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3"/>
      <c r="BA161" s="43"/>
      <c r="BB161" s="43"/>
      <c r="BC161" s="43"/>
      <c r="BD161" s="43"/>
      <c r="BE161" s="43"/>
      <c r="BF161" s="43"/>
      <c r="BG161" s="43"/>
      <c r="BH161" s="43"/>
      <c r="BI161" s="43"/>
      <c r="BJ161" s="43"/>
      <c r="BK161" s="43"/>
      <c r="BL161" s="43"/>
      <c r="BM161" s="50"/>
      <c r="BN161" s="50"/>
      <c r="BO161" s="50"/>
      <c r="BP161" s="50"/>
      <c r="BQ161" s="50"/>
      <c r="BR161" s="50"/>
      <c r="BS161" s="50"/>
      <c r="BT161" s="50"/>
      <c r="BU161" s="50"/>
      <c r="BV161" s="50"/>
      <c r="BW161" s="50"/>
      <c r="BX161" s="50"/>
      <c r="BY161" s="50"/>
      <c r="BZ161" s="50"/>
      <c r="CA161" s="50"/>
      <c r="CB161" s="50"/>
      <c r="CC161" s="50"/>
      <c r="CD161" s="50"/>
      <c r="CE161" s="52"/>
      <c r="CF161" s="52"/>
      <c r="CG161" s="52"/>
      <c r="CH161" s="52"/>
      <c r="CI161" s="52"/>
      <c r="CJ161" s="52"/>
      <c r="CK161" s="52"/>
      <c r="CL161" s="52"/>
      <c r="CM161" s="52"/>
    </row>
    <row r="162" spans="1:91" x14ac:dyDescent="0.15">
      <c r="A162" s="41">
        <v>160</v>
      </c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  <c r="AF162" s="43"/>
      <c r="AG162" s="43"/>
      <c r="AH162" s="43"/>
      <c r="AI162" s="43"/>
      <c r="AJ162" s="43"/>
      <c r="AK162" s="43"/>
      <c r="AL162" s="43"/>
      <c r="AM162" s="43"/>
      <c r="AN162" s="43"/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3"/>
      <c r="BA162" s="43"/>
      <c r="BB162" s="43"/>
      <c r="BC162" s="43"/>
      <c r="BD162" s="43"/>
      <c r="BE162" s="43"/>
      <c r="BF162" s="43"/>
      <c r="BG162" s="43"/>
      <c r="BH162" s="43"/>
      <c r="BI162" s="43"/>
      <c r="BJ162" s="43"/>
      <c r="BK162" s="43"/>
      <c r="BL162" s="43"/>
      <c r="BM162" s="50"/>
      <c r="BN162" s="50"/>
      <c r="BO162" s="50"/>
      <c r="BP162" s="50"/>
      <c r="BQ162" s="50"/>
      <c r="BR162" s="50"/>
      <c r="BS162" s="50"/>
      <c r="BT162" s="50"/>
      <c r="BU162" s="50"/>
      <c r="BV162" s="50"/>
      <c r="BW162" s="50"/>
      <c r="BX162" s="50"/>
      <c r="BY162" s="50"/>
      <c r="BZ162" s="50"/>
      <c r="CA162" s="50"/>
      <c r="CB162" s="50"/>
      <c r="CC162" s="50"/>
      <c r="CD162" s="50"/>
      <c r="CE162" s="52"/>
      <c r="CF162" s="52"/>
      <c r="CG162" s="52"/>
      <c r="CH162" s="52"/>
      <c r="CI162" s="52"/>
      <c r="CJ162" s="52"/>
      <c r="CK162" s="52"/>
      <c r="CL162" s="52"/>
      <c r="CM162" s="52"/>
    </row>
    <row r="163" spans="1:91" x14ac:dyDescent="0.15">
      <c r="A163" s="41">
        <v>161</v>
      </c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  <c r="AF163" s="43"/>
      <c r="AG163" s="43"/>
      <c r="AH163" s="43"/>
      <c r="AI163" s="43"/>
      <c r="AJ163" s="43"/>
      <c r="AK163" s="43"/>
      <c r="AL163" s="43"/>
      <c r="AM163" s="43"/>
      <c r="AN163" s="43"/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3"/>
      <c r="BA163" s="43"/>
      <c r="BB163" s="43"/>
      <c r="BC163" s="43"/>
      <c r="BD163" s="43"/>
      <c r="BE163" s="43"/>
      <c r="BF163" s="43"/>
      <c r="BG163" s="43"/>
      <c r="BH163" s="43"/>
      <c r="BI163" s="43"/>
      <c r="BJ163" s="43"/>
      <c r="BK163" s="43"/>
      <c r="BL163" s="43"/>
      <c r="BM163" s="50"/>
      <c r="BN163" s="50"/>
      <c r="BO163" s="50"/>
      <c r="BP163" s="50"/>
      <c r="BQ163" s="50"/>
      <c r="BR163" s="50"/>
      <c r="BS163" s="50"/>
      <c r="BT163" s="50"/>
      <c r="BU163" s="50"/>
      <c r="BV163" s="50"/>
      <c r="BW163" s="50"/>
      <c r="BX163" s="50"/>
      <c r="BY163" s="50"/>
      <c r="BZ163" s="50"/>
      <c r="CA163" s="50"/>
      <c r="CB163" s="50"/>
      <c r="CC163" s="50"/>
      <c r="CD163" s="50"/>
      <c r="CE163" s="52"/>
      <c r="CF163" s="52"/>
      <c r="CG163" s="52"/>
      <c r="CH163" s="52"/>
      <c r="CI163" s="52"/>
      <c r="CJ163" s="52"/>
      <c r="CK163" s="52"/>
      <c r="CL163" s="52"/>
      <c r="CM163" s="52"/>
    </row>
    <row r="164" spans="1:91" x14ac:dyDescent="0.15">
      <c r="A164" s="41">
        <v>162</v>
      </c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  <c r="AF164" s="43"/>
      <c r="AG164" s="43"/>
      <c r="AH164" s="43"/>
      <c r="AI164" s="43"/>
      <c r="AJ164" s="43"/>
      <c r="AK164" s="43"/>
      <c r="AL164" s="43"/>
      <c r="AM164" s="43"/>
      <c r="AN164" s="43"/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3"/>
      <c r="BA164" s="43"/>
      <c r="BB164" s="43"/>
      <c r="BC164" s="43"/>
      <c r="BD164" s="43"/>
      <c r="BE164" s="43"/>
      <c r="BF164" s="43"/>
      <c r="BG164" s="43"/>
      <c r="BH164" s="43"/>
      <c r="BI164" s="43"/>
      <c r="BJ164" s="43"/>
      <c r="BK164" s="43"/>
      <c r="BL164" s="43"/>
      <c r="BM164" s="50"/>
      <c r="BN164" s="50"/>
      <c r="BO164" s="50"/>
      <c r="BP164" s="50"/>
      <c r="BQ164" s="50"/>
      <c r="BR164" s="50"/>
      <c r="BS164" s="50"/>
      <c r="BT164" s="50"/>
      <c r="BU164" s="50"/>
      <c r="BV164" s="50"/>
      <c r="BW164" s="50"/>
      <c r="BX164" s="50"/>
      <c r="BY164" s="50"/>
      <c r="BZ164" s="50"/>
      <c r="CA164" s="50"/>
      <c r="CB164" s="50"/>
      <c r="CC164" s="50"/>
      <c r="CD164" s="50"/>
      <c r="CE164" s="52"/>
      <c r="CF164" s="52"/>
      <c r="CG164" s="52"/>
      <c r="CH164" s="52"/>
      <c r="CI164" s="52"/>
      <c r="CJ164" s="52"/>
      <c r="CK164" s="52"/>
      <c r="CL164" s="52"/>
      <c r="CM164" s="52"/>
    </row>
    <row r="165" spans="1:91" x14ac:dyDescent="0.15">
      <c r="A165" s="41">
        <v>163</v>
      </c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3"/>
      <c r="AN165" s="43"/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3"/>
      <c r="BA165" s="43"/>
      <c r="BB165" s="43"/>
      <c r="BC165" s="43"/>
      <c r="BD165" s="43"/>
      <c r="BE165" s="43"/>
      <c r="BF165" s="43"/>
      <c r="BG165" s="43"/>
      <c r="BH165" s="43"/>
      <c r="BI165" s="43"/>
      <c r="BJ165" s="43"/>
      <c r="BK165" s="43"/>
      <c r="BL165" s="43"/>
      <c r="BM165" s="50"/>
      <c r="BN165" s="50"/>
      <c r="BO165" s="50"/>
      <c r="BP165" s="50"/>
      <c r="BQ165" s="50"/>
      <c r="BR165" s="50"/>
      <c r="BS165" s="50"/>
      <c r="BT165" s="50"/>
      <c r="BU165" s="50"/>
      <c r="BV165" s="50"/>
      <c r="BW165" s="50"/>
      <c r="BX165" s="50"/>
      <c r="BY165" s="50"/>
      <c r="BZ165" s="50"/>
      <c r="CA165" s="50"/>
      <c r="CB165" s="50"/>
      <c r="CC165" s="50"/>
      <c r="CD165" s="50"/>
      <c r="CE165" s="52"/>
      <c r="CF165" s="52"/>
      <c r="CG165" s="52"/>
      <c r="CH165" s="52"/>
      <c r="CI165" s="52"/>
      <c r="CJ165" s="52"/>
      <c r="CK165" s="52"/>
      <c r="CL165" s="52"/>
      <c r="CM165" s="52"/>
    </row>
    <row r="166" spans="1:91" x14ac:dyDescent="0.15">
      <c r="A166" s="41">
        <v>164</v>
      </c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3"/>
      <c r="AN166" s="43"/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3"/>
      <c r="BA166" s="43"/>
      <c r="BB166" s="43"/>
      <c r="BC166" s="43"/>
      <c r="BD166" s="43"/>
      <c r="BE166" s="43"/>
      <c r="BF166" s="43"/>
      <c r="BG166" s="43"/>
      <c r="BH166" s="43"/>
      <c r="BI166" s="43"/>
      <c r="BJ166" s="43"/>
      <c r="BK166" s="43"/>
      <c r="BL166" s="43"/>
      <c r="BM166" s="50"/>
      <c r="BN166" s="50"/>
      <c r="BO166" s="50"/>
      <c r="BP166" s="50"/>
      <c r="BQ166" s="50"/>
      <c r="BR166" s="50"/>
      <c r="BS166" s="50"/>
      <c r="BT166" s="50"/>
      <c r="BU166" s="50"/>
      <c r="BV166" s="50"/>
      <c r="BW166" s="50"/>
      <c r="BX166" s="50"/>
      <c r="BY166" s="50"/>
      <c r="BZ166" s="50"/>
      <c r="CA166" s="50"/>
      <c r="CB166" s="50"/>
      <c r="CC166" s="50"/>
      <c r="CD166" s="50"/>
      <c r="CE166" s="52"/>
      <c r="CF166" s="52"/>
      <c r="CG166" s="52"/>
      <c r="CH166" s="52"/>
      <c r="CI166" s="52"/>
      <c r="CJ166" s="52"/>
      <c r="CK166" s="52"/>
      <c r="CL166" s="52"/>
      <c r="CM166" s="52"/>
    </row>
    <row r="167" spans="1:91" x14ac:dyDescent="0.15">
      <c r="A167" s="41">
        <v>165</v>
      </c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3"/>
      <c r="AN167" s="43"/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3"/>
      <c r="BA167" s="43"/>
      <c r="BB167" s="43"/>
      <c r="BC167" s="43"/>
      <c r="BD167" s="43"/>
      <c r="BE167" s="43"/>
      <c r="BF167" s="43"/>
      <c r="BG167" s="43"/>
      <c r="BH167" s="43"/>
      <c r="BI167" s="43"/>
      <c r="BJ167" s="43"/>
      <c r="BK167" s="43"/>
      <c r="BL167" s="43"/>
      <c r="BM167" s="50"/>
      <c r="BN167" s="50"/>
      <c r="BO167" s="50"/>
      <c r="BP167" s="50"/>
      <c r="BQ167" s="50"/>
      <c r="BR167" s="50"/>
      <c r="BS167" s="50"/>
      <c r="BT167" s="50"/>
      <c r="BU167" s="50"/>
      <c r="BV167" s="50"/>
      <c r="BW167" s="50"/>
      <c r="BX167" s="50"/>
      <c r="BY167" s="50"/>
      <c r="BZ167" s="50"/>
      <c r="CA167" s="50"/>
      <c r="CB167" s="50"/>
      <c r="CC167" s="50"/>
      <c r="CD167" s="50"/>
      <c r="CE167" s="52"/>
      <c r="CF167" s="52"/>
      <c r="CG167" s="52"/>
      <c r="CH167" s="52"/>
      <c r="CI167" s="52"/>
      <c r="CJ167" s="52"/>
      <c r="CK167" s="52"/>
      <c r="CL167" s="52"/>
      <c r="CM167" s="52"/>
    </row>
    <row r="168" spans="1:91" x14ac:dyDescent="0.15">
      <c r="A168" s="41">
        <v>166</v>
      </c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  <c r="AF168" s="43"/>
      <c r="AG168" s="43"/>
      <c r="AH168" s="43"/>
      <c r="AI168" s="43"/>
      <c r="AJ168" s="43"/>
      <c r="AK168" s="43"/>
      <c r="AL168" s="43"/>
      <c r="AM168" s="43"/>
      <c r="AN168" s="43"/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3"/>
      <c r="BA168" s="43"/>
      <c r="BB168" s="43"/>
      <c r="BC168" s="43"/>
      <c r="BD168" s="43"/>
      <c r="BE168" s="43"/>
      <c r="BF168" s="43"/>
      <c r="BG168" s="43"/>
      <c r="BH168" s="43"/>
      <c r="BI168" s="43"/>
      <c r="BJ168" s="43"/>
      <c r="BK168" s="43"/>
      <c r="BL168" s="43"/>
      <c r="BM168" s="50"/>
      <c r="BN168" s="50"/>
      <c r="BO168" s="50"/>
      <c r="BP168" s="50"/>
      <c r="BQ168" s="50"/>
      <c r="BR168" s="50"/>
      <c r="BS168" s="50"/>
      <c r="BT168" s="50"/>
      <c r="BU168" s="50"/>
      <c r="BV168" s="50"/>
      <c r="BW168" s="50"/>
      <c r="BX168" s="50"/>
      <c r="BY168" s="50"/>
      <c r="BZ168" s="50"/>
      <c r="CA168" s="50"/>
      <c r="CB168" s="50"/>
      <c r="CC168" s="50"/>
      <c r="CD168" s="50"/>
      <c r="CE168" s="52"/>
      <c r="CF168" s="52"/>
      <c r="CG168" s="52"/>
      <c r="CH168" s="52"/>
      <c r="CI168" s="52"/>
      <c r="CJ168" s="52"/>
      <c r="CK168" s="52"/>
      <c r="CL168" s="52"/>
      <c r="CM168" s="52"/>
    </row>
    <row r="169" spans="1:91" x14ac:dyDescent="0.15">
      <c r="A169" s="41">
        <v>167</v>
      </c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  <c r="AF169" s="43"/>
      <c r="AG169" s="43"/>
      <c r="AH169" s="43"/>
      <c r="AI169" s="43"/>
      <c r="AJ169" s="43"/>
      <c r="AK169" s="43"/>
      <c r="AL169" s="43"/>
      <c r="AM169" s="43"/>
      <c r="AN169" s="43"/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3"/>
      <c r="BA169" s="43"/>
      <c r="BB169" s="43"/>
      <c r="BC169" s="43"/>
      <c r="BD169" s="43"/>
      <c r="BE169" s="43"/>
      <c r="BF169" s="43"/>
      <c r="BG169" s="43"/>
      <c r="BH169" s="43"/>
      <c r="BI169" s="43"/>
      <c r="BJ169" s="43"/>
      <c r="BK169" s="43"/>
      <c r="BL169" s="43"/>
      <c r="BM169" s="50"/>
      <c r="BN169" s="50"/>
      <c r="BO169" s="50"/>
      <c r="BP169" s="50"/>
      <c r="BQ169" s="50"/>
      <c r="BR169" s="50"/>
      <c r="BS169" s="50"/>
      <c r="BT169" s="50"/>
      <c r="BU169" s="50"/>
      <c r="BV169" s="50"/>
      <c r="BW169" s="50"/>
      <c r="BX169" s="50"/>
      <c r="BY169" s="50"/>
      <c r="BZ169" s="50"/>
      <c r="CA169" s="50"/>
      <c r="CB169" s="50"/>
      <c r="CC169" s="50"/>
      <c r="CD169" s="50"/>
      <c r="CE169" s="52"/>
      <c r="CF169" s="52"/>
      <c r="CG169" s="52"/>
      <c r="CH169" s="52"/>
      <c r="CI169" s="52"/>
      <c r="CJ169" s="52"/>
      <c r="CK169" s="52"/>
      <c r="CL169" s="52"/>
      <c r="CM169" s="52"/>
    </row>
    <row r="170" spans="1:91" x14ac:dyDescent="0.15">
      <c r="A170" s="41">
        <v>168</v>
      </c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  <c r="AF170" s="43"/>
      <c r="AG170" s="43"/>
      <c r="AH170" s="43"/>
      <c r="AI170" s="43"/>
      <c r="AJ170" s="43"/>
      <c r="AK170" s="43"/>
      <c r="AL170" s="43"/>
      <c r="AM170" s="43"/>
      <c r="AN170" s="43"/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3"/>
      <c r="BA170" s="43"/>
      <c r="BB170" s="43"/>
      <c r="BC170" s="43"/>
      <c r="BD170" s="43"/>
      <c r="BE170" s="43"/>
      <c r="BF170" s="43"/>
      <c r="BG170" s="43"/>
      <c r="BH170" s="43"/>
      <c r="BI170" s="43"/>
      <c r="BJ170" s="43"/>
      <c r="BK170" s="43"/>
      <c r="BL170" s="43"/>
      <c r="BM170" s="50"/>
      <c r="BN170" s="50"/>
      <c r="BO170" s="50"/>
      <c r="BP170" s="50"/>
      <c r="BQ170" s="50"/>
      <c r="BR170" s="50"/>
      <c r="BS170" s="50"/>
      <c r="BT170" s="50"/>
      <c r="BU170" s="50"/>
      <c r="BV170" s="50"/>
      <c r="BW170" s="50"/>
      <c r="BX170" s="50"/>
      <c r="BY170" s="50"/>
      <c r="BZ170" s="50"/>
      <c r="CA170" s="50"/>
      <c r="CB170" s="50"/>
      <c r="CC170" s="50"/>
      <c r="CD170" s="50"/>
      <c r="CE170" s="52"/>
      <c r="CF170" s="52"/>
      <c r="CG170" s="52"/>
      <c r="CH170" s="52"/>
      <c r="CI170" s="52"/>
      <c r="CJ170" s="52"/>
      <c r="CK170" s="52"/>
      <c r="CL170" s="52"/>
      <c r="CM170" s="52"/>
    </row>
    <row r="171" spans="1:91" x14ac:dyDescent="0.15">
      <c r="A171" s="41">
        <v>169</v>
      </c>
      <c r="B171" s="45"/>
      <c r="C171" s="45"/>
      <c r="D171" s="45"/>
      <c r="E171" s="45"/>
      <c r="F171" s="45"/>
      <c r="G171" s="45"/>
      <c r="H171" s="45"/>
      <c r="I171" s="45"/>
      <c r="J171" s="45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3"/>
      <c r="AN171" s="43"/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3"/>
      <c r="BA171" s="43"/>
      <c r="BB171" s="43"/>
      <c r="BC171" s="43"/>
      <c r="BD171" s="43"/>
      <c r="BE171" s="43"/>
      <c r="BF171" s="43"/>
      <c r="BG171" s="43"/>
      <c r="BH171" s="43"/>
      <c r="BI171" s="43"/>
      <c r="BJ171" s="43"/>
      <c r="BK171" s="43"/>
      <c r="BL171" s="43"/>
      <c r="BM171" s="50"/>
      <c r="BN171" s="50"/>
      <c r="BO171" s="50"/>
      <c r="BP171" s="50"/>
      <c r="BQ171" s="50"/>
      <c r="BR171" s="50"/>
      <c r="BS171" s="50"/>
      <c r="BT171" s="50"/>
      <c r="BU171" s="50"/>
      <c r="BV171" s="50"/>
      <c r="BW171" s="50"/>
      <c r="BX171" s="50"/>
      <c r="BY171" s="50"/>
      <c r="BZ171" s="50"/>
      <c r="CA171" s="50"/>
      <c r="CB171" s="50"/>
      <c r="CC171" s="50"/>
      <c r="CD171" s="50"/>
      <c r="CE171" s="52"/>
      <c r="CF171" s="52"/>
      <c r="CG171" s="52"/>
      <c r="CH171" s="52"/>
      <c r="CI171" s="52"/>
      <c r="CJ171" s="52"/>
      <c r="CK171" s="52"/>
      <c r="CL171" s="52"/>
      <c r="CM171" s="52"/>
    </row>
    <row r="172" spans="1:91" x14ac:dyDescent="0.15">
      <c r="A172" s="41">
        <v>170</v>
      </c>
      <c r="B172" s="43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3"/>
      <c r="AN172" s="43"/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3"/>
      <c r="BA172" s="43"/>
      <c r="BB172" s="43"/>
      <c r="BC172" s="43"/>
      <c r="BD172" s="43"/>
      <c r="BE172" s="43"/>
      <c r="BF172" s="43"/>
      <c r="BG172" s="43"/>
      <c r="BH172" s="43"/>
      <c r="BI172" s="43"/>
      <c r="BJ172" s="43"/>
      <c r="BK172" s="43"/>
      <c r="BL172" s="43"/>
      <c r="BM172" s="50"/>
      <c r="BN172" s="50"/>
      <c r="BO172" s="50"/>
      <c r="BP172" s="50"/>
      <c r="BQ172" s="50"/>
      <c r="BR172" s="50"/>
      <c r="BS172" s="50"/>
      <c r="BT172" s="50"/>
      <c r="BU172" s="50"/>
      <c r="BV172" s="50"/>
      <c r="BW172" s="50"/>
      <c r="BX172" s="50"/>
      <c r="BY172" s="50"/>
      <c r="BZ172" s="50"/>
      <c r="CA172" s="50"/>
      <c r="CB172" s="50"/>
      <c r="CC172" s="50"/>
      <c r="CD172" s="50"/>
      <c r="CE172" s="52"/>
      <c r="CF172" s="52"/>
      <c r="CG172" s="52"/>
      <c r="CH172" s="52"/>
      <c r="CI172" s="52"/>
      <c r="CJ172" s="52"/>
      <c r="CK172" s="52"/>
      <c r="CL172" s="52"/>
      <c r="CM172" s="52"/>
    </row>
    <row r="173" spans="1:91" x14ac:dyDescent="0.15">
      <c r="A173" s="41">
        <v>171</v>
      </c>
      <c r="B173" s="43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3"/>
      <c r="AN173" s="43"/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3"/>
      <c r="BA173" s="43"/>
      <c r="BB173" s="43"/>
      <c r="BC173" s="43"/>
      <c r="BD173" s="43"/>
      <c r="BE173" s="43"/>
      <c r="BF173" s="43"/>
      <c r="BG173" s="43"/>
      <c r="BH173" s="43"/>
      <c r="BI173" s="43"/>
      <c r="BJ173" s="43"/>
      <c r="BK173" s="43"/>
      <c r="BL173" s="43"/>
      <c r="BM173" s="50"/>
      <c r="BN173" s="50"/>
      <c r="BO173" s="50"/>
      <c r="BP173" s="50"/>
      <c r="BQ173" s="50"/>
      <c r="BR173" s="50"/>
      <c r="BS173" s="50"/>
      <c r="BT173" s="50"/>
      <c r="BU173" s="50"/>
      <c r="BV173" s="50"/>
      <c r="BW173" s="50"/>
      <c r="BX173" s="50"/>
      <c r="BY173" s="50"/>
      <c r="BZ173" s="50"/>
      <c r="CA173" s="50"/>
      <c r="CB173" s="50"/>
      <c r="CC173" s="50"/>
      <c r="CD173" s="50"/>
      <c r="CE173" s="52"/>
      <c r="CF173" s="52"/>
      <c r="CG173" s="52"/>
      <c r="CH173" s="52"/>
      <c r="CI173" s="52"/>
      <c r="CJ173" s="52"/>
      <c r="CK173" s="52"/>
      <c r="CL173" s="52"/>
      <c r="CM173" s="52"/>
    </row>
    <row r="174" spans="1:91" x14ac:dyDescent="0.15">
      <c r="A174" s="41">
        <v>172</v>
      </c>
      <c r="B174" s="43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  <c r="AA174" s="43"/>
      <c r="AB174" s="43"/>
      <c r="AC174" s="43"/>
      <c r="AD174" s="43"/>
      <c r="AE174" s="43"/>
      <c r="AF174" s="43"/>
      <c r="AG174" s="43"/>
      <c r="AH174" s="43"/>
      <c r="AI174" s="43"/>
      <c r="AJ174" s="43"/>
      <c r="AK174" s="43"/>
      <c r="AL174" s="43"/>
      <c r="AM174" s="43"/>
      <c r="AN174" s="43"/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3"/>
      <c r="BA174" s="43"/>
      <c r="BB174" s="43"/>
      <c r="BC174" s="43"/>
      <c r="BD174" s="43"/>
      <c r="BE174" s="43"/>
      <c r="BF174" s="43"/>
      <c r="BG174" s="43"/>
      <c r="BH174" s="43"/>
      <c r="BI174" s="43"/>
      <c r="BJ174" s="43"/>
      <c r="BK174" s="43"/>
      <c r="BL174" s="43"/>
      <c r="BM174" s="50"/>
      <c r="BN174" s="50"/>
      <c r="BO174" s="50"/>
      <c r="BP174" s="50"/>
      <c r="BQ174" s="50"/>
      <c r="BR174" s="50"/>
      <c r="BS174" s="50"/>
      <c r="BT174" s="50"/>
      <c r="BU174" s="50"/>
      <c r="BV174" s="50"/>
      <c r="BW174" s="50"/>
      <c r="BX174" s="50"/>
      <c r="BY174" s="50"/>
      <c r="BZ174" s="50"/>
      <c r="CA174" s="50"/>
      <c r="CB174" s="50"/>
      <c r="CC174" s="50"/>
      <c r="CD174" s="50"/>
      <c r="CE174" s="52"/>
      <c r="CF174" s="52"/>
      <c r="CG174" s="52"/>
      <c r="CH174" s="52"/>
      <c r="CI174" s="52"/>
      <c r="CJ174" s="52"/>
      <c r="CK174" s="52"/>
      <c r="CL174" s="52"/>
      <c r="CM174" s="52"/>
    </row>
    <row r="175" spans="1:91" x14ac:dyDescent="0.15">
      <c r="A175" s="41">
        <v>173</v>
      </c>
      <c r="B175" s="43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  <c r="AA175" s="43"/>
      <c r="AB175" s="43"/>
      <c r="AC175" s="43"/>
      <c r="AD175" s="43"/>
      <c r="AE175" s="43"/>
      <c r="AF175" s="43"/>
      <c r="AG175" s="43"/>
      <c r="AH175" s="43"/>
      <c r="AI175" s="43"/>
      <c r="AJ175" s="43"/>
      <c r="AK175" s="43"/>
      <c r="AL175" s="43"/>
      <c r="AM175" s="43"/>
      <c r="AN175" s="43"/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3"/>
      <c r="BA175" s="43"/>
      <c r="BB175" s="43"/>
      <c r="BC175" s="43"/>
      <c r="BD175" s="43"/>
      <c r="BE175" s="43"/>
      <c r="BF175" s="43"/>
      <c r="BG175" s="43"/>
      <c r="BH175" s="43"/>
      <c r="BI175" s="43"/>
      <c r="BJ175" s="43"/>
      <c r="BK175" s="43"/>
      <c r="BL175" s="43"/>
      <c r="BM175" s="50"/>
      <c r="BN175" s="50"/>
      <c r="BO175" s="50"/>
      <c r="BP175" s="50"/>
      <c r="BQ175" s="50"/>
      <c r="BR175" s="50"/>
      <c r="BS175" s="50"/>
      <c r="BT175" s="50"/>
      <c r="BU175" s="50"/>
      <c r="BV175" s="50"/>
      <c r="BW175" s="50"/>
      <c r="BX175" s="50"/>
      <c r="BY175" s="50"/>
      <c r="BZ175" s="50"/>
      <c r="CA175" s="50"/>
      <c r="CB175" s="50"/>
      <c r="CC175" s="50"/>
      <c r="CD175" s="50"/>
      <c r="CE175" s="52"/>
      <c r="CF175" s="52"/>
      <c r="CG175" s="52"/>
      <c r="CH175" s="52"/>
      <c r="CI175" s="52"/>
      <c r="CJ175" s="52"/>
      <c r="CK175" s="52"/>
      <c r="CL175" s="52"/>
      <c r="CM175" s="52"/>
    </row>
    <row r="176" spans="1:91" x14ac:dyDescent="0.15">
      <c r="A176" s="41">
        <v>174</v>
      </c>
      <c r="B176" s="43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  <c r="AA176" s="43"/>
      <c r="AB176" s="43"/>
      <c r="AC176" s="43"/>
      <c r="AD176" s="43"/>
      <c r="AE176" s="43"/>
      <c r="AF176" s="43"/>
      <c r="AG176" s="43"/>
      <c r="AH176" s="43"/>
      <c r="AI176" s="43"/>
      <c r="AJ176" s="43"/>
      <c r="AK176" s="43"/>
      <c r="AL176" s="43"/>
      <c r="AM176" s="43"/>
      <c r="AN176" s="43"/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3"/>
      <c r="BA176" s="43"/>
      <c r="BB176" s="43"/>
      <c r="BC176" s="43"/>
      <c r="BD176" s="43"/>
      <c r="BE176" s="43"/>
      <c r="BF176" s="43"/>
      <c r="BG176" s="43"/>
      <c r="BH176" s="43"/>
      <c r="BI176" s="43"/>
      <c r="BJ176" s="43"/>
      <c r="BK176" s="43"/>
      <c r="BL176" s="43"/>
      <c r="BM176" s="50"/>
      <c r="BN176" s="50"/>
      <c r="BO176" s="50"/>
      <c r="BP176" s="50"/>
      <c r="BQ176" s="50"/>
      <c r="BR176" s="50"/>
      <c r="BS176" s="50"/>
      <c r="BT176" s="50"/>
      <c r="BU176" s="50"/>
      <c r="BV176" s="50"/>
      <c r="BW176" s="50"/>
      <c r="BX176" s="50"/>
      <c r="BY176" s="50"/>
      <c r="BZ176" s="50"/>
      <c r="CA176" s="50"/>
      <c r="CB176" s="50"/>
      <c r="CC176" s="50"/>
      <c r="CD176" s="50"/>
      <c r="CE176" s="52"/>
      <c r="CF176" s="52"/>
      <c r="CG176" s="52"/>
      <c r="CH176" s="52"/>
      <c r="CI176" s="52"/>
      <c r="CJ176" s="52"/>
      <c r="CK176" s="52"/>
      <c r="CL176" s="52"/>
      <c r="CM176" s="52"/>
    </row>
    <row r="177" spans="1:91" x14ac:dyDescent="0.15">
      <c r="A177" s="41">
        <v>175</v>
      </c>
      <c r="B177" s="43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3"/>
      <c r="AN177" s="43"/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3"/>
      <c r="BA177" s="43"/>
      <c r="BB177" s="43"/>
      <c r="BC177" s="43"/>
      <c r="BD177" s="43"/>
      <c r="BE177" s="43"/>
      <c r="BF177" s="43"/>
      <c r="BG177" s="43"/>
      <c r="BH177" s="43"/>
      <c r="BI177" s="43"/>
      <c r="BJ177" s="43"/>
      <c r="BK177" s="43"/>
      <c r="BL177" s="43"/>
      <c r="BM177" s="50"/>
      <c r="BN177" s="50"/>
      <c r="BO177" s="50"/>
      <c r="BP177" s="50"/>
      <c r="BQ177" s="50"/>
      <c r="BR177" s="50"/>
      <c r="BS177" s="50"/>
      <c r="BT177" s="50"/>
      <c r="BU177" s="50"/>
      <c r="BV177" s="50"/>
      <c r="BW177" s="50"/>
      <c r="BX177" s="50"/>
      <c r="BY177" s="50"/>
      <c r="BZ177" s="50"/>
      <c r="CA177" s="50"/>
      <c r="CB177" s="50"/>
      <c r="CC177" s="50"/>
      <c r="CD177" s="50"/>
      <c r="CE177" s="52"/>
      <c r="CF177" s="52"/>
      <c r="CG177" s="52"/>
      <c r="CH177" s="52"/>
      <c r="CI177" s="52"/>
      <c r="CJ177" s="52"/>
      <c r="CK177" s="52"/>
      <c r="CL177" s="52"/>
      <c r="CM177" s="52"/>
    </row>
    <row r="178" spans="1:91" x14ac:dyDescent="0.15">
      <c r="A178" s="41">
        <v>176</v>
      </c>
      <c r="B178" s="43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3"/>
      <c r="AN178" s="43"/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3"/>
      <c r="BA178" s="43"/>
      <c r="BB178" s="43"/>
      <c r="BC178" s="43"/>
      <c r="BD178" s="43"/>
      <c r="BE178" s="43"/>
      <c r="BF178" s="43"/>
      <c r="BG178" s="43"/>
      <c r="BH178" s="43"/>
      <c r="BI178" s="43"/>
      <c r="BJ178" s="43"/>
      <c r="BK178" s="43"/>
      <c r="BL178" s="43"/>
      <c r="BM178" s="50"/>
      <c r="BN178" s="50"/>
      <c r="BO178" s="50"/>
      <c r="BP178" s="50"/>
      <c r="BQ178" s="50"/>
      <c r="BR178" s="50"/>
      <c r="BS178" s="50"/>
      <c r="BT178" s="50"/>
      <c r="BU178" s="50"/>
      <c r="BV178" s="50"/>
      <c r="BW178" s="50"/>
      <c r="BX178" s="50"/>
      <c r="BY178" s="50"/>
      <c r="BZ178" s="50"/>
      <c r="CA178" s="50"/>
      <c r="CB178" s="50"/>
      <c r="CC178" s="50"/>
      <c r="CD178" s="50"/>
      <c r="CE178" s="52"/>
      <c r="CF178" s="52"/>
      <c r="CG178" s="52"/>
      <c r="CH178" s="52"/>
      <c r="CI178" s="52"/>
      <c r="CJ178" s="52"/>
      <c r="CK178" s="52"/>
      <c r="CL178" s="52"/>
      <c r="CM178" s="52"/>
    </row>
    <row r="179" spans="1:91" x14ac:dyDescent="0.15">
      <c r="A179" s="41">
        <v>177</v>
      </c>
      <c r="B179" s="43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3"/>
      <c r="AN179" s="43"/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3"/>
      <c r="BA179" s="43"/>
      <c r="BB179" s="43"/>
      <c r="BC179" s="43"/>
      <c r="BD179" s="43"/>
      <c r="BE179" s="43"/>
      <c r="BF179" s="43"/>
      <c r="BG179" s="43"/>
      <c r="BH179" s="43"/>
      <c r="BI179" s="43"/>
      <c r="BJ179" s="43"/>
      <c r="BK179" s="43"/>
      <c r="BL179" s="43"/>
      <c r="BM179" s="50"/>
      <c r="BN179" s="50"/>
      <c r="BO179" s="50"/>
      <c r="BP179" s="50"/>
      <c r="BQ179" s="50"/>
      <c r="BR179" s="50"/>
      <c r="BS179" s="50"/>
      <c r="BT179" s="50"/>
      <c r="BU179" s="50"/>
      <c r="BV179" s="50"/>
      <c r="BW179" s="50"/>
      <c r="BX179" s="50"/>
      <c r="BY179" s="50"/>
      <c r="BZ179" s="50"/>
      <c r="CA179" s="50"/>
      <c r="CB179" s="50"/>
      <c r="CC179" s="50"/>
      <c r="CD179" s="50"/>
      <c r="CE179" s="52"/>
      <c r="CF179" s="52"/>
      <c r="CG179" s="52"/>
      <c r="CH179" s="52"/>
      <c r="CI179" s="52"/>
      <c r="CJ179" s="52"/>
      <c r="CK179" s="52"/>
      <c r="CL179" s="52"/>
      <c r="CM179" s="52"/>
    </row>
    <row r="180" spans="1:91" x14ac:dyDescent="0.15">
      <c r="A180" s="41">
        <v>178</v>
      </c>
      <c r="B180" s="43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  <c r="AA180" s="43"/>
      <c r="AB180" s="43"/>
      <c r="AC180" s="43"/>
      <c r="AD180" s="43"/>
      <c r="AE180" s="43"/>
      <c r="AF180" s="43"/>
      <c r="AG180" s="43"/>
      <c r="AH180" s="43"/>
      <c r="AI180" s="43"/>
      <c r="AJ180" s="43"/>
      <c r="AK180" s="43"/>
      <c r="AL180" s="43"/>
      <c r="AM180" s="43"/>
      <c r="AN180" s="43"/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3"/>
      <c r="BA180" s="43"/>
      <c r="BB180" s="43"/>
      <c r="BC180" s="43"/>
      <c r="BD180" s="43"/>
      <c r="BE180" s="43"/>
      <c r="BF180" s="43"/>
      <c r="BG180" s="43"/>
      <c r="BH180" s="43"/>
      <c r="BI180" s="43"/>
      <c r="BJ180" s="43"/>
      <c r="BK180" s="43"/>
      <c r="BL180" s="43"/>
      <c r="BM180" s="50"/>
      <c r="BN180" s="50"/>
      <c r="BO180" s="50"/>
      <c r="BP180" s="50"/>
      <c r="BQ180" s="50"/>
      <c r="BR180" s="50"/>
      <c r="BS180" s="50"/>
      <c r="BT180" s="50"/>
      <c r="BU180" s="50"/>
      <c r="BV180" s="50"/>
      <c r="BW180" s="50"/>
      <c r="BX180" s="50"/>
      <c r="BY180" s="50"/>
      <c r="BZ180" s="50"/>
      <c r="CA180" s="50"/>
      <c r="CB180" s="50"/>
      <c r="CC180" s="50"/>
      <c r="CD180" s="50"/>
      <c r="CE180" s="52"/>
      <c r="CF180" s="52"/>
      <c r="CG180" s="52"/>
      <c r="CH180" s="52"/>
      <c r="CI180" s="52"/>
      <c r="CJ180" s="52"/>
      <c r="CK180" s="52"/>
      <c r="CL180" s="52"/>
      <c r="CM180" s="52"/>
    </row>
    <row r="181" spans="1:91" x14ac:dyDescent="0.15">
      <c r="A181" s="41">
        <v>179</v>
      </c>
      <c r="B181" s="43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50"/>
      <c r="BN181" s="50"/>
      <c r="BO181" s="50"/>
      <c r="BP181" s="50"/>
      <c r="BQ181" s="50"/>
      <c r="BR181" s="50"/>
      <c r="BS181" s="50"/>
      <c r="BT181" s="50"/>
      <c r="BU181" s="50"/>
      <c r="BV181" s="50"/>
      <c r="BW181" s="50"/>
      <c r="BX181" s="50"/>
      <c r="BY181" s="50"/>
      <c r="BZ181" s="50"/>
      <c r="CA181" s="50"/>
      <c r="CB181" s="50"/>
      <c r="CC181" s="50"/>
      <c r="CD181" s="50"/>
      <c r="CE181" s="52"/>
      <c r="CF181" s="52"/>
      <c r="CG181" s="52"/>
      <c r="CH181" s="52"/>
      <c r="CI181" s="52"/>
      <c r="CJ181" s="52"/>
      <c r="CK181" s="52"/>
      <c r="CL181" s="52"/>
      <c r="CM181" s="52"/>
    </row>
    <row r="182" spans="1:91" x14ac:dyDescent="0.15">
      <c r="A182" s="41">
        <v>180</v>
      </c>
      <c r="B182" s="43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  <c r="AA182" s="43"/>
      <c r="AB182" s="43"/>
      <c r="AC182" s="43"/>
      <c r="AD182" s="43"/>
      <c r="AE182" s="43"/>
      <c r="AF182" s="43"/>
      <c r="AG182" s="43"/>
      <c r="AH182" s="43"/>
      <c r="AI182" s="43"/>
      <c r="AJ182" s="43"/>
      <c r="AK182" s="43"/>
      <c r="AL182" s="43"/>
      <c r="AM182" s="43"/>
      <c r="AN182" s="43"/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3"/>
      <c r="BA182" s="43"/>
      <c r="BB182" s="43"/>
      <c r="BC182" s="43"/>
      <c r="BD182" s="43"/>
      <c r="BE182" s="43"/>
      <c r="BF182" s="43"/>
      <c r="BG182" s="43"/>
      <c r="BH182" s="43"/>
      <c r="BI182" s="43"/>
      <c r="BJ182" s="43"/>
      <c r="BK182" s="43"/>
      <c r="BL182" s="43"/>
      <c r="BM182" s="53"/>
      <c r="BN182" s="50"/>
      <c r="BO182" s="50"/>
      <c r="BP182" s="50"/>
      <c r="BQ182" s="50"/>
      <c r="BR182" s="50"/>
      <c r="BS182" s="50"/>
      <c r="BT182" s="50"/>
      <c r="BU182" s="50"/>
      <c r="BV182" s="50"/>
      <c r="BW182" s="50"/>
      <c r="BX182" s="50"/>
      <c r="BY182" s="50"/>
      <c r="BZ182" s="50"/>
      <c r="CA182" s="50"/>
      <c r="CB182" s="50"/>
      <c r="CC182" s="50"/>
      <c r="CD182" s="50"/>
      <c r="CE182" s="52"/>
      <c r="CF182" s="52"/>
      <c r="CG182" s="52"/>
      <c r="CH182" s="52"/>
      <c r="CI182" s="52"/>
      <c r="CJ182" s="52"/>
      <c r="CK182" s="52"/>
      <c r="CL182" s="52"/>
      <c r="CM182" s="52"/>
    </row>
    <row r="183" spans="1:91" x14ac:dyDescent="0.15">
      <c r="K183" s="61"/>
      <c r="BV183" s="61"/>
    </row>
    <row r="188" spans="1:91" x14ac:dyDescent="0.15">
      <c r="B188" s="147" t="s">
        <v>167</v>
      </c>
      <c r="C188" s="147"/>
      <c r="D188" s="147"/>
      <c r="E188" s="147"/>
      <c r="F188" s="147"/>
      <c r="G188" s="147"/>
      <c r="H188" s="147"/>
      <c r="I188" s="147"/>
      <c r="J188" s="147"/>
      <c r="K188" s="147" t="s">
        <v>176</v>
      </c>
      <c r="L188" s="147"/>
      <c r="M188" s="147"/>
      <c r="N188" s="147"/>
      <c r="O188" s="147"/>
      <c r="P188" s="147"/>
      <c r="Q188" s="147"/>
      <c r="R188" s="147"/>
      <c r="S188" s="147"/>
      <c r="T188" s="147" t="s">
        <v>185</v>
      </c>
      <c r="U188" s="147"/>
      <c r="V188" s="147"/>
      <c r="W188" s="147"/>
      <c r="X188" s="147"/>
      <c r="Y188" s="147"/>
      <c r="Z188" s="147"/>
      <c r="AA188" s="147"/>
      <c r="AB188" s="147"/>
    </row>
    <row r="189" spans="1:91" x14ac:dyDescent="0.15">
      <c r="B189" s="40">
        <v>1</v>
      </c>
      <c r="C189" s="40">
        <v>2</v>
      </c>
      <c r="D189" s="40">
        <v>3</v>
      </c>
      <c r="E189" s="40">
        <v>4</v>
      </c>
      <c r="F189" s="40">
        <v>5</v>
      </c>
      <c r="G189" s="40">
        <v>6</v>
      </c>
      <c r="H189" s="40">
        <v>7</v>
      </c>
      <c r="I189" s="40">
        <v>8</v>
      </c>
      <c r="J189" s="40">
        <v>9</v>
      </c>
      <c r="K189" s="40">
        <v>1</v>
      </c>
      <c r="L189" s="40">
        <v>2</v>
      </c>
      <c r="M189" s="40">
        <v>3</v>
      </c>
      <c r="N189" s="40">
        <v>4</v>
      </c>
      <c r="O189" s="40">
        <v>5</v>
      </c>
      <c r="P189" s="40">
        <v>6</v>
      </c>
      <c r="Q189" s="40">
        <v>7</v>
      </c>
      <c r="R189" s="40">
        <v>8</v>
      </c>
      <c r="S189" s="40">
        <v>9</v>
      </c>
      <c r="T189" s="40">
        <v>1</v>
      </c>
      <c r="U189" s="40">
        <v>2</v>
      </c>
      <c r="V189" s="40">
        <v>3</v>
      </c>
      <c r="W189" s="40">
        <v>4</v>
      </c>
      <c r="X189" s="40">
        <v>5</v>
      </c>
      <c r="Y189" s="40">
        <v>6</v>
      </c>
      <c r="Z189" s="40">
        <v>7</v>
      </c>
      <c r="AA189" s="40">
        <v>8</v>
      </c>
      <c r="AB189" s="40">
        <v>9</v>
      </c>
    </row>
    <row r="190" spans="1:91" x14ac:dyDescent="0.15">
      <c r="B190" s="42">
        <v>1</v>
      </c>
      <c r="C190" s="42">
        <v>1</v>
      </c>
      <c r="D190" s="42">
        <v>1</v>
      </c>
      <c r="E190" s="42">
        <v>1</v>
      </c>
      <c r="F190" s="42">
        <v>1</v>
      </c>
      <c r="G190" s="42">
        <v>1</v>
      </c>
      <c r="H190" s="42">
        <v>1</v>
      </c>
      <c r="I190" s="42">
        <v>1</v>
      </c>
      <c r="J190" s="42">
        <v>1</v>
      </c>
      <c r="K190" s="42">
        <v>1</v>
      </c>
      <c r="L190" s="42">
        <v>2</v>
      </c>
      <c r="M190" s="42">
        <v>1</v>
      </c>
      <c r="N190" s="42">
        <v>2</v>
      </c>
      <c r="O190" s="42">
        <v>1</v>
      </c>
      <c r="P190" s="42">
        <v>3</v>
      </c>
      <c r="Q190" s="42">
        <v>1</v>
      </c>
      <c r="R190" s="42">
        <v>2</v>
      </c>
      <c r="S190" s="42">
        <v>1</v>
      </c>
      <c r="T190" s="42">
        <f t="shared" ref="T190:AB190" si="1">T191*rhomax/1000</f>
        <v>36</v>
      </c>
      <c r="U190" s="42">
        <f t="shared" si="1"/>
        <v>72</v>
      </c>
      <c r="V190" s="42">
        <f t="shared" si="1"/>
        <v>36</v>
      </c>
      <c r="W190" s="42">
        <f t="shared" si="1"/>
        <v>108</v>
      </c>
      <c r="X190" s="42">
        <f t="shared" si="1"/>
        <v>45</v>
      </c>
      <c r="Y190" s="42">
        <f t="shared" si="1"/>
        <v>72</v>
      </c>
      <c r="Z190" s="42">
        <f t="shared" si="1"/>
        <v>72</v>
      </c>
      <c r="AA190" s="42">
        <f t="shared" si="1"/>
        <v>36</v>
      </c>
      <c r="AB190" s="42">
        <f t="shared" si="1"/>
        <v>36</v>
      </c>
    </row>
    <row r="191" spans="1:91" x14ac:dyDescent="0.15">
      <c r="T191" s="47">
        <v>200</v>
      </c>
      <c r="U191" s="47">
        <v>400</v>
      </c>
      <c r="V191" s="47">
        <v>200</v>
      </c>
      <c r="W191" s="47">
        <v>600</v>
      </c>
      <c r="X191" s="47">
        <v>250</v>
      </c>
      <c r="Y191" s="47">
        <v>400</v>
      </c>
      <c r="Z191" s="47">
        <v>400</v>
      </c>
      <c r="AA191" s="47">
        <v>200</v>
      </c>
      <c r="AB191" s="47">
        <v>200</v>
      </c>
    </row>
    <row r="192" spans="1:91" x14ac:dyDescent="0.15">
      <c r="B192" s="147" t="s">
        <v>231</v>
      </c>
      <c r="C192" s="147"/>
      <c r="D192" s="147"/>
      <c r="E192" s="147"/>
      <c r="F192" s="147"/>
      <c r="G192" s="147"/>
      <c r="H192" s="147"/>
      <c r="I192" s="147"/>
      <c r="J192" s="147"/>
      <c r="K192" s="147" t="s">
        <v>275</v>
      </c>
      <c r="L192" s="147"/>
      <c r="M192" s="147"/>
      <c r="N192" s="147"/>
      <c r="O192" s="147"/>
      <c r="P192" s="147"/>
      <c r="Q192" s="147"/>
      <c r="R192" s="147"/>
      <c r="S192" s="147"/>
    </row>
    <row r="193" spans="2:19" x14ac:dyDescent="0.15"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</v>
      </c>
      <c r="L193" s="40">
        <v>2</v>
      </c>
      <c r="M193" s="40">
        <v>3</v>
      </c>
      <c r="N193" s="40">
        <v>4</v>
      </c>
      <c r="O193" s="40">
        <v>5</v>
      </c>
      <c r="P193" s="40">
        <v>6</v>
      </c>
      <c r="Q193" s="40">
        <v>7</v>
      </c>
      <c r="R193" s="40">
        <v>8</v>
      </c>
      <c r="S193" s="40">
        <v>9</v>
      </c>
    </row>
    <row r="194" spans="2:19" x14ac:dyDescent="0.15">
      <c r="B194" s="66">
        <v>0</v>
      </c>
      <c r="C194" s="66">
        <v>0</v>
      </c>
      <c r="D194" s="66">
        <v>0</v>
      </c>
      <c r="E194" s="66">
        <v>0</v>
      </c>
      <c r="F194" s="66">
        <v>0</v>
      </c>
      <c r="G194" s="66">
        <v>0</v>
      </c>
      <c r="H194" s="66">
        <v>0</v>
      </c>
      <c r="I194" s="66">
        <v>0</v>
      </c>
      <c r="J194" s="66">
        <v>0</v>
      </c>
      <c r="K194" s="42">
        <f>K195*K190</f>
        <v>2000</v>
      </c>
      <c r="L194" s="42">
        <f t="shared" ref="L194:S194" si="2">L195*L190</f>
        <v>4000</v>
      </c>
      <c r="M194" s="42">
        <f t="shared" si="2"/>
        <v>2000</v>
      </c>
      <c r="N194" s="42">
        <f t="shared" si="2"/>
        <v>4000</v>
      </c>
      <c r="O194" s="42">
        <f t="shared" si="2"/>
        <v>2000</v>
      </c>
      <c r="P194" s="42">
        <f t="shared" si="2"/>
        <v>6000</v>
      </c>
      <c r="Q194" s="42">
        <f t="shared" si="2"/>
        <v>2000</v>
      </c>
      <c r="R194" s="42">
        <f t="shared" si="2"/>
        <v>4000</v>
      </c>
      <c r="S194" s="42">
        <f t="shared" si="2"/>
        <v>2000</v>
      </c>
    </row>
    <row r="195" spans="2:19" x14ac:dyDescent="0.15">
      <c r="K195" s="47">
        <v>2000</v>
      </c>
      <c r="L195" s="47">
        <v>2000</v>
      </c>
      <c r="M195" s="47">
        <v>2000</v>
      </c>
      <c r="N195" s="47">
        <v>2000</v>
      </c>
      <c r="O195" s="47">
        <v>2000</v>
      </c>
      <c r="P195" s="47">
        <v>2000</v>
      </c>
      <c r="Q195" s="47">
        <v>2000</v>
      </c>
      <c r="R195" s="47">
        <v>2000</v>
      </c>
      <c r="S195" s="47">
        <v>2000</v>
      </c>
    </row>
    <row r="197" spans="2:19" x14ac:dyDescent="0.15">
      <c r="B197" s="47" t="s">
        <v>279</v>
      </c>
      <c r="C197" s="47">
        <v>1</v>
      </c>
      <c r="D197" s="47">
        <v>2</v>
      </c>
      <c r="E197" s="47">
        <v>3</v>
      </c>
      <c r="F197" s="47">
        <v>4</v>
      </c>
      <c r="G197" s="47">
        <v>5</v>
      </c>
      <c r="H197" s="47">
        <v>6</v>
      </c>
      <c r="I197" s="47">
        <v>7</v>
      </c>
      <c r="J197" s="47">
        <v>8</v>
      </c>
      <c r="K197" s="47">
        <v>9</v>
      </c>
      <c r="L197" s="47">
        <v>10</v>
      </c>
      <c r="M197" s="47">
        <v>11</v>
      </c>
      <c r="N197" s="47">
        <v>12</v>
      </c>
      <c r="O197" s="47">
        <v>13</v>
      </c>
    </row>
    <row r="198" spans="2:19" x14ac:dyDescent="0.15">
      <c r="B198" s="47" t="s">
        <v>280</v>
      </c>
      <c r="C198" s="108">
        <v>0</v>
      </c>
      <c r="D198" s="108">
        <f>queue1*rhomax/1000</f>
        <v>0</v>
      </c>
      <c r="E198" s="108">
        <v>0</v>
      </c>
      <c r="F198" s="108">
        <f>queue2*rhomax/1000</f>
        <v>0</v>
      </c>
      <c r="G198" s="108">
        <f>queue3*rhomax/1000</f>
        <v>0</v>
      </c>
      <c r="H198" s="108">
        <f>queue4*rhomax/1000</f>
        <v>0</v>
      </c>
      <c r="I198" s="108">
        <f>queue5*rhomax/1000</f>
        <v>0</v>
      </c>
      <c r="J198" s="108">
        <f>queue6*rhomax/1000</f>
        <v>0</v>
      </c>
      <c r="K198" s="108">
        <f>queue7*rhomax/1000</f>
        <v>0</v>
      </c>
      <c r="L198" s="108">
        <f>queue8*rhomax/1000</f>
        <v>0</v>
      </c>
      <c r="M198" s="108">
        <v>0</v>
      </c>
      <c r="N198" s="108">
        <f>queue9*rhomax/1000</f>
        <v>0</v>
      </c>
      <c r="O198" s="108">
        <v>0</v>
      </c>
    </row>
    <row r="199" spans="2:19" x14ac:dyDescent="0.15">
      <c r="B199" s="47" t="s">
        <v>413</v>
      </c>
      <c r="C199" s="108">
        <v>0</v>
      </c>
      <c r="D199" s="108">
        <f>T190</f>
        <v>36</v>
      </c>
      <c r="E199" s="108">
        <v>0</v>
      </c>
      <c r="F199" s="108">
        <f t="shared" ref="F199:L199" si="3">U190</f>
        <v>72</v>
      </c>
      <c r="G199" s="108">
        <f t="shared" si="3"/>
        <v>36</v>
      </c>
      <c r="H199" s="108">
        <f t="shared" si="3"/>
        <v>108</v>
      </c>
      <c r="I199" s="108">
        <f t="shared" si="3"/>
        <v>45</v>
      </c>
      <c r="J199" s="108">
        <f t="shared" si="3"/>
        <v>72</v>
      </c>
      <c r="K199" s="108">
        <f t="shared" si="3"/>
        <v>72</v>
      </c>
      <c r="L199" s="108">
        <f t="shared" si="3"/>
        <v>36</v>
      </c>
      <c r="M199" s="108">
        <v>0</v>
      </c>
      <c r="N199" s="108">
        <f>AB190</f>
        <v>36</v>
      </c>
      <c r="O199" s="108">
        <v>0</v>
      </c>
    </row>
    <row r="200" spans="2:19" x14ac:dyDescent="0.15">
      <c r="B200" s="47" t="s">
        <v>419</v>
      </c>
      <c r="C200" s="109">
        <v>0</v>
      </c>
      <c r="D200" s="109">
        <v>0</v>
      </c>
      <c r="E200" s="109">
        <v>0</v>
      </c>
      <c r="F200" s="109">
        <v>0</v>
      </c>
      <c r="G200" s="109">
        <v>0</v>
      </c>
      <c r="H200" s="109">
        <v>0</v>
      </c>
      <c r="I200" s="109">
        <v>0</v>
      </c>
      <c r="J200" s="109">
        <v>0</v>
      </c>
      <c r="K200" s="109">
        <v>0</v>
      </c>
      <c r="L200" s="109">
        <v>0</v>
      </c>
      <c r="M200" s="109">
        <v>0</v>
      </c>
      <c r="N200" s="109">
        <v>0</v>
      </c>
      <c r="O200" s="109">
        <v>0</v>
      </c>
    </row>
    <row r="202" spans="2:19" x14ac:dyDescent="0.15">
      <c r="B202" s="47" t="s">
        <v>422</v>
      </c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  <c r="N202" s="109"/>
      <c r="O202" s="109"/>
    </row>
    <row r="204" spans="2:19" x14ac:dyDescent="0.15">
      <c r="B204" s="47" t="s">
        <v>475</v>
      </c>
      <c r="C204" s="118">
        <v>0</v>
      </c>
      <c r="D204" s="118">
        <v>0</v>
      </c>
      <c r="E204" s="118">
        <v>0</v>
      </c>
      <c r="F204" s="118">
        <v>0</v>
      </c>
      <c r="G204" s="118">
        <v>0</v>
      </c>
      <c r="H204" s="118">
        <v>0</v>
      </c>
      <c r="I204" s="118">
        <v>0</v>
      </c>
      <c r="J204" s="118">
        <v>0</v>
      </c>
      <c r="K204" s="118">
        <v>0</v>
      </c>
    </row>
    <row r="205" spans="2:19" x14ac:dyDescent="0.15">
      <c r="B205" s="47" t="s">
        <v>476</v>
      </c>
      <c r="C205" s="47">
        <f t="shared" ref="C205:K205" si="4">(C204/sample_interval)*3600</f>
        <v>0</v>
      </c>
      <c r="D205" s="47">
        <f t="shared" si="4"/>
        <v>0</v>
      </c>
      <c r="E205" s="47">
        <f t="shared" si="4"/>
        <v>0</v>
      </c>
      <c r="F205" s="47">
        <f t="shared" si="4"/>
        <v>0</v>
      </c>
      <c r="G205" s="47">
        <f t="shared" si="4"/>
        <v>0</v>
      </c>
      <c r="H205" s="47">
        <f t="shared" si="4"/>
        <v>0</v>
      </c>
      <c r="I205" s="47">
        <f t="shared" si="4"/>
        <v>0</v>
      </c>
      <c r="J205" s="47">
        <f t="shared" si="4"/>
        <v>0</v>
      </c>
      <c r="K205" s="47">
        <f t="shared" si="4"/>
        <v>0</v>
      </c>
    </row>
  </sheetData>
  <mergeCells count="16">
    <mergeCell ref="A1:A2"/>
    <mergeCell ref="BM1:BU1"/>
    <mergeCell ref="B1:J1"/>
    <mergeCell ref="K1:S1"/>
    <mergeCell ref="T1:AB1"/>
    <mergeCell ref="AC1:AK1"/>
    <mergeCell ref="AL1:AT1"/>
    <mergeCell ref="AU1:BC1"/>
    <mergeCell ref="B192:J192"/>
    <mergeCell ref="BV1:CD1"/>
    <mergeCell ref="CE1:CM1"/>
    <mergeCell ref="B188:J188"/>
    <mergeCell ref="K188:S188"/>
    <mergeCell ref="BD1:BL1"/>
    <mergeCell ref="T188:AB188"/>
    <mergeCell ref="K192:S192"/>
  </mergeCells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F206"/>
  <sheetViews>
    <sheetView topLeftCell="G1" zoomScale="70" zoomScaleNormal="70" workbookViewId="0">
      <selection activeCell="P197" sqref="P197"/>
    </sheetView>
  </sheetViews>
  <sheetFormatPr defaultRowHeight="14.25" x14ac:dyDescent="0.15"/>
  <cols>
    <col min="1" max="16384" width="9" style="47"/>
  </cols>
  <sheetData>
    <row r="1" spans="1:28" x14ac:dyDescent="0.15">
      <c r="A1" s="149" t="s">
        <v>164</v>
      </c>
      <c r="B1" s="154" t="s">
        <v>144</v>
      </c>
      <c r="C1" s="155"/>
      <c r="D1" s="155"/>
      <c r="E1" s="155"/>
      <c r="F1" s="155"/>
      <c r="G1" s="155"/>
      <c r="H1" s="155"/>
      <c r="I1" s="155"/>
      <c r="J1" s="155"/>
      <c r="K1" s="156"/>
      <c r="L1" s="147" t="s">
        <v>177</v>
      </c>
      <c r="M1" s="147"/>
      <c r="N1" s="147"/>
      <c r="O1" s="147"/>
      <c r="P1" s="147"/>
      <c r="Q1" s="147"/>
      <c r="R1" s="147"/>
      <c r="S1" s="147"/>
      <c r="T1" s="147"/>
      <c r="U1" s="147"/>
      <c r="V1" s="147"/>
      <c r="W1" s="147"/>
      <c r="X1" s="147"/>
      <c r="Y1" s="147"/>
      <c r="Z1" s="147"/>
      <c r="AA1" s="147"/>
      <c r="AB1" s="59"/>
    </row>
    <row r="2" spans="1:28" x14ac:dyDescent="0.15">
      <c r="A2" s="150"/>
      <c r="B2" s="40">
        <v>1</v>
      </c>
      <c r="C2" s="40">
        <v>2</v>
      </c>
      <c r="D2" s="40">
        <v>3</v>
      </c>
      <c r="E2" s="40">
        <v>4</v>
      </c>
      <c r="F2" s="40">
        <v>5</v>
      </c>
      <c r="G2" s="40">
        <v>6</v>
      </c>
      <c r="H2" s="40">
        <v>7</v>
      </c>
      <c r="I2" s="40">
        <v>8</v>
      </c>
      <c r="J2" s="40">
        <v>9</v>
      </c>
      <c r="K2" s="40">
        <v>10</v>
      </c>
      <c r="L2" s="40">
        <v>1</v>
      </c>
      <c r="M2" s="40">
        <v>2</v>
      </c>
      <c r="N2" s="40">
        <v>3</v>
      </c>
      <c r="O2" s="40">
        <v>4</v>
      </c>
      <c r="P2" s="40">
        <v>5</v>
      </c>
      <c r="Q2" s="40">
        <v>6</v>
      </c>
      <c r="R2" s="40">
        <v>7</v>
      </c>
      <c r="S2" s="40">
        <v>8</v>
      </c>
      <c r="T2" s="40">
        <v>9</v>
      </c>
      <c r="U2" s="40">
        <v>10</v>
      </c>
      <c r="V2" s="40" t="s">
        <v>206</v>
      </c>
      <c r="W2" s="40" t="s">
        <v>207</v>
      </c>
      <c r="X2" s="40" t="s">
        <v>208</v>
      </c>
      <c r="Y2" s="40" t="s">
        <v>209</v>
      </c>
      <c r="Z2" s="40" t="s">
        <v>210</v>
      </c>
      <c r="AA2" s="40" t="s">
        <v>211</v>
      </c>
      <c r="AB2" s="59"/>
    </row>
    <row r="3" spans="1:28" x14ac:dyDescent="0.15">
      <c r="A3" s="46">
        <v>1</v>
      </c>
      <c r="B3" s="67"/>
      <c r="C3" s="67"/>
      <c r="D3" s="67"/>
      <c r="E3" s="67"/>
      <c r="F3" s="67"/>
      <c r="G3" s="67"/>
      <c r="H3" s="67"/>
      <c r="I3" s="67"/>
      <c r="J3" s="67"/>
      <c r="K3" s="67"/>
      <c r="L3" s="48">
        <f>MAX((B195-B194+B196),0)/(A189*Q189)</f>
        <v>0</v>
      </c>
      <c r="M3" s="48">
        <f>MAX((C195-C194+C196),0)/(B189*R189)</f>
        <v>0</v>
      </c>
      <c r="N3" s="48">
        <f>MAX((D195-D194+D196),0)/(C189*S189)</f>
        <v>0</v>
      </c>
      <c r="O3" s="48">
        <f>MAX((E195-E194+E196),0)/(D189*T189)</f>
        <v>0</v>
      </c>
      <c r="P3" s="66"/>
      <c r="Q3" s="66"/>
      <c r="R3" s="48">
        <f t="shared" ref="R3:W3" si="0">MAX((H195-H194+H196),0)/(G189*W189)</f>
        <v>0</v>
      </c>
      <c r="S3" s="48">
        <f t="shared" si="0"/>
        <v>0</v>
      </c>
      <c r="T3" s="48">
        <f t="shared" si="0"/>
        <v>0</v>
      </c>
      <c r="U3" s="48">
        <f t="shared" si="0"/>
        <v>0</v>
      </c>
      <c r="V3" s="48">
        <f t="shared" si="0"/>
        <v>0</v>
      </c>
      <c r="W3" s="48">
        <f t="shared" si="0"/>
        <v>0</v>
      </c>
      <c r="X3" s="48">
        <f t="shared" ref="X3:AA3" si="1">MAX((N195-N194+N196),0)/(M189*AC189)</f>
        <v>0</v>
      </c>
      <c r="Y3" s="48">
        <f t="shared" si="1"/>
        <v>0</v>
      </c>
      <c r="Z3" s="48">
        <f t="shared" si="1"/>
        <v>0</v>
      </c>
      <c r="AA3" s="48">
        <f t="shared" si="1"/>
        <v>0</v>
      </c>
    </row>
    <row r="4" spans="1:28" x14ac:dyDescent="0.15">
      <c r="A4" s="46">
        <v>2</v>
      </c>
      <c r="B4" s="67"/>
      <c r="C4" s="67"/>
      <c r="D4" s="67"/>
      <c r="E4" s="67"/>
      <c r="F4" s="67"/>
      <c r="G4" s="67"/>
      <c r="H4" s="67"/>
      <c r="I4" s="67"/>
      <c r="J4" s="67"/>
      <c r="K4" s="67"/>
      <c r="L4" s="52"/>
      <c r="M4" s="52"/>
      <c r="N4" s="52"/>
      <c r="O4" s="52"/>
      <c r="P4" s="66"/>
      <c r="Q4" s="66"/>
      <c r="R4" s="52"/>
      <c r="S4" s="52"/>
      <c r="T4" s="52"/>
      <c r="U4" s="52"/>
      <c r="V4" s="52"/>
      <c r="W4" s="52"/>
      <c r="X4" s="52"/>
      <c r="Y4" s="52"/>
      <c r="Z4" s="52"/>
      <c r="AA4" s="52"/>
    </row>
    <row r="5" spans="1:28" x14ac:dyDescent="0.15">
      <c r="A5" s="46">
        <v>3</v>
      </c>
      <c r="B5" s="67"/>
      <c r="C5" s="67"/>
      <c r="D5" s="67"/>
      <c r="E5" s="67"/>
      <c r="F5" s="67"/>
      <c r="G5" s="67"/>
      <c r="H5" s="67"/>
      <c r="I5" s="67"/>
      <c r="J5" s="67"/>
      <c r="K5" s="67"/>
      <c r="L5" s="52"/>
      <c r="M5" s="52"/>
      <c r="N5" s="52"/>
      <c r="O5" s="52"/>
      <c r="P5" s="66"/>
      <c r="Q5" s="66"/>
      <c r="R5" s="52"/>
      <c r="S5" s="52"/>
      <c r="T5" s="52"/>
      <c r="U5" s="52"/>
      <c r="V5" s="52"/>
      <c r="W5" s="52"/>
      <c r="X5" s="52"/>
      <c r="Y5" s="52"/>
      <c r="Z5" s="52"/>
      <c r="AA5" s="52"/>
    </row>
    <row r="6" spans="1:28" x14ac:dyDescent="0.15">
      <c r="A6" s="46">
        <v>4</v>
      </c>
      <c r="B6" s="67"/>
      <c r="C6" s="67"/>
      <c r="D6" s="67"/>
      <c r="E6" s="67"/>
      <c r="F6" s="67"/>
      <c r="G6" s="67"/>
      <c r="H6" s="67"/>
      <c r="I6" s="67"/>
      <c r="J6" s="67"/>
      <c r="K6" s="67"/>
      <c r="L6" s="52"/>
      <c r="M6" s="52"/>
      <c r="N6" s="52"/>
      <c r="O6" s="52"/>
      <c r="P6" s="66"/>
      <c r="Q6" s="66"/>
      <c r="R6" s="52"/>
      <c r="S6" s="52"/>
      <c r="T6" s="52"/>
      <c r="U6" s="52"/>
      <c r="V6" s="52"/>
      <c r="W6" s="52"/>
      <c r="X6" s="52"/>
      <c r="Y6" s="52"/>
      <c r="Z6" s="52"/>
      <c r="AA6" s="52"/>
    </row>
    <row r="7" spans="1:28" x14ac:dyDescent="0.15">
      <c r="A7" s="46">
        <v>5</v>
      </c>
      <c r="B7" s="67"/>
      <c r="C7" s="67"/>
      <c r="D7" s="67"/>
      <c r="E7" s="67"/>
      <c r="F7" s="67"/>
      <c r="G7" s="67"/>
      <c r="H7" s="67"/>
      <c r="I7" s="67"/>
      <c r="J7" s="67"/>
      <c r="K7" s="67"/>
      <c r="L7" s="52"/>
      <c r="M7" s="52"/>
      <c r="N7" s="52"/>
      <c r="O7" s="52"/>
      <c r="P7" s="66"/>
      <c r="Q7" s="66"/>
      <c r="R7" s="52"/>
      <c r="S7" s="52"/>
      <c r="T7" s="52"/>
      <c r="U7" s="52"/>
      <c r="V7" s="52"/>
      <c r="W7" s="52"/>
      <c r="X7" s="52"/>
      <c r="Y7" s="52"/>
      <c r="Z7" s="52"/>
      <c r="AA7" s="52"/>
    </row>
    <row r="8" spans="1:28" x14ac:dyDescent="0.15">
      <c r="A8" s="46">
        <v>6</v>
      </c>
      <c r="B8" s="67"/>
      <c r="C8" s="67"/>
      <c r="D8" s="67"/>
      <c r="E8" s="67"/>
      <c r="F8" s="67"/>
      <c r="G8" s="67"/>
      <c r="H8" s="67"/>
      <c r="I8" s="67"/>
      <c r="J8" s="67"/>
      <c r="K8" s="67"/>
      <c r="L8" s="52"/>
      <c r="M8" s="52"/>
      <c r="N8" s="52"/>
      <c r="O8" s="52"/>
      <c r="P8" s="66"/>
      <c r="Q8" s="66"/>
      <c r="R8" s="52"/>
      <c r="S8" s="52"/>
      <c r="T8" s="52"/>
      <c r="U8" s="52"/>
      <c r="V8" s="52"/>
      <c r="W8" s="52"/>
      <c r="X8" s="52"/>
      <c r="Y8" s="52"/>
      <c r="Z8" s="52"/>
      <c r="AA8" s="52"/>
    </row>
    <row r="9" spans="1:28" x14ac:dyDescent="0.15">
      <c r="A9" s="46">
        <v>7</v>
      </c>
      <c r="B9" s="67"/>
      <c r="C9" s="67"/>
      <c r="D9" s="67"/>
      <c r="E9" s="67"/>
      <c r="F9" s="67"/>
      <c r="G9" s="67"/>
      <c r="H9" s="67"/>
      <c r="I9" s="67"/>
      <c r="J9" s="67"/>
      <c r="K9" s="67"/>
      <c r="L9" s="52"/>
      <c r="M9" s="52"/>
      <c r="N9" s="52"/>
      <c r="O9" s="52"/>
      <c r="P9" s="66"/>
      <c r="Q9" s="66"/>
      <c r="R9" s="52"/>
      <c r="S9" s="52"/>
      <c r="T9" s="52"/>
      <c r="U9" s="52"/>
      <c r="V9" s="52"/>
      <c r="W9" s="52"/>
      <c r="X9" s="52"/>
      <c r="Y9" s="52"/>
      <c r="Z9" s="52"/>
      <c r="AA9" s="52"/>
    </row>
    <row r="10" spans="1:28" x14ac:dyDescent="0.15">
      <c r="A10" s="46">
        <v>8</v>
      </c>
      <c r="B10" s="67"/>
      <c r="C10" s="67"/>
      <c r="D10" s="67"/>
      <c r="E10" s="67"/>
      <c r="F10" s="67"/>
      <c r="G10" s="67"/>
      <c r="H10" s="67"/>
      <c r="I10" s="67"/>
      <c r="J10" s="67"/>
      <c r="K10" s="67"/>
      <c r="L10" s="52"/>
      <c r="M10" s="52"/>
      <c r="N10" s="52"/>
      <c r="O10" s="52"/>
      <c r="P10" s="66"/>
      <c r="Q10" s="66"/>
      <c r="R10" s="52"/>
      <c r="S10" s="52"/>
      <c r="T10" s="52"/>
      <c r="U10" s="52"/>
      <c r="V10" s="52"/>
      <c r="W10" s="52"/>
      <c r="X10" s="52"/>
      <c r="Y10" s="52"/>
      <c r="Z10" s="52"/>
      <c r="AA10" s="52"/>
    </row>
    <row r="11" spans="1:28" x14ac:dyDescent="0.15">
      <c r="A11" s="46">
        <v>9</v>
      </c>
      <c r="B11" s="67"/>
      <c r="C11" s="67"/>
      <c r="D11" s="67"/>
      <c r="E11" s="67"/>
      <c r="F11" s="67"/>
      <c r="G11" s="67"/>
      <c r="H11" s="67"/>
      <c r="I11" s="67"/>
      <c r="J11" s="67"/>
      <c r="K11" s="67"/>
      <c r="L11" s="52"/>
      <c r="M11" s="52"/>
      <c r="N11" s="52"/>
      <c r="O11" s="52"/>
      <c r="P11" s="66"/>
      <c r="Q11" s="66"/>
      <c r="R11" s="52"/>
      <c r="S11" s="52"/>
      <c r="T11" s="52"/>
      <c r="U11" s="52"/>
      <c r="V11" s="52"/>
      <c r="W11" s="52"/>
      <c r="X11" s="52"/>
      <c r="Y11" s="52"/>
      <c r="Z11" s="52"/>
      <c r="AA11" s="52"/>
    </row>
    <row r="12" spans="1:28" x14ac:dyDescent="0.15">
      <c r="A12" s="46">
        <v>10</v>
      </c>
      <c r="B12" s="67"/>
      <c r="C12" s="67"/>
      <c r="D12" s="67"/>
      <c r="E12" s="67"/>
      <c r="F12" s="67"/>
      <c r="G12" s="67"/>
      <c r="H12" s="67"/>
      <c r="I12" s="67"/>
      <c r="J12" s="67"/>
      <c r="K12" s="67"/>
      <c r="L12" s="52"/>
      <c r="M12" s="52"/>
      <c r="N12" s="52"/>
      <c r="O12" s="52"/>
      <c r="P12" s="66"/>
      <c r="Q12" s="66"/>
      <c r="R12" s="52"/>
      <c r="S12" s="52"/>
      <c r="T12" s="52"/>
      <c r="U12" s="52"/>
      <c r="V12" s="52"/>
      <c r="W12" s="52"/>
      <c r="X12" s="52"/>
      <c r="Y12" s="52"/>
      <c r="Z12" s="52"/>
      <c r="AA12" s="52"/>
    </row>
    <row r="13" spans="1:28" x14ac:dyDescent="0.15">
      <c r="A13" s="46">
        <v>11</v>
      </c>
      <c r="B13" s="67"/>
      <c r="C13" s="67"/>
      <c r="D13" s="67"/>
      <c r="E13" s="67"/>
      <c r="F13" s="67"/>
      <c r="G13" s="67"/>
      <c r="H13" s="67"/>
      <c r="I13" s="67"/>
      <c r="J13" s="67"/>
      <c r="K13" s="67"/>
      <c r="L13" s="52"/>
      <c r="M13" s="52"/>
      <c r="N13" s="52"/>
      <c r="O13" s="52"/>
      <c r="P13" s="66"/>
      <c r="Q13" s="66"/>
      <c r="R13" s="52"/>
      <c r="S13" s="52"/>
      <c r="T13" s="52"/>
      <c r="U13" s="52"/>
      <c r="V13" s="52"/>
      <c r="W13" s="52"/>
      <c r="X13" s="52"/>
      <c r="Y13" s="52"/>
      <c r="Z13" s="52"/>
      <c r="AA13" s="52"/>
    </row>
    <row r="14" spans="1:28" x14ac:dyDescent="0.15">
      <c r="A14" s="46">
        <v>12</v>
      </c>
      <c r="B14" s="67"/>
      <c r="C14" s="67"/>
      <c r="D14" s="67"/>
      <c r="E14" s="67"/>
      <c r="F14" s="67"/>
      <c r="G14" s="67"/>
      <c r="H14" s="67"/>
      <c r="I14" s="67"/>
      <c r="J14" s="67"/>
      <c r="K14" s="67"/>
      <c r="L14" s="52"/>
      <c r="M14" s="52"/>
      <c r="N14" s="52"/>
      <c r="O14" s="52"/>
      <c r="P14" s="66"/>
      <c r="Q14" s="66"/>
      <c r="R14" s="52"/>
      <c r="S14" s="52"/>
      <c r="T14" s="52"/>
      <c r="U14" s="52"/>
      <c r="V14" s="52"/>
      <c r="W14" s="52"/>
      <c r="X14" s="52"/>
      <c r="Y14" s="52"/>
      <c r="Z14" s="52"/>
      <c r="AA14" s="52"/>
    </row>
    <row r="15" spans="1:28" x14ac:dyDescent="0.15">
      <c r="A15" s="46">
        <v>13</v>
      </c>
      <c r="B15" s="67"/>
      <c r="C15" s="67"/>
      <c r="D15" s="67"/>
      <c r="E15" s="67"/>
      <c r="F15" s="67"/>
      <c r="G15" s="67"/>
      <c r="H15" s="67"/>
      <c r="I15" s="67"/>
      <c r="J15" s="67"/>
      <c r="K15" s="67"/>
      <c r="L15" s="52"/>
      <c r="M15" s="52"/>
      <c r="N15" s="52"/>
      <c r="O15" s="52"/>
      <c r="P15" s="66"/>
      <c r="Q15" s="66"/>
      <c r="R15" s="52"/>
      <c r="S15" s="52"/>
      <c r="T15" s="52"/>
      <c r="U15" s="52"/>
      <c r="V15" s="52"/>
      <c r="W15" s="52"/>
      <c r="X15" s="52"/>
      <c r="Y15" s="52"/>
      <c r="Z15" s="52"/>
      <c r="AA15" s="52"/>
    </row>
    <row r="16" spans="1:28" x14ac:dyDescent="0.15">
      <c r="A16" s="46">
        <v>14</v>
      </c>
      <c r="B16" s="67"/>
      <c r="C16" s="67"/>
      <c r="D16" s="67"/>
      <c r="E16" s="67"/>
      <c r="F16" s="67"/>
      <c r="G16" s="67"/>
      <c r="H16" s="67"/>
      <c r="I16" s="67"/>
      <c r="J16" s="67"/>
      <c r="K16" s="67"/>
      <c r="L16" s="52"/>
      <c r="M16" s="52"/>
      <c r="N16" s="52"/>
      <c r="O16" s="52"/>
      <c r="P16" s="66"/>
      <c r="Q16" s="66"/>
      <c r="R16" s="52"/>
      <c r="S16" s="52"/>
      <c r="T16" s="52"/>
      <c r="U16" s="52"/>
      <c r="V16" s="52"/>
      <c r="W16" s="52"/>
      <c r="X16" s="52"/>
      <c r="Y16" s="52"/>
      <c r="Z16" s="52"/>
      <c r="AA16" s="52"/>
    </row>
    <row r="17" spans="1:27" x14ac:dyDescent="0.15">
      <c r="A17" s="46">
        <v>15</v>
      </c>
      <c r="B17" s="67"/>
      <c r="C17" s="67"/>
      <c r="D17" s="67"/>
      <c r="E17" s="67"/>
      <c r="F17" s="67"/>
      <c r="G17" s="67"/>
      <c r="H17" s="67"/>
      <c r="I17" s="67"/>
      <c r="J17" s="67"/>
      <c r="K17" s="67"/>
      <c r="L17" s="52"/>
      <c r="M17" s="52"/>
      <c r="N17" s="52"/>
      <c r="O17" s="52"/>
      <c r="P17" s="66"/>
      <c r="Q17" s="66"/>
      <c r="R17" s="52"/>
      <c r="S17" s="52"/>
      <c r="T17" s="52"/>
      <c r="U17" s="52"/>
      <c r="V17" s="52"/>
      <c r="W17" s="52"/>
      <c r="X17" s="52"/>
      <c r="Y17" s="52"/>
      <c r="Z17" s="52"/>
      <c r="AA17" s="52"/>
    </row>
    <row r="18" spans="1:27" x14ac:dyDescent="0.15">
      <c r="A18" s="46">
        <v>16</v>
      </c>
      <c r="B18" s="67"/>
      <c r="C18" s="67"/>
      <c r="D18" s="67"/>
      <c r="E18" s="67"/>
      <c r="F18" s="67"/>
      <c r="G18" s="67"/>
      <c r="H18" s="67"/>
      <c r="I18" s="67"/>
      <c r="J18" s="67"/>
      <c r="K18" s="67"/>
      <c r="L18" s="52"/>
      <c r="M18" s="52"/>
      <c r="N18" s="52"/>
      <c r="O18" s="52"/>
      <c r="P18" s="66"/>
      <c r="Q18" s="66"/>
      <c r="R18" s="52"/>
      <c r="S18" s="52"/>
      <c r="T18" s="52"/>
      <c r="U18" s="52"/>
      <c r="V18" s="52"/>
      <c r="W18" s="52"/>
      <c r="X18" s="52"/>
      <c r="Y18" s="52"/>
      <c r="Z18" s="52"/>
      <c r="AA18" s="52"/>
    </row>
    <row r="19" spans="1:27" x14ac:dyDescent="0.15">
      <c r="A19" s="46">
        <v>17</v>
      </c>
      <c r="B19" s="67"/>
      <c r="C19" s="67"/>
      <c r="D19" s="67"/>
      <c r="E19" s="67"/>
      <c r="F19" s="67"/>
      <c r="G19" s="67"/>
      <c r="H19" s="67"/>
      <c r="I19" s="67"/>
      <c r="J19" s="67"/>
      <c r="K19" s="67"/>
      <c r="L19" s="52"/>
      <c r="M19" s="52"/>
      <c r="N19" s="52"/>
      <c r="O19" s="52"/>
      <c r="P19" s="66"/>
      <c r="Q19" s="66"/>
      <c r="R19" s="52"/>
      <c r="S19" s="52"/>
      <c r="T19" s="52"/>
      <c r="U19" s="52"/>
      <c r="V19" s="52"/>
      <c r="W19" s="52"/>
      <c r="X19" s="52"/>
      <c r="Y19" s="52"/>
      <c r="Z19" s="52"/>
      <c r="AA19" s="52"/>
    </row>
    <row r="20" spans="1:27" x14ac:dyDescent="0.15">
      <c r="A20" s="46">
        <v>18</v>
      </c>
      <c r="B20" s="67"/>
      <c r="C20" s="67"/>
      <c r="D20" s="67"/>
      <c r="E20" s="67"/>
      <c r="F20" s="67"/>
      <c r="G20" s="67"/>
      <c r="H20" s="67"/>
      <c r="I20" s="67"/>
      <c r="J20" s="67"/>
      <c r="K20" s="67"/>
      <c r="L20" s="52"/>
      <c r="M20" s="52"/>
      <c r="N20" s="52"/>
      <c r="O20" s="52"/>
      <c r="P20" s="66"/>
      <c r="Q20" s="66"/>
      <c r="R20" s="52"/>
      <c r="S20" s="52"/>
      <c r="T20" s="52"/>
      <c r="U20" s="52"/>
      <c r="V20" s="52"/>
      <c r="W20" s="52"/>
      <c r="X20" s="52"/>
      <c r="Y20" s="52"/>
      <c r="Z20" s="52"/>
      <c r="AA20" s="52"/>
    </row>
    <row r="21" spans="1:27" x14ac:dyDescent="0.15">
      <c r="A21" s="46">
        <v>19</v>
      </c>
      <c r="B21" s="67"/>
      <c r="C21" s="67"/>
      <c r="D21" s="67"/>
      <c r="E21" s="67"/>
      <c r="F21" s="67"/>
      <c r="G21" s="67"/>
      <c r="H21" s="67"/>
      <c r="I21" s="67"/>
      <c r="J21" s="67"/>
      <c r="K21" s="67"/>
      <c r="L21" s="52"/>
      <c r="M21" s="52"/>
      <c r="N21" s="52"/>
      <c r="O21" s="52"/>
      <c r="P21" s="66"/>
      <c r="Q21" s="66"/>
      <c r="R21" s="52"/>
      <c r="S21" s="52"/>
      <c r="T21" s="52"/>
      <c r="U21" s="52"/>
      <c r="V21" s="52"/>
      <c r="W21" s="52"/>
      <c r="X21" s="52"/>
      <c r="Y21" s="52"/>
      <c r="Z21" s="52"/>
      <c r="AA21" s="52"/>
    </row>
    <row r="22" spans="1:27" x14ac:dyDescent="0.15">
      <c r="A22" s="46">
        <v>20</v>
      </c>
      <c r="B22" s="67"/>
      <c r="C22" s="67"/>
      <c r="D22" s="67"/>
      <c r="E22" s="67"/>
      <c r="F22" s="67"/>
      <c r="G22" s="67"/>
      <c r="H22" s="67"/>
      <c r="I22" s="67"/>
      <c r="J22" s="67"/>
      <c r="K22" s="67"/>
      <c r="L22" s="52"/>
      <c r="M22" s="52"/>
      <c r="N22" s="52"/>
      <c r="O22" s="52"/>
      <c r="P22" s="66"/>
      <c r="Q22" s="66"/>
      <c r="R22" s="52"/>
      <c r="S22" s="52"/>
      <c r="T22" s="52"/>
      <c r="U22" s="52"/>
      <c r="V22" s="52"/>
      <c r="W22" s="52"/>
      <c r="X22" s="52"/>
      <c r="Y22" s="52"/>
      <c r="Z22" s="52"/>
      <c r="AA22" s="52"/>
    </row>
    <row r="23" spans="1:27" x14ac:dyDescent="0.15">
      <c r="A23" s="46">
        <v>21</v>
      </c>
      <c r="B23" s="67"/>
      <c r="C23" s="67"/>
      <c r="D23" s="67"/>
      <c r="E23" s="67"/>
      <c r="F23" s="67"/>
      <c r="G23" s="67"/>
      <c r="H23" s="67"/>
      <c r="I23" s="67"/>
      <c r="J23" s="67"/>
      <c r="K23" s="67"/>
      <c r="L23" s="52"/>
      <c r="M23" s="52"/>
      <c r="N23" s="52"/>
      <c r="O23" s="52"/>
      <c r="P23" s="66"/>
      <c r="Q23" s="66"/>
      <c r="R23" s="52"/>
      <c r="S23" s="52"/>
      <c r="T23" s="52"/>
      <c r="U23" s="52"/>
      <c r="V23" s="52"/>
      <c r="W23" s="52"/>
      <c r="X23" s="52"/>
      <c r="Y23" s="52"/>
      <c r="Z23" s="52"/>
      <c r="AA23" s="52"/>
    </row>
    <row r="24" spans="1:27" x14ac:dyDescent="0.15">
      <c r="A24" s="46">
        <v>22</v>
      </c>
      <c r="B24" s="67"/>
      <c r="C24" s="67"/>
      <c r="D24" s="67"/>
      <c r="E24" s="67"/>
      <c r="F24" s="67"/>
      <c r="G24" s="67"/>
      <c r="H24" s="67"/>
      <c r="I24" s="67"/>
      <c r="J24" s="67"/>
      <c r="K24" s="67"/>
      <c r="L24" s="52"/>
      <c r="M24" s="52"/>
      <c r="N24" s="52"/>
      <c r="O24" s="52"/>
      <c r="P24" s="66"/>
      <c r="Q24" s="66"/>
      <c r="R24" s="52"/>
      <c r="S24" s="52"/>
      <c r="T24" s="52"/>
      <c r="U24" s="52"/>
      <c r="V24" s="52"/>
      <c r="W24" s="52"/>
      <c r="X24" s="52"/>
      <c r="Y24" s="52"/>
      <c r="Z24" s="52"/>
      <c r="AA24" s="52"/>
    </row>
    <row r="25" spans="1:27" x14ac:dyDescent="0.15">
      <c r="A25" s="46">
        <v>23</v>
      </c>
      <c r="B25" s="67"/>
      <c r="C25" s="67"/>
      <c r="D25" s="67"/>
      <c r="E25" s="67"/>
      <c r="F25" s="67"/>
      <c r="G25" s="67"/>
      <c r="H25" s="67"/>
      <c r="I25" s="67"/>
      <c r="J25" s="67"/>
      <c r="K25" s="67"/>
      <c r="L25" s="52"/>
      <c r="M25" s="52"/>
      <c r="N25" s="52"/>
      <c r="O25" s="52"/>
      <c r="P25" s="66"/>
      <c r="Q25" s="66"/>
      <c r="R25" s="52"/>
      <c r="S25" s="52"/>
      <c r="T25" s="52"/>
      <c r="U25" s="52"/>
      <c r="V25" s="52"/>
      <c r="W25" s="52"/>
      <c r="X25" s="52"/>
      <c r="Y25" s="52"/>
      <c r="Z25" s="52"/>
      <c r="AA25" s="52"/>
    </row>
    <row r="26" spans="1:27" x14ac:dyDescent="0.15">
      <c r="A26" s="46">
        <v>24</v>
      </c>
      <c r="B26" s="67"/>
      <c r="C26" s="67"/>
      <c r="D26" s="67"/>
      <c r="E26" s="67"/>
      <c r="F26" s="67"/>
      <c r="G26" s="67"/>
      <c r="H26" s="67"/>
      <c r="I26" s="67"/>
      <c r="J26" s="67"/>
      <c r="K26" s="67"/>
      <c r="L26" s="52"/>
      <c r="M26" s="52"/>
      <c r="N26" s="52"/>
      <c r="O26" s="52"/>
      <c r="P26" s="66"/>
      <c r="Q26" s="66"/>
      <c r="R26" s="52"/>
      <c r="S26" s="52"/>
      <c r="T26" s="52"/>
      <c r="U26" s="52"/>
      <c r="V26" s="52"/>
      <c r="W26" s="52"/>
      <c r="X26" s="52"/>
      <c r="Y26" s="52"/>
      <c r="Z26" s="52"/>
      <c r="AA26" s="52"/>
    </row>
    <row r="27" spans="1:27" x14ac:dyDescent="0.15">
      <c r="A27" s="46">
        <v>25</v>
      </c>
      <c r="B27" s="67"/>
      <c r="C27" s="67"/>
      <c r="D27" s="67"/>
      <c r="E27" s="67"/>
      <c r="F27" s="67"/>
      <c r="G27" s="67"/>
      <c r="H27" s="67"/>
      <c r="I27" s="67"/>
      <c r="J27" s="67"/>
      <c r="K27" s="67"/>
      <c r="L27" s="52"/>
      <c r="M27" s="52"/>
      <c r="N27" s="52"/>
      <c r="O27" s="52"/>
      <c r="P27" s="66"/>
      <c r="Q27" s="66"/>
      <c r="R27" s="52"/>
      <c r="S27" s="52"/>
      <c r="T27" s="52"/>
      <c r="U27" s="52"/>
      <c r="V27" s="52"/>
      <c r="W27" s="52"/>
      <c r="X27" s="52"/>
      <c r="Y27" s="52"/>
      <c r="Z27" s="52"/>
      <c r="AA27" s="52"/>
    </row>
    <row r="28" spans="1:27" x14ac:dyDescent="0.15">
      <c r="A28" s="46">
        <v>26</v>
      </c>
      <c r="B28" s="67"/>
      <c r="C28" s="67"/>
      <c r="D28" s="67"/>
      <c r="E28" s="67"/>
      <c r="F28" s="67"/>
      <c r="G28" s="67"/>
      <c r="H28" s="67"/>
      <c r="I28" s="67"/>
      <c r="J28" s="67"/>
      <c r="K28" s="67"/>
      <c r="L28" s="52"/>
      <c r="M28" s="52"/>
      <c r="N28" s="52"/>
      <c r="O28" s="52"/>
      <c r="P28" s="66"/>
      <c r="Q28" s="66"/>
      <c r="R28" s="52"/>
      <c r="S28" s="52"/>
      <c r="T28" s="52"/>
      <c r="U28" s="52"/>
      <c r="V28" s="52"/>
      <c r="W28" s="52"/>
      <c r="X28" s="52"/>
      <c r="Y28" s="52"/>
      <c r="Z28" s="52"/>
      <c r="AA28" s="52"/>
    </row>
    <row r="29" spans="1:27" x14ac:dyDescent="0.15">
      <c r="A29" s="46">
        <v>27</v>
      </c>
      <c r="B29" s="67"/>
      <c r="C29" s="67"/>
      <c r="D29" s="67"/>
      <c r="E29" s="67"/>
      <c r="F29" s="67"/>
      <c r="G29" s="67"/>
      <c r="H29" s="67"/>
      <c r="I29" s="67"/>
      <c r="J29" s="67"/>
      <c r="K29" s="67"/>
      <c r="L29" s="52"/>
      <c r="M29" s="52"/>
      <c r="N29" s="52"/>
      <c r="O29" s="52"/>
      <c r="P29" s="66"/>
      <c r="Q29" s="66"/>
      <c r="R29" s="52"/>
      <c r="S29" s="52"/>
      <c r="T29" s="52"/>
      <c r="U29" s="52"/>
      <c r="V29" s="52"/>
      <c r="W29" s="52"/>
      <c r="X29" s="52"/>
      <c r="Y29" s="52"/>
      <c r="Z29" s="52"/>
      <c r="AA29" s="52"/>
    </row>
    <row r="30" spans="1:27" x14ac:dyDescent="0.15">
      <c r="A30" s="46">
        <v>28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52"/>
      <c r="M30" s="52"/>
      <c r="N30" s="52"/>
      <c r="O30" s="52"/>
      <c r="P30" s="66"/>
      <c r="Q30" s="66"/>
      <c r="R30" s="52"/>
      <c r="S30" s="52"/>
      <c r="T30" s="52"/>
      <c r="U30" s="52"/>
      <c r="V30" s="52"/>
      <c r="W30" s="52"/>
      <c r="X30" s="52"/>
      <c r="Y30" s="52"/>
      <c r="Z30" s="52"/>
      <c r="AA30" s="52"/>
    </row>
    <row r="31" spans="1:27" x14ac:dyDescent="0.15">
      <c r="A31" s="46">
        <v>29</v>
      </c>
      <c r="B31" s="67"/>
      <c r="C31" s="67"/>
      <c r="D31" s="67"/>
      <c r="E31" s="67"/>
      <c r="F31" s="67"/>
      <c r="G31" s="67"/>
      <c r="H31" s="67"/>
      <c r="I31" s="67"/>
      <c r="J31" s="67"/>
      <c r="K31" s="67"/>
      <c r="L31" s="52"/>
      <c r="M31" s="52"/>
      <c r="N31" s="52"/>
      <c r="O31" s="52"/>
      <c r="P31" s="66"/>
      <c r="Q31" s="66"/>
      <c r="R31" s="52"/>
      <c r="S31" s="52"/>
      <c r="T31" s="52"/>
      <c r="U31" s="52"/>
      <c r="V31" s="52"/>
      <c r="W31" s="52"/>
      <c r="X31" s="52"/>
      <c r="Y31" s="52"/>
      <c r="Z31" s="52"/>
      <c r="AA31" s="52"/>
    </row>
    <row r="32" spans="1:27" x14ac:dyDescent="0.15">
      <c r="A32" s="46">
        <v>30</v>
      </c>
      <c r="B32" s="67"/>
      <c r="C32" s="67"/>
      <c r="D32" s="67"/>
      <c r="E32" s="67"/>
      <c r="F32" s="67"/>
      <c r="G32" s="67"/>
      <c r="H32" s="67"/>
      <c r="I32" s="67"/>
      <c r="J32" s="67"/>
      <c r="K32" s="67"/>
      <c r="L32" s="52"/>
      <c r="M32" s="52"/>
      <c r="N32" s="52"/>
      <c r="O32" s="52"/>
      <c r="P32" s="66"/>
      <c r="Q32" s="66"/>
      <c r="R32" s="52"/>
      <c r="S32" s="52"/>
      <c r="T32" s="52"/>
      <c r="U32" s="52"/>
      <c r="V32" s="52"/>
      <c r="W32" s="52"/>
      <c r="X32" s="52"/>
      <c r="Y32" s="52"/>
      <c r="Z32" s="52"/>
      <c r="AA32" s="52"/>
    </row>
    <row r="33" spans="1:27" x14ac:dyDescent="0.15">
      <c r="A33" s="46">
        <v>31</v>
      </c>
      <c r="B33" s="67"/>
      <c r="C33" s="67"/>
      <c r="D33" s="67"/>
      <c r="E33" s="67"/>
      <c r="F33" s="67"/>
      <c r="G33" s="67"/>
      <c r="H33" s="67"/>
      <c r="I33" s="67"/>
      <c r="J33" s="67"/>
      <c r="K33" s="67"/>
      <c r="L33" s="52"/>
      <c r="M33" s="52"/>
      <c r="N33" s="52"/>
      <c r="O33" s="52"/>
      <c r="P33" s="66"/>
      <c r="Q33" s="66"/>
      <c r="R33" s="52"/>
      <c r="S33" s="52"/>
      <c r="T33" s="52"/>
      <c r="U33" s="52"/>
      <c r="V33" s="52"/>
      <c r="W33" s="52"/>
      <c r="X33" s="52"/>
      <c r="Y33" s="52"/>
      <c r="Z33" s="52"/>
      <c r="AA33" s="52"/>
    </row>
    <row r="34" spans="1:27" x14ac:dyDescent="0.15">
      <c r="A34" s="46">
        <v>32</v>
      </c>
      <c r="B34" s="67"/>
      <c r="C34" s="67"/>
      <c r="D34" s="67"/>
      <c r="E34" s="67"/>
      <c r="F34" s="67"/>
      <c r="G34" s="67"/>
      <c r="H34" s="67"/>
      <c r="I34" s="67"/>
      <c r="J34" s="67"/>
      <c r="K34" s="67"/>
      <c r="L34" s="52"/>
      <c r="M34" s="52"/>
      <c r="N34" s="52"/>
      <c r="O34" s="52"/>
      <c r="P34" s="66"/>
      <c r="Q34" s="66"/>
      <c r="R34" s="52"/>
      <c r="S34" s="52"/>
      <c r="T34" s="52"/>
      <c r="U34" s="52"/>
      <c r="V34" s="52"/>
      <c r="W34" s="52"/>
      <c r="X34" s="52"/>
      <c r="Y34" s="52"/>
      <c r="Z34" s="52"/>
      <c r="AA34" s="52"/>
    </row>
    <row r="35" spans="1:27" x14ac:dyDescent="0.15">
      <c r="A35" s="46">
        <v>33</v>
      </c>
      <c r="B35" s="67"/>
      <c r="C35" s="67"/>
      <c r="D35" s="67"/>
      <c r="E35" s="67"/>
      <c r="F35" s="67"/>
      <c r="G35" s="67"/>
      <c r="H35" s="67"/>
      <c r="I35" s="67"/>
      <c r="J35" s="67"/>
      <c r="K35" s="67"/>
      <c r="L35" s="52"/>
      <c r="M35" s="52"/>
      <c r="N35" s="52"/>
      <c r="O35" s="52"/>
      <c r="P35" s="66"/>
      <c r="Q35" s="66"/>
      <c r="R35" s="52"/>
      <c r="S35" s="52"/>
      <c r="T35" s="52"/>
      <c r="U35" s="52"/>
      <c r="V35" s="52"/>
      <c r="W35" s="52"/>
      <c r="X35" s="52"/>
      <c r="Y35" s="52"/>
      <c r="Z35" s="52"/>
      <c r="AA35" s="52"/>
    </row>
    <row r="36" spans="1:27" x14ac:dyDescent="0.15">
      <c r="A36" s="46">
        <v>34</v>
      </c>
      <c r="B36" s="67"/>
      <c r="C36" s="67"/>
      <c r="D36" s="67"/>
      <c r="E36" s="67"/>
      <c r="F36" s="67"/>
      <c r="G36" s="67"/>
      <c r="H36" s="67"/>
      <c r="I36" s="67"/>
      <c r="J36" s="67"/>
      <c r="K36" s="67"/>
      <c r="L36" s="52"/>
      <c r="M36" s="52"/>
      <c r="N36" s="52"/>
      <c r="O36" s="52"/>
      <c r="P36" s="66"/>
      <c r="Q36" s="66"/>
      <c r="R36" s="52"/>
      <c r="S36" s="52"/>
      <c r="T36" s="52"/>
      <c r="U36" s="52"/>
      <c r="V36" s="52"/>
      <c r="W36" s="52"/>
      <c r="X36" s="52"/>
      <c r="Y36" s="52"/>
      <c r="Z36" s="52"/>
      <c r="AA36" s="52"/>
    </row>
    <row r="37" spans="1:27" x14ac:dyDescent="0.15">
      <c r="A37" s="46">
        <v>35</v>
      </c>
      <c r="B37" s="67"/>
      <c r="C37" s="67"/>
      <c r="D37" s="67"/>
      <c r="E37" s="67"/>
      <c r="F37" s="67"/>
      <c r="G37" s="67"/>
      <c r="H37" s="67"/>
      <c r="I37" s="67"/>
      <c r="J37" s="67"/>
      <c r="K37" s="67"/>
      <c r="L37" s="52"/>
      <c r="M37" s="52"/>
      <c r="N37" s="52"/>
      <c r="O37" s="52"/>
      <c r="P37" s="66"/>
      <c r="Q37" s="66"/>
      <c r="R37" s="52"/>
      <c r="S37" s="52"/>
      <c r="T37" s="52"/>
      <c r="U37" s="52"/>
      <c r="V37" s="52"/>
      <c r="W37" s="52"/>
      <c r="X37" s="52"/>
      <c r="Y37" s="52"/>
      <c r="Z37" s="52"/>
      <c r="AA37" s="52"/>
    </row>
    <row r="38" spans="1:27" x14ac:dyDescent="0.15">
      <c r="A38" s="46">
        <v>36</v>
      </c>
      <c r="B38" s="67"/>
      <c r="C38" s="67"/>
      <c r="D38" s="67"/>
      <c r="E38" s="67"/>
      <c r="F38" s="67"/>
      <c r="G38" s="67"/>
      <c r="H38" s="67"/>
      <c r="I38" s="67"/>
      <c r="J38" s="67"/>
      <c r="K38" s="67"/>
      <c r="L38" s="52"/>
      <c r="M38" s="52"/>
      <c r="N38" s="52"/>
      <c r="O38" s="52"/>
      <c r="P38" s="66"/>
      <c r="Q38" s="66"/>
      <c r="R38" s="52"/>
      <c r="S38" s="52"/>
      <c r="T38" s="52"/>
      <c r="U38" s="52"/>
      <c r="V38" s="52"/>
      <c r="W38" s="52"/>
      <c r="X38" s="52"/>
      <c r="Y38" s="52"/>
      <c r="Z38" s="52"/>
      <c r="AA38" s="52"/>
    </row>
    <row r="39" spans="1:27" x14ac:dyDescent="0.15">
      <c r="A39" s="46">
        <v>37</v>
      </c>
      <c r="B39" s="67"/>
      <c r="C39" s="67"/>
      <c r="D39" s="67"/>
      <c r="E39" s="67"/>
      <c r="F39" s="67"/>
      <c r="G39" s="67"/>
      <c r="H39" s="67"/>
      <c r="I39" s="67"/>
      <c r="J39" s="67"/>
      <c r="K39" s="67"/>
      <c r="L39" s="52"/>
      <c r="M39" s="52"/>
      <c r="N39" s="52"/>
      <c r="O39" s="52"/>
      <c r="P39" s="66"/>
      <c r="Q39" s="66"/>
      <c r="R39" s="52"/>
      <c r="S39" s="52"/>
      <c r="T39" s="52"/>
      <c r="U39" s="52"/>
      <c r="V39" s="52"/>
      <c r="W39" s="52"/>
      <c r="X39" s="52"/>
      <c r="Y39" s="52"/>
      <c r="Z39" s="52"/>
      <c r="AA39" s="52"/>
    </row>
    <row r="40" spans="1:27" x14ac:dyDescent="0.15">
      <c r="A40" s="46">
        <v>38</v>
      </c>
      <c r="B40" s="67"/>
      <c r="C40" s="67"/>
      <c r="D40" s="67"/>
      <c r="E40" s="67"/>
      <c r="F40" s="67"/>
      <c r="G40" s="67"/>
      <c r="H40" s="67"/>
      <c r="I40" s="67"/>
      <c r="J40" s="67"/>
      <c r="K40" s="67"/>
      <c r="L40" s="52"/>
      <c r="M40" s="52"/>
      <c r="N40" s="52"/>
      <c r="O40" s="52"/>
      <c r="P40" s="66"/>
      <c r="Q40" s="66"/>
      <c r="R40" s="52"/>
      <c r="S40" s="52"/>
      <c r="T40" s="52"/>
      <c r="U40" s="52"/>
      <c r="V40" s="52"/>
      <c r="W40" s="52"/>
      <c r="X40" s="52"/>
      <c r="Y40" s="52"/>
      <c r="Z40" s="52"/>
      <c r="AA40" s="52"/>
    </row>
    <row r="41" spans="1:27" x14ac:dyDescent="0.15">
      <c r="A41" s="46">
        <v>39</v>
      </c>
      <c r="B41" s="67"/>
      <c r="C41" s="67"/>
      <c r="D41" s="67"/>
      <c r="E41" s="67"/>
      <c r="F41" s="67"/>
      <c r="G41" s="67"/>
      <c r="H41" s="67"/>
      <c r="I41" s="67"/>
      <c r="J41" s="67"/>
      <c r="K41" s="67"/>
      <c r="L41" s="52"/>
      <c r="M41" s="52"/>
      <c r="N41" s="52"/>
      <c r="O41" s="52"/>
      <c r="P41" s="66"/>
      <c r="Q41" s="66"/>
      <c r="R41" s="52"/>
      <c r="S41" s="52"/>
      <c r="T41" s="52"/>
      <c r="U41" s="52"/>
      <c r="V41" s="52"/>
      <c r="W41" s="52"/>
      <c r="X41" s="52"/>
      <c r="Y41" s="52"/>
      <c r="Z41" s="52"/>
      <c r="AA41" s="52"/>
    </row>
    <row r="42" spans="1:27" x14ac:dyDescent="0.15">
      <c r="A42" s="46">
        <v>40</v>
      </c>
      <c r="B42" s="67"/>
      <c r="C42" s="67"/>
      <c r="D42" s="67"/>
      <c r="E42" s="67"/>
      <c r="F42" s="67"/>
      <c r="G42" s="67"/>
      <c r="H42" s="67"/>
      <c r="I42" s="67"/>
      <c r="J42" s="67"/>
      <c r="K42" s="67"/>
      <c r="L42" s="52"/>
      <c r="M42" s="52"/>
      <c r="N42" s="52"/>
      <c r="O42" s="52"/>
      <c r="P42" s="66"/>
      <c r="Q42" s="66"/>
      <c r="R42" s="52"/>
      <c r="S42" s="52"/>
      <c r="T42" s="52"/>
      <c r="U42" s="52"/>
      <c r="V42" s="52"/>
      <c r="W42" s="52"/>
      <c r="X42" s="52"/>
      <c r="Y42" s="52"/>
      <c r="Z42" s="52"/>
      <c r="AA42" s="52"/>
    </row>
    <row r="43" spans="1:27" x14ac:dyDescent="0.15">
      <c r="A43" s="46">
        <v>41</v>
      </c>
      <c r="B43" s="67"/>
      <c r="C43" s="67"/>
      <c r="D43" s="67"/>
      <c r="E43" s="67"/>
      <c r="F43" s="67"/>
      <c r="G43" s="67"/>
      <c r="H43" s="67"/>
      <c r="I43" s="67"/>
      <c r="J43" s="67"/>
      <c r="K43" s="67"/>
      <c r="L43" s="52"/>
      <c r="M43" s="52"/>
      <c r="N43" s="52"/>
      <c r="O43" s="52"/>
      <c r="P43" s="66"/>
      <c r="Q43" s="66"/>
      <c r="R43" s="52"/>
      <c r="S43" s="52"/>
      <c r="T43" s="52"/>
      <c r="U43" s="52"/>
      <c r="V43" s="52"/>
      <c r="W43" s="52"/>
      <c r="X43" s="52"/>
      <c r="Y43" s="52"/>
      <c r="Z43" s="52"/>
      <c r="AA43" s="52"/>
    </row>
    <row r="44" spans="1:27" x14ac:dyDescent="0.15">
      <c r="A44" s="46">
        <v>42</v>
      </c>
      <c r="B44" s="67"/>
      <c r="C44" s="67"/>
      <c r="D44" s="67"/>
      <c r="E44" s="67"/>
      <c r="F44" s="67"/>
      <c r="G44" s="67"/>
      <c r="H44" s="67"/>
      <c r="I44" s="67"/>
      <c r="J44" s="67"/>
      <c r="K44" s="67"/>
      <c r="L44" s="52"/>
      <c r="M44" s="52"/>
      <c r="N44" s="52"/>
      <c r="O44" s="52"/>
      <c r="P44" s="66"/>
      <c r="Q44" s="66"/>
      <c r="R44" s="52"/>
      <c r="S44" s="52"/>
      <c r="T44" s="52"/>
      <c r="U44" s="52"/>
      <c r="V44" s="52"/>
      <c r="W44" s="52"/>
      <c r="X44" s="52"/>
      <c r="Y44" s="52"/>
      <c r="Z44" s="52"/>
      <c r="AA44" s="52"/>
    </row>
    <row r="45" spans="1:27" x14ac:dyDescent="0.15">
      <c r="A45" s="46">
        <v>43</v>
      </c>
      <c r="B45" s="67"/>
      <c r="C45" s="67"/>
      <c r="D45" s="67"/>
      <c r="E45" s="67"/>
      <c r="F45" s="67"/>
      <c r="G45" s="67"/>
      <c r="H45" s="67"/>
      <c r="I45" s="67"/>
      <c r="J45" s="67"/>
      <c r="K45" s="67"/>
      <c r="L45" s="52"/>
      <c r="M45" s="52"/>
      <c r="N45" s="52"/>
      <c r="O45" s="52"/>
      <c r="P45" s="66"/>
      <c r="Q45" s="66"/>
      <c r="R45" s="52"/>
      <c r="S45" s="52"/>
      <c r="T45" s="52"/>
      <c r="U45" s="52"/>
      <c r="V45" s="52"/>
      <c r="W45" s="52"/>
      <c r="X45" s="52"/>
      <c r="Y45" s="52"/>
      <c r="Z45" s="52"/>
      <c r="AA45" s="52"/>
    </row>
    <row r="46" spans="1:27" x14ac:dyDescent="0.15">
      <c r="A46" s="46">
        <v>44</v>
      </c>
      <c r="B46" s="67"/>
      <c r="C46" s="67"/>
      <c r="D46" s="67"/>
      <c r="E46" s="67"/>
      <c r="F46" s="67"/>
      <c r="G46" s="67"/>
      <c r="H46" s="67"/>
      <c r="I46" s="67"/>
      <c r="J46" s="67"/>
      <c r="K46" s="67"/>
      <c r="L46" s="52"/>
      <c r="M46" s="52"/>
      <c r="N46" s="52"/>
      <c r="O46" s="52"/>
      <c r="P46" s="66"/>
      <c r="Q46" s="66"/>
      <c r="R46" s="52"/>
      <c r="S46" s="52"/>
      <c r="T46" s="52"/>
      <c r="U46" s="52"/>
      <c r="V46" s="52"/>
      <c r="W46" s="52"/>
      <c r="X46" s="52"/>
      <c r="Y46" s="52"/>
      <c r="Z46" s="52"/>
      <c r="AA46" s="52"/>
    </row>
    <row r="47" spans="1:27" x14ac:dyDescent="0.15">
      <c r="A47" s="46">
        <v>45</v>
      </c>
      <c r="B47" s="67"/>
      <c r="C47" s="67"/>
      <c r="D47" s="67"/>
      <c r="E47" s="67"/>
      <c r="F47" s="67"/>
      <c r="G47" s="67"/>
      <c r="H47" s="67"/>
      <c r="I47" s="67"/>
      <c r="J47" s="67"/>
      <c r="K47" s="67"/>
      <c r="L47" s="52"/>
      <c r="M47" s="52"/>
      <c r="N47" s="52"/>
      <c r="O47" s="52"/>
      <c r="P47" s="66"/>
      <c r="Q47" s="66"/>
      <c r="R47" s="52"/>
      <c r="S47" s="52"/>
      <c r="T47" s="52"/>
      <c r="U47" s="52"/>
      <c r="V47" s="52"/>
      <c r="W47" s="52"/>
      <c r="X47" s="52"/>
      <c r="Y47" s="52"/>
      <c r="Z47" s="52"/>
      <c r="AA47" s="52"/>
    </row>
    <row r="48" spans="1:27" x14ac:dyDescent="0.15">
      <c r="A48" s="46">
        <v>46</v>
      </c>
      <c r="B48" s="67"/>
      <c r="C48" s="67"/>
      <c r="D48" s="67"/>
      <c r="E48" s="67"/>
      <c r="F48" s="67"/>
      <c r="G48" s="67"/>
      <c r="H48" s="67"/>
      <c r="I48" s="67"/>
      <c r="J48" s="67"/>
      <c r="K48" s="67"/>
      <c r="L48" s="52"/>
      <c r="M48" s="52"/>
      <c r="N48" s="52"/>
      <c r="O48" s="52"/>
      <c r="P48" s="66"/>
      <c r="Q48" s="66"/>
      <c r="R48" s="52"/>
      <c r="S48" s="52"/>
      <c r="T48" s="52"/>
      <c r="U48" s="52"/>
      <c r="V48" s="52"/>
      <c r="W48" s="52"/>
      <c r="X48" s="52"/>
      <c r="Y48" s="52"/>
      <c r="Z48" s="52"/>
      <c r="AA48" s="52"/>
    </row>
    <row r="49" spans="1:27" x14ac:dyDescent="0.15">
      <c r="A49" s="46">
        <v>47</v>
      </c>
      <c r="B49" s="67"/>
      <c r="C49" s="67"/>
      <c r="D49" s="67"/>
      <c r="E49" s="67"/>
      <c r="F49" s="67"/>
      <c r="G49" s="67"/>
      <c r="H49" s="67"/>
      <c r="I49" s="67"/>
      <c r="J49" s="67"/>
      <c r="K49" s="67"/>
      <c r="L49" s="52"/>
      <c r="M49" s="52"/>
      <c r="N49" s="52"/>
      <c r="O49" s="52"/>
      <c r="P49" s="66"/>
      <c r="Q49" s="66"/>
      <c r="R49" s="52"/>
      <c r="S49" s="52"/>
      <c r="T49" s="52"/>
      <c r="U49" s="52"/>
      <c r="V49" s="52"/>
      <c r="W49" s="52"/>
      <c r="X49" s="52"/>
      <c r="Y49" s="52"/>
      <c r="Z49" s="52"/>
      <c r="AA49" s="52"/>
    </row>
    <row r="50" spans="1:27" x14ac:dyDescent="0.15">
      <c r="A50" s="46">
        <v>48</v>
      </c>
      <c r="B50" s="67"/>
      <c r="C50" s="67"/>
      <c r="D50" s="67"/>
      <c r="E50" s="67"/>
      <c r="F50" s="67"/>
      <c r="G50" s="67"/>
      <c r="H50" s="67"/>
      <c r="I50" s="67"/>
      <c r="J50" s="67"/>
      <c r="K50" s="67"/>
      <c r="L50" s="52"/>
      <c r="M50" s="52"/>
      <c r="N50" s="52"/>
      <c r="O50" s="52"/>
      <c r="P50" s="66"/>
      <c r="Q50" s="66"/>
      <c r="R50" s="52"/>
      <c r="S50" s="52"/>
      <c r="T50" s="52"/>
      <c r="U50" s="52"/>
      <c r="V50" s="52"/>
      <c r="W50" s="52"/>
      <c r="X50" s="52"/>
      <c r="Y50" s="52"/>
      <c r="Z50" s="52"/>
      <c r="AA50" s="52"/>
    </row>
    <row r="51" spans="1:27" x14ac:dyDescent="0.15">
      <c r="A51" s="46">
        <v>49</v>
      </c>
      <c r="B51" s="67"/>
      <c r="C51" s="67"/>
      <c r="D51" s="67"/>
      <c r="E51" s="67"/>
      <c r="F51" s="67"/>
      <c r="G51" s="67"/>
      <c r="H51" s="67"/>
      <c r="I51" s="67"/>
      <c r="J51" s="67"/>
      <c r="K51" s="67"/>
      <c r="L51" s="52"/>
      <c r="M51" s="52"/>
      <c r="N51" s="52"/>
      <c r="O51" s="52"/>
      <c r="P51" s="66"/>
      <c r="Q51" s="66"/>
      <c r="R51" s="52"/>
      <c r="S51" s="52"/>
      <c r="T51" s="52"/>
      <c r="U51" s="52"/>
      <c r="V51" s="52"/>
      <c r="W51" s="52"/>
      <c r="X51" s="52"/>
      <c r="Y51" s="52"/>
      <c r="Z51" s="52"/>
      <c r="AA51" s="52"/>
    </row>
    <row r="52" spans="1:27" x14ac:dyDescent="0.15">
      <c r="A52" s="46">
        <v>50</v>
      </c>
      <c r="B52" s="67"/>
      <c r="C52" s="67"/>
      <c r="D52" s="67"/>
      <c r="E52" s="67"/>
      <c r="F52" s="67"/>
      <c r="G52" s="67"/>
      <c r="H52" s="67"/>
      <c r="I52" s="67"/>
      <c r="J52" s="67"/>
      <c r="K52" s="67"/>
      <c r="L52" s="52"/>
      <c r="M52" s="52"/>
      <c r="N52" s="52"/>
      <c r="O52" s="52"/>
      <c r="P52" s="66"/>
      <c r="Q52" s="66"/>
      <c r="R52" s="52"/>
      <c r="S52" s="52"/>
      <c r="T52" s="52"/>
      <c r="U52" s="52"/>
      <c r="V52" s="52"/>
      <c r="W52" s="52"/>
      <c r="X52" s="52"/>
      <c r="Y52" s="52"/>
      <c r="Z52" s="52"/>
      <c r="AA52" s="52"/>
    </row>
    <row r="53" spans="1:27" x14ac:dyDescent="0.15">
      <c r="A53" s="46">
        <v>51</v>
      </c>
      <c r="B53" s="67"/>
      <c r="C53" s="67"/>
      <c r="D53" s="67"/>
      <c r="E53" s="67"/>
      <c r="F53" s="67"/>
      <c r="G53" s="67"/>
      <c r="H53" s="67"/>
      <c r="I53" s="67"/>
      <c r="J53" s="67"/>
      <c r="K53" s="67"/>
      <c r="L53" s="52"/>
      <c r="M53" s="52"/>
      <c r="N53" s="52"/>
      <c r="O53" s="52"/>
      <c r="P53" s="66"/>
      <c r="Q53" s="66"/>
      <c r="R53" s="52"/>
      <c r="S53" s="52"/>
      <c r="T53" s="52"/>
      <c r="U53" s="52"/>
      <c r="V53" s="52"/>
      <c r="W53" s="52"/>
      <c r="X53" s="52"/>
      <c r="Y53" s="52"/>
      <c r="Z53" s="52"/>
      <c r="AA53" s="52"/>
    </row>
    <row r="54" spans="1:27" x14ac:dyDescent="0.15">
      <c r="A54" s="46">
        <v>52</v>
      </c>
      <c r="B54" s="67"/>
      <c r="C54" s="67"/>
      <c r="D54" s="67"/>
      <c r="E54" s="67"/>
      <c r="F54" s="67"/>
      <c r="G54" s="67"/>
      <c r="H54" s="67"/>
      <c r="I54" s="67"/>
      <c r="J54" s="67"/>
      <c r="K54" s="67"/>
      <c r="L54" s="52"/>
      <c r="M54" s="52"/>
      <c r="N54" s="52"/>
      <c r="O54" s="52"/>
      <c r="P54" s="66"/>
      <c r="Q54" s="66"/>
      <c r="R54" s="52"/>
      <c r="S54" s="52"/>
      <c r="T54" s="52"/>
      <c r="U54" s="52"/>
      <c r="V54" s="52"/>
      <c r="W54" s="52"/>
      <c r="X54" s="52"/>
      <c r="Y54" s="52"/>
      <c r="Z54" s="52"/>
      <c r="AA54" s="52"/>
    </row>
    <row r="55" spans="1:27" x14ac:dyDescent="0.15">
      <c r="A55" s="46">
        <v>53</v>
      </c>
      <c r="B55" s="67"/>
      <c r="C55" s="67"/>
      <c r="D55" s="67"/>
      <c r="E55" s="67"/>
      <c r="F55" s="67"/>
      <c r="G55" s="67"/>
      <c r="H55" s="67"/>
      <c r="I55" s="67"/>
      <c r="J55" s="67"/>
      <c r="K55" s="67"/>
      <c r="L55" s="52"/>
      <c r="M55" s="52"/>
      <c r="N55" s="52"/>
      <c r="O55" s="52"/>
      <c r="P55" s="66"/>
      <c r="Q55" s="66"/>
      <c r="R55" s="52"/>
      <c r="S55" s="52"/>
      <c r="T55" s="52"/>
      <c r="U55" s="52"/>
      <c r="V55" s="52"/>
      <c r="W55" s="52"/>
      <c r="X55" s="52"/>
      <c r="Y55" s="52"/>
      <c r="Z55" s="52"/>
      <c r="AA55" s="52"/>
    </row>
    <row r="56" spans="1:27" x14ac:dyDescent="0.15">
      <c r="A56" s="46">
        <v>54</v>
      </c>
      <c r="B56" s="67"/>
      <c r="C56" s="67"/>
      <c r="D56" s="67"/>
      <c r="E56" s="67"/>
      <c r="F56" s="67"/>
      <c r="G56" s="67"/>
      <c r="H56" s="67"/>
      <c r="I56" s="67"/>
      <c r="J56" s="67"/>
      <c r="K56" s="67"/>
      <c r="L56" s="52"/>
      <c r="M56" s="52"/>
      <c r="N56" s="52"/>
      <c r="O56" s="52"/>
      <c r="P56" s="66"/>
      <c r="Q56" s="66"/>
      <c r="R56" s="52"/>
      <c r="S56" s="52"/>
      <c r="T56" s="52"/>
      <c r="U56" s="52"/>
      <c r="V56" s="52"/>
      <c r="W56" s="52"/>
      <c r="X56" s="52"/>
      <c r="Y56" s="52"/>
      <c r="Z56" s="52"/>
      <c r="AA56" s="52"/>
    </row>
    <row r="57" spans="1:27" x14ac:dyDescent="0.15">
      <c r="A57" s="46">
        <v>55</v>
      </c>
      <c r="B57" s="67"/>
      <c r="C57" s="67"/>
      <c r="D57" s="67"/>
      <c r="E57" s="67"/>
      <c r="F57" s="67"/>
      <c r="G57" s="67"/>
      <c r="H57" s="67"/>
      <c r="I57" s="67"/>
      <c r="J57" s="67"/>
      <c r="K57" s="67"/>
      <c r="L57" s="52"/>
      <c r="M57" s="52"/>
      <c r="N57" s="52"/>
      <c r="O57" s="52"/>
      <c r="P57" s="66"/>
      <c r="Q57" s="66"/>
      <c r="R57" s="52"/>
      <c r="S57" s="52"/>
      <c r="T57" s="52"/>
      <c r="U57" s="52"/>
      <c r="V57" s="52"/>
      <c r="W57" s="52"/>
      <c r="X57" s="52"/>
      <c r="Y57" s="52"/>
      <c r="Z57" s="52"/>
      <c r="AA57" s="52"/>
    </row>
    <row r="58" spans="1:27" x14ac:dyDescent="0.15">
      <c r="A58" s="46">
        <v>56</v>
      </c>
      <c r="B58" s="67"/>
      <c r="C58" s="67"/>
      <c r="D58" s="67"/>
      <c r="E58" s="67"/>
      <c r="F58" s="67"/>
      <c r="G58" s="67"/>
      <c r="H58" s="67"/>
      <c r="I58" s="67"/>
      <c r="J58" s="67"/>
      <c r="K58" s="67"/>
      <c r="L58" s="52"/>
      <c r="M58" s="52"/>
      <c r="N58" s="52"/>
      <c r="O58" s="52"/>
      <c r="P58" s="66"/>
      <c r="Q58" s="66"/>
      <c r="R58" s="52"/>
      <c r="S58" s="52"/>
      <c r="T58" s="52"/>
      <c r="U58" s="52"/>
      <c r="V58" s="52"/>
      <c r="W58" s="52"/>
      <c r="X58" s="52"/>
      <c r="Y58" s="52"/>
      <c r="Z58" s="52"/>
      <c r="AA58" s="52"/>
    </row>
    <row r="59" spans="1:27" x14ac:dyDescent="0.15">
      <c r="A59" s="46">
        <v>57</v>
      </c>
      <c r="B59" s="67"/>
      <c r="C59" s="67"/>
      <c r="D59" s="67"/>
      <c r="E59" s="67"/>
      <c r="F59" s="67"/>
      <c r="G59" s="67"/>
      <c r="H59" s="67"/>
      <c r="I59" s="67"/>
      <c r="J59" s="67"/>
      <c r="K59" s="67"/>
      <c r="L59" s="52"/>
      <c r="M59" s="52"/>
      <c r="N59" s="52"/>
      <c r="O59" s="52"/>
      <c r="P59" s="66"/>
      <c r="Q59" s="66"/>
      <c r="R59" s="52"/>
      <c r="S59" s="52"/>
      <c r="T59" s="52"/>
      <c r="U59" s="52"/>
      <c r="V59" s="52"/>
      <c r="W59" s="52"/>
      <c r="X59" s="52"/>
      <c r="Y59" s="52"/>
      <c r="Z59" s="52"/>
      <c r="AA59" s="52"/>
    </row>
    <row r="60" spans="1:27" x14ac:dyDescent="0.15">
      <c r="A60" s="46">
        <v>58</v>
      </c>
      <c r="B60" s="67"/>
      <c r="C60" s="67"/>
      <c r="D60" s="67"/>
      <c r="E60" s="67"/>
      <c r="F60" s="67"/>
      <c r="G60" s="67"/>
      <c r="H60" s="67"/>
      <c r="I60" s="67"/>
      <c r="J60" s="67"/>
      <c r="K60" s="67"/>
      <c r="L60" s="52"/>
      <c r="M60" s="52"/>
      <c r="N60" s="52"/>
      <c r="O60" s="52"/>
      <c r="P60" s="66"/>
      <c r="Q60" s="66"/>
      <c r="R60" s="52"/>
      <c r="S60" s="52"/>
      <c r="T60" s="52"/>
      <c r="U60" s="52"/>
      <c r="V60" s="52"/>
      <c r="W60" s="52"/>
      <c r="X60" s="52"/>
      <c r="Y60" s="52"/>
      <c r="Z60" s="52"/>
      <c r="AA60" s="52"/>
    </row>
    <row r="61" spans="1:27" x14ac:dyDescent="0.15">
      <c r="A61" s="46">
        <v>59</v>
      </c>
      <c r="B61" s="67"/>
      <c r="C61" s="67"/>
      <c r="D61" s="67"/>
      <c r="E61" s="67"/>
      <c r="F61" s="67"/>
      <c r="G61" s="67"/>
      <c r="H61" s="67"/>
      <c r="I61" s="67"/>
      <c r="J61" s="67"/>
      <c r="K61" s="67"/>
      <c r="L61" s="52"/>
      <c r="M61" s="52"/>
      <c r="N61" s="52"/>
      <c r="O61" s="52"/>
      <c r="P61" s="66"/>
      <c r="Q61" s="66"/>
      <c r="R61" s="52"/>
      <c r="S61" s="52"/>
      <c r="T61" s="52"/>
      <c r="U61" s="52"/>
      <c r="V61" s="52"/>
      <c r="W61" s="52"/>
      <c r="X61" s="52"/>
      <c r="Y61" s="52"/>
      <c r="Z61" s="52"/>
      <c r="AA61" s="52"/>
    </row>
    <row r="62" spans="1:27" x14ac:dyDescent="0.15">
      <c r="A62" s="46">
        <v>60</v>
      </c>
      <c r="B62" s="67"/>
      <c r="C62" s="67"/>
      <c r="D62" s="67"/>
      <c r="E62" s="67"/>
      <c r="F62" s="67"/>
      <c r="G62" s="67"/>
      <c r="H62" s="67"/>
      <c r="I62" s="67"/>
      <c r="J62" s="67"/>
      <c r="K62" s="67"/>
      <c r="L62" s="52"/>
      <c r="M62" s="52"/>
      <c r="N62" s="52"/>
      <c r="O62" s="52"/>
      <c r="P62" s="66"/>
      <c r="Q62" s="66"/>
      <c r="R62" s="52"/>
      <c r="S62" s="52"/>
      <c r="T62" s="52"/>
      <c r="U62" s="52"/>
      <c r="V62" s="52"/>
      <c r="W62" s="52"/>
      <c r="X62" s="52"/>
      <c r="Y62" s="52"/>
      <c r="Z62" s="52"/>
      <c r="AA62" s="52"/>
    </row>
    <row r="63" spans="1:27" x14ac:dyDescent="0.15">
      <c r="A63" s="46">
        <v>61</v>
      </c>
      <c r="B63" s="67"/>
      <c r="C63" s="67"/>
      <c r="D63" s="67"/>
      <c r="E63" s="67"/>
      <c r="F63" s="67"/>
      <c r="G63" s="67"/>
      <c r="H63" s="67"/>
      <c r="I63" s="67"/>
      <c r="J63" s="67"/>
      <c r="K63" s="67"/>
      <c r="L63" s="52"/>
      <c r="M63" s="52"/>
      <c r="N63" s="52"/>
      <c r="O63" s="52"/>
      <c r="P63" s="66"/>
      <c r="Q63" s="66"/>
      <c r="R63" s="52"/>
      <c r="S63" s="52"/>
      <c r="T63" s="52"/>
      <c r="U63" s="52"/>
      <c r="V63" s="52"/>
      <c r="W63" s="52"/>
      <c r="X63" s="52"/>
      <c r="Y63" s="52"/>
      <c r="Z63" s="52"/>
      <c r="AA63" s="52"/>
    </row>
    <row r="64" spans="1:27" x14ac:dyDescent="0.15">
      <c r="A64" s="46">
        <v>62</v>
      </c>
      <c r="B64" s="67"/>
      <c r="C64" s="67"/>
      <c r="D64" s="67"/>
      <c r="E64" s="67"/>
      <c r="F64" s="67"/>
      <c r="G64" s="67"/>
      <c r="H64" s="67"/>
      <c r="I64" s="67"/>
      <c r="J64" s="67"/>
      <c r="K64" s="67"/>
      <c r="L64" s="52"/>
      <c r="M64" s="52"/>
      <c r="N64" s="52"/>
      <c r="O64" s="52"/>
      <c r="P64" s="66"/>
      <c r="Q64" s="66"/>
      <c r="R64" s="52"/>
      <c r="S64" s="52"/>
      <c r="T64" s="52"/>
      <c r="U64" s="52"/>
      <c r="V64" s="52"/>
      <c r="W64" s="52"/>
      <c r="X64" s="52"/>
      <c r="Y64" s="52"/>
      <c r="Z64" s="52"/>
      <c r="AA64" s="52"/>
    </row>
    <row r="65" spans="1:27" x14ac:dyDescent="0.15">
      <c r="A65" s="46">
        <v>63</v>
      </c>
      <c r="B65" s="67"/>
      <c r="C65" s="67"/>
      <c r="D65" s="67"/>
      <c r="E65" s="67"/>
      <c r="F65" s="67"/>
      <c r="G65" s="67"/>
      <c r="H65" s="67"/>
      <c r="I65" s="67"/>
      <c r="J65" s="67"/>
      <c r="K65" s="67"/>
      <c r="L65" s="52"/>
      <c r="M65" s="52"/>
      <c r="N65" s="52"/>
      <c r="O65" s="52"/>
      <c r="P65" s="66"/>
      <c r="Q65" s="66"/>
      <c r="R65" s="52"/>
      <c r="S65" s="52"/>
      <c r="T65" s="52"/>
      <c r="U65" s="52"/>
      <c r="V65" s="52"/>
      <c r="W65" s="52"/>
      <c r="X65" s="52"/>
      <c r="Y65" s="52"/>
      <c r="Z65" s="52"/>
      <c r="AA65" s="52"/>
    </row>
    <row r="66" spans="1:27" x14ac:dyDescent="0.15">
      <c r="A66" s="46">
        <v>64</v>
      </c>
      <c r="B66" s="67"/>
      <c r="C66" s="67"/>
      <c r="D66" s="67"/>
      <c r="E66" s="67"/>
      <c r="F66" s="67"/>
      <c r="G66" s="67"/>
      <c r="H66" s="67"/>
      <c r="I66" s="67"/>
      <c r="J66" s="67"/>
      <c r="K66" s="67"/>
      <c r="L66" s="52"/>
      <c r="M66" s="52"/>
      <c r="N66" s="52"/>
      <c r="O66" s="52"/>
      <c r="P66" s="66"/>
      <c r="Q66" s="66"/>
      <c r="R66" s="52"/>
      <c r="S66" s="52"/>
      <c r="T66" s="52"/>
      <c r="U66" s="52"/>
      <c r="V66" s="52"/>
      <c r="W66" s="52"/>
      <c r="X66" s="52"/>
      <c r="Y66" s="52"/>
      <c r="Z66" s="52"/>
      <c r="AA66" s="52"/>
    </row>
    <row r="67" spans="1:27" x14ac:dyDescent="0.15">
      <c r="A67" s="46">
        <v>65</v>
      </c>
      <c r="B67" s="67"/>
      <c r="C67" s="67"/>
      <c r="D67" s="67"/>
      <c r="E67" s="67"/>
      <c r="F67" s="67"/>
      <c r="G67" s="67"/>
      <c r="H67" s="67"/>
      <c r="I67" s="67"/>
      <c r="J67" s="67"/>
      <c r="K67" s="67"/>
      <c r="L67" s="52"/>
      <c r="M67" s="52"/>
      <c r="N67" s="52"/>
      <c r="O67" s="52"/>
      <c r="P67" s="66"/>
      <c r="Q67" s="66"/>
      <c r="R67" s="52"/>
      <c r="S67" s="52"/>
      <c r="T67" s="52"/>
      <c r="U67" s="52"/>
      <c r="V67" s="52"/>
      <c r="W67" s="52"/>
      <c r="X67" s="52"/>
      <c r="Y67" s="52"/>
      <c r="Z67" s="52"/>
      <c r="AA67" s="52"/>
    </row>
    <row r="68" spans="1:27" x14ac:dyDescent="0.15">
      <c r="A68" s="46">
        <v>66</v>
      </c>
      <c r="B68" s="67"/>
      <c r="C68" s="67"/>
      <c r="D68" s="67"/>
      <c r="E68" s="67"/>
      <c r="F68" s="67"/>
      <c r="G68" s="67"/>
      <c r="H68" s="67"/>
      <c r="I68" s="67"/>
      <c r="J68" s="67"/>
      <c r="K68" s="67"/>
      <c r="L68" s="52"/>
      <c r="M68" s="52"/>
      <c r="N68" s="52"/>
      <c r="O68" s="52"/>
      <c r="P68" s="66"/>
      <c r="Q68" s="66"/>
      <c r="R68" s="52"/>
      <c r="S68" s="52"/>
      <c r="T68" s="52"/>
      <c r="U68" s="52"/>
      <c r="V68" s="52"/>
      <c r="W68" s="52"/>
      <c r="X68" s="52"/>
      <c r="Y68" s="52"/>
      <c r="Z68" s="52"/>
      <c r="AA68" s="52"/>
    </row>
    <row r="69" spans="1:27" x14ac:dyDescent="0.15">
      <c r="A69" s="46">
        <v>67</v>
      </c>
      <c r="B69" s="67"/>
      <c r="C69" s="67"/>
      <c r="D69" s="67"/>
      <c r="E69" s="67"/>
      <c r="F69" s="67"/>
      <c r="G69" s="67"/>
      <c r="H69" s="67"/>
      <c r="I69" s="67"/>
      <c r="J69" s="67"/>
      <c r="K69" s="67"/>
      <c r="L69" s="52"/>
      <c r="M69" s="52"/>
      <c r="N69" s="52"/>
      <c r="O69" s="52"/>
      <c r="P69" s="66"/>
      <c r="Q69" s="66"/>
      <c r="R69" s="52"/>
      <c r="S69" s="52"/>
      <c r="T69" s="52"/>
      <c r="U69" s="52"/>
      <c r="V69" s="52"/>
      <c r="W69" s="52"/>
      <c r="X69" s="52"/>
      <c r="Y69" s="52"/>
      <c r="Z69" s="52"/>
      <c r="AA69" s="52"/>
    </row>
    <row r="70" spans="1:27" x14ac:dyDescent="0.15">
      <c r="A70" s="46">
        <v>68</v>
      </c>
      <c r="B70" s="67"/>
      <c r="C70" s="67"/>
      <c r="D70" s="67"/>
      <c r="E70" s="67"/>
      <c r="F70" s="67"/>
      <c r="G70" s="67"/>
      <c r="H70" s="67"/>
      <c r="I70" s="67"/>
      <c r="J70" s="67"/>
      <c r="K70" s="67"/>
      <c r="L70" s="52"/>
      <c r="M70" s="52"/>
      <c r="N70" s="52"/>
      <c r="O70" s="52"/>
      <c r="P70" s="66"/>
      <c r="Q70" s="66"/>
      <c r="R70" s="52"/>
      <c r="S70" s="52"/>
      <c r="T70" s="52"/>
      <c r="U70" s="52"/>
      <c r="V70" s="52"/>
      <c r="W70" s="52"/>
      <c r="X70" s="52"/>
      <c r="Y70" s="52"/>
      <c r="Z70" s="52"/>
      <c r="AA70" s="52"/>
    </row>
    <row r="71" spans="1:27" x14ac:dyDescent="0.15">
      <c r="A71" s="46">
        <v>69</v>
      </c>
      <c r="B71" s="67"/>
      <c r="C71" s="67"/>
      <c r="D71" s="67"/>
      <c r="E71" s="67"/>
      <c r="F71" s="67"/>
      <c r="G71" s="67"/>
      <c r="H71" s="67"/>
      <c r="I71" s="67"/>
      <c r="J71" s="67"/>
      <c r="K71" s="67"/>
      <c r="L71" s="52"/>
      <c r="M71" s="52"/>
      <c r="N71" s="52"/>
      <c r="O71" s="52"/>
      <c r="P71" s="66"/>
      <c r="Q71" s="66"/>
      <c r="R71" s="52"/>
      <c r="S71" s="52"/>
      <c r="T71" s="52"/>
      <c r="U71" s="52"/>
      <c r="V71" s="52"/>
      <c r="W71" s="52"/>
      <c r="X71" s="52"/>
      <c r="Y71" s="52"/>
      <c r="Z71" s="52"/>
      <c r="AA71" s="52"/>
    </row>
    <row r="72" spans="1:27" x14ac:dyDescent="0.15">
      <c r="A72" s="46">
        <v>70</v>
      </c>
      <c r="B72" s="67"/>
      <c r="C72" s="67"/>
      <c r="D72" s="67"/>
      <c r="E72" s="67"/>
      <c r="F72" s="67"/>
      <c r="G72" s="67"/>
      <c r="H72" s="67"/>
      <c r="I72" s="67"/>
      <c r="J72" s="67"/>
      <c r="K72" s="67"/>
      <c r="L72" s="52"/>
      <c r="M72" s="52"/>
      <c r="N72" s="52"/>
      <c r="O72" s="52"/>
      <c r="P72" s="66"/>
      <c r="Q72" s="66"/>
      <c r="R72" s="52"/>
      <c r="S72" s="52"/>
      <c r="T72" s="52"/>
      <c r="U72" s="52"/>
      <c r="V72" s="52"/>
      <c r="W72" s="52"/>
      <c r="X72" s="52"/>
      <c r="Y72" s="52"/>
      <c r="Z72" s="52"/>
      <c r="AA72" s="52"/>
    </row>
    <row r="73" spans="1:27" x14ac:dyDescent="0.15">
      <c r="A73" s="46">
        <v>71</v>
      </c>
      <c r="B73" s="67"/>
      <c r="C73" s="67"/>
      <c r="D73" s="67"/>
      <c r="E73" s="67"/>
      <c r="F73" s="67"/>
      <c r="G73" s="67"/>
      <c r="H73" s="67"/>
      <c r="I73" s="67"/>
      <c r="J73" s="67"/>
      <c r="K73" s="67"/>
      <c r="L73" s="52"/>
      <c r="M73" s="52"/>
      <c r="N73" s="52"/>
      <c r="O73" s="52"/>
      <c r="P73" s="66"/>
      <c r="Q73" s="66"/>
      <c r="R73" s="52"/>
      <c r="S73" s="52"/>
      <c r="T73" s="52"/>
      <c r="U73" s="52"/>
      <c r="V73" s="52"/>
      <c r="W73" s="52"/>
      <c r="X73" s="52"/>
      <c r="Y73" s="52"/>
      <c r="Z73" s="52"/>
      <c r="AA73" s="52"/>
    </row>
    <row r="74" spans="1:27" x14ac:dyDescent="0.15">
      <c r="A74" s="46">
        <v>72</v>
      </c>
      <c r="B74" s="67"/>
      <c r="C74" s="67"/>
      <c r="D74" s="67"/>
      <c r="E74" s="67"/>
      <c r="F74" s="67"/>
      <c r="G74" s="67"/>
      <c r="H74" s="67"/>
      <c r="I74" s="67"/>
      <c r="J74" s="67"/>
      <c r="K74" s="67"/>
      <c r="L74" s="52"/>
      <c r="M74" s="52"/>
      <c r="N74" s="52"/>
      <c r="O74" s="52"/>
      <c r="P74" s="66"/>
      <c r="Q74" s="66"/>
      <c r="R74" s="52"/>
      <c r="S74" s="52"/>
      <c r="T74" s="52"/>
      <c r="U74" s="52"/>
      <c r="V74" s="52"/>
      <c r="W74" s="52"/>
      <c r="X74" s="52"/>
      <c r="Y74" s="52"/>
      <c r="Z74" s="52"/>
      <c r="AA74" s="52"/>
    </row>
    <row r="75" spans="1:27" x14ac:dyDescent="0.15">
      <c r="A75" s="46">
        <v>73</v>
      </c>
      <c r="B75" s="67"/>
      <c r="C75" s="67"/>
      <c r="D75" s="67"/>
      <c r="E75" s="67"/>
      <c r="F75" s="67"/>
      <c r="G75" s="67"/>
      <c r="H75" s="67"/>
      <c r="I75" s="67"/>
      <c r="J75" s="67"/>
      <c r="K75" s="67"/>
      <c r="L75" s="52"/>
      <c r="M75" s="52"/>
      <c r="N75" s="52"/>
      <c r="O75" s="52"/>
      <c r="P75" s="66"/>
      <c r="Q75" s="66"/>
      <c r="R75" s="52"/>
      <c r="S75" s="52"/>
      <c r="T75" s="52"/>
      <c r="U75" s="52"/>
      <c r="V75" s="52"/>
      <c r="W75" s="52"/>
      <c r="X75" s="52"/>
      <c r="Y75" s="52"/>
      <c r="Z75" s="52"/>
      <c r="AA75" s="52"/>
    </row>
    <row r="76" spans="1:27" x14ac:dyDescent="0.15">
      <c r="A76" s="46">
        <v>74</v>
      </c>
      <c r="B76" s="67"/>
      <c r="C76" s="67"/>
      <c r="D76" s="67"/>
      <c r="E76" s="67"/>
      <c r="F76" s="67"/>
      <c r="G76" s="67"/>
      <c r="H76" s="67"/>
      <c r="I76" s="67"/>
      <c r="J76" s="67"/>
      <c r="K76" s="67"/>
      <c r="L76" s="52"/>
      <c r="M76" s="52"/>
      <c r="N76" s="52"/>
      <c r="O76" s="52"/>
      <c r="P76" s="66"/>
      <c r="Q76" s="66"/>
      <c r="R76" s="52"/>
      <c r="S76" s="52"/>
      <c r="T76" s="52"/>
      <c r="U76" s="52"/>
      <c r="V76" s="52"/>
      <c r="W76" s="52"/>
      <c r="X76" s="52"/>
      <c r="Y76" s="52"/>
      <c r="Z76" s="52"/>
      <c r="AA76" s="52"/>
    </row>
    <row r="77" spans="1:27" x14ac:dyDescent="0.15">
      <c r="A77" s="46">
        <v>75</v>
      </c>
      <c r="B77" s="67"/>
      <c r="C77" s="67"/>
      <c r="D77" s="67"/>
      <c r="E77" s="67"/>
      <c r="F77" s="67"/>
      <c r="G77" s="67"/>
      <c r="H77" s="67"/>
      <c r="I77" s="67"/>
      <c r="J77" s="67"/>
      <c r="K77" s="67"/>
      <c r="L77" s="52"/>
      <c r="M77" s="52"/>
      <c r="N77" s="52"/>
      <c r="O77" s="52"/>
      <c r="P77" s="66"/>
      <c r="Q77" s="66"/>
      <c r="R77" s="52"/>
      <c r="S77" s="52"/>
      <c r="T77" s="52"/>
      <c r="U77" s="52"/>
      <c r="V77" s="52"/>
      <c r="W77" s="52"/>
      <c r="X77" s="52"/>
      <c r="Y77" s="52"/>
      <c r="Z77" s="52"/>
      <c r="AA77" s="52"/>
    </row>
    <row r="78" spans="1:27" x14ac:dyDescent="0.15">
      <c r="A78" s="46">
        <v>76</v>
      </c>
      <c r="B78" s="67"/>
      <c r="C78" s="67"/>
      <c r="D78" s="67"/>
      <c r="E78" s="67"/>
      <c r="F78" s="67"/>
      <c r="G78" s="67"/>
      <c r="H78" s="67"/>
      <c r="I78" s="67"/>
      <c r="J78" s="67"/>
      <c r="K78" s="67"/>
      <c r="L78" s="52"/>
      <c r="M78" s="52"/>
      <c r="N78" s="52"/>
      <c r="O78" s="52"/>
      <c r="P78" s="66"/>
      <c r="Q78" s="66"/>
      <c r="R78" s="52"/>
      <c r="S78" s="52"/>
      <c r="T78" s="52"/>
      <c r="U78" s="52"/>
      <c r="V78" s="52"/>
      <c r="W78" s="52"/>
      <c r="X78" s="52"/>
      <c r="Y78" s="52"/>
      <c r="Z78" s="52"/>
      <c r="AA78" s="52"/>
    </row>
    <row r="79" spans="1:27" x14ac:dyDescent="0.15">
      <c r="A79" s="46">
        <v>77</v>
      </c>
      <c r="B79" s="67"/>
      <c r="C79" s="67"/>
      <c r="D79" s="67"/>
      <c r="E79" s="67"/>
      <c r="F79" s="67"/>
      <c r="G79" s="67"/>
      <c r="H79" s="67"/>
      <c r="I79" s="67"/>
      <c r="J79" s="67"/>
      <c r="K79" s="67"/>
      <c r="L79" s="52"/>
      <c r="M79" s="52"/>
      <c r="N79" s="52"/>
      <c r="O79" s="52"/>
      <c r="P79" s="66"/>
      <c r="Q79" s="66"/>
      <c r="R79" s="52"/>
      <c r="S79" s="52"/>
      <c r="T79" s="52"/>
      <c r="U79" s="52"/>
      <c r="V79" s="52"/>
      <c r="W79" s="52"/>
      <c r="X79" s="52"/>
      <c r="Y79" s="52"/>
      <c r="Z79" s="52"/>
      <c r="AA79" s="52"/>
    </row>
    <row r="80" spans="1:27" x14ac:dyDescent="0.15">
      <c r="A80" s="46">
        <v>78</v>
      </c>
      <c r="B80" s="67"/>
      <c r="C80" s="67"/>
      <c r="D80" s="67"/>
      <c r="E80" s="67"/>
      <c r="F80" s="67"/>
      <c r="G80" s="67"/>
      <c r="H80" s="67"/>
      <c r="I80" s="67"/>
      <c r="J80" s="67"/>
      <c r="K80" s="67"/>
      <c r="L80" s="52"/>
      <c r="M80" s="52"/>
      <c r="N80" s="52"/>
      <c r="O80" s="52"/>
      <c r="P80" s="66"/>
      <c r="Q80" s="66"/>
      <c r="R80" s="52"/>
      <c r="S80" s="52"/>
      <c r="T80" s="52"/>
      <c r="U80" s="52"/>
      <c r="V80" s="52"/>
      <c r="W80" s="52"/>
      <c r="X80" s="52"/>
      <c r="Y80" s="52"/>
      <c r="Z80" s="52"/>
      <c r="AA80" s="52"/>
    </row>
    <row r="81" spans="1:27" x14ac:dyDescent="0.15">
      <c r="A81" s="46">
        <v>79</v>
      </c>
      <c r="B81" s="67"/>
      <c r="C81" s="67"/>
      <c r="D81" s="67"/>
      <c r="E81" s="67"/>
      <c r="F81" s="67"/>
      <c r="G81" s="67"/>
      <c r="H81" s="67"/>
      <c r="I81" s="67"/>
      <c r="J81" s="67"/>
      <c r="K81" s="67"/>
      <c r="L81" s="52"/>
      <c r="M81" s="52"/>
      <c r="N81" s="52"/>
      <c r="O81" s="52"/>
      <c r="P81" s="66"/>
      <c r="Q81" s="66"/>
      <c r="R81" s="52"/>
      <c r="S81" s="52"/>
      <c r="T81" s="52"/>
      <c r="U81" s="52"/>
      <c r="V81" s="52"/>
      <c r="W81" s="52"/>
      <c r="X81" s="52"/>
      <c r="Y81" s="52"/>
      <c r="Z81" s="52"/>
      <c r="AA81" s="52"/>
    </row>
    <row r="82" spans="1:27" x14ac:dyDescent="0.15">
      <c r="A82" s="46">
        <v>80</v>
      </c>
      <c r="B82" s="67"/>
      <c r="C82" s="67"/>
      <c r="D82" s="67"/>
      <c r="E82" s="67"/>
      <c r="F82" s="67"/>
      <c r="G82" s="67"/>
      <c r="H82" s="67"/>
      <c r="I82" s="67"/>
      <c r="J82" s="67"/>
      <c r="K82" s="67"/>
      <c r="L82" s="52"/>
      <c r="M82" s="52"/>
      <c r="N82" s="52"/>
      <c r="O82" s="52"/>
      <c r="P82" s="66"/>
      <c r="Q82" s="66"/>
      <c r="R82" s="52"/>
      <c r="S82" s="52"/>
      <c r="T82" s="52"/>
      <c r="U82" s="52"/>
      <c r="V82" s="52"/>
      <c r="W82" s="52"/>
      <c r="X82" s="52"/>
      <c r="Y82" s="52"/>
      <c r="Z82" s="52"/>
      <c r="AA82" s="52"/>
    </row>
    <row r="83" spans="1:27" x14ac:dyDescent="0.15">
      <c r="A83" s="46">
        <v>81</v>
      </c>
      <c r="B83" s="67"/>
      <c r="C83" s="67"/>
      <c r="D83" s="67"/>
      <c r="E83" s="67"/>
      <c r="F83" s="67"/>
      <c r="G83" s="67"/>
      <c r="H83" s="67"/>
      <c r="I83" s="67"/>
      <c r="J83" s="67"/>
      <c r="K83" s="67"/>
      <c r="L83" s="52"/>
      <c r="M83" s="52"/>
      <c r="N83" s="52"/>
      <c r="O83" s="52"/>
      <c r="P83" s="66"/>
      <c r="Q83" s="66"/>
      <c r="R83" s="52"/>
      <c r="S83" s="52"/>
      <c r="T83" s="52"/>
      <c r="U83" s="52"/>
      <c r="V83" s="52"/>
      <c r="W83" s="52"/>
      <c r="X83" s="52"/>
      <c r="Y83" s="52"/>
      <c r="Z83" s="52"/>
      <c r="AA83" s="52"/>
    </row>
    <row r="84" spans="1:27" x14ac:dyDescent="0.15">
      <c r="A84" s="46">
        <v>82</v>
      </c>
      <c r="B84" s="67"/>
      <c r="C84" s="67"/>
      <c r="D84" s="67"/>
      <c r="E84" s="67"/>
      <c r="F84" s="67"/>
      <c r="G84" s="67"/>
      <c r="H84" s="67"/>
      <c r="I84" s="67"/>
      <c r="J84" s="67"/>
      <c r="K84" s="67"/>
      <c r="L84" s="52"/>
      <c r="M84" s="52"/>
      <c r="N84" s="52"/>
      <c r="O84" s="52"/>
      <c r="P84" s="66"/>
      <c r="Q84" s="66"/>
      <c r="R84" s="52"/>
      <c r="S84" s="52"/>
      <c r="T84" s="52"/>
      <c r="U84" s="52"/>
      <c r="V84" s="52"/>
      <c r="W84" s="52"/>
      <c r="X84" s="52"/>
      <c r="Y84" s="52"/>
      <c r="Z84" s="52"/>
      <c r="AA84" s="52"/>
    </row>
    <row r="85" spans="1:27" x14ac:dyDescent="0.15">
      <c r="A85" s="46">
        <v>83</v>
      </c>
      <c r="B85" s="67"/>
      <c r="C85" s="67"/>
      <c r="D85" s="67"/>
      <c r="E85" s="67"/>
      <c r="F85" s="67"/>
      <c r="G85" s="67"/>
      <c r="H85" s="67"/>
      <c r="I85" s="67"/>
      <c r="J85" s="67"/>
      <c r="K85" s="67"/>
      <c r="L85" s="52"/>
      <c r="M85" s="52"/>
      <c r="N85" s="52"/>
      <c r="O85" s="52"/>
      <c r="P85" s="66"/>
      <c r="Q85" s="66"/>
      <c r="R85" s="52"/>
      <c r="S85" s="52"/>
      <c r="T85" s="52"/>
      <c r="U85" s="52"/>
      <c r="V85" s="52"/>
      <c r="W85" s="52"/>
      <c r="X85" s="52"/>
      <c r="Y85" s="52"/>
      <c r="Z85" s="52"/>
      <c r="AA85" s="52"/>
    </row>
    <row r="86" spans="1:27" x14ac:dyDescent="0.15">
      <c r="A86" s="46">
        <v>84</v>
      </c>
      <c r="B86" s="67"/>
      <c r="C86" s="67"/>
      <c r="D86" s="67"/>
      <c r="E86" s="67"/>
      <c r="F86" s="67"/>
      <c r="G86" s="67"/>
      <c r="H86" s="67"/>
      <c r="I86" s="67"/>
      <c r="J86" s="67"/>
      <c r="K86" s="67"/>
      <c r="L86" s="52"/>
      <c r="M86" s="52"/>
      <c r="N86" s="52"/>
      <c r="O86" s="52"/>
      <c r="P86" s="66"/>
      <c r="Q86" s="66"/>
      <c r="R86" s="52"/>
      <c r="S86" s="52"/>
      <c r="T86" s="52"/>
      <c r="U86" s="52"/>
      <c r="V86" s="52"/>
      <c r="W86" s="52"/>
      <c r="X86" s="52"/>
      <c r="Y86" s="52"/>
      <c r="Z86" s="52"/>
      <c r="AA86" s="52"/>
    </row>
    <row r="87" spans="1:27" x14ac:dyDescent="0.15">
      <c r="A87" s="46">
        <v>85</v>
      </c>
      <c r="B87" s="67"/>
      <c r="C87" s="67"/>
      <c r="D87" s="67"/>
      <c r="E87" s="67"/>
      <c r="F87" s="67"/>
      <c r="G87" s="67"/>
      <c r="H87" s="67"/>
      <c r="I87" s="67"/>
      <c r="J87" s="67"/>
      <c r="K87" s="67"/>
      <c r="L87" s="52"/>
      <c r="M87" s="52"/>
      <c r="N87" s="52"/>
      <c r="O87" s="52"/>
      <c r="P87" s="66"/>
      <c r="Q87" s="66"/>
      <c r="R87" s="52"/>
      <c r="S87" s="52"/>
      <c r="T87" s="52"/>
      <c r="U87" s="52"/>
      <c r="V87" s="52"/>
      <c r="W87" s="52"/>
      <c r="X87" s="52"/>
      <c r="Y87" s="52"/>
      <c r="Z87" s="52"/>
      <c r="AA87" s="52"/>
    </row>
    <row r="88" spans="1:27" x14ac:dyDescent="0.15">
      <c r="A88" s="46">
        <v>86</v>
      </c>
      <c r="B88" s="67"/>
      <c r="C88" s="67"/>
      <c r="D88" s="67"/>
      <c r="E88" s="67"/>
      <c r="F88" s="67"/>
      <c r="G88" s="67"/>
      <c r="H88" s="67"/>
      <c r="I88" s="67"/>
      <c r="J88" s="67"/>
      <c r="K88" s="67"/>
      <c r="L88" s="52"/>
      <c r="M88" s="52"/>
      <c r="N88" s="52"/>
      <c r="O88" s="52"/>
      <c r="P88" s="66"/>
      <c r="Q88" s="66"/>
      <c r="R88" s="52"/>
      <c r="S88" s="52"/>
      <c r="T88" s="52"/>
      <c r="U88" s="52"/>
      <c r="V88" s="52"/>
      <c r="W88" s="52"/>
      <c r="X88" s="52"/>
      <c r="Y88" s="52"/>
      <c r="Z88" s="52"/>
      <c r="AA88" s="52"/>
    </row>
    <row r="89" spans="1:27" x14ac:dyDescent="0.15">
      <c r="A89" s="46">
        <v>87</v>
      </c>
      <c r="B89" s="67"/>
      <c r="C89" s="67"/>
      <c r="D89" s="67"/>
      <c r="E89" s="67"/>
      <c r="F89" s="67"/>
      <c r="G89" s="67"/>
      <c r="H89" s="67"/>
      <c r="I89" s="67"/>
      <c r="J89" s="67"/>
      <c r="K89" s="67"/>
      <c r="L89" s="52"/>
      <c r="M89" s="52"/>
      <c r="N89" s="52"/>
      <c r="O89" s="52"/>
      <c r="P89" s="66"/>
      <c r="Q89" s="66"/>
      <c r="R89" s="52"/>
      <c r="S89" s="52"/>
      <c r="T89" s="52"/>
      <c r="U89" s="52"/>
      <c r="V89" s="52"/>
      <c r="W89" s="52"/>
      <c r="X89" s="52"/>
      <c r="Y89" s="52"/>
      <c r="Z89" s="52"/>
      <c r="AA89" s="52"/>
    </row>
    <row r="90" spans="1:27" x14ac:dyDescent="0.15">
      <c r="A90" s="46">
        <v>88</v>
      </c>
      <c r="B90" s="67"/>
      <c r="C90" s="67"/>
      <c r="D90" s="67"/>
      <c r="E90" s="67"/>
      <c r="F90" s="67"/>
      <c r="G90" s="67"/>
      <c r="H90" s="67"/>
      <c r="I90" s="67"/>
      <c r="J90" s="67"/>
      <c r="K90" s="67"/>
      <c r="L90" s="52"/>
      <c r="M90" s="52"/>
      <c r="N90" s="52"/>
      <c r="O90" s="52"/>
      <c r="P90" s="66"/>
      <c r="Q90" s="66"/>
      <c r="R90" s="52"/>
      <c r="S90" s="52"/>
      <c r="T90" s="52"/>
      <c r="U90" s="52"/>
      <c r="V90" s="52"/>
      <c r="W90" s="52"/>
      <c r="X90" s="52"/>
      <c r="Y90" s="52"/>
      <c r="Z90" s="52"/>
      <c r="AA90" s="52"/>
    </row>
    <row r="91" spans="1:27" x14ac:dyDescent="0.15">
      <c r="A91" s="46">
        <v>89</v>
      </c>
      <c r="B91" s="67"/>
      <c r="C91" s="67"/>
      <c r="D91" s="67"/>
      <c r="E91" s="67"/>
      <c r="F91" s="67"/>
      <c r="G91" s="67"/>
      <c r="H91" s="67"/>
      <c r="I91" s="67"/>
      <c r="J91" s="67"/>
      <c r="K91" s="67"/>
      <c r="L91" s="52"/>
      <c r="M91" s="52"/>
      <c r="N91" s="52"/>
      <c r="O91" s="52"/>
      <c r="P91" s="66"/>
      <c r="Q91" s="66"/>
      <c r="R91" s="52"/>
      <c r="S91" s="52"/>
      <c r="T91" s="52"/>
      <c r="U91" s="52"/>
      <c r="V91" s="52"/>
      <c r="W91" s="52"/>
      <c r="X91" s="52"/>
      <c r="Y91" s="52"/>
      <c r="Z91" s="52"/>
      <c r="AA91" s="52"/>
    </row>
    <row r="92" spans="1:27" x14ac:dyDescent="0.15">
      <c r="A92" s="46">
        <v>90</v>
      </c>
      <c r="B92" s="67"/>
      <c r="C92" s="67"/>
      <c r="D92" s="67"/>
      <c r="E92" s="67"/>
      <c r="F92" s="67"/>
      <c r="G92" s="67"/>
      <c r="H92" s="67"/>
      <c r="I92" s="67"/>
      <c r="J92" s="67"/>
      <c r="K92" s="67"/>
      <c r="L92" s="52"/>
      <c r="M92" s="52"/>
      <c r="N92" s="52"/>
      <c r="O92" s="52"/>
      <c r="P92" s="66"/>
      <c r="Q92" s="66"/>
      <c r="R92" s="52"/>
      <c r="S92" s="52"/>
      <c r="T92" s="52"/>
      <c r="U92" s="52"/>
      <c r="V92" s="52"/>
      <c r="W92" s="52"/>
      <c r="X92" s="52"/>
      <c r="Y92" s="52"/>
      <c r="Z92" s="52"/>
      <c r="AA92" s="52"/>
    </row>
    <row r="93" spans="1:27" x14ac:dyDescent="0.15">
      <c r="A93" s="46">
        <v>91</v>
      </c>
      <c r="B93" s="67"/>
      <c r="C93" s="67"/>
      <c r="D93" s="67"/>
      <c r="E93" s="67"/>
      <c r="F93" s="67"/>
      <c r="G93" s="67"/>
      <c r="H93" s="67"/>
      <c r="I93" s="67"/>
      <c r="J93" s="67"/>
      <c r="K93" s="67"/>
      <c r="L93" s="52"/>
      <c r="M93" s="52"/>
      <c r="N93" s="52"/>
      <c r="O93" s="52"/>
      <c r="P93" s="66"/>
      <c r="Q93" s="66"/>
      <c r="R93" s="52"/>
      <c r="S93" s="52"/>
      <c r="T93" s="52"/>
      <c r="U93" s="52"/>
      <c r="V93" s="52"/>
      <c r="W93" s="52"/>
      <c r="X93" s="52"/>
      <c r="Y93" s="52"/>
      <c r="Z93" s="52"/>
      <c r="AA93" s="52"/>
    </row>
    <row r="94" spans="1:27" x14ac:dyDescent="0.15">
      <c r="A94" s="46">
        <v>92</v>
      </c>
      <c r="B94" s="67"/>
      <c r="C94" s="67"/>
      <c r="D94" s="67"/>
      <c r="E94" s="67"/>
      <c r="F94" s="67"/>
      <c r="G94" s="67"/>
      <c r="H94" s="67"/>
      <c r="I94" s="67"/>
      <c r="J94" s="67"/>
      <c r="K94" s="67"/>
      <c r="L94" s="52"/>
      <c r="M94" s="52"/>
      <c r="N94" s="52"/>
      <c r="O94" s="52"/>
      <c r="P94" s="66"/>
      <c r="Q94" s="66"/>
      <c r="R94" s="52"/>
      <c r="S94" s="52"/>
      <c r="T94" s="52"/>
      <c r="U94" s="52"/>
      <c r="V94" s="52"/>
      <c r="W94" s="52"/>
      <c r="X94" s="52"/>
      <c r="Y94" s="52"/>
      <c r="Z94" s="52"/>
      <c r="AA94" s="52"/>
    </row>
    <row r="95" spans="1:27" x14ac:dyDescent="0.15">
      <c r="A95" s="46">
        <v>93</v>
      </c>
      <c r="B95" s="67"/>
      <c r="C95" s="67"/>
      <c r="D95" s="67"/>
      <c r="E95" s="67"/>
      <c r="F95" s="67"/>
      <c r="G95" s="67"/>
      <c r="H95" s="67"/>
      <c r="I95" s="67"/>
      <c r="J95" s="67"/>
      <c r="K95" s="67"/>
      <c r="L95" s="52"/>
      <c r="M95" s="52"/>
      <c r="N95" s="52"/>
      <c r="O95" s="52"/>
      <c r="P95" s="66"/>
      <c r="Q95" s="66"/>
      <c r="R95" s="52"/>
      <c r="S95" s="52"/>
      <c r="T95" s="52"/>
      <c r="U95" s="52"/>
      <c r="V95" s="52"/>
      <c r="W95" s="52"/>
      <c r="X95" s="52"/>
      <c r="Y95" s="52"/>
      <c r="Z95" s="52"/>
      <c r="AA95" s="52"/>
    </row>
    <row r="96" spans="1:27" x14ac:dyDescent="0.15">
      <c r="A96" s="46">
        <v>94</v>
      </c>
      <c r="B96" s="67"/>
      <c r="C96" s="67"/>
      <c r="D96" s="67"/>
      <c r="E96" s="67"/>
      <c r="F96" s="67"/>
      <c r="G96" s="67"/>
      <c r="H96" s="67"/>
      <c r="I96" s="67"/>
      <c r="J96" s="67"/>
      <c r="K96" s="67"/>
      <c r="L96" s="52"/>
      <c r="M96" s="52"/>
      <c r="N96" s="52"/>
      <c r="O96" s="52"/>
      <c r="P96" s="66"/>
      <c r="Q96" s="66"/>
      <c r="R96" s="52"/>
      <c r="S96" s="52"/>
      <c r="T96" s="52"/>
      <c r="U96" s="52"/>
      <c r="V96" s="52"/>
      <c r="W96" s="52"/>
      <c r="X96" s="52"/>
      <c r="Y96" s="52"/>
      <c r="Z96" s="52"/>
      <c r="AA96" s="52"/>
    </row>
    <row r="97" spans="1:27" x14ac:dyDescent="0.15">
      <c r="A97" s="46">
        <v>95</v>
      </c>
      <c r="B97" s="67"/>
      <c r="C97" s="67"/>
      <c r="D97" s="67"/>
      <c r="E97" s="67"/>
      <c r="F97" s="67"/>
      <c r="G97" s="67"/>
      <c r="H97" s="67"/>
      <c r="I97" s="67"/>
      <c r="J97" s="67"/>
      <c r="K97" s="67"/>
      <c r="L97" s="52"/>
      <c r="M97" s="52"/>
      <c r="N97" s="52"/>
      <c r="O97" s="52"/>
      <c r="P97" s="66"/>
      <c r="Q97" s="66"/>
      <c r="R97" s="52"/>
      <c r="S97" s="52"/>
      <c r="T97" s="52"/>
      <c r="U97" s="52"/>
      <c r="V97" s="52"/>
      <c r="W97" s="52"/>
      <c r="X97" s="52"/>
      <c r="Y97" s="52"/>
      <c r="Z97" s="52"/>
      <c r="AA97" s="52"/>
    </row>
    <row r="98" spans="1:27" x14ac:dyDescent="0.15">
      <c r="A98" s="46">
        <v>96</v>
      </c>
      <c r="B98" s="67"/>
      <c r="C98" s="67"/>
      <c r="D98" s="67"/>
      <c r="E98" s="67"/>
      <c r="F98" s="67"/>
      <c r="G98" s="67"/>
      <c r="H98" s="67"/>
      <c r="I98" s="67"/>
      <c r="J98" s="67"/>
      <c r="K98" s="67"/>
      <c r="L98" s="52"/>
      <c r="M98" s="52"/>
      <c r="N98" s="52"/>
      <c r="O98" s="52"/>
      <c r="P98" s="66"/>
      <c r="Q98" s="66"/>
      <c r="R98" s="52"/>
      <c r="S98" s="52"/>
      <c r="T98" s="52"/>
      <c r="U98" s="52"/>
      <c r="V98" s="52"/>
      <c r="W98" s="52"/>
      <c r="X98" s="52"/>
      <c r="Y98" s="52"/>
      <c r="Z98" s="52"/>
      <c r="AA98" s="52"/>
    </row>
    <row r="99" spans="1:27" x14ac:dyDescent="0.15">
      <c r="A99" s="46">
        <v>97</v>
      </c>
      <c r="B99" s="67"/>
      <c r="C99" s="67"/>
      <c r="D99" s="67"/>
      <c r="E99" s="67"/>
      <c r="F99" s="67"/>
      <c r="G99" s="67"/>
      <c r="H99" s="67"/>
      <c r="I99" s="67"/>
      <c r="J99" s="67"/>
      <c r="K99" s="67"/>
      <c r="L99" s="52"/>
      <c r="M99" s="52"/>
      <c r="N99" s="52"/>
      <c r="O99" s="52"/>
      <c r="P99" s="66"/>
      <c r="Q99" s="66"/>
      <c r="R99" s="52"/>
      <c r="S99" s="52"/>
      <c r="T99" s="52"/>
      <c r="U99" s="52"/>
      <c r="V99" s="52"/>
      <c r="W99" s="52"/>
      <c r="X99" s="52"/>
      <c r="Y99" s="52"/>
      <c r="Z99" s="52"/>
      <c r="AA99" s="52"/>
    </row>
    <row r="100" spans="1:27" x14ac:dyDescent="0.15">
      <c r="A100" s="46">
        <v>98</v>
      </c>
      <c r="B100" s="67"/>
      <c r="C100" s="67"/>
      <c r="D100" s="67"/>
      <c r="E100" s="67"/>
      <c r="F100" s="67"/>
      <c r="G100" s="67"/>
      <c r="H100" s="67"/>
      <c r="I100" s="67"/>
      <c r="J100" s="67"/>
      <c r="K100" s="67"/>
      <c r="L100" s="52"/>
      <c r="M100" s="52"/>
      <c r="N100" s="52"/>
      <c r="O100" s="52"/>
      <c r="P100" s="66"/>
      <c r="Q100" s="66"/>
      <c r="R100" s="52"/>
      <c r="S100" s="52"/>
      <c r="T100" s="52"/>
      <c r="U100" s="52"/>
      <c r="V100" s="52"/>
      <c r="W100" s="52"/>
      <c r="X100" s="52"/>
      <c r="Y100" s="52"/>
      <c r="Z100" s="52"/>
      <c r="AA100" s="52"/>
    </row>
    <row r="101" spans="1:27" x14ac:dyDescent="0.15">
      <c r="A101" s="46">
        <v>99</v>
      </c>
      <c r="B101" s="67"/>
      <c r="C101" s="67"/>
      <c r="D101" s="67"/>
      <c r="E101" s="67"/>
      <c r="F101" s="67"/>
      <c r="G101" s="67"/>
      <c r="H101" s="67"/>
      <c r="I101" s="67"/>
      <c r="J101" s="67"/>
      <c r="K101" s="67"/>
      <c r="L101" s="52"/>
      <c r="M101" s="52"/>
      <c r="N101" s="52"/>
      <c r="O101" s="52"/>
      <c r="P101" s="66"/>
      <c r="Q101" s="66"/>
      <c r="R101" s="52"/>
      <c r="S101" s="52"/>
      <c r="T101" s="52"/>
      <c r="U101" s="52"/>
      <c r="V101" s="52"/>
      <c r="W101" s="52"/>
      <c r="X101" s="52"/>
      <c r="Y101" s="52"/>
      <c r="Z101" s="52"/>
      <c r="AA101" s="52"/>
    </row>
    <row r="102" spans="1:27" x14ac:dyDescent="0.15">
      <c r="A102" s="46">
        <v>100</v>
      </c>
      <c r="B102" s="67"/>
      <c r="C102" s="67"/>
      <c r="D102" s="67"/>
      <c r="E102" s="67"/>
      <c r="F102" s="67"/>
      <c r="G102" s="67"/>
      <c r="H102" s="67"/>
      <c r="I102" s="67"/>
      <c r="J102" s="67"/>
      <c r="K102" s="67"/>
      <c r="L102" s="52"/>
      <c r="M102" s="52"/>
      <c r="N102" s="52"/>
      <c r="O102" s="52"/>
      <c r="P102" s="66"/>
      <c r="Q102" s="66"/>
      <c r="R102" s="52"/>
      <c r="S102" s="52"/>
      <c r="T102" s="52"/>
      <c r="U102" s="52"/>
      <c r="V102" s="52"/>
      <c r="W102" s="52"/>
      <c r="X102" s="52"/>
      <c r="Y102" s="52"/>
      <c r="Z102" s="52"/>
      <c r="AA102" s="52"/>
    </row>
    <row r="103" spans="1:27" x14ac:dyDescent="0.15">
      <c r="A103" s="46">
        <v>101</v>
      </c>
      <c r="B103" s="67"/>
      <c r="C103" s="67"/>
      <c r="D103" s="67"/>
      <c r="E103" s="67"/>
      <c r="F103" s="67"/>
      <c r="G103" s="67"/>
      <c r="H103" s="67"/>
      <c r="I103" s="67"/>
      <c r="J103" s="67"/>
      <c r="K103" s="67"/>
      <c r="L103" s="52"/>
      <c r="M103" s="52"/>
      <c r="N103" s="52"/>
      <c r="O103" s="52"/>
      <c r="P103" s="66"/>
      <c r="Q103" s="66"/>
      <c r="R103" s="52"/>
      <c r="S103" s="52"/>
      <c r="T103" s="52"/>
      <c r="U103" s="52"/>
      <c r="V103" s="52"/>
      <c r="W103" s="52"/>
      <c r="X103" s="52"/>
      <c r="Y103" s="52"/>
      <c r="Z103" s="52"/>
      <c r="AA103" s="52"/>
    </row>
    <row r="104" spans="1:27" x14ac:dyDescent="0.15">
      <c r="A104" s="46">
        <v>102</v>
      </c>
      <c r="B104" s="67"/>
      <c r="C104" s="67"/>
      <c r="D104" s="67"/>
      <c r="E104" s="67"/>
      <c r="F104" s="67"/>
      <c r="G104" s="67"/>
      <c r="H104" s="67"/>
      <c r="I104" s="67"/>
      <c r="J104" s="67"/>
      <c r="K104" s="67"/>
      <c r="L104" s="52"/>
      <c r="M104" s="52"/>
      <c r="N104" s="52"/>
      <c r="O104" s="52"/>
      <c r="P104" s="66"/>
      <c r="Q104" s="66"/>
      <c r="R104" s="52"/>
      <c r="S104" s="52"/>
      <c r="T104" s="52"/>
      <c r="U104" s="52"/>
      <c r="V104" s="52"/>
      <c r="W104" s="52"/>
      <c r="X104" s="52"/>
      <c r="Y104" s="52"/>
      <c r="Z104" s="52"/>
      <c r="AA104" s="52"/>
    </row>
    <row r="105" spans="1:27" x14ac:dyDescent="0.15">
      <c r="A105" s="46">
        <v>103</v>
      </c>
      <c r="B105" s="67"/>
      <c r="C105" s="67"/>
      <c r="D105" s="67"/>
      <c r="E105" s="67"/>
      <c r="F105" s="67"/>
      <c r="G105" s="67"/>
      <c r="H105" s="67"/>
      <c r="I105" s="67"/>
      <c r="J105" s="67"/>
      <c r="K105" s="67"/>
      <c r="L105" s="52"/>
      <c r="M105" s="52"/>
      <c r="N105" s="52"/>
      <c r="O105" s="52"/>
      <c r="P105" s="66"/>
      <c r="Q105" s="66"/>
      <c r="R105" s="52"/>
      <c r="S105" s="52"/>
      <c r="T105" s="52"/>
      <c r="U105" s="52"/>
      <c r="V105" s="52"/>
      <c r="W105" s="52"/>
      <c r="X105" s="52"/>
      <c r="Y105" s="52"/>
      <c r="Z105" s="52"/>
      <c r="AA105" s="52"/>
    </row>
    <row r="106" spans="1:27" x14ac:dyDescent="0.15">
      <c r="A106" s="46">
        <v>104</v>
      </c>
      <c r="B106" s="67"/>
      <c r="C106" s="67"/>
      <c r="D106" s="67"/>
      <c r="E106" s="67"/>
      <c r="F106" s="67"/>
      <c r="G106" s="67"/>
      <c r="H106" s="67"/>
      <c r="I106" s="67"/>
      <c r="J106" s="67"/>
      <c r="K106" s="67"/>
      <c r="L106" s="52"/>
      <c r="M106" s="52"/>
      <c r="N106" s="52"/>
      <c r="O106" s="52"/>
      <c r="P106" s="66"/>
      <c r="Q106" s="66"/>
      <c r="R106" s="52"/>
      <c r="S106" s="52"/>
      <c r="T106" s="52"/>
      <c r="U106" s="52"/>
      <c r="V106" s="52"/>
      <c r="W106" s="52"/>
      <c r="X106" s="52"/>
      <c r="Y106" s="52"/>
      <c r="Z106" s="52"/>
      <c r="AA106" s="52"/>
    </row>
    <row r="107" spans="1:27" x14ac:dyDescent="0.15">
      <c r="A107" s="46">
        <v>105</v>
      </c>
      <c r="B107" s="67"/>
      <c r="C107" s="67"/>
      <c r="D107" s="67"/>
      <c r="E107" s="67"/>
      <c r="F107" s="67"/>
      <c r="G107" s="67"/>
      <c r="H107" s="67"/>
      <c r="I107" s="67"/>
      <c r="J107" s="67"/>
      <c r="K107" s="67"/>
      <c r="L107" s="52"/>
      <c r="M107" s="52"/>
      <c r="N107" s="52"/>
      <c r="O107" s="52"/>
      <c r="P107" s="66"/>
      <c r="Q107" s="66"/>
      <c r="R107" s="52"/>
      <c r="S107" s="52"/>
      <c r="T107" s="52"/>
      <c r="U107" s="52"/>
      <c r="V107" s="52"/>
      <c r="W107" s="52"/>
      <c r="X107" s="52"/>
      <c r="Y107" s="52"/>
      <c r="Z107" s="52"/>
      <c r="AA107" s="52"/>
    </row>
    <row r="108" spans="1:27" x14ac:dyDescent="0.15">
      <c r="A108" s="46">
        <v>106</v>
      </c>
      <c r="B108" s="67"/>
      <c r="C108" s="67"/>
      <c r="D108" s="67"/>
      <c r="E108" s="67"/>
      <c r="F108" s="67"/>
      <c r="G108" s="67"/>
      <c r="H108" s="67"/>
      <c r="I108" s="67"/>
      <c r="J108" s="67"/>
      <c r="K108" s="67"/>
      <c r="L108" s="52"/>
      <c r="M108" s="52"/>
      <c r="N108" s="52"/>
      <c r="O108" s="52"/>
      <c r="P108" s="66"/>
      <c r="Q108" s="66"/>
      <c r="R108" s="52"/>
      <c r="S108" s="52"/>
      <c r="T108" s="52"/>
      <c r="U108" s="52"/>
      <c r="V108" s="52"/>
      <c r="W108" s="52"/>
      <c r="X108" s="52"/>
      <c r="Y108" s="52"/>
      <c r="Z108" s="52"/>
      <c r="AA108" s="52"/>
    </row>
    <row r="109" spans="1:27" x14ac:dyDescent="0.15">
      <c r="A109" s="46">
        <v>107</v>
      </c>
      <c r="B109" s="67"/>
      <c r="C109" s="67"/>
      <c r="D109" s="67"/>
      <c r="E109" s="67"/>
      <c r="F109" s="67"/>
      <c r="G109" s="67"/>
      <c r="H109" s="67"/>
      <c r="I109" s="67"/>
      <c r="J109" s="67"/>
      <c r="K109" s="67"/>
      <c r="L109" s="52"/>
      <c r="M109" s="52"/>
      <c r="N109" s="52"/>
      <c r="O109" s="52"/>
      <c r="P109" s="66"/>
      <c r="Q109" s="66"/>
      <c r="R109" s="52"/>
      <c r="S109" s="52"/>
      <c r="T109" s="52"/>
      <c r="U109" s="52"/>
      <c r="V109" s="52"/>
      <c r="W109" s="52"/>
      <c r="X109" s="52"/>
      <c r="Y109" s="52"/>
      <c r="Z109" s="52"/>
      <c r="AA109" s="52"/>
    </row>
    <row r="110" spans="1:27" x14ac:dyDescent="0.15">
      <c r="A110" s="46">
        <v>108</v>
      </c>
      <c r="B110" s="67"/>
      <c r="C110" s="67"/>
      <c r="D110" s="67"/>
      <c r="E110" s="67"/>
      <c r="F110" s="67"/>
      <c r="G110" s="67"/>
      <c r="H110" s="67"/>
      <c r="I110" s="67"/>
      <c r="J110" s="67"/>
      <c r="K110" s="67"/>
      <c r="L110" s="52"/>
      <c r="M110" s="52"/>
      <c r="N110" s="52"/>
      <c r="O110" s="52"/>
      <c r="P110" s="66"/>
      <c r="Q110" s="66"/>
      <c r="R110" s="52"/>
      <c r="S110" s="52"/>
      <c r="T110" s="52"/>
      <c r="U110" s="52"/>
      <c r="V110" s="52"/>
      <c r="W110" s="52"/>
      <c r="X110" s="52"/>
      <c r="Y110" s="52"/>
      <c r="Z110" s="52"/>
      <c r="AA110" s="52"/>
    </row>
    <row r="111" spans="1:27" x14ac:dyDescent="0.15">
      <c r="A111" s="46">
        <v>109</v>
      </c>
      <c r="B111" s="67"/>
      <c r="C111" s="67"/>
      <c r="D111" s="67"/>
      <c r="E111" s="67"/>
      <c r="F111" s="67"/>
      <c r="G111" s="67"/>
      <c r="H111" s="67"/>
      <c r="I111" s="67"/>
      <c r="J111" s="67"/>
      <c r="K111" s="67"/>
      <c r="L111" s="52"/>
      <c r="M111" s="52"/>
      <c r="N111" s="52"/>
      <c r="O111" s="52"/>
      <c r="P111" s="66"/>
      <c r="Q111" s="66"/>
      <c r="R111" s="52"/>
      <c r="S111" s="52"/>
      <c r="T111" s="52"/>
      <c r="U111" s="52"/>
      <c r="V111" s="52"/>
      <c r="W111" s="52"/>
      <c r="X111" s="52"/>
      <c r="Y111" s="52"/>
      <c r="Z111" s="52"/>
      <c r="AA111" s="52"/>
    </row>
    <row r="112" spans="1:27" x14ac:dyDescent="0.15">
      <c r="A112" s="46">
        <v>110</v>
      </c>
      <c r="B112" s="67"/>
      <c r="C112" s="67"/>
      <c r="D112" s="67"/>
      <c r="E112" s="67"/>
      <c r="F112" s="67"/>
      <c r="G112" s="67"/>
      <c r="H112" s="67"/>
      <c r="I112" s="67"/>
      <c r="J112" s="67"/>
      <c r="K112" s="67"/>
      <c r="L112" s="52"/>
      <c r="M112" s="52"/>
      <c r="N112" s="52"/>
      <c r="O112" s="52"/>
      <c r="P112" s="66"/>
      <c r="Q112" s="66"/>
      <c r="R112" s="52"/>
      <c r="S112" s="52"/>
      <c r="T112" s="52"/>
      <c r="U112" s="52"/>
      <c r="V112" s="52"/>
      <c r="W112" s="52"/>
      <c r="X112" s="52"/>
      <c r="Y112" s="52"/>
      <c r="Z112" s="52"/>
      <c r="AA112" s="52"/>
    </row>
    <row r="113" spans="1:27" x14ac:dyDescent="0.15">
      <c r="A113" s="46">
        <v>111</v>
      </c>
      <c r="B113" s="67"/>
      <c r="C113" s="67"/>
      <c r="D113" s="67"/>
      <c r="E113" s="67"/>
      <c r="F113" s="67"/>
      <c r="G113" s="67"/>
      <c r="H113" s="67"/>
      <c r="I113" s="67"/>
      <c r="J113" s="67"/>
      <c r="K113" s="67"/>
      <c r="L113" s="52"/>
      <c r="M113" s="52"/>
      <c r="N113" s="52"/>
      <c r="O113" s="52"/>
      <c r="P113" s="66"/>
      <c r="Q113" s="66"/>
      <c r="R113" s="52"/>
      <c r="S113" s="52"/>
      <c r="T113" s="52"/>
      <c r="U113" s="52"/>
      <c r="V113" s="52"/>
      <c r="W113" s="52"/>
      <c r="X113" s="52"/>
      <c r="Y113" s="52"/>
      <c r="Z113" s="52"/>
      <c r="AA113" s="52"/>
    </row>
    <row r="114" spans="1:27" x14ac:dyDescent="0.15">
      <c r="A114" s="46">
        <v>112</v>
      </c>
      <c r="B114" s="67"/>
      <c r="C114" s="67"/>
      <c r="D114" s="67"/>
      <c r="E114" s="67"/>
      <c r="F114" s="67"/>
      <c r="G114" s="67"/>
      <c r="H114" s="67"/>
      <c r="I114" s="67"/>
      <c r="J114" s="67"/>
      <c r="K114" s="67"/>
      <c r="L114" s="52"/>
      <c r="M114" s="52"/>
      <c r="N114" s="52"/>
      <c r="O114" s="52"/>
      <c r="P114" s="66"/>
      <c r="Q114" s="66"/>
      <c r="R114" s="52"/>
      <c r="S114" s="52"/>
      <c r="T114" s="52"/>
      <c r="U114" s="52"/>
      <c r="V114" s="52"/>
      <c r="W114" s="52"/>
      <c r="X114" s="52"/>
      <c r="Y114" s="52"/>
      <c r="Z114" s="52"/>
      <c r="AA114" s="52"/>
    </row>
    <row r="115" spans="1:27" x14ac:dyDescent="0.15">
      <c r="A115" s="46">
        <v>113</v>
      </c>
      <c r="B115" s="67"/>
      <c r="C115" s="67"/>
      <c r="D115" s="67"/>
      <c r="E115" s="67"/>
      <c r="F115" s="67"/>
      <c r="G115" s="67"/>
      <c r="H115" s="67"/>
      <c r="I115" s="67"/>
      <c r="J115" s="67"/>
      <c r="K115" s="67"/>
      <c r="L115" s="52"/>
      <c r="M115" s="52"/>
      <c r="N115" s="52"/>
      <c r="O115" s="52"/>
      <c r="P115" s="66"/>
      <c r="Q115" s="66"/>
      <c r="R115" s="52"/>
      <c r="S115" s="52"/>
      <c r="T115" s="52"/>
      <c r="U115" s="52"/>
      <c r="V115" s="52"/>
      <c r="W115" s="52"/>
      <c r="X115" s="52"/>
      <c r="Y115" s="52"/>
      <c r="Z115" s="52"/>
      <c r="AA115" s="52"/>
    </row>
    <row r="116" spans="1:27" x14ac:dyDescent="0.15">
      <c r="A116" s="46">
        <v>114</v>
      </c>
      <c r="B116" s="67"/>
      <c r="C116" s="67"/>
      <c r="D116" s="67"/>
      <c r="E116" s="67"/>
      <c r="F116" s="67"/>
      <c r="G116" s="67"/>
      <c r="H116" s="67"/>
      <c r="I116" s="67"/>
      <c r="J116" s="67"/>
      <c r="K116" s="67"/>
      <c r="L116" s="52"/>
      <c r="M116" s="52"/>
      <c r="N116" s="52"/>
      <c r="O116" s="52"/>
      <c r="P116" s="66"/>
      <c r="Q116" s="66"/>
      <c r="R116" s="52"/>
      <c r="S116" s="52"/>
      <c r="T116" s="52"/>
      <c r="U116" s="52"/>
      <c r="V116" s="52"/>
      <c r="W116" s="52"/>
      <c r="X116" s="52"/>
      <c r="Y116" s="52"/>
      <c r="Z116" s="52"/>
      <c r="AA116" s="52"/>
    </row>
    <row r="117" spans="1:27" x14ac:dyDescent="0.15">
      <c r="A117" s="46">
        <v>115</v>
      </c>
      <c r="B117" s="67"/>
      <c r="C117" s="67"/>
      <c r="D117" s="67"/>
      <c r="E117" s="67"/>
      <c r="F117" s="67"/>
      <c r="G117" s="67"/>
      <c r="H117" s="67"/>
      <c r="I117" s="67"/>
      <c r="J117" s="67"/>
      <c r="K117" s="67"/>
      <c r="L117" s="52"/>
      <c r="M117" s="52"/>
      <c r="N117" s="52"/>
      <c r="O117" s="52"/>
      <c r="P117" s="66"/>
      <c r="Q117" s="66"/>
      <c r="R117" s="52"/>
      <c r="S117" s="52"/>
      <c r="T117" s="52"/>
      <c r="U117" s="52"/>
      <c r="V117" s="52"/>
      <c r="W117" s="52"/>
      <c r="X117" s="52"/>
      <c r="Y117" s="52"/>
      <c r="Z117" s="52"/>
      <c r="AA117" s="52"/>
    </row>
    <row r="118" spans="1:27" x14ac:dyDescent="0.15">
      <c r="A118" s="46">
        <v>116</v>
      </c>
      <c r="B118" s="67"/>
      <c r="C118" s="67"/>
      <c r="D118" s="67"/>
      <c r="E118" s="67"/>
      <c r="F118" s="67"/>
      <c r="G118" s="67"/>
      <c r="H118" s="67"/>
      <c r="I118" s="67"/>
      <c r="J118" s="67"/>
      <c r="K118" s="67"/>
      <c r="L118" s="52"/>
      <c r="M118" s="52"/>
      <c r="N118" s="52"/>
      <c r="O118" s="52"/>
      <c r="P118" s="66"/>
      <c r="Q118" s="66"/>
      <c r="R118" s="52"/>
      <c r="S118" s="52"/>
      <c r="T118" s="52"/>
      <c r="U118" s="52"/>
      <c r="V118" s="52"/>
      <c r="W118" s="52"/>
      <c r="X118" s="52"/>
      <c r="Y118" s="52"/>
      <c r="Z118" s="52"/>
      <c r="AA118" s="52"/>
    </row>
    <row r="119" spans="1:27" x14ac:dyDescent="0.15">
      <c r="A119" s="46">
        <v>117</v>
      </c>
      <c r="B119" s="67"/>
      <c r="C119" s="67"/>
      <c r="D119" s="67"/>
      <c r="E119" s="67"/>
      <c r="F119" s="67"/>
      <c r="G119" s="67"/>
      <c r="H119" s="67"/>
      <c r="I119" s="67"/>
      <c r="J119" s="67"/>
      <c r="K119" s="67"/>
      <c r="L119" s="52"/>
      <c r="M119" s="52"/>
      <c r="N119" s="52"/>
      <c r="O119" s="52"/>
      <c r="P119" s="66"/>
      <c r="Q119" s="66"/>
      <c r="R119" s="52"/>
      <c r="S119" s="52"/>
      <c r="T119" s="52"/>
      <c r="U119" s="52"/>
      <c r="V119" s="52"/>
      <c r="W119" s="52"/>
      <c r="X119" s="52"/>
      <c r="Y119" s="52"/>
      <c r="Z119" s="52"/>
      <c r="AA119" s="52"/>
    </row>
    <row r="120" spans="1:27" x14ac:dyDescent="0.15">
      <c r="A120" s="46">
        <v>118</v>
      </c>
      <c r="B120" s="67"/>
      <c r="C120" s="67"/>
      <c r="D120" s="67"/>
      <c r="E120" s="67"/>
      <c r="F120" s="67"/>
      <c r="G120" s="67"/>
      <c r="H120" s="67"/>
      <c r="I120" s="67"/>
      <c r="J120" s="67"/>
      <c r="K120" s="67"/>
      <c r="L120" s="52"/>
      <c r="M120" s="52"/>
      <c r="N120" s="52"/>
      <c r="O120" s="52"/>
      <c r="P120" s="66"/>
      <c r="Q120" s="66"/>
      <c r="R120" s="52"/>
      <c r="S120" s="52"/>
      <c r="T120" s="52"/>
      <c r="U120" s="52"/>
      <c r="V120" s="52"/>
      <c r="W120" s="52"/>
      <c r="X120" s="52"/>
      <c r="Y120" s="52"/>
      <c r="Z120" s="52"/>
      <c r="AA120" s="52"/>
    </row>
    <row r="121" spans="1:27" x14ac:dyDescent="0.15">
      <c r="A121" s="46">
        <v>119</v>
      </c>
      <c r="B121" s="67"/>
      <c r="C121" s="67"/>
      <c r="D121" s="67"/>
      <c r="E121" s="67"/>
      <c r="F121" s="67"/>
      <c r="G121" s="67"/>
      <c r="H121" s="67"/>
      <c r="I121" s="67"/>
      <c r="J121" s="67"/>
      <c r="K121" s="67"/>
      <c r="L121" s="52"/>
      <c r="M121" s="52"/>
      <c r="N121" s="52"/>
      <c r="O121" s="52"/>
      <c r="P121" s="66"/>
      <c r="Q121" s="66"/>
      <c r="R121" s="52"/>
      <c r="S121" s="52"/>
      <c r="T121" s="52"/>
      <c r="U121" s="52"/>
      <c r="V121" s="52"/>
      <c r="W121" s="52"/>
      <c r="X121" s="52"/>
      <c r="Y121" s="52"/>
      <c r="Z121" s="52"/>
      <c r="AA121" s="52"/>
    </row>
    <row r="122" spans="1:27" x14ac:dyDescent="0.15">
      <c r="A122" s="46">
        <v>120</v>
      </c>
      <c r="B122" s="67"/>
      <c r="C122" s="67"/>
      <c r="D122" s="67"/>
      <c r="E122" s="67"/>
      <c r="F122" s="67"/>
      <c r="G122" s="67"/>
      <c r="H122" s="67"/>
      <c r="I122" s="67"/>
      <c r="J122" s="67"/>
      <c r="K122" s="67"/>
      <c r="L122" s="52"/>
      <c r="M122" s="52"/>
      <c r="N122" s="52"/>
      <c r="O122" s="52"/>
      <c r="P122" s="66"/>
      <c r="Q122" s="66"/>
      <c r="R122" s="52"/>
      <c r="S122" s="52"/>
      <c r="T122" s="52"/>
      <c r="U122" s="52"/>
      <c r="V122" s="52"/>
      <c r="W122" s="52"/>
      <c r="X122" s="52"/>
      <c r="Y122" s="52"/>
      <c r="Z122" s="52"/>
      <c r="AA122" s="52"/>
    </row>
    <row r="123" spans="1:27" x14ac:dyDescent="0.15">
      <c r="A123" s="46">
        <v>121</v>
      </c>
      <c r="B123" s="67"/>
      <c r="C123" s="67"/>
      <c r="D123" s="67"/>
      <c r="E123" s="67"/>
      <c r="F123" s="67"/>
      <c r="G123" s="67"/>
      <c r="H123" s="67"/>
      <c r="I123" s="67"/>
      <c r="J123" s="67"/>
      <c r="K123" s="67"/>
      <c r="L123" s="52"/>
      <c r="M123" s="52"/>
      <c r="N123" s="52"/>
      <c r="O123" s="52"/>
      <c r="P123" s="66"/>
      <c r="Q123" s="66"/>
      <c r="R123" s="52"/>
      <c r="S123" s="52"/>
      <c r="T123" s="52"/>
      <c r="U123" s="52"/>
      <c r="V123" s="52"/>
      <c r="W123" s="52"/>
      <c r="X123" s="52"/>
      <c r="Y123" s="52"/>
      <c r="Z123" s="52"/>
      <c r="AA123" s="52"/>
    </row>
    <row r="124" spans="1:27" x14ac:dyDescent="0.15">
      <c r="A124" s="46">
        <v>122</v>
      </c>
      <c r="B124" s="67"/>
      <c r="C124" s="67"/>
      <c r="D124" s="67"/>
      <c r="E124" s="67"/>
      <c r="F124" s="67"/>
      <c r="G124" s="67"/>
      <c r="H124" s="67"/>
      <c r="I124" s="67"/>
      <c r="J124" s="67"/>
      <c r="K124" s="67"/>
      <c r="L124" s="52"/>
      <c r="M124" s="52"/>
      <c r="N124" s="52"/>
      <c r="O124" s="52"/>
      <c r="P124" s="66"/>
      <c r="Q124" s="66"/>
      <c r="R124" s="52"/>
      <c r="S124" s="52"/>
      <c r="T124" s="52"/>
      <c r="U124" s="52"/>
      <c r="V124" s="52"/>
      <c r="W124" s="52"/>
      <c r="X124" s="52"/>
      <c r="Y124" s="52"/>
      <c r="Z124" s="52"/>
      <c r="AA124" s="52"/>
    </row>
    <row r="125" spans="1:27" x14ac:dyDescent="0.15">
      <c r="A125" s="46">
        <v>123</v>
      </c>
      <c r="B125" s="67"/>
      <c r="C125" s="67"/>
      <c r="D125" s="67"/>
      <c r="E125" s="67"/>
      <c r="F125" s="67"/>
      <c r="G125" s="67"/>
      <c r="H125" s="67"/>
      <c r="I125" s="67"/>
      <c r="J125" s="67"/>
      <c r="K125" s="67"/>
      <c r="L125" s="52"/>
      <c r="M125" s="52"/>
      <c r="N125" s="52"/>
      <c r="O125" s="52"/>
      <c r="P125" s="66"/>
      <c r="Q125" s="66"/>
      <c r="R125" s="52"/>
      <c r="S125" s="52"/>
      <c r="T125" s="52"/>
      <c r="U125" s="52"/>
      <c r="V125" s="52"/>
      <c r="W125" s="52"/>
      <c r="X125" s="52"/>
      <c r="Y125" s="52"/>
      <c r="Z125" s="52"/>
      <c r="AA125" s="52"/>
    </row>
    <row r="126" spans="1:27" x14ac:dyDescent="0.15">
      <c r="A126" s="46">
        <v>124</v>
      </c>
      <c r="B126" s="67"/>
      <c r="C126" s="67"/>
      <c r="D126" s="67"/>
      <c r="E126" s="67"/>
      <c r="F126" s="67"/>
      <c r="G126" s="67"/>
      <c r="H126" s="67"/>
      <c r="I126" s="67"/>
      <c r="J126" s="67"/>
      <c r="K126" s="67"/>
      <c r="L126" s="52"/>
      <c r="M126" s="52"/>
      <c r="N126" s="52"/>
      <c r="O126" s="52"/>
      <c r="P126" s="66"/>
      <c r="Q126" s="66"/>
      <c r="R126" s="52"/>
      <c r="S126" s="52"/>
      <c r="T126" s="52"/>
      <c r="U126" s="52"/>
      <c r="V126" s="52"/>
      <c r="W126" s="52"/>
      <c r="X126" s="52"/>
      <c r="Y126" s="52"/>
      <c r="Z126" s="52"/>
      <c r="AA126" s="52"/>
    </row>
    <row r="127" spans="1:27" x14ac:dyDescent="0.15">
      <c r="A127" s="46">
        <v>125</v>
      </c>
      <c r="B127" s="67"/>
      <c r="C127" s="67"/>
      <c r="D127" s="67"/>
      <c r="E127" s="67"/>
      <c r="F127" s="67"/>
      <c r="G127" s="67"/>
      <c r="H127" s="67"/>
      <c r="I127" s="67"/>
      <c r="J127" s="67"/>
      <c r="K127" s="67"/>
      <c r="L127" s="52"/>
      <c r="M127" s="52"/>
      <c r="N127" s="52"/>
      <c r="O127" s="52"/>
      <c r="P127" s="66"/>
      <c r="Q127" s="66"/>
      <c r="R127" s="52"/>
      <c r="S127" s="52"/>
      <c r="T127" s="52"/>
      <c r="U127" s="52"/>
      <c r="V127" s="52"/>
      <c r="W127" s="52"/>
      <c r="X127" s="52"/>
      <c r="Y127" s="52"/>
      <c r="Z127" s="52"/>
      <c r="AA127" s="52"/>
    </row>
    <row r="128" spans="1:27" x14ac:dyDescent="0.15">
      <c r="A128" s="46">
        <v>126</v>
      </c>
      <c r="B128" s="67"/>
      <c r="C128" s="67"/>
      <c r="D128" s="67"/>
      <c r="E128" s="67"/>
      <c r="F128" s="67"/>
      <c r="G128" s="67"/>
      <c r="H128" s="67"/>
      <c r="I128" s="67"/>
      <c r="J128" s="67"/>
      <c r="K128" s="67"/>
      <c r="L128" s="52"/>
      <c r="M128" s="52"/>
      <c r="N128" s="52"/>
      <c r="O128" s="52"/>
      <c r="P128" s="66"/>
      <c r="Q128" s="66"/>
      <c r="R128" s="52"/>
      <c r="S128" s="52"/>
      <c r="T128" s="52"/>
      <c r="U128" s="52"/>
      <c r="V128" s="52"/>
      <c r="W128" s="52"/>
      <c r="X128" s="52"/>
      <c r="Y128" s="52"/>
      <c r="Z128" s="52"/>
      <c r="AA128" s="52"/>
    </row>
    <row r="129" spans="1:27" x14ac:dyDescent="0.15">
      <c r="A129" s="46">
        <v>127</v>
      </c>
      <c r="B129" s="67"/>
      <c r="C129" s="67"/>
      <c r="D129" s="67"/>
      <c r="E129" s="67"/>
      <c r="F129" s="67"/>
      <c r="G129" s="67"/>
      <c r="H129" s="67"/>
      <c r="I129" s="67"/>
      <c r="J129" s="67"/>
      <c r="K129" s="67"/>
      <c r="L129" s="52"/>
      <c r="M129" s="52"/>
      <c r="N129" s="52"/>
      <c r="O129" s="52"/>
      <c r="P129" s="66"/>
      <c r="Q129" s="66"/>
      <c r="R129" s="52"/>
      <c r="S129" s="52"/>
      <c r="T129" s="52"/>
      <c r="U129" s="52"/>
      <c r="V129" s="52"/>
      <c r="W129" s="52"/>
      <c r="X129" s="52"/>
      <c r="Y129" s="52"/>
      <c r="Z129" s="52"/>
      <c r="AA129" s="52"/>
    </row>
    <row r="130" spans="1:27" x14ac:dyDescent="0.15">
      <c r="A130" s="46">
        <v>128</v>
      </c>
      <c r="B130" s="67"/>
      <c r="C130" s="67"/>
      <c r="D130" s="67"/>
      <c r="E130" s="67"/>
      <c r="F130" s="67"/>
      <c r="G130" s="67"/>
      <c r="H130" s="67"/>
      <c r="I130" s="67"/>
      <c r="J130" s="67"/>
      <c r="K130" s="67"/>
      <c r="L130" s="52"/>
      <c r="M130" s="52"/>
      <c r="N130" s="52"/>
      <c r="O130" s="52"/>
      <c r="P130" s="66"/>
      <c r="Q130" s="66"/>
      <c r="R130" s="52"/>
      <c r="S130" s="52"/>
      <c r="T130" s="52"/>
      <c r="U130" s="52"/>
      <c r="V130" s="52"/>
      <c r="W130" s="52"/>
      <c r="X130" s="52"/>
      <c r="Y130" s="52"/>
      <c r="Z130" s="52"/>
      <c r="AA130" s="52"/>
    </row>
    <row r="131" spans="1:27" x14ac:dyDescent="0.15">
      <c r="A131" s="46">
        <v>129</v>
      </c>
      <c r="B131" s="67"/>
      <c r="C131" s="67"/>
      <c r="D131" s="67"/>
      <c r="E131" s="67"/>
      <c r="F131" s="67"/>
      <c r="G131" s="67"/>
      <c r="H131" s="67"/>
      <c r="I131" s="67"/>
      <c r="J131" s="67"/>
      <c r="K131" s="67"/>
      <c r="L131" s="52"/>
      <c r="M131" s="52"/>
      <c r="N131" s="52"/>
      <c r="O131" s="52"/>
      <c r="P131" s="66"/>
      <c r="Q131" s="66"/>
      <c r="R131" s="52"/>
      <c r="S131" s="52"/>
      <c r="T131" s="52"/>
      <c r="U131" s="52"/>
      <c r="V131" s="52"/>
      <c r="W131" s="52"/>
      <c r="X131" s="52"/>
      <c r="Y131" s="52"/>
      <c r="Z131" s="52"/>
      <c r="AA131" s="52"/>
    </row>
    <row r="132" spans="1:27" x14ac:dyDescent="0.15">
      <c r="A132" s="46">
        <v>130</v>
      </c>
      <c r="B132" s="67"/>
      <c r="C132" s="67"/>
      <c r="D132" s="67"/>
      <c r="E132" s="67"/>
      <c r="F132" s="67"/>
      <c r="G132" s="67"/>
      <c r="H132" s="67"/>
      <c r="I132" s="67"/>
      <c r="J132" s="67"/>
      <c r="K132" s="67"/>
      <c r="L132" s="52"/>
      <c r="M132" s="52"/>
      <c r="N132" s="52"/>
      <c r="O132" s="52"/>
      <c r="P132" s="66"/>
      <c r="Q132" s="66"/>
      <c r="R132" s="52"/>
      <c r="S132" s="52"/>
      <c r="T132" s="52"/>
      <c r="U132" s="52"/>
      <c r="V132" s="52"/>
      <c r="W132" s="52"/>
      <c r="X132" s="52"/>
      <c r="Y132" s="52"/>
      <c r="Z132" s="52"/>
      <c r="AA132" s="52"/>
    </row>
    <row r="133" spans="1:27" x14ac:dyDescent="0.15">
      <c r="A133" s="46">
        <v>131</v>
      </c>
      <c r="B133" s="67"/>
      <c r="C133" s="67"/>
      <c r="D133" s="67"/>
      <c r="E133" s="67"/>
      <c r="F133" s="67"/>
      <c r="G133" s="67"/>
      <c r="H133" s="67"/>
      <c r="I133" s="67"/>
      <c r="J133" s="67"/>
      <c r="K133" s="67"/>
      <c r="L133" s="52"/>
      <c r="M133" s="52"/>
      <c r="N133" s="52"/>
      <c r="O133" s="52"/>
      <c r="P133" s="66"/>
      <c r="Q133" s="66"/>
      <c r="R133" s="52"/>
      <c r="S133" s="52"/>
      <c r="T133" s="52"/>
      <c r="U133" s="52"/>
      <c r="V133" s="52"/>
      <c r="W133" s="52"/>
      <c r="X133" s="52"/>
      <c r="Y133" s="52"/>
      <c r="Z133" s="52"/>
      <c r="AA133" s="52"/>
    </row>
    <row r="134" spans="1:27" x14ac:dyDescent="0.15">
      <c r="A134" s="46">
        <v>132</v>
      </c>
      <c r="B134" s="67"/>
      <c r="C134" s="67"/>
      <c r="D134" s="67"/>
      <c r="E134" s="67"/>
      <c r="F134" s="67"/>
      <c r="G134" s="67"/>
      <c r="H134" s="67"/>
      <c r="I134" s="67"/>
      <c r="J134" s="67"/>
      <c r="K134" s="67"/>
      <c r="L134" s="52"/>
      <c r="M134" s="52"/>
      <c r="N134" s="52"/>
      <c r="O134" s="52"/>
      <c r="P134" s="66"/>
      <c r="Q134" s="66"/>
      <c r="R134" s="52"/>
      <c r="S134" s="52"/>
      <c r="T134" s="52"/>
      <c r="U134" s="52"/>
      <c r="V134" s="52"/>
      <c r="W134" s="52"/>
      <c r="X134" s="52"/>
      <c r="Y134" s="52"/>
      <c r="Z134" s="52"/>
      <c r="AA134" s="52"/>
    </row>
    <row r="135" spans="1:27" x14ac:dyDescent="0.15">
      <c r="A135" s="46">
        <v>133</v>
      </c>
      <c r="B135" s="67"/>
      <c r="C135" s="67"/>
      <c r="D135" s="67"/>
      <c r="E135" s="67"/>
      <c r="F135" s="67"/>
      <c r="G135" s="67"/>
      <c r="H135" s="67"/>
      <c r="I135" s="67"/>
      <c r="J135" s="67"/>
      <c r="K135" s="67"/>
      <c r="L135" s="52"/>
      <c r="M135" s="52"/>
      <c r="N135" s="52"/>
      <c r="O135" s="52"/>
      <c r="P135" s="66"/>
      <c r="Q135" s="66"/>
      <c r="R135" s="52"/>
      <c r="S135" s="52"/>
      <c r="T135" s="52"/>
      <c r="U135" s="52"/>
      <c r="V135" s="52"/>
      <c r="W135" s="52"/>
      <c r="X135" s="52"/>
      <c r="Y135" s="52"/>
      <c r="Z135" s="52"/>
      <c r="AA135" s="52"/>
    </row>
    <row r="136" spans="1:27" x14ac:dyDescent="0.15">
      <c r="A136" s="46">
        <v>134</v>
      </c>
      <c r="B136" s="67"/>
      <c r="C136" s="67"/>
      <c r="D136" s="67"/>
      <c r="E136" s="67"/>
      <c r="F136" s="67"/>
      <c r="G136" s="67"/>
      <c r="H136" s="67"/>
      <c r="I136" s="67"/>
      <c r="J136" s="67"/>
      <c r="K136" s="67"/>
      <c r="L136" s="52"/>
      <c r="M136" s="52"/>
      <c r="N136" s="52"/>
      <c r="O136" s="52"/>
      <c r="P136" s="66"/>
      <c r="Q136" s="66"/>
      <c r="R136" s="52"/>
      <c r="S136" s="52"/>
      <c r="T136" s="52"/>
      <c r="U136" s="52"/>
      <c r="V136" s="52"/>
      <c r="W136" s="52"/>
      <c r="X136" s="52"/>
      <c r="Y136" s="52"/>
      <c r="Z136" s="52"/>
      <c r="AA136" s="52"/>
    </row>
    <row r="137" spans="1:27" x14ac:dyDescent="0.15">
      <c r="A137" s="46">
        <v>135</v>
      </c>
      <c r="B137" s="67"/>
      <c r="C137" s="67"/>
      <c r="D137" s="67"/>
      <c r="E137" s="67"/>
      <c r="F137" s="67"/>
      <c r="G137" s="67"/>
      <c r="H137" s="67"/>
      <c r="I137" s="67"/>
      <c r="J137" s="67"/>
      <c r="K137" s="67"/>
      <c r="L137" s="52"/>
      <c r="M137" s="52"/>
      <c r="N137" s="52"/>
      <c r="O137" s="52"/>
      <c r="P137" s="66"/>
      <c r="Q137" s="66"/>
      <c r="R137" s="52"/>
      <c r="S137" s="52"/>
      <c r="T137" s="52"/>
      <c r="U137" s="52"/>
      <c r="V137" s="52"/>
      <c r="W137" s="52"/>
      <c r="X137" s="52"/>
      <c r="Y137" s="52"/>
      <c r="Z137" s="52"/>
      <c r="AA137" s="52"/>
    </row>
    <row r="138" spans="1:27" x14ac:dyDescent="0.15">
      <c r="A138" s="46">
        <v>136</v>
      </c>
      <c r="B138" s="67"/>
      <c r="C138" s="67"/>
      <c r="D138" s="67"/>
      <c r="E138" s="67"/>
      <c r="F138" s="67"/>
      <c r="G138" s="67"/>
      <c r="H138" s="67"/>
      <c r="I138" s="67"/>
      <c r="J138" s="67"/>
      <c r="K138" s="67"/>
      <c r="L138" s="52"/>
      <c r="M138" s="52"/>
      <c r="N138" s="52"/>
      <c r="O138" s="52"/>
      <c r="P138" s="66"/>
      <c r="Q138" s="66"/>
      <c r="R138" s="52"/>
      <c r="S138" s="52"/>
      <c r="T138" s="52"/>
      <c r="U138" s="52"/>
      <c r="V138" s="52"/>
      <c r="W138" s="52"/>
      <c r="X138" s="52"/>
      <c r="Y138" s="52"/>
      <c r="Z138" s="52"/>
      <c r="AA138" s="52"/>
    </row>
    <row r="139" spans="1:27" x14ac:dyDescent="0.15">
      <c r="A139" s="46">
        <v>137</v>
      </c>
      <c r="B139" s="67"/>
      <c r="C139" s="67"/>
      <c r="D139" s="67"/>
      <c r="E139" s="67"/>
      <c r="F139" s="67"/>
      <c r="G139" s="67"/>
      <c r="H139" s="67"/>
      <c r="I139" s="67"/>
      <c r="J139" s="67"/>
      <c r="K139" s="67"/>
      <c r="L139" s="52"/>
      <c r="M139" s="52"/>
      <c r="N139" s="52"/>
      <c r="O139" s="52"/>
      <c r="P139" s="66"/>
      <c r="Q139" s="66"/>
      <c r="R139" s="52"/>
      <c r="S139" s="52"/>
      <c r="T139" s="52"/>
      <c r="U139" s="52"/>
      <c r="V139" s="52"/>
      <c r="W139" s="52"/>
      <c r="X139" s="52"/>
      <c r="Y139" s="52"/>
      <c r="Z139" s="52"/>
      <c r="AA139" s="52"/>
    </row>
    <row r="140" spans="1:27" x14ac:dyDescent="0.15">
      <c r="A140" s="46">
        <v>138</v>
      </c>
      <c r="B140" s="67"/>
      <c r="C140" s="67"/>
      <c r="D140" s="67"/>
      <c r="E140" s="67"/>
      <c r="F140" s="67"/>
      <c r="G140" s="67"/>
      <c r="H140" s="67"/>
      <c r="I140" s="67"/>
      <c r="J140" s="67"/>
      <c r="K140" s="67"/>
      <c r="L140" s="52"/>
      <c r="M140" s="52"/>
      <c r="N140" s="52"/>
      <c r="O140" s="52"/>
      <c r="P140" s="66"/>
      <c r="Q140" s="66"/>
      <c r="R140" s="52"/>
      <c r="S140" s="52"/>
      <c r="T140" s="52"/>
      <c r="U140" s="52"/>
      <c r="V140" s="52"/>
      <c r="W140" s="52"/>
      <c r="X140" s="52"/>
      <c r="Y140" s="52"/>
      <c r="Z140" s="52"/>
      <c r="AA140" s="52"/>
    </row>
    <row r="141" spans="1:27" x14ac:dyDescent="0.15">
      <c r="A141" s="46">
        <v>139</v>
      </c>
      <c r="B141" s="67"/>
      <c r="C141" s="67"/>
      <c r="D141" s="67"/>
      <c r="E141" s="67"/>
      <c r="F141" s="67"/>
      <c r="G141" s="67"/>
      <c r="H141" s="67"/>
      <c r="I141" s="67"/>
      <c r="J141" s="67"/>
      <c r="K141" s="67"/>
      <c r="L141" s="52"/>
      <c r="M141" s="52"/>
      <c r="N141" s="52"/>
      <c r="O141" s="52"/>
      <c r="P141" s="66"/>
      <c r="Q141" s="66"/>
      <c r="R141" s="52"/>
      <c r="S141" s="52"/>
      <c r="T141" s="52"/>
      <c r="U141" s="52"/>
      <c r="V141" s="52"/>
      <c r="W141" s="52"/>
      <c r="X141" s="52"/>
      <c r="Y141" s="52"/>
      <c r="Z141" s="52"/>
      <c r="AA141" s="52"/>
    </row>
    <row r="142" spans="1:27" x14ac:dyDescent="0.15">
      <c r="A142" s="46">
        <v>140</v>
      </c>
      <c r="B142" s="67"/>
      <c r="C142" s="67"/>
      <c r="D142" s="67"/>
      <c r="E142" s="67"/>
      <c r="F142" s="67"/>
      <c r="G142" s="67"/>
      <c r="H142" s="67"/>
      <c r="I142" s="67"/>
      <c r="J142" s="67"/>
      <c r="K142" s="67"/>
      <c r="L142" s="52"/>
      <c r="M142" s="52"/>
      <c r="N142" s="52"/>
      <c r="O142" s="52"/>
      <c r="P142" s="66"/>
      <c r="Q142" s="66"/>
      <c r="R142" s="52"/>
      <c r="S142" s="52"/>
      <c r="T142" s="52"/>
      <c r="U142" s="52"/>
      <c r="V142" s="52"/>
      <c r="W142" s="52"/>
      <c r="X142" s="52"/>
      <c r="Y142" s="52"/>
      <c r="Z142" s="52"/>
      <c r="AA142" s="52"/>
    </row>
    <row r="143" spans="1:27" x14ac:dyDescent="0.15">
      <c r="A143" s="46">
        <v>141</v>
      </c>
      <c r="B143" s="67"/>
      <c r="C143" s="67"/>
      <c r="D143" s="67"/>
      <c r="E143" s="67"/>
      <c r="F143" s="67"/>
      <c r="G143" s="67"/>
      <c r="H143" s="67"/>
      <c r="I143" s="67"/>
      <c r="J143" s="67"/>
      <c r="K143" s="67"/>
      <c r="L143" s="52"/>
      <c r="M143" s="52"/>
      <c r="N143" s="52"/>
      <c r="O143" s="52"/>
      <c r="P143" s="66"/>
      <c r="Q143" s="66"/>
      <c r="R143" s="52"/>
      <c r="S143" s="52"/>
      <c r="T143" s="52"/>
      <c r="U143" s="52"/>
      <c r="V143" s="52"/>
      <c r="W143" s="52"/>
      <c r="X143" s="52"/>
      <c r="Y143" s="52"/>
      <c r="Z143" s="52"/>
      <c r="AA143" s="52"/>
    </row>
    <row r="144" spans="1:27" x14ac:dyDescent="0.15">
      <c r="A144" s="46">
        <v>142</v>
      </c>
      <c r="B144" s="67"/>
      <c r="C144" s="67"/>
      <c r="D144" s="67"/>
      <c r="E144" s="67"/>
      <c r="F144" s="67"/>
      <c r="G144" s="67"/>
      <c r="H144" s="67"/>
      <c r="I144" s="67"/>
      <c r="J144" s="67"/>
      <c r="K144" s="67"/>
      <c r="L144" s="52"/>
      <c r="M144" s="52"/>
      <c r="N144" s="52"/>
      <c r="O144" s="52"/>
      <c r="P144" s="66"/>
      <c r="Q144" s="66"/>
      <c r="R144" s="52"/>
      <c r="S144" s="52"/>
      <c r="T144" s="52"/>
      <c r="U144" s="52"/>
      <c r="V144" s="52"/>
      <c r="W144" s="52"/>
      <c r="X144" s="52"/>
      <c r="Y144" s="52"/>
      <c r="Z144" s="52"/>
      <c r="AA144" s="52"/>
    </row>
    <row r="145" spans="1:27" x14ac:dyDescent="0.15">
      <c r="A145" s="46">
        <v>143</v>
      </c>
      <c r="B145" s="67"/>
      <c r="C145" s="67"/>
      <c r="D145" s="67"/>
      <c r="E145" s="67"/>
      <c r="F145" s="67"/>
      <c r="G145" s="67"/>
      <c r="H145" s="67"/>
      <c r="I145" s="67"/>
      <c r="J145" s="67"/>
      <c r="K145" s="67"/>
      <c r="L145" s="52"/>
      <c r="M145" s="52"/>
      <c r="N145" s="52"/>
      <c r="O145" s="52"/>
      <c r="P145" s="66"/>
      <c r="Q145" s="66"/>
      <c r="R145" s="52"/>
      <c r="S145" s="52"/>
      <c r="T145" s="52"/>
      <c r="U145" s="52"/>
      <c r="V145" s="52"/>
      <c r="W145" s="52"/>
      <c r="X145" s="52"/>
      <c r="Y145" s="52"/>
      <c r="Z145" s="52"/>
      <c r="AA145" s="52"/>
    </row>
    <row r="146" spans="1:27" x14ac:dyDescent="0.15">
      <c r="A146" s="46">
        <v>144</v>
      </c>
      <c r="B146" s="67"/>
      <c r="C146" s="67"/>
      <c r="D146" s="67"/>
      <c r="E146" s="67"/>
      <c r="F146" s="67"/>
      <c r="G146" s="67"/>
      <c r="H146" s="67"/>
      <c r="I146" s="67"/>
      <c r="J146" s="67"/>
      <c r="K146" s="67"/>
      <c r="L146" s="52"/>
      <c r="M146" s="52"/>
      <c r="N146" s="52"/>
      <c r="O146" s="52"/>
      <c r="P146" s="66"/>
      <c r="Q146" s="66"/>
      <c r="R146" s="52"/>
      <c r="S146" s="52"/>
      <c r="T146" s="52"/>
      <c r="U146" s="52"/>
      <c r="V146" s="52"/>
      <c r="W146" s="52"/>
      <c r="X146" s="52"/>
      <c r="Y146" s="52"/>
      <c r="Z146" s="52"/>
      <c r="AA146" s="52"/>
    </row>
    <row r="147" spans="1:27" x14ac:dyDescent="0.15">
      <c r="A147" s="46">
        <v>145</v>
      </c>
      <c r="B147" s="67"/>
      <c r="C147" s="67"/>
      <c r="D147" s="67"/>
      <c r="E147" s="67"/>
      <c r="F147" s="67"/>
      <c r="G147" s="67"/>
      <c r="H147" s="67"/>
      <c r="I147" s="67"/>
      <c r="J147" s="67"/>
      <c r="K147" s="67"/>
      <c r="L147" s="52"/>
      <c r="M147" s="52"/>
      <c r="N147" s="52"/>
      <c r="O147" s="52"/>
      <c r="P147" s="66"/>
      <c r="Q147" s="66"/>
      <c r="R147" s="52"/>
      <c r="S147" s="52"/>
      <c r="T147" s="52"/>
      <c r="U147" s="52"/>
      <c r="V147" s="52"/>
      <c r="W147" s="52"/>
      <c r="X147" s="52"/>
      <c r="Y147" s="52"/>
      <c r="Z147" s="52"/>
      <c r="AA147" s="52"/>
    </row>
    <row r="148" spans="1:27" x14ac:dyDescent="0.15">
      <c r="A148" s="46">
        <v>146</v>
      </c>
      <c r="B148" s="67"/>
      <c r="C148" s="67"/>
      <c r="D148" s="67"/>
      <c r="E148" s="67"/>
      <c r="F148" s="67"/>
      <c r="G148" s="67"/>
      <c r="H148" s="67"/>
      <c r="I148" s="67"/>
      <c r="J148" s="67"/>
      <c r="K148" s="67"/>
      <c r="L148" s="52"/>
      <c r="M148" s="52"/>
      <c r="N148" s="52"/>
      <c r="O148" s="52"/>
      <c r="P148" s="66"/>
      <c r="Q148" s="66"/>
      <c r="R148" s="52"/>
      <c r="S148" s="52"/>
      <c r="T148" s="52"/>
      <c r="U148" s="52"/>
      <c r="V148" s="52"/>
      <c r="W148" s="52"/>
      <c r="X148" s="52"/>
      <c r="Y148" s="52"/>
      <c r="Z148" s="52"/>
      <c r="AA148" s="52"/>
    </row>
    <row r="149" spans="1:27" x14ac:dyDescent="0.15">
      <c r="A149" s="46">
        <v>147</v>
      </c>
      <c r="B149" s="67"/>
      <c r="C149" s="67"/>
      <c r="D149" s="67"/>
      <c r="E149" s="67"/>
      <c r="F149" s="67"/>
      <c r="G149" s="67"/>
      <c r="H149" s="67"/>
      <c r="I149" s="67"/>
      <c r="J149" s="67"/>
      <c r="K149" s="67"/>
      <c r="L149" s="52"/>
      <c r="M149" s="52"/>
      <c r="N149" s="52"/>
      <c r="O149" s="52"/>
      <c r="P149" s="66"/>
      <c r="Q149" s="66"/>
      <c r="R149" s="52"/>
      <c r="S149" s="52"/>
      <c r="T149" s="52"/>
      <c r="U149" s="52"/>
      <c r="V149" s="52"/>
      <c r="W149" s="52"/>
      <c r="X149" s="52"/>
      <c r="Y149" s="52"/>
      <c r="Z149" s="52"/>
      <c r="AA149" s="52"/>
    </row>
    <row r="150" spans="1:27" x14ac:dyDescent="0.15">
      <c r="A150" s="46">
        <v>148</v>
      </c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52"/>
      <c r="M150" s="52"/>
      <c r="N150" s="52"/>
      <c r="O150" s="52"/>
      <c r="P150" s="66"/>
      <c r="Q150" s="66"/>
      <c r="R150" s="52"/>
      <c r="S150" s="52"/>
      <c r="T150" s="52"/>
      <c r="U150" s="52"/>
      <c r="V150" s="52"/>
      <c r="W150" s="52"/>
      <c r="X150" s="52"/>
      <c r="Y150" s="52"/>
      <c r="Z150" s="52"/>
      <c r="AA150" s="52"/>
    </row>
    <row r="151" spans="1:27" x14ac:dyDescent="0.15">
      <c r="A151" s="46">
        <v>149</v>
      </c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52"/>
      <c r="M151" s="52"/>
      <c r="N151" s="52"/>
      <c r="O151" s="52"/>
      <c r="P151" s="66"/>
      <c r="Q151" s="66"/>
      <c r="R151" s="52"/>
      <c r="S151" s="52"/>
      <c r="T151" s="52"/>
      <c r="U151" s="52"/>
      <c r="V151" s="52"/>
      <c r="W151" s="52"/>
      <c r="X151" s="52"/>
      <c r="Y151" s="52"/>
      <c r="Z151" s="52"/>
      <c r="AA151" s="52"/>
    </row>
    <row r="152" spans="1:27" x14ac:dyDescent="0.15">
      <c r="A152" s="46">
        <v>150</v>
      </c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52"/>
      <c r="M152" s="52"/>
      <c r="N152" s="52"/>
      <c r="O152" s="52"/>
      <c r="P152" s="66"/>
      <c r="Q152" s="66"/>
      <c r="R152" s="52"/>
      <c r="S152" s="52"/>
      <c r="T152" s="52"/>
      <c r="U152" s="52"/>
      <c r="V152" s="52"/>
      <c r="W152" s="52"/>
      <c r="X152" s="52"/>
      <c r="Y152" s="52"/>
      <c r="Z152" s="52"/>
      <c r="AA152" s="52"/>
    </row>
    <row r="153" spans="1:27" x14ac:dyDescent="0.15">
      <c r="A153" s="46">
        <v>151</v>
      </c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52"/>
      <c r="M153" s="52"/>
      <c r="N153" s="52"/>
      <c r="O153" s="52"/>
      <c r="P153" s="66"/>
      <c r="Q153" s="66"/>
      <c r="R153" s="52"/>
      <c r="S153" s="52"/>
      <c r="T153" s="52"/>
      <c r="U153" s="52"/>
      <c r="V153" s="52"/>
      <c r="W153" s="52"/>
      <c r="X153" s="52"/>
      <c r="Y153" s="52"/>
      <c r="Z153" s="52"/>
      <c r="AA153" s="52"/>
    </row>
    <row r="154" spans="1:27" x14ac:dyDescent="0.15">
      <c r="A154" s="46">
        <v>152</v>
      </c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52"/>
      <c r="M154" s="52"/>
      <c r="N154" s="52"/>
      <c r="O154" s="52"/>
      <c r="P154" s="66"/>
      <c r="Q154" s="66"/>
      <c r="R154" s="52"/>
      <c r="S154" s="52"/>
      <c r="T154" s="52"/>
      <c r="U154" s="52"/>
      <c r="V154" s="52"/>
      <c r="W154" s="52"/>
      <c r="X154" s="52"/>
      <c r="Y154" s="52"/>
      <c r="Z154" s="52"/>
      <c r="AA154" s="52"/>
    </row>
    <row r="155" spans="1:27" x14ac:dyDescent="0.15">
      <c r="A155" s="46">
        <v>153</v>
      </c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52"/>
      <c r="M155" s="52"/>
      <c r="N155" s="52"/>
      <c r="O155" s="52"/>
      <c r="P155" s="66"/>
      <c r="Q155" s="66"/>
      <c r="R155" s="52"/>
      <c r="S155" s="52"/>
      <c r="T155" s="52"/>
      <c r="U155" s="52"/>
      <c r="V155" s="52"/>
      <c r="W155" s="52"/>
      <c r="X155" s="52"/>
      <c r="Y155" s="52"/>
      <c r="Z155" s="52"/>
      <c r="AA155" s="52"/>
    </row>
    <row r="156" spans="1:27" x14ac:dyDescent="0.15">
      <c r="A156" s="46">
        <v>154</v>
      </c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52"/>
      <c r="M156" s="52"/>
      <c r="N156" s="52"/>
      <c r="O156" s="52"/>
      <c r="P156" s="66"/>
      <c r="Q156" s="66"/>
      <c r="R156" s="52"/>
      <c r="S156" s="52"/>
      <c r="T156" s="52"/>
      <c r="U156" s="52"/>
      <c r="V156" s="52"/>
      <c r="W156" s="52"/>
      <c r="X156" s="52"/>
      <c r="Y156" s="52"/>
      <c r="Z156" s="52"/>
      <c r="AA156" s="52"/>
    </row>
    <row r="157" spans="1:27" x14ac:dyDescent="0.15">
      <c r="A157" s="46">
        <v>155</v>
      </c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52"/>
      <c r="M157" s="52"/>
      <c r="N157" s="52"/>
      <c r="O157" s="52"/>
      <c r="P157" s="66"/>
      <c r="Q157" s="66"/>
      <c r="R157" s="52"/>
      <c r="S157" s="52"/>
      <c r="T157" s="52"/>
      <c r="U157" s="52"/>
      <c r="V157" s="52"/>
      <c r="W157" s="52"/>
      <c r="X157" s="52"/>
      <c r="Y157" s="52"/>
      <c r="Z157" s="52"/>
      <c r="AA157" s="52"/>
    </row>
    <row r="158" spans="1:27" x14ac:dyDescent="0.15">
      <c r="A158" s="46">
        <v>156</v>
      </c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52"/>
      <c r="M158" s="52"/>
      <c r="N158" s="52"/>
      <c r="O158" s="52"/>
      <c r="P158" s="66"/>
      <c r="Q158" s="66"/>
      <c r="R158" s="52"/>
      <c r="S158" s="52"/>
      <c r="T158" s="52"/>
      <c r="U158" s="52"/>
      <c r="V158" s="52"/>
      <c r="W158" s="52"/>
      <c r="X158" s="52"/>
      <c r="Y158" s="52"/>
      <c r="Z158" s="52"/>
      <c r="AA158" s="52"/>
    </row>
    <row r="159" spans="1:27" x14ac:dyDescent="0.15">
      <c r="A159" s="46">
        <v>157</v>
      </c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52"/>
      <c r="M159" s="52"/>
      <c r="N159" s="52"/>
      <c r="O159" s="52"/>
      <c r="P159" s="66"/>
      <c r="Q159" s="66"/>
      <c r="R159" s="52"/>
      <c r="S159" s="52"/>
      <c r="T159" s="52"/>
      <c r="U159" s="52"/>
      <c r="V159" s="52"/>
      <c r="W159" s="52"/>
      <c r="X159" s="52"/>
      <c r="Y159" s="52"/>
      <c r="Z159" s="52"/>
      <c r="AA159" s="52"/>
    </row>
    <row r="160" spans="1:27" x14ac:dyDescent="0.15">
      <c r="A160" s="46">
        <v>158</v>
      </c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52"/>
      <c r="M160" s="52"/>
      <c r="N160" s="52"/>
      <c r="O160" s="52"/>
      <c r="P160" s="66"/>
      <c r="Q160" s="66"/>
      <c r="R160" s="52"/>
      <c r="S160" s="52"/>
      <c r="T160" s="52"/>
      <c r="U160" s="52"/>
      <c r="V160" s="52"/>
      <c r="W160" s="52"/>
      <c r="X160" s="52"/>
      <c r="Y160" s="52"/>
      <c r="Z160" s="52"/>
      <c r="AA160" s="52"/>
    </row>
    <row r="161" spans="1:27" x14ac:dyDescent="0.15">
      <c r="A161" s="46">
        <v>159</v>
      </c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52"/>
      <c r="M161" s="52"/>
      <c r="N161" s="52"/>
      <c r="O161" s="52"/>
      <c r="P161" s="66"/>
      <c r="Q161" s="66"/>
      <c r="R161" s="52"/>
      <c r="S161" s="52"/>
      <c r="T161" s="52"/>
      <c r="U161" s="52"/>
      <c r="V161" s="52"/>
      <c r="W161" s="52"/>
      <c r="X161" s="52"/>
      <c r="Y161" s="52"/>
      <c r="Z161" s="52"/>
      <c r="AA161" s="52"/>
    </row>
    <row r="162" spans="1:27" x14ac:dyDescent="0.15">
      <c r="A162" s="46">
        <v>160</v>
      </c>
      <c r="B162" s="67"/>
      <c r="C162" s="67"/>
      <c r="D162" s="67"/>
      <c r="E162" s="67"/>
      <c r="F162" s="67"/>
      <c r="G162" s="67"/>
      <c r="H162" s="67"/>
      <c r="I162" s="67"/>
      <c r="J162" s="67"/>
      <c r="K162" s="67"/>
      <c r="L162" s="52"/>
      <c r="M162" s="52"/>
      <c r="N162" s="52"/>
      <c r="O162" s="52"/>
      <c r="P162" s="66"/>
      <c r="Q162" s="66"/>
      <c r="R162" s="52"/>
      <c r="S162" s="52"/>
      <c r="T162" s="52"/>
      <c r="U162" s="52"/>
      <c r="V162" s="52"/>
      <c r="W162" s="52"/>
      <c r="X162" s="52"/>
      <c r="Y162" s="52"/>
      <c r="Z162" s="52"/>
      <c r="AA162" s="52"/>
    </row>
    <row r="163" spans="1:27" x14ac:dyDescent="0.15">
      <c r="A163" s="46">
        <v>161</v>
      </c>
      <c r="B163" s="67"/>
      <c r="C163" s="67"/>
      <c r="D163" s="67"/>
      <c r="E163" s="67"/>
      <c r="F163" s="67"/>
      <c r="G163" s="67"/>
      <c r="H163" s="67"/>
      <c r="I163" s="67"/>
      <c r="J163" s="67"/>
      <c r="K163" s="67"/>
      <c r="L163" s="52"/>
      <c r="M163" s="52"/>
      <c r="N163" s="52"/>
      <c r="O163" s="52"/>
      <c r="P163" s="66"/>
      <c r="Q163" s="66"/>
      <c r="R163" s="52"/>
      <c r="S163" s="52"/>
      <c r="T163" s="52"/>
      <c r="U163" s="52"/>
      <c r="V163" s="52"/>
      <c r="W163" s="52"/>
      <c r="X163" s="52"/>
      <c r="Y163" s="52"/>
      <c r="Z163" s="52"/>
      <c r="AA163" s="52"/>
    </row>
    <row r="164" spans="1:27" x14ac:dyDescent="0.15">
      <c r="A164" s="46">
        <v>162</v>
      </c>
      <c r="B164" s="67"/>
      <c r="C164" s="67"/>
      <c r="D164" s="67"/>
      <c r="E164" s="67"/>
      <c r="F164" s="67"/>
      <c r="G164" s="67"/>
      <c r="H164" s="67"/>
      <c r="I164" s="67"/>
      <c r="J164" s="67"/>
      <c r="K164" s="67"/>
      <c r="L164" s="52"/>
      <c r="M164" s="52"/>
      <c r="N164" s="52"/>
      <c r="O164" s="52"/>
      <c r="P164" s="66"/>
      <c r="Q164" s="66"/>
      <c r="R164" s="52"/>
      <c r="S164" s="52"/>
      <c r="T164" s="52"/>
      <c r="U164" s="52"/>
      <c r="V164" s="52"/>
      <c r="W164" s="52"/>
      <c r="X164" s="52"/>
      <c r="Y164" s="52"/>
      <c r="Z164" s="52"/>
      <c r="AA164" s="52"/>
    </row>
    <row r="165" spans="1:27" x14ac:dyDescent="0.15">
      <c r="A165" s="46">
        <v>163</v>
      </c>
      <c r="B165" s="67"/>
      <c r="C165" s="67"/>
      <c r="D165" s="67"/>
      <c r="E165" s="67"/>
      <c r="F165" s="67"/>
      <c r="G165" s="67"/>
      <c r="H165" s="67"/>
      <c r="I165" s="67"/>
      <c r="J165" s="67"/>
      <c r="K165" s="67"/>
      <c r="L165" s="52"/>
      <c r="M165" s="52"/>
      <c r="N165" s="52"/>
      <c r="O165" s="52"/>
      <c r="P165" s="66"/>
      <c r="Q165" s="66"/>
      <c r="R165" s="52"/>
      <c r="S165" s="52"/>
      <c r="T165" s="52"/>
      <c r="U165" s="52"/>
      <c r="V165" s="52"/>
      <c r="W165" s="52"/>
      <c r="X165" s="52"/>
      <c r="Y165" s="52"/>
      <c r="Z165" s="52"/>
      <c r="AA165" s="52"/>
    </row>
    <row r="166" spans="1:27" x14ac:dyDescent="0.15">
      <c r="A166" s="46">
        <v>164</v>
      </c>
      <c r="B166" s="67"/>
      <c r="C166" s="67"/>
      <c r="D166" s="67"/>
      <c r="E166" s="67"/>
      <c r="F166" s="67"/>
      <c r="G166" s="67"/>
      <c r="H166" s="67"/>
      <c r="I166" s="67"/>
      <c r="J166" s="67"/>
      <c r="K166" s="67"/>
      <c r="L166" s="52"/>
      <c r="M166" s="52"/>
      <c r="N166" s="52"/>
      <c r="O166" s="52"/>
      <c r="P166" s="66"/>
      <c r="Q166" s="66"/>
      <c r="R166" s="52"/>
      <c r="S166" s="52"/>
      <c r="T166" s="52"/>
      <c r="U166" s="52"/>
      <c r="V166" s="52"/>
      <c r="W166" s="52"/>
      <c r="X166" s="52"/>
      <c r="Y166" s="52"/>
      <c r="Z166" s="52"/>
      <c r="AA166" s="52"/>
    </row>
    <row r="167" spans="1:27" x14ac:dyDescent="0.15">
      <c r="A167" s="46">
        <v>165</v>
      </c>
      <c r="B167" s="67"/>
      <c r="C167" s="67"/>
      <c r="D167" s="67"/>
      <c r="E167" s="67"/>
      <c r="F167" s="67"/>
      <c r="G167" s="67"/>
      <c r="H167" s="67"/>
      <c r="I167" s="67"/>
      <c r="J167" s="67"/>
      <c r="K167" s="67"/>
      <c r="L167" s="52"/>
      <c r="M167" s="52"/>
      <c r="N167" s="52"/>
      <c r="O167" s="52"/>
      <c r="P167" s="66"/>
      <c r="Q167" s="66"/>
      <c r="R167" s="52"/>
      <c r="S167" s="52"/>
      <c r="T167" s="52"/>
      <c r="U167" s="52"/>
      <c r="V167" s="52"/>
      <c r="W167" s="52"/>
      <c r="X167" s="52"/>
      <c r="Y167" s="52"/>
      <c r="Z167" s="52"/>
      <c r="AA167" s="52"/>
    </row>
    <row r="168" spans="1:27" x14ac:dyDescent="0.15">
      <c r="A168" s="46">
        <v>166</v>
      </c>
      <c r="B168" s="67"/>
      <c r="C168" s="67"/>
      <c r="D168" s="67"/>
      <c r="E168" s="67"/>
      <c r="F168" s="67"/>
      <c r="G168" s="67"/>
      <c r="H168" s="67"/>
      <c r="I168" s="67"/>
      <c r="J168" s="67"/>
      <c r="K168" s="67"/>
      <c r="L168" s="52"/>
      <c r="M168" s="52"/>
      <c r="N168" s="52"/>
      <c r="O168" s="52"/>
      <c r="P168" s="66"/>
      <c r="Q168" s="66"/>
      <c r="R168" s="52"/>
      <c r="S168" s="52"/>
      <c r="T168" s="52"/>
      <c r="U168" s="52"/>
      <c r="V168" s="52"/>
      <c r="W168" s="52"/>
      <c r="X168" s="52"/>
      <c r="Y168" s="52"/>
      <c r="Z168" s="52"/>
      <c r="AA168" s="52"/>
    </row>
    <row r="169" spans="1:27" x14ac:dyDescent="0.15">
      <c r="A169" s="46">
        <v>167</v>
      </c>
      <c r="B169" s="67"/>
      <c r="C169" s="67"/>
      <c r="D169" s="67"/>
      <c r="E169" s="67"/>
      <c r="F169" s="67"/>
      <c r="G169" s="67"/>
      <c r="H169" s="67"/>
      <c r="I169" s="67"/>
      <c r="J169" s="67"/>
      <c r="K169" s="67"/>
      <c r="L169" s="52"/>
      <c r="M169" s="52"/>
      <c r="N169" s="52"/>
      <c r="O169" s="52"/>
      <c r="P169" s="66"/>
      <c r="Q169" s="66"/>
      <c r="R169" s="52"/>
      <c r="S169" s="52"/>
      <c r="T169" s="52"/>
      <c r="U169" s="52"/>
      <c r="V169" s="52"/>
      <c r="W169" s="52"/>
      <c r="X169" s="52"/>
      <c r="Y169" s="52"/>
      <c r="Z169" s="52"/>
      <c r="AA169" s="52"/>
    </row>
    <row r="170" spans="1:27" x14ac:dyDescent="0.15">
      <c r="A170" s="46">
        <v>168</v>
      </c>
      <c r="B170" s="67"/>
      <c r="C170" s="67"/>
      <c r="D170" s="67"/>
      <c r="E170" s="67"/>
      <c r="F170" s="67"/>
      <c r="G170" s="67"/>
      <c r="H170" s="67"/>
      <c r="I170" s="67"/>
      <c r="J170" s="67"/>
      <c r="K170" s="67"/>
      <c r="L170" s="52"/>
      <c r="M170" s="52"/>
      <c r="N170" s="52"/>
      <c r="O170" s="52"/>
      <c r="P170" s="66"/>
      <c r="Q170" s="66"/>
      <c r="R170" s="52"/>
      <c r="S170" s="52"/>
      <c r="T170" s="52"/>
      <c r="U170" s="52"/>
      <c r="V170" s="52"/>
      <c r="W170" s="52"/>
      <c r="X170" s="52"/>
      <c r="Y170" s="52"/>
      <c r="Z170" s="52"/>
      <c r="AA170" s="52"/>
    </row>
    <row r="171" spans="1:27" x14ac:dyDescent="0.15">
      <c r="A171" s="46">
        <v>169</v>
      </c>
      <c r="B171" s="67"/>
      <c r="C171" s="67"/>
      <c r="D171" s="67"/>
      <c r="E171" s="67"/>
      <c r="F171" s="67"/>
      <c r="G171" s="67"/>
      <c r="H171" s="67"/>
      <c r="I171" s="67"/>
      <c r="J171" s="67"/>
      <c r="K171" s="67"/>
      <c r="L171" s="52"/>
      <c r="M171" s="52"/>
      <c r="N171" s="52"/>
      <c r="O171" s="52"/>
      <c r="P171" s="66"/>
      <c r="Q171" s="66"/>
      <c r="R171" s="52"/>
      <c r="S171" s="52"/>
      <c r="T171" s="52"/>
      <c r="U171" s="52"/>
      <c r="V171" s="52"/>
      <c r="W171" s="52"/>
      <c r="X171" s="52"/>
      <c r="Y171" s="52"/>
      <c r="Z171" s="52"/>
      <c r="AA171" s="52"/>
    </row>
    <row r="172" spans="1:27" x14ac:dyDescent="0.15">
      <c r="A172" s="46">
        <v>170</v>
      </c>
      <c r="B172" s="67"/>
      <c r="C172" s="67"/>
      <c r="D172" s="67"/>
      <c r="E172" s="67"/>
      <c r="F172" s="67"/>
      <c r="G172" s="67"/>
      <c r="H172" s="67"/>
      <c r="I172" s="67"/>
      <c r="J172" s="67"/>
      <c r="K172" s="67"/>
      <c r="L172" s="52"/>
      <c r="M172" s="52"/>
      <c r="N172" s="52"/>
      <c r="O172" s="52"/>
      <c r="P172" s="66"/>
      <c r="Q172" s="66"/>
      <c r="R172" s="52"/>
      <c r="S172" s="52"/>
      <c r="T172" s="52"/>
      <c r="U172" s="52"/>
      <c r="V172" s="52"/>
      <c r="W172" s="52"/>
      <c r="X172" s="52"/>
      <c r="Y172" s="52"/>
      <c r="Z172" s="52"/>
      <c r="AA172" s="52"/>
    </row>
    <row r="173" spans="1:27" x14ac:dyDescent="0.15">
      <c r="A173" s="46">
        <v>171</v>
      </c>
      <c r="B173" s="67"/>
      <c r="C173" s="67"/>
      <c r="D173" s="67"/>
      <c r="E173" s="67"/>
      <c r="F173" s="67"/>
      <c r="G173" s="67"/>
      <c r="H173" s="67"/>
      <c r="I173" s="67"/>
      <c r="J173" s="67"/>
      <c r="K173" s="67"/>
      <c r="L173" s="52"/>
      <c r="M173" s="52"/>
      <c r="N173" s="52"/>
      <c r="O173" s="52"/>
      <c r="P173" s="66"/>
      <c r="Q173" s="66"/>
      <c r="R173" s="52"/>
      <c r="S173" s="52"/>
      <c r="T173" s="52"/>
      <c r="U173" s="52"/>
      <c r="V173" s="52"/>
      <c r="W173" s="52"/>
      <c r="X173" s="52"/>
      <c r="Y173" s="52"/>
      <c r="Z173" s="52"/>
      <c r="AA173" s="52"/>
    </row>
    <row r="174" spans="1:27" x14ac:dyDescent="0.15">
      <c r="A174" s="46">
        <v>172</v>
      </c>
      <c r="B174" s="67"/>
      <c r="C174" s="67"/>
      <c r="D174" s="67"/>
      <c r="E174" s="67"/>
      <c r="F174" s="67"/>
      <c r="G174" s="67"/>
      <c r="H174" s="67"/>
      <c r="I174" s="67"/>
      <c r="J174" s="67"/>
      <c r="K174" s="67"/>
      <c r="L174" s="52"/>
      <c r="M174" s="52"/>
      <c r="N174" s="52"/>
      <c r="O174" s="52"/>
      <c r="P174" s="66"/>
      <c r="Q174" s="66"/>
      <c r="R174" s="52"/>
      <c r="S174" s="52"/>
      <c r="T174" s="52"/>
      <c r="U174" s="52"/>
      <c r="V174" s="52"/>
      <c r="W174" s="52"/>
      <c r="X174" s="52"/>
      <c r="Y174" s="52"/>
      <c r="Z174" s="52"/>
      <c r="AA174" s="52"/>
    </row>
    <row r="175" spans="1:27" x14ac:dyDescent="0.15">
      <c r="A175" s="46">
        <v>173</v>
      </c>
      <c r="B175" s="67"/>
      <c r="C175" s="67"/>
      <c r="D175" s="67"/>
      <c r="E175" s="67"/>
      <c r="F175" s="67"/>
      <c r="G175" s="67"/>
      <c r="H175" s="67"/>
      <c r="I175" s="67"/>
      <c r="J175" s="67"/>
      <c r="K175" s="67"/>
      <c r="L175" s="52"/>
      <c r="M175" s="52"/>
      <c r="N175" s="52"/>
      <c r="O175" s="52"/>
      <c r="P175" s="66"/>
      <c r="Q175" s="66"/>
      <c r="R175" s="52"/>
      <c r="S175" s="52"/>
      <c r="T175" s="52"/>
      <c r="U175" s="52"/>
      <c r="V175" s="52"/>
      <c r="W175" s="52"/>
      <c r="X175" s="52"/>
      <c r="Y175" s="52"/>
      <c r="Z175" s="52"/>
      <c r="AA175" s="52"/>
    </row>
    <row r="176" spans="1:27" x14ac:dyDescent="0.15">
      <c r="A176" s="46">
        <v>174</v>
      </c>
      <c r="B176" s="67"/>
      <c r="C176" s="67"/>
      <c r="D176" s="67"/>
      <c r="E176" s="67"/>
      <c r="F176" s="67"/>
      <c r="G176" s="67"/>
      <c r="H176" s="67"/>
      <c r="I176" s="67"/>
      <c r="J176" s="67"/>
      <c r="K176" s="67"/>
      <c r="L176" s="52"/>
      <c r="M176" s="52"/>
      <c r="N176" s="52"/>
      <c r="O176" s="52"/>
      <c r="P176" s="66"/>
      <c r="Q176" s="66"/>
      <c r="R176" s="52"/>
      <c r="S176" s="52"/>
      <c r="T176" s="52"/>
      <c r="U176" s="52"/>
      <c r="V176" s="52"/>
      <c r="W176" s="52"/>
      <c r="X176" s="52"/>
      <c r="Y176" s="52"/>
      <c r="Z176" s="52"/>
      <c r="AA176" s="52"/>
    </row>
    <row r="177" spans="1:32" x14ac:dyDescent="0.15">
      <c r="A177" s="46">
        <v>175</v>
      </c>
      <c r="B177" s="67"/>
      <c r="C177" s="67"/>
      <c r="D177" s="67"/>
      <c r="E177" s="67"/>
      <c r="F177" s="67"/>
      <c r="G177" s="67"/>
      <c r="H177" s="67"/>
      <c r="I177" s="67"/>
      <c r="J177" s="67"/>
      <c r="K177" s="67"/>
      <c r="L177" s="52"/>
      <c r="M177" s="52"/>
      <c r="N177" s="52"/>
      <c r="O177" s="52"/>
      <c r="P177" s="66"/>
      <c r="Q177" s="66"/>
      <c r="R177" s="52"/>
      <c r="S177" s="52"/>
      <c r="T177" s="52"/>
      <c r="U177" s="52"/>
      <c r="V177" s="52"/>
      <c r="W177" s="52"/>
      <c r="X177" s="52"/>
      <c r="Y177" s="52"/>
      <c r="Z177" s="52"/>
      <c r="AA177" s="52"/>
    </row>
    <row r="178" spans="1:32" x14ac:dyDescent="0.15">
      <c r="A178" s="46">
        <v>176</v>
      </c>
      <c r="B178" s="67"/>
      <c r="C178" s="67"/>
      <c r="D178" s="67"/>
      <c r="E178" s="67"/>
      <c r="F178" s="67"/>
      <c r="G178" s="67"/>
      <c r="H178" s="67"/>
      <c r="I178" s="67"/>
      <c r="J178" s="67"/>
      <c r="K178" s="67"/>
      <c r="L178" s="52"/>
      <c r="M178" s="52"/>
      <c r="N178" s="52"/>
      <c r="O178" s="52"/>
      <c r="P178" s="66"/>
      <c r="Q178" s="66"/>
      <c r="R178" s="52"/>
      <c r="S178" s="52"/>
      <c r="T178" s="52"/>
      <c r="U178" s="52"/>
      <c r="V178" s="52"/>
      <c r="W178" s="52"/>
      <c r="X178" s="52"/>
      <c r="Y178" s="52"/>
      <c r="Z178" s="52"/>
      <c r="AA178" s="52"/>
    </row>
    <row r="179" spans="1:32" x14ac:dyDescent="0.15">
      <c r="A179" s="46">
        <v>177</v>
      </c>
      <c r="B179" s="67"/>
      <c r="C179" s="67"/>
      <c r="D179" s="67"/>
      <c r="E179" s="67"/>
      <c r="F179" s="67"/>
      <c r="G179" s="67"/>
      <c r="H179" s="67"/>
      <c r="I179" s="67"/>
      <c r="J179" s="67"/>
      <c r="K179" s="67"/>
      <c r="L179" s="52"/>
      <c r="M179" s="52"/>
      <c r="N179" s="52"/>
      <c r="O179" s="52"/>
      <c r="P179" s="66"/>
      <c r="Q179" s="66"/>
      <c r="R179" s="52"/>
      <c r="S179" s="52"/>
      <c r="T179" s="52"/>
      <c r="U179" s="52"/>
      <c r="V179" s="52"/>
      <c r="W179" s="52"/>
      <c r="X179" s="52"/>
      <c r="Y179" s="52"/>
      <c r="Z179" s="52"/>
      <c r="AA179" s="52"/>
    </row>
    <row r="180" spans="1:32" x14ac:dyDescent="0.15">
      <c r="A180" s="46">
        <v>178</v>
      </c>
      <c r="B180" s="67"/>
      <c r="C180" s="67"/>
      <c r="D180" s="67"/>
      <c r="E180" s="67"/>
      <c r="F180" s="67"/>
      <c r="G180" s="67"/>
      <c r="H180" s="67"/>
      <c r="I180" s="67"/>
      <c r="J180" s="67"/>
      <c r="K180" s="67"/>
      <c r="L180" s="52"/>
      <c r="M180" s="52"/>
      <c r="N180" s="52"/>
      <c r="O180" s="52"/>
      <c r="P180" s="66"/>
      <c r="Q180" s="66"/>
      <c r="R180" s="52"/>
      <c r="S180" s="52"/>
      <c r="T180" s="52"/>
      <c r="U180" s="52"/>
      <c r="V180" s="52"/>
      <c r="W180" s="52"/>
      <c r="X180" s="52"/>
      <c r="Y180" s="52"/>
      <c r="Z180" s="52"/>
      <c r="AA180" s="52"/>
    </row>
    <row r="181" spans="1:32" x14ac:dyDescent="0.15">
      <c r="A181" s="46">
        <v>179</v>
      </c>
      <c r="B181" s="67"/>
      <c r="C181" s="67"/>
      <c r="D181" s="67"/>
      <c r="E181" s="67"/>
      <c r="F181" s="67"/>
      <c r="G181" s="67"/>
      <c r="H181" s="67"/>
      <c r="I181" s="67"/>
      <c r="J181" s="67"/>
      <c r="K181" s="67"/>
      <c r="L181" s="52"/>
      <c r="M181" s="52"/>
      <c r="N181" s="52"/>
      <c r="O181" s="52"/>
      <c r="P181" s="66"/>
      <c r="Q181" s="66"/>
      <c r="R181" s="52"/>
      <c r="S181" s="52"/>
      <c r="T181" s="52"/>
      <c r="U181" s="52"/>
      <c r="V181" s="52"/>
      <c r="W181" s="52"/>
      <c r="X181" s="52"/>
      <c r="Y181" s="52"/>
      <c r="Z181" s="52"/>
      <c r="AA181" s="52"/>
    </row>
    <row r="182" spans="1:32" x14ac:dyDescent="0.15">
      <c r="A182" s="46">
        <v>180</v>
      </c>
      <c r="B182" s="67"/>
      <c r="C182" s="67"/>
      <c r="D182" s="67"/>
      <c r="E182" s="67"/>
      <c r="F182" s="67"/>
      <c r="G182" s="67"/>
      <c r="H182" s="67"/>
      <c r="I182" s="67"/>
      <c r="J182" s="67"/>
      <c r="K182" s="67"/>
      <c r="L182" s="52"/>
      <c r="M182" s="52"/>
      <c r="N182" s="52"/>
      <c r="O182" s="52"/>
      <c r="P182" s="66"/>
      <c r="Q182" s="66"/>
      <c r="R182" s="52"/>
      <c r="S182" s="52"/>
      <c r="T182" s="52"/>
      <c r="U182" s="52"/>
      <c r="V182" s="52"/>
      <c r="W182" s="52"/>
      <c r="X182" s="52"/>
      <c r="Y182" s="52"/>
      <c r="Z182" s="52"/>
      <c r="AA182" s="52"/>
    </row>
    <row r="187" spans="1:32" x14ac:dyDescent="0.15">
      <c r="A187" s="147" t="s">
        <v>178</v>
      </c>
      <c r="B187" s="147"/>
      <c r="C187" s="147"/>
      <c r="D187" s="147"/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 t="s">
        <v>179</v>
      </c>
      <c r="R187" s="147"/>
      <c r="S187" s="147"/>
      <c r="T187" s="147"/>
      <c r="U187" s="147"/>
      <c r="V187" s="147"/>
      <c r="W187" s="147"/>
      <c r="X187" s="147"/>
      <c r="Y187" s="147"/>
      <c r="Z187" s="147"/>
      <c r="AA187" s="147"/>
      <c r="AB187" s="147"/>
      <c r="AC187" s="147"/>
      <c r="AD187" s="147"/>
      <c r="AE187" s="147"/>
      <c r="AF187" s="147"/>
    </row>
    <row r="188" spans="1:32" x14ac:dyDescent="0.15">
      <c r="A188" s="40">
        <v>1</v>
      </c>
      <c r="B188" s="40">
        <v>2</v>
      </c>
      <c r="C188" s="40">
        <v>3</v>
      </c>
      <c r="D188" s="40">
        <v>4</v>
      </c>
      <c r="E188" s="40">
        <v>5</v>
      </c>
      <c r="F188" s="40">
        <v>6</v>
      </c>
      <c r="G188" s="40">
        <v>7</v>
      </c>
      <c r="H188" s="40">
        <v>8</v>
      </c>
      <c r="I188" s="40">
        <v>9</v>
      </c>
      <c r="J188" s="40">
        <v>10</v>
      </c>
      <c r="K188" s="40" t="s">
        <v>206</v>
      </c>
      <c r="L188" s="40" t="s">
        <v>207</v>
      </c>
      <c r="M188" s="40" t="s">
        <v>208</v>
      </c>
      <c r="N188" s="40" t="s">
        <v>209</v>
      </c>
      <c r="O188" s="40" t="s">
        <v>210</v>
      </c>
      <c r="P188" s="40" t="s">
        <v>211</v>
      </c>
      <c r="Q188" s="40">
        <v>1</v>
      </c>
      <c r="R188" s="40">
        <v>2</v>
      </c>
      <c r="S188" s="40">
        <v>3</v>
      </c>
      <c r="T188" s="40">
        <v>4</v>
      </c>
      <c r="U188" s="40">
        <v>5</v>
      </c>
      <c r="V188" s="40">
        <v>6</v>
      </c>
      <c r="W188" s="40">
        <v>7</v>
      </c>
      <c r="X188" s="40">
        <v>8</v>
      </c>
      <c r="Y188" s="40">
        <v>9</v>
      </c>
      <c r="Z188" s="40">
        <v>10</v>
      </c>
      <c r="AA188" s="40" t="s">
        <v>206</v>
      </c>
      <c r="AB188" s="40" t="s">
        <v>207</v>
      </c>
      <c r="AC188" s="40" t="s">
        <v>208</v>
      </c>
      <c r="AD188" s="40" t="s">
        <v>209</v>
      </c>
      <c r="AE188" s="40" t="s">
        <v>210</v>
      </c>
      <c r="AF188" s="40" t="s">
        <v>211</v>
      </c>
    </row>
    <row r="189" spans="1:32" x14ac:dyDescent="0.15">
      <c r="A189" s="43">
        <f>A190/1000</f>
        <v>0.303595</v>
      </c>
      <c r="B189" s="43">
        <f t="shared" ref="B189:P189" si="2">B190/1000</f>
        <v>0.23738599999999999</v>
      </c>
      <c r="C189" s="43">
        <f t="shared" si="2"/>
        <v>0.251973</v>
      </c>
      <c r="D189" s="43">
        <f t="shared" si="2"/>
        <v>0.14541900000000002</v>
      </c>
      <c r="E189" s="43">
        <f t="shared" si="2"/>
        <v>0</v>
      </c>
      <c r="F189" s="43">
        <f t="shared" si="2"/>
        <v>0</v>
      </c>
      <c r="G189" s="43">
        <f t="shared" si="2"/>
        <v>0.23363399999999998</v>
      </c>
      <c r="H189" s="43">
        <f t="shared" si="2"/>
        <v>0.152585</v>
      </c>
      <c r="I189" s="43">
        <f t="shared" si="2"/>
        <v>0.24703700000000001</v>
      </c>
      <c r="J189" s="43">
        <f t="shared" si="2"/>
        <v>0.53750100000000001</v>
      </c>
      <c r="K189" s="43">
        <f t="shared" si="2"/>
        <v>0.7013339999999999</v>
      </c>
      <c r="L189" s="43">
        <f t="shared" si="2"/>
        <v>0.36566699999999996</v>
      </c>
      <c r="M189" s="43">
        <f t="shared" si="2"/>
        <v>0.173404</v>
      </c>
      <c r="N189" s="43">
        <f t="shared" si="2"/>
        <v>0.31930900000000001</v>
      </c>
      <c r="O189" s="43">
        <f t="shared" si="2"/>
        <v>0.15876099999999999</v>
      </c>
      <c r="P189" s="43">
        <f t="shared" si="2"/>
        <v>0.16373199999999999</v>
      </c>
      <c r="Q189" s="67">
        <v>1</v>
      </c>
      <c r="R189" s="67">
        <v>1</v>
      </c>
      <c r="S189" s="67">
        <v>1</v>
      </c>
      <c r="T189" s="67">
        <v>1</v>
      </c>
      <c r="U189" s="66"/>
      <c r="V189" s="66"/>
      <c r="W189" s="67">
        <v>2</v>
      </c>
      <c r="X189" s="67">
        <v>1</v>
      </c>
      <c r="Y189" s="67">
        <v>2</v>
      </c>
      <c r="Z189" s="67">
        <v>1</v>
      </c>
      <c r="AA189" s="67">
        <v>2</v>
      </c>
      <c r="AB189" s="67">
        <v>1</v>
      </c>
      <c r="AC189" s="67">
        <v>1</v>
      </c>
      <c r="AD189" s="67">
        <v>1</v>
      </c>
      <c r="AE189" s="67">
        <v>1</v>
      </c>
      <c r="AF189" s="67">
        <v>1</v>
      </c>
    </row>
    <row r="190" spans="1:32" x14ac:dyDescent="0.15">
      <c r="A190" s="107">
        <v>303.59500000000003</v>
      </c>
      <c r="B190" s="107">
        <v>237.386</v>
      </c>
      <c r="C190" s="107">
        <v>251.97300000000001</v>
      </c>
      <c r="D190" s="107">
        <v>145.41900000000001</v>
      </c>
      <c r="E190" s="107"/>
      <c r="F190" s="107"/>
      <c r="G190" s="107">
        <v>233.63399999999999</v>
      </c>
      <c r="H190" s="107">
        <v>152.58500000000001</v>
      </c>
      <c r="I190" s="107">
        <v>247.03700000000001</v>
      </c>
      <c r="J190" s="107">
        <v>537.50099999999998</v>
      </c>
      <c r="K190" s="107">
        <v>701.33399999999995</v>
      </c>
      <c r="L190" s="107">
        <v>365.66699999999997</v>
      </c>
      <c r="M190" s="107">
        <v>173.404</v>
      </c>
      <c r="N190" s="107">
        <v>319.30900000000003</v>
      </c>
      <c r="O190" s="107">
        <v>158.761</v>
      </c>
      <c r="P190" s="107">
        <v>163.732</v>
      </c>
    </row>
    <row r="192" spans="1:32" x14ac:dyDescent="0.15">
      <c r="A192" s="151" t="s">
        <v>164</v>
      </c>
      <c r="B192" s="152" t="s">
        <v>203</v>
      </c>
      <c r="C192" s="153"/>
      <c r="D192" s="153"/>
      <c r="E192" s="153"/>
      <c r="F192" s="153"/>
      <c r="G192" s="153"/>
      <c r="H192" s="153"/>
      <c r="I192" s="153"/>
      <c r="J192" s="153"/>
      <c r="K192" s="153"/>
      <c r="L192" s="153"/>
      <c r="M192" s="153"/>
      <c r="N192" s="153"/>
      <c r="O192" s="153"/>
      <c r="P192" s="153"/>
      <c r="Q192" s="153"/>
    </row>
    <row r="193" spans="1:19" x14ac:dyDescent="0.15">
      <c r="A193" s="151"/>
      <c r="B193" s="40">
        <v>1</v>
      </c>
      <c r="C193" s="40">
        <v>2</v>
      </c>
      <c r="D193" s="40">
        <v>3</v>
      </c>
      <c r="E193" s="40">
        <v>4</v>
      </c>
      <c r="F193" s="40">
        <v>5</v>
      </c>
      <c r="G193" s="40">
        <v>6</v>
      </c>
      <c r="H193" s="40">
        <v>7</v>
      </c>
      <c r="I193" s="40">
        <v>8</v>
      </c>
      <c r="J193" s="40">
        <v>9</v>
      </c>
      <c r="K193" s="40">
        <v>10</v>
      </c>
      <c r="L193" s="40" t="s">
        <v>206</v>
      </c>
      <c r="M193" s="40" t="s">
        <v>207</v>
      </c>
      <c r="N193" s="40" t="s">
        <v>208</v>
      </c>
      <c r="O193" s="40" t="s">
        <v>209</v>
      </c>
      <c r="P193" s="40" t="s">
        <v>210</v>
      </c>
      <c r="Q193" s="40" t="s">
        <v>211</v>
      </c>
    </row>
    <row r="194" spans="1:19" x14ac:dyDescent="0.15">
      <c r="A194" s="46" t="s">
        <v>204</v>
      </c>
      <c r="B194" s="42">
        <v>0</v>
      </c>
      <c r="C194" s="42">
        <v>0</v>
      </c>
      <c r="D194" s="42">
        <v>0</v>
      </c>
      <c r="E194" s="42">
        <v>0</v>
      </c>
      <c r="F194" s="66"/>
      <c r="G194" s="66"/>
      <c r="H194" s="42">
        <v>0</v>
      </c>
      <c r="I194" s="42">
        <v>0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 s="42">
        <v>0</v>
      </c>
      <c r="P194" s="42">
        <v>0</v>
      </c>
      <c r="Q194" s="42">
        <v>0</v>
      </c>
    </row>
    <row r="195" spans="1:19" x14ac:dyDescent="0.15">
      <c r="A195" s="46" t="s">
        <v>205</v>
      </c>
      <c r="B195" s="42">
        <v>0</v>
      </c>
      <c r="C195" s="42">
        <v>0</v>
      </c>
      <c r="D195" s="42">
        <v>0</v>
      </c>
      <c r="E195" s="42">
        <v>0</v>
      </c>
      <c r="F195" s="66"/>
      <c r="G195" s="66"/>
      <c r="H195" s="42">
        <v>0</v>
      </c>
      <c r="I195" s="42">
        <v>0</v>
      </c>
      <c r="J195" s="42">
        <v>0</v>
      </c>
      <c r="K195" s="42">
        <v>0</v>
      </c>
      <c r="L195" s="42">
        <v>0</v>
      </c>
      <c r="M195" s="42">
        <v>0</v>
      </c>
      <c r="N195" s="42">
        <v>0</v>
      </c>
      <c r="O195" s="42">
        <v>0</v>
      </c>
      <c r="P195" s="42">
        <v>0</v>
      </c>
      <c r="Q195" s="42">
        <v>0</v>
      </c>
    </row>
    <row r="196" spans="1:19" x14ac:dyDescent="0.15">
      <c r="A196" s="46">
        <v>0</v>
      </c>
      <c r="B196" s="43">
        <v>0</v>
      </c>
      <c r="C196" s="43">
        <v>0</v>
      </c>
      <c r="D196" s="43">
        <v>0</v>
      </c>
      <c r="E196" s="43">
        <v>0</v>
      </c>
      <c r="F196" s="66">
        <v>0</v>
      </c>
      <c r="G196" s="66">
        <v>0</v>
      </c>
      <c r="H196" s="43">
        <v>0</v>
      </c>
      <c r="I196" s="43">
        <v>0</v>
      </c>
      <c r="J196" s="43">
        <v>0</v>
      </c>
      <c r="K196" s="43">
        <v>0</v>
      </c>
      <c r="L196" s="43">
        <v>0</v>
      </c>
      <c r="M196" s="43">
        <v>0</v>
      </c>
      <c r="N196" s="43">
        <v>0</v>
      </c>
      <c r="O196" s="43">
        <v>0</v>
      </c>
      <c r="P196" s="43">
        <v>0</v>
      </c>
      <c r="Q196" s="43">
        <v>0</v>
      </c>
    </row>
    <row r="198" spans="1:19" x14ac:dyDescent="0.15">
      <c r="A198" s="34"/>
      <c r="B198" s="34"/>
      <c r="C198" s="34"/>
      <c r="D198" s="34"/>
      <c r="E198" s="34"/>
      <c r="F198" s="34"/>
      <c r="G198" s="34"/>
      <c r="H198" s="34"/>
      <c r="I198" s="34"/>
      <c r="J198" s="34"/>
      <c r="K198" s="34"/>
      <c r="L198" s="34"/>
      <c r="M198" s="34"/>
      <c r="N198" s="34"/>
      <c r="O198" s="34"/>
      <c r="P198" s="34"/>
      <c r="Q198" s="34"/>
      <c r="R198" s="34"/>
      <c r="S198" s="34"/>
    </row>
    <row r="199" spans="1:19" x14ac:dyDescent="0.15">
      <c r="A199" s="34"/>
      <c r="B199" s="65"/>
      <c r="C199" s="65"/>
      <c r="D199" s="65"/>
      <c r="E199" s="65"/>
      <c r="F199" s="65"/>
      <c r="G199" s="65"/>
      <c r="H199" s="65"/>
      <c r="I199" s="65"/>
      <c r="J199" s="65"/>
      <c r="K199" s="65"/>
      <c r="L199" s="65"/>
      <c r="M199" s="65"/>
      <c r="N199" s="65"/>
      <c r="O199" s="65"/>
      <c r="P199" s="65"/>
      <c r="Q199" s="65"/>
      <c r="R199" s="65"/>
      <c r="S199" s="65"/>
    </row>
    <row r="200" spans="1:19" x14ac:dyDescent="0.15">
      <c r="A200" s="65"/>
      <c r="B200" s="65"/>
      <c r="C200" s="65"/>
      <c r="D200" s="65"/>
      <c r="E200" s="65"/>
      <c r="F200" s="65"/>
      <c r="G200" s="65"/>
      <c r="H200" s="65"/>
      <c r="I200" s="65"/>
      <c r="J200" s="65"/>
      <c r="K200" s="65"/>
      <c r="L200" s="65"/>
      <c r="M200" s="65"/>
      <c r="N200" s="65"/>
      <c r="O200" s="65"/>
      <c r="P200" s="65"/>
      <c r="Q200" s="65"/>
      <c r="R200" s="65"/>
      <c r="S200" s="65"/>
    </row>
    <row r="201" spans="1:19" x14ac:dyDescent="0.15">
      <c r="A201" s="65" t="s">
        <v>276</v>
      </c>
      <c r="B201" s="65"/>
      <c r="C201" s="65"/>
      <c r="D201" s="65"/>
      <c r="E201" s="65"/>
      <c r="F201" s="65"/>
      <c r="G201" s="65"/>
      <c r="H201" s="65"/>
      <c r="I201" s="65"/>
      <c r="J201" s="65"/>
      <c r="K201" s="65"/>
      <c r="L201" s="65"/>
      <c r="M201" s="65"/>
      <c r="N201" s="65"/>
      <c r="O201" s="65"/>
      <c r="P201" s="65"/>
      <c r="Q201" s="65"/>
      <c r="R201" s="65"/>
      <c r="S201" s="65"/>
    </row>
    <row r="202" spans="1:19" x14ac:dyDescent="0.15">
      <c r="A202" s="65" t="s">
        <v>277</v>
      </c>
      <c r="B202" s="65">
        <f>A189</f>
        <v>0.303595</v>
      </c>
      <c r="C202" s="65">
        <f t="shared" ref="C202:D202" si="3">B189</f>
        <v>0.23738599999999999</v>
      </c>
      <c r="D202" s="65">
        <f t="shared" si="3"/>
        <v>0.251973</v>
      </c>
      <c r="E202" s="65">
        <f>D189</f>
        <v>0.14541900000000002</v>
      </c>
      <c r="F202" s="65">
        <f>G189</f>
        <v>0.23363399999999998</v>
      </c>
      <c r="G202" s="65">
        <f t="shared" ref="G202:O202" si="4">H189</f>
        <v>0.152585</v>
      </c>
      <c r="H202" s="65">
        <f t="shared" si="4"/>
        <v>0.24703700000000001</v>
      </c>
      <c r="I202" s="65">
        <f t="shared" si="4"/>
        <v>0.53750100000000001</v>
      </c>
      <c r="J202" s="65">
        <f t="shared" si="4"/>
        <v>0.7013339999999999</v>
      </c>
      <c r="K202" s="65">
        <f t="shared" si="4"/>
        <v>0.36566699999999996</v>
      </c>
      <c r="L202" s="65">
        <f t="shared" si="4"/>
        <v>0.173404</v>
      </c>
      <c r="M202" s="65">
        <f t="shared" si="4"/>
        <v>0.31930900000000001</v>
      </c>
      <c r="N202" s="65">
        <f t="shared" si="4"/>
        <v>0.15876099999999999</v>
      </c>
      <c r="O202" s="65">
        <f t="shared" si="4"/>
        <v>0.16373199999999999</v>
      </c>
      <c r="P202" s="65"/>
      <c r="Q202" s="65"/>
      <c r="R202" s="65"/>
      <c r="S202" s="65"/>
    </row>
    <row r="203" spans="1:19" x14ac:dyDescent="0.15">
      <c r="A203" s="65" t="s">
        <v>278</v>
      </c>
      <c r="B203" s="65">
        <f>Q189</f>
        <v>1</v>
      </c>
      <c r="C203" s="65">
        <f t="shared" ref="C203:E203" si="5">R189</f>
        <v>1</v>
      </c>
      <c r="D203" s="65">
        <f t="shared" si="5"/>
        <v>1</v>
      </c>
      <c r="E203" s="65">
        <f t="shared" si="5"/>
        <v>1</v>
      </c>
      <c r="F203" s="65">
        <f>W189</f>
        <v>2</v>
      </c>
      <c r="G203" s="65">
        <f t="shared" ref="G203:O203" si="6">X189</f>
        <v>1</v>
      </c>
      <c r="H203" s="65">
        <f t="shared" si="6"/>
        <v>2</v>
      </c>
      <c r="I203" s="65">
        <f t="shared" si="6"/>
        <v>1</v>
      </c>
      <c r="J203" s="65">
        <f t="shared" si="6"/>
        <v>2</v>
      </c>
      <c r="K203" s="65">
        <f t="shared" si="6"/>
        <v>1</v>
      </c>
      <c r="L203" s="65">
        <f t="shared" si="6"/>
        <v>1</v>
      </c>
      <c r="M203" s="65">
        <f t="shared" si="6"/>
        <v>1</v>
      </c>
      <c r="N203" s="65">
        <f t="shared" si="6"/>
        <v>1</v>
      </c>
      <c r="O203" s="65">
        <f t="shared" si="6"/>
        <v>1</v>
      </c>
      <c r="P203" s="65"/>
      <c r="Q203" s="65"/>
      <c r="R203" s="65"/>
      <c r="S203" s="65"/>
    </row>
    <row r="204" spans="1:19" x14ac:dyDescent="0.15">
      <c r="A204" s="47" t="s">
        <v>177</v>
      </c>
      <c r="B204" s="47">
        <f>L3</f>
        <v>0</v>
      </c>
      <c r="C204" s="47">
        <f t="shared" ref="C204:E204" si="7">M3</f>
        <v>0</v>
      </c>
      <c r="D204" s="47">
        <f t="shared" si="7"/>
        <v>0</v>
      </c>
      <c r="E204" s="47">
        <f t="shared" si="7"/>
        <v>0</v>
      </c>
      <c r="F204" s="47">
        <f>R3</f>
        <v>0</v>
      </c>
      <c r="G204" s="47">
        <f t="shared" ref="G204:O204" si="8">S3</f>
        <v>0</v>
      </c>
      <c r="H204" s="47">
        <f t="shared" si="8"/>
        <v>0</v>
      </c>
      <c r="I204" s="47">
        <f t="shared" si="8"/>
        <v>0</v>
      </c>
      <c r="J204" s="47">
        <f t="shared" si="8"/>
        <v>0</v>
      </c>
      <c r="K204" s="47">
        <f t="shared" si="8"/>
        <v>0</v>
      </c>
      <c r="L204" s="47">
        <f t="shared" si="8"/>
        <v>0</v>
      </c>
      <c r="M204" s="47">
        <f t="shared" si="8"/>
        <v>0</v>
      </c>
      <c r="N204" s="47">
        <f t="shared" si="8"/>
        <v>0</v>
      </c>
      <c r="O204" s="47">
        <f t="shared" si="8"/>
        <v>0</v>
      </c>
    </row>
    <row r="205" spans="1:19" x14ac:dyDescent="0.15">
      <c r="A205" s="47" t="s">
        <v>416</v>
      </c>
      <c r="B205" s="47">
        <v>0</v>
      </c>
      <c r="C205" s="47">
        <v>0</v>
      </c>
      <c r="D205" s="47">
        <v>0</v>
      </c>
      <c r="E205" s="47">
        <v>0</v>
      </c>
      <c r="F205" s="47">
        <v>0</v>
      </c>
      <c r="G205" s="47">
        <v>0</v>
      </c>
      <c r="H205" s="47">
        <v>0</v>
      </c>
      <c r="I205" s="47">
        <v>0</v>
      </c>
      <c r="J205" s="47">
        <v>0</v>
      </c>
      <c r="K205" s="47">
        <v>0</v>
      </c>
      <c r="L205" s="47">
        <v>0</v>
      </c>
      <c r="M205" s="47">
        <v>0</v>
      </c>
      <c r="N205" s="47">
        <v>0</v>
      </c>
      <c r="O205" s="47">
        <v>0</v>
      </c>
    </row>
    <row r="206" spans="1:19" x14ac:dyDescent="0.15">
      <c r="A206" s="47" t="s">
        <v>418</v>
      </c>
      <c r="B206" s="47">
        <f>B203*B204*B205</f>
        <v>0</v>
      </c>
      <c r="C206" s="47">
        <f t="shared" ref="C206:O206" si="9">C203*C204*C205</f>
        <v>0</v>
      </c>
      <c r="D206" s="47">
        <f t="shared" si="9"/>
        <v>0</v>
      </c>
      <c r="E206" s="47">
        <f t="shared" si="9"/>
        <v>0</v>
      </c>
      <c r="F206" s="47">
        <f t="shared" si="9"/>
        <v>0</v>
      </c>
      <c r="G206" s="47">
        <f t="shared" si="9"/>
        <v>0</v>
      </c>
      <c r="H206" s="47">
        <f t="shared" si="9"/>
        <v>0</v>
      </c>
      <c r="I206" s="47">
        <f t="shared" si="9"/>
        <v>0</v>
      </c>
      <c r="J206" s="47">
        <f t="shared" si="9"/>
        <v>0</v>
      </c>
      <c r="K206" s="47">
        <f t="shared" si="9"/>
        <v>0</v>
      </c>
      <c r="L206" s="47">
        <f t="shared" si="9"/>
        <v>0</v>
      </c>
      <c r="M206" s="47">
        <f t="shared" si="9"/>
        <v>0</v>
      </c>
      <c r="N206" s="47">
        <f t="shared" si="9"/>
        <v>0</v>
      </c>
      <c r="O206" s="47">
        <f t="shared" si="9"/>
        <v>0</v>
      </c>
    </row>
  </sheetData>
  <mergeCells count="7">
    <mergeCell ref="A192:A193"/>
    <mergeCell ref="B192:Q192"/>
    <mergeCell ref="B1:K1"/>
    <mergeCell ref="A1:A2"/>
    <mergeCell ref="L1:AA1"/>
    <mergeCell ref="A187:P187"/>
    <mergeCell ref="Q187:AF187"/>
  </mergeCells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26"/>
  <sheetViews>
    <sheetView zoomScale="85" zoomScaleNormal="85" workbookViewId="0">
      <selection activeCell="F19" sqref="F19"/>
    </sheetView>
  </sheetViews>
  <sheetFormatPr defaultRowHeight="14.25" x14ac:dyDescent="0.15"/>
  <cols>
    <col min="1" max="1" width="11.625" style="47" customWidth="1"/>
    <col min="2" max="16384" width="9" style="47"/>
  </cols>
  <sheetData>
    <row r="1" spans="1:29" ht="15" x14ac:dyDescent="0.15">
      <c r="A1" s="76" t="s">
        <v>148</v>
      </c>
      <c r="B1" s="76" t="s">
        <v>254</v>
      </c>
      <c r="C1" s="76" t="s">
        <v>255</v>
      </c>
      <c r="D1" s="76" t="s">
        <v>256</v>
      </c>
      <c r="E1" s="76" t="s">
        <v>257</v>
      </c>
      <c r="F1" s="76" t="s">
        <v>251</v>
      </c>
      <c r="G1" s="76" t="s">
        <v>258</v>
      </c>
      <c r="H1" s="76" t="s">
        <v>253</v>
      </c>
      <c r="I1" s="76" t="s">
        <v>259</v>
      </c>
      <c r="J1" s="76" t="s">
        <v>252</v>
      </c>
      <c r="K1" s="76" t="s">
        <v>260</v>
      </c>
      <c r="L1" s="76" t="s">
        <v>261</v>
      </c>
      <c r="M1" s="79" t="s">
        <v>270</v>
      </c>
      <c r="Q1" s="6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6"/>
    </row>
    <row r="2" spans="1:29" x14ac:dyDescent="0.15">
      <c r="A2" s="76" t="s">
        <v>254</v>
      </c>
      <c r="B2" s="80">
        <v>0</v>
      </c>
      <c r="C2" s="85">
        <v>47</v>
      </c>
      <c r="D2" s="82">
        <v>0</v>
      </c>
      <c r="E2" s="85">
        <v>202</v>
      </c>
      <c r="F2" s="82">
        <v>0</v>
      </c>
      <c r="G2" s="85">
        <v>123</v>
      </c>
      <c r="H2" s="85">
        <v>14</v>
      </c>
      <c r="I2" s="85">
        <v>159</v>
      </c>
      <c r="J2" s="85">
        <v>13</v>
      </c>
      <c r="K2" s="85">
        <v>46</v>
      </c>
      <c r="L2" s="85">
        <v>36</v>
      </c>
      <c r="Q2" s="65"/>
      <c r="R2" s="94"/>
      <c r="S2" s="94"/>
      <c r="T2" s="94"/>
      <c r="U2" s="94"/>
      <c r="V2" s="94"/>
      <c r="W2" s="94"/>
      <c r="X2" s="94"/>
      <c r="Y2" s="94"/>
      <c r="Z2" s="94"/>
      <c r="AA2" s="94"/>
      <c r="AB2" s="94"/>
      <c r="AC2" s="95"/>
    </row>
    <row r="3" spans="1:29" x14ac:dyDescent="0.15">
      <c r="A3" s="76" t="s">
        <v>255</v>
      </c>
      <c r="B3" s="83">
        <v>0</v>
      </c>
      <c r="C3" s="84">
        <v>0</v>
      </c>
      <c r="D3" s="84">
        <v>0</v>
      </c>
      <c r="E3" s="84">
        <v>0</v>
      </c>
      <c r="F3" s="84">
        <v>0</v>
      </c>
      <c r="G3" s="84">
        <v>0</v>
      </c>
      <c r="H3" s="84">
        <v>0</v>
      </c>
      <c r="I3" s="84">
        <v>0</v>
      </c>
      <c r="J3" s="84">
        <v>0</v>
      </c>
      <c r="K3" s="84">
        <v>0</v>
      </c>
      <c r="L3" s="84">
        <v>0</v>
      </c>
      <c r="Q3" s="65"/>
      <c r="R3" s="94"/>
      <c r="S3" s="94"/>
      <c r="T3" s="94"/>
      <c r="U3" s="94"/>
      <c r="V3" s="94"/>
      <c r="W3" s="94"/>
      <c r="X3" s="94"/>
      <c r="Y3" s="94"/>
      <c r="Z3" s="94"/>
      <c r="AA3" s="94"/>
      <c r="AB3" s="94"/>
      <c r="AC3" s="95"/>
    </row>
    <row r="4" spans="1:29" x14ac:dyDescent="0.15">
      <c r="A4" s="76" t="s">
        <v>262</v>
      </c>
      <c r="B4" s="83">
        <v>0</v>
      </c>
      <c r="C4" s="84">
        <v>0</v>
      </c>
      <c r="D4" s="84">
        <v>0</v>
      </c>
      <c r="E4" s="86">
        <v>48</v>
      </c>
      <c r="F4" s="84">
        <v>0</v>
      </c>
      <c r="G4" s="86">
        <v>50</v>
      </c>
      <c r="H4" s="86">
        <v>4</v>
      </c>
      <c r="I4" s="86">
        <v>6</v>
      </c>
      <c r="J4" s="86">
        <v>5</v>
      </c>
      <c r="K4" s="86">
        <v>17</v>
      </c>
      <c r="L4" s="86">
        <v>15</v>
      </c>
      <c r="Q4" s="65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5"/>
    </row>
    <row r="5" spans="1:29" x14ac:dyDescent="0.15">
      <c r="A5" s="76" t="s">
        <v>257</v>
      </c>
      <c r="B5" s="87">
        <v>0</v>
      </c>
      <c r="C5" s="84">
        <v>0</v>
      </c>
      <c r="D5" s="86">
        <v>0</v>
      </c>
      <c r="E5" s="84">
        <v>0</v>
      </c>
      <c r="F5" s="84">
        <v>0</v>
      </c>
      <c r="G5" s="84">
        <v>0</v>
      </c>
      <c r="H5" s="84">
        <v>0</v>
      </c>
      <c r="I5" s="84">
        <v>0</v>
      </c>
      <c r="J5" s="84">
        <v>0</v>
      </c>
      <c r="K5" s="84">
        <v>0</v>
      </c>
      <c r="L5" s="84">
        <v>0</v>
      </c>
      <c r="Q5" s="65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5"/>
    </row>
    <row r="6" spans="1:29" x14ac:dyDescent="0.15">
      <c r="A6" s="76" t="s">
        <v>263</v>
      </c>
      <c r="B6" s="83">
        <v>0</v>
      </c>
      <c r="C6" s="84">
        <v>0</v>
      </c>
      <c r="D6" s="84">
        <v>0</v>
      </c>
      <c r="E6" s="84">
        <v>0</v>
      </c>
      <c r="F6" s="84">
        <v>0</v>
      </c>
      <c r="G6" s="86">
        <v>21</v>
      </c>
      <c r="H6" s="86">
        <v>11</v>
      </c>
      <c r="I6" s="86">
        <v>18</v>
      </c>
      <c r="J6" s="86">
        <v>0</v>
      </c>
      <c r="K6" s="86">
        <v>17</v>
      </c>
      <c r="L6" s="86">
        <v>13</v>
      </c>
      <c r="Q6" s="65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5"/>
    </row>
    <row r="7" spans="1:29" x14ac:dyDescent="0.15">
      <c r="A7" s="76" t="s">
        <v>264</v>
      </c>
      <c r="B7" s="87">
        <v>16</v>
      </c>
      <c r="C7" s="84">
        <v>0</v>
      </c>
      <c r="D7" s="86">
        <v>8</v>
      </c>
      <c r="E7" s="84">
        <v>0</v>
      </c>
      <c r="F7" s="86">
        <v>5</v>
      </c>
      <c r="G7" s="84">
        <v>0</v>
      </c>
      <c r="H7" s="86">
        <v>2</v>
      </c>
      <c r="I7" s="86">
        <v>3</v>
      </c>
      <c r="J7" s="86">
        <v>0</v>
      </c>
      <c r="K7" s="86">
        <v>1</v>
      </c>
      <c r="L7" s="86">
        <v>3</v>
      </c>
      <c r="Q7" s="65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5"/>
    </row>
    <row r="8" spans="1:29" x14ac:dyDescent="0.15">
      <c r="A8" s="76" t="s">
        <v>265</v>
      </c>
      <c r="B8" s="87">
        <v>15</v>
      </c>
      <c r="C8" s="84">
        <v>0</v>
      </c>
      <c r="D8" s="86">
        <v>10</v>
      </c>
      <c r="E8" s="84">
        <v>0</v>
      </c>
      <c r="F8" s="86">
        <v>9</v>
      </c>
      <c r="G8" s="86">
        <v>3</v>
      </c>
      <c r="H8" s="84">
        <v>0</v>
      </c>
      <c r="I8" s="86">
        <v>5</v>
      </c>
      <c r="J8" s="86">
        <v>0</v>
      </c>
      <c r="K8" s="86">
        <v>1</v>
      </c>
      <c r="L8" s="86">
        <v>18</v>
      </c>
      <c r="Q8" s="65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5"/>
    </row>
    <row r="9" spans="1:29" x14ac:dyDescent="0.15">
      <c r="A9" s="76" t="s">
        <v>266</v>
      </c>
      <c r="B9" s="87">
        <v>226</v>
      </c>
      <c r="C9" s="84">
        <v>0</v>
      </c>
      <c r="D9" s="86">
        <v>33</v>
      </c>
      <c r="E9" s="84">
        <v>0</v>
      </c>
      <c r="F9" s="86">
        <v>17</v>
      </c>
      <c r="G9" s="86">
        <v>10</v>
      </c>
      <c r="H9" s="86">
        <v>1</v>
      </c>
      <c r="I9" s="84">
        <v>0</v>
      </c>
      <c r="J9" s="86">
        <v>8</v>
      </c>
      <c r="K9" s="86">
        <v>8</v>
      </c>
      <c r="L9" s="86">
        <v>3</v>
      </c>
      <c r="Q9" s="65"/>
      <c r="R9" s="94"/>
      <c r="S9" s="94"/>
      <c r="T9" s="94"/>
      <c r="U9" s="94"/>
      <c r="V9" s="94"/>
      <c r="W9" s="94"/>
      <c r="X9" s="94"/>
      <c r="Y9" s="94"/>
      <c r="Z9" s="94"/>
      <c r="AA9" s="94"/>
      <c r="AB9" s="94"/>
      <c r="AC9" s="95"/>
    </row>
    <row r="10" spans="1:29" x14ac:dyDescent="0.15">
      <c r="A10" s="76" t="s">
        <v>252</v>
      </c>
      <c r="B10" s="87">
        <v>8</v>
      </c>
      <c r="C10" s="84">
        <v>0</v>
      </c>
      <c r="D10" s="86">
        <v>4</v>
      </c>
      <c r="E10" s="84">
        <v>0</v>
      </c>
      <c r="F10" s="86">
        <v>3</v>
      </c>
      <c r="G10" s="86">
        <v>3</v>
      </c>
      <c r="H10" s="86">
        <v>1</v>
      </c>
      <c r="I10" s="86">
        <v>21</v>
      </c>
      <c r="J10" s="84">
        <v>0</v>
      </c>
      <c r="K10" s="84">
        <v>0</v>
      </c>
      <c r="L10" s="84">
        <v>0</v>
      </c>
      <c r="Q10" s="65"/>
      <c r="R10" s="94"/>
      <c r="S10" s="94"/>
      <c r="T10" s="94"/>
      <c r="U10" s="94"/>
      <c r="V10" s="94"/>
      <c r="W10" s="94"/>
      <c r="X10" s="94"/>
      <c r="Y10" s="94"/>
      <c r="Z10" s="94"/>
      <c r="AA10" s="94"/>
      <c r="AB10" s="94"/>
      <c r="AC10" s="95"/>
    </row>
    <row r="11" spans="1:29" x14ac:dyDescent="0.15">
      <c r="A11" s="76" t="s">
        <v>267</v>
      </c>
      <c r="B11" s="87">
        <v>31</v>
      </c>
      <c r="C11" s="84">
        <v>0</v>
      </c>
      <c r="D11" s="86">
        <v>11</v>
      </c>
      <c r="E11" s="84">
        <v>0</v>
      </c>
      <c r="F11" s="86">
        <v>8</v>
      </c>
      <c r="G11" s="86">
        <v>5</v>
      </c>
      <c r="H11" s="86">
        <v>0</v>
      </c>
      <c r="I11" s="86">
        <v>8</v>
      </c>
      <c r="J11" s="84">
        <v>0</v>
      </c>
      <c r="K11" s="84">
        <v>0</v>
      </c>
      <c r="L11" s="84">
        <v>0</v>
      </c>
      <c r="Q11" s="65"/>
      <c r="R11" s="94"/>
      <c r="S11" s="94"/>
      <c r="T11" s="94"/>
      <c r="U11" s="94"/>
      <c r="V11" s="94"/>
      <c r="W11" s="94"/>
      <c r="X11" s="94"/>
      <c r="Y11" s="94"/>
      <c r="Z11" s="94"/>
      <c r="AA11" s="94"/>
      <c r="AB11" s="94"/>
      <c r="AC11" s="95"/>
    </row>
    <row r="12" spans="1:29" x14ac:dyDescent="0.15">
      <c r="A12" s="76" t="s">
        <v>261</v>
      </c>
      <c r="B12" s="87">
        <v>151</v>
      </c>
      <c r="C12" s="84">
        <v>0</v>
      </c>
      <c r="D12" s="86">
        <v>60</v>
      </c>
      <c r="E12" s="84">
        <v>0</v>
      </c>
      <c r="F12" s="86">
        <v>27</v>
      </c>
      <c r="G12" s="86">
        <v>28</v>
      </c>
      <c r="H12" s="86">
        <v>3</v>
      </c>
      <c r="I12" s="86">
        <v>48</v>
      </c>
      <c r="J12" s="84">
        <v>0</v>
      </c>
      <c r="K12" s="84">
        <v>0</v>
      </c>
      <c r="L12" s="84">
        <v>0</v>
      </c>
      <c r="Q12" s="65"/>
      <c r="R12" s="94"/>
      <c r="S12" s="94"/>
      <c r="T12" s="94"/>
      <c r="U12" s="94"/>
      <c r="V12" s="94"/>
      <c r="W12" s="94"/>
      <c r="X12" s="94"/>
      <c r="Y12" s="94"/>
      <c r="Z12" s="94"/>
      <c r="AA12" s="94"/>
      <c r="AB12" s="94"/>
      <c r="AC12" s="95"/>
    </row>
    <row r="13" spans="1:29" ht="15" x14ac:dyDescent="0.15">
      <c r="A13" s="79" t="s">
        <v>269</v>
      </c>
      <c r="Q13" s="93"/>
      <c r="R13" s="95"/>
      <c r="S13" s="95"/>
      <c r="T13" s="95"/>
      <c r="U13" s="95"/>
      <c r="V13" s="95"/>
      <c r="W13" s="95"/>
      <c r="X13" s="95"/>
      <c r="Y13" s="95"/>
      <c r="Z13" s="95"/>
      <c r="AA13" s="95"/>
      <c r="AB13" s="95"/>
      <c r="AC13" s="95"/>
    </row>
    <row r="14" spans="1:29" x14ac:dyDescent="0.15">
      <c r="R14" s="97"/>
      <c r="S14" s="97"/>
      <c r="T14" s="97"/>
      <c r="U14" s="97"/>
      <c r="V14" s="97"/>
      <c r="W14" s="97"/>
      <c r="X14" s="97"/>
      <c r="Y14" s="97"/>
      <c r="Z14" s="97"/>
      <c r="AA14" s="97"/>
      <c r="AB14" s="97"/>
      <c r="AC14" s="97"/>
    </row>
    <row r="15" spans="1:29" x14ac:dyDescent="0.15">
      <c r="R15" s="97"/>
      <c r="S15" s="97"/>
      <c r="T15" s="97"/>
      <c r="U15" s="97"/>
      <c r="V15" s="97"/>
      <c r="W15" s="97"/>
      <c r="X15" s="97"/>
      <c r="Y15" s="97"/>
      <c r="Z15" s="97"/>
      <c r="AA15" s="97"/>
      <c r="AB15" s="97"/>
      <c r="AC15" s="97"/>
    </row>
    <row r="16" spans="1:29" x14ac:dyDescent="0.15">
      <c r="R16" s="97"/>
      <c r="S16" s="97"/>
      <c r="T16" s="97"/>
      <c r="U16" s="97"/>
      <c r="V16" s="97"/>
      <c r="W16" s="97"/>
      <c r="X16" s="97"/>
      <c r="Y16" s="97"/>
      <c r="Z16" s="97"/>
      <c r="AA16" s="97"/>
      <c r="AB16" s="97"/>
      <c r="AC16" s="97"/>
    </row>
    <row r="17" spans="1:29" x14ac:dyDescent="0.15">
      <c r="A17" s="46" t="s">
        <v>268</v>
      </c>
      <c r="B17" s="78">
        <v>1</v>
      </c>
      <c r="C17" s="77">
        <v>2</v>
      </c>
      <c r="D17" s="77">
        <v>3</v>
      </c>
      <c r="E17" s="77">
        <v>4</v>
      </c>
      <c r="F17" s="77">
        <v>5</v>
      </c>
      <c r="G17" s="77">
        <v>6</v>
      </c>
      <c r="H17" s="77">
        <v>7</v>
      </c>
      <c r="I17" s="77">
        <v>8</v>
      </c>
      <c r="J17" s="77">
        <v>9</v>
      </c>
      <c r="K17" s="77">
        <v>10</v>
      </c>
      <c r="L17" s="77">
        <v>11</v>
      </c>
      <c r="M17" s="77">
        <v>12</v>
      </c>
      <c r="N17" s="77">
        <v>13</v>
      </c>
      <c r="R17" s="97"/>
      <c r="S17" s="97"/>
      <c r="T17" s="97"/>
      <c r="U17" s="97"/>
      <c r="V17" s="97"/>
      <c r="W17" s="97"/>
      <c r="X17" s="97"/>
      <c r="Y17" s="97"/>
      <c r="Z17" s="97"/>
      <c r="AA17" s="97"/>
      <c r="AB17" s="97"/>
      <c r="AC17" s="97"/>
    </row>
    <row r="18" spans="1:29" x14ac:dyDescent="0.15">
      <c r="A18" s="46" t="s">
        <v>171</v>
      </c>
      <c r="B18" s="81">
        <f>C2/SUM(C2,E2,G2:L2)</f>
        <v>7.3437500000000003E-2</v>
      </c>
      <c r="C18" s="84">
        <v>0</v>
      </c>
      <c r="D18" s="81">
        <f>SUM(E2,E4)/SUM(E2,G2:L2,E4,G4:L4)</f>
        <v>0.33875338753387535</v>
      </c>
      <c r="E18" s="84">
        <v>0</v>
      </c>
      <c r="F18" s="81">
        <f>SUM(G2,G4,G6)/SUM(G2:L2,G4:L4,G6:L6,H7:L7)</f>
        <v>0.33622183708838821</v>
      </c>
      <c r="G18" s="81">
        <f>SUM(H2,H4,H6,H7)/SUM(H2:L2,H4:L4,H6:L6,H7:L7,I8:L8)</f>
        <v>7.6167076167076173E-2</v>
      </c>
      <c r="H18" s="81">
        <f>SUM(J2:L2,J4:L4,J6:L6,J7:L7,J8:L8)/SUM(I2:L2,I4:L4,I6:L6,I7:L7,I8:L8,I10:I12)</f>
        <v>0.4083885209713024</v>
      </c>
      <c r="I18" s="81">
        <f>SUM(J9:L9)/SUM(B9,D9,F9:H9,B10:B12,D10:D12,F10:H12)</f>
        <v>3.0158730158730159E-2</v>
      </c>
      <c r="J18" s="81">
        <f>SUM(H9:H12)/SUM(B9:B12,D9:D12,F9:H12,B8,D8,F8:G8)</f>
        <v>7.4962518740629685E-3</v>
      </c>
      <c r="K18" s="81">
        <f>SUM(G8:G12)/SUM(B8:B12,D8:D12,F8:G12,B7,D7,F7)</f>
        <v>7.0911722141823438E-2</v>
      </c>
      <c r="L18" s="81">
        <f>SUM(F7:F12)/SUM(B7:B12,D7:D12,F7:F12)</f>
        <v>0.10747663551401869</v>
      </c>
      <c r="M18" s="84">
        <v>0</v>
      </c>
      <c r="N18" s="81">
        <f>SUM(D7:D12)/SUM(B7:B12,D7:D12)</f>
        <v>0.21989528795811519</v>
      </c>
      <c r="R18" s="97"/>
      <c r="S18" s="97"/>
      <c r="T18" s="97"/>
      <c r="U18" s="97"/>
      <c r="V18" s="97"/>
      <c r="W18" s="97"/>
      <c r="X18" s="97"/>
      <c r="Y18" s="97"/>
      <c r="Z18" s="97"/>
      <c r="AA18" s="97"/>
      <c r="AB18" s="97"/>
      <c r="AC18" s="97"/>
    </row>
    <row r="19" spans="1:29" x14ac:dyDescent="0.15">
      <c r="A19" s="46" t="s">
        <v>148</v>
      </c>
      <c r="B19" s="84">
        <v>0</v>
      </c>
      <c r="C19" s="81">
        <f>SUM(E4,G4:L4)*4</f>
        <v>580</v>
      </c>
      <c r="D19" s="84">
        <v>0</v>
      </c>
      <c r="E19" s="81">
        <f>SUM(G6:L6)*4</f>
        <v>320</v>
      </c>
      <c r="F19" s="81">
        <f>SUM(H7:L7)*4</f>
        <v>36</v>
      </c>
      <c r="G19" s="81">
        <f>SUM(I8:L8)*4</f>
        <v>96</v>
      </c>
      <c r="H19" s="81">
        <f>SUM(J9:L9)*4</f>
        <v>76</v>
      </c>
      <c r="I19" s="81">
        <f>SUM(B10:B12,D10:D12,F10:H12)*4</f>
        <v>1372</v>
      </c>
      <c r="J19" s="81">
        <f>SUM(B8,D8,F8:G8)*4</f>
        <v>148</v>
      </c>
      <c r="K19" s="81">
        <f>SUM(B7,D7,F7)*4</f>
        <v>116</v>
      </c>
      <c r="L19" s="84">
        <v>0</v>
      </c>
      <c r="M19" s="81">
        <f>SUM(B5,D5)*4</f>
        <v>0</v>
      </c>
      <c r="N19" s="84">
        <v>0</v>
      </c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</row>
    <row r="20" spans="1:29" x14ac:dyDescent="0.15">
      <c r="A20" s="46" t="s">
        <v>271</v>
      </c>
      <c r="B20" s="81">
        <f>C2/SUM(C2,E2,G2:L2)</f>
        <v>7.3437500000000003E-2</v>
      </c>
      <c r="C20" s="84">
        <v>0</v>
      </c>
      <c r="D20" s="81">
        <f>SUM(E2,E4,SUM(D21:D26))/SUM(E2,G2:L2,E4,G4:L4)</f>
        <v>0.33875338753387535</v>
      </c>
      <c r="E20" s="84">
        <v>0</v>
      </c>
      <c r="F20" s="81">
        <f>SUM(G2,G4,G6,SUM(F22:F26))/SUM(G2:L2,G4:L4,G6:L6,H7:L7)</f>
        <v>0.33622183708838821</v>
      </c>
      <c r="G20" s="81">
        <f>SUM(H2,H4,H6,H7,SUM(G23:G26))/SUM(H2:L2,H4:L4,H6:L6,H7:L7,I8:L8)</f>
        <v>7.6167076167076173E-2</v>
      </c>
      <c r="H20" s="81">
        <f>SUM(J2:L2,J4:L4,J6:L6,J7:L7,J8:L8,H26)/SUM(I2:L2,I4:L4,I6:L6,I7:L7,I8:L8,I10:I12)</f>
        <v>0.4083885209713024</v>
      </c>
      <c r="I20" s="81">
        <f>SUM(J9:L9,B9*R9,D9*T9,SUM(I21:I25))/SUM(B9,D9,F9:H9,B10:B12,D10:D12,F10:H12)</f>
        <v>3.0158730158730159E-2</v>
      </c>
      <c r="J20" s="81">
        <f>SUM(H9:H12,SUM(J22:J25))/SUM(B9:B12,D9:D12,F9:H12,B8,D8,F8:G8)</f>
        <v>7.4962518740629685E-3</v>
      </c>
      <c r="K20" s="81">
        <f>SUM(G8:G12,SUM(K23:K25))/SUM(B8:B12,D8:D12,F8:G12,B7,D7,F7)</f>
        <v>7.0911722141823438E-2</v>
      </c>
      <c r="L20" s="81">
        <f>SUM(F7:F12,SUM(L24:L25))/SUM(B7:B12,D7:D12,F7:F12)</f>
        <v>0.10747663551401869</v>
      </c>
      <c r="M20" s="84">
        <v>0</v>
      </c>
      <c r="N20" s="81">
        <f>SUM(D7:D12,N25)/SUM(B7:B12,D7:D12)</f>
        <v>0.21989528795811519</v>
      </c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</row>
    <row r="21" spans="1:29" x14ac:dyDescent="0.15">
      <c r="A21" s="47">
        <v>6</v>
      </c>
      <c r="D21" s="47">
        <f>SUM(G2,G4)*PRD_Conf!T8</f>
        <v>0</v>
      </c>
      <c r="I21" s="47">
        <f>SUM(H9,H12)*PRD_Conf!T23</f>
        <v>0</v>
      </c>
      <c r="O21" s="47">
        <v>7</v>
      </c>
    </row>
    <row r="22" spans="1:29" x14ac:dyDescent="0.15">
      <c r="A22" s="47">
        <v>7</v>
      </c>
      <c r="D22" s="47">
        <f>SUM(H2,H4)*PRD_Conf!T7</f>
        <v>0</v>
      </c>
      <c r="F22" s="47">
        <f>SUM(H2,H4,H6)*PRD_Conf!T13</f>
        <v>0</v>
      </c>
      <c r="I22" s="47">
        <f>SUM(G12,G9)*PRD_Conf!T22</f>
        <v>0</v>
      </c>
      <c r="J22" s="47">
        <f>SUM(G9:G12)*PRD_Conf!T27</f>
        <v>0</v>
      </c>
      <c r="O22" s="47">
        <v>6</v>
      </c>
    </row>
    <row r="23" spans="1:29" x14ac:dyDescent="0.15">
      <c r="A23" s="47">
        <v>8</v>
      </c>
      <c r="D23" s="47">
        <f>(J2+J4)*PRD_Conf!T6</f>
        <v>0</v>
      </c>
      <c r="F23" s="47">
        <f>SUM(J2,J4,J6)*PRD_Conf!T12</f>
        <v>0</v>
      </c>
      <c r="G23" s="47">
        <f>SUM(J2,J4,J6:J7)*PRD_Conf!T17</f>
        <v>0</v>
      </c>
      <c r="I23" s="47">
        <f>SUM(F12,F9)*PRD_Conf!T21</f>
        <v>0</v>
      </c>
      <c r="J23" s="47">
        <f>SUM(F9:F12)*PRD_Conf!T26</f>
        <v>0</v>
      </c>
      <c r="K23" s="47">
        <f>SUM(F8:F12)*PRD_Conf!T30</f>
        <v>0</v>
      </c>
      <c r="O23" s="47">
        <v>4</v>
      </c>
    </row>
    <row r="24" spans="1:29" x14ac:dyDescent="0.15">
      <c r="A24" s="47">
        <v>9</v>
      </c>
      <c r="D24" s="47">
        <f>(K2+K4)*PRD_Conf!T5</f>
        <v>0</v>
      </c>
      <c r="F24" s="47">
        <f>SUM(K2,K4,K6)*PRD_Conf!T11</f>
        <v>0</v>
      </c>
      <c r="G24" s="47">
        <f>SUM(K2,K4,K6:K7)*PRD_Conf!T16</f>
        <v>0</v>
      </c>
      <c r="I24" s="47">
        <f>SUM(D9,D12)*PRD_Conf!T20</f>
        <v>0</v>
      </c>
      <c r="J24" s="47">
        <f>SUM(D9:D12)*PRD_Conf!T25</f>
        <v>0</v>
      </c>
      <c r="K24" s="47">
        <f>SUM(D8:D12)*PRD_Conf!T29</f>
        <v>0</v>
      </c>
      <c r="L24" s="47">
        <f>SUM(D7:D12)*PRD_Conf!T32</f>
        <v>0</v>
      </c>
      <c r="O24" s="47">
        <v>2</v>
      </c>
    </row>
    <row r="25" spans="1:29" x14ac:dyDescent="0.15">
      <c r="A25" s="47">
        <v>11</v>
      </c>
      <c r="D25" s="47">
        <f>(L2+L4)*PRD_Conf!T4</f>
        <v>0</v>
      </c>
      <c r="F25" s="47">
        <f>SUM(L2,L4,L6)*PRD_Conf!T10</f>
        <v>0</v>
      </c>
      <c r="G25" s="47">
        <f>SUM(L2,L4,L6:L7)*PRD_Conf!T15</f>
        <v>0</v>
      </c>
      <c r="I25" s="47">
        <f>SUM(B12,B9)*PRD_Conf!T19</f>
        <v>0</v>
      </c>
      <c r="J25" s="47">
        <f>SUM(B9:B12)*PRD_Conf!T24</f>
        <v>0</v>
      </c>
      <c r="K25" s="47">
        <f>SUM(B8:B12)*PRD_Conf!T28</f>
        <v>0</v>
      </c>
      <c r="L25" s="47">
        <f>SUM(B7:B12)*PRD_Conf!T31</f>
        <v>0</v>
      </c>
      <c r="N25" s="47">
        <f>SUM(B5,B7:B12)*PRD_Conf!T33</f>
        <v>0</v>
      </c>
      <c r="O25" s="47">
        <v>1</v>
      </c>
    </row>
    <row r="26" spans="1:29" x14ac:dyDescent="0.15">
      <c r="A26" s="47">
        <v>10</v>
      </c>
      <c r="D26" s="47">
        <f>(I2+I4)*PRD_Conf!T3</f>
        <v>0</v>
      </c>
      <c r="F26" s="47">
        <f>SUM(I2,I4,I6)*PRD_Conf!T9</f>
        <v>0</v>
      </c>
      <c r="G26" s="47">
        <f>SUM(I2,I4,I6:I7)*PRD_Conf!T14</f>
        <v>0</v>
      </c>
      <c r="H26" s="47">
        <f>SUM(I2,I4,I6:I8)*PRD_Conf!T18</f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40"/>
  <sheetViews>
    <sheetView zoomScale="70" zoomScaleNormal="70" workbookViewId="0">
      <selection activeCell="K17" sqref="K17"/>
    </sheetView>
  </sheetViews>
  <sheetFormatPr defaultRowHeight="13.5" x14ac:dyDescent="0.15"/>
  <cols>
    <col min="1" max="1" width="13.5" style="29" customWidth="1"/>
    <col min="2" max="2" width="10.625" style="29" customWidth="1"/>
    <col min="3" max="3" width="8.125" style="29" customWidth="1"/>
    <col min="4" max="4" width="10.25" style="29" customWidth="1"/>
    <col min="5" max="6" width="9" style="29" customWidth="1"/>
    <col min="7" max="10" width="9" style="29"/>
    <col min="11" max="11" width="13.125" style="29" customWidth="1"/>
    <col min="12" max="12" width="11.5" style="29" customWidth="1"/>
    <col min="13" max="14" width="9" style="29"/>
    <col min="15" max="15" width="13.125" style="29" customWidth="1"/>
    <col min="16" max="16" width="10.625" style="29" customWidth="1"/>
    <col min="17" max="18" width="9" style="29"/>
    <col min="19" max="19" width="12.375" style="29" customWidth="1"/>
    <col min="20" max="16384" width="9" style="29"/>
  </cols>
  <sheetData>
    <row r="1" spans="1:20" ht="15" x14ac:dyDescent="0.15">
      <c r="A1" s="130" t="s">
        <v>142</v>
      </c>
      <c r="B1" s="130" t="s">
        <v>143</v>
      </c>
      <c r="C1" s="158" t="s">
        <v>136</v>
      </c>
      <c r="D1" s="130" t="s">
        <v>141</v>
      </c>
      <c r="E1" s="130"/>
      <c r="F1" s="130"/>
      <c r="G1" s="130"/>
      <c r="H1" s="130"/>
      <c r="I1" s="130"/>
      <c r="J1" s="130"/>
      <c r="K1" s="130"/>
      <c r="L1" s="130" t="s">
        <v>232</v>
      </c>
      <c r="M1" s="130"/>
      <c r="N1" s="130"/>
      <c r="O1" s="130"/>
      <c r="P1" s="130"/>
      <c r="Q1" s="130"/>
      <c r="R1" s="130"/>
      <c r="S1" s="130"/>
      <c r="T1" s="157" t="s">
        <v>272</v>
      </c>
    </row>
    <row r="2" spans="1:20" ht="15" x14ac:dyDescent="0.15">
      <c r="A2" s="130"/>
      <c r="B2" s="130"/>
      <c r="C2" s="130"/>
      <c r="D2" s="35" t="s">
        <v>139</v>
      </c>
      <c r="E2" s="36">
        <v>4</v>
      </c>
      <c r="F2" s="36">
        <v>6</v>
      </c>
      <c r="G2" s="36">
        <v>7</v>
      </c>
      <c r="H2" s="36">
        <v>11</v>
      </c>
      <c r="I2" s="37" t="s">
        <v>137</v>
      </c>
      <c r="J2" s="37" t="s">
        <v>138</v>
      </c>
      <c r="K2" s="38" t="s">
        <v>140</v>
      </c>
      <c r="L2" s="35" t="s">
        <v>139</v>
      </c>
      <c r="M2" s="36">
        <v>4</v>
      </c>
      <c r="N2" s="36">
        <v>6</v>
      </c>
      <c r="O2" s="36">
        <v>7</v>
      </c>
      <c r="P2" s="36">
        <v>11</v>
      </c>
      <c r="Q2" s="37" t="s">
        <v>137</v>
      </c>
      <c r="R2" s="37" t="s">
        <v>138</v>
      </c>
      <c r="S2" s="38" t="s">
        <v>140</v>
      </c>
      <c r="T2" s="157"/>
    </row>
    <row r="3" spans="1:20" ht="14.25" x14ac:dyDescent="0.15">
      <c r="A3" s="30">
        <v>3</v>
      </c>
      <c r="B3" s="30">
        <v>10</v>
      </c>
      <c r="C3" s="30">
        <v>11</v>
      </c>
      <c r="D3" s="33">
        <v>1</v>
      </c>
      <c r="E3" s="31">
        <v>2</v>
      </c>
      <c r="F3" s="31">
        <v>3</v>
      </c>
      <c r="G3" s="31">
        <v>4</v>
      </c>
      <c r="H3" s="31">
        <v>5</v>
      </c>
      <c r="I3" s="32">
        <v>6</v>
      </c>
      <c r="J3" s="32">
        <v>7</v>
      </c>
      <c r="K3" s="39"/>
      <c r="L3" s="33">
        <v>1</v>
      </c>
      <c r="M3" s="31">
        <v>2</v>
      </c>
      <c r="N3" s="31">
        <v>3</v>
      </c>
      <c r="O3" s="31">
        <v>4</v>
      </c>
      <c r="P3" s="31">
        <v>5</v>
      </c>
      <c r="Q3" s="32">
        <v>6</v>
      </c>
      <c r="R3" s="32">
        <v>7</v>
      </c>
      <c r="S3" s="39"/>
      <c r="T3" s="33">
        <v>0</v>
      </c>
    </row>
    <row r="4" spans="1:20" ht="14.25" x14ac:dyDescent="0.15">
      <c r="A4" s="30">
        <v>3</v>
      </c>
      <c r="B4" s="30">
        <v>11</v>
      </c>
      <c r="C4" s="30">
        <v>12</v>
      </c>
      <c r="D4" s="33">
        <v>1</v>
      </c>
      <c r="E4" s="31">
        <v>2</v>
      </c>
      <c r="F4" s="31">
        <v>3</v>
      </c>
      <c r="G4" s="31">
        <v>4</v>
      </c>
      <c r="H4" s="31">
        <v>5</v>
      </c>
      <c r="I4" s="32"/>
      <c r="J4" s="32"/>
      <c r="K4" s="39"/>
      <c r="L4" s="33">
        <v>8</v>
      </c>
      <c r="M4" s="31">
        <v>9</v>
      </c>
      <c r="N4" s="31">
        <v>10</v>
      </c>
      <c r="O4" s="31">
        <v>11</v>
      </c>
      <c r="P4" s="31">
        <v>12</v>
      </c>
      <c r="Q4" s="32"/>
      <c r="R4" s="32"/>
      <c r="S4" s="39"/>
      <c r="T4" s="33">
        <v>0</v>
      </c>
    </row>
    <row r="5" spans="1:20" ht="14.25" x14ac:dyDescent="0.15">
      <c r="A5" s="30">
        <v>3</v>
      </c>
      <c r="B5" s="30">
        <v>9</v>
      </c>
      <c r="C5" s="30">
        <v>13</v>
      </c>
      <c r="D5" s="33">
        <v>1</v>
      </c>
      <c r="E5" s="31">
        <v>2</v>
      </c>
      <c r="F5" s="31">
        <v>3</v>
      </c>
      <c r="G5" s="31">
        <v>4</v>
      </c>
      <c r="H5" s="31"/>
      <c r="I5" s="32"/>
      <c r="J5" s="32"/>
      <c r="K5" s="39">
        <v>5</v>
      </c>
      <c r="L5" s="33">
        <v>13</v>
      </c>
      <c r="M5" s="31">
        <v>14</v>
      </c>
      <c r="N5" s="31">
        <v>15</v>
      </c>
      <c r="O5" s="31">
        <v>16</v>
      </c>
      <c r="P5" s="31"/>
      <c r="Q5" s="32"/>
      <c r="R5" s="32"/>
      <c r="S5" s="39">
        <v>17</v>
      </c>
      <c r="T5" s="33">
        <v>0</v>
      </c>
    </row>
    <row r="6" spans="1:20" ht="14.25" x14ac:dyDescent="0.15">
      <c r="A6" s="30">
        <v>3</v>
      </c>
      <c r="B6" s="30">
        <v>8</v>
      </c>
      <c r="C6" s="30">
        <v>14</v>
      </c>
      <c r="D6" s="33">
        <v>1</v>
      </c>
      <c r="E6" s="31">
        <v>2</v>
      </c>
      <c r="F6" s="31">
        <v>3</v>
      </c>
      <c r="G6" s="31">
        <v>4</v>
      </c>
      <c r="H6" s="31"/>
      <c r="I6" s="32"/>
      <c r="J6" s="32"/>
      <c r="K6" s="39">
        <v>5</v>
      </c>
      <c r="L6" s="33">
        <v>18</v>
      </c>
      <c r="M6" s="31">
        <v>19</v>
      </c>
      <c r="N6" s="31">
        <v>20</v>
      </c>
      <c r="O6" s="31">
        <v>21</v>
      </c>
      <c r="P6" s="31"/>
      <c r="Q6" s="32"/>
      <c r="R6" s="32"/>
      <c r="S6" s="39">
        <v>22</v>
      </c>
      <c r="T6" s="33">
        <v>0</v>
      </c>
    </row>
    <row r="7" spans="1:20" ht="14.25" x14ac:dyDescent="0.15">
      <c r="A7" s="30">
        <v>3</v>
      </c>
      <c r="B7" s="30">
        <v>7</v>
      </c>
      <c r="C7" s="30">
        <v>15</v>
      </c>
      <c r="D7" s="33">
        <v>1</v>
      </c>
      <c r="E7" s="31">
        <v>2</v>
      </c>
      <c r="F7" s="31">
        <v>3</v>
      </c>
      <c r="G7" s="31"/>
      <c r="H7" s="31"/>
      <c r="I7" s="32"/>
      <c r="J7" s="32"/>
      <c r="K7" s="39">
        <v>4</v>
      </c>
      <c r="L7" s="33">
        <v>23</v>
      </c>
      <c r="M7" s="31">
        <v>24</v>
      </c>
      <c r="N7" s="31">
        <v>25</v>
      </c>
      <c r="O7" s="31"/>
      <c r="P7" s="31"/>
      <c r="Q7" s="32"/>
      <c r="R7" s="32"/>
      <c r="S7" s="39">
        <v>26</v>
      </c>
      <c r="T7" s="33">
        <v>0</v>
      </c>
    </row>
    <row r="8" spans="1:20" ht="14.25" x14ac:dyDescent="0.15">
      <c r="A8" s="30">
        <v>3</v>
      </c>
      <c r="B8" s="30">
        <v>6</v>
      </c>
      <c r="C8" s="30">
        <v>16</v>
      </c>
      <c r="D8" s="33">
        <v>1</v>
      </c>
      <c r="E8" s="31">
        <v>2</v>
      </c>
      <c r="F8" s="31"/>
      <c r="G8" s="31"/>
      <c r="H8" s="31"/>
      <c r="I8" s="32"/>
      <c r="J8" s="32"/>
      <c r="K8" s="39">
        <v>3</v>
      </c>
      <c r="L8" s="33">
        <v>27</v>
      </c>
      <c r="M8" s="31">
        <v>28</v>
      </c>
      <c r="N8" s="31"/>
      <c r="O8" s="31"/>
      <c r="P8" s="31"/>
      <c r="Q8" s="32"/>
      <c r="R8" s="32"/>
      <c r="S8" s="39">
        <v>29</v>
      </c>
      <c r="T8" s="33">
        <v>0</v>
      </c>
    </row>
    <row r="9" spans="1:20" ht="14.25" x14ac:dyDescent="0.15">
      <c r="A9" s="30">
        <v>6</v>
      </c>
      <c r="B9" s="30">
        <v>10</v>
      </c>
      <c r="C9" s="30">
        <v>17</v>
      </c>
      <c r="D9" s="33">
        <v>1</v>
      </c>
      <c r="E9" s="31"/>
      <c r="F9" s="31"/>
      <c r="G9" s="31">
        <v>2</v>
      </c>
      <c r="H9" s="31">
        <v>3</v>
      </c>
      <c r="I9" s="32">
        <v>4</v>
      </c>
      <c r="J9" s="32">
        <v>5</v>
      </c>
      <c r="K9" s="39"/>
      <c r="L9" s="33">
        <v>30</v>
      </c>
      <c r="M9" s="31"/>
      <c r="N9" s="31"/>
      <c r="O9" s="31">
        <v>31</v>
      </c>
      <c r="P9" s="31">
        <v>32</v>
      </c>
      <c r="Q9" s="32">
        <v>33</v>
      </c>
      <c r="R9" s="32">
        <v>34</v>
      </c>
      <c r="S9" s="39"/>
      <c r="T9" s="33">
        <v>0</v>
      </c>
    </row>
    <row r="10" spans="1:20" ht="14.25" x14ac:dyDescent="0.15">
      <c r="A10" s="30">
        <v>6</v>
      </c>
      <c r="B10" s="30">
        <v>11</v>
      </c>
      <c r="C10" s="30">
        <v>18</v>
      </c>
      <c r="D10" s="33">
        <v>1</v>
      </c>
      <c r="E10" s="31"/>
      <c r="F10" s="31"/>
      <c r="G10" s="31">
        <v>2</v>
      </c>
      <c r="H10" s="31"/>
      <c r="I10" s="32"/>
      <c r="J10" s="32"/>
      <c r="K10" s="39">
        <v>3</v>
      </c>
      <c r="L10" s="33">
        <v>35</v>
      </c>
      <c r="M10" s="31"/>
      <c r="N10" s="31"/>
      <c r="O10" s="31">
        <v>36</v>
      </c>
      <c r="P10" s="31"/>
      <c r="Q10" s="32"/>
      <c r="R10" s="32"/>
      <c r="S10" s="39">
        <v>37</v>
      </c>
      <c r="T10" s="33">
        <v>0</v>
      </c>
    </row>
    <row r="11" spans="1:20" ht="14.25" x14ac:dyDescent="0.15">
      <c r="A11" s="30">
        <v>6</v>
      </c>
      <c r="B11" s="30">
        <v>9</v>
      </c>
      <c r="C11" s="30">
        <v>19</v>
      </c>
      <c r="D11" s="33">
        <v>1</v>
      </c>
      <c r="E11" s="31"/>
      <c r="F11" s="31"/>
      <c r="G11" s="31">
        <v>2</v>
      </c>
      <c r="H11" s="31"/>
      <c r="I11" s="32"/>
      <c r="J11" s="32"/>
      <c r="K11" s="39">
        <v>3</v>
      </c>
      <c r="L11" s="33">
        <v>38</v>
      </c>
      <c r="M11" s="31"/>
      <c r="N11" s="31"/>
      <c r="O11" s="31">
        <v>39</v>
      </c>
      <c r="P11" s="31"/>
      <c r="Q11" s="32"/>
      <c r="R11" s="32"/>
      <c r="S11" s="39">
        <v>40</v>
      </c>
      <c r="T11" s="33">
        <v>0</v>
      </c>
    </row>
    <row r="12" spans="1:20" ht="14.25" x14ac:dyDescent="0.15">
      <c r="A12" s="30">
        <v>6</v>
      </c>
      <c r="B12" s="30">
        <v>8</v>
      </c>
      <c r="C12" s="30">
        <v>20</v>
      </c>
      <c r="D12" s="33">
        <v>1</v>
      </c>
      <c r="E12" s="31"/>
      <c r="F12" s="31"/>
      <c r="G12" s="31">
        <v>2</v>
      </c>
      <c r="H12" s="31"/>
      <c r="I12" s="32"/>
      <c r="J12" s="32"/>
      <c r="K12" s="39">
        <v>3</v>
      </c>
      <c r="L12" s="33">
        <v>41</v>
      </c>
      <c r="M12" s="31"/>
      <c r="N12" s="31"/>
      <c r="O12" s="31">
        <v>42</v>
      </c>
      <c r="P12" s="31"/>
      <c r="Q12" s="32"/>
      <c r="R12" s="32"/>
      <c r="S12" s="39">
        <v>43</v>
      </c>
      <c r="T12" s="33">
        <v>0</v>
      </c>
    </row>
    <row r="13" spans="1:20" ht="14.25" x14ac:dyDescent="0.15">
      <c r="A13" s="30">
        <v>6</v>
      </c>
      <c r="B13" s="30">
        <v>7</v>
      </c>
      <c r="C13" s="30">
        <v>21</v>
      </c>
      <c r="D13" s="33">
        <v>1</v>
      </c>
      <c r="E13" s="31"/>
      <c r="F13" s="31"/>
      <c r="G13" s="31"/>
      <c r="H13" s="31"/>
      <c r="I13" s="32"/>
      <c r="J13" s="32"/>
      <c r="K13" s="39">
        <v>2</v>
      </c>
      <c r="L13" s="33">
        <v>44</v>
      </c>
      <c r="M13" s="31"/>
      <c r="N13" s="31"/>
      <c r="O13" s="31"/>
      <c r="P13" s="31"/>
      <c r="Q13" s="32"/>
      <c r="R13" s="32"/>
      <c r="S13" s="39">
        <v>45</v>
      </c>
      <c r="T13" s="33">
        <v>0</v>
      </c>
    </row>
    <row r="14" spans="1:20" ht="14.25" x14ac:dyDescent="0.15">
      <c r="A14" s="30">
        <v>7</v>
      </c>
      <c r="B14" s="30">
        <v>10</v>
      </c>
      <c r="C14" s="30">
        <v>22</v>
      </c>
      <c r="D14" s="33">
        <v>1</v>
      </c>
      <c r="E14" s="31"/>
      <c r="F14" s="31"/>
      <c r="G14" s="31"/>
      <c r="H14" s="31">
        <v>2</v>
      </c>
      <c r="I14" s="32">
        <v>3</v>
      </c>
      <c r="J14" s="32">
        <v>4</v>
      </c>
      <c r="K14" s="39"/>
      <c r="L14" s="33">
        <v>46</v>
      </c>
      <c r="M14" s="31"/>
      <c r="N14" s="31"/>
      <c r="O14" s="31"/>
      <c r="P14" s="31">
        <v>47</v>
      </c>
      <c r="Q14" s="32">
        <v>48</v>
      </c>
      <c r="R14" s="32">
        <v>49</v>
      </c>
      <c r="S14" s="39"/>
      <c r="T14" s="33">
        <v>0</v>
      </c>
    </row>
    <row r="15" spans="1:20" ht="14.25" x14ac:dyDescent="0.15">
      <c r="A15" s="30">
        <v>7</v>
      </c>
      <c r="B15" s="30">
        <v>11</v>
      </c>
      <c r="C15" s="30">
        <v>23</v>
      </c>
      <c r="D15" s="33">
        <v>1</v>
      </c>
      <c r="E15" s="31"/>
      <c r="F15" s="31"/>
      <c r="G15" s="31"/>
      <c r="H15" s="31">
        <v>2</v>
      </c>
      <c r="I15" s="32"/>
      <c r="J15" s="32"/>
      <c r="K15" s="39"/>
      <c r="L15" s="33">
        <v>50</v>
      </c>
      <c r="M15" s="31"/>
      <c r="N15" s="31"/>
      <c r="O15" s="31"/>
      <c r="P15" s="31">
        <v>51</v>
      </c>
      <c r="Q15" s="32"/>
      <c r="R15" s="32"/>
      <c r="S15" s="39"/>
      <c r="T15" s="33">
        <v>0</v>
      </c>
    </row>
    <row r="16" spans="1:20" ht="14.25" x14ac:dyDescent="0.15">
      <c r="A16" s="30">
        <v>7</v>
      </c>
      <c r="B16" s="30">
        <v>9</v>
      </c>
      <c r="C16" s="30">
        <v>24</v>
      </c>
      <c r="D16" s="33">
        <v>1</v>
      </c>
      <c r="E16" s="31"/>
      <c r="F16" s="31"/>
      <c r="G16" s="31"/>
      <c r="H16" s="31"/>
      <c r="I16" s="32"/>
      <c r="J16" s="32"/>
      <c r="K16" s="39">
        <v>2</v>
      </c>
      <c r="L16" s="33">
        <v>52</v>
      </c>
      <c r="M16" s="31"/>
      <c r="N16" s="31"/>
      <c r="O16" s="31"/>
      <c r="P16" s="31"/>
      <c r="Q16" s="32"/>
      <c r="R16" s="32"/>
      <c r="S16" s="39">
        <v>53</v>
      </c>
      <c r="T16" s="33">
        <v>0</v>
      </c>
    </row>
    <row r="17" spans="1:20" ht="14.25" x14ac:dyDescent="0.15">
      <c r="A17" s="30">
        <v>7</v>
      </c>
      <c r="B17" s="30">
        <v>8</v>
      </c>
      <c r="C17" s="30">
        <v>25</v>
      </c>
      <c r="D17" s="33">
        <v>1</v>
      </c>
      <c r="E17" s="31"/>
      <c r="F17" s="31"/>
      <c r="G17" s="31"/>
      <c r="H17" s="31"/>
      <c r="I17" s="32"/>
      <c r="J17" s="32"/>
      <c r="K17" s="39">
        <v>2</v>
      </c>
      <c r="L17" s="33">
        <v>54</v>
      </c>
      <c r="M17" s="31"/>
      <c r="N17" s="31"/>
      <c r="O17" s="31"/>
      <c r="P17" s="31"/>
      <c r="Q17" s="32"/>
      <c r="R17" s="32"/>
      <c r="S17" s="39">
        <v>55</v>
      </c>
      <c r="T17" s="33">
        <v>0</v>
      </c>
    </row>
    <row r="18" spans="1:20" ht="14.25" x14ac:dyDescent="0.15">
      <c r="A18" s="30">
        <v>11</v>
      </c>
      <c r="B18" s="30">
        <v>10</v>
      </c>
      <c r="C18" s="30">
        <v>26</v>
      </c>
      <c r="D18" s="33">
        <v>1</v>
      </c>
      <c r="E18" s="31"/>
      <c r="F18" s="31"/>
      <c r="G18" s="31"/>
      <c r="H18" s="31"/>
      <c r="I18" s="32">
        <v>2</v>
      </c>
      <c r="J18" s="32">
        <v>3</v>
      </c>
      <c r="K18" s="39"/>
      <c r="L18" s="33">
        <v>56</v>
      </c>
      <c r="M18" s="31"/>
      <c r="N18" s="31"/>
      <c r="O18" s="31"/>
      <c r="P18" s="31"/>
      <c r="Q18" s="32">
        <v>57</v>
      </c>
      <c r="R18" s="32">
        <v>58</v>
      </c>
      <c r="S18" s="39"/>
      <c r="T18" s="33">
        <v>0</v>
      </c>
    </row>
    <row r="19" spans="1:20" ht="14.25" x14ac:dyDescent="0.15">
      <c r="A19" s="30">
        <v>11</v>
      </c>
      <c r="B19" s="30">
        <v>1</v>
      </c>
      <c r="C19" s="30">
        <v>27</v>
      </c>
      <c r="D19" s="33">
        <v>1</v>
      </c>
      <c r="E19" s="31">
        <v>4</v>
      </c>
      <c r="F19" s="31">
        <v>3</v>
      </c>
      <c r="G19" s="31">
        <v>2</v>
      </c>
      <c r="H19" s="31"/>
      <c r="I19" s="32"/>
      <c r="J19" s="32">
        <v>6</v>
      </c>
      <c r="K19" s="39">
        <v>5</v>
      </c>
      <c r="L19" s="33">
        <v>59</v>
      </c>
      <c r="M19" s="31">
        <v>60</v>
      </c>
      <c r="N19" s="31">
        <v>61</v>
      </c>
      <c r="O19" s="31">
        <v>62</v>
      </c>
      <c r="P19" s="31"/>
      <c r="Q19" s="32"/>
      <c r="R19" s="32">
        <v>63</v>
      </c>
      <c r="S19" s="39">
        <v>64</v>
      </c>
      <c r="T19" s="33">
        <v>0</v>
      </c>
    </row>
    <row r="20" spans="1:20" ht="14.25" x14ac:dyDescent="0.15">
      <c r="A20" s="30">
        <v>11</v>
      </c>
      <c r="B20" s="30">
        <v>2</v>
      </c>
      <c r="C20" s="30">
        <v>28</v>
      </c>
      <c r="D20" s="33">
        <v>1</v>
      </c>
      <c r="E20" s="31"/>
      <c r="F20" s="31">
        <v>3</v>
      </c>
      <c r="G20" s="31">
        <v>2</v>
      </c>
      <c r="H20" s="31"/>
      <c r="I20" s="32"/>
      <c r="J20" s="32">
        <v>5</v>
      </c>
      <c r="K20" s="39">
        <v>4</v>
      </c>
      <c r="L20" s="33">
        <v>65</v>
      </c>
      <c r="M20" s="31"/>
      <c r="N20" s="31">
        <v>66</v>
      </c>
      <c r="O20" s="31">
        <v>67</v>
      </c>
      <c r="P20" s="31"/>
      <c r="Q20" s="32"/>
      <c r="R20" s="32">
        <v>68</v>
      </c>
      <c r="S20" s="39">
        <v>69</v>
      </c>
      <c r="T20" s="33">
        <v>0</v>
      </c>
    </row>
    <row r="21" spans="1:20" ht="14.25" x14ac:dyDescent="0.15">
      <c r="A21" s="30">
        <v>11</v>
      </c>
      <c r="B21" s="30">
        <v>4</v>
      </c>
      <c r="C21" s="30">
        <v>29</v>
      </c>
      <c r="D21" s="33">
        <v>1</v>
      </c>
      <c r="E21" s="31">
        <v>4</v>
      </c>
      <c r="F21" s="31">
        <v>3</v>
      </c>
      <c r="G21" s="31">
        <v>2</v>
      </c>
      <c r="H21" s="31"/>
      <c r="I21" s="32"/>
      <c r="J21" s="32">
        <v>5</v>
      </c>
      <c r="K21" s="39"/>
      <c r="L21" s="33">
        <v>70</v>
      </c>
      <c r="M21" s="31">
        <v>71</v>
      </c>
      <c r="N21" s="31">
        <v>72</v>
      </c>
      <c r="O21" s="31">
        <v>73</v>
      </c>
      <c r="P21" s="31"/>
      <c r="Q21" s="32"/>
      <c r="R21" s="32">
        <v>74</v>
      </c>
      <c r="S21" s="39">
        <v>75</v>
      </c>
      <c r="T21" s="33">
        <v>0</v>
      </c>
    </row>
    <row r="22" spans="1:20" ht="14.25" x14ac:dyDescent="0.15">
      <c r="A22" s="30">
        <v>11</v>
      </c>
      <c r="B22" s="30">
        <v>6</v>
      </c>
      <c r="C22" s="30">
        <v>30</v>
      </c>
      <c r="D22" s="33">
        <v>1</v>
      </c>
      <c r="E22" s="31"/>
      <c r="F22" s="31"/>
      <c r="G22" s="31">
        <v>2</v>
      </c>
      <c r="H22" s="31"/>
      <c r="I22" s="32"/>
      <c r="J22" s="32">
        <v>4</v>
      </c>
      <c r="K22" s="39">
        <v>3</v>
      </c>
      <c r="L22" s="33">
        <v>75</v>
      </c>
      <c r="M22" s="31"/>
      <c r="N22" s="31"/>
      <c r="O22" s="31">
        <v>76</v>
      </c>
      <c r="P22" s="31"/>
      <c r="Q22" s="32"/>
      <c r="R22" s="32">
        <v>77</v>
      </c>
      <c r="S22" s="39">
        <v>78</v>
      </c>
      <c r="T22" s="33">
        <v>0</v>
      </c>
    </row>
    <row r="23" spans="1:20" ht="14.25" x14ac:dyDescent="0.15">
      <c r="A23" s="30">
        <v>11</v>
      </c>
      <c r="B23" s="30">
        <v>7</v>
      </c>
      <c r="C23" s="30">
        <v>31</v>
      </c>
      <c r="D23" s="33">
        <v>1</v>
      </c>
      <c r="E23" s="31"/>
      <c r="F23" s="31"/>
      <c r="G23" s="31"/>
      <c r="H23" s="31"/>
      <c r="I23" s="32"/>
      <c r="J23" s="32">
        <v>3</v>
      </c>
      <c r="K23" s="39">
        <v>2</v>
      </c>
      <c r="L23" s="33">
        <v>79</v>
      </c>
      <c r="M23" s="31"/>
      <c r="N23" s="31"/>
      <c r="O23" s="31"/>
      <c r="P23" s="31"/>
      <c r="Q23" s="32"/>
      <c r="R23" s="32">
        <v>80</v>
      </c>
      <c r="S23" s="39">
        <v>81</v>
      </c>
      <c r="T23" s="33">
        <v>0</v>
      </c>
    </row>
    <row r="24" spans="1:20" ht="14.25" x14ac:dyDescent="0.15">
      <c r="A24" s="30">
        <v>7</v>
      </c>
      <c r="B24" s="30">
        <v>1</v>
      </c>
      <c r="C24" s="30">
        <v>32</v>
      </c>
      <c r="D24" s="33">
        <v>1</v>
      </c>
      <c r="E24" s="31"/>
      <c r="F24" s="31">
        <v>2</v>
      </c>
      <c r="G24" s="31"/>
      <c r="H24" s="31"/>
      <c r="I24" s="32"/>
      <c r="J24" s="32"/>
      <c r="K24" s="39">
        <v>3</v>
      </c>
      <c r="L24" s="33">
        <v>82</v>
      </c>
      <c r="M24" s="31"/>
      <c r="N24" s="31">
        <v>83</v>
      </c>
      <c r="O24" s="31"/>
      <c r="P24" s="31"/>
      <c r="Q24" s="32"/>
      <c r="R24" s="32"/>
      <c r="S24" s="39">
        <v>84</v>
      </c>
      <c r="T24" s="33">
        <v>0</v>
      </c>
    </row>
    <row r="25" spans="1:20" ht="14.25" x14ac:dyDescent="0.15">
      <c r="A25" s="30">
        <v>7</v>
      </c>
      <c r="B25" s="30">
        <v>2</v>
      </c>
      <c r="C25" s="30">
        <v>33</v>
      </c>
      <c r="D25" s="33">
        <v>1</v>
      </c>
      <c r="E25" s="31">
        <v>3</v>
      </c>
      <c r="F25" s="31">
        <v>2</v>
      </c>
      <c r="G25" s="31"/>
      <c r="H25" s="31"/>
      <c r="I25" s="32"/>
      <c r="J25" s="32"/>
      <c r="K25" s="39">
        <v>4</v>
      </c>
      <c r="L25" s="33">
        <v>85</v>
      </c>
      <c r="M25" s="31">
        <v>86</v>
      </c>
      <c r="N25" s="31">
        <v>87</v>
      </c>
      <c r="O25" s="31"/>
      <c r="P25" s="31"/>
      <c r="Q25" s="32"/>
      <c r="R25" s="32"/>
      <c r="S25" s="39">
        <v>88</v>
      </c>
      <c r="T25" s="33">
        <v>0</v>
      </c>
    </row>
    <row r="26" spans="1:20" ht="14.25" x14ac:dyDescent="0.15">
      <c r="A26" s="30">
        <v>7</v>
      </c>
      <c r="B26" s="30">
        <v>4</v>
      </c>
      <c r="C26" s="30">
        <v>34</v>
      </c>
      <c r="D26" s="33">
        <v>1</v>
      </c>
      <c r="E26" s="31"/>
      <c r="F26" s="31">
        <v>2</v>
      </c>
      <c r="G26" s="31"/>
      <c r="H26" s="31"/>
      <c r="I26" s="32"/>
      <c r="J26" s="32"/>
      <c r="K26" s="39">
        <v>3</v>
      </c>
      <c r="L26" s="33">
        <v>89</v>
      </c>
      <c r="M26" s="31"/>
      <c r="N26" s="31">
        <v>90</v>
      </c>
      <c r="O26" s="31"/>
      <c r="P26" s="31"/>
      <c r="Q26" s="32"/>
      <c r="R26" s="32"/>
      <c r="S26" s="39">
        <v>91</v>
      </c>
      <c r="T26" s="33">
        <v>0</v>
      </c>
    </row>
    <row r="27" spans="1:20" ht="14.25" x14ac:dyDescent="0.15">
      <c r="A27" s="30">
        <v>7</v>
      </c>
      <c r="B27" s="30">
        <v>6</v>
      </c>
      <c r="C27" s="30">
        <v>35</v>
      </c>
      <c r="D27" s="33">
        <v>1</v>
      </c>
      <c r="E27" s="31"/>
      <c r="F27" s="31"/>
      <c r="G27" s="31"/>
      <c r="H27" s="31"/>
      <c r="I27" s="32"/>
      <c r="J27" s="32"/>
      <c r="K27" s="39">
        <v>2</v>
      </c>
      <c r="L27" s="33">
        <v>92</v>
      </c>
      <c r="M27" s="31"/>
      <c r="N27" s="31"/>
      <c r="O27" s="31"/>
      <c r="P27" s="31"/>
      <c r="Q27" s="32"/>
      <c r="R27" s="32"/>
      <c r="S27" s="39">
        <v>93</v>
      </c>
      <c r="T27" s="33">
        <v>0</v>
      </c>
    </row>
    <row r="28" spans="1:20" ht="14.25" x14ac:dyDescent="0.15">
      <c r="A28" s="30">
        <v>6</v>
      </c>
      <c r="B28" s="30">
        <v>1</v>
      </c>
      <c r="C28" s="30">
        <v>36</v>
      </c>
      <c r="D28" s="33">
        <v>1</v>
      </c>
      <c r="E28" s="31">
        <v>2</v>
      </c>
      <c r="F28" s="31"/>
      <c r="G28" s="31"/>
      <c r="H28" s="31"/>
      <c r="I28" s="32"/>
      <c r="J28" s="32"/>
      <c r="K28" s="39">
        <v>3</v>
      </c>
      <c r="L28" s="33">
        <v>94</v>
      </c>
      <c r="M28" s="31">
        <v>95</v>
      </c>
      <c r="N28" s="31"/>
      <c r="O28" s="31"/>
      <c r="P28" s="31"/>
      <c r="Q28" s="32"/>
      <c r="R28" s="32"/>
      <c r="S28" s="39">
        <v>96</v>
      </c>
      <c r="T28" s="33">
        <v>0</v>
      </c>
    </row>
    <row r="29" spans="1:20" ht="14.25" x14ac:dyDescent="0.15">
      <c r="A29" s="30">
        <v>6</v>
      </c>
      <c r="B29" s="30">
        <v>2</v>
      </c>
      <c r="C29" s="30">
        <v>37</v>
      </c>
      <c r="D29" s="33">
        <v>1</v>
      </c>
      <c r="E29" s="31">
        <v>2</v>
      </c>
      <c r="F29" s="31"/>
      <c r="G29" s="31"/>
      <c r="H29" s="31"/>
      <c r="I29" s="32"/>
      <c r="J29" s="32"/>
      <c r="K29" s="39">
        <v>3</v>
      </c>
      <c r="L29" s="33">
        <v>97</v>
      </c>
      <c r="M29" s="31">
        <v>98</v>
      </c>
      <c r="N29" s="31"/>
      <c r="O29" s="31"/>
      <c r="P29" s="31"/>
      <c r="Q29" s="32"/>
      <c r="R29" s="32"/>
      <c r="S29" s="39">
        <v>99</v>
      </c>
      <c r="T29" s="33">
        <v>0</v>
      </c>
    </row>
    <row r="30" spans="1:20" ht="14.25" x14ac:dyDescent="0.15">
      <c r="A30" s="30">
        <v>6</v>
      </c>
      <c r="B30" s="30">
        <v>4</v>
      </c>
      <c r="C30" s="30">
        <v>38</v>
      </c>
      <c r="D30" s="33">
        <v>1</v>
      </c>
      <c r="E30" s="31"/>
      <c r="F30" s="31"/>
      <c r="G30" s="31"/>
      <c r="H30" s="31"/>
      <c r="I30" s="32"/>
      <c r="J30" s="32"/>
      <c r="K30" s="39">
        <v>2</v>
      </c>
      <c r="L30" s="33">
        <v>100</v>
      </c>
      <c r="M30" s="31"/>
      <c r="N30" s="31"/>
      <c r="O30" s="31"/>
      <c r="P30" s="31"/>
      <c r="Q30" s="32"/>
      <c r="R30" s="32"/>
      <c r="S30" s="39">
        <v>101</v>
      </c>
      <c r="T30" s="33">
        <v>0</v>
      </c>
    </row>
    <row r="31" spans="1:20" ht="14.25" x14ac:dyDescent="0.15">
      <c r="A31" s="30">
        <v>4</v>
      </c>
      <c r="B31" s="30">
        <v>1</v>
      </c>
      <c r="C31" s="30">
        <v>39</v>
      </c>
      <c r="D31" s="33">
        <v>1</v>
      </c>
      <c r="E31" s="31">
        <v>2</v>
      </c>
      <c r="F31" s="31"/>
      <c r="G31" s="31"/>
      <c r="H31" s="31"/>
      <c r="I31" s="32"/>
      <c r="J31" s="32"/>
      <c r="K31" s="39">
        <v>3</v>
      </c>
      <c r="L31" s="33">
        <v>102</v>
      </c>
      <c r="M31" s="31">
        <v>103</v>
      </c>
      <c r="N31" s="31"/>
      <c r="O31" s="31"/>
      <c r="P31" s="31"/>
      <c r="Q31" s="32"/>
      <c r="R31" s="32"/>
      <c r="S31" s="39">
        <v>104</v>
      </c>
      <c r="T31" s="33">
        <v>0</v>
      </c>
    </row>
    <row r="32" spans="1:20" ht="14.25" x14ac:dyDescent="0.15">
      <c r="A32" s="30">
        <v>4</v>
      </c>
      <c r="B32" s="30">
        <v>2</v>
      </c>
      <c r="C32" s="30">
        <v>40</v>
      </c>
      <c r="D32" s="33">
        <v>1</v>
      </c>
      <c r="E32" s="31"/>
      <c r="F32" s="31"/>
      <c r="G32" s="31"/>
      <c r="H32" s="31"/>
      <c r="I32" s="32"/>
      <c r="J32" s="32"/>
      <c r="K32" s="39">
        <v>2</v>
      </c>
      <c r="L32" s="33">
        <v>105</v>
      </c>
      <c r="M32" s="31"/>
      <c r="N32" s="31"/>
      <c r="O32" s="31"/>
      <c r="P32" s="31"/>
      <c r="Q32" s="32"/>
      <c r="R32" s="32"/>
      <c r="S32" s="39">
        <v>106</v>
      </c>
      <c r="T32" s="33">
        <v>0</v>
      </c>
    </row>
    <row r="33" spans="1:21" ht="14.25" x14ac:dyDescent="0.15">
      <c r="A33" s="30">
        <v>2</v>
      </c>
      <c r="B33" s="30">
        <v>1</v>
      </c>
      <c r="C33" s="30">
        <v>41</v>
      </c>
      <c r="D33" s="33">
        <v>1</v>
      </c>
      <c r="E33" s="31"/>
      <c r="F33" s="31"/>
      <c r="G33" s="31"/>
      <c r="H33" s="31"/>
      <c r="I33" s="32"/>
      <c r="J33" s="32"/>
      <c r="K33" s="39">
        <v>2</v>
      </c>
      <c r="L33" s="33">
        <v>107</v>
      </c>
      <c r="M33" s="31"/>
      <c r="N33" s="31"/>
      <c r="O33" s="31"/>
      <c r="P33" s="31"/>
      <c r="Q33" s="32"/>
      <c r="R33" s="32"/>
      <c r="S33" s="39">
        <v>108</v>
      </c>
      <c r="T33" s="33">
        <v>0</v>
      </c>
    </row>
    <row r="34" spans="1:21" x14ac:dyDescent="0.15">
      <c r="T34" s="110">
        <f>IF(SUM(T3:T33)&gt;0,1,0)</f>
        <v>0</v>
      </c>
    </row>
    <row r="36" spans="1:21" ht="14.25" x14ac:dyDescent="0.15">
      <c r="T36" s="104"/>
      <c r="U36" s="105"/>
    </row>
    <row r="37" spans="1:21" x14ac:dyDescent="0.15">
      <c r="T37" s="105"/>
      <c r="U37" s="105"/>
    </row>
    <row r="38" spans="1:21" x14ac:dyDescent="0.15">
      <c r="T38" s="105"/>
      <c r="U38" s="105"/>
    </row>
    <row r="39" spans="1:21" x14ac:dyDescent="0.15">
      <c r="T39" s="105"/>
      <c r="U39" s="105"/>
    </row>
    <row r="40" spans="1:21" x14ac:dyDescent="0.15">
      <c r="T40" s="105"/>
      <c r="U40" s="105"/>
    </row>
  </sheetData>
  <mergeCells count="6">
    <mergeCell ref="T1:T2"/>
    <mergeCell ref="C1:C2"/>
    <mergeCell ref="B1:B2"/>
    <mergeCell ref="A1:A2"/>
    <mergeCell ref="D1:K1"/>
    <mergeCell ref="L1:S1"/>
  </mergeCells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09"/>
  <sheetViews>
    <sheetView topLeftCell="A19" zoomScale="85" zoomScaleNormal="85" workbookViewId="0">
      <selection activeCell="C43" sqref="C43"/>
    </sheetView>
  </sheetViews>
  <sheetFormatPr defaultRowHeight="14.25" x14ac:dyDescent="0.15"/>
  <cols>
    <col min="1" max="7" width="9" style="98"/>
    <col min="9" max="12" width="9" style="98"/>
    <col min="13" max="13" width="9" style="106"/>
    <col min="14" max="16384" width="9" style="98"/>
  </cols>
  <sheetData>
    <row r="1" spans="1:12" x14ac:dyDescent="0.15">
      <c r="A1" s="92" t="s">
        <v>233</v>
      </c>
      <c r="B1" s="92" t="s">
        <v>234</v>
      </c>
      <c r="C1" s="159" t="s">
        <v>273</v>
      </c>
      <c r="D1" s="159"/>
      <c r="E1" s="159"/>
      <c r="F1" s="159"/>
      <c r="G1" s="159"/>
      <c r="H1" s="159"/>
      <c r="I1" s="159"/>
      <c r="J1" s="159"/>
      <c r="K1" s="159"/>
      <c r="L1" s="159"/>
    </row>
    <row r="2" spans="1:12" x14ac:dyDescent="0.15">
      <c r="A2" s="89">
        <v>1</v>
      </c>
      <c r="B2" s="90">
        <v>0.53555585835769504</v>
      </c>
      <c r="C2" s="89">
        <v>4</v>
      </c>
      <c r="D2" s="89">
        <v>5</v>
      </c>
      <c r="E2" s="89">
        <v>6</v>
      </c>
      <c r="F2" s="89">
        <v>7</v>
      </c>
      <c r="G2" s="89">
        <v>8</v>
      </c>
      <c r="H2" s="89">
        <v>9</v>
      </c>
      <c r="I2" s="89">
        <v>10</v>
      </c>
      <c r="J2" s="89"/>
      <c r="K2" s="89"/>
      <c r="L2" s="89"/>
    </row>
    <row r="3" spans="1:12" x14ac:dyDescent="0.15">
      <c r="A3" s="89">
        <v>2</v>
      </c>
      <c r="B3" s="90">
        <v>0.54132142808684847</v>
      </c>
      <c r="C3" s="89">
        <v>-2.46</v>
      </c>
      <c r="D3" s="89">
        <v>5</v>
      </c>
      <c r="E3" s="89">
        <v>6</v>
      </c>
      <c r="F3" s="89">
        <v>7</v>
      </c>
      <c r="G3" s="89">
        <v>8</v>
      </c>
      <c r="H3" s="89">
        <v>9</v>
      </c>
      <c r="I3" s="89">
        <v>10</v>
      </c>
      <c r="J3" s="89"/>
      <c r="K3" s="89"/>
      <c r="L3" s="89"/>
    </row>
    <row r="4" spans="1:12" x14ac:dyDescent="0.15">
      <c r="A4" s="89">
        <v>3</v>
      </c>
      <c r="B4" s="90">
        <v>0.26389150175486542</v>
      </c>
      <c r="C4" s="89">
        <v>-4.0599999999999996</v>
      </c>
      <c r="D4" s="89">
        <v>6</v>
      </c>
      <c r="E4" s="89">
        <v>7</v>
      </c>
      <c r="F4" s="89">
        <v>8</v>
      </c>
      <c r="G4" s="89">
        <v>9</v>
      </c>
      <c r="H4" s="89">
        <v>10</v>
      </c>
      <c r="I4" s="89"/>
      <c r="J4" s="89"/>
      <c r="K4" s="89"/>
      <c r="L4" s="89"/>
    </row>
    <row r="5" spans="1:12" x14ac:dyDescent="0.15">
      <c r="A5" s="89">
        <v>4</v>
      </c>
      <c r="B5" s="90">
        <v>0.39681218452240752</v>
      </c>
      <c r="C5" s="89">
        <v>-14.41</v>
      </c>
      <c r="D5" s="89">
        <v>9</v>
      </c>
      <c r="E5" s="89">
        <v>10</v>
      </c>
      <c r="F5" s="89"/>
      <c r="G5" s="89"/>
      <c r="H5" s="89"/>
      <c r="I5" s="89"/>
      <c r="J5" s="89"/>
      <c r="K5" s="89"/>
      <c r="L5" s="89"/>
    </row>
    <row r="6" spans="1:12" x14ac:dyDescent="0.15">
      <c r="A6" s="89">
        <v>5</v>
      </c>
      <c r="B6" s="90">
        <v>0.41987600175632767</v>
      </c>
      <c r="C6" s="89">
        <v>-18.13</v>
      </c>
      <c r="D6" s="89">
        <v>10</v>
      </c>
      <c r="E6" s="89"/>
      <c r="F6" s="89"/>
      <c r="G6" s="89"/>
      <c r="H6" s="89"/>
      <c r="I6" s="89"/>
      <c r="J6" s="89"/>
      <c r="K6" s="89"/>
      <c r="L6" s="89"/>
    </row>
    <row r="7" spans="1:12" x14ac:dyDescent="0.15">
      <c r="A7" s="89">
        <v>6</v>
      </c>
      <c r="B7" s="90">
        <v>0.39659999999999995</v>
      </c>
      <c r="C7" s="89">
        <v>-19.829999999999998</v>
      </c>
      <c r="D7" s="89"/>
      <c r="E7" s="89"/>
      <c r="F7" s="89"/>
      <c r="G7" s="89"/>
      <c r="H7" s="89"/>
      <c r="I7" s="89"/>
      <c r="J7" s="89"/>
      <c r="K7" s="89"/>
      <c r="L7" s="89"/>
    </row>
    <row r="8" spans="1:12" x14ac:dyDescent="0.15">
      <c r="A8" s="89">
        <v>7</v>
      </c>
      <c r="B8" s="90">
        <v>0.83707985660136741</v>
      </c>
      <c r="C8" s="89">
        <v>4</v>
      </c>
      <c r="D8" s="89">
        <v>5</v>
      </c>
      <c r="E8" s="89">
        <v>6</v>
      </c>
      <c r="F8" s="89">
        <v>7</v>
      </c>
      <c r="G8" s="89">
        <v>8</v>
      </c>
      <c r="H8" s="89">
        <v>9</v>
      </c>
      <c r="I8" s="89">
        <v>-17.940000000000001</v>
      </c>
      <c r="J8" s="89"/>
      <c r="K8" s="89"/>
      <c r="L8" s="89"/>
    </row>
    <row r="9" spans="1:12" x14ac:dyDescent="0.15">
      <c r="A9" s="89">
        <v>8</v>
      </c>
      <c r="B9" s="91">
        <v>0.4782798566013674</v>
      </c>
      <c r="C9" s="32">
        <v>4</v>
      </c>
      <c r="D9" s="32">
        <v>5</v>
      </c>
      <c r="E9" s="32">
        <v>6</v>
      </c>
      <c r="F9" s="32">
        <v>7</v>
      </c>
      <c r="G9" s="32">
        <v>8</v>
      </c>
      <c r="H9" s="32">
        <v>9</v>
      </c>
      <c r="I9" s="32"/>
      <c r="J9" s="32"/>
      <c r="K9" s="32"/>
      <c r="L9" s="32"/>
    </row>
    <row r="10" spans="1:12" x14ac:dyDescent="0.15">
      <c r="A10" s="89">
        <v>9</v>
      </c>
      <c r="B10" s="91">
        <v>0.48404542633052083</v>
      </c>
      <c r="C10" s="32">
        <v>-2.46</v>
      </c>
      <c r="D10" s="32">
        <v>5</v>
      </c>
      <c r="E10" s="32">
        <v>6</v>
      </c>
      <c r="F10" s="32">
        <v>7</v>
      </c>
      <c r="G10" s="32">
        <v>8</v>
      </c>
      <c r="H10" s="32">
        <v>9</v>
      </c>
      <c r="I10" s="32"/>
      <c r="J10" s="32"/>
      <c r="K10" s="32"/>
      <c r="L10" s="32"/>
    </row>
    <row r="11" spans="1:12" x14ac:dyDescent="0.15">
      <c r="A11" s="89">
        <v>10</v>
      </c>
      <c r="B11" s="91">
        <v>0.20661549999853776</v>
      </c>
      <c r="C11" s="32">
        <v>-4.0599999999999996</v>
      </c>
      <c r="D11" s="32">
        <v>6</v>
      </c>
      <c r="E11" s="32">
        <v>7</v>
      </c>
      <c r="F11" s="32">
        <v>8</v>
      </c>
      <c r="G11" s="32">
        <v>9</v>
      </c>
      <c r="H11" s="32"/>
      <c r="I11" s="32"/>
      <c r="J11" s="32"/>
      <c r="K11" s="32"/>
      <c r="L11" s="32"/>
    </row>
    <row r="12" spans="1:12" x14ac:dyDescent="0.15">
      <c r="A12" s="89">
        <v>11</v>
      </c>
      <c r="B12" s="91">
        <v>0.33953618276607983</v>
      </c>
      <c r="C12" s="32">
        <v>-14.41</v>
      </c>
      <c r="D12" s="32">
        <v>9</v>
      </c>
      <c r="E12" s="32"/>
      <c r="F12" s="32"/>
      <c r="G12" s="32"/>
      <c r="H12" s="32"/>
      <c r="I12" s="32"/>
      <c r="J12" s="32"/>
      <c r="K12" s="32"/>
      <c r="L12" s="32"/>
    </row>
    <row r="13" spans="1:12" x14ac:dyDescent="0.15">
      <c r="A13" s="89">
        <v>12</v>
      </c>
      <c r="B13" s="91">
        <v>0.36259999999999998</v>
      </c>
      <c r="C13" s="32">
        <v>-18.13</v>
      </c>
      <c r="D13" s="32"/>
      <c r="E13" s="32"/>
      <c r="F13" s="32"/>
      <c r="G13" s="32"/>
      <c r="H13" s="32"/>
      <c r="I13" s="32"/>
      <c r="J13" s="32"/>
      <c r="K13" s="32"/>
      <c r="L13" s="32"/>
    </row>
    <row r="14" spans="1:12" x14ac:dyDescent="0.15">
      <c r="A14" s="89">
        <v>13</v>
      </c>
      <c r="B14" s="90">
        <v>0.4782798566013674</v>
      </c>
      <c r="C14" s="89">
        <v>4</v>
      </c>
      <c r="D14" s="89">
        <v>5</v>
      </c>
      <c r="E14" s="89">
        <v>6</v>
      </c>
      <c r="F14" s="89">
        <v>7</v>
      </c>
      <c r="G14" s="89">
        <v>8</v>
      </c>
      <c r="H14" s="89">
        <v>9</v>
      </c>
      <c r="I14" s="89"/>
      <c r="J14" s="89"/>
      <c r="K14" s="89"/>
      <c r="L14" s="89"/>
    </row>
    <row r="15" spans="1:12" x14ac:dyDescent="0.15">
      <c r="A15" s="89">
        <v>14</v>
      </c>
      <c r="B15" s="90">
        <v>0.48404542633052083</v>
      </c>
      <c r="C15" s="89">
        <v>-2.46</v>
      </c>
      <c r="D15" s="89">
        <v>5</v>
      </c>
      <c r="E15" s="89">
        <v>6</v>
      </c>
      <c r="F15" s="89">
        <v>7</v>
      </c>
      <c r="G15" s="89">
        <v>8</v>
      </c>
      <c r="H15" s="89">
        <v>9</v>
      </c>
      <c r="I15" s="89"/>
      <c r="J15" s="89"/>
      <c r="K15" s="89"/>
      <c r="L15" s="89"/>
    </row>
    <row r="16" spans="1:12" x14ac:dyDescent="0.15">
      <c r="A16" s="89">
        <v>15</v>
      </c>
      <c r="B16" s="90">
        <v>0.20661549999853776</v>
      </c>
      <c r="C16" s="89">
        <v>-4.0599999999999996</v>
      </c>
      <c r="D16" s="89">
        <v>6</v>
      </c>
      <c r="E16" s="89">
        <v>7</v>
      </c>
      <c r="F16" s="89">
        <v>8</v>
      </c>
      <c r="G16" s="89">
        <v>9</v>
      </c>
      <c r="H16" s="89"/>
      <c r="I16" s="89"/>
      <c r="J16" s="89"/>
      <c r="K16" s="89"/>
      <c r="L16" s="89"/>
    </row>
    <row r="17" spans="1:12" x14ac:dyDescent="0.15">
      <c r="A17" s="89">
        <v>16</v>
      </c>
      <c r="B17" s="90">
        <v>0.33953618276607983</v>
      </c>
      <c r="C17" s="89">
        <v>-14.41</v>
      </c>
      <c r="D17" s="89">
        <v>9</v>
      </c>
      <c r="E17" s="89"/>
      <c r="F17" s="89"/>
      <c r="G17" s="89"/>
      <c r="H17" s="89"/>
      <c r="I17" s="89"/>
      <c r="J17" s="89"/>
      <c r="K17" s="89"/>
      <c r="L17" s="89"/>
    </row>
    <row r="18" spans="1:12" x14ac:dyDescent="0.15">
      <c r="A18" s="89">
        <v>17</v>
      </c>
      <c r="B18" s="90">
        <v>0.36259999999999998</v>
      </c>
      <c r="C18" s="89">
        <v>-18.13</v>
      </c>
      <c r="D18" s="89"/>
      <c r="E18" s="89"/>
      <c r="F18" s="89"/>
      <c r="G18" s="89"/>
      <c r="H18" s="89"/>
      <c r="I18" s="89"/>
      <c r="J18" s="89"/>
      <c r="K18" s="89"/>
      <c r="L18" s="89"/>
    </row>
    <row r="19" spans="1:12" x14ac:dyDescent="0.15">
      <c r="A19" s="89">
        <v>18</v>
      </c>
      <c r="B19" s="91">
        <v>0.4782798566013674</v>
      </c>
      <c r="C19" s="32">
        <v>4</v>
      </c>
      <c r="D19" s="32">
        <v>5</v>
      </c>
      <c r="E19" s="32">
        <v>6</v>
      </c>
      <c r="F19" s="32">
        <v>7</v>
      </c>
      <c r="G19" s="32">
        <v>8</v>
      </c>
      <c r="H19" s="32">
        <v>9</v>
      </c>
      <c r="I19" s="32"/>
      <c r="J19" s="32"/>
      <c r="K19" s="32"/>
      <c r="L19" s="32"/>
    </row>
    <row r="20" spans="1:12" x14ac:dyDescent="0.15">
      <c r="A20" s="89">
        <v>19</v>
      </c>
      <c r="B20" s="91">
        <v>0.48404542633052083</v>
      </c>
      <c r="C20" s="32">
        <v>-2.46</v>
      </c>
      <c r="D20" s="32">
        <v>5</v>
      </c>
      <c r="E20" s="32">
        <v>6</v>
      </c>
      <c r="F20" s="32">
        <v>7</v>
      </c>
      <c r="G20" s="32">
        <v>8</v>
      </c>
      <c r="H20" s="32">
        <v>9</v>
      </c>
      <c r="I20" s="32"/>
      <c r="J20" s="32"/>
      <c r="K20" s="32"/>
      <c r="L20" s="32"/>
    </row>
    <row r="21" spans="1:12" x14ac:dyDescent="0.15">
      <c r="A21" s="89">
        <v>20</v>
      </c>
      <c r="B21" s="91">
        <v>0.20661549999853776</v>
      </c>
      <c r="C21" s="32">
        <v>-4.0599999999999996</v>
      </c>
      <c r="D21" s="32">
        <v>6</v>
      </c>
      <c r="E21" s="32">
        <v>7</v>
      </c>
      <c r="F21" s="32">
        <v>8</v>
      </c>
      <c r="G21" s="32">
        <v>9</v>
      </c>
      <c r="H21" s="32"/>
      <c r="I21" s="32"/>
      <c r="J21" s="32"/>
      <c r="K21" s="32"/>
      <c r="L21" s="32"/>
    </row>
    <row r="22" spans="1:12" x14ac:dyDescent="0.15">
      <c r="A22" s="89">
        <v>21</v>
      </c>
      <c r="B22" s="91">
        <v>0.33953618276607983</v>
      </c>
      <c r="C22" s="32">
        <v>-14.41</v>
      </c>
      <c r="D22" s="32">
        <v>9</v>
      </c>
      <c r="E22" s="32"/>
      <c r="F22" s="32"/>
      <c r="G22" s="32"/>
      <c r="H22" s="32"/>
      <c r="I22" s="32"/>
      <c r="J22" s="32"/>
      <c r="K22" s="32"/>
      <c r="L22" s="32"/>
    </row>
    <row r="23" spans="1:12" x14ac:dyDescent="0.15">
      <c r="A23" s="89">
        <v>22</v>
      </c>
      <c r="B23" s="91">
        <v>0.36259999999999998</v>
      </c>
      <c r="C23" s="32">
        <v>-18.13</v>
      </c>
      <c r="D23" s="32"/>
      <c r="E23" s="32"/>
      <c r="F23" s="32"/>
      <c r="G23" s="32"/>
      <c r="H23" s="32"/>
      <c r="I23" s="32"/>
      <c r="J23" s="32"/>
      <c r="K23" s="32"/>
      <c r="L23" s="32"/>
    </row>
    <row r="24" spans="1:12" x14ac:dyDescent="0.15">
      <c r="A24" s="89">
        <v>23</v>
      </c>
      <c r="B24" s="90">
        <v>0.42694367383528758</v>
      </c>
      <c r="C24" s="89">
        <v>4</v>
      </c>
      <c r="D24" s="89">
        <v>5</v>
      </c>
      <c r="E24" s="89">
        <v>6</v>
      </c>
      <c r="F24" s="89">
        <v>7</v>
      </c>
      <c r="G24" s="89">
        <v>8</v>
      </c>
      <c r="H24" s="89"/>
      <c r="I24" s="89"/>
      <c r="J24" s="89"/>
      <c r="K24" s="89"/>
      <c r="L24" s="89"/>
    </row>
    <row r="25" spans="1:12" x14ac:dyDescent="0.15">
      <c r="A25" s="89">
        <v>24</v>
      </c>
      <c r="B25" s="90">
        <v>0.43270924356444102</v>
      </c>
      <c r="C25" s="89">
        <v>-2.46</v>
      </c>
      <c r="D25" s="89">
        <v>5</v>
      </c>
      <c r="E25" s="89">
        <v>6</v>
      </c>
      <c r="F25" s="89">
        <v>7</v>
      </c>
      <c r="G25" s="89">
        <v>8</v>
      </c>
      <c r="H25" s="89"/>
      <c r="I25" s="89"/>
      <c r="J25" s="89"/>
      <c r="K25" s="89"/>
      <c r="L25" s="89"/>
    </row>
    <row r="26" spans="1:12" x14ac:dyDescent="0.15">
      <c r="A26" s="89">
        <v>25</v>
      </c>
      <c r="B26" s="90">
        <v>0.15527931723245797</v>
      </c>
      <c r="C26" s="89">
        <v>-4.0599999999999996</v>
      </c>
      <c r="D26" s="89">
        <v>6</v>
      </c>
      <c r="E26" s="89">
        <v>7</v>
      </c>
      <c r="F26" s="89">
        <v>8</v>
      </c>
      <c r="G26" s="89"/>
      <c r="H26" s="89"/>
      <c r="I26" s="89"/>
      <c r="J26" s="89"/>
      <c r="K26" s="89"/>
      <c r="L26" s="89"/>
    </row>
    <row r="27" spans="1:12" x14ac:dyDescent="0.15">
      <c r="A27" s="89">
        <v>26</v>
      </c>
      <c r="B27" s="90">
        <v>0.28820000000000001</v>
      </c>
      <c r="C27" s="89">
        <v>-14.41</v>
      </c>
      <c r="D27" s="89"/>
      <c r="E27" s="89"/>
      <c r="F27" s="89"/>
      <c r="G27" s="89"/>
      <c r="H27" s="89"/>
      <c r="I27" s="89"/>
      <c r="J27" s="89"/>
      <c r="K27" s="89"/>
      <c r="L27" s="89"/>
    </row>
    <row r="28" spans="1:12" x14ac:dyDescent="0.15">
      <c r="A28" s="89">
        <v>27</v>
      </c>
      <c r="B28" s="91">
        <v>0.35291963027084666</v>
      </c>
      <c r="C28" s="32">
        <v>4</v>
      </c>
      <c r="D28" s="32">
        <v>5</v>
      </c>
      <c r="E28" s="32"/>
      <c r="F28" s="32"/>
      <c r="G28" s="32"/>
      <c r="H28" s="32"/>
      <c r="I28" s="32"/>
      <c r="J28" s="32"/>
      <c r="K28" s="32"/>
      <c r="L28" s="32"/>
    </row>
    <row r="29" spans="1:12" x14ac:dyDescent="0.15">
      <c r="A29" s="89">
        <v>28</v>
      </c>
      <c r="B29" s="91">
        <v>0.35868520000000009</v>
      </c>
      <c r="C29" s="32">
        <v>-2.46</v>
      </c>
      <c r="D29" s="32">
        <v>5</v>
      </c>
      <c r="E29" s="32"/>
      <c r="F29" s="32"/>
      <c r="G29" s="32"/>
      <c r="H29" s="32"/>
      <c r="I29" s="32"/>
      <c r="J29" s="32"/>
      <c r="K29" s="32"/>
      <c r="L29" s="32"/>
    </row>
    <row r="30" spans="1:12" x14ac:dyDescent="0.15">
      <c r="A30" s="89">
        <v>29</v>
      </c>
      <c r="B30" s="91">
        <v>8.1199999999999994E-2</v>
      </c>
      <c r="C30" s="32">
        <v>-4.0599999999999996</v>
      </c>
      <c r="D30" s="32"/>
      <c r="E30" s="32"/>
      <c r="F30" s="32"/>
      <c r="G30" s="32"/>
      <c r="H30" s="32"/>
      <c r="I30" s="32"/>
      <c r="J30" s="32"/>
      <c r="K30" s="32"/>
      <c r="L30" s="32"/>
    </row>
    <row r="31" spans="1:12" x14ac:dyDescent="0.15">
      <c r="A31" s="89">
        <v>30</v>
      </c>
      <c r="B31" s="90">
        <v>0.19850726295428275</v>
      </c>
      <c r="C31" s="89">
        <v>6</v>
      </c>
      <c r="D31" s="89">
        <v>7</v>
      </c>
      <c r="E31" s="89">
        <v>8</v>
      </c>
      <c r="F31" s="89">
        <v>9</v>
      </c>
      <c r="G31" s="89">
        <v>-3</v>
      </c>
      <c r="H31" s="89"/>
      <c r="I31" s="89"/>
      <c r="J31" s="89"/>
      <c r="K31" s="89"/>
      <c r="L31" s="89"/>
    </row>
    <row r="32" spans="1:12" x14ac:dyDescent="0.15">
      <c r="A32" s="89">
        <v>31</v>
      </c>
      <c r="B32" s="90">
        <v>0.37673618276607984</v>
      </c>
      <c r="C32" s="89">
        <f>-(1.46+9.16+2.65)</f>
        <v>-13.270000000000001</v>
      </c>
      <c r="D32" s="89">
        <v>9</v>
      </c>
      <c r="E32" s="89">
        <v>-3</v>
      </c>
      <c r="F32" s="89"/>
      <c r="G32" s="89"/>
      <c r="H32" s="89"/>
      <c r="I32" s="89"/>
      <c r="J32" s="89"/>
      <c r="K32" s="89"/>
      <c r="L32" s="89"/>
    </row>
    <row r="33" spans="1:12" x14ac:dyDescent="0.15">
      <c r="A33" s="89">
        <v>32</v>
      </c>
      <c r="B33" s="90">
        <v>0.39979999999999999</v>
      </c>
      <c r="C33" s="89">
        <f>-(1.46+9.16+4.47+1.9)</f>
        <v>-16.989999999999998</v>
      </c>
      <c r="D33" s="89">
        <v>-3</v>
      </c>
      <c r="E33" s="89"/>
      <c r="F33" s="89"/>
      <c r="G33" s="89"/>
      <c r="H33" s="89"/>
      <c r="I33" s="89"/>
      <c r="J33" s="89"/>
      <c r="K33" s="89"/>
      <c r="L33" s="89"/>
    </row>
    <row r="34" spans="1:12" x14ac:dyDescent="0.15">
      <c r="A34" s="89">
        <v>33</v>
      </c>
      <c r="B34" s="90">
        <v>0.37380000000000002</v>
      </c>
      <c r="C34" s="89">
        <f>-(1.46+9.16+4.47+3.6)</f>
        <v>-18.690000000000001</v>
      </c>
      <c r="D34" s="89"/>
      <c r="E34" s="89"/>
      <c r="F34" s="89"/>
      <c r="G34" s="89"/>
      <c r="H34" s="89"/>
      <c r="I34" s="89"/>
      <c r="J34" s="89"/>
      <c r="K34" s="89"/>
      <c r="L34" s="89"/>
    </row>
    <row r="35" spans="1:12" x14ac:dyDescent="0.15">
      <c r="A35" s="89">
        <v>34</v>
      </c>
      <c r="B35" s="90">
        <v>0.49730726295428274</v>
      </c>
      <c r="C35" s="89">
        <v>6</v>
      </c>
      <c r="D35" s="89">
        <v>7</v>
      </c>
      <c r="E35" s="89">
        <v>8</v>
      </c>
      <c r="F35" s="89">
        <v>9</v>
      </c>
      <c r="G35" s="89">
        <v>-17.940000000000001</v>
      </c>
      <c r="H35" s="89"/>
      <c r="I35" s="89"/>
      <c r="J35" s="89"/>
      <c r="K35" s="89"/>
      <c r="L35" s="89"/>
    </row>
    <row r="36" spans="1:12" x14ac:dyDescent="0.15">
      <c r="A36" s="89">
        <v>35</v>
      </c>
      <c r="B36" s="91">
        <v>0.13850726295428276</v>
      </c>
      <c r="C36" s="32">
        <v>6</v>
      </c>
      <c r="D36" s="32">
        <v>7</v>
      </c>
      <c r="E36" s="32">
        <v>8</v>
      </c>
      <c r="F36" s="32">
        <v>9</v>
      </c>
      <c r="G36" s="32"/>
      <c r="H36" s="32"/>
      <c r="I36" s="32"/>
      <c r="J36" s="32"/>
      <c r="K36" s="32"/>
      <c r="L36" s="32"/>
    </row>
    <row r="37" spans="1:12" x14ac:dyDescent="0.15">
      <c r="A37" s="89">
        <v>36</v>
      </c>
      <c r="B37" s="91">
        <v>0.31673618276607984</v>
      </c>
      <c r="C37" s="32">
        <f>-1.46-9.16-2.65</f>
        <v>-13.270000000000001</v>
      </c>
      <c r="D37" s="32">
        <v>9</v>
      </c>
      <c r="E37" s="32"/>
      <c r="F37" s="32"/>
      <c r="G37" s="32"/>
      <c r="H37" s="32"/>
      <c r="I37" s="32"/>
      <c r="J37" s="32"/>
      <c r="K37" s="32"/>
      <c r="L37" s="32"/>
    </row>
    <row r="38" spans="1:12" x14ac:dyDescent="0.15">
      <c r="A38" s="89">
        <v>37</v>
      </c>
      <c r="B38" s="91">
        <v>0.33979999999999999</v>
      </c>
      <c r="C38" s="32">
        <f>-1.46-9.16-4.47-1.9</f>
        <v>-16.989999999999998</v>
      </c>
      <c r="D38" s="32"/>
      <c r="E38" s="32"/>
      <c r="F38" s="32"/>
      <c r="G38" s="32"/>
      <c r="H38" s="32"/>
      <c r="I38" s="32"/>
      <c r="J38" s="32"/>
      <c r="K38" s="32"/>
      <c r="L38" s="32"/>
    </row>
    <row r="39" spans="1:12" x14ac:dyDescent="0.15">
      <c r="A39" s="89">
        <v>38</v>
      </c>
      <c r="B39" s="90">
        <v>0.13850726295428276</v>
      </c>
      <c r="C39" s="89">
        <v>6</v>
      </c>
      <c r="D39" s="89">
        <v>7</v>
      </c>
      <c r="E39" s="89">
        <v>8</v>
      </c>
      <c r="F39" s="89">
        <v>9</v>
      </c>
      <c r="G39" s="89"/>
      <c r="H39" s="89"/>
      <c r="I39" s="89"/>
      <c r="J39" s="89"/>
      <c r="K39" s="89"/>
      <c r="L39" s="89"/>
    </row>
    <row r="40" spans="1:12" x14ac:dyDescent="0.15">
      <c r="A40" s="89">
        <v>39</v>
      </c>
      <c r="B40" s="90">
        <v>0.31673618276607984</v>
      </c>
      <c r="C40" s="89">
        <f>-1.46-9.16-2.65</f>
        <v>-13.270000000000001</v>
      </c>
      <c r="D40" s="89">
        <v>9</v>
      </c>
      <c r="E40" s="89"/>
      <c r="F40" s="89"/>
      <c r="G40" s="89"/>
      <c r="H40" s="89"/>
      <c r="I40" s="89"/>
      <c r="J40" s="89"/>
      <c r="K40" s="89"/>
      <c r="L40" s="89"/>
    </row>
    <row r="41" spans="1:12" x14ac:dyDescent="0.15">
      <c r="A41" s="89">
        <v>40</v>
      </c>
      <c r="B41" s="90">
        <v>0.33979999999999999</v>
      </c>
      <c r="C41" s="89">
        <f>-1.46-9.16-4.47-1.9</f>
        <v>-16.989999999999998</v>
      </c>
      <c r="D41" s="89"/>
      <c r="E41" s="89"/>
      <c r="F41" s="89"/>
      <c r="G41" s="89"/>
      <c r="H41" s="89"/>
      <c r="I41" s="89"/>
      <c r="J41" s="89"/>
      <c r="K41" s="89"/>
      <c r="L41" s="89"/>
    </row>
    <row r="42" spans="1:12" x14ac:dyDescent="0.15">
      <c r="A42" s="89">
        <v>41</v>
      </c>
      <c r="B42" s="91">
        <v>0.13850726295428276</v>
      </c>
      <c r="C42" s="32">
        <v>6</v>
      </c>
      <c r="D42" s="32">
        <v>7</v>
      </c>
      <c r="E42" s="32">
        <v>8</v>
      </c>
      <c r="F42" s="32">
        <v>9</v>
      </c>
      <c r="G42" s="32"/>
      <c r="H42" s="32"/>
      <c r="I42" s="32"/>
      <c r="J42" s="32"/>
      <c r="K42" s="32"/>
      <c r="L42" s="32"/>
    </row>
    <row r="43" spans="1:12" x14ac:dyDescent="0.15">
      <c r="A43" s="89">
        <v>42</v>
      </c>
      <c r="B43" s="91">
        <v>0.31673618276607984</v>
      </c>
      <c r="C43" s="32">
        <f>-1.46-9.16-2.65</f>
        <v>-13.270000000000001</v>
      </c>
      <c r="D43" s="32">
        <v>9</v>
      </c>
      <c r="E43" s="32"/>
      <c r="F43" s="32"/>
      <c r="G43" s="32"/>
      <c r="H43" s="32"/>
      <c r="I43" s="32"/>
      <c r="J43" s="32"/>
      <c r="K43" s="32"/>
      <c r="L43" s="32"/>
    </row>
    <row r="44" spans="1:12" x14ac:dyDescent="0.15">
      <c r="A44" s="89">
        <v>43</v>
      </c>
      <c r="B44" s="91">
        <v>0.33979999999999999</v>
      </c>
      <c r="C44" s="32">
        <f>-1.46-9.16-4.47-1.9</f>
        <v>-16.989999999999998</v>
      </c>
      <c r="D44" s="32"/>
      <c r="E44" s="32"/>
      <c r="F44" s="32"/>
      <c r="G44" s="32"/>
      <c r="H44" s="32"/>
      <c r="I44" s="32"/>
      <c r="J44" s="32"/>
      <c r="K44" s="32"/>
      <c r="L44" s="32"/>
    </row>
    <row r="45" spans="1:12" x14ac:dyDescent="0.15">
      <c r="A45" s="89">
        <v>44</v>
      </c>
      <c r="B45" s="90">
        <v>8.7180986120245912E-2</v>
      </c>
      <c r="C45" s="89">
        <v>6</v>
      </c>
      <c r="D45" s="89">
        <v>7</v>
      </c>
      <c r="E45" s="89">
        <v>8</v>
      </c>
      <c r="F45" s="89"/>
      <c r="G45" s="89"/>
      <c r="H45" s="89"/>
      <c r="I45" s="89"/>
      <c r="J45" s="89"/>
      <c r="K45" s="89"/>
      <c r="L45" s="89"/>
    </row>
    <row r="46" spans="1:12" x14ac:dyDescent="0.15">
      <c r="A46" s="89">
        <v>45</v>
      </c>
      <c r="B46" s="90">
        <v>0.26540000000000002</v>
      </c>
      <c r="C46" s="89">
        <f>-1.46-9.16-2.65</f>
        <v>-13.270000000000001</v>
      </c>
      <c r="D46" s="89"/>
      <c r="E46" s="89"/>
      <c r="F46" s="89"/>
      <c r="G46" s="89"/>
      <c r="H46" s="89"/>
      <c r="I46" s="89"/>
      <c r="J46" s="89"/>
      <c r="K46" s="89"/>
      <c r="L46" s="89"/>
    </row>
    <row r="47" spans="1:12" x14ac:dyDescent="0.15">
      <c r="A47" s="89">
        <v>46</v>
      </c>
      <c r="B47" s="91">
        <v>0.12582653882846928</v>
      </c>
      <c r="C47" s="32">
        <v>9</v>
      </c>
      <c r="D47" s="32">
        <v>-3</v>
      </c>
      <c r="E47" s="32"/>
      <c r="F47" s="32"/>
      <c r="G47" s="32"/>
      <c r="H47" s="32"/>
      <c r="I47" s="32"/>
      <c r="J47" s="32"/>
      <c r="K47" s="32"/>
      <c r="L47" s="32"/>
    </row>
    <row r="48" spans="1:12" x14ac:dyDescent="0.15">
      <c r="A48" s="89">
        <v>47</v>
      </c>
      <c r="B48" s="91">
        <v>0.13439999999999999</v>
      </c>
      <c r="C48" s="32">
        <f>2.65-4.47-1.9</f>
        <v>-3.7199999999999998</v>
      </c>
      <c r="D48" s="32">
        <v>-3</v>
      </c>
      <c r="E48" s="32"/>
      <c r="F48" s="32"/>
      <c r="G48" s="32"/>
      <c r="H48" s="32"/>
      <c r="I48" s="32"/>
      <c r="J48" s="32"/>
      <c r="K48" s="32"/>
      <c r="L48" s="32"/>
    </row>
    <row r="49" spans="1:12" x14ac:dyDescent="0.15">
      <c r="A49" s="89">
        <v>48</v>
      </c>
      <c r="B49" s="91">
        <v>0.21439999999999998</v>
      </c>
      <c r="C49" s="32">
        <f>-2.65-4.47-3.6</f>
        <v>-10.719999999999999</v>
      </c>
      <c r="D49" s="32"/>
      <c r="E49" s="32"/>
      <c r="F49" s="32"/>
      <c r="G49" s="32"/>
      <c r="H49" s="32"/>
      <c r="I49" s="32"/>
      <c r="J49" s="32"/>
      <c r="K49" s="32"/>
      <c r="L49" s="32"/>
    </row>
    <row r="50" spans="1:12" x14ac:dyDescent="0.15">
      <c r="A50" s="89">
        <v>49</v>
      </c>
      <c r="B50" s="91">
        <v>0.48462653882846929</v>
      </c>
      <c r="C50" s="32">
        <v>9</v>
      </c>
      <c r="D50" s="32">
        <v>-3</v>
      </c>
      <c r="E50" s="32">
        <v>-17.940000000000001</v>
      </c>
      <c r="F50" s="32"/>
      <c r="G50" s="32"/>
      <c r="H50" s="32"/>
      <c r="I50" s="32"/>
      <c r="J50" s="32"/>
      <c r="K50" s="32"/>
      <c r="L50" s="32"/>
    </row>
    <row r="51" spans="1:12" x14ac:dyDescent="0.15">
      <c r="A51" s="89">
        <v>50</v>
      </c>
      <c r="B51" s="90">
        <v>6.5826538828469283E-2</v>
      </c>
      <c r="C51" s="89">
        <v>9</v>
      </c>
      <c r="D51" s="89"/>
      <c r="E51" s="89"/>
      <c r="F51" s="89"/>
      <c r="G51" s="89"/>
      <c r="H51" s="89"/>
      <c r="I51" s="89"/>
      <c r="J51" s="89"/>
      <c r="K51" s="89"/>
      <c r="L51" s="89"/>
    </row>
    <row r="52" spans="1:12" x14ac:dyDescent="0.15">
      <c r="A52" s="89">
        <v>51</v>
      </c>
      <c r="B52" s="90">
        <v>0.1804</v>
      </c>
      <c r="C52" s="89">
        <f>-2.65-4.47-1.9</f>
        <v>-9.02</v>
      </c>
      <c r="D52" s="89"/>
      <c r="E52" s="89"/>
      <c r="F52" s="89"/>
      <c r="G52" s="89"/>
      <c r="H52" s="89"/>
      <c r="I52" s="89"/>
      <c r="J52" s="89"/>
      <c r="K52" s="89"/>
      <c r="L52" s="89"/>
    </row>
    <row r="53" spans="1:12" x14ac:dyDescent="0.15">
      <c r="A53" s="89">
        <v>52</v>
      </c>
      <c r="B53" s="91">
        <v>6.5826538828469283E-2</v>
      </c>
      <c r="C53" s="32">
        <v>9</v>
      </c>
      <c r="D53" s="32"/>
      <c r="E53" s="32"/>
      <c r="F53" s="32"/>
      <c r="G53" s="32"/>
      <c r="H53" s="32"/>
      <c r="I53" s="32"/>
      <c r="J53" s="32"/>
      <c r="K53" s="32"/>
      <c r="L53" s="32"/>
    </row>
    <row r="54" spans="1:12" x14ac:dyDescent="0.15">
      <c r="A54" s="89">
        <v>53</v>
      </c>
      <c r="B54" s="91">
        <v>0.1804</v>
      </c>
      <c r="C54" s="32">
        <f>-2.65-4.47-1.9</f>
        <v>-9.02</v>
      </c>
      <c r="D54" s="32"/>
      <c r="E54" s="32"/>
      <c r="F54" s="32"/>
      <c r="G54" s="32"/>
      <c r="H54" s="32"/>
      <c r="I54" s="32"/>
      <c r="J54" s="32"/>
      <c r="K54" s="32"/>
      <c r="L54" s="32"/>
    </row>
    <row r="55" spans="1:12" x14ac:dyDescent="0.15">
      <c r="A55" s="89">
        <v>54</v>
      </c>
      <c r="B55" s="90">
        <v>6.5826538828469283E-2</v>
      </c>
      <c r="C55" s="89">
        <v>9</v>
      </c>
      <c r="D55" s="89"/>
      <c r="E55" s="89"/>
      <c r="F55" s="89"/>
      <c r="G55" s="89"/>
      <c r="H55" s="89"/>
      <c r="I55" s="89"/>
      <c r="J55" s="89"/>
      <c r="K55" s="89"/>
      <c r="L55" s="89"/>
    </row>
    <row r="56" spans="1:12" x14ac:dyDescent="0.15">
      <c r="A56" s="89">
        <v>55</v>
      </c>
      <c r="B56" s="90">
        <v>0.1804</v>
      </c>
      <c r="C56" s="89">
        <f>-2.65-4.47-1.9</f>
        <v>-9.02</v>
      </c>
      <c r="D56" s="89"/>
      <c r="E56" s="89"/>
      <c r="F56" s="89"/>
      <c r="G56" s="89"/>
      <c r="H56" s="89"/>
      <c r="I56" s="89"/>
      <c r="J56" s="89"/>
      <c r="K56" s="89"/>
      <c r="L56" s="89"/>
    </row>
    <row r="57" spans="1:12" x14ac:dyDescent="0.15">
      <c r="A57" s="89">
        <v>56</v>
      </c>
      <c r="B57" s="91">
        <v>0.06</v>
      </c>
      <c r="C57" s="32">
        <v>-3</v>
      </c>
      <c r="D57" s="32"/>
      <c r="E57" s="32"/>
      <c r="F57" s="32"/>
      <c r="G57" s="32"/>
      <c r="H57" s="32"/>
      <c r="I57" s="32"/>
      <c r="J57" s="32"/>
      <c r="K57" s="32"/>
      <c r="L57" s="32"/>
    </row>
    <row r="58" spans="1:12" x14ac:dyDescent="0.15">
      <c r="A58" s="89">
        <v>57</v>
      </c>
      <c r="B58" s="91">
        <v>0.11</v>
      </c>
      <c r="C58" s="32">
        <f>-1.9-3.6</f>
        <v>-5.5</v>
      </c>
      <c r="D58" s="32"/>
      <c r="E58" s="32"/>
      <c r="F58" s="32"/>
      <c r="G58" s="32"/>
      <c r="H58" s="32"/>
      <c r="I58" s="32"/>
      <c r="J58" s="32"/>
      <c r="K58" s="32"/>
      <c r="L58" s="32"/>
    </row>
    <row r="59" spans="1:12" x14ac:dyDescent="0.15">
      <c r="A59" s="89">
        <v>58</v>
      </c>
      <c r="B59" s="91">
        <v>0.35880000000000001</v>
      </c>
      <c r="C59" s="32">
        <f>-17.94</f>
        <v>-17.940000000000001</v>
      </c>
      <c r="D59" s="32"/>
      <c r="E59" s="32"/>
      <c r="F59" s="32"/>
      <c r="G59" s="32"/>
      <c r="H59" s="32"/>
      <c r="I59" s="32"/>
      <c r="J59" s="32"/>
      <c r="K59" s="32"/>
      <c r="L59" s="32"/>
    </row>
    <row r="60" spans="1:12" x14ac:dyDescent="0.15">
      <c r="A60" s="89">
        <v>59</v>
      </c>
      <c r="B60" s="90">
        <v>1E+308</v>
      </c>
      <c r="C60" s="89">
        <v>12</v>
      </c>
      <c r="D60" s="89">
        <v>13</v>
      </c>
      <c r="E60" s="89">
        <v>14</v>
      </c>
      <c r="F60" s="89">
        <v>15</v>
      </c>
      <c r="G60" s="89">
        <v>16</v>
      </c>
      <c r="H60" s="89">
        <v>17</v>
      </c>
      <c r="I60" s="89">
        <v>18</v>
      </c>
      <c r="J60" s="89">
        <v>19</v>
      </c>
      <c r="K60" s="89">
        <v>20</v>
      </c>
      <c r="L60" s="89"/>
    </row>
    <row r="61" spans="1:12" x14ac:dyDescent="0.15">
      <c r="A61" s="89">
        <v>60</v>
      </c>
      <c r="B61" s="90">
        <v>1E+308</v>
      </c>
      <c r="C61" s="89">
        <v>-9.02</v>
      </c>
      <c r="D61" s="89">
        <v>13</v>
      </c>
      <c r="E61" s="89">
        <v>14</v>
      </c>
      <c r="F61" s="89">
        <v>15</v>
      </c>
      <c r="G61" s="89">
        <v>16</v>
      </c>
      <c r="H61" s="89">
        <v>17</v>
      </c>
      <c r="I61" s="89">
        <v>18</v>
      </c>
      <c r="J61" s="89">
        <v>19</v>
      </c>
      <c r="K61" s="89">
        <v>20</v>
      </c>
      <c r="L61" s="89"/>
    </row>
    <row r="62" spans="1:12" x14ac:dyDescent="0.15">
      <c r="A62" s="89">
        <v>61</v>
      </c>
      <c r="B62" s="90">
        <v>1E+308</v>
      </c>
      <c r="C62" s="89">
        <v>-16.989999999999998</v>
      </c>
      <c r="D62" s="89">
        <v>16</v>
      </c>
      <c r="E62" s="89">
        <v>17</v>
      </c>
      <c r="F62" s="89">
        <v>18</v>
      </c>
      <c r="G62" s="89">
        <v>19</v>
      </c>
      <c r="H62" s="89">
        <v>20</v>
      </c>
      <c r="I62" s="89"/>
      <c r="J62" s="89"/>
      <c r="K62" s="89"/>
      <c r="L62" s="89"/>
    </row>
    <row r="63" spans="1:12" x14ac:dyDescent="0.15">
      <c r="A63" s="89">
        <v>62</v>
      </c>
      <c r="B63" s="90">
        <v>1E+308</v>
      </c>
      <c r="C63" s="89">
        <v>-18.13</v>
      </c>
      <c r="D63" s="89">
        <v>18</v>
      </c>
      <c r="E63" s="89">
        <v>19</v>
      </c>
      <c r="F63" s="89">
        <v>20</v>
      </c>
      <c r="G63" s="89"/>
      <c r="H63" s="89"/>
      <c r="I63" s="89"/>
      <c r="J63" s="89"/>
      <c r="K63" s="89"/>
      <c r="L63" s="89"/>
    </row>
    <row r="64" spans="1:12" x14ac:dyDescent="0.15">
      <c r="A64" s="89">
        <v>63</v>
      </c>
      <c r="B64" s="90">
        <v>0.50780000000000003</v>
      </c>
      <c r="C64" s="89">
        <v>-25.39</v>
      </c>
      <c r="D64" s="89"/>
      <c r="E64" s="89"/>
      <c r="F64" s="89"/>
      <c r="G64" s="89"/>
      <c r="H64" s="89"/>
      <c r="I64" s="89"/>
      <c r="J64" s="89"/>
      <c r="K64" s="89"/>
      <c r="L64" s="89"/>
    </row>
    <row r="65" spans="1:12" x14ac:dyDescent="0.15">
      <c r="A65" s="89">
        <v>64</v>
      </c>
      <c r="B65" s="90">
        <v>1E+308</v>
      </c>
      <c r="C65" s="89">
        <v>-17.940000000000001</v>
      </c>
      <c r="D65" s="89">
        <v>12</v>
      </c>
      <c r="E65" s="89">
        <v>13</v>
      </c>
      <c r="F65" s="89">
        <v>14</v>
      </c>
      <c r="G65" s="89">
        <v>15</v>
      </c>
      <c r="H65" s="89">
        <v>16</v>
      </c>
      <c r="I65" s="89">
        <v>17</v>
      </c>
      <c r="J65" s="89">
        <v>18</v>
      </c>
      <c r="K65" s="89">
        <v>19</v>
      </c>
      <c r="L65" s="89">
        <v>20</v>
      </c>
    </row>
    <row r="66" spans="1:12" x14ac:dyDescent="0.15">
      <c r="A66" s="89">
        <v>65</v>
      </c>
      <c r="B66" s="91">
        <v>1E+308</v>
      </c>
      <c r="C66" s="32">
        <v>12</v>
      </c>
      <c r="D66" s="32">
        <v>13</v>
      </c>
      <c r="E66" s="32">
        <v>14</v>
      </c>
      <c r="F66" s="32">
        <v>15</v>
      </c>
      <c r="G66" s="32">
        <v>16</v>
      </c>
      <c r="H66" s="32">
        <v>17</v>
      </c>
      <c r="I66" s="32">
        <v>18</v>
      </c>
      <c r="J66" s="32"/>
      <c r="K66" s="32"/>
      <c r="L66" s="32"/>
    </row>
    <row r="67" spans="1:12" x14ac:dyDescent="0.15">
      <c r="A67" s="89">
        <v>66</v>
      </c>
      <c r="B67" s="91">
        <v>1E+308</v>
      </c>
      <c r="C67" s="32">
        <v>-9.02</v>
      </c>
      <c r="D67" s="32">
        <v>13</v>
      </c>
      <c r="E67" s="32">
        <v>14</v>
      </c>
      <c r="F67" s="32">
        <v>15</v>
      </c>
      <c r="G67" s="32">
        <v>16</v>
      </c>
      <c r="H67" s="32">
        <v>17</v>
      </c>
      <c r="I67" s="32">
        <v>18</v>
      </c>
      <c r="J67" s="32"/>
      <c r="K67" s="32"/>
      <c r="L67" s="32"/>
    </row>
    <row r="68" spans="1:12" x14ac:dyDescent="0.15">
      <c r="A68" s="89">
        <v>67</v>
      </c>
      <c r="B68" s="91">
        <v>1E+308</v>
      </c>
      <c r="C68" s="32">
        <v>-16.989999999999998</v>
      </c>
      <c r="D68" s="32">
        <v>16</v>
      </c>
      <c r="E68" s="32">
        <v>17</v>
      </c>
      <c r="F68" s="32">
        <v>18</v>
      </c>
      <c r="G68" s="32"/>
      <c r="H68" s="32"/>
      <c r="I68" s="32"/>
      <c r="J68" s="32"/>
      <c r="K68" s="32"/>
      <c r="L68" s="32"/>
    </row>
    <row r="69" spans="1:12" x14ac:dyDescent="0.15">
      <c r="A69" s="89">
        <v>68</v>
      </c>
      <c r="B69" s="91">
        <v>0.43579999999999997</v>
      </c>
      <c r="C69" s="32">
        <v>-21.79</v>
      </c>
      <c r="D69" s="32"/>
      <c r="E69" s="32"/>
      <c r="F69" s="32"/>
      <c r="G69" s="32"/>
      <c r="H69" s="32"/>
      <c r="I69" s="32"/>
      <c r="J69" s="32"/>
      <c r="K69" s="32"/>
      <c r="L69" s="32"/>
    </row>
    <row r="70" spans="1:12" x14ac:dyDescent="0.15">
      <c r="A70" s="89">
        <v>69</v>
      </c>
      <c r="B70" s="91">
        <v>1E+308</v>
      </c>
      <c r="C70" s="32">
        <v>-17.940000000000001</v>
      </c>
      <c r="D70" s="32">
        <v>12</v>
      </c>
      <c r="E70" s="32">
        <v>13</v>
      </c>
      <c r="F70" s="32">
        <v>14</v>
      </c>
      <c r="G70" s="32">
        <v>15</v>
      </c>
      <c r="H70" s="32">
        <v>16</v>
      </c>
      <c r="I70" s="32">
        <v>17</v>
      </c>
      <c r="J70" s="32">
        <v>18</v>
      </c>
      <c r="K70" s="32"/>
      <c r="L70" s="32"/>
    </row>
    <row r="71" spans="1:12" x14ac:dyDescent="0.15">
      <c r="A71" s="89">
        <v>70</v>
      </c>
      <c r="B71" s="90">
        <v>1E+308</v>
      </c>
      <c r="C71" s="89">
        <v>12</v>
      </c>
      <c r="D71" s="89">
        <v>13</v>
      </c>
      <c r="E71" s="89">
        <v>14</v>
      </c>
      <c r="F71" s="89">
        <v>15</v>
      </c>
      <c r="G71" s="89">
        <v>16</v>
      </c>
      <c r="H71" s="89"/>
      <c r="I71" s="89"/>
      <c r="J71" s="89"/>
      <c r="K71" s="89"/>
      <c r="L71" s="89"/>
    </row>
    <row r="72" spans="1:12" x14ac:dyDescent="0.15">
      <c r="A72" s="89">
        <v>71</v>
      </c>
      <c r="B72" s="90">
        <v>1E+308</v>
      </c>
      <c r="C72" s="89">
        <v>-9.02</v>
      </c>
      <c r="D72" s="89">
        <v>13</v>
      </c>
      <c r="E72" s="89">
        <v>14</v>
      </c>
      <c r="F72" s="89">
        <v>15</v>
      </c>
      <c r="G72" s="89">
        <v>16</v>
      </c>
      <c r="H72" s="89"/>
      <c r="I72" s="89"/>
      <c r="J72" s="89"/>
      <c r="K72" s="89"/>
      <c r="L72" s="89"/>
    </row>
    <row r="73" spans="1:12" x14ac:dyDescent="0.15">
      <c r="A73" s="89">
        <v>72</v>
      </c>
      <c r="B73" s="90">
        <v>1E+308</v>
      </c>
      <c r="C73" s="89">
        <v>-16.989999999999998</v>
      </c>
      <c r="D73" s="89">
        <v>14</v>
      </c>
      <c r="E73" s="89">
        <v>15</v>
      </c>
      <c r="F73" s="89">
        <v>16</v>
      </c>
      <c r="G73" s="89"/>
      <c r="H73" s="89"/>
      <c r="I73" s="89"/>
      <c r="J73" s="89"/>
      <c r="K73" s="89"/>
      <c r="L73" s="89"/>
    </row>
    <row r="74" spans="1:12" x14ac:dyDescent="0.15">
      <c r="A74" s="89">
        <v>73</v>
      </c>
      <c r="B74" s="90">
        <v>0.36259999999999998</v>
      </c>
      <c r="C74" s="89">
        <v>-18.13</v>
      </c>
      <c r="D74" s="89"/>
      <c r="E74" s="89"/>
      <c r="F74" s="89"/>
      <c r="G74" s="89"/>
      <c r="H74" s="89"/>
      <c r="I74" s="89"/>
      <c r="J74" s="89"/>
      <c r="K74" s="89"/>
      <c r="L74" s="89"/>
    </row>
    <row r="75" spans="1:12" x14ac:dyDescent="0.15">
      <c r="A75" s="89">
        <v>74</v>
      </c>
      <c r="B75" s="90">
        <v>1E+308</v>
      </c>
      <c r="C75" s="89">
        <v>-17.940000000000001</v>
      </c>
      <c r="D75" s="89">
        <v>12</v>
      </c>
      <c r="E75" s="89">
        <v>13</v>
      </c>
      <c r="F75" s="89">
        <v>14</v>
      </c>
      <c r="G75" s="89">
        <v>15</v>
      </c>
      <c r="H75" s="89">
        <v>16</v>
      </c>
      <c r="I75" s="89"/>
      <c r="J75" s="89"/>
      <c r="K75" s="89"/>
      <c r="L75" s="89"/>
    </row>
    <row r="76" spans="1:12" x14ac:dyDescent="0.15">
      <c r="A76" s="89">
        <v>75</v>
      </c>
      <c r="B76" s="91">
        <v>1E+308</v>
      </c>
      <c r="C76" s="32">
        <v>12</v>
      </c>
      <c r="D76" s="32">
        <v>13</v>
      </c>
      <c r="E76" s="32">
        <v>14</v>
      </c>
      <c r="F76" s="32">
        <v>15</v>
      </c>
      <c r="G76" s="32"/>
      <c r="H76" s="32"/>
      <c r="I76" s="32"/>
      <c r="J76" s="32"/>
      <c r="K76" s="32"/>
      <c r="L76" s="32"/>
    </row>
    <row r="77" spans="1:12" x14ac:dyDescent="0.15">
      <c r="A77" s="89">
        <v>76</v>
      </c>
      <c r="B77" s="91">
        <v>1E+308</v>
      </c>
      <c r="C77" s="32">
        <v>-9.02</v>
      </c>
      <c r="D77" s="32">
        <v>13</v>
      </c>
      <c r="E77" s="32">
        <v>14</v>
      </c>
      <c r="F77" s="32">
        <v>15</v>
      </c>
      <c r="G77" s="32"/>
      <c r="H77" s="32"/>
      <c r="I77" s="32"/>
      <c r="J77" s="32"/>
      <c r="K77" s="32"/>
      <c r="L77" s="32"/>
    </row>
    <row r="78" spans="1:12" x14ac:dyDescent="0.15">
      <c r="A78" s="89">
        <v>77</v>
      </c>
      <c r="B78" s="91">
        <v>0.33979999999999999</v>
      </c>
      <c r="C78" s="32">
        <v>-16.989999999999998</v>
      </c>
      <c r="D78" s="32"/>
      <c r="E78" s="32"/>
      <c r="F78" s="32"/>
      <c r="G78" s="32"/>
      <c r="H78" s="32"/>
      <c r="I78" s="32"/>
      <c r="J78" s="32"/>
      <c r="K78" s="32"/>
      <c r="L78" s="32"/>
    </row>
    <row r="79" spans="1:12" x14ac:dyDescent="0.15">
      <c r="A79" s="89">
        <v>78</v>
      </c>
      <c r="B79" s="91">
        <v>1E+308</v>
      </c>
      <c r="C79" s="32">
        <v>-17.940000000000001</v>
      </c>
      <c r="D79" s="32">
        <v>12</v>
      </c>
      <c r="E79" s="32">
        <v>13</v>
      </c>
      <c r="F79" s="32">
        <v>14</v>
      </c>
      <c r="G79" s="32">
        <v>15</v>
      </c>
      <c r="H79" s="32"/>
      <c r="I79" s="32"/>
      <c r="J79" s="32"/>
      <c r="K79" s="32"/>
      <c r="L79" s="32"/>
    </row>
    <row r="80" spans="1:12" x14ac:dyDescent="0.15">
      <c r="A80" s="89">
        <v>79</v>
      </c>
      <c r="B80" s="90">
        <v>2.2015319950576713E-2</v>
      </c>
      <c r="C80" s="89">
        <v>15</v>
      </c>
      <c r="D80" s="89"/>
      <c r="E80" s="89"/>
      <c r="F80" s="89"/>
      <c r="G80" s="89"/>
      <c r="H80" s="89"/>
      <c r="I80" s="89"/>
      <c r="J80" s="89"/>
      <c r="K80" s="89"/>
      <c r="L80" s="89"/>
    </row>
    <row r="81" spans="1:12" x14ac:dyDescent="0.15">
      <c r="A81" s="89">
        <v>80</v>
      </c>
      <c r="B81" s="90">
        <v>0.1804</v>
      </c>
      <c r="C81" s="89">
        <v>-9.02</v>
      </c>
      <c r="D81" s="89"/>
      <c r="E81" s="89"/>
      <c r="F81" s="89"/>
      <c r="G81" s="89"/>
      <c r="H81" s="89"/>
      <c r="I81" s="89"/>
      <c r="J81" s="89"/>
      <c r="K81" s="89"/>
      <c r="L81" s="89"/>
    </row>
    <row r="82" spans="1:12" x14ac:dyDescent="0.15">
      <c r="A82" s="89">
        <v>81</v>
      </c>
      <c r="B82" s="90">
        <v>1E+308</v>
      </c>
      <c r="C82" s="89">
        <v>-17.940000000000001</v>
      </c>
      <c r="D82" s="89">
        <v>15</v>
      </c>
      <c r="E82" s="89"/>
      <c r="F82" s="89"/>
      <c r="G82" s="89"/>
      <c r="H82" s="89"/>
      <c r="I82" s="89"/>
      <c r="J82" s="89"/>
      <c r="K82" s="89"/>
      <c r="L82" s="89"/>
    </row>
    <row r="83" spans="1:12" x14ac:dyDescent="0.15">
      <c r="A83" s="89">
        <v>82</v>
      </c>
      <c r="B83" s="91">
        <v>1E+308</v>
      </c>
      <c r="C83" s="32">
        <v>13</v>
      </c>
      <c r="D83" s="32">
        <v>14</v>
      </c>
      <c r="E83" s="32">
        <v>15</v>
      </c>
      <c r="F83" s="32">
        <v>16</v>
      </c>
      <c r="G83" s="32">
        <v>17</v>
      </c>
      <c r="H83" s="32">
        <v>18</v>
      </c>
      <c r="I83" s="32">
        <v>19</v>
      </c>
      <c r="J83" s="32">
        <v>20</v>
      </c>
      <c r="K83" s="32"/>
      <c r="L83" s="32"/>
    </row>
    <row r="84" spans="1:12" x14ac:dyDescent="0.15">
      <c r="A84" s="89">
        <v>83</v>
      </c>
      <c r="B84" s="91">
        <v>1E+308</v>
      </c>
      <c r="C84" s="32">
        <v>-13.27</v>
      </c>
      <c r="D84" s="32">
        <v>16</v>
      </c>
      <c r="E84" s="32">
        <v>17</v>
      </c>
      <c r="F84" s="32">
        <v>18</v>
      </c>
      <c r="G84" s="32">
        <v>19</v>
      </c>
      <c r="H84" s="32">
        <v>20</v>
      </c>
      <c r="I84" s="32"/>
      <c r="J84" s="32"/>
      <c r="K84" s="32"/>
      <c r="L84" s="32"/>
    </row>
    <row r="85" spans="1:12" x14ac:dyDescent="0.15">
      <c r="A85" s="89">
        <v>84</v>
      </c>
      <c r="B85" s="91">
        <v>1E+308</v>
      </c>
      <c r="C85" s="32">
        <v>-14.41</v>
      </c>
      <c r="D85" s="32">
        <v>18</v>
      </c>
      <c r="E85" s="32">
        <v>19</v>
      </c>
      <c r="F85" s="32">
        <v>20</v>
      </c>
      <c r="G85" s="32"/>
      <c r="H85" s="32"/>
      <c r="I85" s="32"/>
      <c r="J85" s="32"/>
      <c r="K85" s="32"/>
      <c r="L85" s="32"/>
    </row>
    <row r="86" spans="1:12" x14ac:dyDescent="0.15">
      <c r="A86" s="89">
        <v>85</v>
      </c>
      <c r="B86" s="90">
        <v>1E+308</v>
      </c>
      <c r="C86" s="89">
        <v>13</v>
      </c>
      <c r="D86" s="89">
        <v>14</v>
      </c>
      <c r="E86" s="89">
        <v>15</v>
      </c>
      <c r="F86" s="89">
        <v>16</v>
      </c>
      <c r="G86" s="89">
        <v>17</v>
      </c>
      <c r="H86" s="89">
        <v>18</v>
      </c>
      <c r="I86" s="89"/>
      <c r="J86" s="89"/>
      <c r="K86" s="89"/>
      <c r="L86" s="89"/>
    </row>
    <row r="87" spans="1:12" x14ac:dyDescent="0.15">
      <c r="A87" s="89">
        <v>86</v>
      </c>
      <c r="B87" s="90">
        <v>1E+308</v>
      </c>
      <c r="C87" s="89">
        <v>-13.27</v>
      </c>
      <c r="D87" s="89">
        <v>16</v>
      </c>
      <c r="E87" s="89">
        <v>17</v>
      </c>
      <c r="F87" s="89">
        <v>18</v>
      </c>
      <c r="G87" s="89"/>
      <c r="H87" s="89"/>
      <c r="I87" s="89"/>
      <c r="J87" s="89"/>
      <c r="K87" s="89"/>
      <c r="L87" s="89"/>
    </row>
    <row r="88" spans="1:12" x14ac:dyDescent="0.15">
      <c r="A88" s="89">
        <v>87</v>
      </c>
      <c r="B88" s="90">
        <v>1E+308</v>
      </c>
      <c r="C88" s="89">
        <v>-14.41</v>
      </c>
      <c r="D88" s="89">
        <v>18</v>
      </c>
      <c r="E88" s="89"/>
      <c r="F88" s="89"/>
      <c r="G88" s="89"/>
      <c r="H88" s="89"/>
      <c r="I88" s="89"/>
      <c r="J88" s="89"/>
      <c r="K88" s="89"/>
      <c r="L88" s="89"/>
    </row>
    <row r="89" spans="1:12" x14ac:dyDescent="0.15">
      <c r="A89" s="89">
        <v>88</v>
      </c>
      <c r="B89" s="90">
        <v>0.3614</v>
      </c>
      <c r="C89" s="89">
        <v>-18.07</v>
      </c>
      <c r="D89" s="89"/>
      <c r="E89" s="89"/>
      <c r="F89" s="89"/>
      <c r="G89" s="89"/>
      <c r="H89" s="89"/>
      <c r="I89" s="89"/>
      <c r="J89" s="89"/>
      <c r="K89" s="89"/>
      <c r="L89" s="89"/>
    </row>
    <row r="90" spans="1:12" x14ac:dyDescent="0.15">
      <c r="A90" s="89">
        <v>89</v>
      </c>
      <c r="B90" s="91">
        <v>1E+308</v>
      </c>
      <c r="C90" s="32">
        <v>13</v>
      </c>
      <c r="D90" s="32">
        <v>14</v>
      </c>
      <c r="E90" s="32">
        <v>15</v>
      </c>
      <c r="F90" s="32">
        <v>16</v>
      </c>
      <c r="G90" s="32"/>
      <c r="H90" s="32"/>
      <c r="I90" s="32"/>
      <c r="J90" s="32"/>
      <c r="K90" s="32"/>
      <c r="L90" s="32"/>
    </row>
    <row r="91" spans="1:12" x14ac:dyDescent="0.15">
      <c r="A91" s="89">
        <v>90</v>
      </c>
      <c r="B91" s="91">
        <v>1E+308</v>
      </c>
      <c r="C91" s="32">
        <v>-13.27</v>
      </c>
      <c r="D91" s="32">
        <v>16</v>
      </c>
      <c r="E91" s="32"/>
      <c r="F91" s="32"/>
      <c r="G91" s="32"/>
      <c r="H91" s="32"/>
      <c r="I91" s="32"/>
      <c r="J91" s="32"/>
      <c r="K91" s="32"/>
      <c r="L91" s="32"/>
    </row>
    <row r="92" spans="1:12" x14ac:dyDescent="0.15">
      <c r="A92" s="89">
        <v>91</v>
      </c>
      <c r="B92" s="91">
        <v>0.28820000000000001</v>
      </c>
      <c r="C92" s="32">
        <v>-14.41</v>
      </c>
      <c r="D92" s="32"/>
      <c r="E92" s="32"/>
      <c r="F92" s="32"/>
      <c r="G92" s="32"/>
      <c r="H92" s="32"/>
      <c r="I92" s="32"/>
      <c r="J92" s="32"/>
      <c r="K92" s="32"/>
      <c r="L92" s="32"/>
    </row>
    <row r="93" spans="1:12" x14ac:dyDescent="0.15">
      <c r="A93" s="89">
        <v>92</v>
      </c>
      <c r="B93" s="90">
        <v>1E+308</v>
      </c>
      <c r="C93" s="89">
        <v>13</v>
      </c>
      <c r="D93" s="89">
        <v>14</v>
      </c>
      <c r="E93" s="89">
        <v>15</v>
      </c>
      <c r="F93" s="89"/>
      <c r="G93" s="89"/>
      <c r="H93" s="89"/>
      <c r="I93" s="89"/>
      <c r="J93" s="89"/>
      <c r="K93" s="89"/>
      <c r="L93" s="89"/>
    </row>
    <row r="94" spans="1:12" x14ac:dyDescent="0.15">
      <c r="A94" s="89">
        <v>93</v>
      </c>
      <c r="B94" s="90">
        <v>0.26539999999999997</v>
      </c>
      <c r="C94" s="89">
        <v>-13.27</v>
      </c>
      <c r="D94" s="89"/>
      <c r="E94" s="89"/>
      <c r="F94" s="89"/>
      <c r="G94" s="89"/>
      <c r="H94" s="89"/>
      <c r="I94" s="89"/>
      <c r="J94" s="89"/>
      <c r="K94" s="89"/>
      <c r="L94" s="89"/>
    </row>
    <row r="95" spans="1:12" x14ac:dyDescent="0.15">
      <c r="A95" s="89">
        <v>94</v>
      </c>
      <c r="B95" s="91">
        <v>1E+308</v>
      </c>
      <c r="C95" s="32">
        <v>16</v>
      </c>
      <c r="D95" s="32">
        <v>17</v>
      </c>
      <c r="E95" s="32">
        <v>18</v>
      </c>
      <c r="F95" s="32">
        <v>19</v>
      </c>
      <c r="G95" s="32">
        <v>20</v>
      </c>
      <c r="H95" s="32"/>
      <c r="I95" s="32"/>
      <c r="J95" s="32"/>
      <c r="K95" s="32"/>
      <c r="L95" s="32"/>
    </row>
    <row r="96" spans="1:12" x14ac:dyDescent="0.15">
      <c r="A96" s="89">
        <v>95</v>
      </c>
      <c r="B96" s="91">
        <v>1E+308</v>
      </c>
      <c r="C96" s="32">
        <v>-3.66</v>
      </c>
      <c r="D96" s="32">
        <v>18</v>
      </c>
      <c r="E96" s="32">
        <v>19</v>
      </c>
      <c r="F96" s="32">
        <v>20</v>
      </c>
      <c r="G96" s="32"/>
      <c r="H96" s="32"/>
      <c r="I96" s="32"/>
      <c r="J96" s="32"/>
      <c r="K96" s="32"/>
      <c r="L96" s="32"/>
    </row>
    <row r="97" spans="1:13" x14ac:dyDescent="0.15">
      <c r="A97" s="89">
        <v>96</v>
      </c>
      <c r="B97" s="91">
        <v>0.1452</v>
      </c>
      <c r="C97" s="32">
        <v>-7.26</v>
      </c>
      <c r="D97" s="32"/>
      <c r="E97" s="32"/>
      <c r="F97" s="32"/>
      <c r="G97" s="32"/>
      <c r="H97" s="32"/>
      <c r="I97" s="32"/>
      <c r="J97" s="32"/>
      <c r="K97" s="32"/>
      <c r="L97" s="32"/>
    </row>
    <row r="98" spans="1:13" x14ac:dyDescent="0.15">
      <c r="A98" s="89">
        <v>97</v>
      </c>
      <c r="B98" s="90">
        <v>1E+308</v>
      </c>
      <c r="C98" s="89">
        <v>16</v>
      </c>
      <c r="D98" s="89">
        <v>17</v>
      </c>
      <c r="E98" s="89">
        <v>18</v>
      </c>
      <c r="F98" s="89"/>
      <c r="G98" s="89"/>
      <c r="H98" s="89"/>
      <c r="I98" s="89"/>
      <c r="J98" s="89"/>
      <c r="K98" s="89"/>
      <c r="L98" s="89"/>
    </row>
    <row r="99" spans="1:13" x14ac:dyDescent="0.15">
      <c r="A99" s="89">
        <v>98</v>
      </c>
      <c r="B99" s="90">
        <v>1E+308</v>
      </c>
      <c r="C99" s="89">
        <v>-4.95</v>
      </c>
      <c r="D99" s="89">
        <v>18</v>
      </c>
      <c r="E99" s="89"/>
      <c r="F99" s="89"/>
      <c r="G99" s="89"/>
      <c r="H99" s="89"/>
      <c r="I99" s="89"/>
      <c r="J99" s="89"/>
      <c r="K99" s="89"/>
      <c r="L99" s="89"/>
    </row>
    <row r="100" spans="1:13" x14ac:dyDescent="0.15">
      <c r="A100" s="89">
        <v>99</v>
      </c>
      <c r="B100" s="90">
        <v>0.12300000000000001</v>
      </c>
      <c r="C100" s="89">
        <v>-6.15</v>
      </c>
      <c r="D100" s="89"/>
      <c r="E100" s="89"/>
      <c r="F100" s="89"/>
      <c r="G100" s="89"/>
      <c r="H100" s="89"/>
      <c r="I100" s="89"/>
      <c r="J100" s="89"/>
      <c r="K100" s="89"/>
      <c r="L100" s="89"/>
    </row>
    <row r="101" spans="1:13" x14ac:dyDescent="0.15">
      <c r="A101" s="89">
        <v>100</v>
      </c>
      <c r="B101" s="91">
        <v>2.5886061661316913E-2</v>
      </c>
      <c r="C101" s="32">
        <v>16</v>
      </c>
      <c r="D101" s="32"/>
      <c r="E101" s="32"/>
      <c r="F101" s="32"/>
      <c r="G101" s="32"/>
      <c r="H101" s="32"/>
      <c r="I101" s="32"/>
      <c r="J101" s="32"/>
      <c r="K101" s="32"/>
      <c r="L101" s="32"/>
    </row>
    <row r="102" spans="1:13" x14ac:dyDescent="0.15">
      <c r="A102" s="89">
        <v>101</v>
      </c>
      <c r="B102" s="91">
        <v>8.1199999999999994E-2</v>
      </c>
      <c r="C102" s="32">
        <v>-4.0599999999999996</v>
      </c>
      <c r="D102" s="32"/>
      <c r="E102" s="32"/>
      <c r="F102" s="32"/>
      <c r="G102" s="32"/>
      <c r="H102" s="32"/>
      <c r="I102" s="32"/>
      <c r="J102" s="32"/>
      <c r="K102" s="32"/>
      <c r="L102" s="32"/>
    </row>
    <row r="103" spans="1:13" x14ac:dyDescent="0.15">
      <c r="A103" s="89">
        <v>102</v>
      </c>
      <c r="B103" s="90">
        <v>1E+308</v>
      </c>
      <c r="C103" s="89">
        <v>17</v>
      </c>
      <c r="D103" s="89">
        <v>18</v>
      </c>
      <c r="E103" s="89">
        <v>19</v>
      </c>
      <c r="F103" s="89">
        <v>20</v>
      </c>
      <c r="G103" s="89"/>
      <c r="H103" s="89"/>
      <c r="I103" s="89"/>
      <c r="J103" s="89"/>
      <c r="K103" s="89"/>
      <c r="L103" s="89"/>
    </row>
    <row r="104" spans="1:13" x14ac:dyDescent="0.15">
      <c r="A104" s="89">
        <v>103</v>
      </c>
      <c r="B104" s="90">
        <v>1E+308</v>
      </c>
      <c r="C104" s="89">
        <v>-2.46</v>
      </c>
      <c r="D104" s="89">
        <v>18</v>
      </c>
      <c r="E104" s="89">
        <v>19</v>
      </c>
      <c r="F104" s="89">
        <v>20</v>
      </c>
      <c r="G104" s="89"/>
      <c r="H104" s="89"/>
      <c r="I104" s="89"/>
      <c r="J104" s="89"/>
      <c r="K104" s="89"/>
      <c r="L104" s="89"/>
    </row>
    <row r="105" spans="1:13" x14ac:dyDescent="0.15">
      <c r="A105" s="89">
        <v>104</v>
      </c>
      <c r="B105" s="90">
        <v>0.1452</v>
      </c>
      <c r="C105" s="89">
        <v>-7.26</v>
      </c>
      <c r="D105" s="89"/>
      <c r="E105" s="89"/>
      <c r="F105" s="89"/>
      <c r="G105" s="89"/>
      <c r="H105" s="89"/>
      <c r="I105" s="89"/>
      <c r="J105" s="89"/>
      <c r="K105" s="89"/>
      <c r="L105" s="89"/>
    </row>
    <row r="106" spans="1:13" ht="15" x14ac:dyDescent="0.15">
      <c r="A106" s="89">
        <v>105</v>
      </c>
      <c r="B106" s="91">
        <v>1E+308</v>
      </c>
      <c r="C106" s="32">
        <v>17</v>
      </c>
      <c r="D106" s="32">
        <v>18</v>
      </c>
      <c r="E106" s="32"/>
      <c r="F106" s="32"/>
      <c r="G106" s="32"/>
      <c r="H106" s="32"/>
      <c r="I106" s="32"/>
      <c r="J106" s="32"/>
      <c r="K106" s="32"/>
      <c r="L106" s="32"/>
      <c r="M106" s="93"/>
    </row>
    <row r="107" spans="1:13" x14ac:dyDescent="0.15">
      <c r="A107" s="89">
        <v>106</v>
      </c>
      <c r="B107" s="91">
        <v>7.3200000000000001E-2</v>
      </c>
      <c r="C107" s="32">
        <v>-3.66</v>
      </c>
      <c r="D107" s="32"/>
      <c r="E107" s="32"/>
      <c r="F107" s="32"/>
      <c r="G107" s="32"/>
      <c r="H107" s="32"/>
      <c r="I107" s="32"/>
      <c r="J107" s="32"/>
      <c r="K107" s="32"/>
      <c r="L107" s="32"/>
    </row>
    <row r="108" spans="1:13" x14ac:dyDescent="0.15">
      <c r="A108" s="89">
        <v>107</v>
      </c>
      <c r="B108" s="90">
        <v>1E+308</v>
      </c>
      <c r="C108" s="89">
        <v>19</v>
      </c>
      <c r="D108" s="89">
        <v>20</v>
      </c>
      <c r="E108" s="89"/>
      <c r="F108" s="89"/>
      <c r="G108" s="89"/>
      <c r="H108" s="89"/>
      <c r="I108" s="89"/>
      <c r="J108" s="89"/>
      <c r="K108" s="89"/>
      <c r="L108" s="89"/>
    </row>
    <row r="109" spans="1:13" x14ac:dyDescent="0.15">
      <c r="A109" s="89">
        <v>108</v>
      </c>
      <c r="B109" s="90">
        <v>7.2000000000000008E-2</v>
      </c>
      <c r="C109" s="89">
        <v>-3.6</v>
      </c>
      <c r="D109" s="89"/>
      <c r="E109" s="89"/>
      <c r="F109" s="89"/>
      <c r="G109" s="89"/>
      <c r="H109" s="89"/>
      <c r="I109" s="89"/>
      <c r="J109" s="89"/>
      <c r="K109" s="89"/>
      <c r="L109" s="89"/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AJ1152"/>
  <sheetViews>
    <sheetView topLeftCell="A813" workbookViewId="0">
      <selection activeCell="A817" sqref="A817"/>
    </sheetView>
  </sheetViews>
  <sheetFormatPr defaultRowHeight="13.5" x14ac:dyDescent="0.15"/>
  <sheetData>
    <row r="2" spans="2:36" x14ac:dyDescent="0.15">
      <c r="C2">
        <v>7</v>
      </c>
      <c r="E2">
        <v>38</v>
      </c>
      <c r="G2">
        <v>15</v>
      </c>
      <c r="H2">
        <v>3</v>
      </c>
      <c r="I2">
        <v>31</v>
      </c>
      <c r="J2">
        <v>2</v>
      </c>
      <c r="K2">
        <v>5</v>
      </c>
      <c r="L2">
        <v>2</v>
      </c>
      <c r="Q2">
        <v>2</v>
      </c>
      <c r="S2">
        <v>1</v>
      </c>
      <c r="U2">
        <v>3</v>
      </c>
      <c r="AC2">
        <v>4</v>
      </c>
      <c r="AE2">
        <v>4</v>
      </c>
      <c r="AH2">
        <v>1</v>
      </c>
      <c r="AJ2">
        <v>1</v>
      </c>
    </row>
    <row r="4" spans="2:36" x14ac:dyDescent="0.15">
      <c r="E4">
        <v>4</v>
      </c>
      <c r="G4">
        <v>14</v>
      </c>
      <c r="I4">
        <v>6</v>
      </c>
      <c r="K4">
        <v>6</v>
      </c>
      <c r="L4">
        <v>1</v>
      </c>
      <c r="V4">
        <v>1</v>
      </c>
      <c r="AJ4">
        <v>2</v>
      </c>
    </row>
    <row r="6" spans="2:36" x14ac:dyDescent="0.15">
      <c r="G6">
        <v>5</v>
      </c>
      <c r="H6">
        <v>3</v>
      </c>
      <c r="I6">
        <v>37</v>
      </c>
      <c r="J6">
        <v>1</v>
      </c>
      <c r="K6">
        <v>3</v>
      </c>
      <c r="L6">
        <v>7</v>
      </c>
      <c r="U6">
        <v>2</v>
      </c>
      <c r="AF6">
        <v>1</v>
      </c>
      <c r="AI6">
        <v>2</v>
      </c>
      <c r="AJ6">
        <v>1</v>
      </c>
    </row>
    <row r="7" spans="2:36" x14ac:dyDescent="0.15">
      <c r="B7">
        <v>13</v>
      </c>
      <c r="D7">
        <v>5</v>
      </c>
      <c r="F7">
        <v>2</v>
      </c>
      <c r="H7">
        <v>1</v>
      </c>
      <c r="I7">
        <v>7</v>
      </c>
      <c r="K7">
        <v>2</v>
      </c>
      <c r="L7">
        <v>4</v>
      </c>
    </row>
    <row r="8" spans="2:36" x14ac:dyDescent="0.15">
      <c r="B8">
        <v>1</v>
      </c>
      <c r="F8">
        <v>1</v>
      </c>
      <c r="G8">
        <v>7</v>
      </c>
      <c r="I8">
        <v>4</v>
      </c>
      <c r="L8">
        <v>2</v>
      </c>
      <c r="AJ8">
        <v>6</v>
      </c>
    </row>
    <row r="9" spans="2:36" x14ac:dyDescent="0.15">
      <c r="B9">
        <v>150</v>
      </c>
      <c r="D9">
        <v>33</v>
      </c>
      <c r="F9">
        <v>17</v>
      </c>
      <c r="G9">
        <v>6</v>
      </c>
      <c r="J9">
        <v>2</v>
      </c>
      <c r="K9">
        <v>3</v>
      </c>
      <c r="L9">
        <v>2</v>
      </c>
      <c r="N9">
        <v>4</v>
      </c>
      <c r="P9">
        <v>6</v>
      </c>
      <c r="R9">
        <v>1</v>
      </c>
      <c r="V9">
        <v>3</v>
      </c>
    </row>
    <row r="10" spans="2:36" x14ac:dyDescent="0.15">
      <c r="B10">
        <v>2</v>
      </c>
      <c r="D10">
        <v>1</v>
      </c>
      <c r="G10">
        <v>1</v>
      </c>
      <c r="I10">
        <v>18</v>
      </c>
      <c r="L10">
        <v>1</v>
      </c>
      <c r="N10">
        <v>1</v>
      </c>
      <c r="U10">
        <v>2</v>
      </c>
    </row>
    <row r="11" spans="2:36" x14ac:dyDescent="0.15">
      <c r="B11">
        <v>4</v>
      </c>
      <c r="D11">
        <v>6</v>
      </c>
      <c r="F11">
        <v>6</v>
      </c>
      <c r="G11">
        <v>2</v>
      </c>
      <c r="I11">
        <v>9</v>
      </c>
      <c r="L11">
        <v>1</v>
      </c>
      <c r="U11">
        <v>4</v>
      </c>
      <c r="AJ11">
        <v>2</v>
      </c>
    </row>
    <row r="12" spans="2:36" x14ac:dyDescent="0.15">
      <c r="B12">
        <v>30</v>
      </c>
      <c r="D12">
        <v>6</v>
      </c>
      <c r="F12">
        <v>3</v>
      </c>
      <c r="G12">
        <v>1</v>
      </c>
      <c r="I12">
        <v>13</v>
      </c>
      <c r="K12">
        <v>3</v>
      </c>
      <c r="U12">
        <v>1</v>
      </c>
      <c r="W12">
        <v>1</v>
      </c>
      <c r="Z12">
        <v>2</v>
      </c>
      <c r="AB12">
        <v>1</v>
      </c>
      <c r="AD12">
        <v>1</v>
      </c>
      <c r="AE12">
        <v>2</v>
      </c>
    </row>
    <row r="14" spans="2:36" x14ac:dyDescent="0.15">
      <c r="C14">
        <v>4</v>
      </c>
      <c r="E14">
        <v>37</v>
      </c>
      <c r="G14">
        <v>10</v>
      </c>
      <c r="H14">
        <v>2</v>
      </c>
      <c r="I14">
        <v>19</v>
      </c>
      <c r="J14">
        <v>4</v>
      </c>
      <c r="K14">
        <v>4</v>
      </c>
      <c r="L14">
        <v>3</v>
      </c>
      <c r="Q14">
        <v>1</v>
      </c>
      <c r="U14">
        <v>2</v>
      </c>
      <c r="AC14">
        <v>2</v>
      </c>
      <c r="AF14">
        <v>1</v>
      </c>
    </row>
    <row r="16" spans="2:36" x14ac:dyDescent="0.15">
      <c r="E16">
        <v>7</v>
      </c>
      <c r="G16">
        <v>5</v>
      </c>
      <c r="H16">
        <v>1</v>
      </c>
      <c r="I16">
        <v>8</v>
      </c>
      <c r="K16">
        <v>4</v>
      </c>
      <c r="L16">
        <v>6</v>
      </c>
      <c r="Q16">
        <v>1</v>
      </c>
      <c r="AF16">
        <v>1</v>
      </c>
      <c r="AJ16">
        <v>4</v>
      </c>
    </row>
    <row r="18" spans="2:36" x14ac:dyDescent="0.15">
      <c r="G18">
        <v>3</v>
      </c>
      <c r="I18">
        <v>48</v>
      </c>
      <c r="J18">
        <v>2</v>
      </c>
      <c r="K18">
        <v>6</v>
      </c>
      <c r="U18">
        <v>3</v>
      </c>
      <c r="W18">
        <v>1</v>
      </c>
      <c r="AJ18">
        <v>5</v>
      </c>
    </row>
    <row r="19" spans="2:36" x14ac:dyDescent="0.15">
      <c r="B19">
        <v>8</v>
      </c>
      <c r="D19">
        <v>4</v>
      </c>
      <c r="F19">
        <v>4</v>
      </c>
      <c r="H19">
        <v>2</v>
      </c>
      <c r="I19">
        <v>8</v>
      </c>
      <c r="K19">
        <v>1</v>
      </c>
      <c r="AI19">
        <v>4</v>
      </c>
      <c r="AJ19">
        <v>1</v>
      </c>
    </row>
    <row r="20" spans="2:36" x14ac:dyDescent="0.15">
      <c r="B20">
        <v>1</v>
      </c>
      <c r="D20">
        <v>1</v>
      </c>
      <c r="F20">
        <v>2</v>
      </c>
      <c r="G20">
        <v>1</v>
      </c>
      <c r="I20">
        <v>1</v>
      </c>
      <c r="K20">
        <v>1</v>
      </c>
      <c r="L20">
        <v>2</v>
      </c>
      <c r="AJ20">
        <v>7</v>
      </c>
    </row>
    <row r="21" spans="2:36" x14ac:dyDescent="0.15">
      <c r="B21">
        <v>137</v>
      </c>
      <c r="D21">
        <v>26</v>
      </c>
      <c r="F21">
        <v>25</v>
      </c>
      <c r="G21">
        <v>9</v>
      </c>
      <c r="J21">
        <v>13</v>
      </c>
      <c r="K21">
        <v>4</v>
      </c>
      <c r="L21">
        <v>1</v>
      </c>
      <c r="N21">
        <v>5</v>
      </c>
      <c r="P21">
        <v>4</v>
      </c>
      <c r="R21">
        <v>2</v>
      </c>
      <c r="V21">
        <v>3</v>
      </c>
      <c r="W21">
        <v>1</v>
      </c>
    </row>
    <row r="22" spans="2:36" x14ac:dyDescent="0.15">
      <c r="B22">
        <v>2</v>
      </c>
      <c r="D22">
        <v>1</v>
      </c>
      <c r="F22">
        <v>3</v>
      </c>
      <c r="G22">
        <v>2</v>
      </c>
      <c r="H22">
        <v>2</v>
      </c>
      <c r="I22">
        <v>24</v>
      </c>
      <c r="R22">
        <v>2</v>
      </c>
      <c r="U22">
        <v>5</v>
      </c>
      <c r="AJ22">
        <v>1</v>
      </c>
    </row>
    <row r="23" spans="2:36" x14ac:dyDescent="0.15">
      <c r="B23">
        <v>2</v>
      </c>
      <c r="D23">
        <v>5</v>
      </c>
      <c r="F23">
        <v>4</v>
      </c>
      <c r="G23">
        <v>2</v>
      </c>
      <c r="I23">
        <v>5</v>
      </c>
      <c r="L23">
        <v>1</v>
      </c>
      <c r="AE23">
        <v>1</v>
      </c>
      <c r="AJ23">
        <v>2</v>
      </c>
    </row>
    <row r="24" spans="2:36" x14ac:dyDescent="0.15">
      <c r="B24">
        <v>32</v>
      </c>
      <c r="D24">
        <v>7</v>
      </c>
      <c r="F24">
        <v>3</v>
      </c>
      <c r="G24">
        <v>4</v>
      </c>
      <c r="H24">
        <v>2</v>
      </c>
      <c r="I24">
        <v>19</v>
      </c>
      <c r="K24">
        <v>3</v>
      </c>
      <c r="N24">
        <v>4</v>
      </c>
      <c r="U24">
        <v>1</v>
      </c>
      <c r="Z24">
        <v>2</v>
      </c>
      <c r="AB24">
        <v>1</v>
      </c>
      <c r="AE24">
        <v>1</v>
      </c>
      <c r="AH24">
        <v>1</v>
      </c>
    </row>
    <row r="26" spans="2:36" x14ac:dyDescent="0.15">
      <c r="C26">
        <v>2</v>
      </c>
      <c r="E26">
        <v>39</v>
      </c>
      <c r="G26">
        <v>19</v>
      </c>
      <c r="H26">
        <v>2</v>
      </c>
      <c r="I26">
        <v>22</v>
      </c>
      <c r="J26">
        <v>5</v>
      </c>
      <c r="K26">
        <v>7</v>
      </c>
      <c r="L26">
        <v>5</v>
      </c>
      <c r="Q26">
        <v>2</v>
      </c>
      <c r="U26">
        <v>5</v>
      </c>
      <c r="AC26">
        <v>3</v>
      </c>
      <c r="AE26">
        <v>4</v>
      </c>
      <c r="AI26">
        <v>1</v>
      </c>
    </row>
    <row r="28" spans="2:36" x14ac:dyDescent="0.15">
      <c r="E28">
        <v>8</v>
      </c>
      <c r="G28">
        <v>13</v>
      </c>
      <c r="I28">
        <v>4</v>
      </c>
      <c r="J28">
        <v>1</v>
      </c>
      <c r="K28">
        <v>2</v>
      </c>
      <c r="L28">
        <v>3</v>
      </c>
      <c r="AI28">
        <v>1</v>
      </c>
      <c r="AJ28">
        <v>8</v>
      </c>
    </row>
    <row r="30" spans="2:36" x14ac:dyDescent="0.15">
      <c r="H30">
        <v>2</v>
      </c>
      <c r="I30">
        <v>35</v>
      </c>
      <c r="J30">
        <v>1</v>
      </c>
      <c r="K30">
        <v>6</v>
      </c>
      <c r="L30">
        <v>1</v>
      </c>
      <c r="U30">
        <v>1</v>
      </c>
      <c r="AI30">
        <v>2</v>
      </c>
    </row>
    <row r="31" spans="2:36" x14ac:dyDescent="0.15">
      <c r="B31">
        <v>3</v>
      </c>
      <c r="H31">
        <v>3</v>
      </c>
      <c r="I31">
        <v>7</v>
      </c>
      <c r="J31">
        <v>1</v>
      </c>
    </row>
    <row r="32" spans="2:36" x14ac:dyDescent="0.15">
      <c r="B32">
        <v>2</v>
      </c>
      <c r="F32">
        <v>1</v>
      </c>
      <c r="G32">
        <v>1</v>
      </c>
      <c r="I32">
        <v>3</v>
      </c>
      <c r="L32">
        <v>2</v>
      </c>
      <c r="AJ32">
        <v>1</v>
      </c>
    </row>
    <row r="33" spans="2:36" x14ac:dyDescent="0.15">
      <c r="B33">
        <v>133</v>
      </c>
      <c r="D33">
        <v>27</v>
      </c>
      <c r="F33">
        <v>25</v>
      </c>
      <c r="G33">
        <v>8</v>
      </c>
      <c r="J33">
        <v>11</v>
      </c>
      <c r="K33">
        <v>5</v>
      </c>
      <c r="N33">
        <v>5</v>
      </c>
      <c r="P33">
        <v>3</v>
      </c>
      <c r="R33">
        <v>4</v>
      </c>
      <c r="V33">
        <v>3</v>
      </c>
      <c r="W33">
        <v>1</v>
      </c>
    </row>
    <row r="34" spans="2:36" x14ac:dyDescent="0.15">
      <c r="D34">
        <v>3</v>
      </c>
      <c r="I34">
        <v>28</v>
      </c>
      <c r="L34">
        <v>1</v>
      </c>
      <c r="U34">
        <v>3</v>
      </c>
      <c r="AG34">
        <v>1</v>
      </c>
    </row>
    <row r="35" spans="2:36" x14ac:dyDescent="0.15">
      <c r="B35">
        <v>3</v>
      </c>
      <c r="D35">
        <v>4</v>
      </c>
      <c r="F35">
        <v>1</v>
      </c>
      <c r="I35">
        <v>10</v>
      </c>
      <c r="U35">
        <v>1</v>
      </c>
      <c r="AB35">
        <v>1</v>
      </c>
    </row>
    <row r="36" spans="2:36" x14ac:dyDescent="0.15">
      <c r="B36">
        <v>17</v>
      </c>
      <c r="D36">
        <v>12</v>
      </c>
      <c r="F36">
        <v>4</v>
      </c>
      <c r="G36">
        <v>2</v>
      </c>
      <c r="H36">
        <v>1</v>
      </c>
      <c r="I36">
        <v>18</v>
      </c>
      <c r="J36">
        <v>1</v>
      </c>
      <c r="P36">
        <v>1</v>
      </c>
      <c r="Z36">
        <v>1</v>
      </c>
      <c r="AE36">
        <v>1</v>
      </c>
      <c r="AH36">
        <v>1</v>
      </c>
      <c r="AI36">
        <v>1</v>
      </c>
    </row>
    <row r="38" spans="2:36" x14ac:dyDescent="0.15">
      <c r="C38">
        <v>7</v>
      </c>
      <c r="E38">
        <v>29</v>
      </c>
      <c r="G38">
        <v>15</v>
      </c>
      <c r="H38">
        <v>2</v>
      </c>
      <c r="I38">
        <v>27</v>
      </c>
      <c r="J38">
        <v>2</v>
      </c>
      <c r="K38">
        <v>6</v>
      </c>
      <c r="L38">
        <v>5</v>
      </c>
      <c r="Q38">
        <v>1</v>
      </c>
      <c r="U38">
        <v>3</v>
      </c>
      <c r="V38">
        <v>1</v>
      </c>
      <c r="AC38">
        <v>1</v>
      </c>
      <c r="AJ38">
        <v>1</v>
      </c>
    </row>
    <row r="40" spans="2:36" x14ac:dyDescent="0.15">
      <c r="E40">
        <v>4</v>
      </c>
      <c r="G40">
        <v>10</v>
      </c>
      <c r="I40">
        <v>2</v>
      </c>
      <c r="J40">
        <v>3</v>
      </c>
      <c r="K40">
        <v>7</v>
      </c>
      <c r="L40">
        <v>2</v>
      </c>
      <c r="AE40">
        <v>1</v>
      </c>
      <c r="AG40">
        <v>1</v>
      </c>
    </row>
    <row r="42" spans="2:36" x14ac:dyDescent="0.15">
      <c r="G42">
        <v>3</v>
      </c>
      <c r="I42">
        <v>23</v>
      </c>
      <c r="J42">
        <v>1</v>
      </c>
      <c r="K42">
        <v>2</v>
      </c>
      <c r="L42">
        <v>1</v>
      </c>
      <c r="U42">
        <v>1</v>
      </c>
    </row>
    <row r="43" spans="2:36" x14ac:dyDescent="0.15">
      <c r="B43">
        <v>8</v>
      </c>
      <c r="F43">
        <v>1</v>
      </c>
      <c r="H43">
        <v>2</v>
      </c>
      <c r="I43">
        <v>7</v>
      </c>
      <c r="J43">
        <v>1</v>
      </c>
    </row>
    <row r="44" spans="2:36" x14ac:dyDescent="0.15">
      <c r="B44">
        <v>3</v>
      </c>
      <c r="F44">
        <v>4</v>
      </c>
      <c r="G44">
        <v>1</v>
      </c>
      <c r="I44">
        <v>1</v>
      </c>
      <c r="L44">
        <v>1</v>
      </c>
      <c r="AJ44">
        <v>3</v>
      </c>
    </row>
    <row r="45" spans="2:36" x14ac:dyDescent="0.15">
      <c r="B45">
        <v>147</v>
      </c>
      <c r="D45">
        <v>17</v>
      </c>
      <c r="F45">
        <v>13</v>
      </c>
      <c r="G45">
        <v>7</v>
      </c>
      <c r="J45">
        <v>11</v>
      </c>
      <c r="K45">
        <v>7</v>
      </c>
      <c r="L45">
        <v>1</v>
      </c>
      <c r="N45">
        <v>4</v>
      </c>
      <c r="P45">
        <v>5</v>
      </c>
      <c r="R45">
        <v>3</v>
      </c>
      <c r="S45">
        <v>1</v>
      </c>
      <c r="V45">
        <v>3</v>
      </c>
      <c r="W45">
        <v>3</v>
      </c>
      <c r="AD45">
        <v>1</v>
      </c>
    </row>
    <row r="46" spans="2:36" x14ac:dyDescent="0.15">
      <c r="B46">
        <v>1</v>
      </c>
      <c r="D46">
        <v>2</v>
      </c>
      <c r="G46">
        <v>1</v>
      </c>
      <c r="I46">
        <v>20</v>
      </c>
      <c r="L46">
        <v>1</v>
      </c>
      <c r="U46">
        <v>2</v>
      </c>
      <c r="AJ46">
        <v>1</v>
      </c>
    </row>
    <row r="47" spans="2:36" x14ac:dyDescent="0.15">
      <c r="B47">
        <v>5</v>
      </c>
      <c r="D47">
        <v>1</v>
      </c>
      <c r="F47">
        <v>1</v>
      </c>
      <c r="G47">
        <v>1</v>
      </c>
      <c r="I47">
        <v>9</v>
      </c>
      <c r="L47">
        <v>2</v>
      </c>
      <c r="Z47">
        <v>1</v>
      </c>
      <c r="AJ47">
        <v>1</v>
      </c>
    </row>
    <row r="48" spans="2:36" x14ac:dyDescent="0.15">
      <c r="B48">
        <v>18</v>
      </c>
      <c r="D48">
        <v>3</v>
      </c>
      <c r="F48">
        <v>4</v>
      </c>
      <c r="G48">
        <v>1</v>
      </c>
      <c r="H48">
        <v>1</v>
      </c>
      <c r="I48">
        <v>13</v>
      </c>
      <c r="K48">
        <v>4</v>
      </c>
      <c r="P48">
        <v>1</v>
      </c>
      <c r="Z48">
        <v>3</v>
      </c>
      <c r="AD48">
        <v>1</v>
      </c>
      <c r="AI48">
        <v>1</v>
      </c>
    </row>
    <row r="50" spans="2:36" x14ac:dyDescent="0.15">
      <c r="C50">
        <v>4</v>
      </c>
      <c r="E50">
        <v>29</v>
      </c>
      <c r="G50">
        <v>20</v>
      </c>
      <c r="H50">
        <v>3</v>
      </c>
      <c r="I50">
        <v>21</v>
      </c>
      <c r="J50">
        <v>3</v>
      </c>
      <c r="K50">
        <v>4</v>
      </c>
      <c r="L50">
        <v>2</v>
      </c>
      <c r="Q50">
        <v>3</v>
      </c>
      <c r="U50">
        <v>2</v>
      </c>
      <c r="AA50">
        <v>1</v>
      </c>
      <c r="AC50">
        <v>3</v>
      </c>
      <c r="AE50">
        <v>5</v>
      </c>
      <c r="AJ50">
        <v>3</v>
      </c>
    </row>
    <row r="52" spans="2:36" x14ac:dyDescent="0.15">
      <c r="E52">
        <v>6</v>
      </c>
      <c r="G52">
        <v>10</v>
      </c>
      <c r="H52">
        <v>1</v>
      </c>
      <c r="I52">
        <v>4</v>
      </c>
      <c r="J52">
        <v>1</v>
      </c>
      <c r="K52">
        <v>5</v>
      </c>
      <c r="L52">
        <v>1</v>
      </c>
      <c r="U52">
        <v>1</v>
      </c>
      <c r="X52">
        <v>1</v>
      </c>
      <c r="AJ52">
        <v>3</v>
      </c>
    </row>
    <row r="54" spans="2:36" x14ac:dyDescent="0.15">
      <c r="G54">
        <v>3</v>
      </c>
      <c r="H54">
        <v>3</v>
      </c>
      <c r="I54">
        <v>19</v>
      </c>
      <c r="J54">
        <v>2</v>
      </c>
      <c r="K54">
        <v>1</v>
      </c>
      <c r="L54">
        <v>3</v>
      </c>
      <c r="U54">
        <v>3</v>
      </c>
      <c r="X54">
        <v>1</v>
      </c>
      <c r="AJ54">
        <v>4</v>
      </c>
    </row>
    <row r="55" spans="2:36" x14ac:dyDescent="0.15">
      <c r="B55">
        <v>6</v>
      </c>
      <c r="D55">
        <v>3</v>
      </c>
      <c r="I55">
        <v>5</v>
      </c>
      <c r="K55">
        <v>1</v>
      </c>
      <c r="AB55">
        <v>1</v>
      </c>
      <c r="AI55">
        <v>1</v>
      </c>
    </row>
    <row r="56" spans="2:36" x14ac:dyDescent="0.15">
      <c r="B56">
        <v>2</v>
      </c>
      <c r="F56">
        <v>1</v>
      </c>
      <c r="G56">
        <v>1</v>
      </c>
      <c r="J56">
        <v>1</v>
      </c>
      <c r="L56">
        <v>1</v>
      </c>
      <c r="AJ56">
        <v>1</v>
      </c>
    </row>
    <row r="57" spans="2:36" x14ac:dyDescent="0.15">
      <c r="B57">
        <v>117</v>
      </c>
      <c r="D57">
        <v>19</v>
      </c>
      <c r="F57">
        <v>20</v>
      </c>
      <c r="G57">
        <v>6</v>
      </c>
      <c r="J57">
        <v>6</v>
      </c>
      <c r="K57">
        <v>5</v>
      </c>
      <c r="N57">
        <v>5</v>
      </c>
      <c r="P57">
        <v>5</v>
      </c>
      <c r="R57">
        <v>2</v>
      </c>
      <c r="V57">
        <v>4</v>
      </c>
      <c r="W57">
        <v>3</v>
      </c>
      <c r="X57">
        <v>1</v>
      </c>
      <c r="Z57">
        <v>2</v>
      </c>
    </row>
    <row r="58" spans="2:36" x14ac:dyDescent="0.15">
      <c r="D58">
        <v>2</v>
      </c>
      <c r="I58">
        <v>6</v>
      </c>
      <c r="N58">
        <v>1</v>
      </c>
      <c r="U58">
        <v>1</v>
      </c>
      <c r="AJ58">
        <v>1</v>
      </c>
    </row>
    <row r="59" spans="2:36" x14ac:dyDescent="0.15">
      <c r="B59">
        <v>8</v>
      </c>
      <c r="D59">
        <v>7</v>
      </c>
      <c r="F59">
        <v>2</v>
      </c>
      <c r="G59">
        <v>1</v>
      </c>
      <c r="I59">
        <v>11</v>
      </c>
      <c r="Z59">
        <v>2</v>
      </c>
      <c r="AJ59">
        <v>4</v>
      </c>
    </row>
    <row r="60" spans="2:36" x14ac:dyDescent="0.15">
      <c r="B60">
        <v>13</v>
      </c>
      <c r="D60">
        <v>5</v>
      </c>
      <c r="F60">
        <v>2</v>
      </c>
      <c r="G60">
        <v>1</v>
      </c>
      <c r="H60">
        <v>1</v>
      </c>
      <c r="I60">
        <v>11</v>
      </c>
      <c r="J60">
        <v>2</v>
      </c>
      <c r="K60">
        <v>2</v>
      </c>
      <c r="P60">
        <v>2</v>
      </c>
      <c r="Z60">
        <v>1</v>
      </c>
      <c r="AB60">
        <v>1</v>
      </c>
      <c r="AD60">
        <v>2</v>
      </c>
      <c r="AE60">
        <v>1</v>
      </c>
      <c r="AG60">
        <v>1</v>
      </c>
      <c r="AI60">
        <v>1</v>
      </c>
    </row>
    <row r="62" spans="2:36" x14ac:dyDescent="0.15">
      <c r="C62">
        <v>1</v>
      </c>
      <c r="E62">
        <v>27</v>
      </c>
      <c r="G62">
        <v>16</v>
      </c>
      <c r="I62">
        <v>13</v>
      </c>
      <c r="J62">
        <v>3</v>
      </c>
      <c r="K62">
        <v>8</v>
      </c>
      <c r="L62">
        <v>4</v>
      </c>
      <c r="Q62">
        <v>1</v>
      </c>
      <c r="U62">
        <v>1</v>
      </c>
      <c r="AC62">
        <v>1</v>
      </c>
      <c r="AE62">
        <v>2</v>
      </c>
      <c r="AH62">
        <v>1</v>
      </c>
      <c r="AJ62">
        <v>2</v>
      </c>
    </row>
    <row r="64" spans="2:36" x14ac:dyDescent="0.15">
      <c r="E64">
        <v>6</v>
      </c>
      <c r="G64">
        <v>8</v>
      </c>
      <c r="J64">
        <v>3</v>
      </c>
      <c r="K64">
        <v>2</v>
      </c>
      <c r="L64">
        <v>2</v>
      </c>
      <c r="AJ64">
        <v>2</v>
      </c>
    </row>
    <row r="66" spans="2:36" x14ac:dyDescent="0.15">
      <c r="G66">
        <v>4</v>
      </c>
      <c r="H66">
        <v>3</v>
      </c>
      <c r="I66">
        <v>13</v>
      </c>
      <c r="J66">
        <v>1</v>
      </c>
      <c r="K66">
        <v>2</v>
      </c>
      <c r="V66">
        <v>1</v>
      </c>
      <c r="AI66">
        <v>1</v>
      </c>
      <c r="AJ66">
        <v>3</v>
      </c>
    </row>
    <row r="67" spans="2:36" x14ac:dyDescent="0.15">
      <c r="B67">
        <v>8</v>
      </c>
      <c r="D67">
        <v>3</v>
      </c>
      <c r="F67">
        <v>1</v>
      </c>
      <c r="H67">
        <v>1</v>
      </c>
      <c r="I67">
        <v>1</v>
      </c>
      <c r="K67">
        <v>1</v>
      </c>
    </row>
    <row r="68" spans="2:36" x14ac:dyDescent="0.15">
      <c r="J68">
        <v>1</v>
      </c>
      <c r="L68">
        <v>1</v>
      </c>
      <c r="AJ68">
        <v>3</v>
      </c>
    </row>
    <row r="69" spans="2:36" x14ac:dyDescent="0.15">
      <c r="B69">
        <v>79</v>
      </c>
      <c r="D69">
        <v>21</v>
      </c>
      <c r="F69">
        <v>15</v>
      </c>
      <c r="G69">
        <v>5</v>
      </c>
      <c r="H69">
        <v>1</v>
      </c>
      <c r="J69">
        <v>6</v>
      </c>
      <c r="K69">
        <v>3</v>
      </c>
      <c r="L69">
        <v>2</v>
      </c>
      <c r="N69">
        <v>3</v>
      </c>
      <c r="P69">
        <v>5</v>
      </c>
      <c r="R69">
        <v>1</v>
      </c>
      <c r="V69">
        <v>2</v>
      </c>
      <c r="W69">
        <v>1</v>
      </c>
    </row>
    <row r="70" spans="2:36" x14ac:dyDescent="0.15">
      <c r="B70">
        <v>1</v>
      </c>
      <c r="G70">
        <v>1</v>
      </c>
      <c r="I70">
        <v>11</v>
      </c>
      <c r="U70">
        <v>1</v>
      </c>
      <c r="Z70">
        <v>1</v>
      </c>
    </row>
    <row r="71" spans="2:36" x14ac:dyDescent="0.15">
      <c r="B71">
        <v>8</v>
      </c>
      <c r="D71">
        <v>5</v>
      </c>
      <c r="F71">
        <v>3</v>
      </c>
      <c r="G71">
        <v>1</v>
      </c>
      <c r="I71">
        <v>2</v>
      </c>
      <c r="L71">
        <v>1</v>
      </c>
      <c r="Z71">
        <v>2</v>
      </c>
      <c r="AB71">
        <v>1</v>
      </c>
    </row>
    <row r="72" spans="2:36" x14ac:dyDescent="0.15">
      <c r="B72">
        <v>12</v>
      </c>
      <c r="D72">
        <v>3</v>
      </c>
      <c r="F72">
        <v>1</v>
      </c>
      <c r="G72">
        <v>1</v>
      </c>
      <c r="I72">
        <v>5</v>
      </c>
      <c r="J72">
        <v>2</v>
      </c>
      <c r="K72">
        <v>2</v>
      </c>
      <c r="N72">
        <v>2</v>
      </c>
      <c r="Z72">
        <v>4</v>
      </c>
      <c r="AB72">
        <v>2</v>
      </c>
      <c r="AE72">
        <v>1</v>
      </c>
      <c r="AH72">
        <v>1</v>
      </c>
    </row>
    <row r="74" spans="2:36" x14ac:dyDescent="0.15">
      <c r="C74">
        <v>2</v>
      </c>
      <c r="E74">
        <v>19</v>
      </c>
      <c r="G74">
        <v>11</v>
      </c>
      <c r="H74">
        <v>1</v>
      </c>
      <c r="I74">
        <v>11</v>
      </c>
      <c r="J74">
        <v>2</v>
      </c>
      <c r="K74">
        <v>4</v>
      </c>
      <c r="L74">
        <v>1</v>
      </c>
      <c r="Q74">
        <v>1</v>
      </c>
      <c r="AE74">
        <v>4</v>
      </c>
      <c r="AI74">
        <v>1</v>
      </c>
      <c r="AJ74">
        <v>4</v>
      </c>
    </row>
    <row r="76" spans="2:36" x14ac:dyDescent="0.15">
      <c r="E76">
        <v>4</v>
      </c>
      <c r="G76">
        <v>5</v>
      </c>
      <c r="I76">
        <v>1</v>
      </c>
      <c r="K76">
        <v>3</v>
      </c>
      <c r="X76">
        <v>2</v>
      </c>
      <c r="AH76">
        <v>1</v>
      </c>
      <c r="AJ76">
        <v>6</v>
      </c>
    </row>
    <row r="78" spans="2:36" x14ac:dyDescent="0.15">
      <c r="H78">
        <v>4</v>
      </c>
      <c r="I78">
        <v>8</v>
      </c>
      <c r="J78">
        <v>1</v>
      </c>
      <c r="K78">
        <v>3</v>
      </c>
      <c r="L78">
        <v>1</v>
      </c>
      <c r="U78">
        <v>1</v>
      </c>
      <c r="AG78">
        <v>1</v>
      </c>
      <c r="AJ78">
        <v>1</v>
      </c>
    </row>
    <row r="79" spans="2:36" x14ac:dyDescent="0.15">
      <c r="B79">
        <v>3</v>
      </c>
      <c r="D79">
        <v>1</v>
      </c>
      <c r="F79">
        <v>1</v>
      </c>
      <c r="I79">
        <v>3</v>
      </c>
      <c r="J79">
        <v>1</v>
      </c>
      <c r="K79">
        <v>2</v>
      </c>
      <c r="L79">
        <v>1</v>
      </c>
      <c r="AI79">
        <v>1</v>
      </c>
      <c r="AJ79">
        <v>1</v>
      </c>
    </row>
    <row r="80" spans="2:36" x14ac:dyDescent="0.15">
      <c r="F80">
        <v>2</v>
      </c>
    </row>
    <row r="81" spans="2:36" x14ac:dyDescent="0.15">
      <c r="B81">
        <v>104</v>
      </c>
      <c r="D81">
        <v>29</v>
      </c>
      <c r="F81">
        <v>15</v>
      </c>
      <c r="G81">
        <v>2</v>
      </c>
      <c r="H81">
        <v>1</v>
      </c>
      <c r="J81">
        <v>9</v>
      </c>
      <c r="K81">
        <v>3</v>
      </c>
      <c r="L81">
        <v>2</v>
      </c>
      <c r="N81">
        <v>3</v>
      </c>
      <c r="P81">
        <v>5</v>
      </c>
      <c r="R81">
        <v>1</v>
      </c>
      <c r="V81">
        <v>2</v>
      </c>
      <c r="AJ81">
        <v>1</v>
      </c>
    </row>
    <row r="82" spans="2:36" x14ac:dyDescent="0.15">
      <c r="B82">
        <v>1</v>
      </c>
      <c r="I82">
        <v>9</v>
      </c>
      <c r="U82">
        <v>2</v>
      </c>
    </row>
    <row r="83" spans="2:36" x14ac:dyDescent="0.15">
      <c r="B83">
        <v>4</v>
      </c>
      <c r="D83">
        <v>2</v>
      </c>
      <c r="F83">
        <v>2</v>
      </c>
      <c r="I83">
        <v>2</v>
      </c>
      <c r="N83">
        <v>1</v>
      </c>
    </row>
    <row r="84" spans="2:36" x14ac:dyDescent="0.15">
      <c r="B84">
        <v>14</v>
      </c>
      <c r="D84">
        <v>6</v>
      </c>
      <c r="F84">
        <v>2</v>
      </c>
      <c r="I84">
        <v>3</v>
      </c>
      <c r="J84">
        <v>1</v>
      </c>
      <c r="N84">
        <v>1</v>
      </c>
      <c r="P84">
        <v>1</v>
      </c>
      <c r="U84">
        <v>1</v>
      </c>
      <c r="Z84">
        <v>3</v>
      </c>
      <c r="AB84">
        <v>1</v>
      </c>
      <c r="AD84">
        <v>1</v>
      </c>
      <c r="AE84">
        <v>1</v>
      </c>
      <c r="AG84">
        <v>1</v>
      </c>
    </row>
    <row r="86" spans="2:36" x14ac:dyDescent="0.15">
      <c r="C86">
        <v>1</v>
      </c>
      <c r="E86">
        <v>19</v>
      </c>
      <c r="G86">
        <v>11</v>
      </c>
      <c r="I86">
        <v>12</v>
      </c>
      <c r="J86">
        <v>4</v>
      </c>
      <c r="K86">
        <v>2</v>
      </c>
      <c r="Q86">
        <v>1</v>
      </c>
      <c r="S86">
        <v>1</v>
      </c>
      <c r="AC86">
        <v>1</v>
      </c>
      <c r="AE86">
        <v>1</v>
      </c>
      <c r="AI86">
        <v>1</v>
      </c>
      <c r="AJ86">
        <v>3</v>
      </c>
    </row>
    <row r="88" spans="2:36" x14ac:dyDescent="0.15">
      <c r="E88">
        <v>2</v>
      </c>
      <c r="G88">
        <v>7</v>
      </c>
      <c r="I88">
        <v>3</v>
      </c>
      <c r="J88">
        <v>3</v>
      </c>
      <c r="K88">
        <v>3</v>
      </c>
      <c r="L88">
        <v>2</v>
      </c>
      <c r="V88">
        <v>1</v>
      </c>
      <c r="X88">
        <v>1</v>
      </c>
      <c r="AJ88">
        <v>5</v>
      </c>
    </row>
    <row r="90" spans="2:36" x14ac:dyDescent="0.15">
      <c r="H90">
        <v>3</v>
      </c>
      <c r="I90">
        <v>13</v>
      </c>
      <c r="J90">
        <v>1</v>
      </c>
      <c r="K90">
        <v>2</v>
      </c>
      <c r="L90">
        <v>2</v>
      </c>
      <c r="U90">
        <v>1</v>
      </c>
      <c r="AJ90">
        <v>1</v>
      </c>
    </row>
    <row r="91" spans="2:36" x14ac:dyDescent="0.15">
      <c r="D91">
        <v>1</v>
      </c>
      <c r="I91">
        <v>3</v>
      </c>
      <c r="L91">
        <v>1</v>
      </c>
      <c r="Z91">
        <v>1</v>
      </c>
      <c r="AI91">
        <v>1</v>
      </c>
    </row>
    <row r="92" spans="2:36" x14ac:dyDescent="0.15">
      <c r="B92">
        <v>2</v>
      </c>
      <c r="D92">
        <v>2</v>
      </c>
      <c r="AJ92">
        <v>4</v>
      </c>
    </row>
    <row r="93" spans="2:36" x14ac:dyDescent="0.15">
      <c r="B93">
        <v>63</v>
      </c>
      <c r="D93">
        <v>22</v>
      </c>
      <c r="F93">
        <v>9</v>
      </c>
      <c r="G93">
        <v>1</v>
      </c>
      <c r="J93">
        <v>6</v>
      </c>
      <c r="K93">
        <v>3</v>
      </c>
      <c r="N93">
        <v>3</v>
      </c>
      <c r="P93">
        <v>3</v>
      </c>
      <c r="V93">
        <v>2</v>
      </c>
    </row>
    <row r="94" spans="2:36" x14ac:dyDescent="0.15">
      <c r="D94">
        <v>1</v>
      </c>
      <c r="I94">
        <v>8</v>
      </c>
      <c r="U94">
        <v>3</v>
      </c>
      <c r="AJ94">
        <v>1</v>
      </c>
    </row>
    <row r="95" spans="2:36" x14ac:dyDescent="0.15">
      <c r="B95">
        <v>4</v>
      </c>
      <c r="D95">
        <v>3</v>
      </c>
      <c r="G95">
        <v>1</v>
      </c>
      <c r="I95">
        <v>4</v>
      </c>
      <c r="U95">
        <v>1</v>
      </c>
      <c r="Z95">
        <v>1</v>
      </c>
      <c r="AB95">
        <v>1</v>
      </c>
      <c r="AD95">
        <v>1</v>
      </c>
      <c r="AJ95">
        <v>3</v>
      </c>
    </row>
    <row r="96" spans="2:36" x14ac:dyDescent="0.15">
      <c r="B96">
        <v>16</v>
      </c>
      <c r="D96">
        <v>4</v>
      </c>
      <c r="F96">
        <v>1</v>
      </c>
      <c r="H96">
        <v>2</v>
      </c>
      <c r="I96">
        <v>9</v>
      </c>
      <c r="J96">
        <v>1</v>
      </c>
      <c r="K96">
        <v>2</v>
      </c>
      <c r="N96">
        <v>1</v>
      </c>
      <c r="T96">
        <v>1</v>
      </c>
      <c r="AB96">
        <v>1</v>
      </c>
      <c r="AD96">
        <v>1</v>
      </c>
    </row>
    <row r="98" spans="2:36" x14ac:dyDescent="0.15">
      <c r="C98">
        <v>5</v>
      </c>
      <c r="E98">
        <v>17</v>
      </c>
      <c r="G98">
        <v>13</v>
      </c>
      <c r="I98">
        <v>10</v>
      </c>
      <c r="J98">
        <v>2</v>
      </c>
      <c r="K98">
        <v>2</v>
      </c>
      <c r="AC98">
        <v>2</v>
      </c>
      <c r="AE98">
        <v>5</v>
      </c>
      <c r="AJ98">
        <v>4</v>
      </c>
    </row>
    <row r="100" spans="2:36" x14ac:dyDescent="0.15">
      <c r="E100">
        <v>2</v>
      </c>
      <c r="G100">
        <v>8</v>
      </c>
      <c r="I100">
        <v>5</v>
      </c>
      <c r="L100">
        <v>1</v>
      </c>
      <c r="AE100">
        <v>1</v>
      </c>
      <c r="AJ100">
        <v>4</v>
      </c>
    </row>
    <row r="102" spans="2:36" x14ac:dyDescent="0.15">
      <c r="G102">
        <v>1</v>
      </c>
      <c r="H102">
        <v>1</v>
      </c>
      <c r="I102">
        <v>6</v>
      </c>
      <c r="U102">
        <v>1</v>
      </c>
      <c r="AG102">
        <v>1</v>
      </c>
      <c r="AJ102">
        <v>1</v>
      </c>
    </row>
    <row r="103" spans="2:36" x14ac:dyDescent="0.15">
      <c r="B103">
        <v>6</v>
      </c>
      <c r="D103">
        <v>1</v>
      </c>
      <c r="H103">
        <v>2</v>
      </c>
      <c r="L103">
        <v>2</v>
      </c>
    </row>
    <row r="104" spans="2:36" x14ac:dyDescent="0.15">
      <c r="F104">
        <v>1</v>
      </c>
      <c r="AJ104">
        <v>1</v>
      </c>
    </row>
    <row r="105" spans="2:36" x14ac:dyDescent="0.15">
      <c r="B105">
        <v>35</v>
      </c>
      <c r="D105">
        <v>5</v>
      </c>
      <c r="F105">
        <v>7</v>
      </c>
      <c r="G105">
        <v>3</v>
      </c>
      <c r="J105">
        <v>4</v>
      </c>
      <c r="K105">
        <v>1</v>
      </c>
      <c r="N105">
        <v>3</v>
      </c>
      <c r="P105">
        <v>1</v>
      </c>
      <c r="V105">
        <v>3</v>
      </c>
    </row>
    <row r="106" spans="2:36" x14ac:dyDescent="0.15">
      <c r="B106">
        <v>1</v>
      </c>
      <c r="I106">
        <v>4</v>
      </c>
      <c r="P106">
        <v>1</v>
      </c>
      <c r="U106">
        <v>3</v>
      </c>
      <c r="AG106">
        <v>1</v>
      </c>
    </row>
    <row r="107" spans="2:36" x14ac:dyDescent="0.15">
      <c r="B107">
        <v>7</v>
      </c>
      <c r="D107">
        <v>1</v>
      </c>
      <c r="F107">
        <v>1</v>
      </c>
      <c r="G107">
        <v>1</v>
      </c>
      <c r="H107">
        <v>1</v>
      </c>
      <c r="I107">
        <v>3</v>
      </c>
      <c r="Z107">
        <v>1</v>
      </c>
      <c r="AB107">
        <v>1</v>
      </c>
      <c r="AJ107">
        <v>1</v>
      </c>
    </row>
    <row r="108" spans="2:36" x14ac:dyDescent="0.15">
      <c r="B108">
        <v>12</v>
      </c>
      <c r="D108">
        <v>6</v>
      </c>
      <c r="F108">
        <v>1</v>
      </c>
      <c r="G108">
        <v>1</v>
      </c>
      <c r="H108">
        <v>1</v>
      </c>
      <c r="I108">
        <v>4</v>
      </c>
      <c r="K108">
        <v>7</v>
      </c>
      <c r="N108">
        <v>3</v>
      </c>
    </row>
    <row r="110" spans="2:36" x14ac:dyDescent="0.15">
      <c r="C110">
        <v>3</v>
      </c>
      <c r="E110">
        <v>20</v>
      </c>
      <c r="G110">
        <v>10</v>
      </c>
      <c r="H110">
        <v>2</v>
      </c>
      <c r="I110">
        <v>5</v>
      </c>
      <c r="J110">
        <v>1</v>
      </c>
      <c r="K110">
        <v>4</v>
      </c>
      <c r="L110">
        <v>2</v>
      </c>
      <c r="AC110">
        <v>1</v>
      </c>
      <c r="AJ110">
        <v>1</v>
      </c>
    </row>
    <row r="112" spans="2:36" x14ac:dyDescent="0.15">
      <c r="E112">
        <v>4</v>
      </c>
      <c r="G112">
        <v>10</v>
      </c>
      <c r="I112">
        <v>1</v>
      </c>
      <c r="K112">
        <v>4</v>
      </c>
      <c r="L112">
        <v>3</v>
      </c>
      <c r="AJ112">
        <v>4</v>
      </c>
    </row>
    <row r="114" spans="2:36" x14ac:dyDescent="0.15">
      <c r="G114">
        <v>2</v>
      </c>
      <c r="H114">
        <v>3</v>
      </c>
      <c r="I114">
        <v>5</v>
      </c>
      <c r="J114">
        <v>1</v>
      </c>
      <c r="L114">
        <v>2</v>
      </c>
      <c r="AI114">
        <v>1</v>
      </c>
      <c r="AJ114">
        <v>2</v>
      </c>
    </row>
    <row r="115" spans="2:36" x14ac:dyDescent="0.15">
      <c r="B115">
        <v>3</v>
      </c>
      <c r="H115">
        <v>1</v>
      </c>
      <c r="I115">
        <v>1</v>
      </c>
      <c r="L115">
        <v>1</v>
      </c>
      <c r="Z115">
        <v>1</v>
      </c>
      <c r="AJ115">
        <v>1</v>
      </c>
    </row>
    <row r="116" spans="2:36" x14ac:dyDescent="0.15">
      <c r="D116">
        <v>4</v>
      </c>
      <c r="F116">
        <v>1</v>
      </c>
      <c r="L116">
        <v>1</v>
      </c>
      <c r="AJ116">
        <v>1</v>
      </c>
    </row>
    <row r="117" spans="2:36" x14ac:dyDescent="0.15">
      <c r="B117">
        <v>25</v>
      </c>
      <c r="D117">
        <v>5</v>
      </c>
      <c r="F117">
        <v>4</v>
      </c>
      <c r="G117">
        <v>3</v>
      </c>
      <c r="J117">
        <v>9</v>
      </c>
      <c r="K117">
        <v>1</v>
      </c>
      <c r="L117">
        <v>1</v>
      </c>
      <c r="N117">
        <v>1</v>
      </c>
      <c r="P117">
        <v>3</v>
      </c>
      <c r="V117">
        <v>4</v>
      </c>
      <c r="Z117">
        <v>1</v>
      </c>
      <c r="AD117">
        <v>1</v>
      </c>
    </row>
    <row r="118" spans="2:36" x14ac:dyDescent="0.15">
      <c r="D118">
        <v>4</v>
      </c>
      <c r="F118">
        <v>1</v>
      </c>
      <c r="G118">
        <v>1</v>
      </c>
      <c r="I118">
        <v>4</v>
      </c>
      <c r="U118">
        <v>1</v>
      </c>
      <c r="AG118">
        <v>1</v>
      </c>
    </row>
    <row r="119" spans="2:36" x14ac:dyDescent="0.15">
      <c r="B119">
        <v>1</v>
      </c>
      <c r="F119">
        <v>2</v>
      </c>
      <c r="G119">
        <v>1</v>
      </c>
      <c r="L119">
        <v>1</v>
      </c>
      <c r="Z119">
        <v>2</v>
      </c>
      <c r="AD119">
        <v>1</v>
      </c>
      <c r="AJ119">
        <v>1</v>
      </c>
    </row>
    <row r="120" spans="2:36" x14ac:dyDescent="0.15">
      <c r="B120">
        <v>7</v>
      </c>
      <c r="D120">
        <v>4</v>
      </c>
      <c r="F120">
        <v>2</v>
      </c>
      <c r="I120">
        <v>3</v>
      </c>
      <c r="J120">
        <v>2</v>
      </c>
      <c r="K120">
        <v>6</v>
      </c>
      <c r="T120">
        <v>1</v>
      </c>
      <c r="Z120">
        <v>1</v>
      </c>
      <c r="AB120">
        <v>1</v>
      </c>
      <c r="AE120">
        <v>1</v>
      </c>
      <c r="AI120">
        <v>1</v>
      </c>
    </row>
    <row r="122" spans="2:36" x14ac:dyDescent="0.15">
      <c r="C122">
        <v>4</v>
      </c>
      <c r="E122">
        <v>22</v>
      </c>
      <c r="G122">
        <v>14</v>
      </c>
      <c r="H122">
        <v>2</v>
      </c>
      <c r="I122">
        <v>8</v>
      </c>
      <c r="J122">
        <v>1</v>
      </c>
      <c r="K122">
        <v>6</v>
      </c>
      <c r="L122">
        <v>2</v>
      </c>
      <c r="AE122">
        <v>2</v>
      </c>
      <c r="AI122">
        <v>1</v>
      </c>
      <c r="AJ122">
        <v>1</v>
      </c>
    </row>
    <row r="124" spans="2:36" x14ac:dyDescent="0.15">
      <c r="E124">
        <v>3</v>
      </c>
      <c r="G124">
        <v>9</v>
      </c>
      <c r="I124">
        <v>1</v>
      </c>
      <c r="J124">
        <v>1</v>
      </c>
      <c r="K124">
        <v>3</v>
      </c>
      <c r="L124">
        <v>6</v>
      </c>
      <c r="AJ124">
        <v>2</v>
      </c>
    </row>
    <row r="126" spans="2:36" x14ac:dyDescent="0.15">
      <c r="G126">
        <v>3</v>
      </c>
      <c r="H126">
        <v>1</v>
      </c>
      <c r="I126">
        <v>1</v>
      </c>
      <c r="J126">
        <v>3</v>
      </c>
      <c r="K126">
        <v>3</v>
      </c>
      <c r="L126">
        <v>4</v>
      </c>
      <c r="AI126">
        <v>1</v>
      </c>
      <c r="AJ126">
        <v>1</v>
      </c>
    </row>
    <row r="127" spans="2:36" x14ac:dyDescent="0.15">
      <c r="B127">
        <v>2</v>
      </c>
      <c r="AJ127">
        <v>1</v>
      </c>
    </row>
    <row r="128" spans="2:36" x14ac:dyDescent="0.15">
      <c r="F128">
        <v>2</v>
      </c>
      <c r="G128">
        <v>1</v>
      </c>
      <c r="L128">
        <v>1</v>
      </c>
      <c r="AJ128">
        <v>2</v>
      </c>
    </row>
    <row r="129" spans="2:36" x14ac:dyDescent="0.15">
      <c r="B129">
        <v>19</v>
      </c>
      <c r="D129">
        <v>4</v>
      </c>
      <c r="F129">
        <v>5</v>
      </c>
      <c r="G129">
        <v>1</v>
      </c>
      <c r="J129">
        <v>5</v>
      </c>
      <c r="K129">
        <v>1</v>
      </c>
      <c r="W129">
        <v>1</v>
      </c>
    </row>
    <row r="131" spans="2:36" x14ac:dyDescent="0.15">
      <c r="B131">
        <v>5</v>
      </c>
      <c r="D131">
        <v>5</v>
      </c>
      <c r="F131">
        <v>1</v>
      </c>
      <c r="I131">
        <v>3</v>
      </c>
      <c r="AJ131">
        <v>6</v>
      </c>
    </row>
    <row r="132" spans="2:36" x14ac:dyDescent="0.15">
      <c r="B132">
        <v>7</v>
      </c>
      <c r="D132">
        <v>2</v>
      </c>
      <c r="F132">
        <v>1</v>
      </c>
      <c r="I132">
        <v>3</v>
      </c>
      <c r="K132">
        <v>3</v>
      </c>
      <c r="N132">
        <v>3</v>
      </c>
      <c r="U132">
        <v>1</v>
      </c>
      <c r="Z132">
        <v>4</v>
      </c>
      <c r="AD132">
        <v>2</v>
      </c>
    </row>
    <row r="134" spans="2:36" x14ac:dyDescent="0.15">
      <c r="C134">
        <v>4</v>
      </c>
      <c r="E134">
        <v>15</v>
      </c>
      <c r="G134">
        <v>18</v>
      </c>
      <c r="H134">
        <v>4</v>
      </c>
      <c r="I134">
        <v>6</v>
      </c>
      <c r="J134">
        <v>3</v>
      </c>
      <c r="K134">
        <v>8</v>
      </c>
      <c r="U134">
        <v>2</v>
      </c>
    </row>
    <row r="136" spans="2:36" x14ac:dyDescent="0.15">
      <c r="E136">
        <v>2</v>
      </c>
      <c r="G136">
        <v>5</v>
      </c>
      <c r="J136">
        <v>1</v>
      </c>
      <c r="K136">
        <v>1</v>
      </c>
      <c r="L136">
        <v>1</v>
      </c>
      <c r="T136">
        <v>1</v>
      </c>
      <c r="AJ136">
        <v>2</v>
      </c>
    </row>
    <row r="138" spans="2:36" x14ac:dyDescent="0.15">
      <c r="G138">
        <v>3</v>
      </c>
      <c r="H138">
        <v>4</v>
      </c>
      <c r="I138">
        <v>4</v>
      </c>
      <c r="J138">
        <v>2</v>
      </c>
      <c r="K138">
        <v>3</v>
      </c>
      <c r="U138">
        <v>1</v>
      </c>
      <c r="AJ138">
        <v>2</v>
      </c>
    </row>
    <row r="139" spans="2:36" x14ac:dyDescent="0.15">
      <c r="B139">
        <v>1</v>
      </c>
      <c r="Z139">
        <v>1</v>
      </c>
    </row>
    <row r="140" spans="2:36" x14ac:dyDescent="0.15">
      <c r="F140">
        <v>2</v>
      </c>
      <c r="AD140">
        <v>1</v>
      </c>
    </row>
    <row r="141" spans="2:36" x14ac:dyDescent="0.15">
      <c r="B141">
        <v>16</v>
      </c>
      <c r="D141">
        <v>3</v>
      </c>
      <c r="F141">
        <v>6</v>
      </c>
      <c r="G141">
        <v>3</v>
      </c>
      <c r="J141">
        <v>7</v>
      </c>
      <c r="K141">
        <v>2</v>
      </c>
      <c r="N141">
        <v>1</v>
      </c>
      <c r="P141">
        <v>1</v>
      </c>
      <c r="R141">
        <v>1</v>
      </c>
      <c r="V141">
        <v>1</v>
      </c>
      <c r="Z141">
        <v>1</v>
      </c>
    </row>
    <row r="142" spans="2:36" x14ac:dyDescent="0.15">
      <c r="I142">
        <v>2</v>
      </c>
      <c r="U142">
        <v>1</v>
      </c>
    </row>
    <row r="143" spans="2:36" x14ac:dyDescent="0.15">
      <c r="B143">
        <v>2</v>
      </c>
      <c r="F143">
        <v>2</v>
      </c>
      <c r="I143">
        <v>3</v>
      </c>
      <c r="L143">
        <v>1</v>
      </c>
      <c r="R143">
        <v>1</v>
      </c>
      <c r="Z143">
        <v>5</v>
      </c>
      <c r="AD143">
        <v>2</v>
      </c>
      <c r="AJ143">
        <v>1</v>
      </c>
    </row>
    <row r="144" spans="2:36" x14ac:dyDescent="0.15">
      <c r="B144">
        <v>8</v>
      </c>
      <c r="F144">
        <v>1</v>
      </c>
      <c r="G144">
        <v>1</v>
      </c>
      <c r="I144">
        <v>5</v>
      </c>
      <c r="K144">
        <v>1</v>
      </c>
      <c r="N144">
        <v>1</v>
      </c>
      <c r="U144">
        <v>1</v>
      </c>
      <c r="Z144">
        <v>2</v>
      </c>
      <c r="AH144">
        <v>1</v>
      </c>
    </row>
    <row r="146" spans="2:36" x14ac:dyDescent="0.15">
      <c r="C146">
        <v>4</v>
      </c>
      <c r="E146">
        <v>15</v>
      </c>
      <c r="G146">
        <v>11</v>
      </c>
      <c r="H146">
        <v>2</v>
      </c>
      <c r="I146">
        <v>8</v>
      </c>
      <c r="J146">
        <v>3</v>
      </c>
      <c r="K146">
        <v>4</v>
      </c>
      <c r="Q146">
        <v>1</v>
      </c>
      <c r="AJ146">
        <v>1</v>
      </c>
    </row>
    <row r="148" spans="2:36" x14ac:dyDescent="0.15">
      <c r="E148">
        <v>6</v>
      </c>
      <c r="G148">
        <v>10</v>
      </c>
      <c r="I148">
        <v>1</v>
      </c>
      <c r="J148">
        <v>1</v>
      </c>
      <c r="K148">
        <v>1</v>
      </c>
      <c r="L148">
        <v>1</v>
      </c>
      <c r="AJ148">
        <v>7</v>
      </c>
    </row>
    <row r="150" spans="2:36" x14ac:dyDescent="0.15">
      <c r="G150">
        <v>1</v>
      </c>
      <c r="H150">
        <v>2</v>
      </c>
      <c r="I150">
        <v>4</v>
      </c>
      <c r="J150">
        <v>1</v>
      </c>
      <c r="K150">
        <v>3</v>
      </c>
      <c r="L150">
        <v>2</v>
      </c>
      <c r="X150">
        <v>1</v>
      </c>
      <c r="AJ150">
        <v>1</v>
      </c>
    </row>
    <row r="151" spans="2:36" x14ac:dyDescent="0.15">
      <c r="B151">
        <v>1</v>
      </c>
      <c r="D151">
        <v>1</v>
      </c>
      <c r="I151">
        <v>2</v>
      </c>
      <c r="Z151">
        <v>1</v>
      </c>
    </row>
    <row r="152" spans="2:36" x14ac:dyDescent="0.15">
      <c r="F152">
        <v>1</v>
      </c>
      <c r="I152">
        <v>2</v>
      </c>
      <c r="Z152">
        <v>1</v>
      </c>
      <c r="AD152">
        <v>1</v>
      </c>
      <c r="AJ152">
        <v>1</v>
      </c>
    </row>
    <row r="153" spans="2:36" x14ac:dyDescent="0.15">
      <c r="B153">
        <v>18</v>
      </c>
      <c r="D153">
        <v>7</v>
      </c>
      <c r="F153">
        <v>8</v>
      </c>
      <c r="H153">
        <v>1</v>
      </c>
      <c r="J153">
        <v>2</v>
      </c>
      <c r="K153">
        <v>1</v>
      </c>
      <c r="R153">
        <v>1</v>
      </c>
      <c r="V153">
        <v>1</v>
      </c>
      <c r="AB153">
        <v>2</v>
      </c>
    </row>
    <row r="154" spans="2:36" x14ac:dyDescent="0.15">
      <c r="B154">
        <v>1</v>
      </c>
      <c r="F154">
        <v>1</v>
      </c>
      <c r="I154">
        <v>1</v>
      </c>
    </row>
    <row r="155" spans="2:36" x14ac:dyDescent="0.15">
      <c r="B155">
        <v>3</v>
      </c>
      <c r="D155">
        <v>1</v>
      </c>
      <c r="I155">
        <v>2</v>
      </c>
      <c r="Z155">
        <v>3</v>
      </c>
      <c r="AD155">
        <v>1</v>
      </c>
      <c r="AE155">
        <v>1</v>
      </c>
      <c r="AJ155">
        <v>3</v>
      </c>
    </row>
    <row r="156" spans="2:36" x14ac:dyDescent="0.15">
      <c r="B156">
        <v>10</v>
      </c>
      <c r="D156">
        <v>2</v>
      </c>
      <c r="F156">
        <v>2</v>
      </c>
      <c r="I156">
        <v>7</v>
      </c>
      <c r="K156">
        <v>1</v>
      </c>
      <c r="N156">
        <v>1</v>
      </c>
      <c r="Z156">
        <v>2</v>
      </c>
      <c r="AB156">
        <v>1</v>
      </c>
      <c r="AD156">
        <v>1</v>
      </c>
      <c r="AE156">
        <v>1</v>
      </c>
      <c r="AI156">
        <v>1</v>
      </c>
    </row>
    <row r="158" spans="2:36" x14ac:dyDescent="0.15">
      <c r="C158">
        <v>1</v>
      </c>
      <c r="E158">
        <v>14</v>
      </c>
      <c r="G158">
        <v>9</v>
      </c>
      <c r="H158">
        <v>2</v>
      </c>
      <c r="I158">
        <v>5</v>
      </c>
      <c r="J158">
        <v>1</v>
      </c>
      <c r="K158">
        <v>6</v>
      </c>
      <c r="Q158">
        <v>1</v>
      </c>
      <c r="AE158">
        <v>2</v>
      </c>
      <c r="AI158">
        <v>1</v>
      </c>
      <c r="AJ158">
        <v>2</v>
      </c>
    </row>
    <row r="160" spans="2:36" x14ac:dyDescent="0.15">
      <c r="G160">
        <v>4</v>
      </c>
      <c r="K160">
        <v>2</v>
      </c>
      <c r="L160">
        <v>2</v>
      </c>
      <c r="AJ160">
        <v>1</v>
      </c>
    </row>
    <row r="162" spans="2:36" x14ac:dyDescent="0.15">
      <c r="H162">
        <v>4</v>
      </c>
      <c r="I162">
        <v>3</v>
      </c>
      <c r="J162">
        <v>2</v>
      </c>
      <c r="K162">
        <v>3</v>
      </c>
      <c r="L162">
        <v>1</v>
      </c>
      <c r="AG162">
        <v>1</v>
      </c>
    </row>
    <row r="163" spans="2:36" x14ac:dyDescent="0.15">
      <c r="D163">
        <v>1</v>
      </c>
      <c r="H163">
        <v>1</v>
      </c>
      <c r="K163">
        <v>2</v>
      </c>
      <c r="N163">
        <v>1</v>
      </c>
      <c r="AJ163">
        <v>1</v>
      </c>
    </row>
    <row r="164" spans="2:36" x14ac:dyDescent="0.15">
      <c r="F164">
        <v>1</v>
      </c>
      <c r="G164">
        <v>1</v>
      </c>
      <c r="AB164">
        <v>1</v>
      </c>
      <c r="AJ164">
        <v>1</v>
      </c>
    </row>
    <row r="165" spans="2:36" x14ac:dyDescent="0.15">
      <c r="B165">
        <v>8</v>
      </c>
      <c r="D165">
        <v>2</v>
      </c>
      <c r="F165">
        <v>2</v>
      </c>
      <c r="G165">
        <v>3</v>
      </c>
      <c r="H165">
        <v>1</v>
      </c>
      <c r="J165">
        <v>7</v>
      </c>
      <c r="K165">
        <v>1</v>
      </c>
      <c r="P165">
        <v>2</v>
      </c>
      <c r="R165">
        <v>1</v>
      </c>
      <c r="AB165">
        <v>1</v>
      </c>
      <c r="AJ165">
        <v>1</v>
      </c>
    </row>
    <row r="166" spans="2:36" x14ac:dyDescent="0.15">
      <c r="I166">
        <v>2</v>
      </c>
    </row>
    <row r="167" spans="2:36" x14ac:dyDescent="0.15">
      <c r="B167">
        <v>3</v>
      </c>
      <c r="D167">
        <v>1</v>
      </c>
      <c r="Z167">
        <v>4</v>
      </c>
    </row>
    <row r="168" spans="2:36" x14ac:dyDescent="0.15">
      <c r="B168">
        <v>4</v>
      </c>
      <c r="D168">
        <v>1</v>
      </c>
      <c r="F168">
        <v>1</v>
      </c>
      <c r="G168">
        <v>2</v>
      </c>
      <c r="I168">
        <v>4</v>
      </c>
      <c r="J168">
        <v>1</v>
      </c>
      <c r="N168">
        <v>3</v>
      </c>
      <c r="U168">
        <v>1</v>
      </c>
      <c r="Z168">
        <v>3</v>
      </c>
      <c r="AB168">
        <v>4</v>
      </c>
      <c r="AE168">
        <v>1</v>
      </c>
      <c r="AG168">
        <v>1</v>
      </c>
    </row>
    <row r="170" spans="2:36" x14ac:dyDescent="0.15">
      <c r="E170">
        <v>11</v>
      </c>
      <c r="G170">
        <v>6</v>
      </c>
      <c r="I170">
        <v>16</v>
      </c>
      <c r="K170">
        <v>3</v>
      </c>
      <c r="L170">
        <v>1</v>
      </c>
      <c r="Q170">
        <v>1</v>
      </c>
      <c r="T170">
        <v>1</v>
      </c>
      <c r="U170">
        <v>2</v>
      </c>
      <c r="X170">
        <v>1</v>
      </c>
      <c r="AC170">
        <v>1</v>
      </c>
      <c r="AJ170">
        <v>3</v>
      </c>
    </row>
    <row r="172" spans="2:36" x14ac:dyDescent="0.15">
      <c r="E172">
        <v>1</v>
      </c>
      <c r="G172">
        <v>4</v>
      </c>
      <c r="I172">
        <v>2</v>
      </c>
      <c r="J172">
        <v>1</v>
      </c>
      <c r="K172">
        <v>1</v>
      </c>
      <c r="L172">
        <v>1</v>
      </c>
      <c r="X172">
        <v>1</v>
      </c>
      <c r="AJ172">
        <v>2</v>
      </c>
    </row>
    <row r="174" spans="2:36" x14ac:dyDescent="0.15">
      <c r="G174">
        <v>2</v>
      </c>
      <c r="H174">
        <v>3</v>
      </c>
      <c r="I174">
        <v>2</v>
      </c>
      <c r="K174">
        <v>1</v>
      </c>
      <c r="U174">
        <v>2</v>
      </c>
      <c r="AJ174">
        <v>1</v>
      </c>
    </row>
    <row r="175" spans="2:36" x14ac:dyDescent="0.15">
      <c r="B175">
        <v>2</v>
      </c>
      <c r="I175">
        <v>1</v>
      </c>
      <c r="Z175">
        <v>1</v>
      </c>
      <c r="AJ175">
        <v>1</v>
      </c>
    </row>
    <row r="176" spans="2:36" x14ac:dyDescent="0.15">
      <c r="B176">
        <v>1</v>
      </c>
      <c r="X176">
        <v>1</v>
      </c>
      <c r="AD176">
        <v>1</v>
      </c>
      <c r="AJ176">
        <v>2</v>
      </c>
    </row>
    <row r="177" spans="2:36" x14ac:dyDescent="0.15">
      <c r="B177">
        <v>7</v>
      </c>
      <c r="D177">
        <v>1</v>
      </c>
      <c r="J177">
        <v>1</v>
      </c>
      <c r="K177">
        <v>2</v>
      </c>
      <c r="P177">
        <v>1</v>
      </c>
      <c r="R177">
        <v>1</v>
      </c>
      <c r="AJ177">
        <v>1</v>
      </c>
    </row>
    <row r="178" spans="2:36" x14ac:dyDescent="0.15">
      <c r="I178">
        <v>2</v>
      </c>
    </row>
    <row r="179" spans="2:36" x14ac:dyDescent="0.15">
      <c r="B179">
        <v>1</v>
      </c>
      <c r="H179">
        <v>1</v>
      </c>
      <c r="I179">
        <v>2</v>
      </c>
      <c r="Z179">
        <v>2</v>
      </c>
      <c r="AD179">
        <v>1</v>
      </c>
    </row>
    <row r="180" spans="2:36" x14ac:dyDescent="0.15">
      <c r="B180">
        <v>7</v>
      </c>
      <c r="D180">
        <v>1</v>
      </c>
      <c r="F180">
        <v>2</v>
      </c>
      <c r="G180">
        <v>1</v>
      </c>
      <c r="I180">
        <v>12</v>
      </c>
      <c r="N180">
        <v>3</v>
      </c>
      <c r="Z180">
        <v>3</v>
      </c>
      <c r="AB180">
        <v>2</v>
      </c>
      <c r="AE180">
        <v>1</v>
      </c>
      <c r="AI180">
        <v>1</v>
      </c>
    </row>
    <row r="182" spans="2:36" x14ac:dyDescent="0.15">
      <c r="C182">
        <v>1</v>
      </c>
      <c r="E182">
        <v>9</v>
      </c>
      <c r="G182">
        <v>6</v>
      </c>
      <c r="H182">
        <v>2</v>
      </c>
      <c r="I182">
        <v>17</v>
      </c>
      <c r="K182">
        <v>1</v>
      </c>
      <c r="S182">
        <v>1</v>
      </c>
      <c r="AC182">
        <v>1</v>
      </c>
      <c r="AE182">
        <v>1</v>
      </c>
      <c r="AJ182">
        <v>3</v>
      </c>
    </row>
    <row r="184" spans="2:36" x14ac:dyDescent="0.15">
      <c r="G184">
        <v>1</v>
      </c>
      <c r="L184">
        <v>1</v>
      </c>
      <c r="AH184">
        <v>1</v>
      </c>
      <c r="AJ184">
        <v>2</v>
      </c>
    </row>
    <row r="186" spans="2:36" x14ac:dyDescent="0.15">
      <c r="H186">
        <v>2</v>
      </c>
      <c r="I186">
        <v>8</v>
      </c>
      <c r="J186">
        <v>2</v>
      </c>
      <c r="K186">
        <v>3</v>
      </c>
      <c r="AJ186">
        <v>1</v>
      </c>
    </row>
    <row r="187" spans="2:36" x14ac:dyDescent="0.15">
      <c r="B187">
        <v>2</v>
      </c>
      <c r="D187">
        <v>1</v>
      </c>
      <c r="F187">
        <v>1</v>
      </c>
      <c r="Z187">
        <v>2</v>
      </c>
    </row>
    <row r="188" spans="2:36" x14ac:dyDescent="0.15">
      <c r="AJ188">
        <v>1</v>
      </c>
    </row>
    <row r="189" spans="2:36" x14ac:dyDescent="0.15">
      <c r="B189">
        <v>3</v>
      </c>
      <c r="D189">
        <v>2</v>
      </c>
      <c r="F189">
        <v>2</v>
      </c>
      <c r="J189">
        <v>1</v>
      </c>
      <c r="K189">
        <v>1</v>
      </c>
    </row>
    <row r="190" spans="2:36" x14ac:dyDescent="0.15">
      <c r="I190">
        <v>1</v>
      </c>
      <c r="L190">
        <v>1</v>
      </c>
      <c r="U190">
        <v>1</v>
      </c>
      <c r="AJ190">
        <v>1</v>
      </c>
    </row>
    <row r="191" spans="2:36" x14ac:dyDescent="0.15">
      <c r="D191">
        <v>1</v>
      </c>
      <c r="H191">
        <v>1</v>
      </c>
      <c r="X191">
        <v>1</v>
      </c>
      <c r="Z191">
        <v>5</v>
      </c>
      <c r="AE191">
        <v>1</v>
      </c>
      <c r="AJ191">
        <v>5</v>
      </c>
    </row>
    <row r="192" spans="2:36" x14ac:dyDescent="0.15">
      <c r="B192">
        <v>14</v>
      </c>
      <c r="D192">
        <v>3</v>
      </c>
      <c r="H192">
        <v>1</v>
      </c>
      <c r="I192">
        <v>13</v>
      </c>
      <c r="K192">
        <v>1</v>
      </c>
      <c r="N192">
        <v>1</v>
      </c>
      <c r="Z192">
        <v>5</v>
      </c>
      <c r="AE192">
        <v>4</v>
      </c>
      <c r="AI192">
        <v>1</v>
      </c>
    </row>
    <row r="194" spans="2:36" x14ac:dyDescent="0.15">
      <c r="E194">
        <v>9</v>
      </c>
      <c r="G194">
        <v>6</v>
      </c>
      <c r="H194">
        <v>4</v>
      </c>
      <c r="I194">
        <v>35</v>
      </c>
      <c r="K194">
        <v>3</v>
      </c>
      <c r="L194">
        <v>2</v>
      </c>
      <c r="AE194">
        <v>1</v>
      </c>
      <c r="AG194">
        <v>1</v>
      </c>
      <c r="AJ194">
        <v>2</v>
      </c>
    </row>
    <row r="196" spans="2:36" x14ac:dyDescent="0.15">
      <c r="E196">
        <v>1</v>
      </c>
      <c r="G196">
        <v>2</v>
      </c>
      <c r="I196">
        <v>2</v>
      </c>
      <c r="K196">
        <v>1</v>
      </c>
      <c r="T196">
        <v>1</v>
      </c>
      <c r="U196">
        <v>1</v>
      </c>
      <c r="AG196">
        <v>1</v>
      </c>
      <c r="AJ196">
        <v>2</v>
      </c>
    </row>
    <row r="198" spans="2:36" x14ac:dyDescent="0.15">
      <c r="I198">
        <v>5</v>
      </c>
      <c r="U198">
        <v>1</v>
      </c>
      <c r="V198">
        <v>1</v>
      </c>
      <c r="AJ198">
        <v>1</v>
      </c>
    </row>
    <row r="199" spans="2:36" x14ac:dyDescent="0.15">
      <c r="D199">
        <v>1</v>
      </c>
      <c r="I199">
        <v>2</v>
      </c>
      <c r="Z199">
        <v>1</v>
      </c>
    </row>
    <row r="200" spans="2:36" x14ac:dyDescent="0.15">
      <c r="B200">
        <v>1</v>
      </c>
      <c r="D200">
        <v>1</v>
      </c>
      <c r="F200">
        <v>1</v>
      </c>
      <c r="L200">
        <v>1</v>
      </c>
      <c r="AJ200">
        <v>2</v>
      </c>
    </row>
    <row r="201" spans="2:36" x14ac:dyDescent="0.15">
      <c r="B201">
        <v>19</v>
      </c>
      <c r="D201">
        <v>5</v>
      </c>
      <c r="F201">
        <v>8</v>
      </c>
      <c r="G201">
        <v>1</v>
      </c>
      <c r="J201">
        <v>1</v>
      </c>
      <c r="K201">
        <v>1</v>
      </c>
      <c r="R201">
        <v>1</v>
      </c>
      <c r="Z201">
        <v>1</v>
      </c>
    </row>
    <row r="202" spans="2:36" x14ac:dyDescent="0.15">
      <c r="D202">
        <v>1</v>
      </c>
      <c r="F202">
        <v>1</v>
      </c>
      <c r="I202">
        <v>2</v>
      </c>
    </row>
    <row r="203" spans="2:36" x14ac:dyDescent="0.15">
      <c r="B203">
        <v>2</v>
      </c>
      <c r="F203">
        <v>1</v>
      </c>
      <c r="H203">
        <v>1</v>
      </c>
      <c r="N203">
        <v>1</v>
      </c>
      <c r="Z203">
        <v>3</v>
      </c>
      <c r="AD203">
        <v>1</v>
      </c>
      <c r="AJ203">
        <v>4</v>
      </c>
    </row>
    <row r="204" spans="2:36" x14ac:dyDescent="0.15">
      <c r="B204">
        <v>4</v>
      </c>
      <c r="D204">
        <v>2</v>
      </c>
      <c r="F204">
        <v>2</v>
      </c>
      <c r="I204">
        <v>12</v>
      </c>
      <c r="K204">
        <v>2</v>
      </c>
      <c r="N204">
        <v>2</v>
      </c>
      <c r="U204">
        <v>1</v>
      </c>
      <c r="Z204">
        <v>3</v>
      </c>
      <c r="AB204">
        <v>1</v>
      </c>
      <c r="AI204">
        <v>1</v>
      </c>
    </row>
    <row r="206" spans="2:36" x14ac:dyDescent="0.15">
      <c r="C206">
        <v>2</v>
      </c>
      <c r="E206">
        <v>10</v>
      </c>
      <c r="G206">
        <v>10</v>
      </c>
      <c r="H206">
        <v>1</v>
      </c>
      <c r="I206">
        <v>38</v>
      </c>
      <c r="K206">
        <v>3</v>
      </c>
      <c r="T206">
        <v>2</v>
      </c>
      <c r="AA206">
        <v>1</v>
      </c>
      <c r="AC206">
        <v>1</v>
      </c>
      <c r="AE206">
        <v>1</v>
      </c>
      <c r="AG206">
        <v>5</v>
      </c>
      <c r="AH206">
        <v>1</v>
      </c>
      <c r="AI206">
        <v>1</v>
      </c>
      <c r="AJ206">
        <v>3</v>
      </c>
    </row>
    <row r="208" spans="2:36" x14ac:dyDescent="0.15">
      <c r="I208">
        <v>6</v>
      </c>
      <c r="J208">
        <v>2</v>
      </c>
      <c r="Q208">
        <v>1</v>
      </c>
      <c r="AJ208">
        <v>2</v>
      </c>
    </row>
    <row r="210" spans="2:36" x14ac:dyDescent="0.15">
      <c r="H210">
        <v>1</v>
      </c>
      <c r="I210">
        <v>8</v>
      </c>
      <c r="K210">
        <v>1</v>
      </c>
      <c r="L210">
        <v>2</v>
      </c>
    </row>
    <row r="211" spans="2:36" x14ac:dyDescent="0.15">
      <c r="B211">
        <v>1</v>
      </c>
      <c r="D211">
        <v>1</v>
      </c>
      <c r="I211">
        <v>2</v>
      </c>
    </row>
    <row r="212" spans="2:36" x14ac:dyDescent="0.15">
      <c r="B212">
        <v>2</v>
      </c>
      <c r="D212">
        <v>1</v>
      </c>
      <c r="I212">
        <v>1</v>
      </c>
      <c r="L212">
        <v>1</v>
      </c>
      <c r="AJ212">
        <v>4</v>
      </c>
    </row>
    <row r="213" spans="2:36" x14ac:dyDescent="0.15">
      <c r="B213">
        <v>29</v>
      </c>
      <c r="D213">
        <v>9</v>
      </c>
      <c r="F213">
        <v>3</v>
      </c>
      <c r="G213">
        <v>1</v>
      </c>
      <c r="J213">
        <v>5</v>
      </c>
      <c r="K213">
        <v>1</v>
      </c>
      <c r="P213">
        <v>2</v>
      </c>
      <c r="R213">
        <v>1</v>
      </c>
      <c r="V213">
        <v>2</v>
      </c>
      <c r="Z213">
        <v>2</v>
      </c>
      <c r="AB213">
        <v>1</v>
      </c>
      <c r="AD213">
        <v>1</v>
      </c>
    </row>
    <row r="214" spans="2:36" x14ac:dyDescent="0.15">
      <c r="B214">
        <v>1</v>
      </c>
      <c r="I214">
        <v>4</v>
      </c>
      <c r="U214">
        <v>4</v>
      </c>
      <c r="AJ214">
        <v>1</v>
      </c>
    </row>
    <row r="215" spans="2:36" x14ac:dyDescent="0.15">
      <c r="I215">
        <v>3</v>
      </c>
      <c r="R215">
        <v>1</v>
      </c>
      <c r="Z215">
        <v>5</v>
      </c>
      <c r="AG215">
        <v>1</v>
      </c>
      <c r="AJ215">
        <v>1</v>
      </c>
    </row>
    <row r="216" spans="2:36" x14ac:dyDescent="0.15">
      <c r="B216">
        <v>13</v>
      </c>
      <c r="D216">
        <v>3</v>
      </c>
      <c r="I216">
        <v>33</v>
      </c>
      <c r="K216">
        <v>2</v>
      </c>
      <c r="N216">
        <v>3</v>
      </c>
      <c r="U216">
        <v>4</v>
      </c>
      <c r="Z216">
        <v>2</v>
      </c>
      <c r="AB216">
        <v>4</v>
      </c>
      <c r="AD216">
        <v>2</v>
      </c>
      <c r="AH216">
        <v>2</v>
      </c>
    </row>
    <row r="218" spans="2:36" x14ac:dyDescent="0.15">
      <c r="E218">
        <v>10</v>
      </c>
      <c r="G218">
        <v>6</v>
      </c>
      <c r="H218">
        <v>2</v>
      </c>
      <c r="I218">
        <v>65</v>
      </c>
      <c r="J218">
        <v>1</v>
      </c>
      <c r="L218">
        <v>2</v>
      </c>
      <c r="U218">
        <v>2</v>
      </c>
      <c r="AC218">
        <v>1</v>
      </c>
      <c r="AE218">
        <v>2</v>
      </c>
      <c r="AG218">
        <v>1</v>
      </c>
      <c r="AI218">
        <v>1</v>
      </c>
      <c r="AJ218">
        <v>3</v>
      </c>
    </row>
    <row r="220" spans="2:36" x14ac:dyDescent="0.15">
      <c r="I220">
        <v>9</v>
      </c>
      <c r="K220">
        <v>1</v>
      </c>
      <c r="L220">
        <v>1</v>
      </c>
      <c r="AJ220">
        <v>1</v>
      </c>
    </row>
    <row r="222" spans="2:36" x14ac:dyDescent="0.15">
      <c r="G222">
        <v>2</v>
      </c>
      <c r="H222">
        <v>2</v>
      </c>
      <c r="I222">
        <v>15</v>
      </c>
      <c r="L222">
        <v>3</v>
      </c>
      <c r="U222">
        <v>1</v>
      </c>
    </row>
    <row r="223" spans="2:36" x14ac:dyDescent="0.15">
      <c r="B223">
        <v>2</v>
      </c>
      <c r="I223">
        <v>3</v>
      </c>
      <c r="L223">
        <v>1</v>
      </c>
      <c r="U223">
        <v>1</v>
      </c>
      <c r="Z223">
        <v>3</v>
      </c>
    </row>
    <row r="224" spans="2:36" x14ac:dyDescent="0.15">
      <c r="B224">
        <v>1</v>
      </c>
      <c r="F224">
        <v>2</v>
      </c>
      <c r="I224">
        <v>2</v>
      </c>
      <c r="Z224">
        <v>1</v>
      </c>
      <c r="AB224">
        <v>3</v>
      </c>
    </row>
    <row r="225" spans="2:36" x14ac:dyDescent="0.15">
      <c r="B225">
        <v>42</v>
      </c>
      <c r="D225">
        <v>3</v>
      </c>
      <c r="F225">
        <v>2</v>
      </c>
      <c r="J225">
        <v>9</v>
      </c>
      <c r="K225">
        <v>1</v>
      </c>
      <c r="L225">
        <v>1</v>
      </c>
      <c r="P225">
        <v>2</v>
      </c>
      <c r="V225">
        <v>1</v>
      </c>
      <c r="AJ225">
        <v>1</v>
      </c>
    </row>
    <row r="226" spans="2:36" x14ac:dyDescent="0.15">
      <c r="B226">
        <v>1</v>
      </c>
      <c r="I226">
        <v>1</v>
      </c>
    </row>
    <row r="227" spans="2:36" x14ac:dyDescent="0.15">
      <c r="B227">
        <v>2</v>
      </c>
      <c r="D227">
        <v>2</v>
      </c>
      <c r="F227">
        <v>2</v>
      </c>
      <c r="I227">
        <v>2</v>
      </c>
      <c r="Z227">
        <v>4</v>
      </c>
      <c r="AD227">
        <v>1</v>
      </c>
    </row>
    <row r="228" spans="2:36" x14ac:dyDescent="0.15">
      <c r="B228">
        <v>7</v>
      </c>
      <c r="I228">
        <v>36</v>
      </c>
      <c r="N228">
        <v>1</v>
      </c>
      <c r="U228">
        <v>1</v>
      </c>
      <c r="Z228">
        <v>3</v>
      </c>
      <c r="AB228">
        <v>1</v>
      </c>
      <c r="AD228">
        <v>1</v>
      </c>
      <c r="AE228">
        <v>1</v>
      </c>
      <c r="AI228">
        <v>2</v>
      </c>
    </row>
    <row r="230" spans="2:36" x14ac:dyDescent="0.15">
      <c r="C230">
        <v>1</v>
      </c>
      <c r="E230">
        <v>9</v>
      </c>
      <c r="G230">
        <v>5</v>
      </c>
      <c r="H230">
        <v>3</v>
      </c>
      <c r="I230">
        <v>77</v>
      </c>
      <c r="K230">
        <v>1</v>
      </c>
      <c r="S230">
        <v>2</v>
      </c>
      <c r="U230">
        <v>3</v>
      </c>
      <c r="AC230">
        <v>1</v>
      </c>
      <c r="AE230">
        <v>2</v>
      </c>
      <c r="AG230">
        <v>1</v>
      </c>
      <c r="AJ230">
        <v>2</v>
      </c>
    </row>
    <row r="232" spans="2:36" x14ac:dyDescent="0.15">
      <c r="E232">
        <v>1</v>
      </c>
      <c r="G232">
        <v>2</v>
      </c>
      <c r="I232">
        <v>10</v>
      </c>
      <c r="K232">
        <v>3</v>
      </c>
      <c r="L232">
        <v>2</v>
      </c>
      <c r="AG232">
        <v>1</v>
      </c>
    </row>
    <row r="234" spans="2:36" x14ac:dyDescent="0.15">
      <c r="G234">
        <v>1</v>
      </c>
      <c r="I234">
        <v>23</v>
      </c>
      <c r="K234">
        <v>1</v>
      </c>
      <c r="L234">
        <v>1</v>
      </c>
      <c r="U234">
        <v>1</v>
      </c>
    </row>
    <row r="235" spans="2:36" x14ac:dyDescent="0.15">
      <c r="B235">
        <v>4</v>
      </c>
      <c r="F235">
        <v>1</v>
      </c>
      <c r="I235">
        <v>3</v>
      </c>
      <c r="Z235">
        <v>1</v>
      </c>
    </row>
    <row r="236" spans="2:36" x14ac:dyDescent="0.15">
      <c r="B236">
        <v>1</v>
      </c>
      <c r="D236">
        <v>1</v>
      </c>
      <c r="F236">
        <v>2</v>
      </c>
      <c r="I236">
        <v>1</v>
      </c>
      <c r="AB236">
        <v>1</v>
      </c>
      <c r="AJ236">
        <v>1</v>
      </c>
    </row>
    <row r="237" spans="2:36" x14ac:dyDescent="0.15">
      <c r="B237">
        <v>24</v>
      </c>
      <c r="D237">
        <v>3</v>
      </c>
      <c r="F237">
        <v>9</v>
      </c>
      <c r="G237">
        <v>2</v>
      </c>
      <c r="J237">
        <v>5</v>
      </c>
      <c r="K237">
        <v>1</v>
      </c>
      <c r="N237">
        <v>1</v>
      </c>
      <c r="P237">
        <v>1</v>
      </c>
      <c r="R237">
        <v>1</v>
      </c>
      <c r="V237">
        <v>4</v>
      </c>
      <c r="W237">
        <v>1</v>
      </c>
      <c r="Z237">
        <v>1</v>
      </c>
      <c r="AB237">
        <v>1</v>
      </c>
      <c r="AE237">
        <v>1</v>
      </c>
    </row>
    <row r="238" spans="2:36" x14ac:dyDescent="0.15">
      <c r="D238">
        <v>1</v>
      </c>
      <c r="I238">
        <v>4</v>
      </c>
      <c r="U238">
        <v>1</v>
      </c>
    </row>
    <row r="239" spans="2:36" x14ac:dyDescent="0.15">
      <c r="I239">
        <v>1</v>
      </c>
      <c r="AD239">
        <v>1</v>
      </c>
      <c r="AE239">
        <v>1</v>
      </c>
      <c r="AJ239">
        <v>2</v>
      </c>
    </row>
    <row r="240" spans="2:36" x14ac:dyDescent="0.15">
      <c r="B240">
        <v>5</v>
      </c>
      <c r="D240">
        <v>1</v>
      </c>
      <c r="F240">
        <v>1</v>
      </c>
      <c r="I240">
        <v>45</v>
      </c>
      <c r="U240">
        <v>2</v>
      </c>
      <c r="Z240">
        <v>1</v>
      </c>
      <c r="AB240">
        <v>2</v>
      </c>
    </row>
    <row r="242" spans="2:36" x14ac:dyDescent="0.15">
      <c r="C242">
        <v>1</v>
      </c>
      <c r="E242">
        <v>13</v>
      </c>
      <c r="G242">
        <v>8</v>
      </c>
      <c r="H242">
        <v>1</v>
      </c>
      <c r="I242">
        <v>238</v>
      </c>
      <c r="J242">
        <v>1</v>
      </c>
      <c r="K242">
        <v>2</v>
      </c>
      <c r="L242">
        <v>3</v>
      </c>
      <c r="S242">
        <v>4</v>
      </c>
      <c r="U242">
        <v>9</v>
      </c>
      <c r="AC242">
        <v>2</v>
      </c>
      <c r="AE242">
        <v>1</v>
      </c>
      <c r="AG242">
        <v>1</v>
      </c>
      <c r="AJ242">
        <v>2</v>
      </c>
    </row>
    <row r="244" spans="2:36" x14ac:dyDescent="0.15">
      <c r="E244">
        <v>1</v>
      </c>
      <c r="I244">
        <v>17</v>
      </c>
      <c r="K244">
        <v>1</v>
      </c>
      <c r="L244">
        <v>1</v>
      </c>
      <c r="AH244">
        <v>1</v>
      </c>
    </row>
    <row r="246" spans="2:36" x14ac:dyDescent="0.15">
      <c r="H246">
        <v>2</v>
      </c>
      <c r="I246">
        <v>26</v>
      </c>
      <c r="J246">
        <v>2</v>
      </c>
      <c r="L246">
        <v>1</v>
      </c>
    </row>
    <row r="247" spans="2:36" x14ac:dyDescent="0.15">
      <c r="B247">
        <v>1</v>
      </c>
      <c r="AD247">
        <v>1</v>
      </c>
    </row>
    <row r="248" spans="2:36" x14ac:dyDescent="0.15">
      <c r="B248">
        <v>1</v>
      </c>
      <c r="F248">
        <v>2</v>
      </c>
      <c r="G248">
        <v>1</v>
      </c>
      <c r="Z248">
        <v>1</v>
      </c>
      <c r="AD248">
        <v>1</v>
      </c>
      <c r="AJ248">
        <v>2</v>
      </c>
    </row>
    <row r="249" spans="2:36" x14ac:dyDescent="0.15">
      <c r="B249">
        <v>24</v>
      </c>
      <c r="D249">
        <v>3</v>
      </c>
      <c r="F249">
        <v>12</v>
      </c>
      <c r="G249">
        <v>7</v>
      </c>
      <c r="J249">
        <v>17</v>
      </c>
      <c r="K249">
        <v>3</v>
      </c>
      <c r="L249">
        <v>1</v>
      </c>
      <c r="N249">
        <v>2</v>
      </c>
      <c r="P249">
        <v>2</v>
      </c>
      <c r="Z249">
        <v>1</v>
      </c>
    </row>
    <row r="250" spans="2:36" x14ac:dyDescent="0.15">
      <c r="I250">
        <v>7</v>
      </c>
      <c r="U250">
        <v>4</v>
      </c>
      <c r="AJ250">
        <v>1</v>
      </c>
    </row>
    <row r="251" spans="2:36" x14ac:dyDescent="0.15">
      <c r="B251">
        <v>1</v>
      </c>
      <c r="I251">
        <v>5</v>
      </c>
      <c r="S251">
        <v>1</v>
      </c>
      <c r="U251">
        <v>2</v>
      </c>
      <c r="Z251">
        <v>2</v>
      </c>
    </row>
    <row r="252" spans="2:36" x14ac:dyDescent="0.15">
      <c r="B252">
        <v>10</v>
      </c>
      <c r="G252">
        <v>1</v>
      </c>
      <c r="I252">
        <v>53</v>
      </c>
      <c r="K252">
        <v>2</v>
      </c>
      <c r="N252">
        <v>2</v>
      </c>
      <c r="T252">
        <v>1</v>
      </c>
      <c r="U252">
        <v>2</v>
      </c>
      <c r="Z252">
        <v>4</v>
      </c>
      <c r="AB252">
        <v>1</v>
      </c>
      <c r="AD252">
        <v>1</v>
      </c>
      <c r="AE252">
        <v>2</v>
      </c>
    </row>
    <row r="254" spans="2:36" x14ac:dyDescent="0.15">
      <c r="E254">
        <v>8</v>
      </c>
      <c r="G254">
        <v>5</v>
      </c>
      <c r="H254">
        <v>1</v>
      </c>
      <c r="I254">
        <v>217</v>
      </c>
      <c r="J254">
        <v>1</v>
      </c>
      <c r="K254">
        <v>2</v>
      </c>
      <c r="T254">
        <v>1</v>
      </c>
      <c r="U254">
        <v>7</v>
      </c>
      <c r="AC254">
        <v>4</v>
      </c>
      <c r="AE254">
        <v>1</v>
      </c>
      <c r="AI254">
        <v>1</v>
      </c>
      <c r="AJ254">
        <v>2</v>
      </c>
    </row>
    <row r="256" spans="2:36" x14ac:dyDescent="0.15">
      <c r="E256">
        <v>2</v>
      </c>
      <c r="G256">
        <v>4</v>
      </c>
      <c r="I256">
        <v>25</v>
      </c>
      <c r="J256">
        <v>2</v>
      </c>
      <c r="L256">
        <v>2</v>
      </c>
      <c r="Q256">
        <v>1</v>
      </c>
      <c r="U256">
        <v>1</v>
      </c>
    </row>
    <row r="258" spans="2:36" x14ac:dyDescent="0.15">
      <c r="G258">
        <v>1</v>
      </c>
      <c r="H258">
        <v>2</v>
      </c>
      <c r="I258">
        <v>32</v>
      </c>
      <c r="L258">
        <v>1</v>
      </c>
      <c r="U258">
        <v>5</v>
      </c>
      <c r="X258">
        <v>1</v>
      </c>
      <c r="AJ258">
        <v>1</v>
      </c>
    </row>
    <row r="259" spans="2:36" x14ac:dyDescent="0.15">
      <c r="B259">
        <v>5</v>
      </c>
      <c r="I259">
        <v>3</v>
      </c>
      <c r="J259">
        <v>1</v>
      </c>
      <c r="T259">
        <v>1</v>
      </c>
    </row>
    <row r="260" spans="2:36" x14ac:dyDescent="0.15">
      <c r="B260">
        <v>2</v>
      </c>
      <c r="F260">
        <v>1</v>
      </c>
      <c r="G260">
        <v>1</v>
      </c>
      <c r="I260">
        <v>2</v>
      </c>
      <c r="L260">
        <v>1</v>
      </c>
      <c r="P260">
        <v>1</v>
      </c>
      <c r="Z260">
        <v>4</v>
      </c>
      <c r="AB260">
        <v>1</v>
      </c>
      <c r="AD260">
        <v>1</v>
      </c>
      <c r="AJ260">
        <v>1</v>
      </c>
    </row>
    <row r="261" spans="2:36" x14ac:dyDescent="0.15">
      <c r="B261">
        <v>20</v>
      </c>
      <c r="D261">
        <v>5</v>
      </c>
      <c r="F261">
        <v>17</v>
      </c>
      <c r="G261">
        <v>7</v>
      </c>
      <c r="H261">
        <v>1</v>
      </c>
      <c r="J261">
        <v>13</v>
      </c>
      <c r="L261">
        <v>1</v>
      </c>
      <c r="N261">
        <v>1</v>
      </c>
      <c r="P261">
        <v>4</v>
      </c>
      <c r="R261">
        <v>2</v>
      </c>
      <c r="V261">
        <v>6</v>
      </c>
      <c r="W261">
        <v>2</v>
      </c>
      <c r="Z261">
        <v>1</v>
      </c>
      <c r="AB261">
        <v>1</v>
      </c>
      <c r="AD261">
        <v>1</v>
      </c>
      <c r="AH261">
        <v>1</v>
      </c>
    </row>
    <row r="262" spans="2:36" x14ac:dyDescent="0.15">
      <c r="B262">
        <v>1</v>
      </c>
      <c r="I262">
        <v>5</v>
      </c>
      <c r="U262">
        <v>1</v>
      </c>
    </row>
    <row r="263" spans="2:36" x14ac:dyDescent="0.15">
      <c r="B263">
        <v>2</v>
      </c>
      <c r="I263">
        <v>7</v>
      </c>
      <c r="L263">
        <v>3</v>
      </c>
      <c r="N263">
        <v>1</v>
      </c>
      <c r="U263">
        <v>1</v>
      </c>
      <c r="Z263">
        <v>3</v>
      </c>
    </row>
    <row r="264" spans="2:36" x14ac:dyDescent="0.15">
      <c r="B264">
        <v>5</v>
      </c>
      <c r="D264">
        <v>1</v>
      </c>
      <c r="G264">
        <v>1</v>
      </c>
      <c r="H264">
        <v>1</v>
      </c>
      <c r="I264">
        <v>52</v>
      </c>
      <c r="N264">
        <v>3</v>
      </c>
      <c r="P264">
        <v>1</v>
      </c>
      <c r="R264">
        <v>1</v>
      </c>
      <c r="S264">
        <v>1</v>
      </c>
      <c r="T264">
        <v>2</v>
      </c>
      <c r="U264">
        <v>4</v>
      </c>
      <c r="Z264">
        <v>4</v>
      </c>
      <c r="AB264">
        <v>3</v>
      </c>
      <c r="AD264">
        <v>1</v>
      </c>
      <c r="AE264">
        <v>3</v>
      </c>
    </row>
    <row r="266" spans="2:36" x14ac:dyDescent="0.15">
      <c r="C266">
        <v>2</v>
      </c>
      <c r="E266">
        <v>11</v>
      </c>
      <c r="G266">
        <v>6</v>
      </c>
      <c r="H266">
        <v>1</v>
      </c>
      <c r="I266">
        <v>126</v>
      </c>
      <c r="K266">
        <v>1</v>
      </c>
      <c r="L266">
        <v>1</v>
      </c>
      <c r="U266">
        <v>4</v>
      </c>
      <c r="X266">
        <v>1</v>
      </c>
      <c r="AC266">
        <v>2</v>
      </c>
      <c r="AG266">
        <v>2</v>
      </c>
    </row>
    <row r="268" spans="2:36" x14ac:dyDescent="0.15">
      <c r="G268">
        <v>1</v>
      </c>
      <c r="I268">
        <v>17</v>
      </c>
      <c r="K268">
        <v>2</v>
      </c>
      <c r="U268">
        <v>3</v>
      </c>
    </row>
    <row r="270" spans="2:36" x14ac:dyDescent="0.15">
      <c r="H270">
        <v>1</v>
      </c>
      <c r="I270">
        <v>35</v>
      </c>
      <c r="K270">
        <v>1</v>
      </c>
      <c r="U270">
        <v>2</v>
      </c>
      <c r="AH270">
        <v>1</v>
      </c>
    </row>
    <row r="271" spans="2:36" x14ac:dyDescent="0.15">
      <c r="B271">
        <v>1</v>
      </c>
      <c r="I271">
        <v>11</v>
      </c>
      <c r="Z271">
        <v>1</v>
      </c>
      <c r="AB271">
        <v>1</v>
      </c>
    </row>
    <row r="272" spans="2:36" x14ac:dyDescent="0.15">
      <c r="B272">
        <v>1</v>
      </c>
      <c r="F272">
        <v>2</v>
      </c>
      <c r="I272">
        <v>3</v>
      </c>
      <c r="Z272">
        <v>6</v>
      </c>
      <c r="AB272">
        <v>3</v>
      </c>
      <c r="AD272">
        <v>2</v>
      </c>
      <c r="AJ272">
        <v>2</v>
      </c>
    </row>
    <row r="273" spans="2:36" x14ac:dyDescent="0.15">
      <c r="B273">
        <v>38</v>
      </c>
      <c r="D273">
        <v>6</v>
      </c>
      <c r="F273">
        <v>23</v>
      </c>
      <c r="G273">
        <v>11</v>
      </c>
      <c r="H273">
        <v>3</v>
      </c>
      <c r="J273">
        <v>25</v>
      </c>
      <c r="K273">
        <v>5</v>
      </c>
      <c r="L273">
        <v>2</v>
      </c>
      <c r="N273">
        <v>4</v>
      </c>
      <c r="P273">
        <v>5</v>
      </c>
      <c r="R273">
        <v>2</v>
      </c>
      <c r="V273">
        <v>1</v>
      </c>
      <c r="W273">
        <v>1</v>
      </c>
      <c r="Z273">
        <v>1</v>
      </c>
      <c r="AH273">
        <v>1</v>
      </c>
      <c r="AI273">
        <v>1</v>
      </c>
      <c r="AJ273">
        <v>1</v>
      </c>
    </row>
    <row r="274" spans="2:36" x14ac:dyDescent="0.15">
      <c r="D274">
        <v>1</v>
      </c>
      <c r="I274">
        <v>7</v>
      </c>
      <c r="U274">
        <v>1</v>
      </c>
      <c r="AJ274">
        <v>1</v>
      </c>
    </row>
    <row r="275" spans="2:36" x14ac:dyDescent="0.15">
      <c r="B275">
        <v>1</v>
      </c>
      <c r="D275">
        <v>1</v>
      </c>
      <c r="F275">
        <v>1</v>
      </c>
      <c r="I275">
        <v>9</v>
      </c>
      <c r="R275">
        <v>1</v>
      </c>
      <c r="U275">
        <v>2</v>
      </c>
      <c r="AD275">
        <v>1</v>
      </c>
      <c r="AJ275">
        <v>1</v>
      </c>
    </row>
    <row r="276" spans="2:36" x14ac:dyDescent="0.15">
      <c r="B276">
        <v>4</v>
      </c>
      <c r="D276">
        <v>1</v>
      </c>
      <c r="F276">
        <v>2</v>
      </c>
      <c r="I276">
        <v>60</v>
      </c>
      <c r="N276">
        <v>14</v>
      </c>
      <c r="U276">
        <v>5</v>
      </c>
      <c r="Z276">
        <v>5</v>
      </c>
      <c r="AD276">
        <v>2</v>
      </c>
    </row>
    <row r="278" spans="2:36" x14ac:dyDescent="0.15">
      <c r="C278">
        <v>2</v>
      </c>
      <c r="E278">
        <v>13</v>
      </c>
      <c r="G278">
        <v>9</v>
      </c>
      <c r="H278">
        <v>3</v>
      </c>
      <c r="I278">
        <v>158</v>
      </c>
      <c r="J278">
        <v>1</v>
      </c>
      <c r="K278">
        <v>1</v>
      </c>
      <c r="L278">
        <v>2</v>
      </c>
      <c r="S278">
        <v>1</v>
      </c>
      <c r="U278">
        <v>5</v>
      </c>
      <c r="AC278">
        <v>4</v>
      </c>
      <c r="AJ278">
        <v>1</v>
      </c>
    </row>
    <row r="280" spans="2:36" x14ac:dyDescent="0.15">
      <c r="I280">
        <v>25</v>
      </c>
      <c r="J280">
        <v>1</v>
      </c>
      <c r="L280">
        <v>1</v>
      </c>
      <c r="U280">
        <v>1</v>
      </c>
      <c r="X280">
        <v>1</v>
      </c>
      <c r="AJ280">
        <v>3</v>
      </c>
    </row>
    <row r="282" spans="2:36" x14ac:dyDescent="0.15">
      <c r="G282">
        <v>1</v>
      </c>
      <c r="H282">
        <v>3</v>
      </c>
      <c r="I282">
        <v>47</v>
      </c>
      <c r="J282">
        <v>1</v>
      </c>
      <c r="K282">
        <v>1</v>
      </c>
      <c r="U282">
        <v>3</v>
      </c>
      <c r="AJ282">
        <v>1</v>
      </c>
    </row>
    <row r="283" spans="2:36" x14ac:dyDescent="0.15">
      <c r="B283">
        <v>5</v>
      </c>
      <c r="D283">
        <v>2</v>
      </c>
      <c r="I283">
        <v>7</v>
      </c>
      <c r="N283">
        <v>2</v>
      </c>
      <c r="AI283">
        <v>1</v>
      </c>
    </row>
    <row r="284" spans="2:36" x14ac:dyDescent="0.15">
      <c r="B284">
        <v>3</v>
      </c>
      <c r="F284">
        <v>3</v>
      </c>
      <c r="N284">
        <v>1</v>
      </c>
      <c r="Z284">
        <v>6</v>
      </c>
      <c r="AB284">
        <v>2</v>
      </c>
      <c r="AJ284">
        <v>1</v>
      </c>
    </row>
    <row r="285" spans="2:36" x14ac:dyDescent="0.15">
      <c r="B285">
        <v>44</v>
      </c>
      <c r="D285">
        <v>13</v>
      </c>
      <c r="F285">
        <v>33</v>
      </c>
      <c r="G285">
        <v>11</v>
      </c>
      <c r="H285">
        <v>1</v>
      </c>
      <c r="J285">
        <v>25</v>
      </c>
      <c r="K285">
        <v>6</v>
      </c>
      <c r="L285">
        <v>2</v>
      </c>
      <c r="N285">
        <v>6</v>
      </c>
      <c r="P285">
        <v>1</v>
      </c>
      <c r="R285">
        <v>3</v>
      </c>
      <c r="V285">
        <v>2</v>
      </c>
      <c r="W285">
        <v>1</v>
      </c>
    </row>
    <row r="286" spans="2:36" x14ac:dyDescent="0.15">
      <c r="I286">
        <v>14</v>
      </c>
      <c r="U286">
        <v>2</v>
      </c>
    </row>
    <row r="287" spans="2:36" x14ac:dyDescent="0.15">
      <c r="B287">
        <v>1</v>
      </c>
      <c r="D287">
        <v>1</v>
      </c>
      <c r="I287">
        <v>6</v>
      </c>
      <c r="P287">
        <v>1</v>
      </c>
      <c r="R287">
        <v>1</v>
      </c>
      <c r="U287">
        <v>1</v>
      </c>
      <c r="Z287">
        <v>1</v>
      </c>
      <c r="AJ287">
        <v>1</v>
      </c>
    </row>
    <row r="288" spans="2:36" x14ac:dyDescent="0.15">
      <c r="B288">
        <v>21</v>
      </c>
      <c r="D288">
        <v>1</v>
      </c>
      <c r="F288">
        <v>2</v>
      </c>
      <c r="I288">
        <v>65</v>
      </c>
      <c r="N288">
        <v>6</v>
      </c>
      <c r="T288">
        <v>3</v>
      </c>
      <c r="U288">
        <v>2</v>
      </c>
      <c r="Z288">
        <v>3</v>
      </c>
      <c r="AB288">
        <v>2</v>
      </c>
      <c r="AE288">
        <v>1</v>
      </c>
      <c r="AI288">
        <v>1</v>
      </c>
    </row>
    <row r="290" spans="2:36" x14ac:dyDescent="0.15">
      <c r="E290">
        <v>18</v>
      </c>
      <c r="G290">
        <v>6</v>
      </c>
      <c r="H290">
        <v>2</v>
      </c>
      <c r="I290">
        <v>134</v>
      </c>
      <c r="K290">
        <v>2</v>
      </c>
      <c r="L290">
        <v>3</v>
      </c>
      <c r="O290">
        <v>1</v>
      </c>
      <c r="Q290">
        <v>3</v>
      </c>
      <c r="S290">
        <v>1</v>
      </c>
      <c r="T290">
        <v>1</v>
      </c>
      <c r="U290">
        <v>7</v>
      </c>
      <c r="V290">
        <v>1</v>
      </c>
      <c r="AC290">
        <v>5</v>
      </c>
      <c r="AE290">
        <v>1</v>
      </c>
      <c r="AI290">
        <v>1</v>
      </c>
      <c r="AJ290">
        <v>3</v>
      </c>
    </row>
    <row r="292" spans="2:36" x14ac:dyDescent="0.15">
      <c r="E292">
        <v>1</v>
      </c>
      <c r="G292">
        <v>2</v>
      </c>
      <c r="I292">
        <v>21</v>
      </c>
      <c r="J292">
        <v>2</v>
      </c>
      <c r="K292">
        <v>1</v>
      </c>
      <c r="L292">
        <v>2</v>
      </c>
      <c r="S292">
        <v>1</v>
      </c>
      <c r="U292">
        <v>1</v>
      </c>
      <c r="X292">
        <v>1</v>
      </c>
      <c r="AJ292">
        <v>3</v>
      </c>
    </row>
    <row r="294" spans="2:36" x14ac:dyDescent="0.15">
      <c r="G294">
        <v>1</v>
      </c>
      <c r="H294">
        <v>3</v>
      </c>
      <c r="I294">
        <v>33</v>
      </c>
      <c r="J294">
        <v>1</v>
      </c>
      <c r="K294">
        <v>1</v>
      </c>
      <c r="T294">
        <v>1</v>
      </c>
      <c r="U294">
        <v>5</v>
      </c>
      <c r="X294">
        <v>1</v>
      </c>
      <c r="AI294">
        <v>1</v>
      </c>
    </row>
    <row r="295" spans="2:36" x14ac:dyDescent="0.15">
      <c r="B295">
        <v>3</v>
      </c>
      <c r="H295">
        <v>1</v>
      </c>
      <c r="I295">
        <v>5</v>
      </c>
      <c r="L295">
        <v>1</v>
      </c>
      <c r="Z295">
        <v>1</v>
      </c>
      <c r="AI295">
        <v>1</v>
      </c>
    </row>
    <row r="296" spans="2:36" x14ac:dyDescent="0.15">
      <c r="B296">
        <v>2</v>
      </c>
      <c r="F296">
        <v>2</v>
      </c>
      <c r="G296">
        <v>1</v>
      </c>
      <c r="I296">
        <v>2</v>
      </c>
      <c r="L296">
        <v>1</v>
      </c>
      <c r="S296">
        <v>1</v>
      </c>
      <c r="Z296">
        <v>4</v>
      </c>
      <c r="AB296">
        <v>5</v>
      </c>
      <c r="AJ296">
        <v>4</v>
      </c>
    </row>
    <row r="297" spans="2:36" x14ac:dyDescent="0.15">
      <c r="B297">
        <v>61</v>
      </c>
      <c r="D297">
        <v>7</v>
      </c>
      <c r="F297">
        <v>40</v>
      </c>
      <c r="G297">
        <v>21</v>
      </c>
      <c r="H297">
        <v>3</v>
      </c>
      <c r="J297">
        <v>23</v>
      </c>
      <c r="K297">
        <v>10</v>
      </c>
      <c r="L297">
        <v>1</v>
      </c>
      <c r="N297">
        <v>6</v>
      </c>
      <c r="P297">
        <v>3</v>
      </c>
      <c r="R297">
        <v>3</v>
      </c>
      <c r="S297">
        <v>1</v>
      </c>
      <c r="V297">
        <v>2</v>
      </c>
      <c r="Z297">
        <v>1</v>
      </c>
    </row>
    <row r="298" spans="2:36" x14ac:dyDescent="0.15">
      <c r="B298">
        <v>1</v>
      </c>
      <c r="I298">
        <v>10</v>
      </c>
      <c r="U298">
        <v>1</v>
      </c>
    </row>
    <row r="299" spans="2:36" x14ac:dyDescent="0.15">
      <c r="B299">
        <v>5</v>
      </c>
      <c r="F299">
        <v>2</v>
      </c>
      <c r="G299">
        <v>1</v>
      </c>
      <c r="I299">
        <v>12</v>
      </c>
      <c r="N299">
        <v>1</v>
      </c>
      <c r="U299">
        <v>1</v>
      </c>
      <c r="Z299">
        <v>1</v>
      </c>
      <c r="AJ299">
        <v>1</v>
      </c>
    </row>
    <row r="300" spans="2:36" x14ac:dyDescent="0.15">
      <c r="B300">
        <v>22</v>
      </c>
      <c r="D300">
        <v>8</v>
      </c>
      <c r="H300">
        <v>1</v>
      </c>
      <c r="I300">
        <v>66</v>
      </c>
      <c r="J300">
        <v>1</v>
      </c>
      <c r="N300">
        <v>10</v>
      </c>
      <c r="P300">
        <v>1</v>
      </c>
      <c r="R300">
        <v>1</v>
      </c>
      <c r="U300">
        <v>4</v>
      </c>
      <c r="Z300">
        <v>16</v>
      </c>
      <c r="AB300">
        <v>2</v>
      </c>
      <c r="AD300">
        <v>1</v>
      </c>
      <c r="AE300">
        <v>1</v>
      </c>
      <c r="AI300">
        <v>2</v>
      </c>
    </row>
    <row r="302" spans="2:36" x14ac:dyDescent="0.15">
      <c r="C302">
        <v>5</v>
      </c>
      <c r="E302">
        <v>14</v>
      </c>
      <c r="G302">
        <v>14</v>
      </c>
      <c r="H302">
        <v>4</v>
      </c>
      <c r="I302">
        <v>264</v>
      </c>
      <c r="J302">
        <v>3</v>
      </c>
      <c r="K302">
        <v>9</v>
      </c>
      <c r="L302">
        <v>6</v>
      </c>
      <c r="Q302">
        <v>4</v>
      </c>
      <c r="S302">
        <v>1</v>
      </c>
      <c r="T302">
        <v>1</v>
      </c>
      <c r="U302">
        <v>7</v>
      </c>
      <c r="X302">
        <v>1</v>
      </c>
      <c r="AA302">
        <v>1</v>
      </c>
      <c r="AC302">
        <v>6</v>
      </c>
      <c r="AE302">
        <v>5</v>
      </c>
      <c r="AH302">
        <v>1</v>
      </c>
      <c r="AI302">
        <v>1</v>
      </c>
    </row>
    <row r="304" spans="2:36" x14ac:dyDescent="0.15">
      <c r="E304">
        <v>2</v>
      </c>
      <c r="G304">
        <v>1</v>
      </c>
      <c r="I304">
        <v>10</v>
      </c>
      <c r="J304">
        <v>1</v>
      </c>
      <c r="AE304">
        <v>1</v>
      </c>
      <c r="AJ304">
        <v>4</v>
      </c>
    </row>
    <row r="306" spans="2:36" x14ac:dyDescent="0.15">
      <c r="G306">
        <v>3</v>
      </c>
      <c r="H306">
        <v>1</v>
      </c>
      <c r="I306">
        <v>26</v>
      </c>
      <c r="L306">
        <v>1</v>
      </c>
      <c r="U306">
        <v>5</v>
      </c>
      <c r="X306">
        <v>2</v>
      </c>
      <c r="AJ306">
        <v>1</v>
      </c>
    </row>
    <row r="307" spans="2:36" x14ac:dyDescent="0.15">
      <c r="B307">
        <v>5</v>
      </c>
      <c r="D307">
        <v>1</v>
      </c>
      <c r="H307">
        <v>2</v>
      </c>
      <c r="I307">
        <v>1</v>
      </c>
      <c r="L307">
        <v>1</v>
      </c>
      <c r="N307">
        <v>1</v>
      </c>
      <c r="R307">
        <v>1</v>
      </c>
    </row>
    <row r="308" spans="2:36" x14ac:dyDescent="0.15">
      <c r="B308">
        <v>2</v>
      </c>
      <c r="D308">
        <v>5</v>
      </c>
      <c r="F308">
        <v>2</v>
      </c>
      <c r="G308">
        <v>2</v>
      </c>
      <c r="L308">
        <v>3</v>
      </c>
      <c r="N308">
        <v>3</v>
      </c>
      <c r="R308">
        <v>1</v>
      </c>
      <c r="U308">
        <v>1</v>
      </c>
      <c r="AB308">
        <v>2</v>
      </c>
      <c r="AD308">
        <v>2</v>
      </c>
      <c r="AI308">
        <v>1</v>
      </c>
      <c r="AJ308">
        <v>3</v>
      </c>
    </row>
    <row r="309" spans="2:36" x14ac:dyDescent="0.15">
      <c r="B309">
        <v>75</v>
      </c>
      <c r="D309">
        <v>12</v>
      </c>
      <c r="F309">
        <v>35</v>
      </c>
      <c r="G309">
        <v>17</v>
      </c>
      <c r="J309">
        <v>34</v>
      </c>
      <c r="K309">
        <v>4</v>
      </c>
      <c r="N309">
        <v>4</v>
      </c>
      <c r="P309">
        <v>3</v>
      </c>
      <c r="R309">
        <v>2</v>
      </c>
      <c r="V309">
        <v>1</v>
      </c>
    </row>
    <row r="310" spans="2:36" x14ac:dyDescent="0.15">
      <c r="B310">
        <v>2</v>
      </c>
      <c r="D310">
        <v>1</v>
      </c>
      <c r="F310">
        <v>1</v>
      </c>
      <c r="I310">
        <v>5</v>
      </c>
      <c r="U310">
        <v>1</v>
      </c>
    </row>
    <row r="311" spans="2:36" x14ac:dyDescent="0.15">
      <c r="B311">
        <v>8</v>
      </c>
      <c r="D311">
        <v>1</v>
      </c>
      <c r="I311">
        <v>6</v>
      </c>
      <c r="N311">
        <v>5</v>
      </c>
      <c r="AJ311">
        <v>1</v>
      </c>
    </row>
    <row r="312" spans="2:36" x14ac:dyDescent="0.15">
      <c r="B312">
        <v>28</v>
      </c>
      <c r="D312">
        <v>3</v>
      </c>
      <c r="F312">
        <v>3</v>
      </c>
      <c r="G312">
        <v>3</v>
      </c>
      <c r="H312">
        <v>1</v>
      </c>
      <c r="I312">
        <v>59</v>
      </c>
      <c r="K312">
        <v>1</v>
      </c>
      <c r="N312">
        <v>12</v>
      </c>
      <c r="P312">
        <v>2</v>
      </c>
      <c r="T312">
        <v>1</v>
      </c>
      <c r="U312">
        <v>5</v>
      </c>
      <c r="Z312">
        <v>5</v>
      </c>
      <c r="AD312">
        <v>1</v>
      </c>
    </row>
    <row r="314" spans="2:36" x14ac:dyDescent="0.15">
      <c r="C314">
        <v>4</v>
      </c>
      <c r="E314">
        <v>30</v>
      </c>
      <c r="G314">
        <v>28</v>
      </c>
      <c r="H314">
        <v>8</v>
      </c>
      <c r="I314">
        <v>218</v>
      </c>
      <c r="J314">
        <v>1</v>
      </c>
      <c r="K314">
        <v>8</v>
      </c>
      <c r="L314">
        <v>11</v>
      </c>
      <c r="Q314">
        <v>6</v>
      </c>
      <c r="S314">
        <v>2</v>
      </c>
      <c r="T314">
        <v>1</v>
      </c>
      <c r="U314">
        <v>5</v>
      </c>
      <c r="X314">
        <v>3</v>
      </c>
      <c r="AA314">
        <v>1</v>
      </c>
      <c r="AC314">
        <v>3</v>
      </c>
      <c r="AE314">
        <v>8</v>
      </c>
      <c r="AG314">
        <v>1</v>
      </c>
      <c r="AI314">
        <v>1</v>
      </c>
      <c r="AJ314">
        <v>5</v>
      </c>
    </row>
    <row r="316" spans="2:36" x14ac:dyDescent="0.15">
      <c r="G316">
        <v>2</v>
      </c>
      <c r="I316">
        <v>13</v>
      </c>
      <c r="J316">
        <v>2</v>
      </c>
      <c r="K316">
        <v>3</v>
      </c>
      <c r="L316">
        <v>3</v>
      </c>
      <c r="AJ316">
        <v>4</v>
      </c>
    </row>
    <row r="318" spans="2:36" x14ac:dyDescent="0.15">
      <c r="G318">
        <v>1</v>
      </c>
      <c r="H318">
        <v>1</v>
      </c>
      <c r="I318">
        <v>27</v>
      </c>
      <c r="K318">
        <v>1</v>
      </c>
      <c r="U318">
        <v>4</v>
      </c>
      <c r="W318">
        <v>1</v>
      </c>
      <c r="AE318">
        <v>1</v>
      </c>
      <c r="AG318">
        <v>1</v>
      </c>
      <c r="AH318">
        <v>1</v>
      </c>
      <c r="AJ318">
        <v>2</v>
      </c>
    </row>
    <row r="319" spans="2:36" x14ac:dyDescent="0.15">
      <c r="B319">
        <v>7</v>
      </c>
      <c r="D319">
        <v>1</v>
      </c>
      <c r="I319">
        <v>1</v>
      </c>
      <c r="L319">
        <v>2</v>
      </c>
      <c r="N319">
        <v>2</v>
      </c>
      <c r="Z319">
        <v>1</v>
      </c>
      <c r="AB319">
        <v>3</v>
      </c>
    </row>
    <row r="320" spans="2:36" x14ac:dyDescent="0.15">
      <c r="B320">
        <v>5</v>
      </c>
      <c r="D320">
        <v>3</v>
      </c>
      <c r="F320">
        <v>3</v>
      </c>
      <c r="L320">
        <v>2</v>
      </c>
      <c r="N320">
        <v>1</v>
      </c>
      <c r="R320">
        <v>2</v>
      </c>
      <c r="X320">
        <v>1</v>
      </c>
      <c r="AB320">
        <v>1</v>
      </c>
      <c r="AD320">
        <v>1</v>
      </c>
      <c r="AJ320">
        <v>2</v>
      </c>
    </row>
    <row r="321" spans="2:36" x14ac:dyDescent="0.15">
      <c r="B321">
        <v>74</v>
      </c>
      <c r="D321">
        <v>19</v>
      </c>
      <c r="F321">
        <v>33</v>
      </c>
      <c r="G321">
        <v>24</v>
      </c>
      <c r="J321">
        <v>32</v>
      </c>
      <c r="K321">
        <v>3</v>
      </c>
      <c r="L321">
        <v>4</v>
      </c>
      <c r="N321">
        <v>3</v>
      </c>
      <c r="P321">
        <v>4</v>
      </c>
      <c r="R321">
        <v>1</v>
      </c>
      <c r="S321">
        <v>1</v>
      </c>
      <c r="T321">
        <v>1</v>
      </c>
      <c r="V321">
        <v>1</v>
      </c>
      <c r="W321">
        <v>1</v>
      </c>
    </row>
    <row r="322" spans="2:36" x14ac:dyDescent="0.15">
      <c r="B322">
        <v>1</v>
      </c>
      <c r="I322">
        <v>10</v>
      </c>
      <c r="U322">
        <v>3</v>
      </c>
      <c r="AJ322">
        <v>1</v>
      </c>
    </row>
    <row r="323" spans="2:36" x14ac:dyDescent="0.15">
      <c r="B323">
        <v>7</v>
      </c>
      <c r="D323">
        <v>4</v>
      </c>
      <c r="F323">
        <v>3</v>
      </c>
      <c r="I323">
        <v>8</v>
      </c>
      <c r="N323">
        <v>2</v>
      </c>
      <c r="P323">
        <v>1</v>
      </c>
      <c r="Z323">
        <v>1</v>
      </c>
      <c r="AE323">
        <v>1</v>
      </c>
      <c r="AJ323">
        <v>1</v>
      </c>
    </row>
    <row r="324" spans="2:36" x14ac:dyDescent="0.15">
      <c r="B324">
        <v>35</v>
      </c>
      <c r="D324">
        <v>6</v>
      </c>
      <c r="F324">
        <v>2</v>
      </c>
      <c r="G324">
        <v>1</v>
      </c>
      <c r="I324">
        <v>46</v>
      </c>
      <c r="J324">
        <v>1</v>
      </c>
      <c r="K324">
        <v>1</v>
      </c>
      <c r="N324">
        <v>10</v>
      </c>
      <c r="P324">
        <v>3</v>
      </c>
      <c r="R324">
        <v>1</v>
      </c>
      <c r="U324">
        <v>7</v>
      </c>
      <c r="W324">
        <v>1</v>
      </c>
      <c r="Z324">
        <v>6</v>
      </c>
      <c r="AB324">
        <v>3</v>
      </c>
      <c r="AD324">
        <v>5</v>
      </c>
      <c r="AE324">
        <v>2</v>
      </c>
      <c r="AI324">
        <v>2</v>
      </c>
    </row>
    <row r="326" spans="2:36" x14ac:dyDescent="0.15">
      <c r="C326">
        <v>4</v>
      </c>
      <c r="E326">
        <v>11</v>
      </c>
      <c r="G326">
        <v>5</v>
      </c>
      <c r="H326">
        <v>3</v>
      </c>
      <c r="I326">
        <v>94</v>
      </c>
      <c r="J326">
        <v>2</v>
      </c>
      <c r="K326">
        <v>7</v>
      </c>
      <c r="L326">
        <v>3</v>
      </c>
      <c r="Q326">
        <v>5</v>
      </c>
      <c r="S326">
        <v>1</v>
      </c>
      <c r="U326">
        <v>2</v>
      </c>
      <c r="AA326">
        <v>1</v>
      </c>
      <c r="AC326">
        <v>7</v>
      </c>
      <c r="AE326">
        <v>3</v>
      </c>
      <c r="AG326">
        <v>1</v>
      </c>
      <c r="AJ326">
        <v>3</v>
      </c>
    </row>
    <row r="328" spans="2:36" x14ac:dyDescent="0.15">
      <c r="E328">
        <v>1</v>
      </c>
      <c r="I328">
        <v>11</v>
      </c>
      <c r="K328">
        <v>1</v>
      </c>
      <c r="L328">
        <v>3</v>
      </c>
      <c r="AJ328">
        <v>1</v>
      </c>
    </row>
    <row r="330" spans="2:36" x14ac:dyDescent="0.15">
      <c r="G330">
        <v>2</v>
      </c>
      <c r="H330">
        <v>1</v>
      </c>
      <c r="I330">
        <v>32</v>
      </c>
      <c r="K330">
        <v>2</v>
      </c>
      <c r="L330">
        <v>3</v>
      </c>
      <c r="T330">
        <v>1</v>
      </c>
      <c r="U330">
        <v>2</v>
      </c>
      <c r="AJ330">
        <v>4</v>
      </c>
    </row>
    <row r="331" spans="2:36" x14ac:dyDescent="0.15">
      <c r="B331">
        <v>6</v>
      </c>
      <c r="D331">
        <v>3</v>
      </c>
      <c r="I331">
        <v>2</v>
      </c>
      <c r="K331">
        <v>1</v>
      </c>
      <c r="N331">
        <v>1</v>
      </c>
      <c r="AB331">
        <v>5</v>
      </c>
      <c r="AD331">
        <v>1</v>
      </c>
      <c r="AI331">
        <v>1</v>
      </c>
      <c r="AJ331">
        <v>1</v>
      </c>
    </row>
    <row r="332" spans="2:36" x14ac:dyDescent="0.15">
      <c r="B332">
        <v>7</v>
      </c>
      <c r="D332">
        <v>3</v>
      </c>
      <c r="F332">
        <v>7</v>
      </c>
      <c r="I332">
        <v>2</v>
      </c>
      <c r="L332">
        <v>3</v>
      </c>
      <c r="N332">
        <v>1</v>
      </c>
      <c r="P332">
        <v>2</v>
      </c>
      <c r="R332">
        <v>2</v>
      </c>
      <c r="U332">
        <v>1</v>
      </c>
    </row>
    <row r="333" spans="2:36" x14ac:dyDescent="0.15">
      <c r="B333">
        <v>82</v>
      </c>
      <c r="D333">
        <v>21</v>
      </c>
      <c r="F333">
        <v>30</v>
      </c>
      <c r="G333">
        <v>20</v>
      </c>
      <c r="J333">
        <v>21</v>
      </c>
      <c r="K333">
        <v>4</v>
      </c>
      <c r="L333">
        <v>4</v>
      </c>
      <c r="N333">
        <v>3</v>
      </c>
      <c r="P333">
        <v>8</v>
      </c>
      <c r="R333">
        <v>2</v>
      </c>
      <c r="V333">
        <v>2</v>
      </c>
      <c r="Z333">
        <v>1</v>
      </c>
    </row>
    <row r="334" spans="2:36" x14ac:dyDescent="0.15">
      <c r="B334">
        <v>3</v>
      </c>
      <c r="I334">
        <v>4</v>
      </c>
      <c r="U334">
        <v>1</v>
      </c>
    </row>
    <row r="335" spans="2:36" x14ac:dyDescent="0.15">
      <c r="B335">
        <v>14</v>
      </c>
      <c r="D335">
        <v>5</v>
      </c>
      <c r="I335">
        <v>6</v>
      </c>
      <c r="P335">
        <v>1</v>
      </c>
      <c r="AJ335">
        <v>1</v>
      </c>
    </row>
    <row r="336" spans="2:36" x14ac:dyDescent="0.15">
      <c r="B336">
        <v>57</v>
      </c>
      <c r="D336">
        <v>11</v>
      </c>
      <c r="F336">
        <v>4</v>
      </c>
      <c r="G336">
        <v>1</v>
      </c>
      <c r="I336">
        <v>44</v>
      </c>
      <c r="K336">
        <v>12</v>
      </c>
      <c r="N336">
        <v>9</v>
      </c>
      <c r="P336">
        <v>7</v>
      </c>
      <c r="U336">
        <v>5</v>
      </c>
      <c r="V336">
        <v>1</v>
      </c>
      <c r="Z336">
        <v>7</v>
      </c>
      <c r="AD336">
        <v>1</v>
      </c>
      <c r="AE336">
        <v>1</v>
      </c>
      <c r="AI336">
        <v>1</v>
      </c>
    </row>
    <row r="338" spans="2:36" x14ac:dyDescent="0.15">
      <c r="C338">
        <v>5</v>
      </c>
      <c r="E338">
        <v>22</v>
      </c>
      <c r="G338">
        <v>14</v>
      </c>
      <c r="H338">
        <v>9</v>
      </c>
      <c r="I338">
        <v>129</v>
      </c>
      <c r="J338">
        <v>4</v>
      </c>
      <c r="K338">
        <v>8</v>
      </c>
      <c r="L338">
        <v>11</v>
      </c>
      <c r="Q338">
        <v>5</v>
      </c>
      <c r="S338">
        <v>4</v>
      </c>
      <c r="T338">
        <v>2</v>
      </c>
      <c r="U338">
        <v>5</v>
      </c>
      <c r="V338">
        <v>1</v>
      </c>
      <c r="W338">
        <v>3</v>
      </c>
      <c r="AC338">
        <v>4</v>
      </c>
      <c r="AE338">
        <v>2</v>
      </c>
    </row>
    <row r="340" spans="2:36" x14ac:dyDescent="0.15">
      <c r="E340">
        <v>4</v>
      </c>
      <c r="G340">
        <v>2</v>
      </c>
      <c r="I340">
        <v>6</v>
      </c>
      <c r="J340">
        <v>2</v>
      </c>
      <c r="L340">
        <v>8</v>
      </c>
      <c r="Q340">
        <v>1</v>
      </c>
      <c r="X340">
        <v>1</v>
      </c>
      <c r="AJ340">
        <v>1</v>
      </c>
    </row>
    <row r="342" spans="2:36" x14ac:dyDescent="0.15">
      <c r="G342">
        <v>3</v>
      </c>
      <c r="H342">
        <v>2</v>
      </c>
      <c r="I342">
        <v>28</v>
      </c>
      <c r="L342">
        <v>5</v>
      </c>
      <c r="T342">
        <v>1</v>
      </c>
      <c r="AE342">
        <v>1</v>
      </c>
      <c r="AJ342">
        <v>1</v>
      </c>
    </row>
    <row r="343" spans="2:36" x14ac:dyDescent="0.15">
      <c r="B343">
        <v>5</v>
      </c>
      <c r="F343">
        <v>1</v>
      </c>
      <c r="H343">
        <v>1</v>
      </c>
      <c r="K343">
        <v>2</v>
      </c>
      <c r="L343">
        <v>2</v>
      </c>
      <c r="AB343">
        <v>1</v>
      </c>
      <c r="AD343">
        <v>1</v>
      </c>
    </row>
    <row r="344" spans="2:36" x14ac:dyDescent="0.15">
      <c r="B344">
        <v>4</v>
      </c>
      <c r="F344">
        <v>2</v>
      </c>
      <c r="L344">
        <v>5</v>
      </c>
      <c r="R344">
        <v>2</v>
      </c>
      <c r="AB344">
        <v>1</v>
      </c>
      <c r="AH344">
        <v>1</v>
      </c>
      <c r="AJ344">
        <v>1</v>
      </c>
    </row>
    <row r="345" spans="2:36" x14ac:dyDescent="0.15">
      <c r="B345">
        <v>93</v>
      </c>
      <c r="D345">
        <v>17</v>
      </c>
      <c r="F345">
        <v>28</v>
      </c>
      <c r="G345">
        <v>14</v>
      </c>
      <c r="J345">
        <v>24</v>
      </c>
      <c r="K345">
        <v>6</v>
      </c>
      <c r="N345">
        <v>8</v>
      </c>
      <c r="P345">
        <v>5</v>
      </c>
      <c r="R345">
        <v>1</v>
      </c>
      <c r="V345">
        <v>1</v>
      </c>
    </row>
    <row r="346" spans="2:36" x14ac:dyDescent="0.15">
      <c r="B346">
        <v>1</v>
      </c>
      <c r="D346">
        <v>2</v>
      </c>
      <c r="I346">
        <v>2</v>
      </c>
      <c r="L346">
        <v>1</v>
      </c>
      <c r="U346">
        <v>2</v>
      </c>
      <c r="AD346">
        <v>1</v>
      </c>
    </row>
    <row r="347" spans="2:36" x14ac:dyDescent="0.15">
      <c r="B347">
        <v>10</v>
      </c>
      <c r="D347">
        <v>5</v>
      </c>
      <c r="F347">
        <v>2</v>
      </c>
      <c r="G347">
        <v>1</v>
      </c>
      <c r="I347">
        <v>3</v>
      </c>
      <c r="L347">
        <v>1</v>
      </c>
      <c r="N347">
        <v>1</v>
      </c>
      <c r="P347">
        <v>2</v>
      </c>
      <c r="U347">
        <v>2</v>
      </c>
      <c r="AD347">
        <v>1</v>
      </c>
    </row>
    <row r="348" spans="2:36" x14ac:dyDescent="0.15">
      <c r="B348">
        <v>69</v>
      </c>
      <c r="D348">
        <v>12</v>
      </c>
      <c r="F348">
        <v>5</v>
      </c>
      <c r="G348">
        <v>3</v>
      </c>
      <c r="H348">
        <v>1</v>
      </c>
      <c r="I348">
        <v>45</v>
      </c>
      <c r="J348">
        <v>1</v>
      </c>
      <c r="K348">
        <v>7</v>
      </c>
      <c r="N348">
        <v>18</v>
      </c>
      <c r="P348">
        <v>2</v>
      </c>
      <c r="T348">
        <v>1</v>
      </c>
      <c r="U348">
        <v>2</v>
      </c>
      <c r="Z348">
        <v>3</v>
      </c>
      <c r="AD348">
        <v>1</v>
      </c>
      <c r="AG348">
        <v>2</v>
      </c>
      <c r="AH348">
        <v>1</v>
      </c>
      <c r="AI348">
        <v>3</v>
      </c>
    </row>
    <row r="350" spans="2:36" x14ac:dyDescent="0.15">
      <c r="C350">
        <v>8</v>
      </c>
      <c r="E350">
        <v>29</v>
      </c>
      <c r="G350">
        <v>27</v>
      </c>
      <c r="H350">
        <v>4</v>
      </c>
      <c r="I350">
        <v>107</v>
      </c>
      <c r="J350">
        <v>12</v>
      </c>
      <c r="K350">
        <v>10</v>
      </c>
      <c r="L350">
        <v>6</v>
      </c>
      <c r="Q350">
        <v>1</v>
      </c>
      <c r="S350">
        <v>6</v>
      </c>
      <c r="U350">
        <v>9</v>
      </c>
      <c r="V350">
        <v>1</v>
      </c>
      <c r="W350">
        <v>5</v>
      </c>
      <c r="AC350">
        <v>1</v>
      </c>
      <c r="AE350">
        <v>2</v>
      </c>
      <c r="AG350">
        <v>2</v>
      </c>
      <c r="AJ350">
        <v>1</v>
      </c>
    </row>
    <row r="352" spans="2:36" x14ac:dyDescent="0.15">
      <c r="E352">
        <v>1</v>
      </c>
      <c r="G352">
        <v>4</v>
      </c>
      <c r="H352">
        <v>1</v>
      </c>
      <c r="I352">
        <v>14</v>
      </c>
      <c r="J352">
        <v>3</v>
      </c>
      <c r="K352">
        <v>7</v>
      </c>
      <c r="L352">
        <v>5</v>
      </c>
      <c r="Q352">
        <v>2</v>
      </c>
      <c r="U352">
        <v>1</v>
      </c>
      <c r="AJ352">
        <v>2</v>
      </c>
    </row>
    <row r="354" spans="2:36" x14ac:dyDescent="0.15">
      <c r="G354">
        <v>1</v>
      </c>
      <c r="H354">
        <v>7</v>
      </c>
      <c r="I354">
        <v>19</v>
      </c>
      <c r="K354">
        <v>4</v>
      </c>
      <c r="L354">
        <v>5</v>
      </c>
      <c r="S354">
        <v>1</v>
      </c>
      <c r="T354">
        <v>1</v>
      </c>
      <c r="U354">
        <v>3</v>
      </c>
      <c r="X354">
        <v>3</v>
      </c>
      <c r="AI354">
        <v>1</v>
      </c>
    </row>
    <row r="355" spans="2:36" x14ac:dyDescent="0.15">
      <c r="B355">
        <v>11</v>
      </c>
      <c r="D355">
        <v>2</v>
      </c>
      <c r="F355">
        <v>1</v>
      </c>
      <c r="H355">
        <v>1</v>
      </c>
      <c r="I355">
        <v>5</v>
      </c>
      <c r="K355">
        <v>3</v>
      </c>
      <c r="L355">
        <v>3</v>
      </c>
      <c r="U355">
        <v>1</v>
      </c>
      <c r="AB355">
        <v>1</v>
      </c>
      <c r="AI355">
        <v>3</v>
      </c>
    </row>
    <row r="356" spans="2:36" x14ac:dyDescent="0.15">
      <c r="B356">
        <v>8</v>
      </c>
      <c r="D356">
        <v>4</v>
      </c>
      <c r="F356">
        <v>7</v>
      </c>
      <c r="I356">
        <v>1</v>
      </c>
      <c r="L356">
        <v>6</v>
      </c>
      <c r="R356">
        <v>1</v>
      </c>
      <c r="AD356">
        <v>2</v>
      </c>
      <c r="AJ356">
        <v>3</v>
      </c>
    </row>
    <row r="357" spans="2:36" x14ac:dyDescent="0.15">
      <c r="B357">
        <v>91</v>
      </c>
      <c r="D357">
        <v>15</v>
      </c>
      <c r="F357">
        <v>25</v>
      </c>
      <c r="G357">
        <v>19</v>
      </c>
      <c r="J357">
        <v>16</v>
      </c>
      <c r="K357">
        <v>4</v>
      </c>
      <c r="L357">
        <v>3</v>
      </c>
      <c r="N357">
        <v>4</v>
      </c>
      <c r="P357">
        <v>3</v>
      </c>
      <c r="R357">
        <v>4</v>
      </c>
      <c r="V357">
        <v>3</v>
      </c>
      <c r="Z357">
        <v>1</v>
      </c>
      <c r="AJ357">
        <v>1</v>
      </c>
    </row>
    <row r="358" spans="2:36" x14ac:dyDescent="0.15">
      <c r="B358">
        <v>2</v>
      </c>
      <c r="F358">
        <v>2</v>
      </c>
      <c r="G358">
        <v>1</v>
      </c>
      <c r="I358">
        <v>4</v>
      </c>
      <c r="N358">
        <v>2</v>
      </c>
      <c r="AG358">
        <v>1</v>
      </c>
    </row>
    <row r="359" spans="2:36" x14ac:dyDescent="0.15">
      <c r="B359">
        <v>10</v>
      </c>
      <c r="D359">
        <v>12</v>
      </c>
      <c r="F359">
        <v>5</v>
      </c>
      <c r="G359">
        <v>3</v>
      </c>
      <c r="I359">
        <v>10</v>
      </c>
      <c r="L359">
        <v>1</v>
      </c>
      <c r="N359">
        <v>1</v>
      </c>
      <c r="P359">
        <v>3</v>
      </c>
      <c r="T359">
        <v>1</v>
      </c>
      <c r="U359">
        <v>2</v>
      </c>
      <c r="AD359">
        <v>1</v>
      </c>
      <c r="AJ359">
        <v>1</v>
      </c>
    </row>
    <row r="360" spans="2:36" x14ac:dyDescent="0.15">
      <c r="B360">
        <v>81</v>
      </c>
      <c r="D360">
        <v>18</v>
      </c>
      <c r="F360">
        <v>7</v>
      </c>
      <c r="G360">
        <v>1</v>
      </c>
      <c r="H360">
        <v>1</v>
      </c>
      <c r="I360">
        <v>49</v>
      </c>
      <c r="K360">
        <v>6</v>
      </c>
      <c r="N360">
        <v>21</v>
      </c>
      <c r="P360">
        <v>3</v>
      </c>
      <c r="R360">
        <v>1</v>
      </c>
      <c r="T360">
        <v>3</v>
      </c>
      <c r="U360">
        <v>3</v>
      </c>
      <c r="Z360">
        <v>3</v>
      </c>
      <c r="AE360">
        <v>2</v>
      </c>
      <c r="AF360">
        <v>1</v>
      </c>
      <c r="AI360">
        <v>2</v>
      </c>
    </row>
    <row r="362" spans="2:36" x14ac:dyDescent="0.15">
      <c r="C362">
        <v>13</v>
      </c>
      <c r="E362">
        <v>75</v>
      </c>
      <c r="G362">
        <v>37</v>
      </c>
      <c r="H362">
        <v>12</v>
      </c>
      <c r="I362">
        <v>200</v>
      </c>
      <c r="J362">
        <v>15</v>
      </c>
      <c r="K362">
        <v>35</v>
      </c>
      <c r="L362">
        <v>29</v>
      </c>
      <c r="Q362">
        <v>9</v>
      </c>
      <c r="S362">
        <v>9</v>
      </c>
      <c r="T362">
        <v>2</v>
      </c>
      <c r="U362">
        <v>8</v>
      </c>
      <c r="V362">
        <v>1</v>
      </c>
      <c r="W362">
        <v>4</v>
      </c>
      <c r="X362">
        <v>4</v>
      </c>
      <c r="AE362">
        <v>2</v>
      </c>
      <c r="AI362">
        <v>1</v>
      </c>
    </row>
    <row r="364" spans="2:36" x14ac:dyDescent="0.15">
      <c r="E364">
        <v>2</v>
      </c>
      <c r="G364">
        <v>1</v>
      </c>
      <c r="H364">
        <v>2</v>
      </c>
      <c r="I364">
        <v>6</v>
      </c>
      <c r="J364">
        <v>3</v>
      </c>
      <c r="K364">
        <v>7</v>
      </c>
      <c r="L364">
        <v>1</v>
      </c>
      <c r="U364">
        <v>2</v>
      </c>
      <c r="X364">
        <v>3</v>
      </c>
      <c r="AC364">
        <v>1</v>
      </c>
      <c r="AE364">
        <v>3</v>
      </c>
    </row>
    <row r="366" spans="2:36" x14ac:dyDescent="0.15">
      <c r="G366">
        <v>2</v>
      </c>
      <c r="H366">
        <v>5</v>
      </c>
      <c r="I366">
        <v>23</v>
      </c>
      <c r="J366">
        <v>3</v>
      </c>
      <c r="K366">
        <v>6</v>
      </c>
      <c r="L366">
        <v>4</v>
      </c>
      <c r="T366">
        <v>2</v>
      </c>
      <c r="U366">
        <v>3</v>
      </c>
      <c r="X366">
        <v>1</v>
      </c>
      <c r="AI366">
        <v>1</v>
      </c>
    </row>
    <row r="367" spans="2:36" x14ac:dyDescent="0.15">
      <c r="B367">
        <v>8</v>
      </c>
      <c r="H367">
        <v>1</v>
      </c>
      <c r="I367">
        <v>2</v>
      </c>
      <c r="K367">
        <v>1</v>
      </c>
      <c r="L367">
        <v>2</v>
      </c>
      <c r="N367">
        <v>1</v>
      </c>
      <c r="AD367">
        <v>1</v>
      </c>
      <c r="AI367">
        <v>1</v>
      </c>
    </row>
    <row r="368" spans="2:36" x14ac:dyDescent="0.15">
      <c r="B368">
        <v>8</v>
      </c>
      <c r="D368">
        <v>4</v>
      </c>
      <c r="F368">
        <v>4</v>
      </c>
      <c r="I368">
        <v>1</v>
      </c>
      <c r="L368">
        <v>1</v>
      </c>
      <c r="R368">
        <v>2</v>
      </c>
      <c r="W368">
        <v>1</v>
      </c>
      <c r="AH368">
        <v>1</v>
      </c>
      <c r="AJ368">
        <v>2</v>
      </c>
    </row>
    <row r="369" spans="2:36" x14ac:dyDescent="0.15">
      <c r="B369">
        <v>90</v>
      </c>
      <c r="D369">
        <v>26</v>
      </c>
      <c r="F369">
        <v>18</v>
      </c>
      <c r="G369">
        <v>8</v>
      </c>
      <c r="J369">
        <v>21</v>
      </c>
      <c r="K369">
        <v>3</v>
      </c>
      <c r="L369">
        <v>2</v>
      </c>
      <c r="N369">
        <v>6</v>
      </c>
      <c r="P369">
        <v>4</v>
      </c>
      <c r="S369">
        <v>1</v>
      </c>
      <c r="T369">
        <v>2</v>
      </c>
      <c r="W369">
        <v>1</v>
      </c>
      <c r="AJ369">
        <v>2</v>
      </c>
    </row>
    <row r="370" spans="2:36" x14ac:dyDescent="0.15">
      <c r="B370">
        <v>5</v>
      </c>
      <c r="D370">
        <v>3</v>
      </c>
      <c r="F370">
        <v>2</v>
      </c>
      <c r="I370">
        <v>6</v>
      </c>
      <c r="L370">
        <v>2</v>
      </c>
      <c r="U370">
        <v>1</v>
      </c>
      <c r="X370">
        <v>1</v>
      </c>
    </row>
    <row r="371" spans="2:36" x14ac:dyDescent="0.15">
      <c r="B371">
        <v>16</v>
      </c>
      <c r="D371">
        <v>7</v>
      </c>
      <c r="F371">
        <v>4</v>
      </c>
      <c r="G371">
        <v>2</v>
      </c>
      <c r="I371">
        <v>3</v>
      </c>
      <c r="L371">
        <v>2</v>
      </c>
      <c r="N371">
        <v>2</v>
      </c>
      <c r="U371">
        <v>2</v>
      </c>
      <c r="AJ371">
        <v>3</v>
      </c>
    </row>
    <row r="372" spans="2:36" x14ac:dyDescent="0.15">
      <c r="B372">
        <v>85</v>
      </c>
      <c r="D372">
        <v>28</v>
      </c>
      <c r="F372">
        <v>10</v>
      </c>
      <c r="G372">
        <v>2</v>
      </c>
      <c r="H372">
        <v>3</v>
      </c>
      <c r="I372">
        <v>45</v>
      </c>
      <c r="J372">
        <v>2</v>
      </c>
      <c r="K372">
        <v>7</v>
      </c>
      <c r="N372">
        <v>24</v>
      </c>
      <c r="P372">
        <v>3</v>
      </c>
      <c r="R372">
        <v>1</v>
      </c>
      <c r="U372">
        <v>4</v>
      </c>
      <c r="W372">
        <v>2</v>
      </c>
      <c r="Z372">
        <v>9</v>
      </c>
      <c r="AB372">
        <v>1</v>
      </c>
      <c r="AF372">
        <v>1</v>
      </c>
      <c r="AH372">
        <v>1</v>
      </c>
    </row>
    <row r="374" spans="2:36" x14ac:dyDescent="0.15">
      <c r="C374">
        <v>8</v>
      </c>
      <c r="E374">
        <v>44</v>
      </c>
      <c r="G374">
        <v>29</v>
      </c>
      <c r="H374">
        <v>12</v>
      </c>
      <c r="I374">
        <v>142</v>
      </c>
      <c r="J374">
        <v>5</v>
      </c>
      <c r="K374">
        <v>17</v>
      </c>
      <c r="L374">
        <v>13</v>
      </c>
      <c r="Q374">
        <v>1</v>
      </c>
      <c r="S374">
        <v>4</v>
      </c>
      <c r="U374">
        <v>6</v>
      </c>
      <c r="W374">
        <v>1</v>
      </c>
      <c r="X374">
        <v>1</v>
      </c>
      <c r="AE374">
        <v>2</v>
      </c>
      <c r="AI374">
        <v>1</v>
      </c>
      <c r="AJ374">
        <v>1</v>
      </c>
    </row>
    <row r="376" spans="2:36" x14ac:dyDescent="0.15">
      <c r="E376">
        <v>9</v>
      </c>
      <c r="G376">
        <v>9</v>
      </c>
      <c r="H376">
        <v>2</v>
      </c>
      <c r="I376">
        <v>10</v>
      </c>
      <c r="J376">
        <v>1</v>
      </c>
      <c r="K376">
        <v>8</v>
      </c>
      <c r="L376">
        <v>7</v>
      </c>
      <c r="Q376">
        <v>1</v>
      </c>
      <c r="T376">
        <v>1</v>
      </c>
      <c r="AG376">
        <v>1</v>
      </c>
      <c r="AJ376">
        <v>3</v>
      </c>
    </row>
    <row r="378" spans="2:36" x14ac:dyDescent="0.15">
      <c r="G378">
        <v>3</v>
      </c>
      <c r="H378">
        <v>12</v>
      </c>
      <c r="I378">
        <v>18</v>
      </c>
      <c r="K378">
        <v>17</v>
      </c>
      <c r="L378">
        <v>1</v>
      </c>
      <c r="T378">
        <v>2</v>
      </c>
      <c r="U378">
        <v>5</v>
      </c>
      <c r="AJ378">
        <v>2</v>
      </c>
    </row>
    <row r="379" spans="2:36" x14ac:dyDescent="0.15">
      <c r="B379">
        <v>9</v>
      </c>
      <c r="D379">
        <v>2</v>
      </c>
      <c r="F379">
        <v>1</v>
      </c>
      <c r="N379">
        <v>2</v>
      </c>
      <c r="AJ379">
        <v>2</v>
      </c>
    </row>
    <row r="380" spans="2:36" x14ac:dyDescent="0.15">
      <c r="B380">
        <v>6</v>
      </c>
      <c r="D380">
        <v>3</v>
      </c>
      <c r="F380">
        <v>3</v>
      </c>
      <c r="G380">
        <v>1</v>
      </c>
      <c r="I380">
        <v>3</v>
      </c>
      <c r="L380">
        <v>8</v>
      </c>
      <c r="R380">
        <v>2</v>
      </c>
      <c r="X380">
        <v>1</v>
      </c>
      <c r="AG380">
        <v>2</v>
      </c>
      <c r="AJ380">
        <v>2</v>
      </c>
    </row>
    <row r="381" spans="2:36" x14ac:dyDescent="0.15">
      <c r="B381">
        <v>49</v>
      </c>
      <c r="D381">
        <v>20</v>
      </c>
      <c r="F381">
        <v>13</v>
      </c>
      <c r="G381">
        <v>3</v>
      </c>
      <c r="H381">
        <v>2</v>
      </c>
      <c r="J381">
        <v>11</v>
      </c>
      <c r="K381">
        <v>4</v>
      </c>
      <c r="L381">
        <v>1</v>
      </c>
      <c r="N381">
        <v>3</v>
      </c>
      <c r="P381">
        <v>5</v>
      </c>
      <c r="R381">
        <v>2</v>
      </c>
      <c r="V381">
        <v>2</v>
      </c>
      <c r="W381">
        <v>1</v>
      </c>
      <c r="X381">
        <v>1</v>
      </c>
    </row>
    <row r="382" spans="2:36" x14ac:dyDescent="0.15">
      <c r="D382">
        <v>2</v>
      </c>
      <c r="F382">
        <v>1</v>
      </c>
      <c r="I382">
        <v>7</v>
      </c>
      <c r="L382">
        <v>2</v>
      </c>
      <c r="U382">
        <v>2</v>
      </c>
      <c r="X382">
        <v>1</v>
      </c>
      <c r="AD382">
        <v>1</v>
      </c>
    </row>
    <row r="383" spans="2:36" x14ac:dyDescent="0.15">
      <c r="B383">
        <v>28</v>
      </c>
      <c r="D383">
        <v>8</v>
      </c>
      <c r="F383">
        <v>7</v>
      </c>
      <c r="G383">
        <v>2</v>
      </c>
      <c r="I383">
        <v>5</v>
      </c>
      <c r="L383">
        <v>1</v>
      </c>
      <c r="P383">
        <v>3</v>
      </c>
      <c r="U383">
        <v>4</v>
      </c>
      <c r="AJ383">
        <v>2</v>
      </c>
    </row>
    <row r="384" spans="2:36" x14ac:dyDescent="0.15">
      <c r="B384">
        <v>86</v>
      </c>
      <c r="D384">
        <v>30</v>
      </c>
      <c r="F384">
        <v>12</v>
      </c>
      <c r="G384">
        <v>7</v>
      </c>
      <c r="I384">
        <v>56</v>
      </c>
      <c r="J384">
        <v>3</v>
      </c>
      <c r="K384">
        <v>7</v>
      </c>
      <c r="N384">
        <v>17</v>
      </c>
      <c r="P384">
        <v>2</v>
      </c>
      <c r="S384">
        <v>2</v>
      </c>
      <c r="T384">
        <v>1</v>
      </c>
      <c r="U384">
        <v>1</v>
      </c>
      <c r="Z384">
        <v>3</v>
      </c>
      <c r="AD384">
        <v>2</v>
      </c>
      <c r="AI384">
        <v>3</v>
      </c>
    </row>
    <row r="386" spans="2:36" x14ac:dyDescent="0.15">
      <c r="C386">
        <v>13</v>
      </c>
      <c r="E386">
        <v>49</v>
      </c>
      <c r="G386">
        <v>31</v>
      </c>
      <c r="H386">
        <v>8</v>
      </c>
      <c r="I386">
        <v>140</v>
      </c>
      <c r="J386">
        <v>7</v>
      </c>
      <c r="K386">
        <v>30</v>
      </c>
      <c r="L386">
        <v>28</v>
      </c>
      <c r="O386">
        <v>1</v>
      </c>
      <c r="Q386">
        <v>4</v>
      </c>
      <c r="S386">
        <v>5</v>
      </c>
      <c r="T386">
        <v>1</v>
      </c>
      <c r="U386">
        <v>4</v>
      </c>
      <c r="V386">
        <v>1</v>
      </c>
      <c r="W386">
        <v>2</v>
      </c>
      <c r="X386">
        <v>4</v>
      </c>
      <c r="AJ386">
        <v>2</v>
      </c>
    </row>
    <row r="388" spans="2:36" x14ac:dyDescent="0.15">
      <c r="E388">
        <v>4</v>
      </c>
      <c r="G388">
        <v>7</v>
      </c>
      <c r="H388">
        <v>1</v>
      </c>
      <c r="I388">
        <v>9</v>
      </c>
      <c r="J388">
        <v>2</v>
      </c>
      <c r="K388">
        <v>10</v>
      </c>
      <c r="L388">
        <v>5</v>
      </c>
      <c r="S388">
        <v>3</v>
      </c>
      <c r="V388">
        <v>1</v>
      </c>
      <c r="W388">
        <v>1</v>
      </c>
      <c r="X388">
        <v>2</v>
      </c>
      <c r="AE388">
        <v>1</v>
      </c>
      <c r="AJ388">
        <v>4</v>
      </c>
    </row>
    <row r="390" spans="2:36" x14ac:dyDescent="0.15">
      <c r="G390">
        <v>3</v>
      </c>
      <c r="H390">
        <v>8</v>
      </c>
      <c r="I390">
        <v>26</v>
      </c>
      <c r="J390">
        <v>4</v>
      </c>
      <c r="K390">
        <v>13</v>
      </c>
      <c r="L390">
        <v>8</v>
      </c>
      <c r="T390">
        <v>1</v>
      </c>
      <c r="U390">
        <v>2</v>
      </c>
      <c r="X390">
        <v>1</v>
      </c>
      <c r="AI390">
        <v>1</v>
      </c>
      <c r="AJ390">
        <v>3</v>
      </c>
    </row>
    <row r="391" spans="2:36" x14ac:dyDescent="0.15">
      <c r="B391">
        <v>7</v>
      </c>
      <c r="D391">
        <v>5</v>
      </c>
      <c r="I391">
        <v>1</v>
      </c>
      <c r="J391">
        <v>3</v>
      </c>
      <c r="K391">
        <v>3</v>
      </c>
      <c r="L391">
        <v>2</v>
      </c>
      <c r="N391">
        <v>1</v>
      </c>
      <c r="AI391">
        <v>2</v>
      </c>
    </row>
    <row r="392" spans="2:36" x14ac:dyDescent="0.15">
      <c r="B392">
        <v>7</v>
      </c>
      <c r="D392">
        <v>5</v>
      </c>
      <c r="F392">
        <v>8</v>
      </c>
      <c r="K392">
        <v>1</v>
      </c>
      <c r="L392">
        <v>10</v>
      </c>
      <c r="N392">
        <v>1</v>
      </c>
      <c r="R392">
        <v>3</v>
      </c>
      <c r="AJ392">
        <v>5</v>
      </c>
    </row>
    <row r="393" spans="2:36" x14ac:dyDescent="0.15">
      <c r="B393">
        <v>61</v>
      </c>
      <c r="D393">
        <v>10</v>
      </c>
      <c r="F393">
        <v>16</v>
      </c>
      <c r="G393">
        <v>6</v>
      </c>
      <c r="J393">
        <v>14</v>
      </c>
      <c r="K393">
        <v>1</v>
      </c>
      <c r="L393">
        <v>7</v>
      </c>
      <c r="N393">
        <v>4</v>
      </c>
      <c r="P393">
        <v>2</v>
      </c>
      <c r="V393">
        <v>1</v>
      </c>
      <c r="W393">
        <v>1</v>
      </c>
      <c r="AD393">
        <v>1</v>
      </c>
      <c r="AJ393">
        <v>1</v>
      </c>
    </row>
    <row r="394" spans="2:36" x14ac:dyDescent="0.15">
      <c r="B394">
        <v>7</v>
      </c>
      <c r="D394">
        <v>1</v>
      </c>
      <c r="F394">
        <v>2</v>
      </c>
      <c r="G394">
        <v>1</v>
      </c>
      <c r="I394">
        <v>6</v>
      </c>
      <c r="L394">
        <v>4</v>
      </c>
      <c r="U394">
        <v>1</v>
      </c>
      <c r="AJ394">
        <v>1</v>
      </c>
    </row>
    <row r="395" spans="2:36" x14ac:dyDescent="0.15">
      <c r="B395">
        <v>25</v>
      </c>
      <c r="D395">
        <v>8</v>
      </c>
      <c r="F395">
        <v>6</v>
      </c>
      <c r="G395">
        <v>1</v>
      </c>
      <c r="I395">
        <v>12</v>
      </c>
      <c r="L395">
        <v>3</v>
      </c>
      <c r="N395">
        <v>1</v>
      </c>
      <c r="P395">
        <v>2</v>
      </c>
      <c r="U395">
        <v>1</v>
      </c>
      <c r="Z395">
        <v>1</v>
      </c>
      <c r="AJ395">
        <v>4</v>
      </c>
    </row>
    <row r="396" spans="2:36" x14ac:dyDescent="0.15">
      <c r="B396">
        <v>119</v>
      </c>
      <c r="D396">
        <v>40</v>
      </c>
      <c r="F396">
        <v>12</v>
      </c>
      <c r="G396">
        <v>9</v>
      </c>
      <c r="H396">
        <v>3</v>
      </c>
      <c r="I396">
        <v>76</v>
      </c>
      <c r="J396">
        <v>2</v>
      </c>
      <c r="K396">
        <v>10</v>
      </c>
      <c r="N396">
        <v>22</v>
      </c>
      <c r="U396">
        <v>3</v>
      </c>
      <c r="V396">
        <v>1</v>
      </c>
      <c r="W396">
        <v>1</v>
      </c>
      <c r="Z396">
        <v>1</v>
      </c>
      <c r="AE396">
        <v>1</v>
      </c>
      <c r="AH396">
        <v>1</v>
      </c>
      <c r="AI396">
        <v>2</v>
      </c>
    </row>
    <row r="398" spans="2:36" x14ac:dyDescent="0.15">
      <c r="C398">
        <v>10</v>
      </c>
      <c r="E398">
        <v>46</v>
      </c>
      <c r="G398">
        <v>41</v>
      </c>
      <c r="H398">
        <v>15</v>
      </c>
      <c r="I398">
        <v>129</v>
      </c>
      <c r="J398">
        <v>9</v>
      </c>
      <c r="K398">
        <v>53</v>
      </c>
      <c r="L398">
        <v>27</v>
      </c>
      <c r="Q398">
        <v>5</v>
      </c>
      <c r="S398">
        <v>7</v>
      </c>
      <c r="U398">
        <v>6</v>
      </c>
      <c r="W398">
        <v>1</v>
      </c>
      <c r="X398">
        <v>4</v>
      </c>
      <c r="AF398">
        <v>1</v>
      </c>
      <c r="AJ398">
        <v>1</v>
      </c>
    </row>
    <row r="400" spans="2:36" x14ac:dyDescent="0.15">
      <c r="E400">
        <v>7</v>
      </c>
      <c r="G400">
        <v>14</v>
      </c>
      <c r="H400">
        <v>3</v>
      </c>
      <c r="I400">
        <v>3</v>
      </c>
      <c r="J400">
        <v>3</v>
      </c>
      <c r="K400">
        <v>9</v>
      </c>
      <c r="L400">
        <v>9</v>
      </c>
      <c r="S400">
        <v>1</v>
      </c>
      <c r="X400">
        <v>1</v>
      </c>
      <c r="AC400">
        <v>2</v>
      </c>
      <c r="AJ400">
        <v>4</v>
      </c>
    </row>
    <row r="402" spans="2:36" x14ac:dyDescent="0.15">
      <c r="G402">
        <v>6</v>
      </c>
      <c r="H402">
        <v>7</v>
      </c>
      <c r="I402">
        <v>27</v>
      </c>
      <c r="J402">
        <v>1</v>
      </c>
      <c r="K402">
        <v>11</v>
      </c>
      <c r="L402">
        <v>5</v>
      </c>
      <c r="T402">
        <v>4</v>
      </c>
      <c r="U402">
        <v>7</v>
      </c>
      <c r="W402">
        <v>1</v>
      </c>
      <c r="X402">
        <v>1</v>
      </c>
      <c r="AI402">
        <v>2</v>
      </c>
    </row>
    <row r="403" spans="2:36" x14ac:dyDescent="0.15">
      <c r="B403">
        <v>14</v>
      </c>
      <c r="D403">
        <v>5</v>
      </c>
      <c r="F403">
        <v>1</v>
      </c>
      <c r="H403">
        <v>3</v>
      </c>
      <c r="I403">
        <v>2</v>
      </c>
      <c r="J403">
        <v>1</v>
      </c>
      <c r="K403">
        <v>1</v>
      </c>
      <c r="L403">
        <v>6</v>
      </c>
      <c r="N403">
        <v>1</v>
      </c>
      <c r="R403">
        <v>1</v>
      </c>
    </row>
    <row r="404" spans="2:36" x14ac:dyDescent="0.15">
      <c r="B404">
        <v>6</v>
      </c>
      <c r="D404">
        <v>2</v>
      </c>
      <c r="F404">
        <v>2</v>
      </c>
      <c r="G404">
        <v>3</v>
      </c>
      <c r="J404">
        <v>1</v>
      </c>
      <c r="L404">
        <v>10</v>
      </c>
      <c r="N404">
        <v>1</v>
      </c>
      <c r="R404">
        <v>3</v>
      </c>
      <c r="AJ404">
        <v>3</v>
      </c>
    </row>
    <row r="405" spans="2:36" x14ac:dyDescent="0.15">
      <c r="B405">
        <v>50</v>
      </c>
      <c r="D405">
        <v>15</v>
      </c>
      <c r="F405">
        <v>11</v>
      </c>
      <c r="G405">
        <v>10</v>
      </c>
      <c r="H405">
        <v>2</v>
      </c>
      <c r="J405">
        <v>13</v>
      </c>
      <c r="K405">
        <v>4</v>
      </c>
      <c r="N405">
        <v>6</v>
      </c>
      <c r="P405">
        <v>3</v>
      </c>
      <c r="R405">
        <v>1</v>
      </c>
      <c r="V405">
        <v>3</v>
      </c>
      <c r="W405">
        <v>2</v>
      </c>
    </row>
    <row r="406" spans="2:36" x14ac:dyDescent="0.15">
      <c r="B406">
        <v>2</v>
      </c>
      <c r="D406">
        <v>5</v>
      </c>
      <c r="F406">
        <v>1</v>
      </c>
      <c r="G406">
        <v>1</v>
      </c>
      <c r="I406">
        <v>3</v>
      </c>
      <c r="L406">
        <v>2</v>
      </c>
      <c r="N406">
        <v>3</v>
      </c>
      <c r="R406">
        <v>1</v>
      </c>
      <c r="U406">
        <v>3</v>
      </c>
    </row>
    <row r="407" spans="2:36" x14ac:dyDescent="0.15">
      <c r="B407">
        <v>26</v>
      </c>
      <c r="D407">
        <v>14</v>
      </c>
      <c r="F407">
        <v>6</v>
      </c>
      <c r="G407">
        <v>4</v>
      </c>
      <c r="I407">
        <v>6</v>
      </c>
      <c r="L407">
        <v>4</v>
      </c>
      <c r="P407">
        <v>1</v>
      </c>
      <c r="T407">
        <v>2</v>
      </c>
      <c r="Z407">
        <v>1</v>
      </c>
      <c r="AD407">
        <v>1</v>
      </c>
      <c r="AJ407">
        <v>2</v>
      </c>
    </row>
    <row r="408" spans="2:36" x14ac:dyDescent="0.15">
      <c r="B408">
        <v>94</v>
      </c>
      <c r="D408">
        <v>27</v>
      </c>
      <c r="F408">
        <v>13</v>
      </c>
      <c r="G408">
        <v>4</v>
      </c>
      <c r="H408">
        <v>4</v>
      </c>
      <c r="I408">
        <v>58</v>
      </c>
      <c r="J408">
        <v>4</v>
      </c>
      <c r="K408">
        <v>10</v>
      </c>
      <c r="N408">
        <v>19</v>
      </c>
      <c r="P408">
        <v>5</v>
      </c>
      <c r="R408">
        <v>1</v>
      </c>
      <c r="S408">
        <v>2</v>
      </c>
      <c r="U408">
        <v>3</v>
      </c>
      <c r="W408">
        <v>1</v>
      </c>
      <c r="Z408">
        <v>1</v>
      </c>
      <c r="AB408">
        <v>1</v>
      </c>
      <c r="AD408">
        <v>1</v>
      </c>
      <c r="AH408">
        <v>2</v>
      </c>
      <c r="AI408">
        <v>2</v>
      </c>
    </row>
    <row r="410" spans="2:36" x14ac:dyDescent="0.15">
      <c r="C410">
        <v>19</v>
      </c>
      <c r="E410">
        <v>82</v>
      </c>
      <c r="G410">
        <v>54</v>
      </c>
      <c r="H410">
        <v>19</v>
      </c>
      <c r="I410">
        <v>159</v>
      </c>
      <c r="J410">
        <v>16</v>
      </c>
      <c r="K410">
        <v>38</v>
      </c>
      <c r="L410">
        <v>41</v>
      </c>
      <c r="Q410">
        <v>4</v>
      </c>
      <c r="S410">
        <v>8</v>
      </c>
      <c r="U410">
        <v>5</v>
      </c>
      <c r="V410">
        <v>2</v>
      </c>
      <c r="W410">
        <v>6</v>
      </c>
      <c r="X410">
        <v>4</v>
      </c>
      <c r="AC410">
        <v>2</v>
      </c>
      <c r="AF410">
        <v>1</v>
      </c>
      <c r="AG410">
        <v>2</v>
      </c>
      <c r="AJ410">
        <v>2</v>
      </c>
    </row>
    <row r="412" spans="2:36" x14ac:dyDescent="0.15">
      <c r="E412">
        <v>15</v>
      </c>
      <c r="G412">
        <v>9</v>
      </c>
      <c r="H412">
        <v>1</v>
      </c>
      <c r="I412">
        <v>12</v>
      </c>
      <c r="J412">
        <v>4</v>
      </c>
      <c r="K412">
        <v>14</v>
      </c>
      <c r="L412">
        <v>11</v>
      </c>
      <c r="Q412">
        <v>1</v>
      </c>
      <c r="S412">
        <v>1</v>
      </c>
      <c r="T412">
        <v>1</v>
      </c>
      <c r="U412">
        <v>1</v>
      </c>
      <c r="V412">
        <v>1</v>
      </c>
      <c r="AF412">
        <v>1</v>
      </c>
      <c r="AJ412">
        <v>1</v>
      </c>
    </row>
    <row r="414" spans="2:36" x14ac:dyDescent="0.15">
      <c r="G414">
        <v>5</v>
      </c>
      <c r="H414">
        <v>3</v>
      </c>
      <c r="I414">
        <v>34</v>
      </c>
      <c r="J414">
        <v>5</v>
      </c>
      <c r="K414">
        <v>11</v>
      </c>
      <c r="L414">
        <v>11</v>
      </c>
      <c r="T414">
        <v>1</v>
      </c>
      <c r="U414">
        <v>2</v>
      </c>
      <c r="V414">
        <v>1</v>
      </c>
      <c r="AF414">
        <v>1</v>
      </c>
      <c r="AJ414">
        <v>1</v>
      </c>
    </row>
    <row r="415" spans="2:36" x14ac:dyDescent="0.15">
      <c r="B415">
        <v>17</v>
      </c>
      <c r="D415">
        <v>4</v>
      </c>
      <c r="F415">
        <v>2</v>
      </c>
      <c r="H415">
        <v>2</v>
      </c>
      <c r="I415">
        <v>3</v>
      </c>
      <c r="K415">
        <v>1</v>
      </c>
      <c r="L415">
        <v>5</v>
      </c>
      <c r="R415">
        <v>1</v>
      </c>
      <c r="AI415">
        <v>1</v>
      </c>
    </row>
    <row r="416" spans="2:36" x14ac:dyDescent="0.15">
      <c r="B416">
        <v>18</v>
      </c>
      <c r="D416">
        <v>4</v>
      </c>
      <c r="F416">
        <v>13</v>
      </c>
      <c r="G416">
        <v>2</v>
      </c>
      <c r="I416">
        <v>1</v>
      </c>
      <c r="L416">
        <v>10</v>
      </c>
      <c r="N416">
        <v>1</v>
      </c>
      <c r="P416">
        <v>1</v>
      </c>
      <c r="R416">
        <v>1</v>
      </c>
      <c r="S416">
        <v>1</v>
      </c>
      <c r="X416">
        <v>1</v>
      </c>
      <c r="Z416">
        <v>1</v>
      </c>
      <c r="AD416">
        <v>1</v>
      </c>
      <c r="AE416">
        <v>3</v>
      </c>
      <c r="AJ416">
        <v>4</v>
      </c>
    </row>
    <row r="417" spans="2:36" x14ac:dyDescent="0.15">
      <c r="B417">
        <v>78</v>
      </c>
      <c r="D417">
        <v>17</v>
      </c>
      <c r="F417">
        <v>18</v>
      </c>
      <c r="G417">
        <v>8</v>
      </c>
      <c r="J417">
        <v>18</v>
      </c>
      <c r="K417">
        <v>4</v>
      </c>
      <c r="L417">
        <v>3</v>
      </c>
      <c r="N417">
        <v>6</v>
      </c>
      <c r="P417">
        <v>4</v>
      </c>
      <c r="R417">
        <v>1</v>
      </c>
      <c r="S417">
        <v>2</v>
      </c>
      <c r="T417">
        <v>1</v>
      </c>
      <c r="V417">
        <v>3</v>
      </c>
    </row>
    <row r="418" spans="2:36" x14ac:dyDescent="0.15">
      <c r="B418">
        <v>4</v>
      </c>
      <c r="D418">
        <v>6</v>
      </c>
      <c r="F418">
        <v>1</v>
      </c>
      <c r="I418">
        <v>5</v>
      </c>
      <c r="AG418">
        <v>1</v>
      </c>
    </row>
    <row r="419" spans="2:36" x14ac:dyDescent="0.15">
      <c r="B419">
        <v>29</v>
      </c>
      <c r="D419">
        <v>16</v>
      </c>
      <c r="F419">
        <v>4</v>
      </c>
      <c r="G419">
        <v>2</v>
      </c>
      <c r="I419">
        <v>8</v>
      </c>
      <c r="L419">
        <v>6</v>
      </c>
      <c r="N419">
        <v>1</v>
      </c>
      <c r="P419">
        <v>3</v>
      </c>
      <c r="T419">
        <v>1</v>
      </c>
      <c r="Z419">
        <v>2</v>
      </c>
      <c r="AB419">
        <v>1</v>
      </c>
      <c r="AJ419">
        <v>2</v>
      </c>
    </row>
    <row r="420" spans="2:36" x14ac:dyDescent="0.15">
      <c r="B420">
        <v>131</v>
      </c>
      <c r="D420">
        <v>35</v>
      </c>
      <c r="F420">
        <v>16</v>
      </c>
      <c r="G420">
        <v>13</v>
      </c>
      <c r="H420">
        <v>1</v>
      </c>
      <c r="I420">
        <v>57</v>
      </c>
      <c r="J420">
        <v>2</v>
      </c>
      <c r="K420">
        <v>9</v>
      </c>
      <c r="N420">
        <v>25</v>
      </c>
      <c r="P420">
        <v>8</v>
      </c>
      <c r="R420">
        <v>4</v>
      </c>
      <c r="S420">
        <v>2</v>
      </c>
      <c r="T420">
        <v>1</v>
      </c>
      <c r="U420">
        <v>7</v>
      </c>
      <c r="V420">
        <v>1</v>
      </c>
      <c r="Z420">
        <v>1</v>
      </c>
      <c r="AB420">
        <v>2</v>
      </c>
      <c r="AD420">
        <v>1</v>
      </c>
      <c r="AE420">
        <v>1</v>
      </c>
      <c r="AG420">
        <v>1</v>
      </c>
      <c r="AH420">
        <v>1</v>
      </c>
    </row>
    <row r="422" spans="2:36" x14ac:dyDescent="0.15">
      <c r="C422">
        <v>15</v>
      </c>
      <c r="E422">
        <v>43</v>
      </c>
      <c r="G422">
        <v>58</v>
      </c>
      <c r="H422">
        <v>21</v>
      </c>
      <c r="I422">
        <v>111</v>
      </c>
      <c r="J422">
        <v>7</v>
      </c>
      <c r="K422">
        <v>33</v>
      </c>
      <c r="L422">
        <v>41</v>
      </c>
      <c r="Q422">
        <v>1</v>
      </c>
      <c r="S422">
        <v>7</v>
      </c>
      <c r="T422">
        <v>3</v>
      </c>
      <c r="U422">
        <v>5</v>
      </c>
      <c r="W422">
        <v>2</v>
      </c>
      <c r="X422">
        <v>4</v>
      </c>
      <c r="AE422">
        <v>2</v>
      </c>
      <c r="AI422">
        <v>1</v>
      </c>
      <c r="AJ422">
        <v>1</v>
      </c>
    </row>
    <row r="424" spans="2:36" x14ac:dyDescent="0.15">
      <c r="E424">
        <v>7</v>
      </c>
      <c r="G424">
        <v>8</v>
      </c>
      <c r="H424">
        <v>1</v>
      </c>
      <c r="I424">
        <v>9</v>
      </c>
      <c r="J424">
        <v>3</v>
      </c>
      <c r="K424">
        <v>21</v>
      </c>
      <c r="L424">
        <v>15</v>
      </c>
      <c r="AJ424">
        <v>4</v>
      </c>
    </row>
    <row r="426" spans="2:36" x14ac:dyDescent="0.15">
      <c r="G426">
        <v>7</v>
      </c>
      <c r="H426">
        <v>11</v>
      </c>
      <c r="I426">
        <v>21</v>
      </c>
      <c r="J426">
        <v>4</v>
      </c>
      <c r="K426">
        <v>10</v>
      </c>
      <c r="L426">
        <v>7</v>
      </c>
      <c r="T426">
        <v>2</v>
      </c>
      <c r="U426">
        <v>1</v>
      </c>
      <c r="W426">
        <v>1</v>
      </c>
      <c r="X426">
        <v>1</v>
      </c>
      <c r="AH426">
        <v>1</v>
      </c>
      <c r="AJ426">
        <v>2</v>
      </c>
    </row>
    <row r="427" spans="2:36" x14ac:dyDescent="0.15">
      <c r="B427">
        <v>16</v>
      </c>
      <c r="D427">
        <v>5</v>
      </c>
      <c r="F427">
        <v>1</v>
      </c>
      <c r="J427">
        <v>1</v>
      </c>
      <c r="K427">
        <v>1</v>
      </c>
      <c r="L427">
        <v>4</v>
      </c>
      <c r="N427">
        <v>1</v>
      </c>
      <c r="AJ427">
        <v>1</v>
      </c>
    </row>
    <row r="428" spans="2:36" x14ac:dyDescent="0.15">
      <c r="B428">
        <v>5</v>
      </c>
      <c r="D428">
        <v>3</v>
      </c>
      <c r="F428">
        <v>9</v>
      </c>
      <c r="I428">
        <v>2</v>
      </c>
      <c r="L428">
        <v>11</v>
      </c>
      <c r="N428">
        <v>3</v>
      </c>
      <c r="AD428">
        <v>1</v>
      </c>
      <c r="AE428">
        <v>1</v>
      </c>
      <c r="AJ428">
        <v>2</v>
      </c>
    </row>
    <row r="429" spans="2:36" x14ac:dyDescent="0.15">
      <c r="B429">
        <v>84</v>
      </c>
      <c r="D429">
        <v>22</v>
      </c>
      <c r="F429">
        <v>15</v>
      </c>
      <c r="G429">
        <v>6</v>
      </c>
      <c r="H429">
        <v>1</v>
      </c>
      <c r="J429">
        <v>12</v>
      </c>
      <c r="K429">
        <v>5</v>
      </c>
      <c r="L429">
        <v>1</v>
      </c>
      <c r="N429">
        <v>5</v>
      </c>
      <c r="P429">
        <v>4</v>
      </c>
      <c r="R429">
        <v>2</v>
      </c>
      <c r="AJ429">
        <v>1</v>
      </c>
    </row>
    <row r="430" spans="2:36" x14ac:dyDescent="0.15">
      <c r="B430">
        <v>13</v>
      </c>
      <c r="D430">
        <v>2</v>
      </c>
      <c r="I430">
        <v>1</v>
      </c>
      <c r="L430">
        <v>3</v>
      </c>
      <c r="N430">
        <v>1</v>
      </c>
      <c r="P430">
        <v>1</v>
      </c>
      <c r="T430">
        <v>1</v>
      </c>
      <c r="U430">
        <v>2</v>
      </c>
      <c r="AF430">
        <v>1</v>
      </c>
    </row>
    <row r="431" spans="2:36" x14ac:dyDescent="0.15">
      <c r="B431">
        <v>26</v>
      </c>
      <c r="D431">
        <v>11</v>
      </c>
      <c r="F431">
        <v>7</v>
      </c>
      <c r="G431">
        <v>2</v>
      </c>
      <c r="H431">
        <v>1</v>
      </c>
      <c r="I431">
        <v>5</v>
      </c>
      <c r="L431">
        <v>2</v>
      </c>
      <c r="N431">
        <v>1</v>
      </c>
      <c r="P431">
        <v>2</v>
      </c>
      <c r="R431">
        <v>1</v>
      </c>
      <c r="S431">
        <v>1</v>
      </c>
      <c r="Z431">
        <v>2</v>
      </c>
      <c r="AE431">
        <v>1</v>
      </c>
      <c r="AF431">
        <v>1</v>
      </c>
      <c r="AJ431">
        <v>2</v>
      </c>
    </row>
    <row r="432" spans="2:36" x14ac:dyDescent="0.15">
      <c r="B432">
        <v>126</v>
      </c>
      <c r="D432">
        <v>44</v>
      </c>
      <c r="F432">
        <v>9</v>
      </c>
      <c r="G432">
        <v>6</v>
      </c>
      <c r="H432">
        <v>6</v>
      </c>
      <c r="I432">
        <v>56</v>
      </c>
      <c r="J432">
        <v>4</v>
      </c>
      <c r="K432">
        <v>16</v>
      </c>
      <c r="N432">
        <v>32</v>
      </c>
      <c r="P432">
        <v>14</v>
      </c>
      <c r="R432">
        <v>2</v>
      </c>
      <c r="S432">
        <v>2</v>
      </c>
      <c r="U432">
        <v>7</v>
      </c>
      <c r="Z432">
        <v>1</v>
      </c>
      <c r="AB432">
        <v>2</v>
      </c>
      <c r="AE432">
        <v>1</v>
      </c>
      <c r="AF432">
        <v>1</v>
      </c>
      <c r="AI432">
        <v>2</v>
      </c>
    </row>
    <row r="434" spans="2:36" x14ac:dyDescent="0.15">
      <c r="C434">
        <v>26</v>
      </c>
      <c r="E434">
        <v>103</v>
      </c>
      <c r="G434">
        <v>78</v>
      </c>
      <c r="H434">
        <v>22</v>
      </c>
      <c r="I434">
        <v>136</v>
      </c>
      <c r="J434">
        <v>14</v>
      </c>
      <c r="K434">
        <v>37</v>
      </c>
      <c r="L434">
        <v>55</v>
      </c>
      <c r="O434">
        <v>2</v>
      </c>
      <c r="Q434">
        <v>7</v>
      </c>
      <c r="S434">
        <v>7</v>
      </c>
      <c r="U434">
        <v>6</v>
      </c>
      <c r="V434">
        <v>1</v>
      </c>
      <c r="W434">
        <v>6</v>
      </c>
      <c r="X434">
        <v>5</v>
      </c>
      <c r="AC434">
        <v>2</v>
      </c>
      <c r="AE434">
        <v>8</v>
      </c>
      <c r="AF434">
        <v>2</v>
      </c>
      <c r="AG434">
        <v>1</v>
      </c>
      <c r="AH434">
        <v>1</v>
      </c>
      <c r="AI434">
        <v>2</v>
      </c>
      <c r="AJ434">
        <v>8</v>
      </c>
    </row>
    <row r="436" spans="2:36" x14ac:dyDescent="0.15">
      <c r="E436">
        <v>13</v>
      </c>
      <c r="G436">
        <v>17</v>
      </c>
      <c r="H436">
        <v>2</v>
      </c>
      <c r="I436">
        <v>7</v>
      </c>
      <c r="J436">
        <v>5</v>
      </c>
      <c r="K436">
        <v>15</v>
      </c>
      <c r="L436">
        <v>17</v>
      </c>
      <c r="Q436">
        <v>1</v>
      </c>
      <c r="S436">
        <v>2</v>
      </c>
      <c r="U436">
        <v>1</v>
      </c>
      <c r="V436">
        <v>1</v>
      </c>
      <c r="X436">
        <v>1</v>
      </c>
      <c r="AJ436">
        <v>1</v>
      </c>
    </row>
    <row r="438" spans="2:36" x14ac:dyDescent="0.15">
      <c r="G438">
        <v>4</v>
      </c>
      <c r="H438">
        <v>11</v>
      </c>
      <c r="I438">
        <v>22</v>
      </c>
      <c r="J438">
        <v>1</v>
      </c>
      <c r="K438">
        <v>13</v>
      </c>
      <c r="L438">
        <v>16</v>
      </c>
      <c r="T438">
        <v>2</v>
      </c>
      <c r="U438">
        <v>2</v>
      </c>
      <c r="W438">
        <v>1</v>
      </c>
      <c r="AF438">
        <v>1</v>
      </c>
    </row>
    <row r="439" spans="2:36" x14ac:dyDescent="0.15">
      <c r="B439">
        <v>24</v>
      </c>
      <c r="D439">
        <v>5</v>
      </c>
      <c r="F439">
        <v>1</v>
      </c>
      <c r="H439">
        <v>1</v>
      </c>
      <c r="I439">
        <v>3</v>
      </c>
      <c r="J439">
        <v>1</v>
      </c>
      <c r="K439">
        <v>3</v>
      </c>
      <c r="L439">
        <v>3</v>
      </c>
      <c r="N439">
        <v>1</v>
      </c>
      <c r="AB439">
        <v>2</v>
      </c>
      <c r="AI439">
        <v>1</v>
      </c>
      <c r="AJ439">
        <v>1</v>
      </c>
    </row>
    <row r="440" spans="2:36" x14ac:dyDescent="0.15">
      <c r="B440">
        <v>11</v>
      </c>
      <c r="D440">
        <v>5</v>
      </c>
      <c r="F440">
        <v>13</v>
      </c>
      <c r="G440">
        <v>3</v>
      </c>
      <c r="I440">
        <v>1</v>
      </c>
      <c r="J440">
        <v>2</v>
      </c>
      <c r="L440">
        <v>11</v>
      </c>
      <c r="N440">
        <v>1</v>
      </c>
      <c r="P440">
        <v>1</v>
      </c>
      <c r="R440">
        <v>1</v>
      </c>
      <c r="S440">
        <v>1</v>
      </c>
      <c r="X440">
        <v>2</v>
      </c>
      <c r="AB440">
        <v>1</v>
      </c>
      <c r="AD440">
        <v>3</v>
      </c>
      <c r="AJ440">
        <v>4</v>
      </c>
    </row>
    <row r="441" spans="2:36" x14ac:dyDescent="0.15">
      <c r="B441">
        <v>64</v>
      </c>
      <c r="D441">
        <v>18</v>
      </c>
      <c r="F441">
        <v>22</v>
      </c>
      <c r="G441">
        <v>13</v>
      </c>
      <c r="H441">
        <v>3</v>
      </c>
      <c r="J441">
        <v>3</v>
      </c>
      <c r="K441">
        <v>6</v>
      </c>
      <c r="N441">
        <v>2</v>
      </c>
      <c r="P441">
        <v>3</v>
      </c>
      <c r="R441">
        <v>2</v>
      </c>
      <c r="S441">
        <v>1</v>
      </c>
      <c r="V441">
        <v>1</v>
      </c>
      <c r="W441">
        <v>1</v>
      </c>
      <c r="AH441">
        <v>1</v>
      </c>
    </row>
    <row r="442" spans="2:36" x14ac:dyDescent="0.15">
      <c r="B442">
        <v>7</v>
      </c>
      <c r="D442">
        <v>5</v>
      </c>
      <c r="I442">
        <v>5</v>
      </c>
      <c r="L442">
        <v>1</v>
      </c>
      <c r="P442">
        <v>1</v>
      </c>
      <c r="R442">
        <v>1</v>
      </c>
      <c r="U442">
        <v>1</v>
      </c>
      <c r="X442">
        <v>1</v>
      </c>
    </row>
    <row r="443" spans="2:36" x14ac:dyDescent="0.15">
      <c r="B443">
        <v>40</v>
      </c>
      <c r="D443">
        <v>15</v>
      </c>
      <c r="F443">
        <v>9</v>
      </c>
      <c r="G443">
        <v>4</v>
      </c>
      <c r="I443">
        <v>3</v>
      </c>
      <c r="L443">
        <v>5</v>
      </c>
      <c r="N443">
        <v>3</v>
      </c>
      <c r="P443">
        <v>4</v>
      </c>
      <c r="R443">
        <v>2</v>
      </c>
      <c r="U443">
        <v>3</v>
      </c>
      <c r="Z443">
        <v>1</v>
      </c>
      <c r="AJ443">
        <v>3</v>
      </c>
    </row>
    <row r="444" spans="2:36" x14ac:dyDescent="0.15">
      <c r="B444">
        <v>138</v>
      </c>
      <c r="D444">
        <v>46</v>
      </c>
      <c r="F444">
        <v>18</v>
      </c>
      <c r="G444">
        <v>8</v>
      </c>
      <c r="H444">
        <v>1</v>
      </c>
      <c r="I444">
        <v>61</v>
      </c>
      <c r="J444">
        <v>4</v>
      </c>
      <c r="K444">
        <v>19</v>
      </c>
      <c r="N444">
        <v>35</v>
      </c>
      <c r="P444">
        <v>16</v>
      </c>
      <c r="R444">
        <v>1</v>
      </c>
      <c r="S444">
        <v>2</v>
      </c>
      <c r="T444">
        <v>1</v>
      </c>
      <c r="U444">
        <v>7</v>
      </c>
      <c r="W444">
        <v>2</v>
      </c>
      <c r="Z444">
        <v>2</v>
      </c>
      <c r="AB444">
        <v>3</v>
      </c>
      <c r="AD444">
        <v>1</v>
      </c>
      <c r="AE444">
        <v>3</v>
      </c>
      <c r="AF444">
        <v>2</v>
      </c>
      <c r="AI444">
        <v>2</v>
      </c>
    </row>
    <row r="446" spans="2:36" x14ac:dyDescent="0.15">
      <c r="C446">
        <v>32</v>
      </c>
      <c r="E446">
        <v>136</v>
      </c>
      <c r="G446">
        <v>113</v>
      </c>
      <c r="H446">
        <v>28</v>
      </c>
      <c r="I446">
        <v>212</v>
      </c>
      <c r="J446">
        <v>18</v>
      </c>
      <c r="K446">
        <v>58</v>
      </c>
      <c r="L446">
        <v>73</v>
      </c>
      <c r="Q446">
        <v>9</v>
      </c>
      <c r="S446">
        <v>16</v>
      </c>
      <c r="T446">
        <v>3</v>
      </c>
      <c r="U446">
        <v>8</v>
      </c>
      <c r="W446">
        <v>8</v>
      </c>
      <c r="X446">
        <v>8</v>
      </c>
      <c r="AA446">
        <v>1</v>
      </c>
      <c r="AC446">
        <v>6</v>
      </c>
      <c r="AE446">
        <v>10</v>
      </c>
      <c r="AF446">
        <v>1</v>
      </c>
      <c r="AG446">
        <v>1</v>
      </c>
      <c r="AH446">
        <v>2</v>
      </c>
      <c r="AI446">
        <v>3</v>
      </c>
      <c r="AJ446">
        <v>8</v>
      </c>
    </row>
    <row r="448" spans="2:36" x14ac:dyDescent="0.15">
      <c r="E448">
        <v>9</v>
      </c>
      <c r="G448">
        <v>24</v>
      </c>
      <c r="H448">
        <v>2</v>
      </c>
      <c r="I448">
        <v>9</v>
      </c>
      <c r="J448">
        <v>2</v>
      </c>
      <c r="K448">
        <v>13</v>
      </c>
      <c r="L448">
        <v>12</v>
      </c>
      <c r="Q448">
        <v>1</v>
      </c>
      <c r="S448">
        <v>1</v>
      </c>
      <c r="U448">
        <v>1</v>
      </c>
      <c r="V448">
        <v>1</v>
      </c>
      <c r="W448">
        <v>1</v>
      </c>
      <c r="AC448">
        <v>1</v>
      </c>
      <c r="AE448">
        <v>1</v>
      </c>
      <c r="AJ448">
        <v>3</v>
      </c>
    </row>
    <row r="450" spans="2:36" x14ac:dyDescent="0.15">
      <c r="G450">
        <v>6</v>
      </c>
      <c r="H450">
        <v>9</v>
      </c>
      <c r="I450">
        <v>24</v>
      </c>
      <c r="J450">
        <v>7</v>
      </c>
      <c r="K450">
        <v>7</v>
      </c>
      <c r="L450">
        <v>12</v>
      </c>
      <c r="T450">
        <v>2</v>
      </c>
      <c r="U450">
        <v>1</v>
      </c>
      <c r="V450">
        <v>1</v>
      </c>
      <c r="X450">
        <v>1</v>
      </c>
      <c r="AF450">
        <v>1</v>
      </c>
      <c r="AI450">
        <v>1</v>
      </c>
      <c r="AJ450">
        <v>7</v>
      </c>
    </row>
    <row r="451" spans="2:36" x14ac:dyDescent="0.15">
      <c r="B451">
        <v>17</v>
      </c>
      <c r="D451">
        <v>9</v>
      </c>
      <c r="F451">
        <v>3</v>
      </c>
      <c r="H451">
        <v>1</v>
      </c>
      <c r="I451">
        <v>1</v>
      </c>
      <c r="K451">
        <v>2</v>
      </c>
      <c r="N451">
        <v>4</v>
      </c>
      <c r="P451">
        <v>1</v>
      </c>
      <c r="Z451">
        <v>1</v>
      </c>
      <c r="AB451">
        <v>1</v>
      </c>
      <c r="AF451">
        <v>1</v>
      </c>
      <c r="AJ451">
        <v>3</v>
      </c>
    </row>
    <row r="452" spans="2:36" x14ac:dyDescent="0.15">
      <c r="B452">
        <v>24</v>
      </c>
      <c r="D452">
        <v>8</v>
      </c>
      <c r="F452">
        <v>18</v>
      </c>
      <c r="G452">
        <v>1</v>
      </c>
      <c r="I452">
        <v>1</v>
      </c>
      <c r="L452">
        <v>15</v>
      </c>
      <c r="R452">
        <v>2</v>
      </c>
      <c r="Z452">
        <v>1</v>
      </c>
      <c r="AJ452">
        <v>8</v>
      </c>
    </row>
    <row r="453" spans="2:36" x14ac:dyDescent="0.15">
      <c r="B453">
        <v>60</v>
      </c>
      <c r="D453">
        <v>11</v>
      </c>
      <c r="F453">
        <v>23</v>
      </c>
      <c r="G453">
        <v>8</v>
      </c>
      <c r="H453">
        <v>2</v>
      </c>
      <c r="J453">
        <v>14</v>
      </c>
      <c r="K453">
        <v>1</v>
      </c>
      <c r="L453">
        <v>3</v>
      </c>
      <c r="N453">
        <v>6</v>
      </c>
      <c r="P453">
        <v>4</v>
      </c>
      <c r="R453">
        <v>3</v>
      </c>
      <c r="S453">
        <v>1</v>
      </c>
      <c r="W453">
        <v>2</v>
      </c>
      <c r="AE453">
        <v>1</v>
      </c>
    </row>
    <row r="454" spans="2:36" x14ac:dyDescent="0.15">
      <c r="B454">
        <v>5</v>
      </c>
      <c r="D454">
        <v>4</v>
      </c>
      <c r="F454">
        <v>3</v>
      </c>
      <c r="G454">
        <v>1</v>
      </c>
      <c r="I454">
        <v>8</v>
      </c>
      <c r="L454">
        <v>5</v>
      </c>
      <c r="AJ454">
        <v>1</v>
      </c>
    </row>
    <row r="455" spans="2:36" x14ac:dyDescent="0.15">
      <c r="B455">
        <v>47</v>
      </c>
      <c r="D455">
        <v>23</v>
      </c>
      <c r="F455">
        <v>11</v>
      </c>
      <c r="G455">
        <v>2</v>
      </c>
      <c r="H455">
        <v>1</v>
      </c>
      <c r="I455">
        <v>10</v>
      </c>
      <c r="L455">
        <v>10</v>
      </c>
      <c r="N455">
        <v>3</v>
      </c>
      <c r="P455">
        <v>2</v>
      </c>
      <c r="Z455">
        <v>3</v>
      </c>
      <c r="AE455">
        <v>2</v>
      </c>
      <c r="AJ455">
        <v>2</v>
      </c>
    </row>
    <row r="456" spans="2:36" x14ac:dyDescent="0.15">
      <c r="B456">
        <v>220</v>
      </c>
      <c r="D456">
        <v>63</v>
      </c>
      <c r="F456">
        <v>30</v>
      </c>
      <c r="G456">
        <v>11</v>
      </c>
      <c r="H456">
        <v>3</v>
      </c>
      <c r="I456">
        <v>60</v>
      </c>
      <c r="J456">
        <v>5</v>
      </c>
      <c r="K456">
        <v>17</v>
      </c>
      <c r="N456">
        <v>30</v>
      </c>
      <c r="P456">
        <v>15</v>
      </c>
      <c r="S456">
        <v>2</v>
      </c>
      <c r="T456">
        <v>1</v>
      </c>
      <c r="U456">
        <v>4</v>
      </c>
      <c r="Z456">
        <v>1</v>
      </c>
      <c r="AB456">
        <v>3</v>
      </c>
      <c r="AD456">
        <v>5</v>
      </c>
      <c r="AE456">
        <v>2</v>
      </c>
      <c r="AI456">
        <v>3</v>
      </c>
    </row>
    <row r="458" spans="2:36" x14ac:dyDescent="0.15">
      <c r="C458">
        <v>36</v>
      </c>
      <c r="E458">
        <v>102</v>
      </c>
      <c r="G458">
        <v>86</v>
      </c>
      <c r="H458">
        <v>23</v>
      </c>
      <c r="I458">
        <v>186</v>
      </c>
      <c r="J458">
        <v>19</v>
      </c>
      <c r="K458">
        <v>50</v>
      </c>
      <c r="L458">
        <v>52</v>
      </c>
      <c r="O458">
        <v>1</v>
      </c>
      <c r="Q458">
        <v>9</v>
      </c>
      <c r="S458">
        <v>6</v>
      </c>
      <c r="T458">
        <v>2</v>
      </c>
      <c r="U458">
        <v>5</v>
      </c>
      <c r="V458">
        <v>1</v>
      </c>
      <c r="W458">
        <v>4</v>
      </c>
      <c r="X458">
        <v>5</v>
      </c>
      <c r="AC458">
        <v>3</v>
      </c>
      <c r="AE458">
        <v>9</v>
      </c>
      <c r="AF458">
        <v>1</v>
      </c>
      <c r="AI458">
        <v>4</v>
      </c>
      <c r="AJ458">
        <v>2</v>
      </c>
    </row>
    <row r="460" spans="2:36" x14ac:dyDescent="0.15">
      <c r="E460">
        <v>21</v>
      </c>
      <c r="G460">
        <v>20</v>
      </c>
      <c r="H460">
        <v>2</v>
      </c>
      <c r="I460">
        <v>12</v>
      </c>
      <c r="J460">
        <v>8</v>
      </c>
      <c r="K460">
        <v>12</v>
      </c>
      <c r="L460">
        <v>11</v>
      </c>
      <c r="Q460">
        <v>1</v>
      </c>
      <c r="S460">
        <v>1</v>
      </c>
      <c r="V460">
        <v>1</v>
      </c>
      <c r="W460">
        <v>1</v>
      </c>
      <c r="AJ460">
        <v>4</v>
      </c>
    </row>
    <row r="462" spans="2:36" x14ac:dyDescent="0.15">
      <c r="G462">
        <v>6</v>
      </c>
      <c r="H462">
        <v>13</v>
      </c>
      <c r="I462">
        <v>23</v>
      </c>
      <c r="J462">
        <v>5</v>
      </c>
      <c r="K462">
        <v>11</v>
      </c>
      <c r="L462">
        <v>9</v>
      </c>
      <c r="S462">
        <v>1</v>
      </c>
      <c r="T462">
        <v>1</v>
      </c>
      <c r="U462">
        <v>4</v>
      </c>
      <c r="V462">
        <v>1</v>
      </c>
      <c r="W462">
        <v>1</v>
      </c>
      <c r="AF462">
        <v>1</v>
      </c>
      <c r="AJ462">
        <v>6</v>
      </c>
    </row>
    <row r="463" spans="2:36" x14ac:dyDescent="0.15">
      <c r="B463">
        <v>26</v>
      </c>
      <c r="D463">
        <v>8</v>
      </c>
      <c r="F463">
        <v>1</v>
      </c>
      <c r="H463">
        <v>1</v>
      </c>
      <c r="K463">
        <v>2</v>
      </c>
      <c r="L463">
        <v>4</v>
      </c>
      <c r="N463">
        <v>1</v>
      </c>
      <c r="P463">
        <v>1</v>
      </c>
      <c r="Z463">
        <v>1</v>
      </c>
      <c r="AD463">
        <v>2</v>
      </c>
      <c r="AF463">
        <v>2</v>
      </c>
    </row>
    <row r="464" spans="2:36" x14ac:dyDescent="0.15">
      <c r="B464">
        <v>15</v>
      </c>
      <c r="D464">
        <v>4</v>
      </c>
      <c r="F464">
        <v>12</v>
      </c>
      <c r="G464">
        <v>2</v>
      </c>
      <c r="I464">
        <v>2</v>
      </c>
      <c r="L464">
        <v>11</v>
      </c>
      <c r="N464">
        <v>2</v>
      </c>
      <c r="P464">
        <v>1</v>
      </c>
      <c r="X464">
        <v>2</v>
      </c>
      <c r="AE464">
        <v>1</v>
      </c>
      <c r="AJ464">
        <v>5</v>
      </c>
    </row>
    <row r="465" spans="2:36" x14ac:dyDescent="0.15">
      <c r="B465">
        <v>67</v>
      </c>
      <c r="D465">
        <v>16</v>
      </c>
      <c r="F465">
        <v>21</v>
      </c>
      <c r="G465">
        <v>9</v>
      </c>
      <c r="H465">
        <v>1</v>
      </c>
      <c r="J465">
        <v>14</v>
      </c>
      <c r="K465">
        <v>9</v>
      </c>
      <c r="L465">
        <v>3</v>
      </c>
      <c r="N465">
        <v>5</v>
      </c>
      <c r="P465">
        <v>5</v>
      </c>
      <c r="R465">
        <v>3</v>
      </c>
      <c r="S465">
        <v>1</v>
      </c>
    </row>
    <row r="466" spans="2:36" x14ac:dyDescent="0.15">
      <c r="B466">
        <v>2</v>
      </c>
      <c r="D466">
        <v>5</v>
      </c>
      <c r="F466">
        <v>6</v>
      </c>
      <c r="G466">
        <v>2</v>
      </c>
      <c r="I466">
        <v>3</v>
      </c>
      <c r="L466">
        <v>1</v>
      </c>
      <c r="N466">
        <v>1</v>
      </c>
      <c r="P466">
        <v>1</v>
      </c>
      <c r="AD466">
        <v>1</v>
      </c>
      <c r="AJ466">
        <v>2</v>
      </c>
    </row>
    <row r="467" spans="2:36" x14ac:dyDescent="0.15">
      <c r="B467">
        <v>31</v>
      </c>
      <c r="D467">
        <v>20</v>
      </c>
      <c r="F467">
        <v>9</v>
      </c>
      <c r="G467">
        <v>6</v>
      </c>
      <c r="I467">
        <v>4</v>
      </c>
      <c r="L467">
        <v>3</v>
      </c>
      <c r="N467">
        <v>2</v>
      </c>
      <c r="P467">
        <v>4</v>
      </c>
      <c r="R467">
        <v>1</v>
      </c>
      <c r="Z467">
        <v>1</v>
      </c>
      <c r="AD467">
        <v>1</v>
      </c>
      <c r="AJ467">
        <v>2</v>
      </c>
    </row>
    <row r="468" spans="2:36" x14ac:dyDescent="0.15">
      <c r="B468">
        <v>128</v>
      </c>
      <c r="D468">
        <v>52</v>
      </c>
      <c r="F468">
        <v>19</v>
      </c>
      <c r="G468">
        <v>14</v>
      </c>
      <c r="H468">
        <v>5</v>
      </c>
      <c r="I468">
        <v>75</v>
      </c>
      <c r="J468">
        <v>3</v>
      </c>
      <c r="K468">
        <v>16</v>
      </c>
      <c r="N468">
        <v>20</v>
      </c>
      <c r="P468">
        <v>9</v>
      </c>
      <c r="R468">
        <v>1</v>
      </c>
      <c r="U468">
        <v>6</v>
      </c>
      <c r="Z468">
        <v>1</v>
      </c>
      <c r="AB468">
        <v>1</v>
      </c>
      <c r="AD468">
        <v>4</v>
      </c>
      <c r="AE468">
        <v>4</v>
      </c>
      <c r="AI468">
        <v>1</v>
      </c>
    </row>
    <row r="470" spans="2:36" x14ac:dyDescent="0.15">
      <c r="C470">
        <v>20</v>
      </c>
      <c r="E470">
        <v>101</v>
      </c>
      <c r="G470">
        <v>70</v>
      </c>
      <c r="H470">
        <v>25</v>
      </c>
      <c r="I470">
        <v>186</v>
      </c>
      <c r="J470">
        <v>10</v>
      </c>
      <c r="K470">
        <v>48</v>
      </c>
      <c r="L470">
        <v>49</v>
      </c>
      <c r="O470">
        <v>1</v>
      </c>
      <c r="Q470">
        <v>10</v>
      </c>
      <c r="S470">
        <v>9</v>
      </c>
      <c r="U470">
        <v>10</v>
      </c>
      <c r="V470">
        <v>1</v>
      </c>
      <c r="X470">
        <v>3</v>
      </c>
      <c r="AC470">
        <v>4</v>
      </c>
      <c r="AE470">
        <v>9</v>
      </c>
      <c r="AF470">
        <v>1</v>
      </c>
      <c r="AH470">
        <v>1</v>
      </c>
      <c r="AI470">
        <v>2</v>
      </c>
      <c r="AJ470">
        <v>8</v>
      </c>
    </row>
    <row r="472" spans="2:36" x14ac:dyDescent="0.15">
      <c r="E472">
        <v>9</v>
      </c>
      <c r="G472">
        <v>33</v>
      </c>
      <c r="H472">
        <v>2</v>
      </c>
      <c r="I472">
        <v>9</v>
      </c>
      <c r="J472">
        <v>4</v>
      </c>
      <c r="K472">
        <v>13</v>
      </c>
      <c r="L472">
        <v>11</v>
      </c>
      <c r="Q472">
        <v>1</v>
      </c>
      <c r="S472">
        <v>2</v>
      </c>
      <c r="AC472">
        <v>1</v>
      </c>
      <c r="AE472">
        <v>1</v>
      </c>
      <c r="AF472">
        <v>1</v>
      </c>
      <c r="AI472">
        <v>2</v>
      </c>
      <c r="AJ472">
        <v>4</v>
      </c>
    </row>
    <row r="474" spans="2:36" x14ac:dyDescent="0.15">
      <c r="G474">
        <v>9</v>
      </c>
      <c r="H474">
        <v>16</v>
      </c>
      <c r="I474">
        <v>23</v>
      </c>
      <c r="J474">
        <v>1</v>
      </c>
      <c r="K474">
        <v>14</v>
      </c>
      <c r="L474">
        <v>14</v>
      </c>
      <c r="T474">
        <v>2</v>
      </c>
      <c r="U474">
        <v>1</v>
      </c>
      <c r="X474">
        <v>1</v>
      </c>
      <c r="AE474">
        <v>1</v>
      </c>
    </row>
    <row r="475" spans="2:36" x14ac:dyDescent="0.15">
      <c r="B475">
        <v>32</v>
      </c>
      <c r="D475">
        <v>5</v>
      </c>
      <c r="F475">
        <v>4</v>
      </c>
      <c r="H475">
        <v>3</v>
      </c>
      <c r="K475">
        <v>5</v>
      </c>
      <c r="L475">
        <v>1</v>
      </c>
      <c r="N475">
        <v>1</v>
      </c>
      <c r="X475">
        <v>1</v>
      </c>
      <c r="AF475">
        <v>1</v>
      </c>
    </row>
    <row r="476" spans="2:36" x14ac:dyDescent="0.15">
      <c r="B476">
        <v>10</v>
      </c>
      <c r="D476">
        <v>9</v>
      </c>
      <c r="F476">
        <v>13</v>
      </c>
      <c r="G476">
        <v>4</v>
      </c>
      <c r="I476">
        <v>1</v>
      </c>
      <c r="K476">
        <v>1</v>
      </c>
      <c r="L476">
        <v>15</v>
      </c>
      <c r="N476">
        <v>2</v>
      </c>
      <c r="R476">
        <v>1</v>
      </c>
      <c r="AE476">
        <v>1</v>
      </c>
      <c r="AJ476">
        <v>7</v>
      </c>
    </row>
    <row r="477" spans="2:36" x14ac:dyDescent="0.15">
      <c r="B477">
        <v>117</v>
      </c>
      <c r="D477">
        <v>27</v>
      </c>
      <c r="F477">
        <v>18</v>
      </c>
      <c r="G477">
        <v>10</v>
      </c>
      <c r="H477">
        <v>1</v>
      </c>
      <c r="J477">
        <v>10</v>
      </c>
      <c r="K477">
        <v>9</v>
      </c>
      <c r="L477">
        <v>5</v>
      </c>
      <c r="N477">
        <v>7</v>
      </c>
      <c r="P477">
        <v>5</v>
      </c>
      <c r="R477">
        <v>2</v>
      </c>
      <c r="AD477">
        <v>1</v>
      </c>
      <c r="AJ477">
        <v>1</v>
      </c>
    </row>
    <row r="478" spans="2:36" x14ac:dyDescent="0.15">
      <c r="B478">
        <v>2</v>
      </c>
      <c r="D478">
        <v>5</v>
      </c>
      <c r="F478">
        <v>2</v>
      </c>
      <c r="I478">
        <v>7</v>
      </c>
      <c r="L478">
        <v>1</v>
      </c>
      <c r="U478">
        <v>1</v>
      </c>
    </row>
    <row r="479" spans="2:36" x14ac:dyDescent="0.15">
      <c r="B479">
        <v>37</v>
      </c>
      <c r="D479">
        <v>20</v>
      </c>
      <c r="F479">
        <v>10</v>
      </c>
      <c r="G479">
        <v>9</v>
      </c>
      <c r="H479">
        <v>1</v>
      </c>
      <c r="I479">
        <v>9</v>
      </c>
      <c r="L479">
        <v>8</v>
      </c>
      <c r="N479">
        <v>2</v>
      </c>
      <c r="P479">
        <v>1</v>
      </c>
      <c r="U479">
        <v>1</v>
      </c>
      <c r="X479">
        <v>2</v>
      </c>
      <c r="Z479">
        <v>2</v>
      </c>
      <c r="AB479">
        <v>1</v>
      </c>
      <c r="AJ479">
        <v>6</v>
      </c>
    </row>
    <row r="480" spans="2:36" x14ac:dyDescent="0.15">
      <c r="B480">
        <v>185</v>
      </c>
      <c r="D480">
        <v>55</v>
      </c>
      <c r="F480">
        <v>30</v>
      </c>
      <c r="G480">
        <v>7</v>
      </c>
      <c r="H480">
        <v>6</v>
      </c>
      <c r="I480">
        <v>72</v>
      </c>
      <c r="J480">
        <v>4</v>
      </c>
      <c r="K480">
        <v>15</v>
      </c>
      <c r="N480">
        <v>26</v>
      </c>
      <c r="P480">
        <v>9</v>
      </c>
      <c r="R480">
        <v>1</v>
      </c>
      <c r="U480">
        <v>4</v>
      </c>
      <c r="W480">
        <v>3</v>
      </c>
      <c r="Z480">
        <v>2</v>
      </c>
      <c r="AB480">
        <v>1</v>
      </c>
      <c r="AD480">
        <v>3</v>
      </c>
      <c r="AE480">
        <v>3</v>
      </c>
      <c r="AF480">
        <v>1</v>
      </c>
      <c r="AI480">
        <v>1</v>
      </c>
    </row>
    <row r="482" spans="2:36" x14ac:dyDescent="0.15">
      <c r="C482">
        <v>18</v>
      </c>
      <c r="E482">
        <v>86</v>
      </c>
      <c r="G482">
        <v>67</v>
      </c>
      <c r="H482">
        <v>25</v>
      </c>
      <c r="I482">
        <v>163</v>
      </c>
      <c r="J482">
        <v>10</v>
      </c>
      <c r="K482">
        <v>41</v>
      </c>
      <c r="L482">
        <v>24</v>
      </c>
      <c r="Q482">
        <v>7</v>
      </c>
      <c r="S482">
        <v>8</v>
      </c>
      <c r="T482">
        <v>1</v>
      </c>
      <c r="U482">
        <v>9</v>
      </c>
      <c r="W482">
        <v>3</v>
      </c>
      <c r="X482">
        <v>2</v>
      </c>
      <c r="AA482">
        <v>2</v>
      </c>
      <c r="AC482">
        <v>5</v>
      </c>
      <c r="AE482">
        <v>5</v>
      </c>
      <c r="AI482">
        <v>1</v>
      </c>
      <c r="AJ482">
        <v>7</v>
      </c>
    </row>
    <row r="484" spans="2:36" x14ac:dyDescent="0.15">
      <c r="E484">
        <v>14</v>
      </c>
      <c r="G484">
        <v>18</v>
      </c>
      <c r="H484">
        <v>1</v>
      </c>
      <c r="I484">
        <v>4</v>
      </c>
      <c r="J484">
        <v>6</v>
      </c>
      <c r="K484">
        <v>16</v>
      </c>
      <c r="L484">
        <v>14</v>
      </c>
      <c r="Q484">
        <v>1</v>
      </c>
      <c r="T484">
        <v>1</v>
      </c>
      <c r="W484">
        <v>1</v>
      </c>
      <c r="X484">
        <v>1</v>
      </c>
      <c r="AC484">
        <v>1</v>
      </c>
      <c r="AJ484">
        <v>2</v>
      </c>
    </row>
    <row r="486" spans="2:36" x14ac:dyDescent="0.15">
      <c r="G486">
        <v>10</v>
      </c>
      <c r="H486">
        <v>11</v>
      </c>
      <c r="I486">
        <v>21</v>
      </c>
      <c r="J486">
        <v>2</v>
      </c>
      <c r="K486">
        <v>15</v>
      </c>
      <c r="L486">
        <v>19</v>
      </c>
      <c r="T486">
        <v>1</v>
      </c>
      <c r="U486">
        <v>2</v>
      </c>
      <c r="AF486">
        <v>1</v>
      </c>
      <c r="AI486">
        <v>1</v>
      </c>
      <c r="AJ486">
        <v>2</v>
      </c>
    </row>
    <row r="487" spans="2:36" x14ac:dyDescent="0.15">
      <c r="B487">
        <v>18</v>
      </c>
      <c r="D487">
        <v>8</v>
      </c>
      <c r="F487">
        <v>3</v>
      </c>
      <c r="H487">
        <v>3</v>
      </c>
      <c r="I487">
        <v>2</v>
      </c>
      <c r="J487">
        <v>1</v>
      </c>
      <c r="L487">
        <v>6</v>
      </c>
      <c r="N487">
        <v>2</v>
      </c>
      <c r="R487">
        <v>1</v>
      </c>
      <c r="V487">
        <v>1</v>
      </c>
      <c r="AJ487">
        <v>3</v>
      </c>
    </row>
    <row r="488" spans="2:36" x14ac:dyDescent="0.15">
      <c r="B488">
        <v>15</v>
      </c>
      <c r="D488">
        <v>5</v>
      </c>
      <c r="F488">
        <v>7</v>
      </c>
      <c r="G488">
        <v>2</v>
      </c>
      <c r="I488">
        <v>1</v>
      </c>
      <c r="J488">
        <v>1</v>
      </c>
      <c r="L488">
        <v>20</v>
      </c>
      <c r="P488">
        <v>1</v>
      </c>
      <c r="R488">
        <v>3</v>
      </c>
      <c r="X488">
        <v>2</v>
      </c>
      <c r="AD488">
        <v>1</v>
      </c>
      <c r="AE488">
        <v>1</v>
      </c>
      <c r="AJ488">
        <v>6</v>
      </c>
    </row>
    <row r="489" spans="2:36" x14ac:dyDescent="0.15">
      <c r="B489">
        <v>100</v>
      </c>
      <c r="D489">
        <v>16</v>
      </c>
      <c r="F489">
        <v>20</v>
      </c>
      <c r="G489">
        <v>9</v>
      </c>
      <c r="J489">
        <v>20</v>
      </c>
      <c r="K489">
        <v>5</v>
      </c>
      <c r="L489">
        <v>3</v>
      </c>
      <c r="N489">
        <v>4</v>
      </c>
      <c r="P489">
        <v>4</v>
      </c>
      <c r="R489">
        <v>2</v>
      </c>
      <c r="V489">
        <v>2</v>
      </c>
      <c r="W489">
        <v>2</v>
      </c>
    </row>
    <row r="490" spans="2:36" x14ac:dyDescent="0.15">
      <c r="B490">
        <v>9</v>
      </c>
      <c r="D490">
        <v>4</v>
      </c>
      <c r="F490">
        <v>1</v>
      </c>
      <c r="G490">
        <v>1</v>
      </c>
      <c r="I490">
        <v>6</v>
      </c>
      <c r="L490">
        <v>10</v>
      </c>
      <c r="T490">
        <v>1</v>
      </c>
      <c r="U490">
        <v>2</v>
      </c>
      <c r="AD490">
        <v>1</v>
      </c>
      <c r="AE490">
        <v>1</v>
      </c>
    </row>
    <row r="491" spans="2:36" x14ac:dyDescent="0.15">
      <c r="B491">
        <v>47</v>
      </c>
      <c r="D491">
        <v>28</v>
      </c>
      <c r="F491">
        <v>10</v>
      </c>
      <c r="G491">
        <v>1</v>
      </c>
      <c r="H491">
        <v>1</v>
      </c>
      <c r="I491">
        <v>8</v>
      </c>
      <c r="L491">
        <v>8</v>
      </c>
      <c r="P491">
        <v>4</v>
      </c>
      <c r="S491">
        <v>1</v>
      </c>
      <c r="U491">
        <v>2</v>
      </c>
      <c r="AD491">
        <v>1</v>
      </c>
      <c r="AE491">
        <v>1</v>
      </c>
      <c r="AJ491">
        <v>3</v>
      </c>
    </row>
    <row r="492" spans="2:36" x14ac:dyDescent="0.15">
      <c r="B492">
        <v>162</v>
      </c>
      <c r="D492">
        <v>51</v>
      </c>
      <c r="F492">
        <v>24</v>
      </c>
      <c r="G492">
        <v>16</v>
      </c>
      <c r="H492">
        <v>5</v>
      </c>
      <c r="I492">
        <v>81</v>
      </c>
      <c r="J492">
        <v>4</v>
      </c>
      <c r="K492">
        <v>20</v>
      </c>
      <c r="N492">
        <v>31</v>
      </c>
      <c r="P492">
        <v>7</v>
      </c>
      <c r="R492">
        <v>2</v>
      </c>
      <c r="S492">
        <v>2</v>
      </c>
      <c r="T492">
        <v>1</v>
      </c>
      <c r="U492">
        <v>3</v>
      </c>
      <c r="Z492">
        <v>3</v>
      </c>
      <c r="AB492">
        <v>4</v>
      </c>
      <c r="AD492">
        <v>1</v>
      </c>
      <c r="AE492">
        <v>3</v>
      </c>
      <c r="AH492">
        <v>2</v>
      </c>
      <c r="AI492">
        <v>1</v>
      </c>
    </row>
    <row r="494" spans="2:36" x14ac:dyDescent="0.15">
      <c r="C494">
        <v>22</v>
      </c>
      <c r="E494">
        <v>108</v>
      </c>
      <c r="G494">
        <v>72</v>
      </c>
      <c r="H494">
        <v>17</v>
      </c>
      <c r="I494">
        <v>161</v>
      </c>
      <c r="J494">
        <v>7</v>
      </c>
      <c r="K494">
        <v>31</v>
      </c>
      <c r="L494">
        <v>31</v>
      </c>
      <c r="O494">
        <v>1</v>
      </c>
      <c r="Q494">
        <v>8</v>
      </c>
      <c r="S494">
        <v>8</v>
      </c>
      <c r="U494">
        <v>7</v>
      </c>
      <c r="W494">
        <v>3</v>
      </c>
      <c r="X494">
        <v>1</v>
      </c>
      <c r="AC494">
        <v>8</v>
      </c>
      <c r="AE494">
        <v>3</v>
      </c>
      <c r="AH494">
        <v>1</v>
      </c>
      <c r="AJ494">
        <v>4</v>
      </c>
    </row>
    <row r="496" spans="2:36" x14ac:dyDescent="0.15">
      <c r="E496">
        <v>26</v>
      </c>
      <c r="G496">
        <v>30</v>
      </c>
      <c r="I496">
        <v>13</v>
      </c>
      <c r="J496">
        <v>4</v>
      </c>
      <c r="K496">
        <v>11</v>
      </c>
      <c r="L496">
        <v>17</v>
      </c>
      <c r="Q496">
        <v>2</v>
      </c>
      <c r="S496">
        <v>1</v>
      </c>
      <c r="W496">
        <v>1</v>
      </c>
      <c r="X496">
        <v>1</v>
      </c>
      <c r="AF496">
        <v>1</v>
      </c>
      <c r="AH496">
        <v>1</v>
      </c>
      <c r="AI496">
        <v>1</v>
      </c>
      <c r="AJ496">
        <v>3</v>
      </c>
    </row>
    <row r="498" spans="2:36" x14ac:dyDescent="0.15">
      <c r="G498">
        <v>9</v>
      </c>
      <c r="H498">
        <v>14</v>
      </c>
      <c r="I498">
        <v>40</v>
      </c>
      <c r="J498">
        <v>1</v>
      </c>
      <c r="K498">
        <v>11</v>
      </c>
      <c r="L498">
        <v>9</v>
      </c>
      <c r="S498">
        <v>1</v>
      </c>
      <c r="T498">
        <v>1</v>
      </c>
      <c r="U498">
        <v>2</v>
      </c>
      <c r="V498">
        <v>1</v>
      </c>
      <c r="W498">
        <v>1</v>
      </c>
      <c r="AE498">
        <v>1</v>
      </c>
      <c r="AF498">
        <v>1</v>
      </c>
      <c r="AI498">
        <v>2</v>
      </c>
      <c r="AJ498">
        <v>7</v>
      </c>
    </row>
    <row r="499" spans="2:36" x14ac:dyDescent="0.15">
      <c r="B499">
        <v>28</v>
      </c>
      <c r="D499">
        <v>9</v>
      </c>
      <c r="I499">
        <v>3</v>
      </c>
      <c r="J499">
        <v>3</v>
      </c>
      <c r="K499">
        <v>4</v>
      </c>
      <c r="L499">
        <v>5</v>
      </c>
      <c r="N499">
        <v>4</v>
      </c>
      <c r="U499">
        <v>1</v>
      </c>
      <c r="AB499">
        <v>1</v>
      </c>
    </row>
    <row r="500" spans="2:36" x14ac:dyDescent="0.15">
      <c r="B500">
        <v>17</v>
      </c>
      <c r="D500">
        <v>3</v>
      </c>
      <c r="F500">
        <v>5</v>
      </c>
      <c r="G500">
        <v>1</v>
      </c>
      <c r="I500">
        <v>3</v>
      </c>
      <c r="L500">
        <v>21</v>
      </c>
      <c r="N500">
        <v>3</v>
      </c>
      <c r="P500">
        <v>1</v>
      </c>
      <c r="R500">
        <v>2</v>
      </c>
      <c r="Z500">
        <v>1</v>
      </c>
      <c r="AB500">
        <v>1</v>
      </c>
      <c r="AJ500">
        <v>2</v>
      </c>
    </row>
    <row r="501" spans="2:36" x14ac:dyDescent="0.15">
      <c r="B501">
        <v>96</v>
      </c>
      <c r="D501">
        <v>20</v>
      </c>
      <c r="F501">
        <v>20</v>
      </c>
      <c r="G501">
        <v>8</v>
      </c>
      <c r="J501">
        <v>13</v>
      </c>
      <c r="K501">
        <v>9</v>
      </c>
      <c r="L501">
        <v>5</v>
      </c>
      <c r="N501">
        <v>3</v>
      </c>
      <c r="P501">
        <v>4</v>
      </c>
      <c r="R501">
        <v>1</v>
      </c>
      <c r="W501">
        <v>2</v>
      </c>
      <c r="AB501">
        <v>1</v>
      </c>
    </row>
    <row r="502" spans="2:36" x14ac:dyDescent="0.15">
      <c r="B502">
        <v>2</v>
      </c>
      <c r="D502">
        <v>7</v>
      </c>
      <c r="G502">
        <v>3</v>
      </c>
      <c r="I502">
        <v>8</v>
      </c>
      <c r="L502">
        <v>1</v>
      </c>
      <c r="P502">
        <v>1</v>
      </c>
      <c r="R502">
        <v>1</v>
      </c>
      <c r="U502">
        <v>1</v>
      </c>
      <c r="AF502">
        <v>1</v>
      </c>
    </row>
    <row r="503" spans="2:36" x14ac:dyDescent="0.15">
      <c r="B503">
        <v>30</v>
      </c>
      <c r="D503">
        <v>18</v>
      </c>
      <c r="F503">
        <v>8</v>
      </c>
      <c r="G503">
        <v>3</v>
      </c>
      <c r="I503">
        <v>5</v>
      </c>
      <c r="L503">
        <v>10</v>
      </c>
      <c r="N503">
        <v>6</v>
      </c>
      <c r="P503">
        <v>2</v>
      </c>
      <c r="R503">
        <v>1</v>
      </c>
      <c r="AD503">
        <v>3</v>
      </c>
      <c r="AE503">
        <v>2</v>
      </c>
      <c r="AG503">
        <v>1</v>
      </c>
      <c r="AJ503">
        <v>1</v>
      </c>
    </row>
    <row r="504" spans="2:36" x14ac:dyDescent="0.15">
      <c r="B504">
        <v>233</v>
      </c>
      <c r="D504">
        <v>81</v>
      </c>
      <c r="F504">
        <v>24</v>
      </c>
      <c r="G504">
        <v>17</v>
      </c>
      <c r="H504">
        <v>7</v>
      </c>
      <c r="I504">
        <v>78</v>
      </c>
      <c r="J504">
        <v>4</v>
      </c>
      <c r="K504">
        <v>20</v>
      </c>
      <c r="N504">
        <v>26</v>
      </c>
      <c r="P504">
        <v>2</v>
      </c>
      <c r="S504">
        <v>2</v>
      </c>
      <c r="U504">
        <v>4</v>
      </c>
      <c r="Z504">
        <v>2</v>
      </c>
      <c r="AE504">
        <v>3</v>
      </c>
      <c r="AF504">
        <v>2</v>
      </c>
      <c r="AI504">
        <v>2</v>
      </c>
    </row>
    <row r="506" spans="2:36" x14ac:dyDescent="0.15">
      <c r="C506">
        <v>44</v>
      </c>
      <c r="E506">
        <v>169</v>
      </c>
      <c r="G506">
        <v>105</v>
      </c>
      <c r="H506">
        <v>26</v>
      </c>
      <c r="I506">
        <v>183</v>
      </c>
      <c r="J506">
        <v>18</v>
      </c>
      <c r="K506">
        <v>42</v>
      </c>
      <c r="L506">
        <v>42</v>
      </c>
      <c r="O506">
        <v>1</v>
      </c>
      <c r="Q506">
        <v>15</v>
      </c>
      <c r="S506">
        <v>11</v>
      </c>
      <c r="T506">
        <v>2</v>
      </c>
      <c r="U506">
        <v>5</v>
      </c>
      <c r="V506">
        <v>1</v>
      </c>
      <c r="W506">
        <v>4</v>
      </c>
      <c r="X506">
        <v>2</v>
      </c>
      <c r="AC506">
        <v>5</v>
      </c>
      <c r="AE506">
        <v>6</v>
      </c>
      <c r="AF506">
        <v>3</v>
      </c>
      <c r="AI506">
        <v>5</v>
      </c>
      <c r="AJ506">
        <v>6</v>
      </c>
    </row>
    <row r="508" spans="2:36" x14ac:dyDescent="0.15">
      <c r="E508">
        <v>25</v>
      </c>
      <c r="G508">
        <v>26</v>
      </c>
      <c r="H508">
        <v>2</v>
      </c>
      <c r="I508">
        <v>11</v>
      </c>
      <c r="J508">
        <v>4</v>
      </c>
      <c r="K508">
        <v>22</v>
      </c>
      <c r="L508">
        <v>19</v>
      </c>
      <c r="S508">
        <v>1</v>
      </c>
      <c r="X508">
        <v>3</v>
      </c>
      <c r="AC508">
        <v>3</v>
      </c>
      <c r="AG508">
        <v>1</v>
      </c>
      <c r="AI508">
        <v>1</v>
      </c>
      <c r="AJ508">
        <v>2</v>
      </c>
    </row>
    <row r="510" spans="2:36" x14ac:dyDescent="0.15">
      <c r="G510">
        <v>7</v>
      </c>
      <c r="H510">
        <v>14</v>
      </c>
      <c r="I510">
        <v>34</v>
      </c>
      <c r="J510">
        <v>2</v>
      </c>
      <c r="K510">
        <v>14</v>
      </c>
      <c r="L510">
        <v>13</v>
      </c>
      <c r="T510">
        <v>3</v>
      </c>
      <c r="U510">
        <v>1</v>
      </c>
      <c r="X510">
        <v>2</v>
      </c>
      <c r="AI510">
        <v>1</v>
      </c>
      <c r="AJ510">
        <v>1</v>
      </c>
    </row>
    <row r="511" spans="2:36" x14ac:dyDescent="0.15">
      <c r="B511">
        <v>31</v>
      </c>
      <c r="D511">
        <v>11</v>
      </c>
      <c r="F511">
        <v>1</v>
      </c>
      <c r="I511">
        <v>3</v>
      </c>
      <c r="J511">
        <v>1</v>
      </c>
      <c r="K511">
        <v>2</v>
      </c>
      <c r="L511">
        <v>3</v>
      </c>
      <c r="N511">
        <v>1</v>
      </c>
      <c r="X511">
        <v>1</v>
      </c>
      <c r="Z511">
        <v>2</v>
      </c>
      <c r="AI511">
        <v>1</v>
      </c>
      <c r="AJ511">
        <v>1</v>
      </c>
    </row>
    <row r="512" spans="2:36" x14ac:dyDescent="0.15">
      <c r="B512">
        <v>13</v>
      </c>
      <c r="D512">
        <v>6</v>
      </c>
      <c r="F512">
        <v>13</v>
      </c>
      <c r="I512">
        <v>1</v>
      </c>
      <c r="K512">
        <v>1</v>
      </c>
      <c r="L512">
        <v>20</v>
      </c>
      <c r="N512">
        <v>2</v>
      </c>
      <c r="R512">
        <v>1</v>
      </c>
      <c r="AD512">
        <v>1</v>
      </c>
      <c r="AE512">
        <v>1</v>
      </c>
      <c r="AJ512">
        <v>9</v>
      </c>
    </row>
    <row r="513" spans="2:36" x14ac:dyDescent="0.15">
      <c r="B513">
        <v>117</v>
      </c>
      <c r="D513">
        <v>46</v>
      </c>
      <c r="F513">
        <v>22</v>
      </c>
      <c r="G513">
        <v>6</v>
      </c>
      <c r="H513">
        <v>1</v>
      </c>
      <c r="J513">
        <v>17</v>
      </c>
      <c r="K513">
        <v>7</v>
      </c>
      <c r="L513">
        <v>5</v>
      </c>
      <c r="N513">
        <v>6</v>
      </c>
      <c r="P513">
        <v>7</v>
      </c>
      <c r="R513">
        <v>3</v>
      </c>
      <c r="V513">
        <v>1</v>
      </c>
    </row>
    <row r="514" spans="2:36" x14ac:dyDescent="0.15">
      <c r="B514">
        <v>4</v>
      </c>
      <c r="D514">
        <v>1</v>
      </c>
      <c r="F514">
        <v>3</v>
      </c>
      <c r="G514">
        <v>1</v>
      </c>
      <c r="I514">
        <v>5</v>
      </c>
      <c r="L514">
        <v>3</v>
      </c>
    </row>
    <row r="515" spans="2:36" x14ac:dyDescent="0.15">
      <c r="B515">
        <v>39</v>
      </c>
      <c r="D515">
        <v>16</v>
      </c>
      <c r="F515">
        <v>6</v>
      </c>
      <c r="G515">
        <v>3</v>
      </c>
      <c r="I515">
        <v>9</v>
      </c>
      <c r="L515">
        <v>7</v>
      </c>
      <c r="N515">
        <v>3</v>
      </c>
      <c r="P515">
        <v>3</v>
      </c>
      <c r="AJ515">
        <v>6</v>
      </c>
    </row>
    <row r="516" spans="2:36" x14ac:dyDescent="0.15">
      <c r="B516">
        <v>176</v>
      </c>
      <c r="D516">
        <v>56</v>
      </c>
      <c r="F516">
        <v>28</v>
      </c>
      <c r="G516">
        <v>18</v>
      </c>
      <c r="H516">
        <v>11</v>
      </c>
      <c r="I516">
        <v>78</v>
      </c>
      <c r="J516">
        <v>4</v>
      </c>
      <c r="K516">
        <v>11</v>
      </c>
      <c r="N516">
        <v>29</v>
      </c>
      <c r="P516">
        <v>4</v>
      </c>
      <c r="R516">
        <v>2</v>
      </c>
      <c r="S516">
        <v>3</v>
      </c>
      <c r="U516">
        <v>6</v>
      </c>
      <c r="W516">
        <v>1</v>
      </c>
      <c r="AD516">
        <v>6</v>
      </c>
      <c r="AE516">
        <v>2</v>
      </c>
      <c r="AF516">
        <v>1</v>
      </c>
      <c r="AI516">
        <v>1</v>
      </c>
    </row>
    <row r="518" spans="2:36" x14ac:dyDescent="0.15">
      <c r="C518">
        <v>27</v>
      </c>
      <c r="E518">
        <v>136</v>
      </c>
      <c r="G518">
        <v>95</v>
      </c>
      <c r="H518">
        <v>15</v>
      </c>
      <c r="I518">
        <v>203</v>
      </c>
      <c r="J518">
        <v>13</v>
      </c>
      <c r="K518">
        <v>29</v>
      </c>
      <c r="L518">
        <v>37</v>
      </c>
      <c r="O518">
        <v>2</v>
      </c>
      <c r="Q518">
        <v>6</v>
      </c>
      <c r="S518">
        <v>9</v>
      </c>
      <c r="T518">
        <v>2</v>
      </c>
      <c r="U518">
        <v>8</v>
      </c>
      <c r="W518">
        <v>4</v>
      </c>
      <c r="X518">
        <v>4</v>
      </c>
      <c r="AC518">
        <v>7</v>
      </c>
      <c r="AE518">
        <v>8</v>
      </c>
      <c r="AF518">
        <v>1</v>
      </c>
      <c r="AH518">
        <v>1</v>
      </c>
      <c r="AI518">
        <v>1</v>
      </c>
      <c r="AJ518">
        <v>9</v>
      </c>
    </row>
    <row r="520" spans="2:36" x14ac:dyDescent="0.15">
      <c r="E520">
        <v>23</v>
      </c>
      <c r="G520">
        <v>19</v>
      </c>
      <c r="I520">
        <v>10</v>
      </c>
      <c r="J520">
        <v>6</v>
      </c>
      <c r="K520">
        <v>19</v>
      </c>
      <c r="L520">
        <v>10</v>
      </c>
      <c r="Q520">
        <v>1</v>
      </c>
      <c r="S520">
        <v>3</v>
      </c>
      <c r="W520">
        <v>3</v>
      </c>
      <c r="X520">
        <v>3</v>
      </c>
      <c r="AF520">
        <v>2</v>
      </c>
      <c r="AI520">
        <v>1</v>
      </c>
      <c r="AJ520">
        <v>3</v>
      </c>
    </row>
    <row r="522" spans="2:36" x14ac:dyDescent="0.15">
      <c r="G522">
        <v>9</v>
      </c>
      <c r="H522">
        <v>12</v>
      </c>
      <c r="I522">
        <v>25</v>
      </c>
      <c r="J522">
        <v>3</v>
      </c>
      <c r="K522">
        <v>8</v>
      </c>
      <c r="L522">
        <v>15</v>
      </c>
      <c r="T522">
        <v>2</v>
      </c>
      <c r="U522">
        <v>3</v>
      </c>
      <c r="W522">
        <v>1</v>
      </c>
      <c r="X522">
        <v>1</v>
      </c>
      <c r="AF522">
        <v>2</v>
      </c>
      <c r="AI522">
        <v>1</v>
      </c>
      <c r="AJ522">
        <v>2</v>
      </c>
    </row>
    <row r="523" spans="2:36" x14ac:dyDescent="0.15">
      <c r="B523">
        <v>24</v>
      </c>
      <c r="D523">
        <v>5</v>
      </c>
      <c r="F523">
        <v>4</v>
      </c>
      <c r="I523">
        <v>1</v>
      </c>
      <c r="J523">
        <v>1</v>
      </c>
      <c r="L523">
        <v>6</v>
      </c>
      <c r="N523">
        <v>4</v>
      </c>
      <c r="X523">
        <v>1</v>
      </c>
      <c r="Z523">
        <v>2</v>
      </c>
      <c r="AB523">
        <v>1</v>
      </c>
      <c r="AD523">
        <v>1</v>
      </c>
      <c r="AJ523">
        <v>1</v>
      </c>
    </row>
    <row r="524" spans="2:36" x14ac:dyDescent="0.15">
      <c r="B524">
        <v>11</v>
      </c>
      <c r="D524">
        <v>5</v>
      </c>
      <c r="F524">
        <v>7</v>
      </c>
      <c r="G524">
        <v>3</v>
      </c>
      <c r="I524">
        <v>3</v>
      </c>
      <c r="J524">
        <v>1</v>
      </c>
      <c r="L524">
        <v>24</v>
      </c>
      <c r="N524">
        <v>3</v>
      </c>
      <c r="R524">
        <v>2</v>
      </c>
      <c r="AJ524">
        <v>6</v>
      </c>
    </row>
    <row r="525" spans="2:36" x14ac:dyDescent="0.15">
      <c r="B525">
        <v>124</v>
      </c>
      <c r="D525">
        <v>34</v>
      </c>
      <c r="F525">
        <v>29</v>
      </c>
      <c r="G525">
        <v>14</v>
      </c>
      <c r="H525">
        <v>2</v>
      </c>
      <c r="J525">
        <v>13</v>
      </c>
      <c r="K525">
        <v>2</v>
      </c>
      <c r="L525">
        <v>5</v>
      </c>
      <c r="N525">
        <v>9</v>
      </c>
      <c r="P525">
        <v>4</v>
      </c>
      <c r="R525">
        <v>2</v>
      </c>
      <c r="V525">
        <v>1</v>
      </c>
      <c r="W525">
        <v>1</v>
      </c>
      <c r="AD525">
        <v>1</v>
      </c>
    </row>
    <row r="526" spans="2:36" x14ac:dyDescent="0.15">
      <c r="B526">
        <v>4</v>
      </c>
      <c r="D526">
        <v>6</v>
      </c>
      <c r="H526">
        <v>1</v>
      </c>
      <c r="I526">
        <v>4</v>
      </c>
      <c r="L526">
        <v>3</v>
      </c>
      <c r="AJ526">
        <v>1</v>
      </c>
    </row>
    <row r="527" spans="2:36" x14ac:dyDescent="0.15">
      <c r="B527">
        <v>31</v>
      </c>
      <c r="D527">
        <v>15</v>
      </c>
      <c r="F527">
        <v>8</v>
      </c>
      <c r="G527">
        <v>8</v>
      </c>
      <c r="H527">
        <v>1</v>
      </c>
      <c r="I527">
        <v>5</v>
      </c>
      <c r="L527">
        <v>7</v>
      </c>
      <c r="N527">
        <v>1</v>
      </c>
      <c r="P527">
        <v>3</v>
      </c>
      <c r="U527">
        <v>2</v>
      </c>
      <c r="AD527">
        <v>2</v>
      </c>
      <c r="AJ527">
        <v>3</v>
      </c>
    </row>
    <row r="528" spans="2:36" x14ac:dyDescent="0.15">
      <c r="B528">
        <v>158</v>
      </c>
      <c r="D528">
        <v>63</v>
      </c>
      <c r="F528">
        <v>17</v>
      </c>
      <c r="G528">
        <v>8</v>
      </c>
      <c r="H528">
        <v>4</v>
      </c>
      <c r="I528">
        <v>74</v>
      </c>
      <c r="J528">
        <v>1</v>
      </c>
      <c r="K528">
        <v>18</v>
      </c>
      <c r="N528">
        <v>21</v>
      </c>
      <c r="P528">
        <v>5</v>
      </c>
      <c r="S528">
        <v>3</v>
      </c>
      <c r="U528">
        <v>5</v>
      </c>
      <c r="W528">
        <v>2</v>
      </c>
      <c r="Z528">
        <v>2</v>
      </c>
      <c r="AB528">
        <v>1</v>
      </c>
      <c r="AD528">
        <v>3</v>
      </c>
      <c r="AE528">
        <v>1</v>
      </c>
      <c r="AF528">
        <v>2</v>
      </c>
    </row>
    <row r="530" spans="2:36" x14ac:dyDescent="0.15">
      <c r="C530">
        <v>34</v>
      </c>
      <c r="E530">
        <v>147</v>
      </c>
      <c r="G530">
        <v>104</v>
      </c>
      <c r="H530">
        <v>18</v>
      </c>
      <c r="I530">
        <v>237</v>
      </c>
      <c r="J530">
        <v>13</v>
      </c>
      <c r="K530">
        <v>57</v>
      </c>
      <c r="L530">
        <v>45</v>
      </c>
      <c r="O530">
        <v>1</v>
      </c>
      <c r="Q530">
        <v>9</v>
      </c>
      <c r="S530">
        <v>9</v>
      </c>
      <c r="T530">
        <v>1</v>
      </c>
      <c r="U530">
        <v>10</v>
      </c>
      <c r="V530">
        <v>2</v>
      </c>
      <c r="W530">
        <v>4</v>
      </c>
      <c r="AC530">
        <v>5</v>
      </c>
      <c r="AE530">
        <v>8</v>
      </c>
      <c r="AF530">
        <v>2</v>
      </c>
      <c r="AJ530">
        <v>9</v>
      </c>
    </row>
    <row r="532" spans="2:36" x14ac:dyDescent="0.15">
      <c r="E532">
        <v>28</v>
      </c>
      <c r="G532">
        <v>23</v>
      </c>
      <c r="H532">
        <v>2</v>
      </c>
      <c r="I532">
        <v>10</v>
      </c>
      <c r="J532">
        <v>7</v>
      </c>
      <c r="K532">
        <v>17</v>
      </c>
      <c r="L532">
        <v>12</v>
      </c>
      <c r="Q532">
        <v>1</v>
      </c>
      <c r="S532">
        <v>3</v>
      </c>
      <c r="U532">
        <v>1</v>
      </c>
      <c r="AE532">
        <v>1</v>
      </c>
      <c r="AJ532">
        <v>8</v>
      </c>
    </row>
    <row r="534" spans="2:36" x14ac:dyDescent="0.15">
      <c r="G534">
        <v>14</v>
      </c>
      <c r="H534">
        <v>13</v>
      </c>
      <c r="I534">
        <v>24</v>
      </c>
      <c r="J534">
        <v>5</v>
      </c>
      <c r="K534">
        <v>16</v>
      </c>
      <c r="L534">
        <v>15</v>
      </c>
      <c r="S534">
        <v>1</v>
      </c>
      <c r="T534">
        <v>2</v>
      </c>
      <c r="U534">
        <v>2</v>
      </c>
      <c r="X534">
        <v>2</v>
      </c>
      <c r="AF534">
        <v>1</v>
      </c>
      <c r="AJ534">
        <v>3</v>
      </c>
    </row>
    <row r="535" spans="2:36" x14ac:dyDescent="0.15">
      <c r="B535">
        <v>30</v>
      </c>
      <c r="D535">
        <v>8</v>
      </c>
      <c r="F535">
        <v>2</v>
      </c>
      <c r="H535">
        <v>1</v>
      </c>
      <c r="I535">
        <v>1</v>
      </c>
      <c r="J535">
        <v>2</v>
      </c>
      <c r="K535">
        <v>2</v>
      </c>
      <c r="L535">
        <v>2</v>
      </c>
      <c r="N535">
        <v>2</v>
      </c>
      <c r="R535">
        <v>1</v>
      </c>
      <c r="Z535">
        <v>1</v>
      </c>
      <c r="AJ535">
        <v>2</v>
      </c>
    </row>
    <row r="536" spans="2:36" x14ac:dyDescent="0.15">
      <c r="B536">
        <v>13</v>
      </c>
      <c r="D536">
        <v>5</v>
      </c>
      <c r="F536">
        <v>8</v>
      </c>
      <c r="G536">
        <v>1</v>
      </c>
      <c r="I536">
        <v>2</v>
      </c>
      <c r="J536">
        <v>1</v>
      </c>
      <c r="K536">
        <v>3</v>
      </c>
      <c r="L536">
        <v>15</v>
      </c>
      <c r="R536">
        <v>1</v>
      </c>
      <c r="AD536">
        <v>1</v>
      </c>
      <c r="AH536">
        <v>1</v>
      </c>
      <c r="AJ536">
        <v>9</v>
      </c>
    </row>
    <row r="537" spans="2:36" x14ac:dyDescent="0.15">
      <c r="B537">
        <v>148</v>
      </c>
      <c r="D537">
        <v>32</v>
      </c>
      <c r="F537">
        <v>22</v>
      </c>
      <c r="G537">
        <v>11</v>
      </c>
      <c r="H537">
        <v>1</v>
      </c>
      <c r="J537">
        <v>17</v>
      </c>
      <c r="K537">
        <v>5</v>
      </c>
      <c r="L537">
        <v>2</v>
      </c>
      <c r="N537">
        <v>2</v>
      </c>
      <c r="P537">
        <v>4</v>
      </c>
      <c r="R537">
        <v>1</v>
      </c>
      <c r="Z537">
        <v>1</v>
      </c>
      <c r="AH537">
        <v>1</v>
      </c>
    </row>
    <row r="538" spans="2:36" x14ac:dyDescent="0.15">
      <c r="B538">
        <v>9</v>
      </c>
      <c r="D538">
        <v>2</v>
      </c>
      <c r="G538">
        <v>1</v>
      </c>
      <c r="I538">
        <v>8</v>
      </c>
      <c r="L538">
        <v>3</v>
      </c>
      <c r="N538">
        <v>1</v>
      </c>
      <c r="U538">
        <v>2</v>
      </c>
    </row>
    <row r="539" spans="2:36" x14ac:dyDescent="0.15">
      <c r="B539">
        <v>35</v>
      </c>
      <c r="D539">
        <v>14</v>
      </c>
      <c r="F539">
        <v>11</v>
      </c>
      <c r="G539">
        <v>6</v>
      </c>
      <c r="H539">
        <v>1</v>
      </c>
      <c r="I539">
        <v>8</v>
      </c>
      <c r="L539">
        <v>6</v>
      </c>
      <c r="N539">
        <v>1</v>
      </c>
      <c r="P539">
        <v>3</v>
      </c>
      <c r="S539">
        <v>1</v>
      </c>
      <c r="X539">
        <v>1</v>
      </c>
      <c r="Z539">
        <v>1</v>
      </c>
      <c r="AD539">
        <v>2</v>
      </c>
      <c r="AE539">
        <v>1</v>
      </c>
    </row>
    <row r="540" spans="2:36" x14ac:dyDescent="0.15">
      <c r="B540">
        <v>141</v>
      </c>
      <c r="D540">
        <v>41</v>
      </c>
      <c r="F540">
        <v>21</v>
      </c>
      <c r="G540">
        <v>17</v>
      </c>
      <c r="H540">
        <v>6</v>
      </c>
      <c r="I540">
        <v>69</v>
      </c>
      <c r="J540">
        <v>7</v>
      </c>
      <c r="K540">
        <v>14</v>
      </c>
      <c r="N540">
        <v>19</v>
      </c>
      <c r="P540">
        <v>5</v>
      </c>
      <c r="R540">
        <v>1</v>
      </c>
      <c r="T540">
        <v>1</v>
      </c>
      <c r="U540">
        <v>7</v>
      </c>
      <c r="Z540">
        <v>3</v>
      </c>
      <c r="AB540">
        <v>1</v>
      </c>
      <c r="AD540">
        <v>3</v>
      </c>
      <c r="AE540">
        <v>2</v>
      </c>
      <c r="AF540">
        <v>2</v>
      </c>
      <c r="AI540">
        <v>2</v>
      </c>
    </row>
    <row r="542" spans="2:36" x14ac:dyDescent="0.15">
      <c r="C542">
        <v>46</v>
      </c>
      <c r="E542">
        <v>205</v>
      </c>
      <c r="G542">
        <v>112</v>
      </c>
      <c r="H542">
        <v>26</v>
      </c>
      <c r="I542">
        <v>222</v>
      </c>
      <c r="J542">
        <v>16</v>
      </c>
      <c r="K542">
        <v>41</v>
      </c>
      <c r="L542">
        <v>28</v>
      </c>
      <c r="O542">
        <v>3</v>
      </c>
      <c r="Q542">
        <v>18</v>
      </c>
      <c r="S542">
        <v>13</v>
      </c>
      <c r="T542">
        <v>2</v>
      </c>
      <c r="U542">
        <v>14</v>
      </c>
      <c r="V542">
        <v>1</v>
      </c>
      <c r="W542">
        <v>4</v>
      </c>
      <c r="X542">
        <v>3</v>
      </c>
      <c r="AA542">
        <v>1</v>
      </c>
      <c r="AC542">
        <v>5</v>
      </c>
      <c r="AE542">
        <v>10</v>
      </c>
      <c r="AF542">
        <v>1</v>
      </c>
      <c r="AG542">
        <v>1</v>
      </c>
      <c r="AI542">
        <v>1</v>
      </c>
      <c r="AJ542">
        <v>4</v>
      </c>
    </row>
    <row r="544" spans="2:36" x14ac:dyDescent="0.15">
      <c r="E544">
        <v>25</v>
      </c>
      <c r="G544">
        <v>27</v>
      </c>
      <c r="H544">
        <v>3</v>
      </c>
      <c r="I544">
        <v>6</v>
      </c>
      <c r="J544">
        <v>6</v>
      </c>
      <c r="K544">
        <v>14</v>
      </c>
      <c r="L544">
        <v>12</v>
      </c>
      <c r="Q544">
        <v>1</v>
      </c>
      <c r="S544">
        <v>1</v>
      </c>
      <c r="T544">
        <v>1</v>
      </c>
      <c r="V544">
        <v>1</v>
      </c>
      <c r="X544">
        <v>1</v>
      </c>
      <c r="AE544">
        <v>1</v>
      </c>
      <c r="AJ544">
        <v>1</v>
      </c>
    </row>
    <row r="546" spans="2:36" x14ac:dyDescent="0.15">
      <c r="G546">
        <v>13</v>
      </c>
      <c r="H546">
        <v>10</v>
      </c>
      <c r="I546">
        <v>34</v>
      </c>
      <c r="J546">
        <v>6</v>
      </c>
      <c r="K546">
        <v>19</v>
      </c>
      <c r="L546">
        <v>13</v>
      </c>
      <c r="T546">
        <v>3</v>
      </c>
      <c r="U546">
        <v>6</v>
      </c>
      <c r="AE546">
        <v>1</v>
      </c>
      <c r="AG546">
        <v>1</v>
      </c>
      <c r="AI546">
        <v>1</v>
      </c>
      <c r="AJ546">
        <v>1</v>
      </c>
    </row>
    <row r="547" spans="2:36" x14ac:dyDescent="0.15">
      <c r="B547">
        <v>30</v>
      </c>
      <c r="D547">
        <v>11</v>
      </c>
      <c r="F547">
        <v>5</v>
      </c>
      <c r="H547">
        <v>2</v>
      </c>
      <c r="I547">
        <v>1</v>
      </c>
      <c r="J547">
        <v>1</v>
      </c>
      <c r="K547">
        <v>5</v>
      </c>
      <c r="L547">
        <v>4</v>
      </c>
      <c r="N547">
        <v>1</v>
      </c>
      <c r="X547">
        <v>1</v>
      </c>
      <c r="Z547">
        <v>1</v>
      </c>
      <c r="AF547">
        <v>1</v>
      </c>
    </row>
    <row r="548" spans="2:36" x14ac:dyDescent="0.15">
      <c r="B548">
        <v>9</v>
      </c>
      <c r="D548">
        <v>10</v>
      </c>
      <c r="F548">
        <v>3</v>
      </c>
      <c r="G548">
        <v>1</v>
      </c>
      <c r="I548">
        <v>5</v>
      </c>
      <c r="J548">
        <v>1</v>
      </c>
      <c r="L548">
        <v>20</v>
      </c>
      <c r="N548">
        <v>2</v>
      </c>
      <c r="P548">
        <v>1</v>
      </c>
      <c r="R548">
        <v>1</v>
      </c>
      <c r="AE548">
        <v>1</v>
      </c>
      <c r="AJ548">
        <v>2</v>
      </c>
    </row>
    <row r="549" spans="2:36" x14ac:dyDescent="0.15">
      <c r="B549">
        <v>137</v>
      </c>
      <c r="D549">
        <v>32</v>
      </c>
      <c r="F549">
        <v>22</v>
      </c>
      <c r="G549">
        <v>9</v>
      </c>
      <c r="H549">
        <v>1</v>
      </c>
      <c r="J549">
        <v>15</v>
      </c>
      <c r="K549">
        <v>7</v>
      </c>
      <c r="L549">
        <v>7</v>
      </c>
      <c r="N549">
        <v>8</v>
      </c>
      <c r="P549">
        <v>6</v>
      </c>
      <c r="R549">
        <v>3</v>
      </c>
      <c r="V549">
        <v>1</v>
      </c>
      <c r="W549">
        <v>1</v>
      </c>
      <c r="AJ549">
        <v>2</v>
      </c>
    </row>
    <row r="550" spans="2:36" x14ac:dyDescent="0.15">
      <c r="B550">
        <v>11</v>
      </c>
      <c r="D550">
        <v>2</v>
      </c>
      <c r="F550">
        <v>3</v>
      </c>
      <c r="G550">
        <v>1</v>
      </c>
      <c r="I550">
        <v>10</v>
      </c>
      <c r="L550">
        <v>5</v>
      </c>
      <c r="U550">
        <v>3</v>
      </c>
      <c r="AJ550">
        <v>1</v>
      </c>
    </row>
    <row r="551" spans="2:36" x14ac:dyDescent="0.15">
      <c r="B551">
        <v>40</v>
      </c>
      <c r="D551">
        <v>16</v>
      </c>
      <c r="F551">
        <v>6</v>
      </c>
      <c r="G551">
        <v>2</v>
      </c>
      <c r="I551">
        <v>6</v>
      </c>
      <c r="L551">
        <v>6</v>
      </c>
      <c r="P551">
        <v>1</v>
      </c>
      <c r="R551">
        <v>1</v>
      </c>
      <c r="Z551">
        <v>1</v>
      </c>
      <c r="AJ551">
        <v>4</v>
      </c>
    </row>
    <row r="552" spans="2:36" x14ac:dyDescent="0.15">
      <c r="B552">
        <v>138</v>
      </c>
      <c r="D552">
        <v>48</v>
      </c>
      <c r="F552">
        <v>20</v>
      </c>
      <c r="G552">
        <v>16</v>
      </c>
      <c r="H552">
        <v>5</v>
      </c>
      <c r="I552">
        <v>84</v>
      </c>
      <c r="J552">
        <v>6</v>
      </c>
      <c r="K552">
        <v>23</v>
      </c>
      <c r="N552">
        <v>30</v>
      </c>
      <c r="P552">
        <v>3</v>
      </c>
      <c r="R552">
        <v>1</v>
      </c>
      <c r="S552">
        <v>1</v>
      </c>
      <c r="U552">
        <v>4</v>
      </c>
      <c r="Z552">
        <v>1</v>
      </c>
      <c r="AB552">
        <v>2</v>
      </c>
      <c r="AD552">
        <v>2</v>
      </c>
      <c r="AE552">
        <v>6</v>
      </c>
      <c r="AH552">
        <v>2</v>
      </c>
      <c r="AI552">
        <v>5</v>
      </c>
    </row>
    <row r="554" spans="2:36" x14ac:dyDescent="0.15">
      <c r="C554">
        <v>30</v>
      </c>
      <c r="E554">
        <v>148</v>
      </c>
      <c r="G554">
        <v>78</v>
      </c>
      <c r="H554">
        <v>14</v>
      </c>
      <c r="I554">
        <v>206</v>
      </c>
      <c r="J554">
        <v>8</v>
      </c>
      <c r="K554">
        <v>41</v>
      </c>
      <c r="L554">
        <v>28</v>
      </c>
      <c r="O554">
        <v>1</v>
      </c>
      <c r="Q554">
        <v>13</v>
      </c>
      <c r="S554">
        <v>4</v>
      </c>
      <c r="T554">
        <v>2</v>
      </c>
      <c r="U554">
        <v>7</v>
      </c>
      <c r="V554">
        <v>1</v>
      </c>
      <c r="W554">
        <v>6</v>
      </c>
      <c r="X554">
        <v>4</v>
      </c>
      <c r="AC554">
        <v>5</v>
      </c>
      <c r="AE554">
        <v>7</v>
      </c>
      <c r="AI554">
        <v>3</v>
      </c>
      <c r="AJ554">
        <v>7</v>
      </c>
    </row>
    <row r="556" spans="2:36" x14ac:dyDescent="0.15">
      <c r="E556">
        <v>30</v>
      </c>
      <c r="G556">
        <v>31</v>
      </c>
      <c r="H556">
        <v>3</v>
      </c>
      <c r="I556">
        <v>16</v>
      </c>
      <c r="J556">
        <v>4</v>
      </c>
      <c r="K556">
        <v>15</v>
      </c>
      <c r="L556">
        <v>13</v>
      </c>
      <c r="Q556">
        <v>1</v>
      </c>
      <c r="S556">
        <v>1</v>
      </c>
      <c r="W556">
        <v>1</v>
      </c>
      <c r="AC556">
        <v>1</v>
      </c>
      <c r="AI556">
        <v>1</v>
      </c>
      <c r="AJ556">
        <v>3</v>
      </c>
    </row>
    <row r="558" spans="2:36" x14ac:dyDescent="0.15">
      <c r="G558">
        <v>9</v>
      </c>
      <c r="H558">
        <v>15</v>
      </c>
      <c r="I558">
        <v>37</v>
      </c>
      <c r="J558">
        <v>4</v>
      </c>
      <c r="K558">
        <v>14</v>
      </c>
      <c r="L558">
        <v>14</v>
      </c>
      <c r="T558">
        <v>1</v>
      </c>
      <c r="U558">
        <v>2</v>
      </c>
      <c r="AE558">
        <v>1</v>
      </c>
      <c r="AJ558">
        <v>3</v>
      </c>
    </row>
    <row r="559" spans="2:36" x14ac:dyDescent="0.15">
      <c r="B559">
        <v>29</v>
      </c>
      <c r="D559">
        <v>9</v>
      </c>
      <c r="F559">
        <v>1</v>
      </c>
      <c r="I559">
        <v>1</v>
      </c>
      <c r="K559">
        <v>3</v>
      </c>
      <c r="L559">
        <v>1</v>
      </c>
      <c r="N559">
        <v>2</v>
      </c>
      <c r="Z559">
        <v>1</v>
      </c>
      <c r="AB559">
        <v>1</v>
      </c>
      <c r="AJ559">
        <v>1</v>
      </c>
    </row>
    <row r="560" spans="2:36" x14ac:dyDescent="0.15">
      <c r="B560">
        <v>8</v>
      </c>
      <c r="D560">
        <v>4</v>
      </c>
      <c r="F560">
        <v>3</v>
      </c>
      <c r="G560">
        <v>3</v>
      </c>
      <c r="I560">
        <v>2</v>
      </c>
      <c r="L560">
        <v>9</v>
      </c>
      <c r="N560">
        <v>1</v>
      </c>
      <c r="R560">
        <v>1</v>
      </c>
      <c r="X560">
        <v>1</v>
      </c>
      <c r="AJ560">
        <v>3</v>
      </c>
    </row>
    <row r="561" spans="2:36" x14ac:dyDescent="0.15">
      <c r="B561">
        <v>136</v>
      </c>
      <c r="D561">
        <v>30</v>
      </c>
      <c r="F561">
        <v>31</v>
      </c>
      <c r="G561">
        <v>15</v>
      </c>
      <c r="H561">
        <v>4</v>
      </c>
      <c r="J561">
        <v>4</v>
      </c>
      <c r="K561">
        <v>6</v>
      </c>
      <c r="L561">
        <v>6</v>
      </c>
      <c r="N561">
        <v>13</v>
      </c>
      <c r="P561">
        <v>5</v>
      </c>
      <c r="R561">
        <v>1</v>
      </c>
      <c r="S561">
        <v>1</v>
      </c>
      <c r="V561">
        <v>1</v>
      </c>
      <c r="W561">
        <v>1</v>
      </c>
      <c r="AD561">
        <v>1</v>
      </c>
      <c r="AJ561">
        <v>1</v>
      </c>
    </row>
    <row r="562" spans="2:36" x14ac:dyDescent="0.15">
      <c r="B562">
        <v>4</v>
      </c>
      <c r="D562">
        <v>4</v>
      </c>
      <c r="F562">
        <v>4</v>
      </c>
      <c r="I562">
        <v>10</v>
      </c>
      <c r="L562">
        <v>1</v>
      </c>
      <c r="N562">
        <v>2</v>
      </c>
      <c r="U562">
        <v>1</v>
      </c>
      <c r="AJ562">
        <v>1</v>
      </c>
    </row>
    <row r="563" spans="2:36" x14ac:dyDescent="0.15">
      <c r="B563">
        <v>25</v>
      </c>
      <c r="D563">
        <v>19</v>
      </c>
      <c r="F563">
        <v>8</v>
      </c>
      <c r="G563">
        <v>2</v>
      </c>
      <c r="I563">
        <v>6</v>
      </c>
      <c r="L563">
        <v>5</v>
      </c>
      <c r="P563">
        <v>4</v>
      </c>
      <c r="U563">
        <v>1</v>
      </c>
      <c r="AE563">
        <v>1</v>
      </c>
      <c r="AJ563">
        <v>4</v>
      </c>
    </row>
    <row r="564" spans="2:36" x14ac:dyDescent="0.15">
      <c r="B564">
        <v>137</v>
      </c>
      <c r="D564">
        <v>50</v>
      </c>
      <c r="F564">
        <v>23</v>
      </c>
      <c r="G564">
        <v>10</v>
      </c>
      <c r="H564">
        <v>8</v>
      </c>
      <c r="I564">
        <v>57</v>
      </c>
      <c r="J564">
        <v>3</v>
      </c>
      <c r="K564">
        <v>11</v>
      </c>
      <c r="N564">
        <v>25</v>
      </c>
      <c r="P564">
        <v>2</v>
      </c>
      <c r="U564">
        <v>5</v>
      </c>
      <c r="W564">
        <v>1</v>
      </c>
      <c r="Z564">
        <v>1</v>
      </c>
      <c r="AD564">
        <v>1</v>
      </c>
      <c r="AE564">
        <v>1</v>
      </c>
      <c r="AI564">
        <v>3</v>
      </c>
    </row>
    <row r="566" spans="2:36" x14ac:dyDescent="0.15">
      <c r="C566">
        <v>14</v>
      </c>
      <c r="E566">
        <v>82</v>
      </c>
      <c r="G566">
        <v>39</v>
      </c>
      <c r="H566">
        <v>8</v>
      </c>
      <c r="I566">
        <v>85</v>
      </c>
      <c r="J566">
        <v>8</v>
      </c>
      <c r="K566">
        <v>20</v>
      </c>
      <c r="L566">
        <v>24</v>
      </c>
      <c r="O566">
        <v>2</v>
      </c>
      <c r="Q566">
        <v>9</v>
      </c>
      <c r="S566">
        <v>9</v>
      </c>
      <c r="T566">
        <v>1</v>
      </c>
      <c r="U566">
        <v>6</v>
      </c>
      <c r="AA566">
        <v>1</v>
      </c>
      <c r="AC566">
        <v>5</v>
      </c>
      <c r="AE566">
        <v>4</v>
      </c>
      <c r="AF566">
        <v>1</v>
      </c>
      <c r="AI566">
        <v>1</v>
      </c>
      <c r="AJ566">
        <v>1</v>
      </c>
    </row>
    <row r="568" spans="2:36" x14ac:dyDescent="0.15">
      <c r="E568">
        <v>35</v>
      </c>
      <c r="G568">
        <v>26</v>
      </c>
      <c r="I568">
        <v>11</v>
      </c>
      <c r="J568">
        <v>2</v>
      </c>
      <c r="K568">
        <v>10</v>
      </c>
      <c r="L568">
        <v>12</v>
      </c>
      <c r="Q568">
        <v>2</v>
      </c>
      <c r="S568">
        <v>2</v>
      </c>
      <c r="AE568">
        <v>1</v>
      </c>
      <c r="AF568">
        <v>1</v>
      </c>
      <c r="AI568">
        <v>2</v>
      </c>
      <c r="AJ568">
        <v>5</v>
      </c>
    </row>
    <row r="570" spans="2:36" x14ac:dyDescent="0.15">
      <c r="G570">
        <v>11</v>
      </c>
      <c r="H570">
        <v>5</v>
      </c>
      <c r="I570">
        <v>22</v>
      </c>
      <c r="K570">
        <v>7</v>
      </c>
      <c r="L570">
        <v>10</v>
      </c>
      <c r="T570">
        <v>1</v>
      </c>
      <c r="W570">
        <v>1</v>
      </c>
      <c r="AJ570">
        <v>1</v>
      </c>
    </row>
    <row r="571" spans="2:36" x14ac:dyDescent="0.15">
      <c r="B571">
        <v>22</v>
      </c>
      <c r="D571">
        <v>12</v>
      </c>
      <c r="F571">
        <v>3</v>
      </c>
      <c r="H571">
        <v>4</v>
      </c>
      <c r="I571">
        <v>2</v>
      </c>
      <c r="J571">
        <v>1</v>
      </c>
      <c r="K571">
        <v>5</v>
      </c>
      <c r="L571">
        <v>4</v>
      </c>
      <c r="N571">
        <v>1</v>
      </c>
      <c r="AI571">
        <v>1</v>
      </c>
    </row>
    <row r="572" spans="2:36" x14ac:dyDescent="0.15">
      <c r="B572">
        <v>9</v>
      </c>
      <c r="D572">
        <v>2</v>
      </c>
      <c r="F572">
        <v>4</v>
      </c>
      <c r="G572">
        <v>1</v>
      </c>
      <c r="I572">
        <v>2</v>
      </c>
      <c r="K572">
        <v>2</v>
      </c>
      <c r="L572">
        <v>13</v>
      </c>
      <c r="N572">
        <v>1</v>
      </c>
      <c r="R572">
        <v>1</v>
      </c>
      <c r="S572">
        <v>1</v>
      </c>
      <c r="AB572">
        <v>2</v>
      </c>
      <c r="AJ572">
        <v>3</v>
      </c>
    </row>
    <row r="573" spans="2:36" x14ac:dyDescent="0.15">
      <c r="B573">
        <v>139</v>
      </c>
      <c r="D573">
        <v>22</v>
      </c>
      <c r="F573">
        <v>35</v>
      </c>
      <c r="G573">
        <v>4</v>
      </c>
      <c r="H573">
        <v>5</v>
      </c>
      <c r="J573">
        <v>12</v>
      </c>
      <c r="K573">
        <v>2</v>
      </c>
      <c r="L573">
        <v>1</v>
      </c>
      <c r="N573">
        <v>4</v>
      </c>
      <c r="P573">
        <v>5</v>
      </c>
      <c r="R573">
        <v>2</v>
      </c>
      <c r="S573">
        <v>1</v>
      </c>
      <c r="T573">
        <v>1</v>
      </c>
      <c r="V573">
        <v>1</v>
      </c>
      <c r="AI573">
        <v>2</v>
      </c>
      <c r="AJ573">
        <v>1</v>
      </c>
    </row>
    <row r="574" spans="2:36" x14ac:dyDescent="0.15">
      <c r="B574">
        <v>5</v>
      </c>
      <c r="D574">
        <v>4</v>
      </c>
      <c r="F574">
        <v>3</v>
      </c>
      <c r="G574">
        <v>2</v>
      </c>
      <c r="I574">
        <v>10</v>
      </c>
      <c r="L574">
        <v>1</v>
      </c>
    </row>
    <row r="575" spans="2:36" x14ac:dyDescent="0.15">
      <c r="B575">
        <v>27</v>
      </c>
      <c r="D575">
        <v>16</v>
      </c>
      <c r="F575">
        <v>15</v>
      </c>
      <c r="G575">
        <v>7</v>
      </c>
      <c r="H575">
        <v>3</v>
      </c>
      <c r="I575">
        <v>6</v>
      </c>
      <c r="L575">
        <v>2</v>
      </c>
      <c r="N575">
        <v>4</v>
      </c>
      <c r="P575">
        <v>1</v>
      </c>
    </row>
    <row r="576" spans="2:36" x14ac:dyDescent="0.15">
      <c r="B576">
        <v>143</v>
      </c>
      <c r="D576">
        <v>67</v>
      </c>
      <c r="F576">
        <v>39</v>
      </c>
      <c r="G576">
        <v>19</v>
      </c>
      <c r="H576">
        <v>5</v>
      </c>
      <c r="I576">
        <v>57</v>
      </c>
      <c r="J576">
        <v>2</v>
      </c>
      <c r="K576">
        <v>13</v>
      </c>
      <c r="N576">
        <v>25</v>
      </c>
      <c r="P576">
        <v>2</v>
      </c>
      <c r="S576">
        <v>1</v>
      </c>
      <c r="T576">
        <v>2</v>
      </c>
      <c r="U576">
        <v>3</v>
      </c>
      <c r="W576">
        <v>1</v>
      </c>
      <c r="AB576">
        <v>1</v>
      </c>
      <c r="AD576">
        <v>2</v>
      </c>
      <c r="AE576">
        <v>2</v>
      </c>
      <c r="AF576">
        <v>2</v>
      </c>
      <c r="AH576">
        <v>1</v>
      </c>
      <c r="AI576">
        <v>5</v>
      </c>
    </row>
    <row r="578" spans="2:36" x14ac:dyDescent="0.15">
      <c r="C578">
        <v>36</v>
      </c>
      <c r="E578">
        <v>95</v>
      </c>
      <c r="G578">
        <v>50</v>
      </c>
      <c r="H578">
        <v>11</v>
      </c>
      <c r="I578">
        <v>112</v>
      </c>
      <c r="J578">
        <v>5</v>
      </c>
      <c r="K578">
        <v>23</v>
      </c>
      <c r="L578">
        <v>10</v>
      </c>
      <c r="O578">
        <v>1</v>
      </c>
      <c r="Q578">
        <v>3</v>
      </c>
      <c r="S578">
        <v>8</v>
      </c>
      <c r="U578">
        <v>2</v>
      </c>
      <c r="V578">
        <v>1</v>
      </c>
      <c r="X578">
        <v>1</v>
      </c>
      <c r="AA578">
        <v>1</v>
      </c>
      <c r="AC578">
        <v>1</v>
      </c>
      <c r="AE578">
        <v>7</v>
      </c>
      <c r="AF578">
        <v>1</v>
      </c>
      <c r="AI578">
        <v>1</v>
      </c>
      <c r="AJ578">
        <v>7</v>
      </c>
    </row>
    <row r="580" spans="2:36" x14ac:dyDescent="0.15">
      <c r="E580">
        <v>21</v>
      </c>
      <c r="G580">
        <v>21</v>
      </c>
      <c r="H580">
        <v>1</v>
      </c>
      <c r="I580">
        <v>7</v>
      </c>
      <c r="J580">
        <v>2</v>
      </c>
      <c r="K580">
        <v>11</v>
      </c>
      <c r="L580">
        <v>4</v>
      </c>
      <c r="T580">
        <v>1</v>
      </c>
      <c r="V580">
        <v>1</v>
      </c>
      <c r="AJ580">
        <v>2</v>
      </c>
    </row>
    <row r="582" spans="2:36" x14ac:dyDescent="0.15">
      <c r="G582">
        <v>17</v>
      </c>
      <c r="H582">
        <v>8</v>
      </c>
      <c r="I582">
        <v>34</v>
      </c>
      <c r="J582">
        <v>5</v>
      </c>
      <c r="K582">
        <v>10</v>
      </c>
      <c r="L582">
        <v>8</v>
      </c>
      <c r="T582">
        <v>2</v>
      </c>
      <c r="U582">
        <v>2</v>
      </c>
      <c r="W582">
        <v>1</v>
      </c>
      <c r="AF582">
        <v>3</v>
      </c>
      <c r="AI582">
        <v>2</v>
      </c>
      <c r="AJ582">
        <v>5</v>
      </c>
    </row>
    <row r="583" spans="2:36" x14ac:dyDescent="0.15">
      <c r="B583">
        <v>14</v>
      </c>
      <c r="D583">
        <v>8</v>
      </c>
      <c r="H583">
        <v>1</v>
      </c>
      <c r="J583">
        <v>2</v>
      </c>
      <c r="K583">
        <v>3</v>
      </c>
      <c r="N583">
        <v>2</v>
      </c>
      <c r="U583">
        <v>1</v>
      </c>
      <c r="AB583">
        <v>1</v>
      </c>
      <c r="AJ583">
        <v>1</v>
      </c>
    </row>
    <row r="584" spans="2:36" x14ac:dyDescent="0.15">
      <c r="B584">
        <v>11</v>
      </c>
      <c r="D584">
        <v>2</v>
      </c>
      <c r="F584">
        <v>7</v>
      </c>
      <c r="G584">
        <v>4</v>
      </c>
      <c r="K584">
        <v>3</v>
      </c>
      <c r="L584">
        <v>10</v>
      </c>
      <c r="R584">
        <v>1</v>
      </c>
      <c r="AD584">
        <v>1</v>
      </c>
      <c r="AE584">
        <v>1</v>
      </c>
      <c r="AJ584">
        <v>3</v>
      </c>
    </row>
    <row r="585" spans="2:36" x14ac:dyDescent="0.15">
      <c r="B585">
        <v>153</v>
      </c>
      <c r="D585">
        <v>28</v>
      </c>
      <c r="F585">
        <v>38</v>
      </c>
      <c r="G585">
        <v>7</v>
      </c>
      <c r="J585">
        <v>19</v>
      </c>
      <c r="K585">
        <v>9</v>
      </c>
      <c r="L585">
        <v>7</v>
      </c>
      <c r="N585">
        <v>1</v>
      </c>
      <c r="P585">
        <v>7</v>
      </c>
      <c r="R585">
        <v>5</v>
      </c>
      <c r="V585">
        <v>1</v>
      </c>
    </row>
    <row r="586" spans="2:36" x14ac:dyDescent="0.15">
      <c r="B586">
        <v>5</v>
      </c>
      <c r="D586">
        <v>1</v>
      </c>
      <c r="F586">
        <v>3</v>
      </c>
      <c r="G586">
        <v>1</v>
      </c>
      <c r="I586">
        <v>9</v>
      </c>
      <c r="L586">
        <v>2</v>
      </c>
      <c r="U586">
        <v>2</v>
      </c>
      <c r="AB586">
        <v>1</v>
      </c>
    </row>
    <row r="587" spans="2:36" x14ac:dyDescent="0.15">
      <c r="B587">
        <v>32</v>
      </c>
      <c r="D587">
        <v>21</v>
      </c>
      <c r="F587">
        <v>17</v>
      </c>
      <c r="G587">
        <v>13</v>
      </c>
      <c r="H587">
        <v>2</v>
      </c>
      <c r="I587">
        <v>10</v>
      </c>
      <c r="L587">
        <v>4</v>
      </c>
      <c r="N587">
        <v>1</v>
      </c>
      <c r="P587">
        <v>4</v>
      </c>
      <c r="U587">
        <v>1</v>
      </c>
      <c r="AD587">
        <v>1</v>
      </c>
      <c r="AJ587">
        <v>1</v>
      </c>
    </row>
    <row r="588" spans="2:36" x14ac:dyDescent="0.15">
      <c r="B588">
        <v>140</v>
      </c>
      <c r="D588">
        <v>62</v>
      </c>
      <c r="F588">
        <v>25</v>
      </c>
      <c r="G588">
        <v>6</v>
      </c>
      <c r="H588">
        <v>13</v>
      </c>
      <c r="I588">
        <v>60</v>
      </c>
      <c r="J588">
        <v>1</v>
      </c>
      <c r="K588">
        <v>12</v>
      </c>
      <c r="N588">
        <v>27</v>
      </c>
      <c r="P588">
        <v>9</v>
      </c>
      <c r="R588">
        <v>1</v>
      </c>
      <c r="U588">
        <v>2</v>
      </c>
      <c r="V588">
        <v>1</v>
      </c>
      <c r="W588">
        <v>1</v>
      </c>
      <c r="AB588">
        <v>3</v>
      </c>
      <c r="AD588">
        <v>1</v>
      </c>
      <c r="AE588">
        <v>3</v>
      </c>
      <c r="AF588">
        <v>1</v>
      </c>
      <c r="AH588">
        <v>1</v>
      </c>
      <c r="AI588">
        <v>3</v>
      </c>
    </row>
    <row r="590" spans="2:36" x14ac:dyDescent="0.15">
      <c r="C590">
        <v>35</v>
      </c>
      <c r="E590">
        <v>145</v>
      </c>
      <c r="G590">
        <v>90</v>
      </c>
      <c r="H590">
        <v>16</v>
      </c>
      <c r="I590">
        <v>165</v>
      </c>
      <c r="J590">
        <v>11</v>
      </c>
      <c r="K590">
        <v>23</v>
      </c>
      <c r="L590">
        <v>20</v>
      </c>
      <c r="O590">
        <v>2</v>
      </c>
      <c r="Q590">
        <v>17</v>
      </c>
      <c r="S590">
        <v>14</v>
      </c>
      <c r="T590">
        <v>1</v>
      </c>
      <c r="U590">
        <v>6</v>
      </c>
      <c r="W590">
        <v>3</v>
      </c>
      <c r="X590">
        <v>2</v>
      </c>
      <c r="AC590">
        <v>10</v>
      </c>
      <c r="AE590">
        <v>11</v>
      </c>
      <c r="AF590">
        <v>2</v>
      </c>
      <c r="AG590">
        <v>1</v>
      </c>
      <c r="AH590">
        <v>1</v>
      </c>
      <c r="AI590">
        <v>3</v>
      </c>
      <c r="AJ590">
        <v>5</v>
      </c>
    </row>
    <row r="592" spans="2:36" x14ac:dyDescent="0.15">
      <c r="E592">
        <v>19</v>
      </c>
      <c r="G592">
        <v>17</v>
      </c>
      <c r="H592">
        <v>1</v>
      </c>
      <c r="I592">
        <v>6</v>
      </c>
      <c r="J592">
        <v>6</v>
      </c>
      <c r="K592">
        <v>10</v>
      </c>
      <c r="L592">
        <v>9</v>
      </c>
      <c r="S592">
        <v>2</v>
      </c>
      <c r="AF592">
        <v>1</v>
      </c>
      <c r="AJ592">
        <v>4</v>
      </c>
    </row>
    <row r="594" spans="2:36" x14ac:dyDescent="0.15">
      <c r="G594">
        <v>13</v>
      </c>
      <c r="H594">
        <v>9</v>
      </c>
      <c r="I594">
        <v>27</v>
      </c>
      <c r="J594">
        <v>5</v>
      </c>
      <c r="K594">
        <v>13</v>
      </c>
      <c r="L594">
        <v>11</v>
      </c>
      <c r="T594">
        <v>2</v>
      </c>
      <c r="U594">
        <v>1</v>
      </c>
      <c r="W594">
        <v>1</v>
      </c>
      <c r="X594">
        <v>1</v>
      </c>
      <c r="AE594">
        <v>2</v>
      </c>
      <c r="AI594">
        <v>1</v>
      </c>
      <c r="AJ594">
        <v>7</v>
      </c>
    </row>
    <row r="595" spans="2:36" x14ac:dyDescent="0.15">
      <c r="B595">
        <v>23</v>
      </c>
      <c r="D595">
        <v>4</v>
      </c>
      <c r="F595">
        <v>3</v>
      </c>
      <c r="H595">
        <v>1</v>
      </c>
      <c r="I595">
        <v>2</v>
      </c>
      <c r="K595">
        <v>2</v>
      </c>
      <c r="L595">
        <v>3</v>
      </c>
      <c r="X595">
        <v>1</v>
      </c>
      <c r="AI595">
        <v>1</v>
      </c>
    </row>
    <row r="596" spans="2:36" x14ac:dyDescent="0.15">
      <c r="B596">
        <v>4</v>
      </c>
      <c r="D596">
        <v>4</v>
      </c>
      <c r="F596">
        <v>8</v>
      </c>
      <c r="G596">
        <v>1</v>
      </c>
      <c r="K596">
        <v>1</v>
      </c>
      <c r="L596">
        <v>7</v>
      </c>
      <c r="N596">
        <v>1</v>
      </c>
      <c r="X596">
        <v>2</v>
      </c>
      <c r="Z596">
        <v>1</v>
      </c>
      <c r="AB596">
        <v>4</v>
      </c>
      <c r="AD596">
        <v>1</v>
      </c>
      <c r="AG596">
        <v>1</v>
      </c>
      <c r="AJ596">
        <v>3</v>
      </c>
    </row>
    <row r="597" spans="2:36" x14ac:dyDescent="0.15">
      <c r="B597">
        <v>143</v>
      </c>
      <c r="D597">
        <v>49</v>
      </c>
      <c r="F597">
        <v>31</v>
      </c>
      <c r="G597">
        <v>6</v>
      </c>
      <c r="H597">
        <v>1</v>
      </c>
      <c r="J597">
        <v>16</v>
      </c>
      <c r="K597">
        <v>3</v>
      </c>
      <c r="L597">
        <v>4</v>
      </c>
      <c r="N597">
        <v>8</v>
      </c>
      <c r="P597">
        <v>3</v>
      </c>
      <c r="R597">
        <v>2</v>
      </c>
      <c r="AE597">
        <v>1</v>
      </c>
      <c r="AJ597">
        <v>1</v>
      </c>
    </row>
    <row r="598" spans="2:36" x14ac:dyDescent="0.15">
      <c r="B598">
        <v>9</v>
      </c>
      <c r="D598">
        <v>5</v>
      </c>
      <c r="F598">
        <v>2</v>
      </c>
      <c r="G598">
        <v>1</v>
      </c>
      <c r="I598">
        <v>10</v>
      </c>
      <c r="L598">
        <v>1</v>
      </c>
      <c r="P598">
        <v>1</v>
      </c>
      <c r="U598">
        <v>1</v>
      </c>
      <c r="AJ598">
        <v>1</v>
      </c>
    </row>
    <row r="599" spans="2:36" x14ac:dyDescent="0.15">
      <c r="B599">
        <v>42</v>
      </c>
      <c r="D599">
        <v>17</v>
      </c>
      <c r="F599">
        <v>7</v>
      </c>
      <c r="G599">
        <v>4</v>
      </c>
      <c r="H599">
        <v>1</v>
      </c>
      <c r="I599">
        <v>8</v>
      </c>
      <c r="L599">
        <v>1</v>
      </c>
      <c r="N599">
        <v>3</v>
      </c>
      <c r="P599">
        <v>2</v>
      </c>
      <c r="U599">
        <v>3</v>
      </c>
      <c r="Z599">
        <v>1</v>
      </c>
      <c r="AB599">
        <v>1</v>
      </c>
      <c r="AF599">
        <v>1</v>
      </c>
      <c r="AJ599">
        <v>1</v>
      </c>
    </row>
    <row r="600" spans="2:36" x14ac:dyDescent="0.15">
      <c r="B600">
        <v>122</v>
      </c>
      <c r="D600">
        <v>59</v>
      </c>
      <c r="F600">
        <v>14</v>
      </c>
      <c r="G600">
        <v>6</v>
      </c>
      <c r="H600">
        <v>3</v>
      </c>
      <c r="I600">
        <v>79</v>
      </c>
      <c r="J600">
        <v>3</v>
      </c>
      <c r="K600">
        <v>13</v>
      </c>
      <c r="N600">
        <v>19</v>
      </c>
      <c r="P600">
        <v>4</v>
      </c>
      <c r="R600">
        <v>1</v>
      </c>
      <c r="S600">
        <v>1</v>
      </c>
      <c r="U600">
        <v>8</v>
      </c>
      <c r="Z600">
        <v>3</v>
      </c>
      <c r="AE600">
        <v>1</v>
      </c>
      <c r="AF600">
        <v>3</v>
      </c>
      <c r="AI600">
        <v>3</v>
      </c>
    </row>
    <row r="602" spans="2:36" x14ac:dyDescent="0.15">
      <c r="C602">
        <v>29</v>
      </c>
      <c r="E602">
        <v>139</v>
      </c>
      <c r="G602">
        <v>64</v>
      </c>
      <c r="H602">
        <v>14</v>
      </c>
      <c r="I602">
        <v>152</v>
      </c>
      <c r="J602">
        <v>9</v>
      </c>
      <c r="K602">
        <v>19</v>
      </c>
      <c r="L602">
        <v>16</v>
      </c>
      <c r="O602">
        <v>3</v>
      </c>
      <c r="Q602">
        <v>16</v>
      </c>
      <c r="S602">
        <v>12</v>
      </c>
      <c r="U602">
        <v>5</v>
      </c>
      <c r="W602">
        <v>2</v>
      </c>
      <c r="AC602">
        <v>4</v>
      </c>
      <c r="AE602">
        <v>6</v>
      </c>
      <c r="AH602">
        <v>1</v>
      </c>
      <c r="AJ602">
        <v>4</v>
      </c>
    </row>
    <row r="604" spans="2:36" x14ac:dyDescent="0.15">
      <c r="E604">
        <v>16</v>
      </c>
      <c r="G604">
        <v>23</v>
      </c>
      <c r="H604">
        <v>1</v>
      </c>
      <c r="I604">
        <v>9</v>
      </c>
      <c r="J604">
        <v>5</v>
      </c>
      <c r="K604">
        <v>7</v>
      </c>
      <c r="L604">
        <v>16</v>
      </c>
      <c r="S604">
        <v>1</v>
      </c>
      <c r="V604">
        <v>1</v>
      </c>
      <c r="X604">
        <v>1</v>
      </c>
      <c r="AE604">
        <v>1</v>
      </c>
      <c r="AF604">
        <v>2</v>
      </c>
      <c r="AJ604">
        <v>3</v>
      </c>
    </row>
    <row r="606" spans="2:36" x14ac:dyDescent="0.15">
      <c r="G606">
        <v>8</v>
      </c>
      <c r="H606">
        <v>8</v>
      </c>
      <c r="I606">
        <v>24</v>
      </c>
      <c r="J606">
        <v>5</v>
      </c>
      <c r="K606">
        <v>9</v>
      </c>
      <c r="L606">
        <v>7</v>
      </c>
      <c r="T606">
        <v>1</v>
      </c>
      <c r="U606">
        <v>3</v>
      </c>
      <c r="AJ606">
        <v>2</v>
      </c>
    </row>
    <row r="607" spans="2:36" x14ac:dyDescent="0.15">
      <c r="B607">
        <v>26</v>
      </c>
      <c r="D607">
        <v>7</v>
      </c>
      <c r="F607">
        <v>3</v>
      </c>
      <c r="H607">
        <v>1</v>
      </c>
      <c r="I607">
        <v>2</v>
      </c>
      <c r="J607">
        <v>1</v>
      </c>
      <c r="K607">
        <v>2</v>
      </c>
      <c r="L607">
        <v>3</v>
      </c>
      <c r="N607">
        <v>3</v>
      </c>
      <c r="P607">
        <v>1</v>
      </c>
      <c r="Z607">
        <v>2</v>
      </c>
      <c r="AJ607">
        <v>1</v>
      </c>
    </row>
    <row r="608" spans="2:36" x14ac:dyDescent="0.15">
      <c r="B608">
        <v>6</v>
      </c>
      <c r="D608">
        <v>5</v>
      </c>
      <c r="F608">
        <v>7</v>
      </c>
      <c r="G608">
        <v>1</v>
      </c>
      <c r="I608">
        <v>1</v>
      </c>
      <c r="J608">
        <v>1</v>
      </c>
      <c r="K608">
        <v>1</v>
      </c>
      <c r="L608">
        <v>10</v>
      </c>
      <c r="N608">
        <v>1</v>
      </c>
      <c r="P608">
        <v>1</v>
      </c>
      <c r="R608">
        <v>2</v>
      </c>
      <c r="X608">
        <v>2</v>
      </c>
      <c r="AB608">
        <v>2</v>
      </c>
      <c r="AJ608">
        <v>5</v>
      </c>
    </row>
    <row r="609" spans="2:36" x14ac:dyDescent="0.15">
      <c r="B609">
        <v>150</v>
      </c>
      <c r="D609">
        <v>32</v>
      </c>
      <c r="F609">
        <v>36</v>
      </c>
      <c r="G609">
        <v>6</v>
      </c>
      <c r="H609">
        <v>2</v>
      </c>
      <c r="J609">
        <v>12</v>
      </c>
      <c r="K609">
        <v>9</v>
      </c>
      <c r="L609">
        <v>8</v>
      </c>
      <c r="N609">
        <v>4</v>
      </c>
      <c r="P609">
        <v>5</v>
      </c>
      <c r="R609">
        <v>2</v>
      </c>
      <c r="V609">
        <v>3</v>
      </c>
      <c r="W609">
        <v>1</v>
      </c>
      <c r="AJ609">
        <v>2</v>
      </c>
    </row>
    <row r="610" spans="2:36" x14ac:dyDescent="0.15">
      <c r="B610">
        <v>4</v>
      </c>
      <c r="D610">
        <v>6</v>
      </c>
      <c r="F610">
        <v>3</v>
      </c>
      <c r="G610">
        <v>1</v>
      </c>
      <c r="I610">
        <v>6</v>
      </c>
      <c r="L610">
        <v>3</v>
      </c>
      <c r="P610">
        <v>2</v>
      </c>
      <c r="U610">
        <v>1</v>
      </c>
    </row>
    <row r="611" spans="2:36" x14ac:dyDescent="0.15">
      <c r="B611">
        <v>43</v>
      </c>
      <c r="D611">
        <v>14</v>
      </c>
      <c r="F611">
        <v>9</v>
      </c>
      <c r="G611">
        <v>5</v>
      </c>
      <c r="I611">
        <v>8</v>
      </c>
      <c r="N611">
        <v>2</v>
      </c>
      <c r="P611">
        <v>2</v>
      </c>
      <c r="U611">
        <v>1</v>
      </c>
      <c r="X611">
        <v>1</v>
      </c>
      <c r="AB611">
        <v>1</v>
      </c>
      <c r="AJ611">
        <v>2</v>
      </c>
    </row>
    <row r="612" spans="2:36" x14ac:dyDescent="0.15">
      <c r="B612">
        <v>138</v>
      </c>
      <c r="D612">
        <v>44</v>
      </c>
      <c r="F612">
        <v>16</v>
      </c>
      <c r="G612">
        <v>8</v>
      </c>
      <c r="H612">
        <v>6</v>
      </c>
      <c r="I612">
        <v>67</v>
      </c>
      <c r="J612">
        <v>2</v>
      </c>
      <c r="K612">
        <v>16</v>
      </c>
      <c r="N612">
        <v>28</v>
      </c>
      <c r="R612">
        <v>3</v>
      </c>
      <c r="U612">
        <v>2</v>
      </c>
      <c r="Z612">
        <v>4</v>
      </c>
      <c r="AB612">
        <v>3</v>
      </c>
      <c r="AE612">
        <v>3</v>
      </c>
      <c r="AI612">
        <v>7</v>
      </c>
    </row>
    <row r="614" spans="2:36" x14ac:dyDescent="0.15">
      <c r="C614">
        <v>22</v>
      </c>
      <c r="E614">
        <v>77</v>
      </c>
      <c r="G614">
        <v>54</v>
      </c>
      <c r="H614">
        <v>9</v>
      </c>
      <c r="I614">
        <v>117</v>
      </c>
      <c r="J614">
        <v>7</v>
      </c>
      <c r="K614">
        <v>22</v>
      </c>
      <c r="L614">
        <v>13</v>
      </c>
      <c r="O614">
        <v>1</v>
      </c>
      <c r="Q614">
        <v>3</v>
      </c>
      <c r="S614">
        <v>8</v>
      </c>
      <c r="U614">
        <v>5</v>
      </c>
      <c r="AC614">
        <v>2</v>
      </c>
      <c r="AE614">
        <v>8</v>
      </c>
      <c r="AF614">
        <v>2</v>
      </c>
      <c r="AJ614">
        <v>4</v>
      </c>
    </row>
    <row r="616" spans="2:36" x14ac:dyDescent="0.15">
      <c r="E616">
        <v>21</v>
      </c>
      <c r="G616">
        <v>26</v>
      </c>
      <c r="H616">
        <v>1</v>
      </c>
      <c r="I616">
        <v>5</v>
      </c>
      <c r="J616">
        <v>3</v>
      </c>
      <c r="K616">
        <v>6</v>
      </c>
      <c r="L616">
        <v>10</v>
      </c>
      <c r="Q616">
        <v>2</v>
      </c>
      <c r="S616">
        <v>1</v>
      </c>
      <c r="AE616">
        <v>1</v>
      </c>
      <c r="AF616">
        <v>1</v>
      </c>
      <c r="AJ616">
        <v>5</v>
      </c>
    </row>
    <row r="618" spans="2:36" x14ac:dyDescent="0.15">
      <c r="G618">
        <v>12</v>
      </c>
      <c r="H618">
        <v>8</v>
      </c>
      <c r="I618">
        <v>31</v>
      </c>
      <c r="J618">
        <v>3</v>
      </c>
      <c r="K618">
        <v>8</v>
      </c>
      <c r="L618">
        <v>7</v>
      </c>
      <c r="T618">
        <v>2</v>
      </c>
      <c r="U618">
        <v>2</v>
      </c>
      <c r="X618">
        <v>1</v>
      </c>
      <c r="AF618">
        <v>2</v>
      </c>
    </row>
    <row r="619" spans="2:36" x14ac:dyDescent="0.15">
      <c r="B619">
        <v>26</v>
      </c>
      <c r="D619">
        <v>7</v>
      </c>
      <c r="F619">
        <v>1</v>
      </c>
      <c r="H619">
        <v>2</v>
      </c>
      <c r="I619">
        <v>6</v>
      </c>
      <c r="K619">
        <v>1</v>
      </c>
      <c r="L619">
        <v>3</v>
      </c>
      <c r="N619">
        <v>3</v>
      </c>
      <c r="AI619">
        <v>2</v>
      </c>
      <c r="AJ619">
        <v>1</v>
      </c>
    </row>
    <row r="620" spans="2:36" x14ac:dyDescent="0.15">
      <c r="B620">
        <v>14</v>
      </c>
      <c r="D620">
        <v>3</v>
      </c>
      <c r="F620">
        <v>6</v>
      </c>
      <c r="G620">
        <v>1</v>
      </c>
      <c r="I620">
        <v>2</v>
      </c>
      <c r="L620">
        <v>10</v>
      </c>
      <c r="N620">
        <v>1</v>
      </c>
      <c r="R620">
        <v>2</v>
      </c>
      <c r="Z620">
        <v>1</v>
      </c>
      <c r="AB620">
        <v>1</v>
      </c>
      <c r="AD620">
        <v>1</v>
      </c>
      <c r="AE620">
        <v>2</v>
      </c>
      <c r="AH620">
        <v>1</v>
      </c>
      <c r="AJ620">
        <v>5</v>
      </c>
    </row>
    <row r="621" spans="2:36" x14ac:dyDescent="0.15">
      <c r="B621">
        <v>146</v>
      </c>
      <c r="D621">
        <v>26</v>
      </c>
      <c r="F621">
        <v>24</v>
      </c>
      <c r="G621">
        <v>9</v>
      </c>
      <c r="H621">
        <v>2</v>
      </c>
      <c r="J621">
        <v>19</v>
      </c>
      <c r="K621">
        <v>4</v>
      </c>
      <c r="L621">
        <v>3</v>
      </c>
      <c r="N621">
        <v>4</v>
      </c>
      <c r="P621">
        <v>5</v>
      </c>
      <c r="R621">
        <v>2</v>
      </c>
      <c r="V621">
        <v>2</v>
      </c>
      <c r="W621">
        <v>2</v>
      </c>
      <c r="AJ621">
        <v>1</v>
      </c>
    </row>
    <row r="622" spans="2:36" x14ac:dyDescent="0.15">
      <c r="B622">
        <v>3</v>
      </c>
      <c r="D622">
        <v>4</v>
      </c>
      <c r="F622">
        <v>2</v>
      </c>
      <c r="G622">
        <v>1</v>
      </c>
      <c r="I622">
        <v>10</v>
      </c>
      <c r="L622">
        <v>1</v>
      </c>
      <c r="AJ622">
        <v>2</v>
      </c>
    </row>
    <row r="623" spans="2:36" x14ac:dyDescent="0.15">
      <c r="B623">
        <v>36</v>
      </c>
      <c r="D623">
        <v>17</v>
      </c>
      <c r="F623">
        <v>7</v>
      </c>
      <c r="G623">
        <v>8</v>
      </c>
      <c r="I623">
        <v>10</v>
      </c>
      <c r="L623">
        <v>4</v>
      </c>
      <c r="N623">
        <v>4</v>
      </c>
      <c r="P623">
        <v>3</v>
      </c>
      <c r="X623">
        <v>1</v>
      </c>
      <c r="AG623">
        <v>1</v>
      </c>
      <c r="AJ623">
        <v>3</v>
      </c>
    </row>
    <row r="624" spans="2:36" x14ac:dyDescent="0.15">
      <c r="B624">
        <v>155</v>
      </c>
      <c r="D624">
        <v>56</v>
      </c>
      <c r="F624">
        <v>17</v>
      </c>
      <c r="G624">
        <v>7</v>
      </c>
      <c r="H624">
        <v>4</v>
      </c>
      <c r="I624">
        <v>60</v>
      </c>
      <c r="J624">
        <v>3</v>
      </c>
      <c r="K624">
        <v>14</v>
      </c>
      <c r="N624">
        <v>29</v>
      </c>
      <c r="P624">
        <v>2</v>
      </c>
      <c r="R624">
        <v>1</v>
      </c>
      <c r="U624">
        <v>5</v>
      </c>
      <c r="W624">
        <v>1</v>
      </c>
      <c r="Z624">
        <v>1</v>
      </c>
      <c r="AB624">
        <v>3</v>
      </c>
      <c r="AD624">
        <v>1</v>
      </c>
      <c r="AE624">
        <v>2</v>
      </c>
      <c r="AI624">
        <v>3</v>
      </c>
    </row>
    <row r="626" spans="2:36" x14ac:dyDescent="0.15">
      <c r="C626">
        <v>16</v>
      </c>
      <c r="E626">
        <v>139</v>
      </c>
      <c r="G626">
        <v>111</v>
      </c>
      <c r="H626">
        <v>19</v>
      </c>
      <c r="I626">
        <v>232</v>
      </c>
      <c r="J626">
        <v>19</v>
      </c>
      <c r="K626">
        <v>35</v>
      </c>
      <c r="L626">
        <v>30</v>
      </c>
      <c r="O626">
        <v>2</v>
      </c>
      <c r="Q626">
        <v>7</v>
      </c>
      <c r="S626">
        <v>5</v>
      </c>
      <c r="T626">
        <v>2</v>
      </c>
      <c r="U626">
        <v>16</v>
      </c>
      <c r="W626">
        <v>5</v>
      </c>
      <c r="X626">
        <v>4</v>
      </c>
      <c r="AC626">
        <v>5</v>
      </c>
      <c r="AE626">
        <v>7</v>
      </c>
      <c r="AF626">
        <v>2</v>
      </c>
      <c r="AI626">
        <v>1</v>
      </c>
      <c r="AJ626">
        <v>2</v>
      </c>
    </row>
    <row r="628" spans="2:36" x14ac:dyDescent="0.15">
      <c r="E628">
        <v>27</v>
      </c>
      <c r="G628">
        <v>27</v>
      </c>
      <c r="I628">
        <v>15</v>
      </c>
      <c r="J628">
        <v>5</v>
      </c>
      <c r="K628">
        <v>8</v>
      </c>
      <c r="L628">
        <v>9</v>
      </c>
      <c r="S628">
        <v>1</v>
      </c>
      <c r="V628">
        <v>2</v>
      </c>
      <c r="AC628">
        <v>1</v>
      </c>
      <c r="AE628">
        <v>1</v>
      </c>
      <c r="AF628">
        <v>1</v>
      </c>
      <c r="AJ628">
        <v>3</v>
      </c>
    </row>
    <row r="630" spans="2:36" x14ac:dyDescent="0.15">
      <c r="G630">
        <v>14</v>
      </c>
      <c r="H630">
        <v>11</v>
      </c>
      <c r="I630">
        <v>30</v>
      </c>
      <c r="J630">
        <v>3</v>
      </c>
      <c r="K630">
        <v>10</v>
      </c>
      <c r="L630">
        <v>8</v>
      </c>
      <c r="S630">
        <v>3</v>
      </c>
      <c r="U630">
        <v>4</v>
      </c>
      <c r="AJ630">
        <v>3</v>
      </c>
    </row>
    <row r="631" spans="2:36" x14ac:dyDescent="0.15">
      <c r="B631">
        <v>30</v>
      </c>
      <c r="D631">
        <v>5</v>
      </c>
      <c r="F631">
        <v>3</v>
      </c>
      <c r="H631">
        <v>1</v>
      </c>
      <c r="I631">
        <v>6</v>
      </c>
      <c r="L631">
        <v>1</v>
      </c>
      <c r="R631">
        <v>1</v>
      </c>
      <c r="AJ631">
        <v>1</v>
      </c>
    </row>
    <row r="632" spans="2:36" x14ac:dyDescent="0.15">
      <c r="B632">
        <v>12</v>
      </c>
      <c r="D632">
        <v>5</v>
      </c>
      <c r="F632">
        <v>8</v>
      </c>
      <c r="G632">
        <v>2</v>
      </c>
      <c r="I632">
        <v>2</v>
      </c>
      <c r="J632">
        <v>1</v>
      </c>
      <c r="L632">
        <v>7</v>
      </c>
      <c r="N632">
        <v>2</v>
      </c>
      <c r="R632">
        <v>1</v>
      </c>
      <c r="AJ632">
        <v>5</v>
      </c>
    </row>
    <row r="633" spans="2:36" x14ac:dyDescent="0.15">
      <c r="B633">
        <v>133</v>
      </c>
      <c r="D633">
        <v>37</v>
      </c>
      <c r="F633">
        <v>29</v>
      </c>
      <c r="G633">
        <v>8</v>
      </c>
      <c r="H633">
        <v>2</v>
      </c>
      <c r="J633">
        <v>15</v>
      </c>
      <c r="K633">
        <v>11</v>
      </c>
      <c r="L633">
        <v>2</v>
      </c>
      <c r="N633">
        <v>6</v>
      </c>
      <c r="P633">
        <v>3</v>
      </c>
      <c r="R633">
        <v>1</v>
      </c>
      <c r="AJ633">
        <v>1</v>
      </c>
    </row>
    <row r="634" spans="2:36" x14ac:dyDescent="0.15">
      <c r="B634">
        <v>8</v>
      </c>
      <c r="D634">
        <v>5</v>
      </c>
      <c r="F634">
        <v>3</v>
      </c>
      <c r="G634">
        <v>1</v>
      </c>
      <c r="I634">
        <v>5</v>
      </c>
      <c r="L634">
        <v>3</v>
      </c>
      <c r="N634">
        <v>1</v>
      </c>
      <c r="U634">
        <v>1</v>
      </c>
      <c r="AJ634">
        <v>1</v>
      </c>
    </row>
    <row r="635" spans="2:36" x14ac:dyDescent="0.15">
      <c r="B635">
        <v>39</v>
      </c>
      <c r="D635">
        <v>9</v>
      </c>
      <c r="F635">
        <v>14</v>
      </c>
      <c r="G635">
        <v>1</v>
      </c>
      <c r="I635">
        <v>3</v>
      </c>
      <c r="L635">
        <v>7</v>
      </c>
      <c r="P635">
        <v>2</v>
      </c>
      <c r="R635">
        <v>1</v>
      </c>
      <c r="U635">
        <v>3</v>
      </c>
      <c r="AJ635">
        <v>3</v>
      </c>
    </row>
    <row r="636" spans="2:36" x14ac:dyDescent="0.15">
      <c r="B636">
        <v>158</v>
      </c>
      <c r="D636">
        <v>57</v>
      </c>
      <c r="F636">
        <v>31</v>
      </c>
      <c r="G636">
        <v>13</v>
      </c>
      <c r="H636">
        <v>2</v>
      </c>
      <c r="I636">
        <v>81</v>
      </c>
      <c r="J636">
        <v>4</v>
      </c>
      <c r="K636">
        <v>18</v>
      </c>
      <c r="N636">
        <v>19</v>
      </c>
      <c r="P636">
        <v>6</v>
      </c>
      <c r="R636">
        <v>3</v>
      </c>
      <c r="S636">
        <v>1</v>
      </c>
      <c r="U636">
        <v>10</v>
      </c>
      <c r="AB636">
        <v>1</v>
      </c>
      <c r="AD636">
        <v>1</v>
      </c>
      <c r="AE636">
        <v>7</v>
      </c>
      <c r="AG636">
        <v>1</v>
      </c>
      <c r="AH636">
        <v>1</v>
      </c>
      <c r="AI636">
        <v>3</v>
      </c>
    </row>
    <row r="638" spans="2:36" x14ac:dyDescent="0.15">
      <c r="C638">
        <v>25</v>
      </c>
      <c r="E638">
        <v>129</v>
      </c>
      <c r="G638">
        <v>75</v>
      </c>
      <c r="H638">
        <v>12</v>
      </c>
      <c r="I638">
        <v>141</v>
      </c>
      <c r="J638">
        <v>6</v>
      </c>
      <c r="K638">
        <v>27</v>
      </c>
      <c r="L638">
        <v>21</v>
      </c>
      <c r="Q638">
        <v>13</v>
      </c>
      <c r="S638">
        <v>7</v>
      </c>
      <c r="U638">
        <v>10</v>
      </c>
      <c r="AC638">
        <v>1</v>
      </c>
      <c r="AE638">
        <v>5</v>
      </c>
      <c r="AI638">
        <v>1</v>
      </c>
      <c r="AJ638">
        <v>3</v>
      </c>
    </row>
    <row r="640" spans="2:36" x14ac:dyDescent="0.15">
      <c r="E640">
        <v>39</v>
      </c>
      <c r="G640">
        <v>20</v>
      </c>
      <c r="H640">
        <v>1</v>
      </c>
      <c r="I640">
        <v>9</v>
      </c>
      <c r="J640">
        <v>4</v>
      </c>
      <c r="K640">
        <v>11</v>
      </c>
      <c r="L640">
        <v>11</v>
      </c>
      <c r="Q640">
        <v>1</v>
      </c>
      <c r="S640">
        <v>1</v>
      </c>
      <c r="T640">
        <v>1</v>
      </c>
      <c r="W640">
        <v>1</v>
      </c>
      <c r="X640">
        <v>1</v>
      </c>
      <c r="AE640">
        <v>1</v>
      </c>
      <c r="AI640">
        <v>2</v>
      </c>
      <c r="AJ640">
        <v>8</v>
      </c>
    </row>
    <row r="642" spans="2:36" x14ac:dyDescent="0.15">
      <c r="G642">
        <v>17</v>
      </c>
      <c r="H642">
        <v>6</v>
      </c>
      <c r="I642">
        <v>22</v>
      </c>
      <c r="J642">
        <v>1</v>
      </c>
      <c r="K642">
        <v>6</v>
      </c>
      <c r="L642">
        <v>15</v>
      </c>
      <c r="S642">
        <v>1</v>
      </c>
      <c r="T642">
        <v>1</v>
      </c>
      <c r="U642">
        <v>3</v>
      </c>
      <c r="AE642">
        <v>1</v>
      </c>
      <c r="AI642">
        <v>1</v>
      </c>
      <c r="AJ642">
        <v>1</v>
      </c>
    </row>
    <row r="643" spans="2:36" x14ac:dyDescent="0.15">
      <c r="B643">
        <v>31</v>
      </c>
      <c r="D643">
        <v>6</v>
      </c>
      <c r="F643">
        <v>3</v>
      </c>
      <c r="I643">
        <v>2</v>
      </c>
      <c r="J643">
        <v>1</v>
      </c>
      <c r="K643">
        <v>1</v>
      </c>
      <c r="L643">
        <v>1</v>
      </c>
      <c r="N643">
        <v>2</v>
      </c>
      <c r="R643">
        <v>1</v>
      </c>
    </row>
    <row r="644" spans="2:36" x14ac:dyDescent="0.15">
      <c r="B644">
        <v>11</v>
      </c>
      <c r="D644">
        <v>11</v>
      </c>
      <c r="F644">
        <v>9</v>
      </c>
      <c r="G644">
        <v>4</v>
      </c>
      <c r="I644">
        <v>1</v>
      </c>
      <c r="J644">
        <v>2</v>
      </c>
      <c r="L644">
        <v>10</v>
      </c>
      <c r="N644">
        <v>1</v>
      </c>
      <c r="P644">
        <v>1</v>
      </c>
      <c r="R644">
        <v>2</v>
      </c>
      <c r="AB644">
        <v>1</v>
      </c>
      <c r="AJ644">
        <v>1</v>
      </c>
    </row>
    <row r="645" spans="2:36" x14ac:dyDescent="0.15">
      <c r="B645">
        <v>186</v>
      </c>
      <c r="D645">
        <v>46</v>
      </c>
      <c r="F645">
        <v>32</v>
      </c>
      <c r="G645">
        <v>16</v>
      </c>
      <c r="H645">
        <v>6</v>
      </c>
      <c r="J645">
        <v>12</v>
      </c>
      <c r="K645">
        <v>11</v>
      </c>
      <c r="L645">
        <v>8</v>
      </c>
      <c r="N645">
        <v>2</v>
      </c>
      <c r="P645">
        <v>4</v>
      </c>
      <c r="R645">
        <v>1</v>
      </c>
      <c r="V645">
        <v>1</v>
      </c>
      <c r="W645">
        <v>1</v>
      </c>
      <c r="Z645">
        <v>1</v>
      </c>
      <c r="AB645">
        <v>1</v>
      </c>
      <c r="AJ645">
        <v>1</v>
      </c>
    </row>
    <row r="646" spans="2:36" x14ac:dyDescent="0.15">
      <c r="B646">
        <v>6</v>
      </c>
      <c r="D646">
        <v>5</v>
      </c>
      <c r="G646">
        <v>3</v>
      </c>
      <c r="I646">
        <v>9</v>
      </c>
      <c r="L646">
        <v>2</v>
      </c>
      <c r="U646">
        <v>1</v>
      </c>
      <c r="AE646">
        <v>1</v>
      </c>
    </row>
    <row r="647" spans="2:36" x14ac:dyDescent="0.15">
      <c r="B647">
        <v>37</v>
      </c>
      <c r="D647">
        <v>10</v>
      </c>
      <c r="F647">
        <v>7</v>
      </c>
      <c r="G647">
        <v>5</v>
      </c>
      <c r="I647">
        <v>5</v>
      </c>
      <c r="L647">
        <v>2</v>
      </c>
      <c r="N647">
        <v>3</v>
      </c>
      <c r="P647">
        <v>2</v>
      </c>
      <c r="R647">
        <v>1</v>
      </c>
      <c r="AE647">
        <v>1</v>
      </c>
      <c r="AJ647">
        <v>2</v>
      </c>
    </row>
    <row r="648" spans="2:36" x14ac:dyDescent="0.15">
      <c r="B648">
        <v>171</v>
      </c>
      <c r="D648">
        <v>67</v>
      </c>
      <c r="F648">
        <v>25</v>
      </c>
      <c r="G648">
        <v>16</v>
      </c>
      <c r="H648">
        <v>4</v>
      </c>
      <c r="I648">
        <v>78</v>
      </c>
      <c r="J648">
        <v>3</v>
      </c>
      <c r="K648">
        <v>10</v>
      </c>
      <c r="N648">
        <v>29</v>
      </c>
      <c r="P648">
        <v>5</v>
      </c>
      <c r="R648">
        <v>3</v>
      </c>
      <c r="S648">
        <v>1</v>
      </c>
      <c r="U648">
        <v>7</v>
      </c>
      <c r="Z648">
        <v>4</v>
      </c>
      <c r="AB648">
        <v>1</v>
      </c>
      <c r="AE648">
        <v>3</v>
      </c>
      <c r="AF648">
        <v>1</v>
      </c>
    </row>
    <row r="650" spans="2:36" x14ac:dyDescent="0.15">
      <c r="C650">
        <v>45</v>
      </c>
      <c r="E650">
        <v>162</v>
      </c>
      <c r="G650">
        <v>100</v>
      </c>
      <c r="H650">
        <v>14</v>
      </c>
      <c r="I650">
        <v>228</v>
      </c>
      <c r="J650">
        <v>9</v>
      </c>
      <c r="K650">
        <v>39</v>
      </c>
      <c r="L650">
        <v>23</v>
      </c>
      <c r="Q650">
        <v>20</v>
      </c>
      <c r="S650">
        <v>7</v>
      </c>
      <c r="T650">
        <v>1</v>
      </c>
      <c r="U650">
        <v>8</v>
      </c>
      <c r="AA650">
        <v>5</v>
      </c>
      <c r="AC650">
        <v>4</v>
      </c>
      <c r="AE650">
        <v>10</v>
      </c>
      <c r="AF650">
        <v>2</v>
      </c>
      <c r="AI650">
        <v>4</v>
      </c>
      <c r="AJ650">
        <v>6</v>
      </c>
    </row>
    <row r="652" spans="2:36" x14ac:dyDescent="0.15">
      <c r="E652">
        <v>29</v>
      </c>
      <c r="G652">
        <v>30</v>
      </c>
      <c r="H652">
        <v>2</v>
      </c>
      <c r="I652">
        <v>10</v>
      </c>
      <c r="J652">
        <v>6</v>
      </c>
      <c r="K652">
        <v>15</v>
      </c>
      <c r="L652">
        <v>12</v>
      </c>
      <c r="Q652">
        <v>2</v>
      </c>
      <c r="S652">
        <v>1</v>
      </c>
      <c r="U652">
        <v>1</v>
      </c>
      <c r="W652">
        <v>1</v>
      </c>
      <c r="AJ652">
        <v>3</v>
      </c>
    </row>
    <row r="654" spans="2:36" x14ac:dyDescent="0.15">
      <c r="G654">
        <v>15</v>
      </c>
      <c r="H654">
        <v>10</v>
      </c>
      <c r="I654">
        <v>33</v>
      </c>
      <c r="J654">
        <v>4</v>
      </c>
      <c r="K654">
        <v>12</v>
      </c>
      <c r="L654">
        <v>8</v>
      </c>
      <c r="S654">
        <v>1</v>
      </c>
      <c r="T654">
        <v>2</v>
      </c>
      <c r="AE654">
        <v>2</v>
      </c>
      <c r="AF654">
        <v>1</v>
      </c>
      <c r="AH654">
        <v>1</v>
      </c>
      <c r="AJ654">
        <v>2</v>
      </c>
    </row>
    <row r="655" spans="2:36" x14ac:dyDescent="0.15">
      <c r="B655">
        <v>26</v>
      </c>
      <c r="D655">
        <v>6</v>
      </c>
      <c r="F655">
        <v>2</v>
      </c>
      <c r="H655">
        <v>2</v>
      </c>
      <c r="I655">
        <v>5</v>
      </c>
      <c r="L655">
        <v>6</v>
      </c>
      <c r="N655">
        <v>1</v>
      </c>
      <c r="P655">
        <v>1</v>
      </c>
      <c r="U655">
        <v>1</v>
      </c>
      <c r="AJ655">
        <v>1</v>
      </c>
    </row>
    <row r="656" spans="2:36" x14ac:dyDescent="0.15">
      <c r="B656">
        <v>23</v>
      </c>
      <c r="D656">
        <v>7</v>
      </c>
      <c r="F656">
        <v>11</v>
      </c>
      <c r="G656">
        <v>3</v>
      </c>
      <c r="I656">
        <v>7</v>
      </c>
      <c r="K656">
        <v>1</v>
      </c>
      <c r="L656">
        <v>15</v>
      </c>
      <c r="P656">
        <v>1</v>
      </c>
      <c r="R656">
        <v>1</v>
      </c>
      <c r="AD656">
        <v>1</v>
      </c>
      <c r="AE656">
        <v>1</v>
      </c>
      <c r="AJ656">
        <v>6</v>
      </c>
    </row>
    <row r="657" spans="2:36" x14ac:dyDescent="0.15">
      <c r="B657">
        <v>219</v>
      </c>
      <c r="D657">
        <v>50</v>
      </c>
      <c r="F657">
        <v>23</v>
      </c>
      <c r="G657">
        <v>10</v>
      </c>
      <c r="J657">
        <v>9</v>
      </c>
      <c r="K657">
        <v>7</v>
      </c>
      <c r="L657">
        <v>5</v>
      </c>
      <c r="N657">
        <v>10</v>
      </c>
      <c r="P657">
        <v>3</v>
      </c>
      <c r="R657">
        <v>3</v>
      </c>
      <c r="W657">
        <v>2</v>
      </c>
      <c r="AJ657">
        <v>1</v>
      </c>
    </row>
    <row r="658" spans="2:36" x14ac:dyDescent="0.15">
      <c r="B658">
        <v>12</v>
      </c>
      <c r="D658">
        <v>3</v>
      </c>
      <c r="F658">
        <v>3</v>
      </c>
      <c r="G658">
        <v>1</v>
      </c>
      <c r="H658">
        <v>1</v>
      </c>
      <c r="I658">
        <v>10</v>
      </c>
      <c r="L658">
        <v>2</v>
      </c>
      <c r="N658">
        <v>1</v>
      </c>
      <c r="P658">
        <v>2</v>
      </c>
      <c r="AJ658">
        <v>1</v>
      </c>
    </row>
    <row r="659" spans="2:36" x14ac:dyDescent="0.15">
      <c r="B659">
        <v>53</v>
      </c>
      <c r="D659">
        <v>24</v>
      </c>
      <c r="F659">
        <v>16</v>
      </c>
      <c r="H659">
        <v>2</v>
      </c>
      <c r="I659">
        <v>11</v>
      </c>
      <c r="L659">
        <v>1</v>
      </c>
      <c r="N659">
        <v>3</v>
      </c>
      <c r="P659">
        <v>3</v>
      </c>
      <c r="R659">
        <v>1</v>
      </c>
      <c r="Z659">
        <v>1</v>
      </c>
      <c r="AF659">
        <v>1</v>
      </c>
      <c r="AJ659">
        <v>2</v>
      </c>
    </row>
    <row r="660" spans="2:36" x14ac:dyDescent="0.15">
      <c r="B660">
        <v>161</v>
      </c>
      <c r="D660">
        <v>63</v>
      </c>
      <c r="F660">
        <v>35</v>
      </c>
      <c r="G660">
        <v>17</v>
      </c>
      <c r="H660">
        <v>5</v>
      </c>
      <c r="I660">
        <v>80</v>
      </c>
      <c r="J660">
        <v>3</v>
      </c>
      <c r="K660">
        <v>13</v>
      </c>
      <c r="N660">
        <v>35</v>
      </c>
      <c r="P660">
        <v>4</v>
      </c>
      <c r="R660">
        <v>1</v>
      </c>
      <c r="S660">
        <v>1</v>
      </c>
      <c r="T660">
        <v>1</v>
      </c>
      <c r="U660">
        <v>5</v>
      </c>
      <c r="W660">
        <v>1</v>
      </c>
      <c r="AB660">
        <v>5</v>
      </c>
      <c r="AD660">
        <v>5</v>
      </c>
      <c r="AE660">
        <v>1</v>
      </c>
      <c r="AI660">
        <v>2</v>
      </c>
    </row>
    <row r="662" spans="2:36" x14ac:dyDescent="0.15">
      <c r="C662">
        <v>27</v>
      </c>
      <c r="E662">
        <v>126</v>
      </c>
      <c r="G662">
        <v>98</v>
      </c>
      <c r="H662">
        <v>16</v>
      </c>
      <c r="I662">
        <v>163</v>
      </c>
      <c r="J662">
        <v>11</v>
      </c>
      <c r="K662">
        <v>37</v>
      </c>
      <c r="L662">
        <v>29</v>
      </c>
      <c r="O662">
        <v>1</v>
      </c>
      <c r="Q662">
        <v>7</v>
      </c>
      <c r="S662">
        <v>8</v>
      </c>
      <c r="T662">
        <v>1</v>
      </c>
      <c r="U662">
        <v>5</v>
      </c>
      <c r="V662">
        <v>1</v>
      </c>
      <c r="W662">
        <v>2</v>
      </c>
      <c r="X662">
        <v>2</v>
      </c>
      <c r="AE662">
        <v>6</v>
      </c>
      <c r="AI662">
        <v>2</v>
      </c>
      <c r="AJ662">
        <v>5</v>
      </c>
    </row>
    <row r="664" spans="2:36" x14ac:dyDescent="0.15">
      <c r="E664">
        <v>39</v>
      </c>
      <c r="G664">
        <v>29</v>
      </c>
      <c r="I664">
        <v>6</v>
      </c>
      <c r="J664">
        <v>5</v>
      </c>
      <c r="K664">
        <v>14</v>
      </c>
      <c r="L664">
        <v>14</v>
      </c>
      <c r="Q664">
        <v>1</v>
      </c>
      <c r="S664">
        <v>3</v>
      </c>
      <c r="T664">
        <v>1</v>
      </c>
      <c r="U664">
        <v>2</v>
      </c>
      <c r="AE664">
        <v>1</v>
      </c>
      <c r="AH664">
        <v>1</v>
      </c>
      <c r="AJ664">
        <v>4</v>
      </c>
    </row>
    <row r="666" spans="2:36" x14ac:dyDescent="0.15">
      <c r="G666">
        <v>20</v>
      </c>
      <c r="H666">
        <v>6</v>
      </c>
      <c r="I666">
        <v>38</v>
      </c>
      <c r="J666">
        <v>5</v>
      </c>
      <c r="K666">
        <v>10</v>
      </c>
      <c r="L666">
        <v>7</v>
      </c>
      <c r="S666">
        <v>1</v>
      </c>
      <c r="T666">
        <v>2</v>
      </c>
      <c r="U666">
        <v>5</v>
      </c>
      <c r="W666">
        <v>1</v>
      </c>
      <c r="AE666">
        <v>1</v>
      </c>
      <c r="AF666">
        <v>1</v>
      </c>
      <c r="AI666">
        <v>1</v>
      </c>
      <c r="AJ666">
        <v>4</v>
      </c>
    </row>
    <row r="667" spans="2:36" x14ac:dyDescent="0.15">
      <c r="B667">
        <v>20</v>
      </c>
      <c r="D667">
        <v>8</v>
      </c>
      <c r="F667">
        <v>2</v>
      </c>
      <c r="H667">
        <v>2</v>
      </c>
      <c r="I667">
        <v>3</v>
      </c>
      <c r="K667">
        <v>4</v>
      </c>
      <c r="L667">
        <v>2</v>
      </c>
      <c r="N667">
        <v>1</v>
      </c>
      <c r="U667">
        <v>1</v>
      </c>
      <c r="X667">
        <v>1</v>
      </c>
      <c r="AI667">
        <v>1</v>
      </c>
    </row>
    <row r="668" spans="2:36" x14ac:dyDescent="0.15">
      <c r="B668">
        <v>12</v>
      </c>
      <c r="D668">
        <v>13</v>
      </c>
      <c r="F668">
        <v>13</v>
      </c>
      <c r="G668">
        <v>3</v>
      </c>
      <c r="I668">
        <v>1</v>
      </c>
      <c r="K668">
        <v>1</v>
      </c>
      <c r="L668">
        <v>16</v>
      </c>
      <c r="N668">
        <v>3</v>
      </c>
      <c r="R668">
        <v>1</v>
      </c>
      <c r="V668">
        <v>1</v>
      </c>
      <c r="AB668">
        <v>1</v>
      </c>
      <c r="AJ668">
        <v>11</v>
      </c>
    </row>
    <row r="669" spans="2:36" x14ac:dyDescent="0.15">
      <c r="B669">
        <v>155</v>
      </c>
      <c r="D669">
        <v>40</v>
      </c>
      <c r="F669">
        <v>22</v>
      </c>
      <c r="G669">
        <v>13</v>
      </c>
      <c r="H669">
        <v>2</v>
      </c>
      <c r="J669">
        <v>20</v>
      </c>
      <c r="K669">
        <v>4</v>
      </c>
      <c r="L669">
        <v>3</v>
      </c>
      <c r="N669">
        <v>8</v>
      </c>
      <c r="P669">
        <v>5</v>
      </c>
      <c r="R669">
        <v>1</v>
      </c>
      <c r="V669">
        <v>2</v>
      </c>
      <c r="W669">
        <v>1</v>
      </c>
    </row>
    <row r="670" spans="2:36" x14ac:dyDescent="0.15">
      <c r="B670">
        <v>7</v>
      </c>
      <c r="D670">
        <v>5</v>
      </c>
      <c r="F670">
        <v>4</v>
      </c>
      <c r="G670">
        <v>5</v>
      </c>
      <c r="H670">
        <v>2</v>
      </c>
      <c r="I670">
        <v>8</v>
      </c>
      <c r="L670">
        <v>4</v>
      </c>
      <c r="N670">
        <v>2</v>
      </c>
      <c r="U670">
        <v>3</v>
      </c>
      <c r="AD670">
        <v>1</v>
      </c>
    </row>
    <row r="671" spans="2:36" x14ac:dyDescent="0.15">
      <c r="B671">
        <v>42</v>
      </c>
      <c r="D671">
        <v>23</v>
      </c>
      <c r="F671">
        <v>11</v>
      </c>
      <c r="G671">
        <v>6</v>
      </c>
      <c r="H671">
        <v>1</v>
      </c>
      <c r="I671">
        <v>4</v>
      </c>
      <c r="L671">
        <v>7</v>
      </c>
      <c r="N671">
        <v>4</v>
      </c>
      <c r="P671">
        <v>2</v>
      </c>
      <c r="R671">
        <v>1</v>
      </c>
      <c r="S671">
        <v>1</v>
      </c>
      <c r="AE671">
        <v>1</v>
      </c>
    </row>
    <row r="672" spans="2:36" x14ac:dyDescent="0.15">
      <c r="B672">
        <v>214</v>
      </c>
      <c r="D672">
        <v>63</v>
      </c>
      <c r="F672">
        <v>20</v>
      </c>
      <c r="G672">
        <v>24</v>
      </c>
      <c r="H672">
        <v>11</v>
      </c>
      <c r="I672">
        <v>83</v>
      </c>
      <c r="J672">
        <v>3</v>
      </c>
      <c r="K672">
        <v>14</v>
      </c>
      <c r="N672">
        <v>22</v>
      </c>
      <c r="P672">
        <v>7</v>
      </c>
      <c r="S672">
        <v>2</v>
      </c>
      <c r="T672">
        <v>2</v>
      </c>
      <c r="U672">
        <v>5</v>
      </c>
      <c r="AB672">
        <v>5</v>
      </c>
      <c r="AD672">
        <v>1</v>
      </c>
      <c r="AE672">
        <v>1</v>
      </c>
      <c r="AI672">
        <v>2</v>
      </c>
    </row>
    <row r="674" spans="2:36" x14ac:dyDescent="0.15">
      <c r="C674">
        <v>30</v>
      </c>
      <c r="E674">
        <v>127</v>
      </c>
      <c r="G674">
        <v>90</v>
      </c>
      <c r="H674">
        <v>15</v>
      </c>
      <c r="I674">
        <v>111</v>
      </c>
      <c r="J674">
        <v>8</v>
      </c>
      <c r="K674">
        <v>24</v>
      </c>
      <c r="L674">
        <v>22</v>
      </c>
      <c r="O674">
        <v>2</v>
      </c>
      <c r="Q674">
        <v>15</v>
      </c>
      <c r="S674">
        <v>4</v>
      </c>
      <c r="U674">
        <v>4</v>
      </c>
      <c r="W674">
        <v>1</v>
      </c>
      <c r="AC674">
        <v>1</v>
      </c>
      <c r="AE674">
        <v>3</v>
      </c>
      <c r="AF674">
        <v>2</v>
      </c>
      <c r="AG674">
        <v>1</v>
      </c>
      <c r="AI674">
        <v>2</v>
      </c>
      <c r="AJ674">
        <v>5</v>
      </c>
    </row>
    <row r="676" spans="2:36" x14ac:dyDescent="0.15">
      <c r="E676">
        <v>34</v>
      </c>
      <c r="G676">
        <v>23</v>
      </c>
      <c r="H676">
        <v>2</v>
      </c>
      <c r="I676">
        <v>13</v>
      </c>
      <c r="J676">
        <v>4</v>
      </c>
      <c r="K676">
        <v>13</v>
      </c>
      <c r="L676">
        <v>13</v>
      </c>
      <c r="S676">
        <v>2</v>
      </c>
      <c r="X676">
        <v>1</v>
      </c>
      <c r="AC676">
        <v>1</v>
      </c>
      <c r="AE676">
        <v>2</v>
      </c>
      <c r="AJ676">
        <v>6</v>
      </c>
    </row>
    <row r="678" spans="2:36" x14ac:dyDescent="0.15">
      <c r="G678">
        <v>10</v>
      </c>
      <c r="H678">
        <v>9</v>
      </c>
      <c r="I678">
        <v>24</v>
      </c>
      <c r="J678">
        <v>3</v>
      </c>
      <c r="K678">
        <v>8</v>
      </c>
      <c r="L678">
        <v>13</v>
      </c>
      <c r="T678">
        <v>1</v>
      </c>
      <c r="U678">
        <v>1</v>
      </c>
      <c r="W678">
        <v>1</v>
      </c>
      <c r="AE678">
        <v>3</v>
      </c>
      <c r="AF678">
        <v>2</v>
      </c>
      <c r="AH678">
        <v>1</v>
      </c>
      <c r="AI678">
        <v>2</v>
      </c>
      <c r="AJ678">
        <v>4</v>
      </c>
    </row>
    <row r="679" spans="2:36" x14ac:dyDescent="0.15">
      <c r="B679">
        <v>28</v>
      </c>
      <c r="D679">
        <v>10</v>
      </c>
      <c r="F679">
        <v>4</v>
      </c>
      <c r="I679">
        <v>2</v>
      </c>
      <c r="J679">
        <v>2</v>
      </c>
      <c r="K679">
        <v>2</v>
      </c>
      <c r="L679">
        <v>5</v>
      </c>
      <c r="N679">
        <v>2</v>
      </c>
      <c r="AB679">
        <v>2</v>
      </c>
    </row>
    <row r="680" spans="2:36" x14ac:dyDescent="0.15">
      <c r="B680">
        <v>15</v>
      </c>
      <c r="D680">
        <v>8</v>
      </c>
      <c r="F680">
        <v>10</v>
      </c>
      <c r="G680">
        <v>6</v>
      </c>
      <c r="I680">
        <v>2</v>
      </c>
      <c r="J680">
        <v>3</v>
      </c>
      <c r="L680">
        <v>15</v>
      </c>
      <c r="N680">
        <v>2</v>
      </c>
      <c r="R680">
        <v>3</v>
      </c>
      <c r="U680">
        <v>1</v>
      </c>
      <c r="AD680">
        <v>1</v>
      </c>
      <c r="AJ680">
        <v>5</v>
      </c>
    </row>
    <row r="681" spans="2:36" x14ac:dyDescent="0.15">
      <c r="B681">
        <v>180</v>
      </c>
      <c r="D681">
        <v>25</v>
      </c>
      <c r="F681">
        <v>30</v>
      </c>
      <c r="G681">
        <v>14</v>
      </c>
      <c r="H681">
        <v>2</v>
      </c>
      <c r="J681">
        <v>11</v>
      </c>
      <c r="K681">
        <v>4</v>
      </c>
      <c r="L681">
        <v>2</v>
      </c>
      <c r="N681">
        <v>9</v>
      </c>
      <c r="P681">
        <v>3</v>
      </c>
      <c r="R681">
        <v>1</v>
      </c>
      <c r="V681">
        <v>2</v>
      </c>
    </row>
    <row r="682" spans="2:36" x14ac:dyDescent="0.15">
      <c r="B682">
        <v>6</v>
      </c>
      <c r="D682">
        <v>4</v>
      </c>
      <c r="F682">
        <v>5</v>
      </c>
      <c r="I682">
        <v>13</v>
      </c>
      <c r="AJ682">
        <v>1</v>
      </c>
    </row>
    <row r="683" spans="2:36" x14ac:dyDescent="0.15">
      <c r="B683">
        <v>41</v>
      </c>
      <c r="D683">
        <v>26</v>
      </c>
      <c r="F683">
        <v>13</v>
      </c>
      <c r="G683">
        <v>9</v>
      </c>
      <c r="H683">
        <v>2</v>
      </c>
      <c r="I683">
        <v>16</v>
      </c>
      <c r="L683">
        <v>9</v>
      </c>
      <c r="N683">
        <v>4</v>
      </c>
      <c r="P683">
        <v>3</v>
      </c>
      <c r="R683">
        <v>1</v>
      </c>
      <c r="S683">
        <v>1</v>
      </c>
      <c r="U683">
        <v>2</v>
      </c>
      <c r="X683">
        <v>1</v>
      </c>
      <c r="AB683">
        <v>1</v>
      </c>
      <c r="AE683">
        <v>1</v>
      </c>
      <c r="AJ683">
        <v>3</v>
      </c>
    </row>
    <row r="684" spans="2:36" x14ac:dyDescent="0.15">
      <c r="B684">
        <v>204</v>
      </c>
      <c r="D684">
        <v>82</v>
      </c>
      <c r="F684">
        <v>40</v>
      </c>
      <c r="G684">
        <v>25</v>
      </c>
      <c r="H684">
        <v>6</v>
      </c>
      <c r="I684">
        <v>94</v>
      </c>
      <c r="J684">
        <v>4</v>
      </c>
      <c r="K684">
        <v>22</v>
      </c>
      <c r="N684">
        <v>29</v>
      </c>
      <c r="P684">
        <v>2</v>
      </c>
      <c r="R684">
        <v>1</v>
      </c>
      <c r="U684">
        <v>3</v>
      </c>
      <c r="W684">
        <v>1</v>
      </c>
      <c r="AB684">
        <v>4</v>
      </c>
      <c r="AD684">
        <v>2</v>
      </c>
      <c r="AE684">
        <v>1</v>
      </c>
      <c r="AH684">
        <v>2</v>
      </c>
      <c r="AI684">
        <v>1</v>
      </c>
    </row>
    <row r="686" spans="2:36" x14ac:dyDescent="0.15">
      <c r="C686">
        <v>42</v>
      </c>
      <c r="E686">
        <v>211</v>
      </c>
      <c r="G686">
        <v>128</v>
      </c>
      <c r="H686">
        <v>23</v>
      </c>
      <c r="I686">
        <v>300</v>
      </c>
      <c r="J686">
        <v>7</v>
      </c>
      <c r="K686">
        <v>47</v>
      </c>
      <c r="L686">
        <v>45</v>
      </c>
      <c r="O686">
        <v>3</v>
      </c>
      <c r="Q686">
        <v>10</v>
      </c>
      <c r="S686">
        <v>14</v>
      </c>
      <c r="T686">
        <v>2</v>
      </c>
      <c r="U686">
        <v>11</v>
      </c>
      <c r="W686">
        <v>6</v>
      </c>
      <c r="X686">
        <v>5</v>
      </c>
      <c r="AC686">
        <v>4</v>
      </c>
      <c r="AE686">
        <v>11</v>
      </c>
      <c r="AF686">
        <v>5</v>
      </c>
      <c r="AG686">
        <v>1</v>
      </c>
      <c r="AI686">
        <v>4</v>
      </c>
      <c r="AJ686">
        <v>10</v>
      </c>
    </row>
    <row r="688" spans="2:36" x14ac:dyDescent="0.15">
      <c r="E688">
        <v>43</v>
      </c>
      <c r="G688">
        <v>32</v>
      </c>
      <c r="H688">
        <v>2</v>
      </c>
      <c r="I688">
        <v>6</v>
      </c>
      <c r="J688">
        <v>5</v>
      </c>
      <c r="K688">
        <v>17</v>
      </c>
      <c r="L688">
        <v>10</v>
      </c>
      <c r="Q688">
        <v>1</v>
      </c>
      <c r="S688">
        <v>2</v>
      </c>
      <c r="U688">
        <v>2</v>
      </c>
      <c r="W688">
        <v>1</v>
      </c>
      <c r="X688">
        <v>1</v>
      </c>
      <c r="AC688">
        <v>1</v>
      </c>
      <c r="AE688">
        <v>1</v>
      </c>
      <c r="AF688">
        <v>2</v>
      </c>
      <c r="AJ688">
        <v>3</v>
      </c>
    </row>
    <row r="690" spans="2:36" x14ac:dyDescent="0.15">
      <c r="G690">
        <v>18</v>
      </c>
      <c r="H690">
        <v>8</v>
      </c>
      <c r="I690">
        <v>27</v>
      </c>
      <c r="J690">
        <v>6</v>
      </c>
      <c r="K690">
        <v>17</v>
      </c>
      <c r="L690">
        <v>6</v>
      </c>
      <c r="T690">
        <v>1</v>
      </c>
      <c r="U690">
        <v>3</v>
      </c>
      <c r="AE690">
        <v>1</v>
      </c>
      <c r="AF690">
        <v>2</v>
      </c>
      <c r="AI690">
        <v>1</v>
      </c>
      <c r="AJ690">
        <v>2</v>
      </c>
    </row>
    <row r="691" spans="2:36" x14ac:dyDescent="0.15">
      <c r="B691">
        <v>40</v>
      </c>
      <c r="D691">
        <v>9</v>
      </c>
      <c r="F691">
        <v>4</v>
      </c>
      <c r="H691">
        <v>2</v>
      </c>
      <c r="I691">
        <v>1</v>
      </c>
      <c r="J691">
        <v>1</v>
      </c>
      <c r="K691">
        <v>1</v>
      </c>
      <c r="L691">
        <v>5</v>
      </c>
      <c r="N691">
        <v>2</v>
      </c>
      <c r="P691">
        <v>1</v>
      </c>
      <c r="AJ691">
        <v>1</v>
      </c>
    </row>
    <row r="692" spans="2:36" x14ac:dyDescent="0.15">
      <c r="B692">
        <v>17</v>
      </c>
      <c r="D692">
        <v>3</v>
      </c>
      <c r="F692">
        <v>11</v>
      </c>
      <c r="G692">
        <v>1</v>
      </c>
      <c r="I692">
        <v>2</v>
      </c>
      <c r="J692">
        <v>1</v>
      </c>
      <c r="K692">
        <v>2</v>
      </c>
      <c r="L692">
        <v>12</v>
      </c>
      <c r="N692">
        <v>3</v>
      </c>
      <c r="R692">
        <v>1</v>
      </c>
      <c r="X692">
        <v>2</v>
      </c>
      <c r="AB692">
        <v>1</v>
      </c>
      <c r="AD692">
        <v>1</v>
      </c>
      <c r="AE692">
        <v>1</v>
      </c>
      <c r="AJ692">
        <v>5</v>
      </c>
    </row>
    <row r="693" spans="2:36" x14ac:dyDescent="0.15">
      <c r="B693">
        <v>153</v>
      </c>
      <c r="D693">
        <v>34</v>
      </c>
      <c r="F693">
        <v>26</v>
      </c>
      <c r="G693">
        <v>10</v>
      </c>
      <c r="H693">
        <v>3</v>
      </c>
      <c r="J693">
        <v>18</v>
      </c>
      <c r="K693">
        <v>4</v>
      </c>
      <c r="L693">
        <v>6</v>
      </c>
      <c r="N693">
        <v>14</v>
      </c>
      <c r="P693">
        <v>6</v>
      </c>
      <c r="R693">
        <v>3</v>
      </c>
      <c r="S693">
        <v>2</v>
      </c>
      <c r="T693">
        <v>1</v>
      </c>
      <c r="V693">
        <v>1</v>
      </c>
      <c r="AJ693">
        <v>1</v>
      </c>
    </row>
    <row r="694" spans="2:36" x14ac:dyDescent="0.15">
      <c r="B694">
        <v>7</v>
      </c>
      <c r="D694">
        <v>7</v>
      </c>
      <c r="F694">
        <v>4</v>
      </c>
      <c r="G694">
        <v>1</v>
      </c>
      <c r="H694">
        <v>1</v>
      </c>
      <c r="I694">
        <v>10</v>
      </c>
      <c r="L694">
        <v>3</v>
      </c>
      <c r="S694">
        <v>2</v>
      </c>
      <c r="U694">
        <v>1</v>
      </c>
    </row>
    <row r="695" spans="2:36" x14ac:dyDescent="0.15">
      <c r="B695">
        <v>47</v>
      </c>
      <c r="D695">
        <v>28</v>
      </c>
      <c r="F695">
        <v>12</v>
      </c>
      <c r="G695">
        <v>7</v>
      </c>
      <c r="I695">
        <v>8</v>
      </c>
      <c r="L695">
        <v>5</v>
      </c>
      <c r="N695">
        <v>5</v>
      </c>
      <c r="P695">
        <v>3</v>
      </c>
      <c r="S695">
        <v>1</v>
      </c>
      <c r="U695">
        <v>2</v>
      </c>
      <c r="AJ695">
        <v>3</v>
      </c>
    </row>
    <row r="696" spans="2:36" x14ac:dyDescent="0.15">
      <c r="B696">
        <v>214</v>
      </c>
      <c r="D696">
        <v>80</v>
      </c>
      <c r="F696">
        <v>33</v>
      </c>
      <c r="G696">
        <v>13</v>
      </c>
      <c r="H696">
        <v>6</v>
      </c>
      <c r="I696">
        <v>67</v>
      </c>
      <c r="J696">
        <v>8</v>
      </c>
      <c r="K696">
        <v>20</v>
      </c>
      <c r="N696">
        <v>31</v>
      </c>
      <c r="P696">
        <v>2</v>
      </c>
      <c r="R696">
        <v>3</v>
      </c>
      <c r="S696">
        <v>6</v>
      </c>
      <c r="U696">
        <v>8</v>
      </c>
      <c r="W696">
        <v>1</v>
      </c>
      <c r="Z696">
        <v>2</v>
      </c>
      <c r="AB696">
        <v>3</v>
      </c>
      <c r="AE696">
        <v>3</v>
      </c>
      <c r="AF696">
        <v>1</v>
      </c>
      <c r="AG696">
        <v>2</v>
      </c>
      <c r="AI696">
        <v>2</v>
      </c>
    </row>
    <row r="698" spans="2:36" x14ac:dyDescent="0.15">
      <c r="C698">
        <v>54</v>
      </c>
      <c r="E698">
        <v>230</v>
      </c>
      <c r="G698">
        <v>188</v>
      </c>
      <c r="H698">
        <v>23</v>
      </c>
      <c r="I698">
        <v>225</v>
      </c>
      <c r="J698">
        <v>14</v>
      </c>
      <c r="K698">
        <v>52</v>
      </c>
      <c r="L698">
        <v>31</v>
      </c>
      <c r="O698">
        <v>7</v>
      </c>
      <c r="Q698">
        <v>23</v>
      </c>
      <c r="S698">
        <v>17</v>
      </c>
      <c r="U698">
        <v>9</v>
      </c>
      <c r="V698">
        <v>2</v>
      </c>
      <c r="W698">
        <v>4</v>
      </c>
      <c r="X698">
        <v>9</v>
      </c>
      <c r="AA698">
        <v>2</v>
      </c>
      <c r="AC698">
        <v>7</v>
      </c>
      <c r="AE698">
        <v>9</v>
      </c>
      <c r="AF698">
        <v>1</v>
      </c>
      <c r="AG698">
        <v>1</v>
      </c>
      <c r="AI698">
        <v>3</v>
      </c>
      <c r="AJ698">
        <v>8</v>
      </c>
    </row>
    <row r="700" spans="2:36" x14ac:dyDescent="0.15">
      <c r="E700">
        <v>32</v>
      </c>
      <c r="G700">
        <v>35</v>
      </c>
      <c r="H700">
        <v>4</v>
      </c>
      <c r="I700">
        <v>12</v>
      </c>
      <c r="J700">
        <v>8</v>
      </c>
      <c r="K700">
        <v>12</v>
      </c>
      <c r="L700">
        <v>17</v>
      </c>
      <c r="Q700">
        <v>1</v>
      </c>
      <c r="AC700">
        <v>3</v>
      </c>
      <c r="AE700">
        <v>1</v>
      </c>
      <c r="AJ700">
        <v>7</v>
      </c>
    </row>
    <row r="702" spans="2:36" x14ac:dyDescent="0.15">
      <c r="G702">
        <v>9</v>
      </c>
      <c r="H702">
        <v>10</v>
      </c>
      <c r="I702">
        <v>23</v>
      </c>
      <c r="J702">
        <v>3</v>
      </c>
      <c r="K702">
        <v>13</v>
      </c>
      <c r="L702">
        <v>8</v>
      </c>
      <c r="T702">
        <v>3</v>
      </c>
      <c r="U702">
        <v>3</v>
      </c>
      <c r="X702">
        <v>1</v>
      </c>
      <c r="AI702">
        <v>1</v>
      </c>
      <c r="AJ702">
        <v>3</v>
      </c>
    </row>
    <row r="703" spans="2:36" x14ac:dyDescent="0.15">
      <c r="B703">
        <v>16</v>
      </c>
      <c r="D703">
        <v>11</v>
      </c>
      <c r="F703">
        <v>5</v>
      </c>
      <c r="H703">
        <v>2</v>
      </c>
      <c r="J703">
        <v>2</v>
      </c>
      <c r="K703">
        <v>2</v>
      </c>
      <c r="L703">
        <v>4</v>
      </c>
      <c r="N703">
        <v>1</v>
      </c>
    </row>
    <row r="704" spans="2:36" x14ac:dyDescent="0.15">
      <c r="B704">
        <v>19</v>
      </c>
      <c r="D704">
        <v>16</v>
      </c>
      <c r="F704">
        <v>10</v>
      </c>
      <c r="G704">
        <v>3</v>
      </c>
      <c r="I704">
        <v>5</v>
      </c>
      <c r="J704">
        <v>2</v>
      </c>
      <c r="K704">
        <v>3</v>
      </c>
      <c r="L704">
        <v>6</v>
      </c>
      <c r="N704">
        <v>1</v>
      </c>
      <c r="R704">
        <v>1</v>
      </c>
      <c r="AD704">
        <v>3</v>
      </c>
      <c r="AE704">
        <v>1</v>
      </c>
      <c r="AJ704">
        <v>8</v>
      </c>
    </row>
    <row r="705" spans="2:36" x14ac:dyDescent="0.15">
      <c r="B705">
        <v>236</v>
      </c>
      <c r="D705">
        <v>45</v>
      </c>
      <c r="F705">
        <v>33</v>
      </c>
      <c r="G705">
        <v>7</v>
      </c>
      <c r="H705">
        <v>3</v>
      </c>
      <c r="J705">
        <v>13</v>
      </c>
      <c r="K705">
        <v>7</v>
      </c>
      <c r="L705">
        <v>4</v>
      </c>
      <c r="N705">
        <v>12</v>
      </c>
      <c r="P705">
        <v>4</v>
      </c>
      <c r="R705">
        <v>4</v>
      </c>
      <c r="V705">
        <v>4</v>
      </c>
      <c r="AJ705">
        <v>1</v>
      </c>
    </row>
    <row r="706" spans="2:36" x14ac:dyDescent="0.15">
      <c r="B706">
        <v>11</v>
      </c>
      <c r="D706">
        <v>3</v>
      </c>
      <c r="F706">
        <v>3</v>
      </c>
      <c r="G706">
        <v>2</v>
      </c>
      <c r="I706">
        <v>7</v>
      </c>
      <c r="L706">
        <v>6</v>
      </c>
      <c r="N706">
        <v>3</v>
      </c>
      <c r="U706">
        <v>1</v>
      </c>
      <c r="X706">
        <v>1</v>
      </c>
    </row>
    <row r="707" spans="2:36" x14ac:dyDescent="0.15">
      <c r="B707">
        <v>64</v>
      </c>
      <c r="D707">
        <v>25</v>
      </c>
      <c r="F707">
        <v>13</v>
      </c>
      <c r="G707">
        <v>7</v>
      </c>
      <c r="I707">
        <v>14</v>
      </c>
      <c r="L707">
        <v>4</v>
      </c>
      <c r="N707">
        <v>4</v>
      </c>
      <c r="P707">
        <v>1</v>
      </c>
      <c r="U707">
        <v>1</v>
      </c>
      <c r="X707">
        <v>1</v>
      </c>
      <c r="AE707">
        <v>1</v>
      </c>
      <c r="AJ707">
        <v>3</v>
      </c>
    </row>
    <row r="708" spans="2:36" x14ac:dyDescent="0.15">
      <c r="B708">
        <v>302</v>
      </c>
      <c r="D708">
        <v>79</v>
      </c>
      <c r="F708">
        <v>30</v>
      </c>
      <c r="G708">
        <v>21</v>
      </c>
      <c r="H708">
        <v>6</v>
      </c>
      <c r="I708">
        <v>85</v>
      </c>
      <c r="J708">
        <v>6</v>
      </c>
      <c r="K708">
        <v>23</v>
      </c>
      <c r="N708">
        <v>34</v>
      </c>
      <c r="P708">
        <v>4</v>
      </c>
      <c r="R708">
        <v>3</v>
      </c>
      <c r="S708">
        <v>5</v>
      </c>
      <c r="U708">
        <v>8</v>
      </c>
      <c r="W708">
        <v>1</v>
      </c>
      <c r="Z708">
        <v>3</v>
      </c>
      <c r="AB708">
        <v>5</v>
      </c>
      <c r="AD708">
        <v>1</v>
      </c>
      <c r="AE708">
        <v>6</v>
      </c>
      <c r="AF708">
        <v>3</v>
      </c>
      <c r="AH708">
        <v>2</v>
      </c>
      <c r="AI708">
        <v>2</v>
      </c>
    </row>
    <row r="710" spans="2:36" x14ac:dyDescent="0.15">
      <c r="C710">
        <v>50</v>
      </c>
      <c r="E710">
        <v>255</v>
      </c>
      <c r="G710">
        <v>146</v>
      </c>
      <c r="H710">
        <v>22</v>
      </c>
      <c r="I710">
        <v>232</v>
      </c>
      <c r="J710">
        <v>17</v>
      </c>
      <c r="K710">
        <v>60</v>
      </c>
      <c r="L710">
        <v>36</v>
      </c>
      <c r="O710">
        <v>1</v>
      </c>
      <c r="Q710">
        <v>18</v>
      </c>
      <c r="S710">
        <v>14</v>
      </c>
      <c r="T710">
        <v>1</v>
      </c>
      <c r="U710">
        <v>16</v>
      </c>
      <c r="V710">
        <v>1</v>
      </c>
      <c r="W710">
        <v>4</v>
      </c>
      <c r="X710">
        <v>5</v>
      </c>
      <c r="AA710">
        <v>1</v>
      </c>
      <c r="AC710">
        <v>6</v>
      </c>
      <c r="AE710">
        <v>4</v>
      </c>
      <c r="AF710">
        <v>1</v>
      </c>
      <c r="AI710">
        <v>1</v>
      </c>
      <c r="AJ710">
        <v>8</v>
      </c>
    </row>
    <row r="712" spans="2:36" x14ac:dyDescent="0.15">
      <c r="E712">
        <v>44</v>
      </c>
      <c r="G712">
        <v>32</v>
      </c>
      <c r="H712">
        <v>4</v>
      </c>
      <c r="I712">
        <v>11</v>
      </c>
      <c r="J712">
        <v>5</v>
      </c>
      <c r="K712">
        <v>12</v>
      </c>
      <c r="L712">
        <v>10</v>
      </c>
      <c r="S712">
        <v>1</v>
      </c>
      <c r="X712">
        <v>2</v>
      </c>
      <c r="AE712">
        <v>1</v>
      </c>
      <c r="AJ712">
        <v>3</v>
      </c>
    </row>
    <row r="714" spans="2:36" x14ac:dyDescent="0.15">
      <c r="G714">
        <v>15</v>
      </c>
      <c r="H714">
        <v>18</v>
      </c>
      <c r="I714">
        <v>32</v>
      </c>
      <c r="J714">
        <v>6</v>
      </c>
      <c r="K714">
        <v>12</v>
      </c>
      <c r="L714">
        <v>12</v>
      </c>
      <c r="T714">
        <v>3</v>
      </c>
      <c r="U714">
        <v>3</v>
      </c>
      <c r="W714">
        <v>1</v>
      </c>
      <c r="AF714">
        <v>2</v>
      </c>
      <c r="AJ714">
        <v>3</v>
      </c>
    </row>
    <row r="715" spans="2:36" x14ac:dyDescent="0.15">
      <c r="B715">
        <v>31</v>
      </c>
      <c r="D715">
        <v>7</v>
      </c>
      <c r="F715">
        <v>5</v>
      </c>
      <c r="H715">
        <v>1</v>
      </c>
      <c r="I715">
        <v>1</v>
      </c>
      <c r="J715">
        <v>2</v>
      </c>
      <c r="K715">
        <v>3</v>
      </c>
      <c r="L715">
        <v>2</v>
      </c>
      <c r="N715">
        <v>1</v>
      </c>
      <c r="P715">
        <v>1</v>
      </c>
    </row>
    <row r="716" spans="2:36" x14ac:dyDescent="0.15">
      <c r="B716">
        <v>22</v>
      </c>
      <c r="D716">
        <v>10</v>
      </c>
      <c r="F716">
        <v>10</v>
      </c>
      <c r="G716">
        <v>2</v>
      </c>
      <c r="I716">
        <v>1</v>
      </c>
      <c r="L716">
        <v>16</v>
      </c>
      <c r="P716">
        <v>1</v>
      </c>
      <c r="R716">
        <v>1</v>
      </c>
      <c r="U716">
        <v>1</v>
      </c>
      <c r="X716">
        <v>2</v>
      </c>
      <c r="AE716">
        <v>1</v>
      </c>
      <c r="AJ716">
        <v>7</v>
      </c>
    </row>
    <row r="717" spans="2:36" x14ac:dyDescent="0.15">
      <c r="B717">
        <v>179</v>
      </c>
      <c r="D717">
        <v>38</v>
      </c>
      <c r="F717">
        <v>30</v>
      </c>
      <c r="G717">
        <v>10</v>
      </c>
      <c r="H717">
        <v>2</v>
      </c>
      <c r="J717">
        <v>15</v>
      </c>
      <c r="K717">
        <v>8</v>
      </c>
      <c r="L717">
        <v>8</v>
      </c>
      <c r="N717">
        <v>8</v>
      </c>
      <c r="P717">
        <v>7</v>
      </c>
      <c r="R717">
        <v>2</v>
      </c>
      <c r="W717">
        <v>1</v>
      </c>
      <c r="AD717">
        <v>1</v>
      </c>
      <c r="AH717">
        <v>1</v>
      </c>
    </row>
    <row r="718" spans="2:36" x14ac:dyDescent="0.15">
      <c r="B718">
        <v>13</v>
      </c>
      <c r="D718">
        <v>11</v>
      </c>
      <c r="F718">
        <v>2</v>
      </c>
      <c r="G718">
        <v>3</v>
      </c>
      <c r="I718">
        <v>8</v>
      </c>
      <c r="L718">
        <v>1</v>
      </c>
      <c r="U718">
        <v>1</v>
      </c>
      <c r="AD718">
        <v>1</v>
      </c>
    </row>
    <row r="719" spans="2:36" x14ac:dyDescent="0.15">
      <c r="B719">
        <v>56</v>
      </c>
      <c r="D719">
        <v>14</v>
      </c>
      <c r="F719">
        <v>10</v>
      </c>
      <c r="G719">
        <v>8</v>
      </c>
      <c r="I719">
        <v>16</v>
      </c>
      <c r="L719">
        <v>11</v>
      </c>
      <c r="N719">
        <v>4</v>
      </c>
      <c r="P719">
        <v>3</v>
      </c>
      <c r="X719">
        <v>1</v>
      </c>
      <c r="Z719">
        <v>1</v>
      </c>
      <c r="AB719">
        <v>1</v>
      </c>
      <c r="AD719">
        <v>1</v>
      </c>
      <c r="AG719">
        <v>1</v>
      </c>
      <c r="AJ719">
        <v>2</v>
      </c>
    </row>
    <row r="720" spans="2:36" x14ac:dyDescent="0.15">
      <c r="B720">
        <v>219</v>
      </c>
      <c r="D720">
        <v>87</v>
      </c>
      <c r="F720">
        <v>36</v>
      </c>
      <c r="G720">
        <v>30</v>
      </c>
      <c r="H720">
        <v>8</v>
      </c>
      <c r="I720">
        <v>75</v>
      </c>
      <c r="J720">
        <v>10</v>
      </c>
      <c r="K720">
        <v>19</v>
      </c>
      <c r="N720">
        <v>35</v>
      </c>
      <c r="P720">
        <v>4</v>
      </c>
      <c r="R720">
        <v>1</v>
      </c>
      <c r="S720">
        <v>2</v>
      </c>
      <c r="U720">
        <v>3</v>
      </c>
      <c r="V720">
        <v>1</v>
      </c>
      <c r="Z720">
        <v>2</v>
      </c>
      <c r="AB720">
        <v>3</v>
      </c>
      <c r="AD720">
        <v>3</v>
      </c>
      <c r="AE720">
        <v>2</v>
      </c>
    </row>
    <row r="722" spans="2:36" x14ac:dyDescent="0.15">
      <c r="C722">
        <v>28</v>
      </c>
      <c r="E722">
        <v>100</v>
      </c>
      <c r="G722">
        <v>66</v>
      </c>
      <c r="H722">
        <v>9</v>
      </c>
      <c r="I722">
        <v>73</v>
      </c>
      <c r="J722">
        <v>7</v>
      </c>
      <c r="K722">
        <v>16</v>
      </c>
      <c r="L722">
        <v>13</v>
      </c>
      <c r="O722">
        <v>1</v>
      </c>
      <c r="Q722">
        <v>8</v>
      </c>
      <c r="S722">
        <v>7</v>
      </c>
      <c r="U722">
        <v>11</v>
      </c>
      <c r="V722">
        <v>1</v>
      </c>
      <c r="X722">
        <v>1</v>
      </c>
      <c r="AC722">
        <v>3</v>
      </c>
      <c r="AE722">
        <v>2</v>
      </c>
      <c r="AJ722">
        <v>2</v>
      </c>
    </row>
    <row r="724" spans="2:36" x14ac:dyDescent="0.15">
      <c r="E724">
        <v>39</v>
      </c>
      <c r="G724">
        <v>53</v>
      </c>
      <c r="H724">
        <v>3</v>
      </c>
      <c r="I724">
        <v>6</v>
      </c>
      <c r="J724">
        <v>5</v>
      </c>
      <c r="K724">
        <v>17</v>
      </c>
      <c r="L724">
        <v>7</v>
      </c>
      <c r="W724">
        <v>2</v>
      </c>
      <c r="X724">
        <v>2</v>
      </c>
      <c r="AE724">
        <v>2</v>
      </c>
      <c r="AF724">
        <v>2</v>
      </c>
      <c r="AH724">
        <v>1</v>
      </c>
      <c r="AJ724">
        <v>7</v>
      </c>
    </row>
    <row r="726" spans="2:36" x14ac:dyDescent="0.15">
      <c r="G726">
        <v>20</v>
      </c>
      <c r="H726">
        <v>14</v>
      </c>
      <c r="I726">
        <v>22</v>
      </c>
      <c r="J726">
        <v>5</v>
      </c>
      <c r="K726">
        <v>12</v>
      </c>
      <c r="L726">
        <v>13</v>
      </c>
      <c r="S726">
        <v>1</v>
      </c>
      <c r="T726">
        <v>1</v>
      </c>
      <c r="U726">
        <v>1</v>
      </c>
      <c r="X726">
        <v>1</v>
      </c>
      <c r="AF726">
        <v>2</v>
      </c>
      <c r="AH726">
        <v>1</v>
      </c>
      <c r="AJ726">
        <v>5</v>
      </c>
    </row>
    <row r="727" spans="2:36" x14ac:dyDescent="0.15">
      <c r="B727">
        <v>20</v>
      </c>
      <c r="D727">
        <v>3</v>
      </c>
      <c r="F727">
        <v>3</v>
      </c>
      <c r="I727">
        <v>5</v>
      </c>
      <c r="J727">
        <v>1</v>
      </c>
      <c r="K727">
        <v>2</v>
      </c>
      <c r="L727">
        <v>2</v>
      </c>
      <c r="N727">
        <v>3</v>
      </c>
    </row>
    <row r="728" spans="2:36" x14ac:dyDescent="0.15">
      <c r="B728">
        <v>15</v>
      </c>
      <c r="D728">
        <v>10</v>
      </c>
      <c r="F728">
        <v>6</v>
      </c>
      <c r="G728">
        <v>6</v>
      </c>
      <c r="L728">
        <v>10</v>
      </c>
      <c r="N728">
        <v>1</v>
      </c>
      <c r="P728">
        <v>1</v>
      </c>
      <c r="R728">
        <v>1</v>
      </c>
      <c r="X728">
        <v>2</v>
      </c>
      <c r="AE728">
        <v>1</v>
      </c>
      <c r="AJ728">
        <v>5</v>
      </c>
    </row>
    <row r="729" spans="2:36" x14ac:dyDescent="0.15">
      <c r="B729">
        <v>175</v>
      </c>
      <c r="D729">
        <v>42</v>
      </c>
      <c r="F729">
        <v>25</v>
      </c>
      <c r="G729">
        <v>18</v>
      </c>
      <c r="H729">
        <v>3</v>
      </c>
      <c r="J729">
        <v>17</v>
      </c>
      <c r="K729">
        <v>9</v>
      </c>
      <c r="L729">
        <v>4</v>
      </c>
      <c r="N729">
        <v>5</v>
      </c>
      <c r="P729">
        <v>5</v>
      </c>
      <c r="R729">
        <v>1</v>
      </c>
      <c r="V729">
        <v>1</v>
      </c>
      <c r="W729">
        <v>1</v>
      </c>
      <c r="AB729">
        <v>2</v>
      </c>
    </row>
    <row r="730" spans="2:36" x14ac:dyDescent="0.15">
      <c r="B730">
        <v>12</v>
      </c>
      <c r="D730">
        <v>6</v>
      </c>
      <c r="F730">
        <v>5</v>
      </c>
      <c r="G730">
        <v>3</v>
      </c>
      <c r="I730">
        <v>8</v>
      </c>
      <c r="L730">
        <v>2</v>
      </c>
      <c r="U730">
        <v>1</v>
      </c>
    </row>
    <row r="731" spans="2:36" x14ac:dyDescent="0.15">
      <c r="B731">
        <v>43</v>
      </c>
      <c r="D731">
        <v>19</v>
      </c>
      <c r="F731">
        <v>13</v>
      </c>
      <c r="G731">
        <v>8</v>
      </c>
      <c r="I731">
        <v>10</v>
      </c>
      <c r="L731">
        <v>7</v>
      </c>
      <c r="N731">
        <v>1</v>
      </c>
      <c r="P731">
        <v>2</v>
      </c>
      <c r="U731">
        <v>1</v>
      </c>
      <c r="AJ731">
        <v>2</v>
      </c>
    </row>
    <row r="732" spans="2:36" x14ac:dyDescent="0.15">
      <c r="B732">
        <v>228</v>
      </c>
      <c r="D732">
        <v>77</v>
      </c>
      <c r="F732">
        <v>39</v>
      </c>
      <c r="G732">
        <v>26</v>
      </c>
      <c r="H732">
        <v>7</v>
      </c>
      <c r="I732">
        <v>76</v>
      </c>
      <c r="J732">
        <v>6</v>
      </c>
      <c r="K732">
        <v>22</v>
      </c>
      <c r="N732">
        <v>27</v>
      </c>
      <c r="P732">
        <v>7</v>
      </c>
      <c r="R732">
        <v>6</v>
      </c>
      <c r="S732">
        <v>7</v>
      </c>
      <c r="T732">
        <v>2</v>
      </c>
      <c r="U732">
        <v>5</v>
      </c>
      <c r="V732">
        <v>2</v>
      </c>
      <c r="W732">
        <v>1</v>
      </c>
      <c r="Z732">
        <v>3</v>
      </c>
      <c r="AB732">
        <v>3</v>
      </c>
      <c r="AD732">
        <v>2</v>
      </c>
      <c r="AE732">
        <v>2</v>
      </c>
      <c r="AF732">
        <v>2</v>
      </c>
      <c r="AI732">
        <v>1</v>
      </c>
    </row>
    <row r="734" spans="2:36" x14ac:dyDescent="0.15">
      <c r="C734">
        <v>24</v>
      </c>
      <c r="E734">
        <v>77</v>
      </c>
      <c r="G734">
        <v>40</v>
      </c>
      <c r="H734">
        <v>5</v>
      </c>
      <c r="I734">
        <v>52</v>
      </c>
      <c r="J734">
        <v>5</v>
      </c>
      <c r="K734">
        <v>9</v>
      </c>
      <c r="L734">
        <v>12</v>
      </c>
      <c r="Q734">
        <v>4</v>
      </c>
      <c r="S734">
        <v>3</v>
      </c>
      <c r="T734">
        <v>2</v>
      </c>
      <c r="U734">
        <v>1</v>
      </c>
      <c r="X734">
        <v>1</v>
      </c>
      <c r="AA734">
        <v>1</v>
      </c>
      <c r="AC734">
        <v>3</v>
      </c>
      <c r="AE734">
        <v>2</v>
      </c>
      <c r="AG734">
        <v>1</v>
      </c>
      <c r="AH734">
        <v>1</v>
      </c>
      <c r="AI734">
        <v>1</v>
      </c>
      <c r="AJ734">
        <v>6</v>
      </c>
    </row>
    <row r="736" spans="2:36" x14ac:dyDescent="0.15">
      <c r="E736">
        <v>50</v>
      </c>
      <c r="G736">
        <v>30</v>
      </c>
      <c r="I736">
        <v>6</v>
      </c>
      <c r="J736">
        <v>5</v>
      </c>
      <c r="K736">
        <v>14</v>
      </c>
      <c r="L736">
        <v>11</v>
      </c>
      <c r="Q736">
        <v>3</v>
      </c>
      <c r="S736">
        <v>2</v>
      </c>
      <c r="X736">
        <v>4</v>
      </c>
      <c r="AF736">
        <v>2</v>
      </c>
      <c r="AJ736">
        <v>4</v>
      </c>
    </row>
    <row r="738" spans="2:36" x14ac:dyDescent="0.15">
      <c r="G738">
        <v>16</v>
      </c>
      <c r="H738">
        <v>13</v>
      </c>
      <c r="I738">
        <v>22</v>
      </c>
      <c r="J738">
        <v>5</v>
      </c>
      <c r="K738">
        <v>12</v>
      </c>
      <c r="L738">
        <v>9</v>
      </c>
      <c r="S738">
        <v>1</v>
      </c>
      <c r="T738">
        <v>2</v>
      </c>
      <c r="U738">
        <v>3</v>
      </c>
      <c r="W738">
        <v>1</v>
      </c>
      <c r="X738">
        <v>1</v>
      </c>
      <c r="AF738">
        <v>3</v>
      </c>
    </row>
    <row r="739" spans="2:36" x14ac:dyDescent="0.15">
      <c r="B739">
        <v>31</v>
      </c>
      <c r="D739">
        <v>8</v>
      </c>
      <c r="F739">
        <v>6</v>
      </c>
      <c r="I739">
        <v>2</v>
      </c>
      <c r="K739">
        <v>5</v>
      </c>
      <c r="L739">
        <v>8</v>
      </c>
      <c r="N739">
        <v>2</v>
      </c>
      <c r="AI739">
        <v>1</v>
      </c>
      <c r="AJ739">
        <v>2</v>
      </c>
    </row>
    <row r="740" spans="2:36" x14ac:dyDescent="0.15">
      <c r="B740">
        <v>25</v>
      </c>
      <c r="D740">
        <v>6</v>
      </c>
      <c r="F740">
        <v>11</v>
      </c>
      <c r="G740">
        <v>4</v>
      </c>
      <c r="I740">
        <v>3</v>
      </c>
      <c r="L740">
        <v>12</v>
      </c>
      <c r="N740">
        <v>1</v>
      </c>
      <c r="R740">
        <v>3</v>
      </c>
      <c r="S740">
        <v>1</v>
      </c>
      <c r="X740">
        <v>1</v>
      </c>
      <c r="AD740">
        <v>3</v>
      </c>
      <c r="AE740">
        <v>1</v>
      </c>
      <c r="AH740">
        <v>1</v>
      </c>
      <c r="AJ740">
        <v>4</v>
      </c>
    </row>
    <row r="741" spans="2:36" x14ac:dyDescent="0.15">
      <c r="B741">
        <v>124</v>
      </c>
      <c r="D741">
        <v>32</v>
      </c>
      <c r="F741">
        <v>31</v>
      </c>
      <c r="G741">
        <v>16</v>
      </c>
      <c r="H741">
        <v>4</v>
      </c>
      <c r="J741">
        <v>17</v>
      </c>
      <c r="K741">
        <v>9</v>
      </c>
      <c r="L741">
        <v>6</v>
      </c>
      <c r="N741">
        <v>8</v>
      </c>
      <c r="P741">
        <v>5</v>
      </c>
      <c r="R741">
        <v>2</v>
      </c>
      <c r="S741">
        <v>1</v>
      </c>
      <c r="AB741">
        <v>1</v>
      </c>
      <c r="AJ741">
        <v>1</v>
      </c>
    </row>
    <row r="742" spans="2:36" x14ac:dyDescent="0.15">
      <c r="B742">
        <v>11</v>
      </c>
      <c r="D742">
        <v>5</v>
      </c>
      <c r="F742">
        <v>1</v>
      </c>
      <c r="G742">
        <v>1</v>
      </c>
      <c r="I742">
        <v>10</v>
      </c>
      <c r="AJ742">
        <v>1</v>
      </c>
    </row>
    <row r="743" spans="2:36" x14ac:dyDescent="0.15">
      <c r="B743">
        <v>38</v>
      </c>
      <c r="D743">
        <v>24</v>
      </c>
      <c r="F743">
        <v>12</v>
      </c>
      <c r="G743">
        <v>6</v>
      </c>
      <c r="H743">
        <v>1</v>
      </c>
      <c r="I743">
        <v>9</v>
      </c>
      <c r="L743">
        <v>8</v>
      </c>
      <c r="P743">
        <v>1</v>
      </c>
      <c r="U743">
        <v>3</v>
      </c>
      <c r="AB743">
        <v>1</v>
      </c>
      <c r="AD743">
        <v>1</v>
      </c>
      <c r="AE743">
        <v>1</v>
      </c>
      <c r="AJ743">
        <v>3</v>
      </c>
    </row>
    <row r="744" spans="2:36" x14ac:dyDescent="0.15">
      <c r="B744">
        <v>215</v>
      </c>
      <c r="D744">
        <v>91</v>
      </c>
      <c r="F744">
        <v>56</v>
      </c>
      <c r="G744">
        <v>23</v>
      </c>
      <c r="H744">
        <v>7</v>
      </c>
      <c r="I744">
        <v>63</v>
      </c>
      <c r="J744">
        <v>3</v>
      </c>
      <c r="K744">
        <v>33</v>
      </c>
      <c r="N744">
        <v>37</v>
      </c>
      <c r="P744">
        <v>9</v>
      </c>
      <c r="R744">
        <v>2</v>
      </c>
      <c r="S744">
        <v>4</v>
      </c>
      <c r="T744">
        <v>1</v>
      </c>
      <c r="U744">
        <v>5</v>
      </c>
      <c r="W744">
        <v>3</v>
      </c>
      <c r="Z744">
        <v>3</v>
      </c>
      <c r="AB744">
        <v>2</v>
      </c>
      <c r="AD744">
        <v>1</v>
      </c>
      <c r="AE744">
        <v>5</v>
      </c>
      <c r="AF744">
        <v>2</v>
      </c>
      <c r="AG744">
        <v>1</v>
      </c>
      <c r="AI744">
        <v>2</v>
      </c>
    </row>
    <row r="746" spans="2:36" x14ac:dyDescent="0.15">
      <c r="C746">
        <v>40</v>
      </c>
      <c r="E746">
        <v>208</v>
      </c>
      <c r="G746">
        <v>192</v>
      </c>
      <c r="H746">
        <v>19</v>
      </c>
      <c r="I746">
        <v>168</v>
      </c>
      <c r="J746">
        <v>13</v>
      </c>
      <c r="K746">
        <v>56</v>
      </c>
      <c r="L746">
        <v>49</v>
      </c>
      <c r="O746">
        <v>2</v>
      </c>
      <c r="Q746">
        <v>20</v>
      </c>
      <c r="S746">
        <v>20</v>
      </c>
      <c r="T746">
        <v>1</v>
      </c>
      <c r="U746">
        <v>13</v>
      </c>
      <c r="W746">
        <v>9</v>
      </c>
      <c r="X746">
        <v>7</v>
      </c>
      <c r="AA746">
        <v>2</v>
      </c>
      <c r="AC746">
        <v>5</v>
      </c>
      <c r="AE746">
        <v>8</v>
      </c>
      <c r="AF746">
        <v>2</v>
      </c>
      <c r="AI746">
        <v>3</v>
      </c>
      <c r="AJ746">
        <v>11</v>
      </c>
    </row>
    <row r="748" spans="2:36" x14ac:dyDescent="0.15">
      <c r="E748">
        <v>54</v>
      </c>
      <c r="G748">
        <v>33</v>
      </c>
      <c r="H748">
        <v>4</v>
      </c>
      <c r="I748">
        <v>5</v>
      </c>
      <c r="J748">
        <v>12</v>
      </c>
      <c r="K748">
        <v>23</v>
      </c>
      <c r="L748">
        <v>9</v>
      </c>
      <c r="Q748">
        <v>1</v>
      </c>
      <c r="S748">
        <v>3</v>
      </c>
      <c r="V748">
        <v>2</v>
      </c>
      <c r="W748">
        <v>1</v>
      </c>
      <c r="X748">
        <v>3</v>
      </c>
      <c r="AE748">
        <v>1</v>
      </c>
      <c r="AF748">
        <v>1</v>
      </c>
      <c r="AJ748">
        <v>5</v>
      </c>
    </row>
    <row r="750" spans="2:36" x14ac:dyDescent="0.15">
      <c r="G750">
        <v>16</v>
      </c>
      <c r="H750">
        <v>11</v>
      </c>
      <c r="I750">
        <v>24</v>
      </c>
      <c r="J750">
        <v>9</v>
      </c>
      <c r="K750">
        <v>16</v>
      </c>
      <c r="L750">
        <v>13</v>
      </c>
      <c r="S750">
        <v>1</v>
      </c>
      <c r="T750">
        <v>1</v>
      </c>
      <c r="U750">
        <v>3</v>
      </c>
      <c r="V750">
        <v>1</v>
      </c>
      <c r="W750">
        <v>1</v>
      </c>
      <c r="AI750">
        <v>1</v>
      </c>
      <c r="AJ750">
        <v>5</v>
      </c>
    </row>
    <row r="751" spans="2:36" x14ac:dyDescent="0.15">
      <c r="B751">
        <v>28</v>
      </c>
      <c r="D751">
        <v>8</v>
      </c>
      <c r="F751">
        <v>4</v>
      </c>
      <c r="I751">
        <v>4</v>
      </c>
      <c r="K751">
        <v>3</v>
      </c>
      <c r="L751">
        <v>7</v>
      </c>
      <c r="N751">
        <v>1</v>
      </c>
      <c r="AB751">
        <v>1</v>
      </c>
      <c r="AJ751">
        <v>1</v>
      </c>
    </row>
    <row r="752" spans="2:36" x14ac:dyDescent="0.15">
      <c r="B752">
        <v>11</v>
      </c>
      <c r="D752">
        <v>11</v>
      </c>
      <c r="F752">
        <v>10</v>
      </c>
      <c r="G752">
        <v>2</v>
      </c>
      <c r="I752">
        <v>1</v>
      </c>
      <c r="K752">
        <v>3</v>
      </c>
      <c r="L752">
        <v>9</v>
      </c>
      <c r="N752">
        <v>1</v>
      </c>
      <c r="R752">
        <v>2</v>
      </c>
      <c r="W752">
        <v>1</v>
      </c>
      <c r="X752">
        <v>1</v>
      </c>
      <c r="AB752">
        <v>1</v>
      </c>
      <c r="AD752">
        <v>1</v>
      </c>
      <c r="AJ752">
        <v>3</v>
      </c>
    </row>
    <row r="753" spans="2:36" x14ac:dyDescent="0.15">
      <c r="B753">
        <v>156</v>
      </c>
      <c r="D753">
        <v>42</v>
      </c>
      <c r="F753">
        <v>26</v>
      </c>
      <c r="G753">
        <v>7</v>
      </c>
      <c r="J753">
        <v>10</v>
      </c>
      <c r="K753">
        <v>11</v>
      </c>
      <c r="L753">
        <v>6</v>
      </c>
      <c r="N753">
        <v>10</v>
      </c>
      <c r="P753">
        <v>3</v>
      </c>
      <c r="R753">
        <v>2</v>
      </c>
      <c r="V753">
        <v>1</v>
      </c>
      <c r="W753">
        <v>1</v>
      </c>
    </row>
    <row r="754" spans="2:36" x14ac:dyDescent="0.15">
      <c r="B754">
        <v>18</v>
      </c>
      <c r="D754">
        <v>6</v>
      </c>
      <c r="F754">
        <v>6</v>
      </c>
      <c r="I754">
        <v>4</v>
      </c>
      <c r="L754">
        <v>3</v>
      </c>
      <c r="U754">
        <v>1</v>
      </c>
    </row>
    <row r="755" spans="2:36" x14ac:dyDescent="0.15">
      <c r="B755">
        <v>39</v>
      </c>
      <c r="D755">
        <v>30</v>
      </c>
      <c r="F755">
        <v>12</v>
      </c>
      <c r="G755">
        <v>11</v>
      </c>
      <c r="I755">
        <v>10</v>
      </c>
      <c r="L755">
        <v>8</v>
      </c>
      <c r="P755">
        <v>4</v>
      </c>
      <c r="U755">
        <v>1</v>
      </c>
      <c r="AD755">
        <v>3</v>
      </c>
      <c r="AJ755">
        <v>5</v>
      </c>
    </row>
    <row r="756" spans="2:36" x14ac:dyDescent="0.15">
      <c r="B756">
        <v>202</v>
      </c>
      <c r="D756">
        <v>87</v>
      </c>
      <c r="F756">
        <v>41</v>
      </c>
      <c r="G756">
        <v>16</v>
      </c>
      <c r="H756">
        <v>3</v>
      </c>
      <c r="I756">
        <v>57</v>
      </c>
      <c r="J756">
        <v>3</v>
      </c>
      <c r="K756">
        <v>15</v>
      </c>
      <c r="N756">
        <v>29</v>
      </c>
      <c r="P756">
        <v>7</v>
      </c>
      <c r="R756">
        <v>3</v>
      </c>
      <c r="S756">
        <v>2</v>
      </c>
      <c r="T756">
        <v>2</v>
      </c>
      <c r="U756">
        <v>5</v>
      </c>
      <c r="W756">
        <v>1</v>
      </c>
      <c r="Z756">
        <v>4</v>
      </c>
      <c r="AD756">
        <v>4</v>
      </c>
      <c r="AE756">
        <v>3</v>
      </c>
      <c r="AG756">
        <v>2</v>
      </c>
      <c r="AH756">
        <v>1</v>
      </c>
      <c r="AI756">
        <v>1</v>
      </c>
    </row>
    <row r="758" spans="2:36" x14ac:dyDescent="0.15">
      <c r="C758">
        <v>52</v>
      </c>
      <c r="E758">
        <v>208</v>
      </c>
      <c r="G758">
        <v>168</v>
      </c>
      <c r="H758">
        <v>24</v>
      </c>
      <c r="I758">
        <v>139</v>
      </c>
      <c r="J758">
        <v>11</v>
      </c>
      <c r="K758">
        <v>44</v>
      </c>
      <c r="L758">
        <v>32</v>
      </c>
      <c r="O758">
        <v>2</v>
      </c>
      <c r="Q758">
        <v>13</v>
      </c>
      <c r="S758">
        <v>17</v>
      </c>
      <c r="T758">
        <v>3</v>
      </c>
      <c r="U758">
        <v>15</v>
      </c>
      <c r="W758">
        <v>4</v>
      </c>
      <c r="X758">
        <v>3</v>
      </c>
      <c r="AA758">
        <v>1</v>
      </c>
      <c r="AE758">
        <v>5</v>
      </c>
      <c r="AF758">
        <v>1</v>
      </c>
      <c r="AH758">
        <v>1</v>
      </c>
      <c r="AI758">
        <v>1</v>
      </c>
      <c r="AJ758">
        <v>1</v>
      </c>
    </row>
    <row r="760" spans="2:36" x14ac:dyDescent="0.15">
      <c r="E760">
        <v>47</v>
      </c>
      <c r="G760">
        <v>43</v>
      </c>
      <c r="H760">
        <v>1</v>
      </c>
      <c r="I760">
        <v>4</v>
      </c>
      <c r="J760">
        <v>5</v>
      </c>
      <c r="K760">
        <v>16</v>
      </c>
      <c r="L760">
        <v>18</v>
      </c>
      <c r="Q760">
        <v>2</v>
      </c>
      <c r="S760">
        <v>1</v>
      </c>
      <c r="X760">
        <v>2</v>
      </c>
      <c r="AE760">
        <v>1</v>
      </c>
      <c r="AJ760">
        <v>5</v>
      </c>
    </row>
    <row r="762" spans="2:36" x14ac:dyDescent="0.15">
      <c r="G762">
        <v>20</v>
      </c>
      <c r="H762">
        <v>10</v>
      </c>
      <c r="I762">
        <v>23</v>
      </c>
      <c r="K762">
        <v>5</v>
      </c>
      <c r="L762">
        <v>11</v>
      </c>
      <c r="S762">
        <v>2</v>
      </c>
      <c r="T762">
        <v>1</v>
      </c>
      <c r="U762">
        <v>1</v>
      </c>
      <c r="X762">
        <v>1</v>
      </c>
      <c r="AJ762">
        <v>4</v>
      </c>
    </row>
    <row r="763" spans="2:36" x14ac:dyDescent="0.15">
      <c r="B763">
        <v>24</v>
      </c>
      <c r="D763">
        <v>6</v>
      </c>
      <c r="F763">
        <v>4</v>
      </c>
      <c r="H763">
        <v>1</v>
      </c>
      <c r="I763">
        <v>2</v>
      </c>
      <c r="K763">
        <v>3</v>
      </c>
      <c r="L763">
        <v>3</v>
      </c>
      <c r="P763">
        <v>1</v>
      </c>
      <c r="AI763">
        <v>1</v>
      </c>
    </row>
    <row r="764" spans="2:36" x14ac:dyDescent="0.15">
      <c r="B764">
        <v>13</v>
      </c>
      <c r="D764">
        <v>5</v>
      </c>
      <c r="F764">
        <v>5</v>
      </c>
      <c r="G764">
        <v>3</v>
      </c>
      <c r="I764">
        <v>2</v>
      </c>
      <c r="L764">
        <v>13</v>
      </c>
      <c r="N764">
        <v>1</v>
      </c>
      <c r="P764">
        <v>1</v>
      </c>
      <c r="R764">
        <v>2</v>
      </c>
      <c r="X764">
        <v>1</v>
      </c>
      <c r="AB764">
        <v>1</v>
      </c>
      <c r="AJ764">
        <v>5</v>
      </c>
    </row>
    <row r="765" spans="2:36" x14ac:dyDescent="0.15">
      <c r="B765">
        <v>141</v>
      </c>
      <c r="D765">
        <v>36</v>
      </c>
      <c r="F765">
        <v>27</v>
      </c>
      <c r="G765">
        <v>15</v>
      </c>
      <c r="H765">
        <v>2</v>
      </c>
      <c r="J765">
        <v>21</v>
      </c>
      <c r="K765">
        <v>9</v>
      </c>
      <c r="L765">
        <v>3</v>
      </c>
      <c r="N765">
        <v>9</v>
      </c>
      <c r="P765">
        <v>6</v>
      </c>
      <c r="R765">
        <v>1</v>
      </c>
      <c r="V765">
        <v>3</v>
      </c>
      <c r="Z765">
        <v>1</v>
      </c>
      <c r="AJ765">
        <v>1</v>
      </c>
    </row>
    <row r="766" spans="2:36" x14ac:dyDescent="0.15">
      <c r="B766">
        <v>4</v>
      </c>
      <c r="D766">
        <v>6</v>
      </c>
      <c r="F766">
        <v>1</v>
      </c>
      <c r="H766">
        <v>1</v>
      </c>
      <c r="I766">
        <v>14</v>
      </c>
      <c r="P766">
        <v>1</v>
      </c>
      <c r="U766">
        <v>1</v>
      </c>
      <c r="AE766">
        <v>1</v>
      </c>
      <c r="AJ766">
        <v>2</v>
      </c>
    </row>
    <row r="767" spans="2:36" x14ac:dyDescent="0.15">
      <c r="B767">
        <v>43</v>
      </c>
      <c r="D767">
        <v>34</v>
      </c>
      <c r="F767">
        <v>14</v>
      </c>
      <c r="G767">
        <v>9</v>
      </c>
      <c r="I767">
        <v>15</v>
      </c>
      <c r="L767">
        <v>4</v>
      </c>
      <c r="P767">
        <v>3</v>
      </c>
      <c r="R767">
        <v>1</v>
      </c>
      <c r="U767">
        <v>1</v>
      </c>
      <c r="AJ767">
        <v>3</v>
      </c>
    </row>
    <row r="768" spans="2:36" x14ac:dyDescent="0.15">
      <c r="B768">
        <v>211</v>
      </c>
      <c r="D768">
        <v>68</v>
      </c>
      <c r="F768">
        <v>31</v>
      </c>
      <c r="G768">
        <v>24</v>
      </c>
      <c r="H768">
        <v>4</v>
      </c>
      <c r="I768">
        <v>52</v>
      </c>
      <c r="J768">
        <v>4</v>
      </c>
      <c r="K768">
        <v>26</v>
      </c>
      <c r="N768">
        <v>22</v>
      </c>
      <c r="P768">
        <v>8</v>
      </c>
      <c r="R768">
        <v>2</v>
      </c>
      <c r="S768">
        <v>4</v>
      </c>
      <c r="T768">
        <v>2</v>
      </c>
      <c r="U768">
        <v>2</v>
      </c>
      <c r="Z768">
        <v>3</v>
      </c>
      <c r="AB768">
        <v>1</v>
      </c>
      <c r="AD768">
        <v>1</v>
      </c>
      <c r="AE768">
        <v>2</v>
      </c>
      <c r="AF768">
        <v>3</v>
      </c>
      <c r="AI768">
        <v>1</v>
      </c>
    </row>
    <row r="770" spans="2:36" x14ac:dyDescent="0.15">
      <c r="C770">
        <v>41</v>
      </c>
      <c r="E770">
        <v>191</v>
      </c>
      <c r="G770">
        <v>182</v>
      </c>
      <c r="H770">
        <v>25</v>
      </c>
      <c r="I770">
        <v>200</v>
      </c>
      <c r="J770">
        <v>20</v>
      </c>
      <c r="K770">
        <v>56</v>
      </c>
      <c r="L770">
        <v>34</v>
      </c>
      <c r="O770">
        <v>4</v>
      </c>
      <c r="Q770">
        <v>19</v>
      </c>
      <c r="S770">
        <v>12</v>
      </c>
      <c r="T770">
        <v>1</v>
      </c>
      <c r="U770">
        <v>16</v>
      </c>
      <c r="W770">
        <v>5</v>
      </c>
      <c r="X770">
        <v>6</v>
      </c>
      <c r="AE770">
        <v>3</v>
      </c>
      <c r="AG770">
        <v>1</v>
      </c>
      <c r="AI770">
        <v>2</v>
      </c>
      <c r="AJ770">
        <v>6</v>
      </c>
    </row>
    <row r="772" spans="2:36" x14ac:dyDescent="0.15">
      <c r="E772">
        <v>59</v>
      </c>
      <c r="G772">
        <v>57</v>
      </c>
      <c r="H772">
        <v>2</v>
      </c>
      <c r="I772">
        <v>13</v>
      </c>
      <c r="J772">
        <v>8</v>
      </c>
      <c r="K772">
        <v>25</v>
      </c>
      <c r="L772">
        <v>12</v>
      </c>
      <c r="Q772">
        <v>1</v>
      </c>
      <c r="S772">
        <v>3</v>
      </c>
      <c r="W772">
        <v>1</v>
      </c>
      <c r="X772">
        <v>1</v>
      </c>
      <c r="AC772">
        <v>1</v>
      </c>
      <c r="AF772">
        <v>2</v>
      </c>
      <c r="AJ772">
        <v>3</v>
      </c>
    </row>
    <row r="774" spans="2:36" x14ac:dyDescent="0.15">
      <c r="G774">
        <v>33</v>
      </c>
      <c r="H774">
        <v>11</v>
      </c>
      <c r="I774">
        <v>26</v>
      </c>
      <c r="J774">
        <v>5</v>
      </c>
      <c r="K774">
        <v>13</v>
      </c>
      <c r="L774">
        <v>14</v>
      </c>
      <c r="S774">
        <v>1</v>
      </c>
      <c r="T774">
        <v>2</v>
      </c>
      <c r="U774">
        <v>2</v>
      </c>
      <c r="V774">
        <v>1</v>
      </c>
      <c r="W774">
        <v>1</v>
      </c>
      <c r="AF774">
        <v>1</v>
      </c>
      <c r="AH774">
        <v>1</v>
      </c>
      <c r="AI774">
        <v>2</v>
      </c>
      <c r="AJ774">
        <v>2</v>
      </c>
    </row>
    <row r="775" spans="2:36" x14ac:dyDescent="0.15">
      <c r="B775">
        <v>40</v>
      </c>
      <c r="D775">
        <v>7</v>
      </c>
      <c r="F775">
        <v>3</v>
      </c>
      <c r="H775">
        <v>3</v>
      </c>
      <c r="I775">
        <v>2</v>
      </c>
      <c r="J775">
        <v>1</v>
      </c>
      <c r="K775">
        <v>5</v>
      </c>
      <c r="L775">
        <v>5</v>
      </c>
      <c r="P775">
        <v>1</v>
      </c>
      <c r="W775">
        <v>1</v>
      </c>
      <c r="X775">
        <v>1</v>
      </c>
      <c r="AI775">
        <v>1</v>
      </c>
    </row>
    <row r="776" spans="2:36" x14ac:dyDescent="0.15">
      <c r="B776">
        <v>9</v>
      </c>
      <c r="D776">
        <v>5</v>
      </c>
      <c r="F776">
        <v>12</v>
      </c>
      <c r="G776">
        <v>1</v>
      </c>
      <c r="I776">
        <v>3</v>
      </c>
      <c r="L776">
        <v>15</v>
      </c>
      <c r="R776">
        <v>1</v>
      </c>
      <c r="X776">
        <v>1</v>
      </c>
      <c r="AD776">
        <v>1</v>
      </c>
      <c r="AJ776">
        <v>5</v>
      </c>
    </row>
    <row r="777" spans="2:36" x14ac:dyDescent="0.15">
      <c r="B777">
        <v>155</v>
      </c>
      <c r="D777">
        <v>56</v>
      </c>
      <c r="F777">
        <v>23</v>
      </c>
      <c r="G777">
        <v>13</v>
      </c>
      <c r="J777">
        <v>11</v>
      </c>
      <c r="K777">
        <v>6</v>
      </c>
      <c r="L777">
        <v>4</v>
      </c>
      <c r="N777">
        <v>10</v>
      </c>
      <c r="P777">
        <v>4</v>
      </c>
      <c r="R777">
        <v>3</v>
      </c>
      <c r="V777">
        <v>1</v>
      </c>
      <c r="W777">
        <v>2</v>
      </c>
      <c r="X777">
        <v>1</v>
      </c>
      <c r="AH777">
        <v>1</v>
      </c>
    </row>
    <row r="778" spans="2:36" x14ac:dyDescent="0.15">
      <c r="B778">
        <v>12</v>
      </c>
      <c r="D778">
        <v>7</v>
      </c>
      <c r="F778">
        <v>4</v>
      </c>
      <c r="G778">
        <v>3</v>
      </c>
      <c r="I778">
        <v>8</v>
      </c>
      <c r="U778">
        <v>2</v>
      </c>
      <c r="X778">
        <v>1</v>
      </c>
    </row>
    <row r="779" spans="2:36" x14ac:dyDescent="0.15">
      <c r="B779">
        <v>52</v>
      </c>
      <c r="D779">
        <v>27</v>
      </c>
      <c r="F779">
        <v>12</v>
      </c>
      <c r="G779">
        <v>9</v>
      </c>
      <c r="I779">
        <v>5</v>
      </c>
      <c r="L779">
        <v>7</v>
      </c>
      <c r="N779">
        <v>4</v>
      </c>
      <c r="P779">
        <v>4</v>
      </c>
      <c r="U779">
        <v>1</v>
      </c>
      <c r="X779">
        <v>1</v>
      </c>
      <c r="Z779">
        <v>1</v>
      </c>
      <c r="AJ779">
        <v>1</v>
      </c>
    </row>
    <row r="780" spans="2:36" x14ac:dyDescent="0.15">
      <c r="B780">
        <v>165</v>
      </c>
      <c r="D780">
        <v>55</v>
      </c>
      <c r="F780">
        <v>27</v>
      </c>
      <c r="G780">
        <v>14</v>
      </c>
      <c r="H780">
        <v>10</v>
      </c>
      <c r="I780">
        <v>71</v>
      </c>
      <c r="J780">
        <v>7</v>
      </c>
      <c r="K780">
        <v>26</v>
      </c>
      <c r="N780">
        <v>27</v>
      </c>
      <c r="P780">
        <v>6</v>
      </c>
      <c r="R780">
        <v>3</v>
      </c>
      <c r="S780">
        <v>4</v>
      </c>
      <c r="T780">
        <v>2</v>
      </c>
      <c r="U780">
        <v>8</v>
      </c>
      <c r="Z780">
        <v>1</v>
      </c>
      <c r="AB780">
        <v>2</v>
      </c>
      <c r="AD780">
        <v>3</v>
      </c>
      <c r="AI780">
        <v>1</v>
      </c>
    </row>
    <row r="782" spans="2:36" x14ac:dyDescent="0.15">
      <c r="C782">
        <v>17</v>
      </c>
      <c r="E782">
        <v>124</v>
      </c>
      <c r="G782">
        <v>90</v>
      </c>
      <c r="H782">
        <v>20</v>
      </c>
      <c r="I782">
        <v>119</v>
      </c>
      <c r="J782">
        <v>9</v>
      </c>
      <c r="K782">
        <v>22</v>
      </c>
      <c r="L782">
        <v>34</v>
      </c>
      <c r="O782">
        <v>1</v>
      </c>
      <c r="Q782">
        <v>8</v>
      </c>
      <c r="S782">
        <v>11</v>
      </c>
      <c r="U782">
        <v>10</v>
      </c>
      <c r="V782">
        <v>1</v>
      </c>
      <c r="W782">
        <v>1</v>
      </c>
      <c r="X782">
        <v>8</v>
      </c>
      <c r="AC782">
        <v>2</v>
      </c>
      <c r="AE782">
        <v>5</v>
      </c>
      <c r="AI782">
        <v>1</v>
      </c>
      <c r="AJ782">
        <v>3</v>
      </c>
    </row>
    <row r="784" spans="2:36" x14ac:dyDescent="0.15">
      <c r="E784">
        <v>51</v>
      </c>
      <c r="G784">
        <v>57</v>
      </c>
      <c r="H784">
        <v>1</v>
      </c>
      <c r="I784">
        <v>5</v>
      </c>
      <c r="J784">
        <v>2</v>
      </c>
      <c r="K784">
        <v>19</v>
      </c>
      <c r="L784">
        <v>24</v>
      </c>
      <c r="Q784">
        <v>2</v>
      </c>
      <c r="S784">
        <v>2</v>
      </c>
      <c r="U784">
        <v>1</v>
      </c>
      <c r="V784">
        <v>1</v>
      </c>
      <c r="X784">
        <v>1</v>
      </c>
      <c r="AE784">
        <v>3</v>
      </c>
      <c r="AF784">
        <v>2</v>
      </c>
      <c r="AG784">
        <v>1</v>
      </c>
      <c r="AJ784">
        <v>5</v>
      </c>
    </row>
    <row r="786" spans="2:36" x14ac:dyDescent="0.15">
      <c r="G786">
        <v>24</v>
      </c>
      <c r="H786">
        <v>11</v>
      </c>
      <c r="I786">
        <v>19</v>
      </c>
      <c r="J786">
        <v>2</v>
      </c>
      <c r="K786">
        <v>18</v>
      </c>
      <c r="L786">
        <v>13</v>
      </c>
      <c r="S786">
        <v>1</v>
      </c>
      <c r="T786">
        <v>1</v>
      </c>
      <c r="X786">
        <v>3</v>
      </c>
      <c r="AE786">
        <v>1</v>
      </c>
      <c r="AF786">
        <v>2</v>
      </c>
      <c r="AJ786">
        <v>4</v>
      </c>
    </row>
    <row r="787" spans="2:36" x14ac:dyDescent="0.15">
      <c r="B787">
        <v>30</v>
      </c>
      <c r="D787">
        <v>11</v>
      </c>
      <c r="F787">
        <v>4</v>
      </c>
      <c r="H787">
        <v>4</v>
      </c>
      <c r="I787">
        <v>3</v>
      </c>
      <c r="J787">
        <v>3</v>
      </c>
      <c r="K787">
        <v>3</v>
      </c>
      <c r="L787">
        <v>4</v>
      </c>
      <c r="N787">
        <v>1</v>
      </c>
      <c r="AB787">
        <v>1</v>
      </c>
      <c r="AJ787">
        <v>1</v>
      </c>
    </row>
    <row r="788" spans="2:36" x14ac:dyDescent="0.15">
      <c r="B788">
        <v>12</v>
      </c>
      <c r="D788">
        <v>7</v>
      </c>
      <c r="F788">
        <v>10</v>
      </c>
      <c r="G788">
        <v>4</v>
      </c>
      <c r="I788">
        <v>3</v>
      </c>
      <c r="J788">
        <v>2</v>
      </c>
      <c r="K788">
        <v>1</v>
      </c>
      <c r="L788">
        <v>13</v>
      </c>
      <c r="R788">
        <v>2</v>
      </c>
      <c r="X788">
        <v>2</v>
      </c>
      <c r="AB788">
        <v>1</v>
      </c>
      <c r="AJ788">
        <v>5</v>
      </c>
    </row>
    <row r="789" spans="2:36" x14ac:dyDescent="0.15">
      <c r="B789">
        <v>163</v>
      </c>
      <c r="D789">
        <v>37</v>
      </c>
      <c r="F789">
        <v>29</v>
      </c>
      <c r="G789">
        <v>6</v>
      </c>
      <c r="H789">
        <v>2</v>
      </c>
      <c r="J789">
        <v>8</v>
      </c>
      <c r="K789">
        <v>6</v>
      </c>
      <c r="L789">
        <v>5</v>
      </c>
      <c r="N789">
        <v>8</v>
      </c>
      <c r="P789">
        <v>9</v>
      </c>
      <c r="R789">
        <v>3</v>
      </c>
      <c r="V789">
        <v>1</v>
      </c>
      <c r="AF789">
        <v>1</v>
      </c>
      <c r="AJ789">
        <v>1</v>
      </c>
    </row>
    <row r="790" spans="2:36" x14ac:dyDescent="0.15">
      <c r="B790">
        <v>6</v>
      </c>
      <c r="D790">
        <v>4</v>
      </c>
      <c r="F790">
        <v>2</v>
      </c>
      <c r="G790">
        <v>1</v>
      </c>
      <c r="H790">
        <v>1</v>
      </c>
      <c r="I790">
        <v>9</v>
      </c>
      <c r="L790">
        <v>3</v>
      </c>
      <c r="U790">
        <v>1</v>
      </c>
      <c r="AG790">
        <v>1</v>
      </c>
    </row>
    <row r="791" spans="2:36" x14ac:dyDescent="0.15">
      <c r="B791">
        <v>54</v>
      </c>
      <c r="D791">
        <v>29</v>
      </c>
      <c r="F791">
        <v>11</v>
      </c>
      <c r="G791">
        <v>15</v>
      </c>
      <c r="I791">
        <v>10</v>
      </c>
      <c r="L791">
        <v>6</v>
      </c>
      <c r="N791">
        <v>3</v>
      </c>
      <c r="P791">
        <v>1</v>
      </c>
      <c r="T791">
        <v>1</v>
      </c>
      <c r="AJ791">
        <v>4</v>
      </c>
    </row>
    <row r="792" spans="2:36" x14ac:dyDescent="0.15">
      <c r="B792">
        <v>210</v>
      </c>
      <c r="D792">
        <v>75</v>
      </c>
      <c r="F792">
        <v>41</v>
      </c>
      <c r="G792">
        <v>28</v>
      </c>
      <c r="H792">
        <v>6</v>
      </c>
      <c r="I792">
        <v>73</v>
      </c>
      <c r="J792">
        <v>6</v>
      </c>
      <c r="K792">
        <v>28</v>
      </c>
      <c r="N792">
        <v>27</v>
      </c>
      <c r="P792">
        <v>10</v>
      </c>
      <c r="R792">
        <v>2</v>
      </c>
      <c r="S792">
        <v>3</v>
      </c>
      <c r="U792">
        <v>5</v>
      </c>
      <c r="W792">
        <v>2</v>
      </c>
      <c r="Z792">
        <v>2</v>
      </c>
      <c r="AB792">
        <v>5</v>
      </c>
      <c r="AE792">
        <v>2</v>
      </c>
      <c r="AG792">
        <v>2</v>
      </c>
      <c r="AI792">
        <v>3</v>
      </c>
    </row>
    <row r="794" spans="2:36" x14ac:dyDescent="0.15">
      <c r="C794">
        <v>34</v>
      </c>
      <c r="E794">
        <v>151</v>
      </c>
      <c r="G794">
        <v>128</v>
      </c>
      <c r="H794">
        <v>11</v>
      </c>
      <c r="I794">
        <v>133</v>
      </c>
      <c r="J794">
        <v>3</v>
      </c>
      <c r="K794">
        <v>35</v>
      </c>
      <c r="L794">
        <v>23</v>
      </c>
      <c r="O794">
        <v>2</v>
      </c>
      <c r="Q794">
        <v>14</v>
      </c>
      <c r="S794">
        <v>9</v>
      </c>
      <c r="T794">
        <v>2</v>
      </c>
      <c r="U794">
        <v>8</v>
      </c>
      <c r="W794">
        <v>3</v>
      </c>
      <c r="X794">
        <v>4</v>
      </c>
      <c r="AC794">
        <v>1</v>
      </c>
      <c r="AE794">
        <v>3</v>
      </c>
      <c r="AI794">
        <v>3</v>
      </c>
    </row>
    <row r="796" spans="2:36" x14ac:dyDescent="0.15">
      <c r="E796">
        <v>52</v>
      </c>
      <c r="G796">
        <v>54</v>
      </c>
      <c r="H796">
        <v>3</v>
      </c>
      <c r="I796">
        <v>7</v>
      </c>
      <c r="J796">
        <v>6</v>
      </c>
      <c r="K796">
        <v>17</v>
      </c>
      <c r="L796">
        <v>10</v>
      </c>
      <c r="S796">
        <v>1</v>
      </c>
      <c r="T796">
        <v>1</v>
      </c>
      <c r="X796">
        <v>4</v>
      </c>
      <c r="AC796">
        <v>1</v>
      </c>
      <c r="AE796">
        <v>2</v>
      </c>
      <c r="AF796">
        <v>3</v>
      </c>
      <c r="AJ796">
        <v>4</v>
      </c>
    </row>
    <row r="798" spans="2:36" x14ac:dyDescent="0.15">
      <c r="G798">
        <v>21</v>
      </c>
      <c r="H798">
        <v>11</v>
      </c>
      <c r="I798">
        <v>23</v>
      </c>
      <c r="J798">
        <v>1</v>
      </c>
      <c r="K798">
        <v>11</v>
      </c>
      <c r="L798">
        <v>9</v>
      </c>
      <c r="S798">
        <v>3</v>
      </c>
      <c r="T798">
        <v>2</v>
      </c>
      <c r="U798">
        <v>3</v>
      </c>
      <c r="W798">
        <v>1</v>
      </c>
      <c r="X798">
        <v>2</v>
      </c>
      <c r="AE798">
        <v>2</v>
      </c>
      <c r="AF798">
        <v>2</v>
      </c>
      <c r="AJ798">
        <v>1</v>
      </c>
    </row>
    <row r="799" spans="2:36" x14ac:dyDescent="0.15">
      <c r="B799">
        <v>18</v>
      </c>
      <c r="D799">
        <v>5</v>
      </c>
      <c r="F799">
        <v>2</v>
      </c>
      <c r="H799">
        <v>3</v>
      </c>
      <c r="I799">
        <v>3</v>
      </c>
      <c r="K799">
        <v>4</v>
      </c>
      <c r="L799">
        <v>4</v>
      </c>
      <c r="N799">
        <v>1</v>
      </c>
      <c r="P799">
        <v>1</v>
      </c>
      <c r="X799">
        <v>1</v>
      </c>
    </row>
    <row r="800" spans="2:36" x14ac:dyDescent="0.15">
      <c r="B800">
        <v>18</v>
      </c>
      <c r="D800">
        <v>7</v>
      </c>
      <c r="F800">
        <v>9</v>
      </c>
      <c r="G800">
        <v>4</v>
      </c>
      <c r="I800">
        <v>2</v>
      </c>
      <c r="J800">
        <v>2</v>
      </c>
      <c r="K800">
        <v>1</v>
      </c>
      <c r="L800">
        <v>16</v>
      </c>
      <c r="P800">
        <v>2</v>
      </c>
      <c r="R800">
        <v>2</v>
      </c>
      <c r="S800">
        <v>1</v>
      </c>
      <c r="V800">
        <v>1</v>
      </c>
      <c r="AD800">
        <v>1</v>
      </c>
      <c r="AE800">
        <v>1</v>
      </c>
      <c r="AJ800">
        <v>9</v>
      </c>
    </row>
    <row r="801" spans="2:36" x14ac:dyDescent="0.15">
      <c r="B801">
        <v>167</v>
      </c>
      <c r="D801">
        <v>51</v>
      </c>
      <c r="F801">
        <v>32</v>
      </c>
      <c r="G801">
        <v>4</v>
      </c>
      <c r="H801">
        <v>4</v>
      </c>
      <c r="J801">
        <v>10</v>
      </c>
      <c r="K801">
        <v>11</v>
      </c>
      <c r="L801">
        <v>6</v>
      </c>
      <c r="N801">
        <v>7</v>
      </c>
      <c r="P801">
        <v>9</v>
      </c>
      <c r="R801">
        <v>2</v>
      </c>
      <c r="W801">
        <v>1</v>
      </c>
      <c r="AH801">
        <v>1</v>
      </c>
      <c r="AJ801">
        <v>2</v>
      </c>
    </row>
    <row r="802" spans="2:36" x14ac:dyDescent="0.15">
      <c r="B802">
        <v>8</v>
      </c>
      <c r="D802">
        <v>5</v>
      </c>
      <c r="F802">
        <v>1</v>
      </c>
      <c r="G802">
        <v>3</v>
      </c>
      <c r="I802">
        <v>11</v>
      </c>
      <c r="L802">
        <v>2</v>
      </c>
      <c r="N802">
        <v>1</v>
      </c>
      <c r="S802">
        <v>1</v>
      </c>
      <c r="U802">
        <v>3</v>
      </c>
    </row>
    <row r="803" spans="2:36" x14ac:dyDescent="0.15">
      <c r="B803">
        <v>41</v>
      </c>
      <c r="D803">
        <v>31</v>
      </c>
      <c r="F803">
        <v>12</v>
      </c>
      <c r="G803">
        <v>11</v>
      </c>
      <c r="I803">
        <v>6</v>
      </c>
      <c r="L803">
        <v>7</v>
      </c>
      <c r="N803">
        <v>5</v>
      </c>
      <c r="P803">
        <v>4</v>
      </c>
      <c r="U803">
        <v>1</v>
      </c>
      <c r="AB803">
        <v>1</v>
      </c>
      <c r="AD803">
        <v>1</v>
      </c>
      <c r="AJ803">
        <v>3</v>
      </c>
    </row>
    <row r="804" spans="2:36" x14ac:dyDescent="0.15">
      <c r="B804">
        <v>183</v>
      </c>
      <c r="D804">
        <v>74</v>
      </c>
      <c r="F804">
        <v>37</v>
      </c>
      <c r="G804">
        <v>22</v>
      </c>
      <c r="H804">
        <v>11</v>
      </c>
      <c r="I804">
        <v>67</v>
      </c>
      <c r="J804">
        <v>6</v>
      </c>
      <c r="K804">
        <v>26</v>
      </c>
      <c r="N804">
        <v>23</v>
      </c>
      <c r="P804">
        <v>2</v>
      </c>
      <c r="R804">
        <v>1</v>
      </c>
      <c r="S804">
        <v>2</v>
      </c>
      <c r="U804">
        <v>5</v>
      </c>
      <c r="V804">
        <v>1</v>
      </c>
      <c r="W804">
        <v>4</v>
      </c>
      <c r="AB804">
        <v>1</v>
      </c>
      <c r="AD804">
        <v>3</v>
      </c>
      <c r="AF804">
        <v>1</v>
      </c>
      <c r="AG804">
        <v>1</v>
      </c>
      <c r="AI804">
        <v>2</v>
      </c>
    </row>
    <row r="806" spans="2:36" x14ac:dyDescent="0.15">
      <c r="C806">
        <v>41</v>
      </c>
      <c r="E806">
        <v>130</v>
      </c>
      <c r="G806">
        <v>105</v>
      </c>
      <c r="H806">
        <v>13</v>
      </c>
      <c r="I806">
        <v>139</v>
      </c>
      <c r="J806">
        <v>6</v>
      </c>
      <c r="K806">
        <v>39</v>
      </c>
      <c r="L806">
        <v>30</v>
      </c>
      <c r="O806">
        <v>2</v>
      </c>
      <c r="Q806">
        <v>8</v>
      </c>
      <c r="S806">
        <v>11</v>
      </c>
      <c r="U806">
        <v>4</v>
      </c>
      <c r="W806">
        <v>3</v>
      </c>
      <c r="X806">
        <v>7</v>
      </c>
      <c r="AE806">
        <v>3</v>
      </c>
      <c r="AH806">
        <v>1</v>
      </c>
      <c r="AJ806">
        <v>2</v>
      </c>
    </row>
    <row r="808" spans="2:36" x14ac:dyDescent="0.15">
      <c r="E808">
        <v>55</v>
      </c>
      <c r="G808">
        <v>44</v>
      </c>
      <c r="H808">
        <v>1</v>
      </c>
      <c r="I808">
        <v>7</v>
      </c>
      <c r="J808">
        <v>8</v>
      </c>
      <c r="K808">
        <v>16</v>
      </c>
      <c r="L808">
        <v>21</v>
      </c>
      <c r="Q808">
        <v>2</v>
      </c>
      <c r="S808">
        <v>1</v>
      </c>
      <c r="U808">
        <v>3</v>
      </c>
      <c r="X808">
        <v>3</v>
      </c>
      <c r="AF808">
        <v>1</v>
      </c>
      <c r="AJ808">
        <v>5</v>
      </c>
    </row>
    <row r="810" spans="2:36" x14ac:dyDescent="0.15">
      <c r="G810">
        <v>16</v>
      </c>
      <c r="H810">
        <v>14</v>
      </c>
      <c r="I810">
        <v>26</v>
      </c>
      <c r="J810">
        <v>4</v>
      </c>
      <c r="K810">
        <v>14</v>
      </c>
      <c r="L810">
        <v>7</v>
      </c>
      <c r="S810">
        <v>2</v>
      </c>
      <c r="U810">
        <v>4</v>
      </c>
      <c r="AI810">
        <v>1</v>
      </c>
      <c r="AJ810">
        <v>4</v>
      </c>
    </row>
    <row r="811" spans="2:36" x14ac:dyDescent="0.15">
      <c r="B811">
        <v>20</v>
      </c>
      <c r="D811">
        <v>6</v>
      </c>
      <c r="F811">
        <v>4</v>
      </c>
      <c r="I811">
        <v>2</v>
      </c>
      <c r="J811">
        <v>1</v>
      </c>
      <c r="K811">
        <v>1</v>
      </c>
      <c r="L811">
        <v>3</v>
      </c>
      <c r="AI811">
        <v>1</v>
      </c>
    </row>
    <row r="812" spans="2:36" x14ac:dyDescent="0.15">
      <c r="B812">
        <v>14</v>
      </c>
      <c r="D812">
        <v>14</v>
      </c>
      <c r="F812">
        <v>11</v>
      </c>
      <c r="G812">
        <v>3</v>
      </c>
      <c r="I812">
        <v>2</v>
      </c>
      <c r="L812">
        <v>11</v>
      </c>
      <c r="R812">
        <v>2</v>
      </c>
      <c r="S812">
        <v>1</v>
      </c>
      <c r="X812">
        <v>1</v>
      </c>
      <c r="AB812">
        <v>1</v>
      </c>
      <c r="AD812">
        <v>1</v>
      </c>
      <c r="AG812">
        <v>1</v>
      </c>
      <c r="AH812">
        <v>1</v>
      </c>
      <c r="AJ812">
        <v>5</v>
      </c>
    </row>
    <row r="813" spans="2:36" x14ac:dyDescent="0.15">
      <c r="B813">
        <v>152</v>
      </c>
      <c r="D813">
        <v>36</v>
      </c>
      <c r="F813">
        <v>21</v>
      </c>
      <c r="G813">
        <v>7</v>
      </c>
      <c r="H813">
        <v>2</v>
      </c>
      <c r="J813">
        <v>6</v>
      </c>
      <c r="K813">
        <v>7</v>
      </c>
      <c r="L813">
        <v>6</v>
      </c>
      <c r="N813">
        <v>11</v>
      </c>
      <c r="P813">
        <v>13</v>
      </c>
      <c r="R813">
        <v>1</v>
      </c>
      <c r="AB813">
        <v>1</v>
      </c>
    </row>
    <row r="814" spans="2:36" x14ac:dyDescent="0.15">
      <c r="B814">
        <v>4</v>
      </c>
      <c r="D814">
        <v>5</v>
      </c>
      <c r="F814">
        <v>5</v>
      </c>
      <c r="G814">
        <v>1</v>
      </c>
      <c r="I814">
        <v>10</v>
      </c>
      <c r="L814">
        <v>1</v>
      </c>
      <c r="P814">
        <v>1</v>
      </c>
      <c r="U814">
        <v>1</v>
      </c>
      <c r="AE814">
        <v>1</v>
      </c>
    </row>
    <row r="815" spans="2:36" x14ac:dyDescent="0.15">
      <c r="B815">
        <v>49</v>
      </c>
      <c r="D815">
        <v>39</v>
      </c>
      <c r="F815">
        <v>21</v>
      </c>
      <c r="G815">
        <v>13</v>
      </c>
      <c r="I815">
        <v>11</v>
      </c>
      <c r="L815">
        <v>5</v>
      </c>
      <c r="N815">
        <v>4</v>
      </c>
      <c r="P815">
        <v>2</v>
      </c>
      <c r="U815">
        <v>1</v>
      </c>
      <c r="AJ815">
        <v>2</v>
      </c>
    </row>
    <row r="816" spans="2:36" x14ac:dyDescent="0.15">
      <c r="B816">
        <v>204</v>
      </c>
      <c r="D816">
        <v>97</v>
      </c>
      <c r="F816">
        <v>39</v>
      </c>
      <c r="G816">
        <v>21</v>
      </c>
      <c r="H816">
        <v>8</v>
      </c>
      <c r="I816">
        <v>70</v>
      </c>
      <c r="J816">
        <v>6</v>
      </c>
      <c r="K816">
        <v>31</v>
      </c>
      <c r="N816">
        <v>26</v>
      </c>
      <c r="P816">
        <v>7</v>
      </c>
      <c r="R816">
        <v>5</v>
      </c>
      <c r="S816">
        <v>1</v>
      </c>
      <c r="U816">
        <v>2</v>
      </c>
      <c r="W816">
        <v>2</v>
      </c>
      <c r="AB816">
        <v>2</v>
      </c>
      <c r="AD816">
        <v>1</v>
      </c>
      <c r="AE816">
        <v>1</v>
      </c>
      <c r="AF816">
        <v>2</v>
      </c>
    </row>
    <row r="818" spans="2:36" x14ac:dyDescent="0.15">
      <c r="C818">
        <v>47</v>
      </c>
      <c r="E818">
        <v>259</v>
      </c>
      <c r="G818">
        <v>181</v>
      </c>
      <c r="H818">
        <v>21</v>
      </c>
      <c r="I818">
        <v>235</v>
      </c>
      <c r="J818">
        <v>9</v>
      </c>
      <c r="K818">
        <v>64</v>
      </c>
      <c r="L818">
        <v>44</v>
      </c>
      <c r="O818">
        <v>2</v>
      </c>
      <c r="Q818">
        <v>11</v>
      </c>
      <c r="S818">
        <v>10</v>
      </c>
      <c r="T818">
        <v>1</v>
      </c>
      <c r="U818">
        <v>8</v>
      </c>
      <c r="V818">
        <v>3</v>
      </c>
      <c r="W818">
        <v>6</v>
      </c>
      <c r="X818">
        <v>9</v>
      </c>
      <c r="AC818">
        <v>2</v>
      </c>
      <c r="AE818">
        <v>1</v>
      </c>
      <c r="AI818">
        <v>2</v>
      </c>
      <c r="AJ818">
        <v>1</v>
      </c>
    </row>
    <row r="820" spans="2:36" x14ac:dyDescent="0.15">
      <c r="E820">
        <v>49</v>
      </c>
      <c r="G820">
        <v>52</v>
      </c>
      <c r="H820">
        <v>5</v>
      </c>
      <c r="I820">
        <v>8</v>
      </c>
      <c r="J820">
        <v>6</v>
      </c>
      <c r="K820">
        <v>21</v>
      </c>
      <c r="L820">
        <v>15</v>
      </c>
      <c r="S820">
        <v>2</v>
      </c>
      <c r="X820">
        <v>3</v>
      </c>
      <c r="AE820">
        <v>3</v>
      </c>
      <c r="AF820">
        <v>1</v>
      </c>
      <c r="AJ820">
        <v>4</v>
      </c>
    </row>
    <row r="822" spans="2:36" x14ac:dyDescent="0.15">
      <c r="G822">
        <v>22</v>
      </c>
      <c r="H822">
        <v>18</v>
      </c>
      <c r="I822">
        <v>32</v>
      </c>
      <c r="J822">
        <v>4</v>
      </c>
      <c r="K822">
        <v>10</v>
      </c>
      <c r="L822">
        <v>10</v>
      </c>
      <c r="T822">
        <v>1</v>
      </c>
      <c r="X822">
        <v>2</v>
      </c>
      <c r="AF822">
        <v>1</v>
      </c>
      <c r="AJ822">
        <v>2</v>
      </c>
    </row>
    <row r="823" spans="2:36" x14ac:dyDescent="0.15">
      <c r="B823">
        <v>21</v>
      </c>
      <c r="D823">
        <v>14</v>
      </c>
      <c r="F823">
        <v>3</v>
      </c>
      <c r="H823">
        <v>1</v>
      </c>
      <c r="J823">
        <v>3</v>
      </c>
      <c r="K823">
        <v>2</v>
      </c>
      <c r="L823">
        <v>9</v>
      </c>
      <c r="N823">
        <v>1</v>
      </c>
      <c r="R823">
        <v>1</v>
      </c>
      <c r="AF823">
        <v>1</v>
      </c>
      <c r="AH823">
        <v>1</v>
      </c>
      <c r="AI823">
        <v>1</v>
      </c>
    </row>
    <row r="824" spans="2:36" x14ac:dyDescent="0.15">
      <c r="B824">
        <v>19</v>
      </c>
      <c r="D824">
        <v>4</v>
      </c>
      <c r="F824">
        <v>12</v>
      </c>
      <c r="G824">
        <v>7</v>
      </c>
      <c r="I824">
        <v>2</v>
      </c>
      <c r="L824">
        <v>12</v>
      </c>
      <c r="N824">
        <v>1</v>
      </c>
      <c r="R824">
        <v>1</v>
      </c>
      <c r="AJ824">
        <v>6</v>
      </c>
    </row>
    <row r="825" spans="2:36" x14ac:dyDescent="0.15">
      <c r="B825">
        <v>157</v>
      </c>
      <c r="D825">
        <v>49</v>
      </c>
      <c r="F825">
        <v>21</v>
      </c>
      <c r="G825">
        <v>11</v>
      </c>
      <c r="J825">
        <v>10</v>
      </c>
      <c r="K825">
        <v>8</v>
      </c>
      <c r="L825">
        <v>4</v>
      </c>
      <c r="N825">
        <v>9</v>
      </c>
      <c r="P825">
        <v>5</v>
      </c>
      <c r="R825">
        <v>2</v>
      </c>
      <c r="V825">
        <v>2</v>
      </c>
      <c r="W825">
        <v>1</v>
      </c>
      <c r="AJ825">
        <v>1</v>
      </c>
    </row>
    <row r="826" spans="2:36" x14ac:dyDescent="0.15">
      <c r="B826">
        <v>5</v>
      </c>
      <c r="D826">
        <v>11</v>
      </c>
      <c r="F826">
        <v>3</v>
      </c>
      <c r="I826">
        <v>13</v>
      </c>
      <c r="L826">
        <v>3</v>
      </c>
      <c r="U826">
        <v>2</v>
      </c>
      <c r="AG826">
        <v>2</v>
      </c>
    </row>
    <row r="827" spans="2:36" x14ac:dyDescent="0.15">
      <c r="B827">
        <v>38</v>
      </c>
      <c r="D827">
        <v>32</v>
      </c>
      <c r="F827">
        <v>14</v>
      </c>
      <c r="G827">
        <v>11</v>
      </c>
      <c r="H827">
        <v>1</v>
      </c>
      <c r="I827">
        <v>12</v>
      </c>
      <c r="L827">
        <v>4</v>
      </c>
      <c r="N827">
        <v>2</v>
      </c>
      <c r="P827">
        <v>2</v>
      </c>
      <c r="U827">
        <v>2</v>
      </c>
      <c r="AD827">
        <v>1</v>
      </c>
      <c r="AJ827">
        <v>1</v>
      </c>
    </row>
    <row r="828" spans="2:36" x14ac:dyDescent="0.15">
      <c r="B828">
        <v>237</v>
      </c>
      <c r="D828">
        <v>125</v>
      </c>
      <c r="F828">
        <v>41</v>
      </c>
      <c r="G828">
        <v>34</v>
      </c>
      <c r="H828">
        <v>7</v>
      </c>
      <c r="I828">
        <v>76</v>
      </c>
      <c r="J828">
        <v>5</v>
      </c>
      <c r="K828">
        <v>23</v>
      </c>
      <c r="N828">
        <v>23</v>
      </c>
      <c r="P828">
        <v>6</v>
      </c>
      <c r="R828">
        <v>5</v>
      </c>
      <c r="S828">
        <v>2</v>
      </c>
      <c r="W828">
        <v>1</v>
      </c>
      <c r="AB828">
        <v>2</v>
      </c>
      <c r="AD828">
        <v>2</v>
      </c>
      <c r="AE828">
        <v>3</v>
      </c>
      <c r="AF828">
        <v>3</v>
      </c>
      <c r="AI828">
        <v>3</v>
      </c>
    </row>
    <row r="830" spans="2:36" x14ac:dyDescent="0.15">
      <c r="C830">
        <v>40</v>
      </c>
      <c r="E830">
        <v>182</v>
      </c>
      <c r="G830">
        <v>145</v>
      </c>
      <c r="H830">
        <v>18</v>
      </c>
      <c r="I830">
        <v>159</v>
      </c>
      <c r="J830">
        <v>6</v>
      </c>
      <c r="K830">
        <v>56</v>
      </c>
      <c r="L830">
        <v>25</v>
      </c>
      <c r="O830">
        <v>5</v>
      </c>
      <c r="Q830">
        <v>9</v>
      </c>
      <c r="S830">
        <v>12</v>
      </c>
      <c r="T830">
        <v>2</v>
      </c>
      <c r="U830">
        <v>5</v>
      </c>
      <c r="W830">
        <v>3</v>
      </c>
      <c r="X830">
        <v>3</v>
      </c>
      <c r="AF830">
        <v>1</v>
      </c>
      <c r="AJ830">
        <v>5</v>
      </c>
    </row>
    <row r="832" spans="2:36" x14ac:dyDescent="0.15">
      <c r="E832">
        <v>53</v>
      </c>
      <c r="G832">
        <v>53</v>
      </c>
      <c r="H832">
        <v>3</v>
      </c>
      <c r="I832">
        <v>11</v>
      </c>
      <c r="J832">
        <v>1</v>
      </c>
      <c r="K832">
        <v>19</v>
      </c>
      <c r="L832">
        <v>15</v>
      </c>
      <c r="Q832">
        <v>3</v>
      </c>
      <c r="S832">
        <v>2</v>
      </c>
      <c r="T832">
        <v>1</v>
      </c>
      <c r="U832">
        <v>1</v>
      </c>
      <c r="X832">
        <v>2</v>
      </c>
      <c r="AE832">
        <v>1</v>
      </c>
      <c r="AJ832">
        <v>5</v>
      </c>
    </row>
    <row r="834" spans="2:36" x14ac:dyDescent="0.15">
      <c r="G834">
        <v>27</v>
      </c>
      <c r="H834">
        <v>10</v>
      </c>
      <c r="I834">
        <v>25</v>
      </c>
      <c r="J834">
        <v>6</v>
      </c>
      <c r="K834">
        <v>18</v>
      </c>
      <c r="L834">
        <v>11</v>
      </c>
      <c r="T834">
        <v>2</v>
      </c>
      <c r="U834">
        <v>4</v>
      </c>
      <c r="AE834">
        <v>1</v>
      </c>
      <c r="AF834">
        <v>1</v>
      </c>
      <c r="AI834">
        <v>1</v>
      </c>
      <c r="AJ834">
        <v>1</v>
      </c>
    </row>
    <row r="835" spans="2:36" x14ac:dyDescent="0.15">
      <c r="B835">
        <v>19</v>
      </c>
      <c r="D835">
        <v>14</v>
      </c>
      <c r="F835">
        <v>3</v>
      </c>
      <c r="H835">
        <v>4</v>
      </c>
      <c r="I835">
        <v>1</v>
      </c>
      <c r="J835">
        <v>2</v>
      </c>
      <c r="K835">
        <v>4</v>
      </c>
      <c r="L835">
        <v>4</v>
      </c>
      <c r="N835">
        <v>1</v>
      </c>
      <c r="AI835">
        <v>1</v>
      </c>
    </row>
    <row r="836" spans="2:36" x14ac:dyDescent="0.15">
      <c r="B836">
        <v>22</v>
      </c>
      <c r="D836">
        <v>9</v>
      </c>
      <c r="F836">
        <v>15</v>
      </c>
      <c r="G836">
        <v>3</v>
      </c>
      <c r="I836">
        <v>2</v>
      </c>
      <c r="L836">
        <v>11</v>
      </c>
      <c r="N836">
        <v>1</v>
      </c>
      <c r="R836">
        <v>1</v>
      </c>
      <c r="AD836">
        <v>1</v>
      </c>
      <c r="AH836">
        <v>1</v>
      </c>
      <c r="AJ836">
        <v>5</v>
      </c>
    </row>
    <row r="837" spans="2:36" x14ac:dyDescent="0.15">
      <c r="B837">
        <v>178</v>
      </c>
      <c r="D837">
        <v>37</v>
      </c>
      <c r="F837">
        <v>25</v>
      </c>
      <c r="G837">
        <v>12</v>
      </c>
      <c r="H837">
        <v>6</v>
      </c>
      <c r="J837">
        <v>6</v>
      </c>
      <c r="K837">
        <v>6</v>
      </c>
      <c r="L837">
        <v>4</v>
      </c>
      <c r="N837">
        <v>10</v>
      </c>
      <c r="P837">
        <v>6</v>
      </c>
      <c r="R837">
        <v>5</v>
      </c>
      <c r="T837">
        <v>1</v>
      </c>
      <c r="V837">
        <v>1</v>
      </c>
      <c r="W837">
        <v>2</v>
      </c>
      <c r="X837">
        <v>1</v>
      </c>
    </row>
    <row r="838" spans="2:36" x14ac:dyDescent="0.15">
      <c r="B838">
        <v>6</v>
      </c>
      <c r="D838">
        <v>9</v>
      </c>
      <c r="F838">
        <v>6</v>
      </c>
      <c r="G838">
        <v>1</v>
      </c>
      <c r="I838">
        <v>12</v>
      </c>
      <c r="S838">
        <v>1</v>
      </c>
      <c r="U838">
        <v>3</v>
      </c>
    </row>
    <row r="839" spans="2:36" x14ac:dyDescent="0.15">
      <c r="B839">
        <v>38</v>
      </c>
      <c r="D839">
        <v>20</v>
      </c>
      <c r="F839">
        <v>13</v>
      </c>
      <c r="G839">
        <v>8</v>
      </c>
      <c r="H839">
        <v>2</v>
      </c>
      <c r="I839">
        <v>13</v>
      </c>
      <c r="L839">
        <v>2</v>
      </c>
      <c r="N839">
        <v>1</v>
      </c>
      <c r="P839">
        <v>2</v>
      </c>
      <c r="AD839">
        <v>1</v>
      </c>
      <c r="AG839">
        <v>1</v>
      </c>
    </row>
    <row r="840" spans="2:36" x14ac:dyDescent="0.15">
      <c r="B840">
        <v>220</v>
      </c>
      <c r="D840">
        <v>81</v>
      </c>
      <c r="F840">
        <v>34</v>
      </c>
      <c r="G840">
        <v>31</v>
      </c>
      <c r="H840">
        <v>3</v>
      </c>
      <c r="I840">
        <v>70</v>
      </c>
      <c r="J840">
        <v>2</v>
      </c>
      <c r="K840">
        <v>31</v>
      </c>
      <c r="N840">
        <v>13</v>
      </c>
      <c r="P840">
        <v>5</v>
      </c>
      <c r="T840">
        <v>1</v>
      </c>
      <c r="U840">
        <v>7</v>
      </c>
      <c r="V840">
        <v>1</v>
      </c>
      <c r="W840">
        <v>1</v>
      </c>
      <c r="AE840">
        <v>1</v>
      </c>
      <c r="AI840">
        <v>1</v>
      </c>
    </row>
    <row r="842" spans="2:36" x14ac:dyDescent="0.15">
      <c r="C842">
        <v>41</v>
      </c>
      <c r="E842">
        <v>140</v>
      </c>
      <c r="G842">
        <v>124</v>
      </c>
      <c r="H842">
        <v>13</v>
      </c>
      <c r="I842">
        <v>112</v>
      </c>
      <c r="J842">
        <v>5</v>
      </c>
      <c r="K842">
        <v>34</v>
      </c>
      <c r="L842">
        <v>17</v>
      </c>
      <c r="O842">
        <v>1</v>
      </c>
      <c r="Q842">
        <v>10</v>
      </c>
      <c r="S842">
        <v>4</v>
      </c>
      <c r="U842">
        <v>5</v>
      </c>
      <c r="X842">
        <v>6</v>
      </c>
      <c r="AI842">
        <v>2</v>
      </c>
      <c r="AJ842">
        <v>2</v>
      </c>
    </row>
    <row r="844" spans="2:36" x14ac:dyDescent="0.15">
      <c r="E844">
        <v>59</v>
      </c>
      <c r="G844">
        <v>48</v>
      </c>
      <c r="I844">
        <v>15</v>
      </c>
      <c r="J844">
        <v>12</v>
      </c>
      <c r="K844">
        <v>20</v>
      </c>
      <c r="L844">
        <v>12</v>
      </c>
      <c r="Q844">
        <v>2</v>
      </c>
      <c r="U844">
        <v>1</v>
      </c>
      <c r="W844">
        <v>1</v>
      </c>
      <c r="X844">
        <v>3</v>
      </c>
      <c r="AE844">
        <v>1</v>
      </c>
      <c r="AF844">
        <v>2</v>
      </c>
      <c r="AJ844">
        <v>1</v>
      </c>
    </row>
    <row r="846" spans="2:36" x14ac:dyDescent="0.15">
      <c r="G846">
        <v>26</v>
      </c>
      <c r="H846">
        <v>13</v>
      </c>
      <c r="I846">
        <v>27</v>
      </c>
      <c r="J846">
        <v>12</v>
      </c>
      <c r="K846">
        <v>10</v>
      </c>
      <c r="L846">
        <v>14</v>
      </c>
      <c r="S846">
        <v>1</v>
      </c>
      <c r="T846">
        <v>2</v>
      </c>
      <c r="U846">
        <v>5</v>
      </c>
      <c r="AF846">
        <v>1</v>
      </c>
      <c r="AH846">
        <v>1</v>
      </c>
    </row>
    <row r="847" spans="2:36" x14ac:dyDescent="0.15">
      <c r="B847">
        <v>30</v>
      </c>
      <c r="D847">
        <v>16</v>
      </c>
      <c r="F847">
        <v>9</v>
      </c>
      <c r="H847">
        <v>2</v>
      </c>
      <c r="I847">
        <v>5</v>
      </c>
      <c r="J847">
        <v>1</v>
      </c>
      <c r="K847">
        <v>3</v>
      </c>
      <c r="L847">
        <v>5</v>
      </c>
      <c r="N847">
        <v>1</v>
      </c>
      <c r="R847">
        <v>1</v>
      </c>
      <c r="U847">
        <v>1</v>
      </c>
      <c r="W847">
        <v>1</v>
      </c>
    </row>
    <row r="848" spans="2:36" x14ac:dyDescent="0.15">
      <c r="B848">
        <v>19</v>
      </c>
      <c r="D848">
        <v>8</v>
      </c>
      <c r="F848">
        <v>12</v>
      </c>
      <c r="G848">
        <v>4</v>
      </c>
      <c r="I848">
        <v>3</v>
      </c>
      <c r="K848">
        <v>1</v>
      </c>
      <c r="L848">
        <v>13</v>
      </c>
      <c r="N848">
        <v>1</v>
      </c>
      <c r="P848">
        <v>1</v>
      </c>
      <c r="R848">
        <v>2</v>
      </c>
      <c r="AE848">
        <v>1</v>
      </c>
      <c r="AJ848">
        <v>6</v>
      </c>
    </row>
    <row r="849" spans="2:36" x14ac:dyDescent="0.15">
      <c r="B849">
        <v>175</v>
      </c>
      <c r="D849">
        <v>55</v>
      </c>
      <c r="F849">
        <v>37</v>
      </c>
      <c r="G849">
        <v>15</v>
      </c>
      <c r="H849">
        <v>1</v>
      </c>
      <c r="J849">
        <v>9</v>
      </c>
      <c r="K849">
        <v>10</v>
      </c>
      <c r="L849">
        <v>3</v>
      </c>
      <c r="N849">
        <v>9</v>
      </c>
      <c r="P849">
        <v>4</v>
      </c>
      <c r="R849">
        <v>2</v>
      </c>
      <c r="S849">
        <v>3</v>
      </c>
      <c r="V849">
        <v>1</v>
      </c>
      <c r="AD849">
        <v>1</v>
      </c>
      <c r="AJ849">
        <v>1</v>
      </c>
    </row>
    <row r="850" spans="2:36" x14ac:dyDescent="0.15">
      <c r="B850">
        <v>9</v>
      </c>
      <c r="D850">
        <v>7</v>
      </c>
      <c r="F850">
        <v>1</v>
      </c>
      <c r="G850">
        <v>1</v>
      </c>
      <c r="H850">
        <v>1</v>
      </c>
      <c r="I850">
        <v>11</v>
      </c>
      <c r="L850">
        <v>2</v>
      </c>
      <c r="U850">
        <v>1</v>
      </c>
    </row>
    <row r="851" spans="2:36" x14ac:dyDescent="0.15">
      <c r="B851">
        <v>37</v>
      </c>
      <c r="D851">
        <v>22</v>
      </c>
      <c r="F851">
        <v>13</v>
      </c>
      <c r="G851">
        <v>6</v>
      </c>
      <c r="I851">
        <v>11</v>
      </c>
      <c r="L851">
        <v>2</v>
      </c>
      <c r="N851">
        <v>1</v>
      </c>
      <c r="P851">
        <v>2</v>
      </c>
      <c r="U851">
        <v>1</v>
      </c>
      <c r="AJ851">
        <v>2</v>
      </c>
    </row>
    <row r="852" spans="2:36" x14ac:dyDescent="0.15">
      <c r="B852">
        <v>220</v>
      </c>
      <c r="D852">
        <v>78</v>
      </c>
      <c r="F852">
        <v>44</v>
      </c>
      <c r="G852">
        <v>22</v>
      </c>
      <c r="H852">
        <v>3</v>
      </c>
      <c r="I852">
        <v>53</v>
      </c>
      <c r="J852">
        <v>2</v>
      </c>
      <c r="K852">
        <v>26</v>
      </c>
      <c r="N852">
        <v>28</v>
      </c>
      <c r="P852">
        <v>1</v>
      </c>
      <c r="R852">
        <v>1</v>
      </c>
      <c r="S852">
        <v>3</v>
      </c>
      <c r="T852">
        <v>1</v>
      </c>
      <c r="U852">
        <v>9</v>
      </c>
      <c r="W852">
        <v>1</v>
      </c>
      <c r="AE852">
        <v>2</v>
      </c>
      <c r="AI852">
        <v>2</v>
      </c>
    </row>
    <row r="854" spans="2:36" x14ac:dyDescent="0.15">
      <c r="C854">
        <v>54</v>
      </c>
      <c r="E854">
        <v>176</v>
      </c>
      <c r="G854">
        <v>133</v>
      </c>
      <c r="H854">
        <v>12</v>
      </c>
      <c r="I854">
        <v>120</v>
      </c>
      <c r="J854">
        <v>9</v>
      </c>
      <c r="K854">
        <v>47</v>
      </c>
      <c r="L854">
        <v>25</v>
      </c>
      <c r="O854">
        <v>5</v>
      </c>
      <c r="Q854">
        <v>10</v>
      </c>
      <c r="S854">
        <v>11</v>
      </c>
      <c r="U854">
        <v>9</v>
      </c>
      <c r="W854">
        <v>1</v>
      </c>
      <c r="X854">
        <v>4</v>
      </c>
      <c r="AI854">
        <v>1</v>
      </c>
      <c r="AJ854">
        <v>3</v>
      </c>
    </row>
    <row r="856" spans="2:36" x14ac:dyDescent="0.15">
      <c r="E856">
        <v>45</v>
      </c>
      <c r="G856">
        <v>60</v>
      </c>
      <c r="H856">
        <v>1</v>
      </c>
      <c r="I856">
        <v>6</v>
      </c>
      <c r="J856">
        <v>2</v>
      </c>
      <c r="K856">
        <v>20</v>
      </c>
      <c r="L856">
        <v>10</v>
      </c>
      <c r="Q856">
        <v>2</v>
      </c>
      <c r="S856">
        <v>2</v>
      </c>
      <c r="W856">
        <v>1</v>
      </c>
      <c r="X856">
        <v>5</v>
      </c>
      <c r="AE856">
        <v>1</v>
      </c>
      <c r="AF856">
        <v>1</v>
      </c>
      <c r="AI856">
        <v>1</v>
      </c>
      <c r="AJ856">
        <v>3</v>
      </c>
    </row>
    <row r="858" spans="2:36" x14ac:dyDescent="0.15">
      <c r="G858">
        <v>18</v>
      </c>
      <c r="H858">
        <v>24</v>
      </c>
      <c r="I858">
        <v>29</v>
      </c>
      <c r="J858">
        <v>5</v>
      </c>
      <c r="K858">
        <v>17</v>
      </c>
      <c r="L858">
        <v>15</v>
      </c>
      <c r="T858">
        <v>3</v>
      </c>
      <c r="U858">
        <v>1</v>
      </c>
      <c r="W858">
        <v>1</v>
      </c>
      <c r="X858">
        <v>2</v>
      </c>
      <c r="AF858">
        <v>1</v>
      </c>
      <c r="AH858">
        <v>2</v>
      </c>
    </row>
    <row r="859" spans="2:36" x14ac:dyDescent="0.15">
      <c r="B859">
        <v>20</v>
      </c>
      <c r="D859">
        <v>7</v>
      </c>
      <c r="F859">
        <v>6</v>
      </c>
      <c r="H859">
        <v>2</v>
      </c>
      <c r="I859">
        <v>3</v>
      </c>
      <c r="K859">
        <v>2</v>
      </c>
      <c r="L859">
        <v>4</v>
      </c>
      <c r="R859">
        <v>1</v>
      </c>
    </row>
    <row r="860" spans="2:36" x14ac:dyDescent="0.15">
      <c r="B860">
        <v>20</v>
      </c>
      <c r="D860">
        <v>4</v>
      </c>
      <c r="F860">
        <v>9</v>
      </c>
      <c r="G860">
        <v>2</v>
      </c>
      <c r="I860">
        <v>3</v>
      </c>
      <c r="K860">
        <v>2</v>
      </c>
      <c r="L860">
        <v>11</v>
      </c>
      <c r="N860">
        <v>1</v>
      </c>
      <c r="R860">
        <v>1</v>
      </c>
      <c r="AD860">
        <v>2</v>
      </c>
      <c r="AJ860">
        <v>5</v>
      </c>
    </row>
    <row r="861" spans="2:36" x14ac:dyDescent="0.15">
      <c r="B861">
        <v>193</v>
      </c>
      <c r="D861">
        <v>43</v>
      </c>
      <c r="F861">
        <v>34</v>
      </c>
      <c r="G861">
        <v>12</v>
      </c>
      <c r="H861">
        <v>1</v>
      </c>
      <c r="J861">
        <v>12</v>
      </c>
      <c r="K861">
        <v>5</v>
      </c>
      <c r="L861">
        <v>5</v>
      </c>
      <c r="N861">
        <v>3</v>
      </c>
      <c r="P861">
        <v>5</v>
      </c>
      <c r="R861">
        <v>3</v>
      </c>
      <c r="V861">
        <v>1</v>
      </c>
      <c r="W861">
        <v>1</v>
      </c>
    </row>
    <row r="862" spans="2:36" x14ac:dyDescent="0.15">
      <c r="B862">
        <v>5</v>
      </c>
      <c r="D862">
        <v>6</v>
      </c>
      <c r="F862">
        <v>1</v>
      </c>
      <c r="G862">
        <v>2</v>
      </c>
      <c r="I862">
        <v>10</v>
      </c>
      <c r="L862">
        <v>3</v>
      </c>
      <c r="U862">
        <v>2</v>
      </c>
    </row>
    <row r="863" spans="2:36" x14ac:dyDescent="0.15">
      <c r="B863">
        <v>38</v>
      </c>
      <c r="D863">
        <v>27</v>
      </c>
      <c r="F863">
        <v>20</v>
      </c>
      <c r="G863">
        <v>11</v>
      </c>
      <c r="H863">
        <v>1</v>
      </c>
      <c r="I863">
        <v>13</v>
      </c>
      <c r="L863">
        <v>3</v>
      </c>
      <c r="N863">
        <v>1</v>
      </c>
      <c r="P863">
        <v>4</v>
      </c>
      <c r="U863">
        <v>1</v>
      </c>
      <c r="AJ863">
        <v>2</v>
      </c>
    </row>
    <row r="864" spans="2:36" x14ac:dyDescent="0.15">
      <c r="B864">
        <v>165</v>
      </c>
      <c r="D864">
        <v>59</v>
      </c>
      <c r="F864">
        <v>52</v>
      </c>
      <c r="G864">
        <v>26</v>
      </c>
      <c r="H864">
        <v>4</v>
      </c>
      <c r="I864">
        <v>86</v>
      </c>
      <c r="J864">
        <v>2</v>
      </c>
      <c r="K864">
        <v>22</v>
      </c>
      <c r="N864">
        <v>12</v>
      </c>
      <c r="P864">
        <v>5</v>
      </c>
      <c r="S864">
        <v>2</v>
      </c>
      <c r="U864">
        <v>1</v>
      </c>
      <c r="W864">
        <v>1</v>
      </c>
      <c r="Z864">
        <v>1</v>
      </c>
      <c r="AD864">
        <v>3</v>
      </c>
      <c r="AE864">
        <v>2</v>
      </c>
      <c r="AH864">
        <v>1</v>
      </c>
      <c r="AI864">
        <v>4</v>
      </c>
    </row>
    <row r="866" spans="2:36" x14ac:dyDescent="0.15">
      <c r="C866">
        <v>56</v>
      </c>
      <c r="E866">
        <v>195</v>
      </c>
      <c r="G866">
        <v>124</v>
      </c>
      <c r="H866">
        <v>21</v>
      </c>
      <c r="I866">
        <v>165</v>
      </c>
      <c r="J866">
        <v>8</v>
      </c>
      <c r="K866">
        <v>38</v>
      </c>
      <c r="L866">
        <v>31</v>
      </c>
      <c r="O866">
        <v>1</v>
      </c>
      <c r="Q866">
        <v>12</v>
      </c>
      <c r="S866">
        <v>13</v>
      </c>
      <c r="T866">
        <v>2</v>
      </c>
      <c r="U866">
        <v>10</v>
      </c>
      <c r="W866">
        <v>2</v>
      </c>
      <c r="X866">
        <v>2</v>
      </c>
      <c r="AC866">
        <v>1</v>
      </c>
      <c r="AF866">
        <v>1</v>
      </c>
      <c r="AI866">
        <v>1</v>
      </c>
      <c r="AJ866">
        <v>3</v>
      </c>
    </row>
    <row r="868" spans="2:36" x14ac:dyDescent="0.15">
      <c r="E868">
        <v>48</v>
      </c>
      <c r="G868">
        <v>47</v>
      </c>
      <c r="H868">
        <v>3</v>
      </c>
      <c r="I868">
        <v>11</v>
      </c>
      <c r="J868">
        <v>6</v>
      </c>
      <c r="K868">
        <v>24</v>
      </c>
      <c r="L868">
        <v>9</v>
      </c>
      <c r="Q868">
        <v>1</v>
      </c>
      <c r="S868">
        <v>1</v>
      </c>
      <c r="U868">
        <v>2</v>
      </c>
      <c r="W868">
        <v>1</v>
      </c>
      <c r="X868">
        <v>1</v>
      </c>
      <c r="AE868">
        <v>1</v>
      </c>
      <c r="AI868">
        <v>1</v>
      </c>
      <c r="AJ868">
        <v>3</v>
      </c>
    </row>
    <row r="870" spans="2:36" x14ac:dyDescent="0.15">
      <c r="G870">
        <v>29</v>
      </c>
      <c r="H870">
        <v>17</v>
      </c>
      <c r="I870">
        <v>26</v>
      </c>
      <c r="J870">
        <v>4</v>
      </c>
      <c r="K870">
        <v>8</v>
      </c>
      <c r="L870">
        <v>8</v>
      </c>
      <c r="T870">
        <v>1</v>
      </c>
      <c r="U870">
        <v>1</v>
      </c>
      <c r="W870">
        <v>1</v>
      </c>
      <c r="AF870">
        <v>3</v>
      </c>
      <c r="AH870">
        <v>1</v>
      </c>
      <c r="AJ870">
        <v>1</v>
      </c>
    </row>
    <row r="871" spans="2:36" x14ac:dyDescent="0.15">
      <c r="B871">
        <v>37</v>
      </c>
      <c r="D871">
        <v>16</v>
      </c>
      <c r="F871">
        <v>4</v>
      </c>
      <c r="H871">
        <v>2</v>
      </c>
      <c r="I871">
        <v>2</v>
      </c>
      <c r="J871">
        <v>3</v>
      </c>
      <c r="K871">
        <v>7</v>
      </c>
      <c r="L871">
        <v>4</v>
      </c>
      <c r="X871">
        <v>1</v>
      </c>
    </row>
    <row r="872" spans="2:36" x14ac:dyDescent="0.15">
      <c r="B872">
        <v>12</v>
      </c>
      <c r="D872">
        <v>6</v>
      </c>
      <c r="F872">
        <v>9</v>
      </c>
      <c r="G872">
        <v>4</v>
      </c>
      <c r="I872">
        <v>1</v>
      </c>
      <c r="J872">
        <v>1</v>
      </c>
      <c r="L872">
        <v>7</v>
      </c>
      <c r="N872">
        <v>1</v>
      </c>
      <c r="U872">
        <v>1</v>
      </c>
      <c r="X872">
        <v>1</v>
      </c>
      <c r="AJ872">
        <v>1</v>
      </c>
    </row>
    <row r="873" spans="2:36" x14ac:dyDescent="0.15">
      <c r="B873">
        <v>175</v>
      </c>
      <c r="D873">
        <v>57</v>
      </c>
      <c r="F873">
        <v>21</v>
      </c>
      <c r="G873">
        <v>14</v>
      </c>
      <c r="H873">
        <v>1</v>
      </c>
      <c r="J873">
        <v>16</v>
      </c>
      <c r="K873">
        <v>6</v>
      </c>
      <c r="L873">
        <v>2</v>
      </c>
      <c r="N873">
        <v>8</v>
      </c>
      <c r="P873">
        <v>6</v>
      </c>
      <c r="R873">
        <v>2</v>
      </c>
      <c r="S873">
        <v>1</v>
      </c>
      <c r="AJ873">
        <v>1</v>
      </c>
    </row>
    <row r="874" spans="2:36" x14ac:dyDescent="0.15">
      <c r="B874">
        <v>11</v>
      </c>
      <c r="D874">
        <v>3</v>
      </c>
      <c r="F874">
        <v>3</v>
      </c>
      <c r="G874">
        <v>3</v>
      </c>
      <c r="I874">
        <v>10</v>
      </c>
      <c r="L874">
        <v>6</v>
      </c>
      <c r="P874">
        <v>1</v>
      </c>
      <c r="S874">
        <v>1</v>
      </c>
      <c r="U874">
        <v>1</v>
      </c>
    </row>
    <row r="875" spans="2:36" x14ac:dyDescent="0.15">
      <c r="B875">
        <v>34</v>
      </c>
      <c r="D875">
        <v>17</v>
      </c>
      <c r="F875">
        <v>12</v>
      </c>
      <c r="G875">
        <v>11</v>
      </c>
      <c r="I875">
        <v>7</v>
      </c>
      <c r="L875">
        <v>5</v>
      </c>
      <c r="N875">
        <v>1</v>
      </c>
      <c r="P875">
        <v>4</v>
      </c>
      <c r="R875">
        <v>1</v>
      </c>
      <c r="AJ875">
        <v>3</v>
      </c>
    </row>
    <row r="876" spans="2:36" x14ac:dyDescent="0.15">
      <c r="B876">
        <v>157</v>
      </c>
      <c r="D876">
        <v>65</v>
      </c>
      <c r="F876">
        <v>30</v>
      </c>
      <c r="G876">
        <v>29</v>
      </c>
      <c r="H876">
        <v>6</v>
      </c>
      <c r="I876">
        <v>65</v>
      </c>
      <c r="J876">
        <v>7</v>
      </c>
      <c r="K876">
        <v>21</v>
      </c>
      <c r="N876">
        <v>14</v>
      </c>
      <c r="P876">
        <v>2</v>
      </c>
      <c r="R876">
        <v>2</v>
      </c>
      <c r="S876">
        <v>5</v>
      </c>
      <c r="U876">
        <v>2</v>
      </c>
      <c r="V876">
        <v>1</v>
      </c>
      <c r="W876">
        <v>1</v>
      </c>
      <c r="Z876">
        <v>1</v>
      </c>
      <c r="AB876">
        <v>2</v>
      </c>
      <c r="AE876">
        <v>9</v>
      </c>
    </row>
    <row r="878" spans="2:36" x14ac:dyDescent="0.15">
      <c r="C878">
        <v>72</v>
      </c>
      <c r="E878">
        <v>228</v>
      </c>
      <c r="G878">
        <v>155</v>
      </c>
      <c r="H878">
        <v>17</v>
      </c>
      <c r="I878">
        <v>152</v>
      </c>
      <c r="J878">
        <v>13</v>
      </c>
      <c r="K878">
        <v>44</v>
      </c>
      <c r="L878">
        <v>37</v>
      </c>
      <c r="O878">
        <v>6</v>
      </c>
      <c r="Q878">
        <v>20</v>
      </c>
      <c r="S878">
        <v>12</v>
      </c>
      <c r="T878">
        <v>1</v>
      </c>
      <c r="U878">
        <v>11</v>
      </c>
      <c r="V878">
        <v>1</v>
      </c>
      <c r="W878">
        <v>1</v>
      </c>
      <c r="X878">
        <v>3</v>
      </c>
      <c r="AE878">
        <v>3</v>
      </c>
      <c r="AF878">
        <v>1</v>
      </c>
      <c r="AG878">
        <v>2</v>
      </c>
      <c r="AI878">
        <v>1</v>
      </c>
      <c r="AJ878">
        <v>1</v>
      </c>
    </row>
    <row r="880" spans="2:36" x14ac:dyDescent="0.15">
      <c r="E880">
        <v>63</v>
      </c>
      <c r="G880">
        <v>43</v>
      </c>
      <c r="I880">
        <v>6</v>
      </c>
      <c r="J880">
        <v>5</v>
      </c>
      <c r="K880">
        <v>24</v>
      </c>
      <c r="L880">
        <v>14</v>
      </c>
      <c r="S880">
        <v>1</v>
      </c>
      <c r="U880">
        <v>1</v>
      </c>
      <c r="X880">
        <v>3</v>
      </c>
      <c r="AE880">
        <v>2</v>
      </c>
      <c r="AF880">
        <v>2</v>
      </c>
      <c r="AJ880">
        <v>2</v>
      </c>
    </row>
    <row r="882" spans="2:36" x14ac:dyDescent="0.15">
      <c r="G882">
        <v>24</v>
      </c>
      <c r="H882">
        <v>20</v>
      </c>
      <c r="I882">
        <v>29</v>
      </c>
      <c r="J882">
        <v>7</v>
      </c>
      <c r="K882">
        <v>11</v>
      </c>
      <c r="L882">
        <v>12</v>
      </c>
      <c r="S882">
        <v>1</v>
      </c>
      <c r="T882">
        <v>4</v>
      </c>
      <c r="U882">
        <v>5</v>
      </c>
      <c r="V882">
        <v>1</v>
      </c>
      <c r="AF882">
        <v>2</v>
      </c>
      <c r="AJ882">
        <v>1</v>
      </c>
    </row>
    <row r="883" spans="2:36" x14ac:dyDescent="0.15">
      <c r="B883">
        <v>27</v>
      </c>
      <c r="D883">
        <v>17</v>
      </c>
      <c r="F883">
        <v>6</v>
      </c>
      <c r="H883">
        <v>1</v>
      </c>
      <c r="I883">
        <v>2</v>
      </c>
      <c r="J883">
        <v>3</v>
      </c>
      <c r="K883">
        <v>4</v>
      </c>
      <c r="L883">
        <v>2</v>
      </c>
      <c r="N883">
        <v>1</v>
      </c>
      <c r="AF883">
        <v>1</v>
      </c>
    </row>
    <row r="884" spans="2:36" x14ac:dyDescent="0.15">
      <c r="B884">
        <v>11</v>
      </c>
      <c r="D884">
        <v>9</v>
      </c>
      <c r="F884">
        <v>9</v>
      </c>
      <c r="G884">
        <v>5</v>
      </c>
      <c r="I884">
        <v>4</v>
      </c>
      <c r="K884">
        <v>1</v>
      </c>
      <c r="L884">
        <v>12</v>
      </c>
      <c r="N884">
        <v>1</v>
      </c>
      <c r="R884">
        <v>1</v>
      </c>
      <c r="AJ884">
        <v>3</v>
      </c>
    </row>
    <row r="885" spans="2:36" x14ac:dyDescent="0.15">
      <c r="B885">
        <v>160</v>
      </c>
      <c r="D885">
        <v>28</v>
      </c>
      <c r="F885">
        <v>14</v>
      </c>
      <c r="G885">
        <v>21</v>
      </c>
      <c r="J885">
        <v>9</v>
      </c>
      <c r="K885">
        <v>4</v>
      </c>
      <c r="L885">
        <v>1</v>
      </c>
      <c r="N885">
        <v>4</v>
      </c>
      <c r="P885">
        <v>5</v>
      </c>
      <c r="R885">
        <v>3</v>
      </c>
      <c r="S885">
        <v>2</v>
      </c>
      <c r="V885">
        <v>2</v>
      </c>
    </row>
    <row r="886" spans="2:36" x14ac:dyDescent="0.15">
      <c r="B886">
        <v>4</v>
      </c>
      <c r="D886">
        <v>5</v>
      </c>
      <c r="F886">
        <v>2</v>
      </c>
      <c r="G886">
        <v>4</v>
      </c>
      <c r="I886">
        <v>15</v>
      </c>
      <c r="L886">
        <v>4</v>
      </c>
    </row>
    <row r="887" spans="2:36" x14ac:dyDescent="0.15">
      <c r="B887">
        <v>15</v>
      </c>
      <c r="D887">
        <v>13</v>
      </c>
      <c r="F887">
        <v>9</v>
      </c>
      <c r="G887">
        <v>5</v>
      </c>
      <c r="I887">
        <v>7</v>
      </c>
      <c r="L887">
        <v>11</v>
      </c>
      <c r="P887">
        <v>1</v>
      </c>
      <c r="U887">
        <v>1</v>
      </c>
      <c r="AD887">
        <v>1</v>
      </c>
      <c r="AE887">
        <v>1</v>
      </c>
      <c r="AJ887">
        <v>3</v>
      </c>
    </row>
    <row r="888" spans="2:36" x14ac:dyDescent="0.15">
      <c r="B888">
        <v>153</v>
      </c>
      <c r="D888">
        <v>100</v>
      </c>
      <c r="F888">
        <v>32</v>
      </c>
      <c r="G888">
        <v>22</v>
      </c>
      <c r="H888">
        <v>8</v>
      </c>
      <c r="I888">
        <v>65</v>
      </c>
      <c r="J888">
        <v>3</v>
      </c>
      <c r="K888">
        <v>23</v>
      </c>
      <c r="N888">
        <v>14</v>
      </c>
      <c r="P888">
        <v>3</v>
      </c>
      <c r="R888">
        <v>1</v>
      </c>
      <c r="S888">
        <v>1</v>
      </c>
      <c r="U888">
        <v>4</v>
      </c>
      <c r="V888">
        <v>1</v>
      </c>
      <c r="W888">
        <v>1</v>
      </c>
      <c r="Z888">
        <v>1</v>
      </c>
      <c r="AE888">
        <v>3</v>
      </c>
      <c r="AF888">
        <v>1</v>
      </c>
      <c r="AI888">
        <v>2</v>
      </c>
    </row>
    <row r="890" spans="2:36" x14ac:dyDescent="0.15">
      <c r="C890">
        <v>81</v>
      </c>
      <c r="E890">
        <v>287</v>
      </c>
      <c r="G890">
        <v>197</v>
      </c>
      <c r="H890">
        <v>24</v>
      </c>
      <c r="I890">
        <v>189</v>
      </c>
      <c r="J890">
        <v>18</v>
      </c>
      <c r="K890">
        <v>47</v>
      </c>
      <c r="L890">
        <v>35</v>
      </c>
      <c r="O890">
        <v>1</v>
      </c>
      <c r="Q890">
        <v>23</v>
      </c>
      <c r="S890">
        <v>11</v>
      </c>
      <c r="T890">
        <v>1</v>
      </c>
      <c r="U890">
        <v>10</v>
      </c>
      <c r="V890">
        <v>3</v>
      </c>
      <c r="W890">
        <v>4</v>
      </c>
      <c r="X890">
        <v>5</v>
      </c>
      <c r="AC890">
        <v>1</v>
      </c>
      <c r="AE890">
        <v>5</v>
      </c>
      <c r="AF890">
        <v>1</v>
      </c>
      <c r="AI890">
        <v>1</v>
      </c>
      <c r="AJ890">
        <v>3</v>
      </c>
    </row>
    <row r="892" spans="2:36" x14ac:dyDescent="0.15">
      <c r="E892">
        <v>44</v>
      </c>
      <c r="G892">
        <v>39</v>
      </c>
      <c r="H892">
        <v>3</v>
      </c>
      <c r="I892">
        <v>7</v>
      </c>
      <c r="J892">
        <v>1</v>
      </c>
      <c r="K892">
        <v>10</v>
      </c>
      <c r="L892">
        <v>16</v>
      </c>
      <c r="S892">
        <v>2</v>
      </c>
      <c r="U892">
        <v>1</v>
      </c>
      <c r="AC892">
        <v>1</v>
      </c>
      <c r="AF892">
        <v>2</v>
      </c>
    </row>
    <row r="894" spans="2:36" x14ac:dyDescent="0.15">
      <c r="G894">
        <v>17</v>
      </c>
      <c r="H894">
        <v>13</v>
      </c>
      <c r="I894">
        <v>18</v>
      </c>
      <c r="J894">
        <v>7</v>
      </c>
      <c r="K894">
        <v>9</v>
      </c>
      <c r="L894">
        <v>10</v>
      </c>
      <c r="T894">
        <v>2</v>
      </c>
      <c r="U894">
        <v>1</v>
      </c>
      <c r="AE894">
        <v>1</v>
      </c>
    </row>
    <row r="895" spans="2:36" x14ac:dyDescent="0.15">
      <c r="B895">
        <v>16</v>
      </c>
      <c r="D895">
        <v>10</v>
      </c>
      <c r="F895">
        <v>7</v>
      </c>
      <c r="H895">
        <v>2</v>
      </c>
      <c r="I895">
        <v>4</v>
      </c>
      <c r="J895">
        <v>3</v>
      </c>
      <c r="K895">
        <v>2</v>
      </c>
      <c r="L895">
        <v>3</v>
      </c>
      <c r="N895">
        <v>2</v>
      </c>
      <c r="P895">
        <v>1</v>
      </c>
      <c r="V895">
        <v>1</v>
      </c>
      <c r="AJ895">
        <v>2</v>
      </c>
    </row>
    <row r="896" spans="2:36" x14ac:dyDescent="0.15">
      <c r="B896">
        <v>6</v>
      </c>
      <c r="D896">
        <v>4</v>
      </c>
      <c r="F896">
        <v>14</v>
      </c>
      <c r="G896">
        <v>6</v>
      </c>
      <c r="I896">
        <v>1</v>
      </c>
      <c r="L896">
        <v>18</v>
      </c>
      <c r="N896">
        <v>1</v>
      </c>
      <c r="R896">
        <v>1</v>
      </c>
      <c r="S896">
        <v>1</v>
      </c>
      <c r="AD896">
        <v>2</v>
      </c>
      <c r="AJ896">
        <v>11</v>
      </c>
    </row>
    <row r="897" spans="2:36" x14ac:dyDescent="0.15">
      <c r="B897">
        <v>145</v>
      </c>
      <c r="D897">
        <v>41</v>
      </c>
      <c r="F897">
        <v>23</v>
      </c>
      <c r="G897">
        <v>8</v>
      </c>
      <c r="H897">
        <v>4</v>
      </c>
      <c r="J897">
        <v>11</v>
      </c>
      <c r="K897">
        <v>2</v>
      </c>
      <c r="L897">
        <v>8</v>
      </c>
      <c r="N897">
        <v>5</v>
      </c>
      <c r="P897">
        <v>4</v>
      </c>
      <c r="R897">
        <v>1</v>
      </c>
      <c r="V897">
        <v>3</v>
      </c>
      <c r="W897">
        <v>2</v>
      </c>
    </row>
    <row r="898" spans="2:36" x14ac:dyDescent="0.15">
      <c r="B898">
        <v>2</v>
      </c>
      <c r="D898">
        <v>8</v>
      </c>
      <c r="F898">
        <v>1</v>
      </c>
      <c r="G898">
        <v>2</v>
      </c>
      <c r="I898">
        <v>10</v>
      </c>
      <c r="L898">
        <v>2</v>
      </c>
      <c r="N898">
        <v>1</v>
      </c>
    </row>
    <row r="899" spans="2:36" x14ac:dyDescent="0.15">
      <c r="B899">
        <v>27</v>
      </c>
      <c r="D899">
        <v>22</v>
      </c>
      <c r="F899">
        <v>12</v>
      </c>
      <c r="G899">
        <v>4</v>
      </c>
      <c r="H899">
        <v>1</v>
      </c>
      <c r="I899">
        <v>14</v>
      </c>
      <c r="L899">
        <v>4</v>
      </c>
      <c r="N899">
        <v>2</v>
      </c>
      <c r="P899">
        <v>2</v>
      </c>
      <c r="U899">
        <v>2</v>
      </c>
      <c r="AE899">
        <v>2</v>
      </c>
      <c r="AJ899">
        <v>2</v>
      </c>
    </row>
    <row r="900" spans="2:36" x14ac:dyDescent="0.15">
      <c r="B900">
        <v>207</v>
      </c>
      <c r="D900">
        <v>99</v>
      </c>
      <c r="F900">
        <v>32</v>
      </c>
      <c r="G900">
        <v>19</v>
      </c>
      <c r="H900">
        <v>17</v>
      </c>
      <c r="I900">
        <v>66</v>
      </c>
      <c r="J900">
        <v>6</v>
      </c>
      <c r="K900">
        <v>26</v>
      </c>
      <c r="N900">
        <v>17</v>
      </c>
      <c r="P900">
        <v>4</v>
      </c>
      <c r="R900">
        <v>1</v>
      </c>
      <c r="T900">
        <v>1</v>
      </c>
      <c r="U900">
        <v>4</v>
      </c>
      <c r="W900">
        <v>1</v>
      </c>
      <c r="AB900">
        <v>1</v>
      </c>
      <c r="AD900">
        <v>1</v>
      </c>
      <c r="AE900">
        <v>1</v>
      </c>
      <c r="AF900">
        <v>2</v>
      </c>
      <c r="AH900">
        <v>1</v>
      </c>
    </row>
    <row r="902" spans="2:36" x14ac:dyDescent="0.15">
      <c r="C902">
        <v>47</v>
      </c>
      <c r="E902">
        <v>233</v>
      </c>
      <c r="G902">
        <v>135</v>
      </c>
      <c r="H902">
        <v>18</v>
      </c>
      <c r="I902">
        <v>178</v>
      </c>
      <c r="J902">
        <v>12</v>
      </c>
      <c r="K902">
        <v>42</v>
      </c>
      <c r="L902">
        <v>40</v>
      </c>
      <c r="O902">
        <v>3</v>
      </c>
      <c r="Q902">
        <v>13</v>
      </c>
      <c r="S902">
        <v>17</v>
      </c>
      <c r="U902">
        <v>6</v>
      </c>
      <c r="W902">
        <v>1</v>
      </c>
      <c r="X902">
        <v>6</v>
      </c>
      <c r="AA902">
        <v>3</v>
      </c>
      <c r="AE902">
        <v>5</v>
      </c>
      <c r="AF902">
        <v>1</v>
      </c>
      <c r="AI902">
        <v>1</v>
      </c>
      <c r="AJ902">
        <v>1</v>
      </c>
    </row>
    <row r="904" spans="2:36" x14ac:dyDescent="0.15">
      <c r="E904">
        <v>44</v>
      </c>
      <c r="G904">
        <v>52</v>
      </c>
      <c r="H904">
        <v>3</v>
      </c>
      <c r="I904">
        <v>5</v>
      </c>
      <c r="J904">
        <v>6</v>
      </c>
      <c r="K904">
        <v>13</v>
      </c>
      <c r="L904">
        <v>12</v>
      </c>
      <c r="Q904">
        <v>1</v>
      </c>
      <c r="S904">
        <v>1</v>
      </c>
      <c r="U904">
        <v>1</v>
      </c>
      <c r="W904">
        <v>1</v>
      </c>
      <c r="AI904">
        <v>1</v>
      </c>
      <c r="AJ904">
        <v>5</v>
      </c>
    </row>
    <row r="906" spans="2:36" x14ac:dyDescent="0.15">
      <c r="G906">
        <v>20</v>
      </c>
      <c r="H906">
        <v>13</v>
      </c>
      <c r="I906">
        <v>25</v>
      </c>
      <c r="J906">
        <v>4</v>
      </c>
      <c r="K906">
        <v>8</v>
      </c>
      <c r="L906">
        <v>5</v>
      </c>
      <c r="S906">
        <v>2</v>
      </c>
      <c r="U906">
        <v>4</v>
      </c>
      <c r="V906">
        <v>1</v>
      </c>
      <c r="W906">
        <v>1</v>
      </c>
      <c r="X906">
        <v>1</v>
      </c>
      <c r="AF906">
        <v>1</v>
      </c>
    </row>
    <row r="907" spans="2:36" x14ac:dyDescent="0.15">
      <c r="B907">
        <v>13</v>
      </c>
      <c r="D907">
        <v>15</v>
      </c>
      <c r="F907">
        <v>6</v>
      </c>
      <c r="H907">
        <v>3</v>
      </c>
      <c r="I907">
        <v>3</v>
      </c>
      <c r="J907">
        <v>2</v>
      </c>
      <c r="K907">
        <v>3</v>
      </c>
      <c r="L907">
        <v>1</v>
      </c>
      <c r="N907">
        <v>1</v>
      </c>
      <c r="P907">
        <v>1</v>
      </c>
      <c r="AD907">
        <v>1</v>
      </c>
    </row>
    <row r="908" spans="2:36" x14ac:dyDescent="0.15">
      <c r="B908">
        <v>12</v>
      </c>
      <c r="D908">
        <v>7</v>
      </c>
      <c r="F908">
        <v>12</v>
      </c>
      <c r="G908">
        <v>4</v>
      </c>
      <c r="L908">
        <v>17</v>
      </c>
      <c r="P908">
        <v>1</v>
      </c>
      <c r="R908">
        <v>1</v>
      </c>
      <c r="S908">
        <v>1</v>
      </c>
      <c r="AD908">
        <v>1</v>
      </c>
      <c r="AJ908">
        <v>2</v>
      </c>
    </row>
    <row r="909" spans="2:36" x14ac:dyDescent="0.15">
      <c r="B909">
        <v>143</v>
      </c>
      <c r="D909">
        <v>36</v>
      </c>
      <c r="F909">
        <v>21</v>
      </c>
      <c r="G909">
        <v>7</v>
      </c>
      <c r="H909">
        <v>2</v>
      </c>
      <c r="J909">
        <v>9</v>
      </c>
      <c r="K909">
        <v>3</v>
      </c>
      <c r="L909">
        <v>6</v>
      </c>
      <c r="N909">
        <v>4</v>
      </c>
      <c r="P909">
        <v>7</v>
      </c>
      <c r="R909">
        <v>4</v>
      </c>
      <c r="W909">
        <v>1</v>
      </c>
      <c r="X909">
        <v>1</v>
      </c>
      <c r="AH909">
        <v>1</v>
      </c>
    </row>
    <row r="910" spans="2:36" x14ac:dyDescent="0.15">
      <c r="B910">
        <v>8</v>
      </c>
      <c r="D910">
        <v>2</v>
      </c>
      <c r="F910">
        <v>2</v>
      </c>
      <c r="G910">
        <v>1</v>
      </c>
      <c r="H910">
        <v>1</v>
      </c>
      <c r="I910">
        <v>17</v>
      </c>
      <c r="L910">
        <v>6</v>
      </c>
      <c r="N910">
        <v>1</v>
      </c>
      <c r="U910">
        <v>2</v>
      </c>
      <c r="AE910">
        <v>1</v>
      </c>
    </row>
    <row r="911" spans="2:36" x14ac:dyDescent="0.15">
      <c r="B911">
        <v>33</v>
      </c>
      <c r="D911">
        <v>21</v>
      </c>
      <c r="F911">
        <v>14</v>
      </c>
      <c r="G911">
        <v>3</v>
      </c>
      <c r="I911">
        <v>12</v>
      </c>
      <c r="L911">
        <v>3</v>
      </c>
      <c r="P911">
        <v>3</v>
      </c>
    </row>
    <row r="912" spans="2:36" x14ac:dyDescent="0.15">
      <c r="B912">
        <v>124</v>
      </c>
      <c r="D912">
        <v>63</v>
      </c>
      <c r="F912">
        <v>30</v>
      </c>
      <c r="G912">
        <v>19</v>
      </c>
      <c r="H912">
        <v>11</v>
      </c>
      <c r="I912">
        <v>56</v>
      </c>
      <c r="J912">
        <v>7</v>
      </c>
      <c r="K912">
        <v>20</v>
      </c>
      <c r="N912">
        <v>12</v>
      </c>
      <c r="P912">
        <v>2</v>
      </c>
      <c r="S912">
        <v>1</v>
      </c>
      <c r="U912">
        <v>3</v>
      </c>
      <c r="AB912">
        <v>2</v>
      </c>
      <c r="AD912">
        <v>2</v>
      </c>
      <c r="AF912">
        <v>1</v>
      </c>
      <c r="AH912">
        <v>1</v>
      </c>
      <c r="AI912">
        <v>1</v>
      </c>
    </row>
    <row r="914" spans="2:36" x14ac:dyDescent="0.15">
      <c r="C914">
        <v>32</v>
      </c>
      <c r="E914">
        <v>145</v>
      </c>
      <c r="G914">
        <v>96</v>
      </c>
      <c r="H914">
        <v>15</v>
      </c>
      <c r="I914">
        <v>150</v>
      </c>
      <c r="J914">
        <v>7</v>
      </c>
      <c r="K914">
        <v>26</v>
      </c>
      <c r="L914">
        <v>26</v>
      </c>
      <c r="Q914">
        <v>11</v>
      </c>
      <c r="S914">
        <v>5</v>
      </c>
      <c r="T914">
        <v>1</v>
      </c>
      <c r="U914">
        <v>4</v>
      </c>
      <c r="V914">
        <v>1</v>
      </c>
      <c r="W914">
        <v>4</v>
      </c>
      <c r="X914">
        <v>2</v>
      </c>
      <c r="AA914">
        <v>2</v>
      </c>
      <c r="AE914">
        <v>1</v>
      </c>
      <c r="AI914">
        <v>1</v>
      </c>
      <c r="AJ914">
        <v>7</v>
      </c>
    </row>
    <row r="916" spans="2:36" x14ac:dyDescent="0.15">
      <c r="E916">
        <v>49</v>
      </c>
      <c r="G916">
        <v>43</v>
      </c>
      <c r="H916">
        <v>3</v>
      </c>
      <c r="I916">
        <v>3</v>
      </c>
      <c r="J916">
        <v>2</v>
      </c>
      <c r="K916">
        <v>14</v>
      </c>
      <c r="L916">
        <v>4</v>
      </c>
      <c r="S916">
        <v>3</v>
      </c>
      <c r="X916">
        <v>1</v>
      </c>
      <c r="AJ916">
        <v>4</v>
      </c>
    </row>
    <row r="918" spans="2:36" x14ac:dyDescent="0.15">
      <c r="G918">
        <v>28</v>
      </c>
      <c r="H918">
        <v>10</v>
      </c>
      <c r="I918">
        <v>21</v>
      </c>
      <c r="J918">
        <v>4</v>
      </c>
      <c r="K918">
        <v>9</v>
      </c>
      <c r="L918">
        <v>12</v>
      </c>
      <c r="S918">
        <v>1</v>
      </c>
      <c r="T918">
        <v>2</v>
      </c>
      <c r="U918">
        <v>3</v>
      </c>
      <c r="X918">
        <v>1</v>
      </c>
      <c r="AJ918">
        <v>1</v>
      </c>
    </row>
    <row r="919" spans="2:36" x14ac:dyDescent="0.15">
      <c r="B919">
        <v>17</v>
      </c>
      <c r="D919">
        <v>8</v>
      </c>
      <c r="F919">
        <v>4</v>
      </c>
      <c r="I919">
        <v>1</v>
      </c>
      <c r="L919">
        <v>3</v>
      </c>
      <c r="AI919">
        <v>2</v>
      </c>
      <c r="AJ919">
        <v>2</v>
      </c>
    </row>
    <row r="920" spans="2:36" x14ac:dyDescent="0.15">
      <c r="B920">
        <v>14</v>
      </c>
      <c r="D920">
        <v>5</v>
      </c>
      <c r="F920">
        <v>14</v>
      </c>
      <c r="G920">
        <v>9</v>
      </c>
      <c r="I920">
        <v>2</v>
      </c>
      <c r="L920">
        <v>8</v>
      </c>
      <c r="R920">
        <v>2</v>
      </c>
      <c r="AJ920">
        <v>4</v>
      </c>
    </row>
    <row r="921" spans="2:36" x14ac:dyDescent="0.15">
      <c r="B921">
        <v>144</v>
      </c>
      <c r="D921">
        <v>40</v>
      </c>
      <c r="F921">
        <v>17</v>
      </c>
      <c r="G921">
        <v>5</v>
      </c>
      <c r="H921">
        <v>1</v>
      </c>
      <c r="J921">
        <v>8</v>
      </c>
      <c r="K921">
        <v>6</v>
      </c>
      <c r="L921">
        <v>4</v>
      </c>
      <c r="N921">
        <v>9</v>
      </c>
      <c r="P921">
        <v>3</v>
      </c>
      <c r="R921">
        <v>2</v>
      </c>
      <c r="S921">
        <v>2</v>
      </c>
      <c r="V921">
        <v>1</v>
      </c>
    </row>
    <row r="922" spans="2:36" x14ac:dyDescent="0.15">
      <c r="B922">
        <v>8</v>
      </c>
      <c r="D922">
        <v>5</v>
      </c>
      <c r="F922">
        <v>5</v>
      </c>
      <c r="G922">
        <v>2</v>
      </c>
      <c r="I922">
        <v>9</v>
      </c>
      <c r="L922">
        <v>1</v>
      </c>
      <c r="U922">
        <v>3</v>
      </c>
      <c r="AJ922">
        <v>2</v>
      </c>
    </row>
    <row r="923" spans="2:36" x14ac:dyDescent="0.15">
      <c r="B923">
        <v>28</v>
      </c>
      <c r="D923">
        <v>20</v>
      </c>
      <c r="F923">
        <v>12</v>
      </c>
      <c r="G923">
        <v>6</v>
      </c>
      <c r="I923">
        <v>10</v>
      </c>
      <c r="L923">
        <v>3</v>
      </c>
      <c r="P923">
        <v>2</v>
      </c>
      <c r="S923">
        <v>1</v>
      </c>
      <c r="AD923">
        <v>3</v>
      </c>
    </row>
    <row r="924" spans="2:36" x14ac:dyDescent="0.15">
      <c r="B924">
        <v>107</v>
      </c>
      <c r="D924">
        <v>62</v>
      </c>
      <c r="F924">
        <v>25</v>
      </c>
      <c r="G924">
        <v>9</v>
      </c>
      <c r="H924">
        <v>5</v>
      </c>
      <c r="I924">
        <v>43</v>
      </c>
      <c r="J924">
        <v>2</v>
      </c>
      <c r="K924">
        <v>21</v>
      </c>
      <c r="N924">
        <v>9</v>
      </c>
      <c r="P924">
        <v>7</v>
      </c>
      <c r="R924">
        <v>2</v>
      </c>
      <c r="T924">
        <v>1</v>
      </c>
      <c r="U924">
        <v>5</v>
      </c>
      <c r="Z924">
        <v>1</v>
      </c>
      <c r="AD924">
        <v>1</v>
      </c>
      <c r="AE924">
        <v>2</v>
      </c>
      <c r="AF924">
        <v>3</v>
      </c>
      <c r="AG924">
        <v>1</v>
      </c>
      <c r="AH924">
        <v>1</v>
      </c>
    </row>
    <row r="926" spans="2:36" x14ac:dyDescent="0.15">
      <c r="C926">
        <v>42</v>
      </c>
      <c r="E926">
        <v>191</v>
      </c>
      <c r="G926">
        <v>117</v>
      </c>
      <c r="H926">
        <v>16</v>
      </c>
      <c r="I926">
        <v>129</v>
      </c>
      <c r="J926">
        <v>8</v>
      </c>
      <c r="K926">
        <v>41</v>
      </c>
      <c r="L926">
        <v>28</v>
      </c>
      <c r="O926">
        <v>3</v>
      </c>
      <c r="Q926">
        <v>6</v>
      </c>
      <c r="S926">
        <v>7</v>
      </c>
      <c r="T926">
        <v>2</v>
      </c>
      <c r="U926">
        <v>1</v>
      </c>
      <c r="V926">
        <v>2</v>
      </c>
      <c r="W926">
        <v>6</v>
      </c>
      <c r="X926">
        <v>1</v>
      </c>
      <c r="AC926">
        <v>1</v>
      </c>
      <c r="AE926">
        <v>1</v>
      </c>
      <c r="AI926">
        <v>1</v>
      </c>
    </row>
    <row r="928" spans="2:36" x14ac:dyDescent="0.15">
      <c r="E928">
        <v>61</v>
      </c>
      <c r="G928">
        <v>53</v>
      </c>
      <c r="H928">
        <v>2</v>
      </c>
      <c r="I928">
        <v>5</v>
      </c>
      <c r="J928">
        <v>4</v>
      </c>
      <c r="K928">
        <v>10</v>
      </c>
      <c r="L928">
        <v>7</v>
      </c>
      <c r="S928">
        <v>1</v>
      </c>
      <c r="AC928">
        <v>1</v>
      </c>
      <c r="AF928">
        <v>1</v>
      </c>
      <c r="AJ928">
        <v>2</v>
      </c>
    </row>
    <row r="930" spans="2:36" x14ac:dyDescent="0.15">
      <c r="G930">
        <v>9</v>
      </c>
      <c r="H930">
        <v>4</v>
      </c>
      <c r="I930">
        <v>18</v>
      </c>
      <c r="J930">
        <v>7</v>
      </c>
      <c r="K930">
        <v>5</v>
      </c>
      <c r="L930">
        <v>4</v>
      </c>
      <c r="U930">
        <v>4</v>
      </c>
      <c r="AH930">
        <v>1</v>
      </c>
    </row>
    <row r="931" spans="2:36" x14ac:dyDescent="0.15">
      <c r="B931">
        <v>22</v>
      </c>
      <c r="D931">
        <v>7</v>
      </c>
      <c r="F931">
        <v>4</v>
      </c>
      <c r="H931">
        <v>1</v>
      </c>
      <c r="I931">
        <v>4</v>
      </c>
      <c r="J931">
        <v>1</v>
      </c>
      <c r="K931">
        <v>5</v>
      </c>
      <c r="L931">
        <v>1</v>
      </c>
      <c r="N931">
        <v>4</v>
      </c>
      <c r="R931">
        <v>1</v>
      </c>
    </row>
    <row r="932" spans="2:36" x14ac:dyDescent="0.15">
      <c r="B932">
        <v>20</v>
      </c>
      <c r="D932">
        <v>10</v>
      </c>
      <c r="F932">
        <v>17</v>
      </c>
      <c r="G932">
        <v>2</v>
      </c>
      <c r="I932">
        <v>7</v>
      </c>
      <c r="K932">
        <v>1</v>
      </c>
      <c r="L932">
        <v>10</v>
      </c>
      <c r="R932">
        <v>1</v>
      </c>
      <c r="AJ932">
        <v>2</v>
      </c>
    </row>
    <row r="933" spans="2:36" x14ac:dyDescent="0.15">
      <c r="B933">
        <v>189</v>
      </c>
      <c r="D933">
        <v>28</v>
      </c>
      <c r="F933">
        <v>22</v>
      </c>
      <c r="G933">
        <v>10</v>
      </c>
      <c r="H933">
        <v>2</v>
      </c>
      <c r="J933">
        <v>8</v>
      </c>
      <c r="K933">
        <v>6</v>
      </c>
      <c r="L933">
        <v>2</v>
      </c>
      <c r="N933">
        <v>4</v>
      </c>
      <c r="P933">
        <v>3</v>
      </c>
      <c r="R933">
        <v>3</v>
      </c>
      <c r="W933">
        <v>1</v>
      </c>
      <c r="AF933">
        <v>2</v>
      </c>
    </row>
    <row r="934" spans="2:36" x14ac:dyDescent="0.15">
      <c r="B934">
        <v>10</v>
      </c>
      <c r="D934">
        <v>4</v>
      </c>
      <c r="F934">
        <v>4</v>
      </c>
      <c r="I934">
        <v>10</v>
      </c>
      <c r="U934">
        <v>1</v>
      </c>
      <c r="AJ934">
        <v>1</v>
      </c>
    </row>
    <row r="935" spans="2:36" x14ac:dyDescent="0.15">
      <c r="B935">
        <v>33</v>
      </c>
      <c r="D935">
        <v>18</v>
      </c>
      <c r="F935">
        <v>14</v>
      </c>
      <c r="G935">
        <v>8</v>
      </c>
      <c r="I935">
        <v>14</v>
      </c>
      <c r="L935">
        <v>2</v>
      </c>
      <c r="N935">
        <v>2</v>
      </c>
      <c r="P935">
        <v>4</v>
      </c>
      <c r="U935">
        <v>1</v>
      </c>
      <c r="AD935">
        <v>1</v>
      </c>
      <c r="AJ935">
        <v>1</v>
      </c>
    </row>
    <row r="936" spans="2:36" x14ac:dyDescent="0.15">
      <c r="B936">
        <v>154</v>
      </c>
      <c r="D936">
        <v>62</v>
      </c>
      <c r="F936">
        <v>33</v>
      </c>
      <c r="G936">
        <v>14</v>
      </c>
      <c r="H936">
        <v>8</v>
      </c>
      <c r="I936">
        <v>58</v>
      </c>
      <c r="K936">
        <v>20</v>
      </c>
      <c r="N936">
        <v>19</v>
      </c>
      <c r="P936">
        <v>2</v>
      </c>
      <c r="R936">
        <v>1</v>
      </c>
      <c r="S936">
        <v>1</v>
      </c>
      <c r="T936">
        <v>2</v>
      </c>
      <c r="U936">
        <v>2</v>
      </c>
      <c r="W936">
        <v>1</v>
      </c>
      <c r="Z936">
        <v>2</v>
      </c>
      <c r="AD936">
        <v>1</v>
      </c>
      <c r="AE936">
        <v>1</v>
      </c>
      <c r="AI936">
        <v>1</v>
      </c>
    </row>
    <row r="938" spans="2:36" x14ac:dyDescent="0.15">
      <c r="C938">
        <v>43</v>
      </c>
      <c r="E938">
        <v>187</v>
      </c>
      <c r="G938">
        <v>113</v>
      </c>
      <c r="H938">
        <v>12</v>
      </c>
      <c r="I938">
        <v>155</v>
      </c>
      <c r="J938">
        <v>13</v>
      </c>
      <c r="K938">
        <v>40</v>
      </c>
      <c r="L938">
        <v>27</v>
      </c>
      <c r="O938">
        <v>3</v>
      </c>
      <c r="Q938">
        <v>12</v>
      </c>
      <c r="S938">
        <v>6</v>
      </c>
      <c r="U938">
        <v>4</v>
      </c>
      <c r="W938">
        <v>4</v>
      </c>
      <c r="X938">
        <v>6</v>
      </c>
      <c r="AA938">
        <v>1</v>
      </c>
      <c r="AC938">
        <v>3</v>
      </c>
      <c r="AE938">
        <v>4</v>
      </c>
      <c r="AF938">
        <v>2</v>
      </c>
      <c r="AI938">
        <v>2</v>
      </c>
      <c r="AJ938">
        <v>3</v>
      </c>
    </row>
    <row r="940" spans="2:36" x14ac:dyDescent="0.15">
      <c r="E940">
        <v>48</v>
      </c>
      <c r="G940">
        <v>48</v>
      </c>
      <c r="H940">
        <v>4</v>
      </c>
      <c r="I940">
        <v>5</v>
      </c>
      <c r="J940">
        <v>5</v>
      </c>
      <c r="K940">
        <v>16</v>
      </c>
      <c r="L940">
        <v>12</v>
      </c>
      <c r="S940">
        <v>1</v>
      </c>
      <c r="U940">
        <v>1</v>
      </c>
      <c r="W940">
        <v>1</v>
      </c>
      <c r="AE940">
        <v>1</v>
      </c>
      <c r="AJ940">
        <v>3</v>
      </c>
    </row>
    <row r="942" spans="2:36" x14ac:dyDescent="0.15">
      <c r="G942">
        <v>21</v>
      </c>
      <c r="H942">
        <v>9</v>
      </c>
      <c r="I942">
        <v>17</v>
      </c>
      <c r="K942">
        <v>16</v>
      </c>
      <c r="L942">
        <v>11</v>
      </c>
      <c r="T942">
        <v>2</v>
      </c>
      <c r="U942">
        <v>1</v>
      </c>
      <c r="AI942">
        <v>1</v>
      </c>
      <c r="AJ942">
        <v>2</v>
      </c>
    </row>
    <row r="943" spans="2:36" x14ac:dyDescent="0.15">
      <c r="B943">
        <v>16</v>
      </c>
      <c r="D943">
        <v>8</v>
      </c>
      <c r="F943">
        <v>4</v>
      </c>
      <c r="H943">
        <v>2</v>
      </c>
      <c r="I943">
        <v>3</v>
      </c>
      <c r="K943">
        <v>1</v>
      </c>
      <c r="R943">
        <v>1</v>
      </c>
      <c r="AJ943">
        <v>3</v>
      </c>
    </row>
    <row r="944" spans="2:36" x14ac:dyDescent="0.15">
      <c r="B944">
        <v>14</v>
      </c>
      <c r="D944">
        <v>9</v>
      </c>
      <c r="F944">
        <v>9</v>
      </c>
      <c r="G944">
        <v>3</v>
      </c>
      <c r="I944">
        <v>5</v>
      </c>
      <c r="K944">
        <v>1</v>
      </c>
      <c r="L944">
        <v>9</v>
      </c>
      <c r="N944">
        <v>1</v>
      </c>
      <c r="P944">
        <v>1</v>
      </c>
      <c r="AJ944">
        <v>9</v>
      </c>
    </row>
    <row r="945" spans="2:36" x14ac:dyDescent="0.15">
      <c r="B945">
        <v>214</v>
      </c>
      <c r="D945">
        <v>28</v>
      </c>
      <c r="F945">
        <v>15</v>
      </c>
      <c r="G945">
        <v>9</v>
      </c>
      <c r="H945">
        <v>1</v>
      </c>
      <c r="J945">
        <v>8</v>
      </c>
      <c r="K945">
        <v>7</v>
      </c>
      <c r="L945">
        <v>3</v>
      </c>
      <c r="N945">
        <v>11</v>
      </c>
      <c r="P945">
        <v>4</v>
      </c>
      <c r="R945">
        <v>2</v>
      </c>
      <c r="S945">
        <v>1</v>
      </c>
      <c r="W945">
        <v>1</v>
      </c>
      <c r="Z945">
        <v>1</v>
      </c>
      <c r="AB945">
        <v>1</v>
      </c>
    </row>
    <row r="946" spans="2:36" x14ac:dyDescent="0.15">
      <c r="B946">
        <v>7</v>
      </c>
      <c r="D946">
        <v>4</v>
      </c>
      <c r="F946">
        <v>3</v>
      </c>
      <c r="G946">
        <v>3</v>
      </c>
      <c r="H946">
        <v>1</v>
      </c>
      <c r="I946">
        <v>20</v>
      </c>
      <c r="L946">
        <v>4</v>
      </c>
      <c r="N946">
        <v>1</v>
      </c>
      <c r="U946">
        <v>1</v>
      </c>
    </row>
    <row r="947" spans="2:36" x14ac:dyDescent="0.15">
      <c r="B947">
        <v>28</v>
      </c>
      <c r="D947">
        <v>10</v>
      </c>
      <c r="F947">
        <v>8</v>
      </c>
      <c r="G947">
        <v>5</v>
      </c>
      <c r="I947">
        <v>7</v>
      </c>
      <c r="L947">
        <v>10</v>
      </c>
      <c r="N947">
        <v>3</v>
      </c>
      <c r="P947">
        <v>1</v>
      </c>
      <c r="U947">
        <v>1</v>
      </c>
    </row>
    <row r="948" spans="2:36" x14ac:dyDescent="0.15">
      <c r="B948">
        <v>124</v>
      </c>
      <c r="D948">
        <v>53</v>
      </c>
      <c r="F948">
        <v>25</v>
      </c>
      <c r="G948">
        <v>18</v>
      </c>
      <c r="H948">
        <v>3</v>
      </c>
      <c r="I948">
        <v>46</v>
      </c>
      <c r="J948">
        <v>4</v>
      </c>
      <c r="K948">
        <v>12</v>
      </c>
      <c r="N948">
        <v>23</v>
      </c>
      <c r="P948">
        <v>4</v>
      </c>
      <c r="S948">
        <v>2</v>
      </c>
      <c r="U948">
        <v>2</v>
      </c>
      <c r="W948">
        <v>1</v>
      </c>
      <c r="Z948">
        <v>4</v>
      </c>
      <c r="AB948">
        <v>3</v>
      </c>
      <c r="AD948">
        <v>2</v>
      </c>
      <c r="AE948">
        <v>8</v>
      </c>
      <c r="AI948">
        <v>1</v>
      </c>
    </row>
    <row r="950" spans="2:36" x14ac:dyDescent="0.15">
      <c r="C950">
        <v>33</v>
      </c>
      <c r="E950">
        <v>112</v>
      </c>
      <c r="G950">
        <v>57</v>
      </c>
      <c r="H950">
        <v>8</v>
      </c>
      <c r="I950">
        <v>149</v>
      </c>
      <c r="J950">
        <v>5</v>
      </c>
      <c r="K950">
        <v>26</v>
      </c>
      <c r="L950">
        <v>21</v>
      </c>
      <c r="O950">
        <v>2</v>
      </c>
      <c r="Q950">
        <v>8</v>
      </c>
      <c r="S950">
        <v>7</v>
      </c>
      <c r="U950">
        <v>6</v>
      </c>
      <c r="X950">
        <v>1</v>
      </c>
      <c r="AA950">
        <v>4</v>
      </c>
      <c r="AC950">
        <v>2</v>
      </c>
      <c r="AE950">
        <v>3</v>
      </c>
      <c r="AF950">
        <v>1</v>
      </c>
      <c r="AJ950">
        <v>2</v>
      </c>
    </row>
    <row r="952" spans="2:36" x14ac:dyDescent="0.15">
      <c r="E952">
        <v>33</v>
      </c>
      <c r="G952">
        <v>43</v>
      </c>
      <c r="I952">
        <v>9</v>
      </c>
      <c r="J952">
        <v>5</v>
      </c>
      <c r="K952">
        <v>16</v>
      </c>
      <c r="L952">
        <v>9</v>
      </c>
      <c r="Q952">
        <v>2</v>
      </c>
      <c r="S952">
        <v>1</v>
      </c>
      <c r="X952">
        <v>1</v>
      </c>
      <c r="AE952">
        <v>1</v>
      </c>
      <c r="AJ952">
        <v>2</v>
      </c>
    </row>
    <row r="954" spans="2:36" x14ac:dyDescent="0.15">
      <c r="G954">
        <v>25</v>
      </c>
      <c r="H954">
        <v>5</v>
      </c>
      <c r="I954">
        <v>22</v>
      </c>
      <c r="J954">
        <v>2</v>
      </c>
      <c r="K954">
        <v>17</v>
      </c>
      <c r="L954">
        <v>7</v>
      </c>
      <c r="T954">
        <v>3</v>
      </c>
      <c r="U954">
        <v>2</v>
      </c>
    </row>
    <row r="955" spans="2:36" x14ac:dyDescent="0.15">
      <c r="B955">
        <v>20</v>
      </c>
      <c r="D955">
        <v>10</v>
      </c>
      <c r="F955">
        <v>4</v>
      </c>
      <c r="H955">
        <v>4</v>
      </c>
      <c r="I955">
        <v>2</v>
      </c>
      <c r="L955">
        <v>3</v>
      </c>
      <c r="N955">
        <v>3</v>
      </c>
      <c r="AB955">
        <v>1</v>
      </c>
    </row>
    <row r="956" spans="2:36" x14ac:dyDescent="0.15">
      <c r="B956">
        <v>16</v>
      </c>
      <c r="D956">
        <v>7</v>
      </c>
      <c r="F956">
        <v>6</v>
      </c>
      <c r="G956">
        <v>7</v>
      </c>
      <c r="I956">
        <v>1</v>
      </c>
      <c r="J956">
        <v>2</v>
      </c>
      <c r="K956">
        <v>1</v>
      </c>
      <c r="L956">
        <v>9</v>
      </c>
      <c r="R956">
        <v>1</v>
      </c>
      <c r="V956">
        <v>1</v>
      </c>
      <c r="Z956">
        <v>1</v>
      </c>
      <c r="AD956">
        <v>1</v>
      </c>
      <c r="AE956">
        <v>1</v>
      </c>
      <c r="AJ956">
        <v>1</v>
      </c>
    </row>
    <row r="957" spans="2:36" x14ac:dyDescent="0.15">
      <c r="B957">
        <v>199</v>
      </c>
      <c r="D957">
        <v>38</v>
      </c>
      <c r="F957">
        <v>21</v>
      </c>
      <c r="G957">
        <v>9</v>
      </c>
      <c r="J957">
        <v>8</v>
      </c>
      <c r="K957">
        <v>9</v>
      </c>
      <c r="L957">
        <v>3</v>
      </c>
      <c r="N957">
        <v>4</v>
      </c>
      <c r="P957">
        <v>3</v>
      </c>
      <c r="R957">
        <v>3</v>
      </c>
      <c r="V957">
        <v>2</v>
      </c>
      <c r="AD957">
        <v>1</v>
      </c>
    </row>
    <row r="958" spans="2:36" x14ac:dyDescent="0.15">
      <c r="B958">
        <v>11</v>
      </c>
      <c r="D958">
        <v>6</v>
      </c>
      <c r="F958">
        <v>4</v>
      </c>
      <c r="G958">
        <v>1</v>
      </c>
      <c r="I958">
        <v>14</v>
      </c>
      <c r="L958">
        <v>1</v>
      </c>
      <c r="U958">
        <v>2</v>
      </c>
    </row>
    <row r="959" spans="2:36" x14ac:dyDescent="0.15">
      <c r="B959">
        <v>22</v>
      </c>
      <c r="D959">
        <v>22</v>
      </c>
      <c r="F959">
        <v>9</v>
      </c>
      <c r="G959">
        <v>3</v>
      </c>
      <c r="I959">
        <v>9</v>
      </c>
      <c r="L959">
        <v>3</v>
      </c>
      <c r="N959">
        <v>1</v>
      </c>
      <c r="P959">
        <v>2</v>
      </c>
      <c r="S959">
        <v>1</v>
      </c>
      <c r="AJ959">
        <v>1</v>
      </c>
    </row>
    <row r="960" spans="2:36" x14ac:dyDescent="0.15">
      <c r="B960">
        <v>134</v>
      </c>
      <c r="D960">
        <v>54</v>
      </c>
      <c r="F960">
        <v>17</v>
      </c>
      <c r="G960">
        <v>9</v>
      </c>
      <c r="H960">
        <v>5</v>
      </c>
      <c r="I960">
        <v>44</v>
      </c>
      <c r="J960">
        <v>3</v>
      </c>
      <c r="K960">
        <v>20</v>
      </c>
      <c r="N960">
        <v>22</v>
      </c>
      <c r="P960">
        <v>4</v>
      </c>
      <c r="S960">
        <v>2</v>
      </c>
      <c r="U960">
        <v>4</v>
      </c>
      <c r="Z960">
        <v>7</v>
      </c>
      <c r="AI960">
        <v>3</v>
      </c>
    </row>
    <row r="962" spans="2:36" x14ac:dyDescent="0.15">
      <c r="C962">
        <v>26</v>
      </c>
      <c r="E962">
        <v>121</v>
      </c>
      <c r="G962">
        <v>72</v>
      </c>
      <c r="H962">
        <v>15</v>
      </c>
      <c r="I962">
        <v>119</v>
      </c>
      <c r="J962">
        <v>10</v>
      </c>
      <c r="K962">
        <v>27</v>
      </c>
      <c r="L962">
        <v>19</v>
      </c>
      <c r="O962">
        <v>1</v>
      </c>
      <c r="Q962">
        <v>6</v>
      </c>
      <c r="S962">
        <v>7</v>
      </c>
      <c r="U962">
        <v>3</v>
      </c>
      <c r="W962">
        <v>2</v>
      </c>
      <c r="AA962">
        <v>1</v>
      </c>
      <c r="AC962">
        <v>2</v>
      </c>
      <c r="AE962">
        <v>6</v>
      </c>
      <c r="AF962">
        <v>2</v>
      </c>
      <c r="AH962">
        <v>1</v>
      </c>
      <c r="AI962">
        <v>2</v>
      </c>
      <c r="AJ962">
        <v>3</v>
      </c>
    </row>
    <row r="964" spans="2:36" x14ac:dyDescent="0.15">
      <c r="E964">
        <v>57</v>
      </c>
      <c r="G964">
        <v>40</v>
      </c>
      <c r="I964">
        <v>5</v>
      </c>
      <c r="J964">
        <v>9</v>
      </c>
      <c r="K964">
        <v>21</v>
      </c>
      <c r="L964">
        <v>11</v>
      </c>
      <c r="Q964">
        <v>2</v>
      </c>
      <c r="S964">
        <v>3</v>
      </c>
      <c r="V964">
        <v>1</v>
      </c>
      <c r="AC964">
        <v>1</v>
      </c>
      <c r="AE964">
        <v>1</v>
      </c>
      <c r="AJ964">
        <v>2</v>
      </c>
    </row>
    <row r="966" spans="2:36" x14ac:dyDescent="0.15">
      <c r="G966">
        <v>17</v>
      </c>
      <c r="H966">
        <v>15</v>
      </c>
      <c r="I966">
        <v>31</v>
      </c>
      <c r="J966">
        <v>4</v>
      </c>
      <c r="K966">
        <v>21</v>
      </c>
      <c r="L966">
        <v>8</v>
      </c>
      <c r="T966">
        <v>2</v>
      </c>
      <c r="U966">
        <v>1</v>
      </c>
      <c r="AJ966">
        <v>3</v>
      </c>
    </row>
    <row r="967" spans="2:36" x14ac:dyDescent="0.15">
      <c r="B967">
        <v>18</v>
      </c>
      <c r="D967">
        <v>7</v>
      </c>
      <c r="F967">
        <v>2</v>
      </c>
      <c r="H967">
        <v>2</v>
      </c>
      <c r="I967">
        <v>8</v>
      </c>
      <c r="K967">
        <v>5</v>
      </c>
      <c r="L967">
        <v>2</v>
      </c>
      <c r="N967">
        <v>3</v>
      </c>
      <c r="AJ967">
        <v>1</v>
      </c>
    </row>
    <row r="968" spans="2:36" x14ac:dyDescent="0.15">
      <c r="B968">
        <v>19</v>
      </c>
      <c r="D968">
        <v>10</v>
      </c>
      <c r="F968">
        <v>14</v>
      </c>
      <c r="I968">
        <v>3</v>
      </c>
      <c r="L968">
        <v>5</v>
      </c>
      <c r="N968">
        <v>1</v>
      </c>
      <c r="R968">
        <v>2</v>
      </c>
      <c r="AB968">
        <v>1</v>
      </c>
      <c r="AJ968">
        <v>3</v>
      </c>
    </row>
    <row r="969" spans="2:36" x14ac:dyDescent="0.15">
      <c r="B969">
        <v>155</v>
      </c>
      <c r="D969">
        <v>30</v>
      </c>
      <c r="F969">
        <v>22</v>
      </c>
      <c r="G969">
        <v>11</v>
      </c>
      <c r="H969">
        <v>2</v>
      </c>
      <c r="J969">
        <v>8</v>
      </c>
      <c r="K969">
        <v>3</v>
      </c>
      <c r="L969">
        <v>7</v>
      </c>
      <c r="N969">
        <v>8</v>
      </c>
      <c r="P969">
        <v>4</v>
      </c>
      <c r="R969">
        <v>1</v>
      </c>
      <c r="V969">
        <v>1</v>
      </c>
      <c r="AJ969">
        <v>2</v>
      </c>
    </row>
    <row r="970" spans="2:36" x14ac:dyDescent="0.15">
      <c r="B970">
        <v>6</v>
      </c>
      <c r="D970">
        <v>4</v>
      </c>
      <c r="F970">
        <v>3</v>
      </c>
      <c r="G970">
        <v>1</v>
      </c>
      <c r="I970">
        <v>11</v>
      </c>
      <c r="N970">
        <v>2</v>
      </c>
      <c r="U970">
        <v>3</v>
      </c>
      <c r="Z970">
        <v>1</v>
      </c>
    </row>
    <row r="971" spans="2:36" x14ac:dyDescent="0.15">
      <c r="B971">
        <v>33</v>
      </c>
      <c r="D971">
        <v>16</v>
      </c>
      <c r="F971">
        <v>10</v>
      </c>
      <c r="G971">
        <v>3</v>
      </c>
      <c r="H971">
        <v>1</v>
      </c>
      <c r="I971">
        <v>12</v>
      </c>
      <c r="L971">
        <v>1</v>
      </c>
      <c r="P971">
        <v>2</v>
      </c>
      <c r="R971">
        <v>1</v>
      </c>
      <c r="U971">
        <v>1</v>
      </c>
      <c r="Z971">
        <v>2</v>
      </c>
      <c r="AE971">
        <v>1</v>
      </c>
      <c r="AJ971">
        <v>1</v>
      </c>
    </row>
    <row r="972" spans="2:36" x14ac:dyDescent="0.15">
      <c r="B972">
        <v>119</v>
      </c>
      <c r="D972">
        <v>57</v>
      </c>
      <c r="F972">
        <v>29</v>
      </c>
      <c r="G972">
        <v>9</v>
      </c>
      <c r="H972">
        <v>3</v>
      </c>
      <c r="I972">
        <v>53</v>
      </c>
      <c r="J972">
        <v>1</v>
      </c>
      <c r="K972">
        <v>17</v>
      </c>
      <c r="N972">
        <v>17</v>
      </c>
      <c r="P972">
        <v>3</v>
      </c>
      <c r="R972">
        <v>1</v>
      </c>
      <c r="U972">
        <v>1</v>
      </c>
      <c r="W972">
        <v>1</v>
      </c>
      <c r="Z972">
        <v>4</v>
      </c>
      <c r="AE972">
        <v>2</v>
      </c>
      <c r="AF972">
        <v>3</v>
      </c>
    </row>
    <row r="974" spans="2:36" x14ac:dyDescent="0.15">
      <c r="C974">
        <v>18</v>
      </c>
      <c r="E974">
        <v>157</v>
      </c>
      <c r="G974">
        <v>88</v>
      </c>
      <c r="H974">
        <v>14</v>
      </c>
      <c r="I974">
        <v>175</v>
      </c>
      <c r="J974">
        <v>5</v>
      </c>
      <c r="K974">
        <v>51</v>
      </c>
      <c r="L974">
        <v>28</v>
      </c>
      <c r="O974">
        <v>4</v>
      </c>
      <c r="Q974">
        <v>14</v>
      </c>
      <c r="S974">
        <v>1</v>
      </c>
      <c r="T974">
        <v>1</v>
      </c>
      <c r="U974">
        <v>7</v>
      </c>
      <c r="W974">
        <v>1</v>
      </c>
      <c r="AA974">
        <v>1</v>
      </c>
      <c r="AC974">
        <v>5</v>
      </c>
      <c r="AE974">
        <v>10</v>
      </c>
      <c r="AF974">
        <v>1</v>
      </c>
      <c r="AH974">
        <v>1</v>
      </c>
      <c r="AI974">
        <v>1</v>
      </c>
      <c r="AJ974">
        <v>4</v>
      </c>
    </row>
    <row r="976" spans="2:36" x14ac:dyDescent="0.15">
      <c r="E976">
        <v>43</v>
      </c>
      <c r="G976">
        <v>46</v>
      </c>
      <c r="H976">
        <v>1</v>
      </c>
      <c r="I976">
        <v>7</v>
      </c>
      <c r="J976">
        <v>4</v>
      </c>
      <c r="K976">
        <v>18</v>
      </c>
      <c r="L976">
        <v>6</v>
      </c>
      <c r="Q976">
        <v>3</v>
      </c>
      <c r="S976">
        <v>1</v>
      </c>
      <c r="W976">
        <v>1</v>
      </c>
      <c r="AC976">
        <v>2</v>
      </c>
      <c r="AE976">
        <v>2</v>
      </c>
      <c r="AJ976">
        <v>5</v>
      </c>
    </row>
    <row r="978" spans="2:36" x14ac:dyDescent="0.15">
      <c r="G978">
        <v>26</v>
      </c>
      <c r="H978">
        <v>13</v>
      </c>
      <c r="I978">
        <v>41</v>
      </c>
      <c r="J978">
        <v>5</v>
      </c>
      <c r="K978">
        <v>9</v>
      </c>
      <c r="L978">
        <v>7</v>
      </c>
      <c r="S978">
        <v>1</v>
      </c>
      <c r="U978">
        <v>2</v>
      </c>
      <c r="X978">
        <v>1</v>
      </c>
    </row>
    <row r="979" spans="2:36" x14ac:dyDescent="0.15">
      <c r="B979">
        <v>12</v>
      </c>
      <c r="D979">
        <v>8</v>
      </c>
      <c r="I979">
        <v>4</v>
      </c>
      <c r="K979">
        <v>3</v>
      </c>
      <c r="L979">
        <v>6</v>
      </c>
      <c r="N979">
        <v>1</v>
      </c>
      <c r="P979">
        <v>1</v>
      </c>
      <c r="AF979">
        <v>1</v>
      </c>
      <c r="AJ979">
        <v>1</v>
      </c>
    </row>
    <row r="980" spans="2:36" x14ac:dyDescent="0.15">
      <c r="B980">
        <v>19</v>
      </c>
      <c r="D980">
        <v>9</v>
      </c>
      <c r="F980">
        <v>8</v>
      </c>
      <c r="G980">
        <v>3</v>
      </c>
      <c r="I980">
        <v>2</v>
      </c>
      <c r="L980">
        <v>12</v>
      </c>
      <c r="AD980">
        <v>1</v>
      </c>
      <c r="AJ980">
        <v>1</v>
      </c>
    </row>
    <row r="981" spans="2:36" x14ac:dyDescent="0.15">
      <c r="B981">
        <v>188</v>
      </c>
      <c r="D981">
        <v>30</v>
      </c>
      <c r="F981">
        <v>18</v>
      </c>
      <c r="G981">
        <v>9</v>
      </c>
      <c r="H981">
        <v>1</v>
      </c>
      <c r="J981">
        <v>10</v>
      </c>
      <c r="K981">
        <v>7</v>
      </c>
      <c r="L981">
        <v>4</v>
      </c>
      <c r="N981">
        <v>4</v>
      </c>
      <c r="P981">
        <v>3</v>
      </c>
      <c r="R981">
        <v>1</v>
      </c>
      <c r="W981">
        <v>1</v>
      </c>
    </row>
    <row r="982" spans="2:36" x14ac:dyDescent="0.15">
      <c r="B982">
        <v>8</v>
      </c>
      <c r="D982">
        <v>1</v>
      </c>
      <c r="F982">
        <v>6</v>
      </c>
      <c r="G982">
        <v>2</v>
      </c>
      <c r="I982">
        <v>19</v>
      </c>
      <c r="U982">
        <v>1</v>
      </c>
      <c r="AD982">
        <v>1</v>
      </c>
      <c r="AJ982">
        <v>1</v>
      </c>
    </row>
    <row r="983" spans="2:36" x14ac:dyDescent="0.15">
      <c r="B983">
        <v>29</v>
      </c>
      <c r="D983">
        <v>18</v>
      </c>
      <c r="F983">
        <v>10</v>
      </c>
      <c r="G983">
        <v>4</v>
      </c>
      <c r="H983">
        <v>1</v>
      </c>
      <c r="I983">
        <v>12</v>
      </c>
      <c r="L983">
        <v>3</v>
      </c>
      <c r="N983">
        <v>3</v>
      </c>
      <c r="P983">
        <v>2</v>
      </c>
      <c r="U983">
        <v>1</v>
      </c>
    </row>
    <row r="984" spans="2:36" x14ac:dyDescent="0.15">
      <c r="B984">
        <v>147</v>
      </c>
      <c r="D984">
        <v>50</v>
      </c>
      <c r="F984">
        <v>25</v>
      </c>
      <c r="G984">
        <v>9</v>
      </c>
      <c r="H984">
        <v>4</v>
      </c>
      <c r="I984">
        <v>56</v>
      </c>
      <c r="J984">
        <v>5</v>
      </c>
      <c r="K984">
        <v>26</v>
      </c>
      <c r="N984">
        <v>15</v>
      </c>
      <c r="P984">
        <v>1</v>
      </c>
      <c r="R984">
        <v>2</v>
      </c>
      <c r="U984">
        <v>3</v>
      </c>
      <c r="Z984">
        <v>3</v>
      </c>
      <c r="AB984">
        <v>3</v>
      </c>
      <c r="AD984">
        <v>2</v>
      </c>
      <c r="AF984">
        <v>1</v>
      </c>
    </row>
    <row r="986" spans="2:36" x14ac:dyDescent="0.15">
      <c r="C986">
        <v>14</v>
      </c>
      <c r="E986">
        <v>92</v>
      </c>
      <c r="G986">
        <v>61</v>
      </c>
      <c r="H986">
        <v>8</v>
      </c>
      <c r="I986">
        <v>93</v>
      </c>
      <c r="J986">
        <v>5</v>
      </c>
      <c r="K986">
        <v>35</v>
      </c>
      <c r="L986">
        <v>15</v>
      </c>
      <c r="O986">
        <v>1</v>
      </c>
      <c r="Q986">
        <v>14</v>
      </c>
      <c r="S986">
        <v>8</v>
      </c>
      <c r="T986">
        <v>1</v>
      </c>
      <c r="U986">
        <v>5</v>
      </c>
      <c r="V986">
        <v>4</v>
      </c>
      <c r="W986">
        <v>3</v>
      </c>
      <c r="X986">
        <v>1</v>
      </c>
      <c r="AC986">
        <v>4</v>
      </c>
      <c r="AE986">
        <v>2</v>
      </c>
      <c r="AH986">
        <v>1</v>
      </c>
      <c r="AJ986">
        <v>2</v>
      </c>
    </row>
    <row r="988" spans="2:36" x14ac:dyDescent="0.15">
      <c r="E988">
        <v>50</v>
      </c>
      <c r="G988">
        <v>58</v>
      </c>
      <c r="H988">
        <v>2</v>
      </c>
      <c r="I988">
        <v>13</v>
      </c>
      <c r="J988">
        <v>5</v>
      </c>
      <c r="K988">
        <v>12</v>
      </c>
      <c r="L988">
        <v>6</v>
      </c>
      <c r="Q988">
        <v>3</v>
      </c>
      <c r="X988">
        <v>1</v>
      </c>
      <c r="AE988">
        <v>1</v>
      </c>
      <c r="AJ988">
        <v>2</v>
      </c>
    </row>
    <row r="990" spans="2:36" x14ac:dyDescent="0.15">
      <c r="G990">
        <v>10</v>
      </c>
      <c r="H990">
        <v>14</v>
      </c>
      <c r="I990">
        <v>13</v>
      </c>
      <c r="J990">
        <v>5</v>
      </c>
      <c r="K990">
        <v>6</v>
      </c>
      <c r="L990">
        <v>8</v>
      </c>
      <c r="S990">
        <v>1</v>
      </c>
      <c r="T990">
        <v>1</v>
      </c>
      <c r="U990">
        <v>1</v>
      </c>
      <c r="AI990">
        <v>1</v>
      </c>
    </row>
    <row r="991" spans="2:36" x14ac:dyDescent="0.15">
      <c r="B991">
        <v>20</v>
      </c>
      <c r="D991">
        <v>6</v>
      </c>
      <c r="F991">
        <v>3</v>
      </c>
      <c r="I991">
        <v>1</v>
      </c>
      <c r="J991">
        <v>1</v>
      </c>
      <c r="L991">
        <v>2</v>
      </c>
      <c r="N991">
        <v>1</v>
      </c>
      <c r="W991">
        <v>1</v>
      </c>
      <c r="AJ991">
        <v>1</v>
      </c>
    </row>
    <row r="992" spans="2:36" x14ac:dyDescent="0.15">
      <c r="B992">
        <v>23</v>
      </c>
      <c r="D992">
        <v>6</v>
      </c>
      <c r="F992">
        <v>7</v>
      </c>
      <c r="G992">
        <v>9</v>
      </c>
      <c r="I992">
        <v>3</v>
      </c>
      <c r="J992">
        <v>1</v>
      </c>
      <c r="L992">
        <v>11</v>
      </c>
      <c r="AH992">
        <v>1</v>
      </c>
      <c r="AJ992">
        <v>1</v>
      </c>
    </row>
    <row r="993" spans="2:36" x14ac:dyDescent="0.15">
      <c r="B993">
        <v>168</v>
      </c>
      <c r="D993">
        <v>35</v>
      </c>
      <c r="F993">
        <v>22</v>
      </c>
      <c r="G993">
        <v>12</v>
      </c>
      <c r="J993">
        <v>8</v>
      </c>
      <c r="K993">
        <v>3</v>
      </c>
      <c r="L993">
        <v>4</v>
      </c>
      <c r="N993">
        <v>7</v>
      </c>
      <c r="P993">
        <v>2</v>
      </c>
      <c r="R993">
        <v>1</v>
      </c>
      <c r="V993">
        <v>3</v>
      </c>
      <c r="W993">
        <v>1</v>
      </c>
      <c r="AD993">
        <v>1</v>
      </c>
      <c r="AJ993">
        <v>1</v>
      </c>
    </row>
    <row r="994" spans="2:36" x14ac:dyDescent="0.15">
      <c r="B994">
        <v>8</v>
      </c>
      <c r="D994">
        <v>10</v>
      </c>
      <c r="I994">
        <v>10</v>
      </c>
      <c r="L994">
        <v>3</v>
      </c>
      <c r="N994">
        <v>2</v>
      </c>
    </row>
    <row r="995" spans="2:36" x14ac:dyDescent="0.15">
      <c r="B995">
        <v>54</v>
      </c>
      <c r="D995">
        <v>25</v>
      </c>
      <c r="F995">
        <v>11</v>
      </c>
      <c r="G995">
        <v>5</v>
      </c>
      <c r="I995">
        <v>12</v>
      </c>
      <c r="L995">
        <v>6</v>
      </c>
      <c r="N995">
        <v>1</v>
      </c>
      <c r="AF995">
        <v>1</v>
      </c>
      <c r="AJ995">
        <v>2</v>
      </c>
    </row>
    <row r="996" spans="2:36" x14ac:dyDescent="0.15">
      <c r="B996">
        <v>120</v>
      </c>
      <c r="D996">
        <v>54</v>
      </c>
      <c r="F996">
        <v>20</v>
      </c>
      <c r="G996">
        <v>12</v>
      </c>
      <c r="H996">
        <v>6</v>
      </c>
      <c r="I996">
        <v>57</v>
      </c>
      <c r="J996">
        <v>5</v>
      </c>
      <c r="K996">
        <v>18</v>
      </c>
      <c r="N996">
        <v>14</v>
      </c>
      <c r="P996">
        <v>1</v>
      </c>
      <c r="R996">
        <v>1</v>
      </c>
      <c r="U996">
        <v>2</v>
      </c>
      <c r="Z996">
        <v>4</v>
      </c>
      <c r="AB996">
        <v>2</v>
      </c>
      <c r="AD996">
        <v>1</v>
      </c>
      <c r="AF996">
        <v>1</v>
      </c>
      <c r="AI996">
        <v>2</v>
      </c>
    </row>
    <row r="998" spans="2:36" x14ac:dyDescent="0.15">
      <c r="C998">
        <v>19</v>
      </c>
      <c r="E998">
        <v>148</v>
      </c>
      <c r="G998">
        <v>107</v>
      </c>
      <c r="H998">
        <v>12</v>
      </c>
      <c r="I998">
        <v>108</v>
      </c>
      <c r="J998">
        <v>5</v>
      </c>
      <c r="K998">
        <v>28</v>
      </c>
      <c r="L998">
        <v>18</v>
      </c>
      <c r="O998">
        <v>4</v>
      </c>
      <c r="Q998">
        <v>16</v>
      </c>
      <c r="S998">
        <v>7</v>
      </c>
      <c r="T998">
        <v>1</v>
      </c>
      <c r="U998">
        <v>4</v>
      </c>
      <c r="W998">
        <v>2</v>
      </c>
      <c r="X998">
        <v>3</v>
      </c>
      <c r="AA998">
        <v>3</v>
      </c>
      <c r="AC998">
        <v>8</v>
      </c>
      <c r="AE998">
        <v>8</v>
      </c>
      <c r="AI998">
        <v>1</v>
      </c>
      <c r="AJ998">
        <v>4</v>
      </c>
    </row>
    <row r="1000" spans="2:36" x14ac:dyDescent="0.15">
      <c r="E1000">
        <v>50</v>
      </c>
      <c r="G1000">
        <v>40</v>
      </c>
      <c r="H1000">
        <v>2</v>
      </c>
      <c r="I1000">
        <v>7</v>
      </c>
      <c r="J1000">
        <v>13</v>
      </c>
      <c r="K1000">
        <v>15</v>
      </c>
      <c r="L1000">
        <v>12</v>
      </c>
      <c r="Q1000">
        <v>2</v>
      </c>
      <c r="S1000">
        <v>3</v>
      </c>
      <c r="W1000">
        <v>1</v>
      </c>
      <c r="AC1000">
        <v>2</v>
      </c>
      <c r="AH1000">
        <v>1</v>
      </c>
      <c r="AJ1000">
        <v>1</v>
      </c>
    </row>
    <row r="1002" spans="2:36" x14ac:dyDescent="0.15">
      <c r="G1002">
        <v>15</v>
      </c>
      <c r="H1002">
        <v>8</v>
      </c>
      <c r="I1002">
        <v>23</v>
      </c>
      <c r="J1002">
        <v>3</v>
      </c>
      <c r="K1002">
        <v>13</v>
      </c>
      <c r="L1002">
        <v>7</v>
      </c>
      <c r="T1002">
        <v>2</v>
      </c>
      <c r="U1002">
        <v>4</v>
      </c>
      <c r="AF1002">
        <v>1</v>
      </c>
      <c r="AH1002">
        <v>1</v>
      </c>
    </row>
    <row r="1003" spans="2:36" x14ac:dyDescent="0.15">
      <c r="B1003">
        <v>23</v>
      </c>
      <c r="D1003">
        <v>8</v>
      </c>
      <c r="F1003">
        <v>3</v>
      </c>
      <c r="H1003">
        <v>3</v>
      </c>
      <c r="I1003">
        <v>3</v>
      </c>
      <c r="J1003">
        <v>1</v>
      </c>
      <c r="K1003">
        <v>3</v>
      </c>
      <c r="L1003">
        <v>2</v>
      </c>
      <c r="AJ1003">
        <v>1</v>
      </c>
    </row>
    <row r="1004" spans="2:36" x14ac:dyDescent="0.15">
      <c r="B1004">
        <v>19</v>
      </c>
      <c r="D1004">
        <v>3</v>
      </c>
      <c r="F1004">
        <v>4</v>
      </c>
      <c r="G1004">
        <v>2</v>
      </c>
      <c r="I1004">
        <v>4</v>
      </c>
      <c r="L1004">
        <v>14</v>
      </c>
      <c r="R1004">
        <v>1</v>
      </c>
      <c r="X1004">
        <v>2</v>
      </c>
      <c r="AD1004">
        <v>1</v>
      </c>
      <c r="AJ1004">
        <v>7</v>
      </c>
    </row>
    <row r="1005" spans="2:36" x14ac:dyDescent="0.15">
      <c r="B1005">
        <v>168</v>
      </c>
      <c r="D1005">
        <v>29</v>
      </c>
      <c r="F1005">
        <v>16</v>
      </c>
      <c r="G1005">
        <v>8</v>
      </c>
      <c r="H1005">
        <v>2</v>
      </c>
      <c r="J1005">
        <v>7</v>
      </c>
      <c r="K1005">
        <v>10</v>
      </c>
      <c r="L1005">
        <v>2</v>
      </c>
      <c r="N1005">
        <v>6</v>
      </c>
      <c r="P1005">
        <v>6</v>
      </c>
      <c r="R1005">
        <v>1</v>
      </c>
      <c r="V1005">
        <v>2</v>
      </c>
      <c r="W1005">
        <v>1</v>
      </c>
      <c r="Z1005">
        <v>1</v>
      </c>
      <c r="AD1005">
        <v>1</v>
      </c>
    </row>
    <row r="1006" spans="2:36" x14ac:dyDescent="0.15">
      <c r="B1006">
        <v>11</v>
      </c>
      <c r="D1006">
        <v>8</v>
      </c>
      <c r="I1006">
        <v>19</v>
      </c>
    </row>
    <row r="1007" spans="2:36" x14ac:dyDescent="0.15">
      <c r="B1007">
        <v>16</v>
      </c>
      <c r="D1007">
        <v>9</v>
      </c>
      <c r="F1007">
        <v>8</v>
      </c>
      <c r="G1007">
        <v>4</v>
      </c>
      <c r="H1007">
        <v>1</v>
      </c>
      <c r="I1007">
        <v>10</v>
      </c>
      <c r="L1007">
        <v>4</v>
      </c>
      <c r="N1007">
        <v>1</v>
      </c>
      <c r="U1007">
        <v>1</v>
      </c>
      <c r="AD1007">
        <v>1</v>
      </c>
      <c r="AJ1007">
        <v>5</v>
      </c>
    </row>
    <row r="1008" spans="2:36" x14ac:dyDescent="0.15">
      <c r="B1008">
        <v>121</v>
      </c>
      <c r="D1008">
        <v>50</v>
      </c>
      <c r="F1008">
        <v>28</v>
      </c>
      <c r="G1008">
        <v>17</v>
      </c>
      <c r="H1008">
        <v>3</v>
      </c>
      <c r="I1008">
        <v>40</v>
      </c>
      <c r="J1008">
        <v>6</v>
      </c>
      <c r="K1008">
        <v>19</v>
      </c>
      <c r="N1008">
        <v>15</v>
      </c>
      <c r="P1008">
        <v>1</v>
      </c>
      <c r="R1008">
        <v>1</v>
      </c>
      <c r="U1008">
        <v>2</v>
      </c>
      <c r="V1008">
        <v>2</v>
      </c>
      <c r="W1008">
        <v>1</v>
      </c>
      <c r="Z1008">
        <v>7</v>
      </c>
      <c r="AB1008">
        <v>3</v>
      </c>
      <c r="AE1008">
        <v>1</v>
      </c>
      <c r="AI1008">
        <v>1</v>
      </c>
    </row>
    <row r="1010" spans="2:36" x14ac:dyDescent="0.15">
      <c r="C1010">
        <v>24</v>
      </c>
      <c r="E1010">
        <v>106</v>
      </c>
      <c r="G1010">
        <v>70</v>
      </c>
      <c r="H1010">
        <v>9</v>
      </c>
      <c r="I1010">
        <v>91</v>
      </c>
      <c r="J1010">
        <v>10</v>
      </c>
      <c r="K1010">
        <v>42</v>
      </c>
      <c r="L1010">
        <v>18</v>
      </c>
      <c r="O1010">
        <v>1</v>
      </c>
      <c r="Q1010">
        <v>13</v>
      </c>
      <c r="S1010">
        <v>2</v>
      </c>
      <c r="U1010">
        <v>6</v>
      </c>
      <c r="W1010">
        <v>1</v>
      </c>
      <c r="X1010">
        <v>1</v>
      </c>
      <c r="AA1010">
        <v>2</v>
      </c>
      <c r="AC1010">
        <v>5</v>
      </c>
      <c r="AE1010">
        <v>5</v>
      </c>
      <c r="AI1010">
        <v>1</v>
      </c>
      <c r="AJ1010">
        <v>2</v>
      </c>
    </row>
    <row r="1012" spans="2:36" x14ac:dyDescent="0.15">
      <c r="E1012">
        <v>48</v>
      </c>
      <c r="G1012">
        <v>34</v>
      </c>
      <c r="H1012">
        <v>5</v>
      </c>
      <c r="I1012">
        <v>14</v>
      </c>
      <c r="J1012">
        <v>2</v>
      </c>
      <c r="K1012">
        <v>19</v>
      </c>
      <c r="L1012">
        <v>8</v>
      </c>
      <c r="Q1012">
        <v>2</v>
      </c>
      <c r="S1012">
        <v>2</v>
      </c>
      <c r="AE1012">
        <v>1</v>
      </c>
      <c r="AJ1012">
        <v>1</v>
      </c>
    </row>
    <row r="1014" spans="2:36" x14ac:dyDescent="0.15">
      <c r="G1014">
        <v>20</v>
      </c>
      <c r="H1014">
        <v>4</v>
      </c>
      <c r="I1014">
        <v>36</v>
      </c>
      <c r="J1014">
        <v>3</v>
      </c>
      <c r="K1014">
        <v>11</v>
      </c>
      <c r="L1014">
        <v>7</v>
      </c>
      <c r="U1014">
        <v>1</v>
      </c>
      <c r="W1014">
        <v>1</v>
      </c>
      <c r="X1014">
        <v>2</v>
      </c>
      <c r="AJ1014">
        <v>1</v>
      </c>
    </row>
    <row r="1015" spans="2:36" x14ac:dyDescent="0.15">
      <c r="B1015">
        <v>28</v>
      </c>
      <c r="D1015">
        <v>9</v>
      </c>
      <c r="F1015">
        <v>4</v>
      </c>
      <c r="H1015">
        <v>1</v>
      </c>
      <c r="I1015">
        <v>5</v>
      </c>
      <c r="J1015">
        <v>1</v>
      </c>
      <c r="K1015">
        <v>1</v>
      </c>
      <c r="L1015">
        <v>4</v>
      </c>
      <c r="R1015">
        <v>1</v>
      </c>
    </row>
    <row r="1016" spans="2:36" x14ac:dyDescent="0.15">
      <c r="B1016">
        <v>17</v>
      </c>
      <c r="D1016">
        <v>6</v>
      </c>
      <c r="F1016">
        <v>7</v>
      </c>
      <c r="I1016">
        <v>2</v>
      </c>
      <c r="L1016">
        <v>4</v>
      </c>
      <c r="N1016">
        <v>1</v>
      </c>
      <c r="AD1016">
        <v>1</v>
      </c>
      <c r="AH1016">
        <v>1</v>
      </c>
      <c r="AJ1016">
        <v>4</v>
      </c>
    </row>
    <row r="1017" spans="2:36" x14ac:dyDescent="0.15">
      <c r="B1017">
        <v>183</v>
      </c>
      <c r="D1017">
        <v>42</v>
      </c>
      <c r="F1017">
        <v>27</v>
      </c>
      <c r="G1017">
        <v>3</v>
      </c>
      <c r="H1017">
        <v>2</v>
      </c>
      <c r="J1017">
        <v>4</v>
      </c>
      <c r="K1017">
        <v>8</v>
      </c>
      <c r="L1017">
        <v>4</v>
      </c>
      <c r="N1017">
        <v>7</v>
      </c>
      <c r="P1017">
        <v>4</v>
      </c>
      <c r="R1017">
        <v>1</v>
      </c>
      <c r="V1017">
        <v>1</v>
      </c>
      <c r="W1017">
        <v>1</v>
      </c>
    </row>
    <row r="1018" spans="2:36" x14ac:dyDescent="0.15">
      <c r="B1018">
        <v>9</v>
      </c>
      <c r="D1018">
        <v>4</v>
      </c>
      <c r="F1018">
        <v>1</v>
      </c>
      <c r="G1018">
        <v>2</v>
      </c>
      <c r="I1018">
        <v>20</v>
      </c>
      <c r="R1018">
        <v>1</v>
      </c>
      <c r="U1018">
        <v>1</v>
      </c>
      <c r="AD1018">
        <v>1</v>
      </c>
    </row>
    <row r="1019" spans="2:36" x14ac:dyDescent="0.15">
      <c r="B1019">
        <v>36</v>
      </c>
      <c r="D1019">
        <v>10</v>
      </c>
      <c r="F1019">
        <v>9</v>
      </c>
      <c r="G1019">
        <v>4</v>
      </c>
      <c r="I1019">
        <v>7</v>
      </c>
      <c r="L1019">
        <v>4</v>
      </c>
      <c r="N1019">
        <v>2</v>
      </c>
      <c r="U1019">
        <v>1</v>
      </c>
      <c r="AB1019">
        <v>1</v>
      </c>
      <c r="AJ1019">
        <v>2</v>
      </c>
    </row>
    <row r="1020" spans="2:36" x14ac:dyDescent="0.15">
      <c r="B1020">
        <v>118</v>
      </c>
      <c r="D1020">
        <v>33</v>
      </c>
      <c r="F1020">
        <v>22</v>
      </c>
      <c r="G1020">
        <v>11</v>
      </c>
      <c r="H1020">
        <v>3</v>
      </c>
      <c r="I1020">
        <v>52</v>
      </c>
      <c r="K1020">
        <v>11</v>
      </c>
      <c r="N1020">
        <v>13</v>
      </c>
      <c r="Z1020">
        <v>5</v>
      </c>
      <c r="AB1020">
        <v>4</v>
      </c>
      <c r="AD1020">
        <v>1</v>
      </c>
      <c r="AE1020">
        <v>2</v>
      </c>
      <c r="AF1020">
        <v>2</v>
      </c>
    </row>
    <row r="1022" spans="2:36" x14ac:dyDescent="0.15">
      <c r="C1022">
        <v>23</v>
      </c>
      <c r="E1022">
        <v>119</v>
      </c>
      <c r="G1022">
        <v>92</v>
      </c>
      <c r="H1022">
        <v>15</v>
      </c>
      <c r="I1022">
        <v>118</v>
      </c>
      <c r="J1022">
        <v>10</v>
      </c>
      <c r="K1022">
        <v>44</v>
      </c>
      <c r="L1022">
        <v>18</v>
      </c>
      <c r="O1022">
        <v>2</v>
      </c>
      <c r="Q1022">
        <v>11</v>
      </c>
      <c r="S1022">
        <v>7</v>
      </c>
      <c r="U1022">
        <v>5</v>
      </c>
      <c r="X1022">
        <v>1</v>
      </c>
      <c r="AC1022">
        <v>2</v>
      </c>
      <c r="AE1022">
        <v>9</v>
      </c>
      <c r="AF1022">
        <v>2</v>
      </c>
      <c r="AI1022">
        <v>3</v>
      </c>
      <c r="AJ1022">
        <v>4</v>
      </c>
    </row>
    <row r="1024" spans="2:36" x14ac:dyDescent="0.15">
      <c r="E1024">
        <v>42</v>
      </c>
      <c r="G1024">
        <v>33</v>
      </c>
      <c r="H1024">
        <v>3</v>
      </c>
      <c r="I1024">
        <v>2</v>
      </c>
      <c r="J1024">
        <v>4</v>
      </c>
      <c r="K1024">
        <v>13</v>
      </c>
      <c r="L1024">
        <v>10</v>
      </c>
      <c r="Q1024">
        <v>3</v>
      </c>
      <c r="S1024">
        <v>2</v>
      </c>
      <c r="W1024">
        <v>1</v>
      </c>
      <c r="X1024">
        <v>2</v>
      </c>
      <c r="AC1024">
        <v>1</v>
      </c>
      <c r="AE1024">
        <v>1</v>
      </c>
      <c r="AJ1024">
        <v>4</v>
      </c>
    </row>
    <row r="1026" spans="2:36" x14ac:dyDescent="0.15">
      <c r="G1026">
        <v>27</v>
      </c>
      <c r="H1026">
        <v>12</v>
      </c>
      <c r="I1026">
        <v>26</v>
      </c>
      <c r="J1026">
        <v>6</v>
      </c>
      <c r="K1026">
        <v>14</v>
      </c>
      <c r="L1026">
        <v>5</v>
      </c>
      <c r="S1026">
        <v>1</v>
      </c>
      <c r="T1026">
        <v>1</v>
      </c>
      <c r="U1026">
        <v>4</v>
      </c>
      <c r="AF1026">
        <v>1</v>
      </c>
      <c r="AJ1026">
        <v>3</v>
      </c>
    </row>
    <row r="1027" spans="2:36" x14ac:dyDescent="0.15">
      <c r="B1027">
        <v>19</v>
      </c>
      <c r="D1027">
        <v>9</v>
      </c>
      <c r="F1027">
        <v>4</v>
      </c>
      <c r="H1027">
        <v>2</v>
      </c>
      <c r="J1027">
        <v>1</v>
      </c>
      <c r="K1027">
        <v>5</v>
      </c>
      <c r="L1027">
        <v>3</v>
      </c>
      <c r="AI1027">
        <v>2</v>
      </c>
    </row>
    <row r="1028" spans="2:36" x14ac:dyDescent="0.15">
      <c r="B1028">
        <v>11</v>
      </c>
      <c r="D1028">
        <v>7</v>
      </c>
      <c r="F1028">
        <v>6</v>
      </c>
      <c r="G1028">
        <v>1</v>
      </c>
      <c r="I1028">
        <v>1</v>
      </c>
      <c r="L1028">
        <v>6</v>
      </c>
      <c r="N1028">
        <v>1</v>
      </c>
      <c r="R1028">
        <v>1</v>
      </c>
      <c r="X1028">
        <v>1</v>
      </c>
      <c r="AE1028">
        <v>1</v>
      </c>
      <c r="AJ1028">
        <v>2</v>
      </c>
    </row>
    <row r="1029" spans="2:36" x14ac:dyDescent="0.15">
      <c r="B1029">
        <v>197</v>
      </c>
      <c r="D1029">
        <v>27</v>
      </c>
      <c r="F1029">
        <v>20</v>
      </c>
      <c r="G1029">
        <v>9</v>
      </c>
      <c r="H1029">
        <v>1</v>
      </c>
      <c r="J1029">
        <v>13</v>
      </c>
      <c r="K1029">
        <v>4</v>
      </c>
      <c r="L1029">
        <v>1</v>
      </c>
      <c r="N1029">
        <v>6</v>
      </c>
      <c r="P1029">
        <v>5</v>
      </c>
      <c r="R1029">
        <v>1</v>
      </c>
      <c r="V1029">
        <v>1</v>
      </c>
      <c r="W1029">
        <v>2</v>
      </c>
      <c r="Z1029">
        <v>1</v>
      </c>
    </row>
    <row r="1030" spans="2:36" x14ac:dyDescent="0.15">
      <c r="B1030">
        <v>7</v>
      </c>
      <c r="D1030">
        <v>4</v>
      </c>
      <c r="F1030">
        <v>4</v>
      </c>
      <c r="G1030">
        <v>3</v>
      </c>
      <c r="I1030">
        <v>15</v>
      </c>
      <c r="L1030">
        <v>4</v>
      </c>
      <c r="P1030">
        <v>2</v>
      </c>
      <c r="U1030">
        <v>2</v>
      </c>
      <c r="AB1030">
        <v>1</v>
      </c>
      <c r="AD1030">
        <v>1</v>
      </c>
    </row>
    <row r="1031" spans="2:36" x14ac:dyDescent="0.15">
      <c r="B1031">
        <v>28</v>
      </c>
      <c r="D1031">
        <v>14</v>
      </c>
      <c r="F1031">
        <v>3</v>
      </c>
      <c r="G1031">
        <v>7</v>
      </c>
      <c r="H1031">
        <v>1</v>
      </c>
      <c r="I1031">
        <v>7</v>
      </c>
      <c r="L1031">
        <v>5</v>
      </c>
      <c r="N1031">
        <v>1</v>
      </c>
      <c r="R1031">
        <v>1</v>
      </c>
      <c r="U1031">
        <v>1</v>
      </c>
      <c r="X1031">
        <v>1</v>
      </c>
      <c r="Z1031">
        <v>1</v>
      </c>
      <c r="AJ1031">
        <v>7</v>
      </c>
    </row>
    <row r="1032" spans="2:36" x14ac:dyDescent="0.15">
      <c r="B1032">
        <v>103</v>
      </c>
      <c r="D1032">
        <v>45</v>
      </c>
      <c r="F1032">
        <v>17</v>
      </c>
      <c r="G1032">
        <v>15</v>
      </c>
      <c r="H1032">
        <v>2</v>
      </c>
      <c r="I1032">
        <v>49</v>
      </c>
      <c r="J1032">
        <v>7</v>
      </c>
      <c r="K1032">
        <v>12</v>
      </c>
      <c r="N1032">
        <v>11</v>
      </c>
      <c r="P1032">
        <v>2</v>
      </c>
      <c r="U1032">
        <v>1</v>
      </c>
      <c r="Z1032">
        <v>1</v>
      </c>
      <c r="AB1032">
        <v>3</v>
      </c>
      <c r="AD1032">
        <v>1</v>
      </c>
      <c r="AE1032">
        <v>1</v>
      </c>
      <c r="AI1032">
        <v>1</v>
      </c>
    </row>
    <row r="1034" spans="2:36" x14ac:dyDescent="0.15">
      <c r="C1034">
        <v>27</v>
      </c>
      <c r="E1034">
        <v>144</v>
      </c>
      <c r="G1034">
        <v>91</v>
      </c>
      <c r="H1034">
        <v>15</v>
      </c>
      <c r="I1034">
        <v>103</v>
      </c>
      <c r="J1034">
        <v>4</v>
      </c>
      <c r="K1034">
        <v>39</v>
      </c>
      <c r="L1034">
        <v>20</v>
      </c>
      <c r="O1034">
        <v>2</v>
      </c>
      <c r="Q1034">
        <v>14</v>
      </c>
      <c r="S1034">
        <v>3</v>
      </c>
      <c r="T1034">
        <v>3</v>
      </c>
      <c r="U1034">
        <v>7</v>
      </c>
      <c r="X1034">
        <v>1</v>
      </c>
      <c r="AA1034">
        <v>1</v>
      </c>
      <c r="AE1034">
        <v>2</v>
      </c>
      <c r="AF1034">
        <v>1</v>
      </c>
      <c r="AI1034">
        <v>1</v>
      </c>
      <c r="AJ1034">
        <v>2</v>
      </c>
    </row>
    <row r="1036" spans="2:36" x14ac:dyDescent="0.15">
      <c r="E1036">
        <v>37</v>
      </c>
      <c r="G1036">
        <v>35</v>
      </c>
      <c r="I1036">
        <v>8</v>
      </c>
      <c r="J1036">
        <v>6</v>
      </c>
      <c r="K1036">
        <v>12</v>
      </c>
      <c r="L1036">
        <v>6</v>
      </c>
      <c r="Q1036">
        <v>3</v>
      </c>
      <c r="W1036">
        <v>1</v>
      </c>
      <c r="AE1036">
        <v>3</v>
      </c>
      <c r="AI1036">
        <v>1</v>
      </c>
      <c r="AJ1036">
        <v>1</v>
      </c>
    </row>
    <row r="1038" spans="2:36" x14ac:dyDescent="0.15">
      <c r="G1038">
        <v>19</v>
      </c>
      <c r="H1038">
        <v>8</v>
      </c>
      <c r="I1038">
        <v>32</v>
      </c>
      <c r="J1038">
        <v>4</v>
      </c>
      <c r="K1038">
        <v>9</v>
      </c>
      <c r="L1038">
        <v>11</v>
      </c>
      <c r="S1038">
        <v>1</v>
      </c>
      <c r="T1038">
        <v>1</v>
      </c>
      <c r="AJ1038">
        <v>3</v>
      </c>
    </row>
    <row r="1039" spans="2:36" x14ac:dyDescent="0.15">
      <c r="B1039">
        <v>14</v>
      </c>
      <c r="D1039">
        <v>8</v>
      </c>
      <c r="F1039">
        <v>4</v>
      </c>
      <c r="H1039">
        <v>1</v>
      </c>
      <c r="I1039">
        <v>8</v>
      </c>
      <c r="J1039">
        <v>1</v>
      </c>
      <c r="K1039">
        <v>1</v>
      </c>
      <c r="L1039">
        <v>2</v>
      </c>
      <c r="N1039">
        <v>1</v>
      </c>
      <c r="X1039">
        <v>1</v>
      </c>
      <c r="Z1039">
        <v>1</v>
      </c>
      <c r="AI1039">
        <v>1</v>
      </c>
    </row>
    <row r="1040" spans="2:36" x14ac:dyDescent="0.15">
      <c r="B1040">
        <v>10</v>
      </c>
      <c r="D1040">
        <v>1</v>
      </c>
      <c r="F1040">
        <v>5</v>
      </c>
      <c r="G1040">
        <v>1</v>
      </c>
      <c r="I1040">
        <v>1</v>
      </c>
      <c r="L1040">
        <v>6</v>
      </c>
      <c r="X1040">
        <v>1</v>
      </c>
      <c r="AJ1040">
        <v>6</v>
      </c>
    </row>
    <row r="1041" spans="2:36" x14ac:dyDescent="0.15">
      <c r="B1041">
        <v>192</v>
      </c>
      <c r="D1041">
        <v>31</v>
      </c>
      <c r="F1041">
        <v>17</v>
      </c>
      <c r="G1041">
        <v>8</v>
      </c>
      <c r="H1041">
        <v>1</v>
      </c>
      <c r="J1041">
        <v>4</v>
      </c>
      <c r="K1041">
        <v>6</v>
      </c>
      <c r="L1041">
        <v>4</v>
      </c>
      <c r="N1041">
        <v>8</v>
      </c>
      <c r="P1041">
        <v>4</v>
      </c>
      <c r="R1041">
        <v>2</v>
      </c>
      <c r="V1041">
        <v>1</v>
      </c>
      <c r="AD1041">
        <v>1</v>
      </c>
    </row>
    <row r="1042" spans="2:36" x14ac:dyDescent="0.15">
      <c r="B1042">
        <v>3</v>
      </c>
      <c r="D1042">
        <v>4</v>
      </c>
      <c r="F1042">
        <v>2</v>
      </c>
      <c r="G1042">
        <v>1</v>
      </c>
      <c r="I1042">
        <v>10</v>
      </c>
      <c r="L1042">
        <v>3</v>
      </c>
      <c r="N1042">
        <v>1</v>
      </c>
      <c r="U1042">
        <v>1</v>
      </c>
      <c r="AJ1042">
        <v>1</v>
      </c>
    </row>
    <row r="1043" spans="2:36" x14ac:dyDescent="0.15">
      <c r="B1043">
        <v>34</v>
      </c>
      <c r="D1043">
        <v>10</v>
      </c>
      <c r="F1043">
        <v>9</v>
      </c>
      <c r="G1043">
        <v>3</v>
      </c>
      <c r="I1043">
        <v>5</v>
      </c>
      <c r="L1043">
        <v>3</v>
      </c>
      <c r="U1043">
        <v>1</v>
      </c>
      <c r="AJ1043">
        <v>2</v>
      </c>
    </row>
    <row r="1044" spans="2:36" x14ac:dyDescent="0.15">
      <c r="B1044">
        <v>69</v>
      </c>
      <c r="D1044">
        <v>33</v>
      </c>
      <c r="F1044">
        <v>17</v>
      </c>
      <c r="G1044">
        <v>11</v>
      </c>
      <c r="H1044">
        <v>3</v>
      </c>
      <c r="I1044">
        <v>33</v>
      </c>
      <c r="J1044">
        <v>4</v>
      </c>
      <c r="K1044">
        <v>12</v>
      </c>
      <c r="N1044">
        <v>8</v>
      </c>
      <c r="P1044">
        <v>1</v>
      </c>
      <c r="U1044">
        <v>3</v>
      </c>
      <c r="Z1044">
        <v>1</v>
      </c>
      <c r="AB1044">
        <v>2</v>
      </c>
      <c r="AD1044">
        <v>1</v>
      </c>
      <c r="AE1044">
        <v>1</v>
      </c>
    </row>
    <row r="1046" spans="2:36" x14ac:dyDescent="0.15">
      <c r="C1046">
        <v>20</v>
      </c>
      <c r="E1046">
        <v>100</v>
      </c>
      <c r="G1046">
        <v>49</v>
      </c>
      <c r="H1046">
        <v>5</v>
      </c>
      <c r="I1046">
        <v>53</v>
      </c>
      <c r="J1046">
        <v>6</v>
      </c>
      <c r="K1046">
        <v>14</v>
      </c>
      <c r="L1046">
        <v>11</v>
      </c>
      <c r="O1046">
        <v>1</v>
      </c>
      <c r="Q1046">
        <v>7</v>
      </c>
      <c r="S1046">
        <v>5</v>
      </c>
      <c r="U1046">
        <v>3</v>
      </c>
      <c r="X1046">
        <v>2</v>
      </c>
      <c r="AA1046">
        <v>1</v>
      </c>
      <c r="AE1046">
        <v>5</v>
      </c>
      <c r="AJ1046">
        <v>3</v>
      </c>
    </row>
    <row r="1048" spans="2:36" x14ac:dyDescent="0.15">
      <c r="E1048">
        <v>36</v>
      </c>
      <c r="G1048">
        <v>34</v>
      </c>
      <c r="H1048">
        <v>1</v>
      </c>
      <c r="I1048">
        <v>2</v>
      </c>
      <c r="J1048">
        <v>10</v>
      </c>
      <c r="K1048">
        <v>17</v>
      </c>
      <c r="L1048">
        <v>8</v>
      </c>
      <c r="Q1048">
        <v>2</v>
      </c>
      <c r="S1048">
        <v>1</v>
      </c>
      <c r="U1048">
        <v>1</v>
      </c>
      <c r="X1048">
        <v>1</v>
      </c>
      <c r="AI1048">
        <v>1</v>
      </c>
      <c r="AJ1048">
        <v>1</v>
      </c>
    </row>
    <row r="1050" spans="2:36" x14ac:dyDescent="0.15">
      <c r="G1050">
        <v>23</v>
      </c>
      <c r="H1050">
        <v>9</v>
      </c>
      <c r="I1050">
        <v>32</v>
      </c>
      <c r="J1050">
        <v>4</v>
      </c>
      <c r="K1050">
        <v>5</v>
      </c>
      <c r="L1050">
        <v>2</v>
      </c>
      <c r="T1050">
        <v>3</v>
      </c>
      <c r="U1050">
        <v>4</v>
      </c>
      <c r="AF1050">
        <v>1</v>
      </c>
      <c r="AI1050">
        <v>1</v>
      </c>
      <c r="AJ1050">
        <v>3</v>
      </c>
    </row>
    <row r="1051" spans="2:36" x14ac:dyDescent="0.15">
      <c r="B1051">
        <v>13</v>
      </c>
      <c r="D1051">
        <v>3</v>
      </c>
      <c r="F1051">
        <v>1</v>
      </c>
      <c r="I1051">
        <v>5</v>
      </c>
      <c r="K1051">
        <v>1</v>
      </c>
      <c r="L1051">
        <v>5</v>
      </c>
      <c r="AI1051">
        <v>1</v>
      </c>
      <c r="AJ1051">
        <v>1</v>
      </c>
    </row>
    <row r="1052" spans="2:36" x14ac:dyDescent="0.15">
      <c r="B1052">
        <v>12</v>
      </c>
      <c r="D1052">
        <v>3</v>
      </c>
      <c r="F1052">
        <v>4</v>
      </c>
      <c r="G1052">
        <v>1</v>
      </c>
      <c r="I1052">
        <v>5</v>
      </c>
      <c r="J1052">
        <v>1</v>
      </c>
      <c r="K1052">
        <v>1</v>
      </c>
      <c r="L1052">
        <v>4</v>
      </c>
      <c r="P1052">
        <v>1</v>
      </c>
      <c r="AJ1052">
        <v>7</v>
      </c>
    </row>
    <row r="1053" spans="2:36" x14ac:dyDescent="0.15">
      <c r="B1053">
        <v>153</v>
      </c>
      <c r="D1053">
        <v>20</v>
      </c>
      <c r="F1053">
        <v>16</v>
      </c>
      <c r="G1053">
        <v>1</v>
      </c>
      <c r="H1053">
        <v>2</v>
      </c>
      <c r="J1053">
        <v>5</v>
      </c>
      <c r="K1053">
        <v>4</v>
      </c>
      <c r="L1053">
        <v>3</v>
      </c>
      <c r="N1053">
        <v>6</v>
      </c>
      <c r="P1053">
        <v>3</v>
      </c>
      <c r="R1053">
        <v>2</v>
      </c>
      <c r="V1053">
        <v>1</v>
      </c>
      <c r="AJ1053">
        <v>1</v>
      </c>
    </row>
    <row r="1054" spans="2:36" x14ac:dyDescent="0.15">
      <c r="B1054">
        <v>9</v>
      </c>
      <c r="D1054">
        <v>7</v>
      </c>
      <c r="F1054">
        <v>2</v>
      </c>
      <c r="I1054">
        <v>12</v>
      </c>
      <c r="L1054">
        <v>1</v>
      </c>
      <c r="U1054">
        <v>2</v>
      </c>
    </row>
    <row r="1055" spans="2:36" x14ac:dyDescent="0.15">
      <c r="B1055">
        <v>14</v>
      </c>
      <c r="D1055">
        <v>8</v>
      </c>
      <c r="F1055">
        <v>3</v>
      </c>
      <c r="G1055">
        <v>5</v>
      </c>
      <c r="I1055">
        <v>13</v>
      </c>
      <c r="L1055">
        <v>3</v>
      </c>
      <c r="AJ1055">
        <v>1</v>
      </c>
    </row>
    <row r="1056" spans="2:36" x14ac:dyDescent="0.15">
      <c r="B1056">
        <v>80</v>
      </c>
      <c r="D1056">
        <v>36</v>
      </c>
      <c r="F1056">
        <v>18</v>
      </c>
      <c r="G1056">
        <v>7</v>
      </c>
      <c r="H1056">
        <v>2</v>
      </c>
      <c r="I1056">
        <v>43</v>
      </c>
      <c r="J1056">
        <v>4</v>
      </c>
      <c r="K1056">
        <v>13</v>
      </c>
      <c r="N1056">
        <v>9</v>
      </c>
      <c r="P1056">
        <v>4</v>
      </c>
      <c r="S1056">
        <v>1</v>
      </c>
      <c r="U1056">
        <v>5</v>
      </c>
      <c r="Z1056">
        <v>5</v>
      </c>
      <c r="AB1056">
        <v>5</v>
      </c>
      <c r="AD1056">
        <v>2</v>
      </c>
      <c r="AE1056">
        <v>2</v>
      </c>
      <c r="AF1056">
        <v>1</v>
      </c>
    </row>
    <row r="1058" spans="2:36" x14ac:dyDescent="0.15">
      <c r="C1058">
        <v>14</v>
      </c>
      <c r="E1058">
        <v>84</v>
      </c>
      <c r="G1058">
        <v>55</v>
      </c>
      <c r="H1058">
        <v>9</v>
      </c>
      <c r="I1058">
        <v>78</v>
      </c>
      <c r="J1058">
        <v>6</v>
      </c>
      <c r="K1058">
        <v>27</v>
      </c>
      <c r="L1058">
        <v>14</v>
      </c>
      <c r="Q1058">
        <v>4</v>
      </c>
      <c r="S1058">
        <v>1</v>
      </c>
      <c r="U1058">
        <v>3</v>
      </c>
      <c r="V1058">
        <v>1</v>
      </c>
      <c r="W1058">
        <v>2</v>
      </c>
      <c r="X1058">
        <v>1</v>
      </c>
      <c r="AC1058">
        <v>1</v>
      </c>
      <c r="AE1058">
        <v>7</v>
      </c>
      <c r="AJ1058">
        <v>2</v>
      </c>
    </row>
    <row r="1060" spans="2:36" x14ac:dyDescent="0.15">
      <c r="E1060">
        <v>33</v>
      </c>
      <c r="G1060">
        <v>25</v>
      </c>
      <c r="H1060">
        <v>2</v>
      </c>
      <c r="I1060">
        <v>10</v>
      </c>
      <c r="J1060">
        <v>3</v>
      </c>
      <c r="K1060">
        <v>13</v>
      </c>
      <c r="L1060">
        <v>14</v>
      </c>
      <c r="S1060">
        <v>1</v>
      </c>
      <c r="V1060">
        <v>1</v>
      </c>
      <c r="AE1060">
        <v>4</v>
      </c>
      <c r="AJ1060">
        <v>6</v>
      </c>
    </row>
    <row r="1062" spans="2:36" x14ac:dyDescent="0.15">
      <c r="G1062">
        <v>11</v>
      </c>
      <c r="H1062">
        <v>11</v>
      </c>
      <c r="I1062">
        <v>31</v>
      </c>
      <c r="J1062">
        <v>5</v>
      </c>
      <c r="K1062">
        <v>14</v>
      </c>
      <c r="L1062">
        <v>6</v>
      </c>
      <c r="S1062">
        <v>1</v>
      </c>
      <c r="T1062">
        <v>1</v>
      </c>
      <c r="AI1062">
        <v>1</v>
      </c>
      <c r="AJ1062">
        <v>5</v>
      </c>
    </row>
    <row r="1063" spans="2:36" x14ac:dyDescent="0.15">
      <c r="B1063">
        <v>20</v>
      </c>
      <c r="D1063">
        <v>5</v>
      </c>
      <c r="F1063">
        <v>1</v>
      </c>
      <c r="I1063">
        <v>2</v>
      </c>
      <c r="J1063">
        <v>3</v>
      </c>
      <c r="K1063">
        <v>1</v>
      </c>
      <c r="L1063">
        <v>1</v>
      </c>
    </row>
    <row r="1064" spans="2:36" x14ac:dyDescent="0.15">
      <c r="B1064">
        <v>7</v>
      </c>
      <c r="D1064">
        <v>3</v>
      </c>
      <c r="F1064">
        <v>6</v>
      </c>
      <c r="G1064">
        <v>1</v>
      </c>
      <c r="I1064">
        <v>7</v>
      </c>
      <c r="K1064">
        <v>1</v>
      </c>
      <c r="L1064">
        <v>3</v>
      </c>
      <c r="N1064">
        <v>1</v>
      </c>
      <c r="AG1064">
        <v>1</v>
      </c>
      <c r="AJ1064">
        <v>7</v>
      </c>
    </row>
    <row r="1065" spans="2:36" x14ac:dyDescent="0.15">
      <c r="B1065">
        <v>152</v>
      </c>
      <c r="D1065">
        <v>34</v>
      </c>
      <c r="F1065">
        <v>16</v>
      </c>
      <c r="G1065">
        <v>4</v>
      </c>
      <c r="H1065">
        <v>1</v>
      </c>
      <c r="J1065">
        <v>2</v>
      </c>
      <c r="K1065">
        <v>3</v>
      </c>
      <c r="L1065">
        <v>2</v>
      </c>
      <c r="N1065">
        <v>3</v>
      </c>
      <c r="P1065">
        <v>2</v>
      </c>
      <c r="R1065">
        <v>3</v>
      </c>
      <c r="S1065">
        <v>1</v>
      </c>
      <c r="V1065">
        <v>2</v>
      </c>
      <c r="AE1065">
        <v>1</v>
      </c>
      <c r="AJ1065">
        <v>1</v>
      </c>
    </row>
    <row r="1066" spans="2:36" x14ac:dyDescent="0.15">
      <c r="B1066">
        <v>9</v>
      </c>
      <c r="D1066">
        <v>2</v>
      </c>
      <c r="F1066">
        <v>2</v>
      </c>
      <c r="G1066">
        <v>2</v>
      </c>
      <c r="I1066">
        <v>13</v>
      </c>
      <c r="L1066">
        <v>1</v>
      </c>
      <c r="U1066">
        <v>2</v>
      </c>
      <c r="AJ1066">
        <v>1</v>
      </c>
    </row>
    <row r="1067" spans="2:36" x14ac:dyDescent="0.15">
      <c r="B1067">
        <v>22</v>
      </c>
      <c r="D1067">
        <v>14</v>
      </c>
      <c r="F1067">
        <v>10</v>
      </c>
      <c r="G1067">
        <v>2</v>
      </c>
      <c r="I1067">
        <v>8</v>
      </c>
      <c r="N1067">
        <v>1</v>
      </c>
      <c r="U1067">
        <v>1</v>
      </c>
    </row>
    <row r="1068" spans="2:36" x14ac:dyDescent="0.15">
      <c r="B1068">
        <v>53</v>
      </c>
      <c r="D1068">
        <v>35</v>
      </c>
      <c r="F1068">
        <v>10</v>
      </c>
      <c r="G1068">
        <v>5</v>
      </c>
      <c r="I1068">
        <v>49</v>
      </c>
      <c r="J1068">
        <v>3</v>
      </c>
      <c r="K1068">
        <v>10</v>
      </c>
      <c r="N1068">
        <v>3</v>
      </c>
      <c r="P1068">
        <v>2</v>
      </c>
      <c r="Z1068">
        <v>1</v>
      </c>
      <c r="AB1068">
        <v>2</v>
      </c>
      <c r="AD1068">
        <v>2</v>
      </c>
      <c r="AE1068">
        <v>3</v>
      </c>
      <c r="AF1068">
        <v>1</v>
      </c>
      <c r="AI1068">
        <v>2</v>
      </c>
    </row>
    <row r="1070" spans="2:36" x14ac:dyDescent="0.15">
      <c r="C1070">
        <v>22</v>
      </c>
      <c r="E1070">
        <v>115</v>
      </c>
      <c r="G1070">
        <v>76</v>
      </c>
      <c r="H1070">
        <v>13</v>
      </c>
      <c r="I1070">
        <v>97</v>
      </c>
      <c r="J1070">
        <v>9</v>
      </c>
      <c r="K1070">
        <v>32</v>
      </c>
      <c r="L1070">
        <v>21</v>
      </c>
      <c r="Q1070">
        <v>6</v>
      </c>
      <c r="S1070">
        <v>1</v>
      </c>
      <c r="U1070">
        <v>5</v>
      </c>
      <c r="W1070">
        <v>2</v>
      </c>
      <c r="X1070">
        <v>1</v>
      </c>
      <c r="AA1070">
        <v>1</v>
      </c>
      <c r="AC1070">
        <v>5</v>
      </c>
      <c r="AE1070">
        <v>5</v>
      </c>
      <c r="AF1070">
        <v>2</v>
      </c>
      <c r="AI1070">
        <v>3</v>
      </c>
      <c r="AJ1070">
        <v>5</v>
      </c>
    </row>
    <row r="1072" spans="2:36" x14ac:dyDescent="0.15">
      <c r="E1072">
        <v>34</v>
      </c>
      <c r="G1072">
        <v>21</v>
      </c>
      <c r="I1072">
        <v>7</v>
      </c>
      <c r="J1072">
        <v>3</v>
      </c>
      <c r="K1072">
        <v>15</v>
      </c>
      <c r="L1072">
        <v>4</v>
      </c>
      <c r="W1072">
        <v>1</v>
      </c>
      <c r="AC1072">
        <v>1</v>
      </c>
      <c r="AJ1072">
        <v>1</v>
      </c>
    </row>
    <row r="1074" spans="2:36" x14ac:dyDescent="0.15">
      <c r="G1074">
        <v>7</v>
      </c>
      <c r="H1074">
        <v>5</v>
      </c>
      <c r="I1074">
        <v>18</v>
      </c>
      <c r="J1074">
        <v>3</v>
      </c>
      <c r="K1074">
        <v>7</v>
      </c>
      <c r="L1074">
        <v>6</v>
      </c>
      <c r="S1074">
        <v>1</v>
      </c>
      <c r="T1074">
        <v>1</v>
      </c>
      <c r="U1074">
        <v>1</v>
      </c>
      <c r="X1074">
        <v>1</v>
      </c>
      <c r="AJ1074">
        <v>1</v>
      </c>
    </row>
    <row r="1075" spans="2:36" x14ac:dyDescent="0.15">
      <c r="B1075">
        <v>16</v>
      </c>
      <c r="D1075">
        <v>5</v>
      </c>
      <c r="H1075">
        <v>2</v>
      </c>
      <c r="I1075">
        <v>4</v>
      </c>
      <c r="J1075">
        <v>1</v>
      </c>
      <c r="L1075">
        <v>1</v>
      </c>
      <c r="P1075">
        <v>1</v>
      </c>
      <c r="AJ1075">
        <v>1</v>
      </c>
    </row>
    <row r="1076" spans="2:36" x14ac:dyDescent="0.15">
      <c r="B1076">
        <v>6</v>
      </c>
      <c r="D1076">
        <v>1</v>
      </c>
      <c r="F1076">
        <v>4</v>
      </c>
      <c r="G1076">
        <v>2</v>
      </c>
      <c r="I1076">
        <v>5</v>
      </c>
      <c r="J1076">
        <v>2</v>
      </c>
      <c r="K1076">
        <v>3</v>
      </c>
      <c r="L1076">
        <v>6</v>
      </c>
      <c r="X1076">
        <v>1</v>
      </c>
      <c r="AJ1076">
        <v>3</v>
      </c>
    </row>
    <row r="1077" spans="2:36" x14ac:dyDescent="0.15">
      <c r="B1077">
        <v>173</v>
      </c>
      <c r="D1077">
        <v>35</v>
      </c>
      <c r="F1077">
        <v>17</v>
      </c>
      <c r="G1077">
        <v>2</v>
      </c>
      <c r="J1077">
        <v>3</v>
      </c>
      <c r="K1077">
        <v>7</v>
      </c>
      <c r="L1077">
        <v>2</v>
      </c>
      <c r="N1077">
        <v>7</v>
      </c>
      <c r="P1077">
        <v>4</v>
      </c>
      <c r="R1077">
        <v>2</v>
      </c>
      <c r="V1077">
        <v>2</v>
      </c>
      <c r="AF1077">
        <v>1</v>
      </c>
    </row>
    <row r="1078" spans="2:36" x14ac:dyDescent="0.15">
      <c r="B1078">
        <v>4</v>
      </c>
      <c r="D1078">
        <v>7</v>
      </c>
      <c r="I1078">
        <v>13</v>
      </c>
      <c r="L1078">
        <v>3</v>
      </c>
      <c r="N1078">
        <v>1</v>
      </c>
    </row>
    <row r="1079" spans="2:36" x14ac:dyDescent="0.15">
      <c r="B1079">
        <v>22</v>
      </c>
      <c r="D1079">
        <v>3</v>
      </c>
      <c r="F1079">
        <v>7</v>
      </c>
      <c r="G1079">
        <v>2</v>
      </c>
      <c r="I1079">
        <v>11</v>
      </c>
      <c r="L1079">
        <v>1</v>
      </c>
      <c r="N1079">
        <v>1</v>
      </c>
      <c r="AJ1079">
        <v>1</v>
      </c>
    </row>
    <row r="1080" spans="2:36" x14ac:dyDescent="0.15">
      <c r="B1080">
        <v>58</v>
      </c>
      <c r="D1080">
        <v>24</v>
      </c>
      <c r="F1080">
        <v>9</v>
      </c>
      <c r="G1080">
        <v>6</v>
      </c>
      <c r="H1080">
        <v>4</v>
      </c>
      <c r="I1080">
        <v>53</v>
      </c>
      <c r="J1080">
        <v>4</v>
      </c>
      <c r="K1080">
        <v>9</v>
      </c>
      <c r="N1080">
        <v>5</v>
      </c>
      <c r="P1080">
        <v>1</v>
      </c>
      <c r="R1080">
        <v>1</v>
      </c>
      <c r="U1080">
        <v>1</v>
      </c>
      <c r="W1080">
        <v>1</v>
      </c>
      <c r="Z1080">
        <v>4</v>
      </c>
      <c r="AB1080">
        <v>5</v>
      </c>
      <c r="AE1080">
        <v>3</v>
      </c>
      <c r="AF1080">
        <v>1</v>
      </c>
      <c r="AH1080">
        <v>1</v>
      </c>
      <c r="AI1080">
        <v>1</v>
      </c>
    </row>
    <row r="1082" spans="2:36" x14ac:dyDescent="0.15">
      <c r="C1082">
        <v>14</v>
      </c>
      <c r="E1082">
        <v>100</v>
      </c>
      <c r="G1082">
        <v>62</v>
      </c>
      <c r="H1082">
        <v>6</v>
      </c>
      <c r="I1082">
        <v>77</v>
      </c>
      <c r="J1082">
        <v>3</v>
      </c>
      <c r="K1082">
        <v>33</v>
      </c>
      <c r="L1082">
        <v>17</v>
      </c>
      <c r="O1082">
        <v>1</v>
      </c>
      <c r="Q1082">
        <v>8</v>
      </c>
      <c r="S1082">
        <v>3</v>
      </c>
      <c r="U1082">
        <v>4</v>
      </c>
      <c r="X1082">
        <v>6</v>
      </c>
      <c r="AA1082">
        <v>1</v>
      </c>
      <c r="AC1082">
        <v>2</v>
      </c>
      <c r="AE1082">
        <v>5</v>
      </c>
      <c r="AF1082">
        <v>1</v>
      </c>
      <c r="AI1082">
        <v>1</v>
      </c>
      <c r="AJ1082">
        <v>5</v>
      </c>
    </row>
    <row r="1084" spans="2:36" x14ac:dyDescent="0.15">
      <c r="E1084">
        <v>20</v>
      </c>
      <c r="G1084">
        <v>27</v>
      </c>
      <c r="H1084">
        <v>1</v>
      </c>
      <c r="I1084">
        <v>12</v>
      </c>
      <c r="J1084">
        <v>4</v>
      </c>
      <c r="K1084">
        <v>10</v>
      </c>
      <c r="L1084">
        <v>13</v>
      </c>
      <c r="Q1084">
        <v>2</v>
      </c>
      <c r="S1084">
        <v>1</v>
      </c>
      <c r="AC1084">
        <v>2</v>
      </c>
      <c r="AE1084">
        <v>1</v>
      </c>
      <c r="AJ1084">
        <v>4</v>
      </c>
    </row>
    <row r="1086" spans="2:36" x14ac:dyDescent="0.15">
      <c r="G1086">
        <v>9</v>
      </c>
      <c r="H1086">
        <v>2</v>
      </c>
      <c r="I1086">
        <v>46</v>
      </c>
      <c r="J1086">
        <v>1</v>
      </c>
      <c r="K1086">
        <v>12</v>
      </c>
      <c r="L1086">
        <v>7</v>
      </c>
      <c r="U1086">
        <v>2</v>
      </c>
      <c r="W1086">
        <v>2</v>
      </c>
      <c r="X1086">
        <v>1</v>
      </c>
      <c r="AI1086">
        <v>1</v>
      </c>
      <c r="AJ1086">
        <v>2</v>
      </c>
    </row>
    <row r="1087" spans="2:36" x14ac:dyDescent="0.15">
      <c r="B1087">
        <v>12</v>
      </c>
      <c r="D1087">
        <v>5</v>
      </c>
      <c r="F1087">
        <v>2</v>
      </c>
      <c r="H1087">
        <v>2</v>
      </c>
      <c r="I1087">
        <v>3</v>
      </c>
      <c r="J1087">
        <v>1</v>
      </c>
      <c r="K1087">
        <v>1</v>
      </c>
      <c r="L1087">
        <v>1</v>
      </c>
      <c r="AJ1087">
        <v>4</v>
      </c>
    </row>
    <row r="1088" spans="2:36" x14ac:dyDescent="0.15">
      <c r="B1088">
        <v>3</v>
      </c>
      <c r="D1088">
        <v>1</v>
      </c>
      <c r="F1088">
        <v>2</v>
      </c>
      <c r="I1088">
        <v>5</v>
      </c>
      <c r="L1088">
        <v>4</v>
      </c>
      <c r="N1088">
        <v>1</v>
      </c>
      <c r="U1088">
        <v>1</v>
      </c>
      <c r="AJ1088">
        <v>5</v>
      </c>
    </row>
    <row r="1089" spans="2:36" x14ac:dyDescent="0.15">
      <c r="B1089">
        <v>137</v>
      </c>
      <c r="D1089">
        <v>22</v>
      </c>
      <c r="F1089">
        <v>18</v>
      </c>
      <c r="G1089">
        <v>3</v>
      </c>
      <c r="H1089">
        <v>1</v>
      </c>
      <c r="J1089">
        <v>3</v>
      </c>
      <c r="K1089">
        <v>1</v>
      </c>
      <c r="N1089">
        <v>5</v>
      </c>
      <c r="P1089">
        <v>3</v>
      </c>
      <c r="R1089">
        <v>2</v>
      </c>
      <c r="V1089">
        <v>2</v>
      </c>
      <c r="AB1089">
        <v>2</v>
      </c>
      <c r="AJ1089">
        <v>1</v>
      </c>
    </row>
    <row r="1090" spans="2:36" x14ac:dyDescent="0.15">
      <c r="B1090">
        <v>2</v>
      </c>
      <c r="D1090">
        <v>1</v>
      </c>
      <c r="F1090">
        <v>3</v>
      </c>
      <c r="I1090">
        <v>20</v>
      </c>
      <c r="U1090">
        <v>1</v>
      </c>
    </row>
    <row r="1091" spans="2:36" x14ac:dyDescent="0.15">
      <c r="B1091">
        <v>10</v>
      </c>
      <c r="D1091">
        <v>5</v>
      </c>
      <c r="F1091">
        <v>4</v>
      </c>
      <c r="G1091">
        <v>2</v>
      </c>
      <c r="H1091">
        <v>1</v>
      </c>
      <c r="I1091">
        <v>11</v>
      </c>
      <c r="L1091">
        <v>2</v>
      </c>
      <c r="AE1091">
        <v>1</v>
      </c>
      <c r="AJ1091">
        <v>2</v>
      </c>
    </row>
    <row r="1092" spans="2:36" x14ac:dyDescent="0.15">
      <c r="B1092">
        <v>61</v>
      </c>
      <c r="D1092">
        <v>31</v>
      </c>
      <c r="F1092">
        <v>9</v>
      </c>
      <c r="G1092">
        <v>5</v>
      </c>
      <c r="H1092">
        <v>1</v>
      </c>
      <c r="I1092">
        <v>47</v>
      </c>
      <c r="J1092">
        <v>4</v>
      </c>
      <c r="K1092">
        <v>8</v>
      </c>
      <c r="N1092">
        <v>3</v>
      </c>
      <c r="P1092">
        <v>2</v>
      </c>
      <c r="S1092">
        <v>1</v>
      </c>
      <c r="T1092">
        <v>1</v>
      </c>
      <c r="U1092">
        <v>1</v>
      </c>
      <c r="Z1092">
        <v>3</v>
      </c>
      <c r="AB1092">
        <v>1</v>
      </c>
      <c r="AD1092">
        <v>1</v>
      </c>
      <c r="AE1092">
        <v>1</v>
      </c>
    </row>
    <row r="1094" spans="2:36" x14ac:dyDescent="0.15">
      <c r="C1094">
        <v>17</v>
      </c>
      <c r="E1094">
        <v>85</v>
      </c>
      <c r="G1094">
        <v>31</v>
      </c>
      <c r="H1094">
        <v>2</v>
      </c>
      <c r="I1094">
        <v>80</v>
      </c>
      <c r="J1094">
        <v>6</v>
      </c>
      <c r="K1094">
        <v>26</v>
      </c>
      <c r="L1094">
        <v>13</v>
      </c>
      <c r="Q1094">
        <v>6</v>
      </c>
      <c r="S1094">
        <v>3</v>
      </c>
      <c r="U1094">
        <v>8</v>
      </c>
      <c r="W1094">
        <v>1</v>
      </c>
      <c r="X1094">
        <v>2</v>
      </c>
      <c r="AC1094">
        <v>2</v>
      </c>
      <c r="AE1094">
        <v>9</v>
      </c>
      <c r="AG1094">
        <v>1</v>
      </c>
      <c r="AH1094">
        <v>1</v>
      </c>
      <c r="AJ1094">
        <v>4</v>
      </c>
    </row>
    <row r="1096" spans="2:36" x14ac:dyDescent="0.15">
      <c r="E1096">
        <v>7</v>
      </c>
      <c r="G1096">
        <v>26</v>
      </c>
      <c r="H1096">
        <v>2</v>
      </c>
      <c r="I1096">
        <v>9</v>
      </c>
      <c r="J1096">
        <v>3</v>
      </c>
      <c r="K1096">
        <v>11</v>
      </c>
      <c r="L1096">
        <v>10</v>
      </c>
      <c r="S1096">
        <v>1</v>
      </c>
      <c r="X1096">
        <v>2</v>
      </c>
      <c r="AE1096">
        <v>2</v>
      </c>
      <c r="AJ1096">
        <v>4</v>
      </c>
    </row>
    <row r="1098" spans="2:36" x14ac:dyDescent="0.15">
      <c r="G1098">
        <v>9</v>
      </c>
      <c r="H1098">
        <v>6</v>
      </c>
      <c r="I1098">
        <v>36</v>
      </c>
      <c r="J1098">
        <v>4</v>
      </c>
      <c r="K1098">
        <v>8</v>
      </c>
      <c r="L1098">
        <v>5</v>
      </c>
      <c r="U1098">
        <v>1</v>
      </c>
      <c r="AJ1098">
        <v>2</v>
      </c>
    </row>
    <row r="1099" spans="2:36" x14ac:dyDescent="0.15">
      <c r="B1099">
        <v>21</v>
      </c>
      <c r="D1099">
        <v>4</v>
      </c>
      <c r="F1099">
        <v>4</v>
      </c>
      <c r="H1099">
        <v>1</v>
      </c>
      <c r="I1099">
        <v>9</v>
      </c>
      <c r="K1099">
        <v>1</v>
      </c>
      <c r="L1099">
        <v>2</v>
      </c>
      <c r="N1099">
        <v>1</v>
      </c>
      <c r="X1099">
        <v>1</v>
      </c>
      <c r="AI1099">
        <v>1</v>
      </c>
    </row>
    <row r="1100" spans="2:36" x14ac:dyDescent="0.15">
      <c r="D1100">
        <v>1</v>
      </c>
      <c r="F1100">
        <v>5</v>
      </c>
      <c r="G1100">
        <v>1</v>
      </c>
      <c r="I1100">
        <v>2</v>
      </c>
      <c r="L1100">
        <v>2</v>
      </c>
      <c r="X1100">
        <v>1</v>
      </c>
      <c r="AJ1100">
        <v>1</v>
      </c>
    </row>
    <row r="1101" spans="2:36" x14ac:dyDescent="0.15">
      <c r="B1101">
        <v>163</v>
      </c>
      <c r="D1101">
        <v>17</v>
      </c>
      <c r="F1101">
        <v>15</v>
      </c>
      <c r="G1101">
        <v>7</v>
      </c>
      <c r="J1101">
        <v>4</v>
      </c>
      <c r="K1101">
        <v>3</v>
      </c>
      <c r="L1101">
        <v>4</v>
      </c>
      <c r="N1101">
        <v>2</v>
      </c>
      <c r="P1101">
        <v>4</v>
      </c>
      <c r="R1101">
        <v>3</v>
      </c>
      <c r="W1101">
        <v>2</v>
      </c>
    </row>
    <row r="1102" spans="2:36" x14ac:dyDescent="0.15">
      <c r="B1102">
        <v>2</v>
      </c>
      <c r="D1102">
        <v>3</v>
      </c>
      <c r="F1102">
        <v>1</v>
      </c>
      <c r="I1102">
        <v>16</v>
      </c>
      <c r="P1102">
        <v>1</v>
      </c>
      <c r="U1102">
        <v>1</v>
      </c>
    </row>
    <row r="1103" spans="2:36" x14ac:dyDescent="0.15">
      <c r="B1103">
        <v>11</v>
      </c>
      <c r="D1103">
        <v>2</v>
      </c>
      <c r="F1103">
        <v>2</v>
      </c>
      <c r="G1103">
        <v>1</v>
      </c>
      <c r="H1103">
        <v>1</v>
      </c>
      <c r="I1103">
        <v>4</v>
      </c>
      <c r="L1103">
        <v>4</v>
      </c>
      <c r="AJ1103">
        <v>1</v>
      </c>
    </row>
    <row r="1104" spans="2:36" x14ac:dyDescent="0.15">
      <c r="B1104">
        <v>47</v>
      </c>
      <c r="D1104">
        <v>18</v>
      </c>
      <c r="F1104">
        <v>8</v>
      </c>
      <c r="G1104">
        <v>2</v>
      </c>
      <c r="H1104">
        <v>1</v>
      </c>
      <c r="I1104">
        <v>23</v>
      </c>
      <c r="J1104">
        <v>2</v>
      </c>
      <c r="K1104">
        <v>6</v>
      </c>
      <c r="N1104">
        <v>4</v>
      </c>
      <c r="P1104">
        <v>2</v>
      </c>
      <c r="V1104">
        <v>1</v>
      </c>
      <c r="Z1104">
        <v>7</v>
      </c>
      <c r="AB1104">
        <v>1</v>
      </c>
      <c r="AD1104">
        <v>1</v>
      </c>
      <c r="AE1104">
        <v>3</v>
      </c>
    </row>
    <row r="1106" spans="2:36" x14ac:dyDescent="0.15">
      <c r="C1106">
        <v>5</v>
      </c>
      <c r="E1106">
        <v>62</v>
      </c>
      <c r="G1106">
        <v>39</v>
      </c>
      <c r="H1106">
        <v>4</v>
      </c>
      <c r="I1106">
        <v>74</v>
      </c>
      <c r="J1106">
        <v>7</v>
      </c>
      <c r="K1106">
        <v>9</v>
      </c>
      <c r="L1106">
        <v>7</v>
      </c>
      <c r="O1106">
        <v>1</v>
      </c>
      <c r="Q1106">
        <v>2</v>
      </c>
      <c r="U1106">
        <v>4</v>
      </c>
      <c r="W1106">
        <v>1</v>
      </c>
      <c r="AC1106">
        <v>1</v>
      </c>
      <c r="AE1106">
        <v>3</v>
      </c>
      <c r="AF1106">
        <v>1</v>
      </c>
      <c r="AJ1106">
        <v>3</v>
      </c>
    </row>
    <row r="1108" spans="2:36" x14ac:dyDescent="0.15">
      <c r="E1108">
        <v>15</v>
      </c>
      <c r="G1108">
        <v>21</v>
      </c>
      <c r="I1108">
        <v>9</v>
      </c>
      <c r="J1108">
        <v>3</v>
      </c>
      <c r="K1108">
        <v>8</v>
      </c>
      <c r="L1108">
        <v>5</v>
      </c>
      <c r="Q1108">
        <v>1</v>
      </c>
      <c r="S1108">
        <v>2</v>
      </c>
      <c r="AC1108">
        <v>1</v>
      </c>
      <c r="AJ1108">
        <v>7</v>
      </c>
    </row>
    <row r="1110" spans="2:36" x14ac:dyDescent="0.15">
      <c r="G1110">
        <v>10</v>
      </c>
      <c r="H1110">
        <v>6</v>
      </c>
      <c r="I1110">
        <v>58</v>
      </c>
      <c r="J1110">
        <v>2</v>
      </c>
      <c r="K1110">
        <v>6</v>
      </c>
      <c r="L1110">
        <v>4</v>
      </c>
      <c r="U1110">
        <v>6</v>
      </c>
      <c r="W1110">
        <v>1</v>
      </c>
      <c r="AJ1110">
        <v>2</v>
      </c>
    </row>
    <row r="1111" spans="2:36" x14ac:dyDescent="0.15">
      <c r="B1111">
        <v>10</v>
      </c>
      <c r="D1111">
        <v>5</v>
      </c>
      <c r="F1111">
        <v>5</v>
      </c>
      <c r="H1111">
        <v>1</v>
      </c>
      <c r="I1111">
        <v>6</v>
      </c>
      <c r="L1111">
        <v>2</v>
      </c>
    </row>
    <row r="1112" spans="2:36" x14ac:dyDescent="0.15">
      <c r="B1112">
        <v>2</v>
      </c>
      <c r="D1112">
        <v>2</v>
      </c>
      <c r="F1112">
        <v>1</v>
      </c>
      <c r="G1112">
        <v>1</v>
      </c>
      <c r="I1112">
        <v>2</v>
      </c>
      <c r="L1112">
        <v>5</v>
      </c>
      <c r="U1112">
        <v>1</v>
      </c>
    </row>
    <row r="1113" spans="2:36" x14ac:dyDescent="0.15">
      <c r="B1113">
        <v>180</v>
      </c>
      <c r="D1113">
        <v>29</v>
      </c>
      <c r="F1113">
        <v>17</v>
      </c>
      <c r="G1113">
        <v>7</v>
      </c>
      <c r="H1113">
        <v>1</v>
      </c>
      <c r="J1113">
        <v>8</v>
      </c>
      <c r="K1113">
        <v>6</v>
      </c>
      <c r="L1113">
        <v>7</v>
      </c>
      <c r="N1113">
        <v>5</v>
      </c>
      <c r="P1113">
        <v>2</v>
      </c>
      <c r="R1113">
        <v>2</v>
      </c>
      <c r="W1113">
        <v>3</v>
      </c>
      <c r="Z1113">
        <v>1</v>
      </c>
    </row>
    <row r="1114" spans="2:36" x14ac:dyDescent="0.15">
      <c r="B1114">
        <v>3</v>
      </c>
      <c r="D1114">
        <v>3</v>
      </c>
      <c r="F1114">
        <v>5</v>
      </c>
      <c r="G1114">
        <v>2</v>
      </c>
      <c r="I1114">
        <v>15</v>
      </c>
      <c r="S1114">
        <v>1</v>
      </c>
      <c r="AJ1114">
        <v>1</v>
      </c>
    </row>
    <row r="1115" spans="2:36" x14ac:dyDescent="0.15">
      <c r="B1115">
        <v>4</v>
      </c>
      <c r="D1115">
        <v>9</v>
      </c>
      <c r="F1115">
        <v>3</v>
      </c>
      <c r="I1115">
        <v>9</v>
      </c>
      <c r="L1115">
        <v>1</v>
      </c>
      <c r="N1115">
        <v>1</v>
      </c>
      <c r="S1115">
        <v>1</v>
      </c>
      <c r="U1115">
        <v>1</v>
      </c>
      <c r="AJ1115">
        <v>2</v>
      </c>
    </row>
    <row r="1116" spans="2:36" x14ac:dyDescent="0.15">
      <c r="B1116">
        <v>40</v>
      </c>
      <c r="D1116">
        <v>15</v>
      </c>
      <c r="F1116">
        <v>6</v>
      </c>
      <c r="G1116">
        <v>6</v>
      </c>
      <c r="I1116">
        <v>38</v>
      </c>
      <c r="J1116">
        <v>2</v>
      </c>
      <c r="K1116">
        <v>12</v>
      </c>
      <c r="N1116">
        <v>3</v>
      </c>
      <c r="P1116">
        <v>1</v>
      </c>
      <c r="R1116">
        <v>3</v>
      </c>
      <c r="U1116">
        <v>1</v>
      </c>
      <c r="Z1116">
        <v>3</v>
      </c>
      <c r="AB1116">
        <v>3</v>
      </c>
      <c r="AD1116">
        <v>3</v>
      </c>
    </row>
    <row r="1118" spans="2:36" x14ac:dyDescent="0.15">
      <c r="C1118">
        <v>7</v>
      </c>
      <c r="E1118">
        <v>69</v>
      </c>
      <c r="G1118">
        <v>19</v>
      </c>
      <c r="H1118">
        <v>3</v>
      </c>
      <c r="I1118">
        <v>57</v>
      </c>
      <c r="J1118">
        <v>5</v>
      </c>
      <c r="K1118">
        <v>2</v>
      </c>
      <c r="L1118">
        <v>7</v>
      </c>
      <c r="O1118">
        <v>1</v>
      </c>
      <c r="Q1118">
        <v>5</v>
      </c>
      <c r="U1118">
        <v>6</v>
      </c>
      <c r="X1118">
        <v>1</v>
      </c>
      <c r="AA1118">
        <v>1</v>
      </c>
      <c r="AC1118">
        <v>3</v>
      </c>
      <c r="AE1118">
        <v>3</v>
      </c>
      <c r="AJ1118">
        <v>1</v>
      </c>
    </row>
    <row r="1120" spans="2:36" x14ac:dyDescent="0.15">
      <c r="E1120">
        <v>12</v>
      </c>
      <c r="G1120">
        <v>15</v>
      </c>
      <c r="I1120">
        <v>11</v>
      </c>
      <c r="J1120">
        <v>2</v>
      </c>
      <c r="K1120">
        <v>7</v>
      </c>
      <c r="L1120">
        <v>6</v>
      </c>
      <c r="U1120">
        <v>1</v>
      </c>
      <c r="AI1120">
        <v>1</v>
      </c>
      <c r="AJ1120">
        <v>1</v>
      </c>
    </row>
    <row r="1122" spans="2:36" x14ac:dyDescent="0.15">
      <c r="G1122">
        <v>7</v>
      </c>
      <c r="H1122">
        <v>6</v>
      </c>
      <c r="I1122">
        <v>68</v>
      </c>
      <c r="K1122">
        <v>8</v>
      </c>
      <c r="L1122">
        <v>6</v>
      </c>
      <c r="AE1122">
        <v>1</v>
      </c>
      <c r="AJ1122">
        <v>4</v>
      </c>
    </row>
    <row r="1123" spans="2:36" x14ac:dyDescent="0.15">
      <c r="B1123">
        <v>17</v>
      </c>
      <c r="D1123">
        <v>7</v>
      </c>
      <c r="F1123">
        <v>5</v>
      </c>
      <c r="H1123">
        <v>1</v>
      </c>
      <c r="I1123">
        <v>13</v>
      </c>
      <c r="J1123">
        <v>1</v>
      </c>
      <c r="K1123">
        <v>1</v>
      </c>
      <c r="L1123">
        <v>1</v>
      </c>
      <c r="U1123">
        <v>1</v>
      </c>
    </row>
    <row r="1124" spans="2:36" x14ac:dyDescent="0.15">
      <c r="B1124">
        <v>3</v>
      </c>
      <c r="D1124">
        <v>1</v>
      </c>
      <c r="F1124">
        <v>1</v>
      </c>
      <c r="G1124">
        <v>4</v>
      </c>
      <c r="I1124">
        <v>4</v>
      </c>
      <c r="L1124">
        <v>4</v>
      </c>
      <c r="AE1124">
        <v>1</v>
      </c>
      <c r="AJ1124">
        <v>3</v>
      </c>
    </row>
    <row r="1125" spans="2:36" x14ac:dyDescent="0.15">
      <c r="B1125">
        <v>154</v>
      </c>
      <c r="D1125">
        <v>18</v>
      </c>
      <c r="F1125">
        <v>12</v>
      </c>
      <c r="G1125">
        <v>5</v>
      </c>
      <c r="J1125">
        <v>5</v>
      </c>
      <c r="K1125">
        <v>2</v>
      </c>
      <c r="N1125">
        <v>7</v>
      </c>
      <c r="P1125">
        <v>5</v>
      </c>
      <c r="R1125">
        <v>1</v>
      </c>
      <c r="S1125">
        <v>1</v>
      </c>
      <c r="V1125">
        <v>1</v>
      </c>
      <c r="X1125">
        <v>1</v>
      </c>
      <c r="AD1125">
        <v>1</v>
      </c>
      <c r="AH1125">
        <v>1</v>
      </c>
    </row>
    <row r="1126" spans="2:36" x14ac:dyDescent="0.15">
      <c r="B1126">
        <v>2</v>
      </c>
      <c r="D1126">
        <v>4</v>
      </c>
      <c r="F1126">
        <v>4</v>
      </c>
      <c r="I1126">
        <v>14</v>
      </c>
      <c r="U1126">
        <v>2</v>
      </c>
    </row>
    <row r="1127" spans="2:36" x14ac:dyDescent="0.15">
      <c r="B1127">
        <v>10</v>
      </c>
      <c r="D1127">
        <v>10</v>
      </c>
      <c r="F1127">
        <v>4</v>
      </c>
      <c r="G1127">
        <v>3</v>
      </c>
      <c r="I1127">
        <v>4</v>
      </c>
      <c r="N1127">
        <v>1</v>
      </c>
      <c r="U1127">
        <v>1</v>
      </c>
      <c r="AJ1127">
        <v>1</v>
      </c>
    </row>
    <row r="1128" spans="2:36" x14ac:dyDescent="0.15">
      <c r="B1128">
        <v>39</v>
      </c>
      <c r="D1128">
        <v>8</v>
      </c>
      <c r="F1128">
        <v>7</v>
      </c>
      <c r="G1128">
        <v>9</v>
      </c>
      <c r="H1128">
        <v>3</v>
      </c>
      <c r="I1128">
        <v>40</v>
      </c>
      <c r="J1128">
        <v>2</v>
      </c>
      <c r="K1128">
        <v>6</v>
      </c>
      <c r="N1128">
        <v>3</v>
      </c>
      <c r="R1128">
        <v>1</v>
      </c>
      <c r="Z1128">
        <v>2</v>
      </c>
      <c r="AB1128">
        <v>1</v>
      </c>
      <c r="AD1128">
        <v>2</v>
      </c>
      <c r="AE1128">
        <v>1</v>
      </c>
      <c r="AF1128">
        <v>2</v>
      </c>
    </row>
    <row r="1130" spans="2:36" x14ac:dyDescent="0.15">
      <c r="C1130">
        <v>9</v>
      </c>
      <c r="E1130">
        <v>62</v>
      </c>
      <c r="G1130">
        <v>34</v>
      </c>
      <c r="H1130">
        <v>8</v>
      </c>
      <c r="I1130">
        <v>86</v>
      </c>
      <c r="J1130">
        <v>12</v>
      </c>
      <c r="K1130">
        <v>11</v>
      </c>
      <c r="L1130">
        <v>14</v>
      </c>
      <c r="Q1130">
        <v>1</v>
      </c>
      <c r="S1130">
        <v>1</v>
      </c>
      <c r="U1130">
        <v>5</v>
      </c>
      <c r="W1130">
        <v>1</v>
      </c>
      <c r="X1130">
        <v>1</v>
      </c>
      <c r="AA1130">
        <v>1</v>
      </c>
      <c r="AC1130">
        <v>3</v>
      </c>
      <c r="AE1130">
        <v>5</v>
      </c>
      <c r="AF1130">
        <v>1</v>
      </c>
      <c r="AI1130">
        <v>1</v>
      </c>
      <c r="AJ1130">
        <v>6</v>
      </c>
    </row>
    <row r="1132" spans="2:36" x14ac:dyDescent="0.15">
      <c r="E1132">
        <v>6</v>
      </c>
      <c r="G1132">
        <v>14</v>
      </c>
      <c r="I1132">
        <v>7</v>
      </c>
      <c r="J1132">
        <v>3</v>
      </c>
      <c r="K1132">
        <v>4</v>
      </c>
      <c r="L1132">
        <v>2</v>
      </c>
      <c r="S1132">
        <v>1</v>
      </c>
      <c r="AC1132">
        <v>1</v>
      </c>
    </row>
    <row r="1134" spans="2:36" x14ac:dyDescent="0.15">
      <c r="G1134">
        <v>4</v>
      </c>
      <c r="H1134">
        <v>4</v>
      </c>
      <c r="I1134">
        <v>52</v>
      </c>
      <c r="J1134">
        <v>1</v>
      </c>
      <c r="K1134">
        <v>9</v>
      </c>
      <c r="L1134">
        <v>1</v>
      </c>
      <c r="U1134">
        <v>3</v>
      </c>
      <c r="AE1134">
        <v>1</v>
      </c>
      <c r="AI1134">
        <v>1</v>
      </c>
      <c r="AJ1134">
        <v>2</v>
      </c>
    </row>
    <row r="1135" spans="2:36" x14ac:dyDescent="0.15">
      <c r="B1135">
        <v>7</v>
      </c>
      <c r="D1135">
        <v>4</v>
      </c>
      <c r="I1135">
        <v>6</v>
      </c>
      <c r="K1135">
        <v>1</v>
      </c>
      <c r="L1135">
        <v>1</v>
      </c>
      <c r="N1135">
        <v>1</v>
      </c>
      <c r="AJ1135">
        <v>1</v>
      </c>
    </row>
    <row r="1136" spans="2:36" x14ac:dyDescent="0.15">
      <c r="F1136">
        <v>1</v>
      </c>
      <c r="G1136">
        <v>1</v>
      </c>
      <c r="I1136">
        <v>1</v>
      </c>
      <c r="L1136">
        <v>4</v>
      </c>
      <c r="AJ1136">
        <v>2</v>
      </c>
    </row>
    <row r="1137" spans="2:36" x14ac:dyDescent="0.15">
      <c r="B1137">
        <v>115</v>
      </c>
      <c r="D1137">
        <v>10</v>
      </c>
      <c r="F1137">
        <v>12</v>
      </c>
      <c r="G1137">
        <v>3</v>
      </c>
      <c r="J1137">
        <v>3</v>
      </c>
      <c r="K1137">
        <v>1</v>
      </c>
      <c r="N1137">
        <v>7</v>
      </c>
      <c r="P1137">
        <v>4</v>
      </c>
      <c r="R1137">
        <v>2</v>
      </c>
      <c r="V1137">
        <v>3</v>
      </c>
    </row>
    <row r="1138" spans="2:36" x14ac:dyDescent="0.15">
      <c r="B1138">
        <v>2</v>
      </c>
      <c r="D1138">
        <v>1</v>
      </c>
      <c r="I1138">
        <v>18</v>
      </c>
      <c r="U1138">
        <v>1</v>
      </c>
    </row>
    <row r="1139" spans="2:36" x14ac:dyDescent="0.15">
      <c r="B1139">
        <v>4</v>
      </c>
      <c r="D1139">
        <v>3</v>
      </c>
      <c r="F1139">
        <v>4</v>
      </c>
      <c r="I1139">
        <v>8</v>
      </c>
      <c r="N1139">
        <v>1</v>
      </c>
      <c r="U1139">
        <v>1</v>
      </c>
      <c r="AJ1139">
        <v>1</v>
      </c>
    </row>
    <row r="1140" spans="2:36" x14ac:dyDescent="0.15">
      <c r="B1140">
        <v>23</v>
      </c>
      <c r="D1140">
        <v>16</v>
      </c>
      <c r="F1140">
        <v>4</v>
      </c>
      <c r="G1140">
        <v>2</v>
      </c>
      <c r="H1140">
        <v>1</v>
      </c>
      <c r="I1140">
        <v>32</v>
      </c>
      <c r="J1140">
        <v>1</v>
      </c>
      <c r="K1140">
        <v>6</v>
      </c>
      <c r="N1140">
        <v>1</v>
      </c>
      <c r="Z1140">
        <v>3</v>
      </c>
      <c r="AB1140">
        <v>1</v>
      </c>
      <c r="AE1140">
        <v>1</v>
      </c>
      <c r="AF1140">
        <v>2</v>
      </c>
      <c r="AH1140">
        <v>1</v>
      </c>
      <c r="AI1140">
        <v>1</v>
      </c>
    </row>
    <row r="1142" spans="2:36" x14ac:dyDescent="0.15">
      <c r="C1142">
        <v>4</v>
      </c>
      <c r="E1142">
        <v>42</v>
      </c>
      <c r="G1142">
        <v>22</v>
      </c>
      <c r="H1142">
        <v>2</v>
      </c>
      <c r="I1142">
        <v>65</v>
      </c>
      <c r="J1142">
        <v>1</v>
      </c>
      <c r="K1142">
        <v>8</v>
      </c>
      <c r="L1142">
        <v>3</v>
      </c>
      <c r="O1142">
        <v>1</v>
      </c>
      <c r="Q1142">
        <v>2</v>
      </c>
      <c r="U1142">
        <v>2</v>
      </c>
      <c r="W1142">
        <v>2</v>
      </c>
      <c r="AC1142">
        <v>2</v>
      </c>
      <c r="AE1142">
        <v>4</v>
      </c>
      <c r="AF1142">
        <v>2</v>
      </c>
      <c r="AH1142">
        <v>1</v>
      </c>
      <c r="AJ1142">
        <v>2</v>
      </c>
    </row>
    <row r="1144" spans="2:36" x14ac:dyDescent="0.15">
      <c r="E1144">
        <v>4</v>
      </c>
      <c r="G1144">
        <v>14</v>
      </c>
      <c r="H1144">
        <v>1</v>
      </c>
      <c r="I1144">
        <v>9</v>
      </c>
      <c r="K1144">
        <v>6</v>
      </c>
      <c r="L1144">
        <v>1</v>
      </c>
      <c r="U1144">
        <v>1</v>
      </c>
      <c r="AC1144">
        <v>1</v>
      </c>
      <c r="AE1144">
        <v>2</v>
      </c>
      <c r="AJ1144">
        <v>3</v>
      </c>
    </row>
    <row r="1146" spans="2:36" x14ac:dyDescent="0.15">
      <c r="G1146">
        <v>5</v>
      </c>
      <c r="H1146">
        <v>7</v>
      </c>
      <c r="I1146">
        <v>54</v>
      </c>
      <c r="J1146">
        <v>3</v>
      </c>
      <c r="K1146">
        <v>8</v>
      </c>
      <c r="L1146">
        <v>2</v>
      </c>
      <c r="U1146">
        <v>2</v>
      </c>
      <c r="AJ1146">
        <v>1</v>
      </c>
    </row>
    <row r="1147" spans="2:36" x14ac:dyDescent="0.15">
      <c r="B1147">
        <v>4</v>
      </c>
      <c r="D1147">
        <v>2</v>
      </c>
      <c r="I1147">
        <v>10</v>
      </c>
      <c r="J1147">
        <v>1</v>
      </c>
      <c r="K1147">
        <v>5</v>
      </c>
    </row>
    <row r="1148" spans="2:36" x14ac:dyDescent="0.15">
      <c r="B1148">
        <v>2</v>
      </c>
      <c r="D1148">
        <v>1</v>
      </c>
      <c r="F1148">
        <v>1</v>
      </c>
      <c r="I1148">
        <v>3</v>
      </c>
      <c r="L1148">
        <v>1</v>
      </c>
      <c r="AJ1148">
        <v>1</v>
      </c>
    </row>
    <row r="1149" spans="2:36" x14ac:dyDescent="0.15">
      <c r="B1149">
        <v>145</v>
      </c>
      <c r="D1149">
        <v>22</v>
      </c>
      <c r="F1149">
        <v>13</v>
      </c>
      <c r="G1149">
        <v>5</v>
      </c>
      <c r="H1149">
        <v>1</v>
      </c>
      <c r="J1149">
        <v>7</v>
      </c>
      <c r="K1149">
        <v>3</v>
      </c>
      <c r="L1149">
        <v>1</v>
      </c>
      <c r="N1149">
        <v>3</v>
      </c>
      <c r="P1149">
        <v>3</v>
      </c>
      <c r="R1149">
        <v>2</v>
      </c>
      <c r="W1149">
        <v>1</v>
      </c>
    </row>
    <row r="1150" spans="2:36" x14ac:dyDescent="0.15">
      <c r="B1150">
        <v>2</v>
      </c>
      <c r="D1150">
        <v>2</v>
      </c>
      <c r="I1150">
        <v>17</v>
      </c>
      <c r="U1150">
        <v>3</v>
      </c>
      <c r="AJ1150">
        <v>1</v>
      </c>
    </row>
    <row r="1151" spans="2:36" x14ac:dyDescent="0.15">
      <c r="B1151">
        <v>4</v>
      </c>
      <c r="D1151">
        <v>3</v>
      </c>
      <c r="F1151">
        <v>3</v>
      </c>
      <c r="I1151">
        <v>6</v>
      </c>
      <c r="U1151">
        <v>2</v>
      </c>
      <c r="AJ1151">
        <v>1</v>
      </c>
    </row>
    <row r="1152" spans="2:36" x14ac:dyDescent="0.15">
      <c r="B1152">
        <v>27</v>
      </c>
      <c r="D1152">
        <v>8</v>
      </c>
      <c r="F1152">
        <v>8</v>
      </c>
      <c r="G1152">
        <v>5</v>
      </c>
      <c r="H1152">
        <v>5</v>
      </c>
      <c r="I1152">
        <v>22</v>
      </c>
      <c r="J1152">
        <v>1</v>
      </c>
      <c r="K1152">
        <v>3</v>
      </c>
      <c r="N1152">
        <v>2</v>
      </c>
      <c r="P1152">
        <v>1</v>
      </c>
      <c r="U1152">
        <v>1</v>
      </c>
      <c r="Z1152">
        <v>1</v>
      </c>
      <c r="AD1152">
        <v>1</v>
      </c>
      <c r="AE1152">
        <v>1</v>
      </c>
      <c r="AF1152">
        <v>1</v>
      </c>
      <c r="AH1152">
        <v>1</v>
      </c>
      <c r="AI1152">
        <v>1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7"/>
  <sheetViews>
    <sheetView workbookViewId="0">
      <selection activeCell="L2" sqref="L2"/>
    </sheetView>
  </sheetViews>
  <sheetFormatPr defaultRowHeight="13.5" x14ac:dyDescent="0.15"/>
  <cols>
    <col min="1" max="1" width="10.5" customWidth="1"/>
  </cols>
  <sheetData>
    <row r="1" spans="1:17" ht="14.25" x14ac:dyDescent="0.15">
      <c r="A1" s="1"/>
      <c r="B1" s="1" t="s">
        <v>18</v>
      </c>
      <c r="C1" s="1" t="s">
        <v>17</v>
      </c>
      <c r="D1" s="1" t="s">
        <v>16</v>
      </c>
      <c r="E1" s="1" t="s">
        <v>15</v>
      </c>
      <c r="F1" s="1" t="s">
        <v>14</v>
      </c>
      <c r="G1" s="1" t="s">
        <v>13</v>
      </c>
      <c r="H1" s="1" t="s">
        <v>12</v>
      </c>
      <c r="I1" s="1" t="s">
        <v>11</v>
      </c>
      <c r="J1" s="1" t="s">
        <v>10</v>
      </c>
      <c r="K1" s="1" t="s">
        <v>9</v>
      </c>
      <c r="L1" s="1" t="s">
        <v>8</v>
      </c>
      <c r="M1" t="s">
        <v>7</v>
      </c>
      <c r="N1" t="s">
        <v>6</v>
      </c>
      <c r="O1" t="s">
        <v>5</v>
      </c>
      <c r="P1" t="s">
        <v>20</v>
      </c>
      <c r="Q1" t="s">
        <v>19</v>
      </c>
    </row>
    <row r="2" spans="1:17" ht="14.25" x14ac:dyDescent="0.15">
      <c r="A2" s="1" t="s">
        <v>18</v>
      </c>
      <c r="B2" s="2" t="s">
        <v>3</v>
      </c>
      <c r="C2" s="3">
        <v>2400</v>
      </c>
      <c r="D2" s="3" t="s">
        <v>3</v>
      </c>
      <c r="E2" s="3">
        <v>5000</v>
      </c>
      <c r="F2" s="3" t="s">
        <v>3</v>
      </c>
      <c r="G2" s="3">
        <v>10000</v>
      </c>
      <c r="H2" s="3">
        <v>17700</v>
      </c>
      <c r="I2" s="3">
        <v>24900</v>
      </c>
      <c r="J2" s="3">
        <v>21700</v>
      </c>
      <c r="K2" s="3">
        <v>21800</v>
      </c>
      <c r="L2" s="3" t="s">
        <v>27</v>
      </c>
      <c r="M2" t="s">
        <v>27</v>
      </c>
      <c r="N2" t="s">
        <v>28</v>
      </c>
      <c r="O2" t="s">
        <v>29</v>
      </c>
      <c r="P2" t="s">
        <v>28</v>
      </c>
    </row>
    <row r="3" spans="1:17" ht="14.25" x14ac:dyDescent="0.15">
      <c r="A3" s="1" t="s">
        <v>17</v>
      </c>
      <c r="B3" s="4" t="s">
        <v>3</v>
      </c>
      <c r="C3" s="5" t="s">
        <v>3</v>
      </c>
      <c r="D3" s="5" t="s">
        <v>3</v>
      </c>
      <c r="E3" s="5" t="s">
        <v>3</v>
      </c>
      <c r="F3" s="5" t="s">
        <v>3</v>
      </c>
      <c r="G3" s="5" t="s">
        <v>3</v>
      </c>
      <c r="H3" s="5" t="s">
        <v>3</v>
      </c>
      <c r="I3" s="5" t="s">
        <v>3</v>
      </c>
      <c r="J3" s="5" t="s">
        <v>3</v>
      </c>
      <c r="K3" s="5" t="s">
        <v>3</v>
      </c>
      <c r="L3" s="5" t="s">
        <v>3</v>
      </c>
      <c r="M3" t="s">
        <v>3</v>
      </c>
      <c r="N3" t="s">
        <v>3</v>
      </c>
      <c r="O3" t="s">
        <v>3</v>
      </c>
      <c r="P3" t="s">
        <v>3</v>
      </c>
    </row>
    <row r="4" spans="1:17" ht="14.25" x14ac:dyDescent="0.15">
      <c r="A4" s="1" t="s">
        <v>16</v>
      </c>
      <c r="B4" s="4" t="s">
        <v>3</v>
      </c>
      <c r="C4" s="5" t="s">
        <v>3</v>
      </c>
      <c r="D4" s="5" t="s">
        <v>3</v>
      </c>
      <c r="E4" s="5">
        <v>2300</v>
      </c>
      <c r="F4" s="5" t="s">
        <v>3</v>
      </c>
      <c r="G4" s="5">
        <v>7300</v>
      </c>
      <c r="H4" s="5">
        <v>14400</v>
      </c>
      <c r="I4" s="5">
        <v>21500</v>
      </c>
      <c r="J4" s="5">
        <v>19000</v>
      </c>
      <c r="K4" s="5">
        <v>19000</v>
      </c>
      <c r="L4" s="5" t="s">
        <v>2</v>
      </c>
      <c r="M4" t="s">
        <v>2</v>
      </c>
      <c r="N4" t="s">
        <v>2</v>
      </c>
      <c r="O4" t="s">
        <v>2</v>
      </c>
      <c r="P4" t="s">
        <v>2</v>
      </c>
    </row>
    <row r="5" spans="1:17" ht="14.25" x14ac:dyDescent="0.15">
      <c r="A5" s="1" t="s">
        <v>15</v>
      </c>
      <c r="B5" s="4">
        <v>5000</v>
      </c>
      <c r="C5" s="5" t="s">
        <v>3</v>
      </c>
      <c r="D5" s="5">
        <v>2300</v>
      </c>
      <c r="E5" s="5" t="s">
        <v>3</v>
      </c>
      <c r="F5" s="5" t="s">
        <v>3</v>
      </c>
      <c r="G5" s="5" t="s">
        <v>3</v>
      </c>
      <c r="H5" s="5" t="s">
        <v>3</v>
      </c>
      <c r="I5" s="5" t="s">
        <v>3</v>
      </c>
      <c r="J5" s="5" t="s">
        <v>3</v>
      </c>
      <c r="K5" s="5" t="s">
        <v>3</v>
      </c>
      <c r="L5" s="5" t="s">
        <v>3</v>
      </c>
      <c r="M5" t="s">
        <v>3</v>
      </c>
      <c r="N5" t="s">
        <v>3</v>
      </c>
      <c r="O5" t="s">
        <v>3</v>
      </c>
      <c r="P5" t="s">
        <v>3</v>
      </c>
    </row>
    <row r="6" spans="1:17" ht="14.25" x14ac:dyDescent="0.15">
      <c r="A6" s="1" t="s">
        <v>14</v>
      </c>
      <c r="B6" s="4" t="s">
        <v>3</v>
      </c>
      <c r="C6" s="5" t="s">
        <v>3</v>
      </c>
      <c r="D6" s="5" t="s">
        <v>3</v>
      </c>
      <c r="E6" s="5" t="s">
        <v>3</v>
      </c>
      <c r="F6" s="5" t="s">
        <v>3</v>
      </c>
      <c r="G6" s="5">
        <v>3600</v>
      </c>
      <c r="H6" s="5">
        <v>11300</v>
      </c>
      <c r="I6" s="5">
        <v>18500</v>
      </c>
      <c r="J6" s="5">
        <v>15300</v>
      </c>
      <c r="K6" s="5">
        <v>15400</v>
      </c>
      <c r="L6" s="5" t="s">
        <v>2</v>
      </c>
      <c r="M6" t="s">
        <v>2</v>
      </c>
      <c r="N6" t="s">
        <v>2</v>
      </c>
      <c r="O6" t="s">
        <v>2</v>
      </c>
      <c r="P6" t="s">
        <v>2</v>
      </c>
    </row>
    <row r="7" spans="1:17" ht="14.25" x14ac:dyDescent="0.15">
      <c r="A7" s="1" t="s">
        <v>13</v>
      </c>
      <c r="B7" s="4">
        <v>11800</v>
      </c>
      <c r="C7" s="5" t="s">
        <v>3</v>
      </c>
      <c r="D7" s="5">
        <v>9100</v>
      </c>
      <c r="E7" s="5" t="s">
        <v>3</v>
      </c>
      <c r="F7" s="5">
        <v>5400</v>
      </c>
      <c r="G7" s="5" t="s">
        <v>3</v>
      </c>
      <c r="H7" s="5">
        <v>10100</v>
      </c>
      <c r="I7" s="5">
        <v>17200</v>
      </c>
      <c r="J7" s="5">
        <v>14100</v>
      </c>
      <c r="K7" s="5">
        <v>14200</v>
      </c>
      <c r="L7" s="5" t="s">
        <v>2</v>
      </c>
      <c r="M7" t="s">
        <v>2</v>
      </c>
      <c r="N7" t="s">
        <v>1</v>
      </c>
      <c r="O7" t="s">
        <v>2</v>
      </c>
      <c r="P7" t="s">
        <v>2</v>
      </c>
    </row>
    <row r="8" spans="1:17" ht="14.25" x14ac:dyDescent="0.15">
      <c r="A8" s="1" t="s">
        <v>12</v>
      </c>
      <c r="B8" s="4">
        <v>17700</v>
      </c>
      <c r="C8" s="5" t="s">
        <v>3</v>
      </c>
      <c r="D8" s="5">
        <v>15000</v>
      </c>
      <c r="E8" s="5" t="s">
        <v>3</v>
      </c>
      <c r="F8" s="5">
        <v>11300</v>
      </c>
      <c r="G8" s="5">
        <v>8300</v>
      </c>
      <c r="H8" s="5" t="s">
        <v>3</v>
      </c>
      <c r="I8" s="5">
        <v>8300</v>
      </c>
      <c r="J8" s="5">
        <v>5200</v>
      </c>
      <c r="K8" s="5">
        <v>5200</v>
      </c>
      <c r="L8" s="5" t="s">
        <v>2</v>
      </c>
      <c r="M8" t="s">
        <v>2</v>
      </c>
      <c r="N8" t="s">
        <v>2</v>
      </c>
      <c r="O8" t="s">
        <v>2</v>
      </c>
      <c r="P8" t="s">
        <v>2</v>
      </c>
    </row>
    <row r="9" spans="1:17" ht="14.25" x14ac:dyDescent="0.15">
      <c r="A9" s="1" t="s">
        <v>11</v>
      </c>
      <c r="B9" s="4">
        <v>24900</v>
      </c>
      <c r="C9" s="5" t="s">
        <v>3</v>
      </c>
      <c r="D9" s="5">
        <v>22100</v>
      </c>
      <c r="E9" s="5" t="s">
        <v>3</v>
      </c>
      <c r="F9" s="5">
        <v>18500</v>
      </c>
      <c r="G9" s="5">
        <v>15400</v>
      </c>
      <c r="H9" s="5">
        <v>8300</v>
      </c>
      <c r="I9" s="5" t="s">
        <v>3</v>
      </c>
      <c r="J9" s="5">
        <v>3800</v>
      </c>
      <c r="K9" s="5">
        <v>3900</v>
      </c>
      <c r="L9" s="5" t="s">
        <v>2</v>
      </c>
      <c r="M9" t="s">
        <v>2</v>
      </c>
      <c r="N9" t="s">
        <v>2</v>
      </c>
      <c r="O9" t="s">
        <v>2</v>
      </c>
      <c r="P9" t="s">
        <v>2</v>
      </c>
    </row>
    <row r="10" spans="1:17" ht="14.25" x14ac:dyDescent="0.15">
      <c r="A10" s="1" t="s">
        <v>10</v>
      </c>
      <c r="B10" s="4">
        <v>21700</v>
      </c>
      <c r="C10" s="5" t="s">
        <v>3</v>
      </c>
      <c r="D10" s="5">
        <v>19000</v>
      </c>
      <c r="E10" s="5" t="s">
        <v>3</v>
      </c>
      <c r="F10" s="5">
        <v>15300</v>
      </c>
      <c r="G10" s="5">
        <v>12300</v>
      </c>
      <c r="H10" s="5">
        <v>5200</v>
      </c>
      <c r="I10" s="5">
        <v>3800</v>
      </c>
      <c r="J10" s="5" t="s">
        <v>3</v>
      </c>
      <c r="K10" s="5" t="s">
        <v>3</v>
      </c>
      <c r="L10" s="5" t="s">
        <v>44</v>
      </c>
      <c r="M10" t="s">
        <v>2</v>
      </c>
      <c r="N10" t="s">
        <v>2</v>
      </c>
      <c r="O10" t="s">
        <v>2</v>
      </c>
      <c r="P10" t="s">
        <v>2</v>
      </c>
    </row>
    <row r="11" spans="1:17" ht="14.25" x14ac:dyDescent="0.15">
      <c r="A11" s="1" t="s">
        <v>9</v>
      </c>
      <c r="B11" s="4">
        <v>21800</v>
      </c>
      <c r="C11" s="5" t="s">
        <v>3</v>
      </c>
      <c r="D11" s="5">
        <v>19000</v>
      </c>
      <c r="E11" s="5" t="s">
        <v>3</v>
      </c>
      <c r="F11" s="5">
        <v>15400</v>
      </c>
      <c r="G11" s="5">
        <v>12400</v>
      </c>
      <c r="H11" s="5">
        <v>5200</v>
      </c>
      <c r="I11" s="5">
        <v>3900</v>
      </c>
      <c r="J11" s="5" t="s">
        <v>3</v>
      </c>
      <c r="K11" s="5" t="s">
        <v>3</v>
      </c>
      <c r="L11" s="5" t="s">
        <v>43</v>
      </c>
      <c r="M11" t="s">
        <v>2</v>
      </c>
      <c r="N11" t="s">
        <v>2</v>
      </c>
      <c r="O11" t="s">
        <v>2</v>
      </c>
      <c r="P11" t="s">
        <v>2</v>
      </c>
    </row>
    <row r="12" spans="1:17" ht="14.25" x14ac:dyDescent="0.15">
      <c r="A12" s="1" t="s">
        <v>8</v>
      </c>
      <c r="B12" s="4" t="s">
        <v>2</v>
      </c>
      <c r="C12" s="5" t="s">
        <v>3</v>
      </c>
      <c r="D12" s="5" t="s">
        <v>2</v>
      </c>
      <c r="E12" s="5" t="s">
        <v>3</v>
      </c>
      <c r="F12" s="5" t="s">
        <v>2</v>
      </c>
      <c r="G12" s="5" t="s">
        <v>2</v>
      </c>
      <c r="H12" s="5" t="s">
        <v>2</v>
      </c>
      <c r="I12" s="5" t="s">
        <v>2</v>
      </c>
      <c r="J12" s="5" t="s">
        <v>42</v>
      </c>
      <c r="K12" s="5" t="s">
        <v>26</v>
      </c>
      <c r="L12" s="5" t="s">
        <v>26</v>
      </c>
      <c r="M12" t="s">
        <v>2</v>
      </c>
      <c r="N12" t="s">
        <v>2</v>
      </c>
      <c r="O12" t="s">
        <v>2</v>
      </c>
      <c r="P12" t="s">
        <v>1</v>
      </c>
    </row>
    <row r="13" spans="1:17" x14ac:dyDescent="0.15">
      <c r="A13" t="s">
        <v>7</v>
      </c>
      <c r="B13" t="s">
        <v>2</v>
      </c>
      <c r="C13" t="s">
        <v>3</v>
      </c>
      <c r="D13" t="s">
        <v>2</v>
      </c>
      <c r="E13" t="s">
        <v>3</v>
      </c>
      <c r="F13" t="s">
        <v>2</v>
      </c>
      <c r="G13" t="s">
        <v>2</v>
      </c>
      <c r="H13" t="s">
        <v>2</v>
      </c>
      <c r="I13" t="s">
        <v>2</v>
      </c>
      <c r="J13" t="s">
        <v>2</v>
      </c>
      <c r="K13" t="s">
        <v>2</v>
      </c>
      <c r="L13" t="s">
        <v>2</v>
      </c>
      <c r="M13" t="s">
        <v>2</v>
      </c>
      <c r="N13" t="s">
        <v>2</v>
      </c>
      <c r="O13" t="s">
        <v>2</v>
      </c>
      <c r="P13" t="s">
        <v>2</v>
      </c>
    </row>
    <row r="14" spans="1:17" x14ac:dyDescent="0.15">
      <c r="A14" t="s">
        <v>6</v>
      </c>
      <c r="B14" t="s">
        <v>2</v>
      </c>
      <c r="C14" t="s">
        <v>3</v>
      </c>
      <c r="D14" t="s">
        <v>2</v>
      </c>
      <c r="E14" t="s">
        <v>3</v>
      </c>
      <c r="F14" t="s">
        <v>2</v>
      </c>
      <c r="G14" t="s">
        <v>2</v>
      </c>
      <c r="H14" t="s">
        <v>2</v>
      </c>
      <c r="I14" t="s">
        <v>2</v>
      </c>
      <c r="J14" t="s">
        <v>2</v>
      </c>
      <c r="K14" t="s">
        <v>1</v>
      </c>
      <c r="L14" t="s">
        <v>2</v>
      </c>
      <c r="M14" t="s">
        <v>2</v>
      </c>
      <c r="N14" t="s">
        <v>2</v>
      </c>
      <c r="O14" t="s">
        <v>2</v>
      </c>
      <c r="P14" t="s">
        <v>2</v>
      </c>
    </row>
    <row r="15" spans="1:17" x14ac:dyDescent="0.15">
      <c r="A15" t="s">
        <v>5</v>
      </c>
      <c r="B15" t="s">
        <v>2</v>
      </c>
      <c r="C15" t="s">
        <v>3</v>
      </c>
      <c r="D15" t="s">
        <v>2</v>
      </c>
      <c r="E15" t="s">
        <v>3</v>
      </c>
      <c r="F15" t="s">
        <v>2</v>
      </c>
      <c r="G15" t="s">
        <v>2</v>
      </c>
      <c r="H15" t="s">
        <v>2</v>
      </c>
      <c r="I15" t="s">
        <v>2</v>
      </c>
      <c r="J15" t="s">
        <v>2</v>
      </c>
      <c r="K15" t="s">
        <v>2</v>
      </c>
      <c r="L15" t="s">
        <v>2</v>
      </c>
      <c r="M15" t="s">
        <v>2</v>
      </c>
      <c r="N15" t="s">
        <v>2</v>
      </c>
      <c r="O15" t="s">
        <v>2</v>
      </c>
      <c r="P15" t="s">
        <v>2</v>
      </c>
    </row>
    <row r="16" spans="1:17" x14ac:dyDescent="0.15">
      <c r="A16" t="s">
        <v>4</v>
      </c>
      <c r="B16" t="s">
        <v>2</v>
      </c>
      <c r="C16" t="s">
        <v>3</v>
      </c>
      <c r="D16" t="s">
        <v>2</v>
      </c>
      <c r="E16" t="s">
        <v>3</v>
      </c>
      <c r="F16" t="s">
        <v>2</v>
      </c>
      <c r="G16" t="s">
        <v>2</v>
      </c>
      <c r="H16" t="s">
        <v>2</v>
      </c>
      <c r="I16" t="s">
        <v>2</v>
      </c>
      <c r="J16" t="s">
        <v>1</v>
      </c>
      <c r="K16" t="s">
        <v>2</v>
      </c>
      <c r="L16" t="s">
        <v>2</v>
      </c>
      <c r="M16" t="s">
        <v>1</v>
      </c>
      <c r="N16" t="s">
        <v>1</v>
      </c>
      <c r="O16" t="s">
        <v>1</v>
      </c>
      <c r="P16" t="s">
        <v>1</v>
      </c>
    </row>
    <row r="17" spans="1:1" x14ac:dyDescent="0.15">
      <c r="A17" t="s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12"/>
  <sheetViews>
    <sheetView workbookViewId="0">
      <selection activeCell="D26" sqref="D26"/>
    </sheetView>
  </sheetViews>
  <sheetFormatPr defaultRowHeight="13.5" x14ac:dyDescent="0.15"/>
  <cols>
    <col min="2" max="2" width="10.25" customWidth="1"/>
  </cols>
  <sheetData>
    <row r="1" spans="1:12" ht="14.25" x14ac:dyDescent="0.15">
      <c r="A1" s="10" t="s">
        <v>52</v>
      </c>
      <c r="B1" s="160" t="s">
        <v>45</v>
      </c>
      <c r="C1" s="161"/>
      <c r="D1" s="162"/>
      <c r="E1" s="160" t="s">
        <v>46</v>
      </c>
      <c r="F1" s="161"/>
      <c r="G1" s="161"/>
      <c r="H1" s="161"/>
      <c r="I1" s="161"/>
      <c r="J1" s="161"/>
      <c r="K1" s="161"/>
      <c r="L1" s="162"/>
    </row>
    <row r="2" spans="1:12" ht="14.25" x14ac:dyDescent="0.15">
      <c r="A2" s="1">
        <v>1</v>
      </c>
      <c r="B2" s="8">
        <v>1</v>
      </c>
      <c r="C2" s="8"/>
      <c r="D2" s="8"/>
      <c r="E2" s="9">
        <v>18</v>
      </c>
      <c r="F2" s="9">
        <v>3</v>
      </c>
      <c r="G2" s="9">
        <v>6</v>
      </c>
      <c r="H2" s="9">
        <v>7</v>
      </c>
      <c r="I2" s="9">
        <v>8</v>
      </c>
      <c r="J2" s="9">
        <v>9</v>
      </c>
      <c r="K2" s="9">
        <v>10</v>
      </c>
      <c r="L2" s="9">
        <v>11</v>
      </c>
    </row>
    <row r="3" spans="1:12" ht="14.25" x14ac:dyDescent="0.15">
      <c r="A3" s="1">
        <v>2</v>
      </c>
      <c r="B3" s="8">
        <v>2</v>
      </c>
      <c r="C3" s="8"/>
      <c r="D3" s="8"/>
      <c r="E3" s="9">
        <v>3</v>
      </c>
      <c r="F3" s="9">
        <v>6</v>
      </c>
      <c r="G3" s="9">
        <v>7</v>
      </c>
      <c r="H3" s="9">
        <v>8</v>
      </c>
      <c r="I3" s="9">
        <v>9</v>
      </c>
      <c r="J3" s="9">
        <v>10</v>
      </c>
      <c r="K3" s="9">
        <v>11</v>
      </c>
      <c r="L3" s="9"/>
    </row>
    <row r="4" spans="1:12" ht="14.25" x14ac:dyDescent="0.15">
      <c r="A4" s="1">
        <v>3</v>
      </c>
      <c r="B4" s="8">
        <v>4</v>
      </c>
      <c r="C4" s="8"/>
      <c r="D4" s="8"/>
      <c r="E4" s="9">
        <v>6</v>
      </c>
      <c r="F4" s="9">
        <v>7</v>
      </c>
      <c r="G4" s="9">
        <v>8</v>
      </c>
      <c r="H4" s="9">
        <v>9</v>
      </c>
      <c r="I4" s="9">
        <v>10</v>
      </c>
      <c r="J4" s="9">
        <v>11</v>
      </c>
      <c r="K4" s="9"/>
      <c r="L4" s="9"/>
    </row>
    <row r="5" spans="1:12" ht="14.25" x14ac:dyDescent="0.15">
      <c r="A5" s="1">
        <v>4</v>
      </c>
      <c r="B5" s="8">
        <v>6</v>
      </c>
      <c r="C5" s="8"/>
      <c r="D5" s="8"/>
      <c r="E5" s="9">
        <v>7</v>
      </c>
      <c r="F5" s="9">
        <v>8</v>
      </c>
      <c r="G5" s="9">
        <v>9</v>
      </c>
      <c r="H5" s="9">
        <v>10</v>
      </c>
      <c r="I5" s="9">
        <v>11</v>
      </c>
      <c r="J5" s="9"/>
      <c r="K5" s="9"/>
      <c r="L5" s="9"/>
    </row>
    <row r="6" spans="1:12" ht="14.25" x14ac:dyDescent="0.15">
      <c r="A6" s="1">
        <v>5</v>
      </c>
      <c r="B6" s="8">
        <v>7</v>
      </c>
      <c r="C6" s="8"/>
      <c r="D6" s="8"/>
      <c r="E6" s="9">
        <v>8</v>
      </c>
      <c r="F6" s="9">
        <v>9</v>
      </c>
      <c r="G6" s="9">
        <v>10</v>
      </c>
      <c r="H6" s="9">
        <v>11</v>
      </c>
      <c r="I6" s="9"/>
      <c r="J6" s="9"/>
      <c r="K6" s="9"/>
      <c r="L6" s="9"/>
    </row>
    <row r="7" spans="1:12" ht="14.25" x14ac:dyDescent="0.15">
      <c r="A7" s="1">
        <v>6</v>
      </c>
      <c r="B7" s="8">
        <v>8</v>
      </c>
      <c r="C7" s="8">
        <v>9</v>
      </c>
      <c r="D7" s="8">
        <v>11</v>
      </c>
      <c r="E7" s="9">
        <v>10</v>
      </c>
      <c r="F7" s="9"/>
      <c r="G7" s="9"/>
      <c r="H7" s="9"/>
      <c r="I7" s="9"/>
      <c r="J7" s="9"/>
      <c r="K7" s="9"/>
      <c r="L7" s="9"/>
    </row>
    <row r="8" spans="1:12" ht="14.25" x14ac:dyDescent="0.15">
      <c r="A8" s="1">
        <v>7</v>
      </c>
      <c r="B8" s="8">
        <v>10</v>
      </c>
      <c r="C8" s="8"/>
      <c r="D8" s="8"/>
      <c r="E8" s="9">
        <v>1</v>
      </c>
      <c r="F8" s="9">
        <v>2</v>
      </c>
      <c r="G8" s="9">
        <v>4</v>
      </c>
      <c r="H8" s="9">
        <v>6</v>
      </c>
      <c r="I8" s="9">
        <v>7</v>
      </c>
      <c r="J8" s="9">
        <v>8</v>
      </c>
      <c r="K8" s="9">
        <v>9</v>
      </c>
      <c r="L8" s="9"/>
    </row>
    <row r="9" spans="1:12" ht="14.25" x14ac:dyDescent="0.15">
      <c r="A9" s="1">
        <v>8</v>
      </c>
      <c r="B9" s="8">
        <v>8</v>
      </c>
      <c r="C9" s="8">
        <v>9</v>
      </c>
      <c r="D9" s="8">
        <v>11</v>
      </c>
      <c r="E9" s="9">
        <v>1</v>
      </c>
      <c r="F9" s="9">
        <v>2</v>
      </c>
      <c r="G9" s="9">
        <v>4</v>
      </c>
      <c r="H9" s="9">
        <v>6</v>
      </c>
      <c r="I9" s="9">
        <v>7</v>
      </c>
      <c r="J9" s="9"/>
      <c r="K9" s="9"/>
      <c r="L9" s="9"/>
    </row>
    <row r="10" spans="1:12" ht="14.25" x14ac:dyDescent="0.15">
      <c r="A10" s="1">
        <v>9</v>
      </c>
      <c r="B10" s="8">
        <v>7</v>
      </c>
      <c r="C10" s="8"/>
      <c r="D10" s="8"/>
      <c r="E10" s="9">
        <v>1</v>
      </c>
      <c r="F10" s="9">
        <v>2</v>
      </c>
      <c r="G10" s="9">
        <v>4</v>
      </c>
      <c r="H10" s="9">
        <v>6</v>
      </c>
      <c r="I10" s="9"/>
      <c r="J10" s="9"/>
      <c r="K10" s="9"/>
      <c r="L10" s="9"/>
    </row>
    <row r="11" spans="1:12" ht="14.25" x14ac:dyDescent="0.15">
      <c r="A11" s="1">
        <v>10</v>
      </c>
      <c r="B11" s="8">
        <v>6</v>
      </c>
      <c r="C11" s="8"/>
      <c r="D11" s="8"/>
      <c r="E11" s="9">
        <v>1</v>
      </c>
      <c r="F11" s="9">
        <v>2</v>
      </c>
      <c r="G11" s="9">
        <v>4</v>
      </c>
      <c r="H11" s="9"/>
      <c r="I11" s="9"/>
      <c r="J11" s="9"/>
      <c r="K11" s="9"/>
      <c r="L11" s="9"/>
    </row>
    <row r="12" spans="1:12" ht="14.25" x14ac:dyDescent="0.15">
      <c r="A12" s="1">
        <v>11</v>
      </c>
      <c r="B12" s="8">
        <v>3</v>
      </c>
      <c r="C12" s="8"/>
      <c r="D12" s="8"/>
      <c r="E12" s="9">
        <v>1</v>
      </c>
      <c r="F12" s="9">
        <v>2</v>
      </c>
      <c r="G12" s="9"/>
      <c r="H12" s="9"/>
      <c r="I12" s="9"/>
      <c r="J12" s="9"/>
      <c r="K12" s="9"/>
      <c r="L12" s="9"/>
    </row>
  </sheetData>
  <mergeCells count="2">
    <mergeCell ref="B1:D1"/>
    <mergeCell ref="E1:L1"/>
  </mergeCells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11"/>
  <sheetViews>
    <sheetView workbookViewId="0"/>
  </sheetViews>
  <sheetFormatPr defaultRowHeight="13.5" x14ac:dyDescent="0.15"/>
  <sheetData>
    <row r="1" spans="1:10" ht="14.25" x14ac:dyDescent="0.15">
      <c r="A1" s="11" t="s">
        <v>47</v>
      </c>
      <c r="B1" s="11" t="s">
        <v>53</v>
      </c>
      <c r="C1" s="160" t="s">
        <v>48</v>
      </c>
      <c r="D1" s="161"/>
      <c r="E1" s="161"/>
      <c r="F1" s="161"/>
      <c r="G1" s="161"/>
      <c r="H1" s="161"/>
      <c r="I1" s="161"/>
      <c r="J1" s="162"/>
    </row>
    <row r="2" spans="1:10" ht="14.25" x14ac:dyDescent="0.15">
      <c r="A2" s="1">
        <v>1</v>
      </c>
      <c r="B2" s="12">
        <v>1</v>
      </c>
      <c r="C2" s="6">
        <v>18</v>
      </c>
      <c r="D2" s="6">
        <v>3</v>
      </c>
      <c r="E2" s="6">
        <v>6</v>
      </c>
      <c r="F2" s="6">
        <v>7</v>
      </c>
      <c r="G2" s="6">
        <v>11</v>
      </c>
      <c r="H2" s="6">
        <v>8</v>
      </c>
      <c r="I2" s="6">
        <v>9</v>
      </c>
      <c r="J2" s="6">
        <v>10</v>
      </c>
    </row>
    <row r="3" spans="1:10" ht="14.25" x14ac:dyDescent="0.15">
      <c r="A3" s="1">
        <v>2</v>
      </c>
      <c r="B3" s="12">
        <v>2</v>
      </c>
      <c r="C3" s="6">
        <v>3</v>
      </c>
      <c r="D3" s="6">
        <v>6</v>
      </c>
      <c r="E3" s="6">
        <v>7</v>
      </c>
      <c r="F3" s="6">
        <v>11</v>
      </c>
      <c r="G3" s="6">
        <v>8</v>
      </c>
      <c r="H3" s="6">
        <v>9</v>
      </c>
      <c r="I3" s="6">
        <v>10</v>
      </c>
      <c r="J3" s="6"/>
    </row>
    <row r="4" spans="1:10" ht="14.25" x14ac:dyDescent="0.15">
      <c r="A4" s="1">
        <v>3</v>
      </c>
      <c r="B4" s="12">
        <v>3</v>
      </c>
      <c r="C4" s="6">
        <v>6</v>
      </c>
      <c r="D4" s="6">
        <v>7</v>
      </c>
      <c r="E4" s="6">
        <v>11</v>
      </c>
      <c r="F4" s="6">
        <v>8</v>
      </c>
      <c r="G4" s="6">
        <v>9</v>
      </c>
      <c r="H4" s="6">
        <v>10</v>
      </c>
      <c r="I4" s="6"/>
      <c r="J4" s="6"/>
    </row>
    <row r="5" spans="1:10" ht="14.25" x14ac:dyDescent="0.15">
      <c r="A5" s="1">
        <v>4</v>
      </c>
      <c r="B5" s="12">
        <v>4</v>
      </c>
      <c r="C5" s="6">
        <v>7</v>
      </c>
      <c r="D5" s="6">
        <v>11</v>
      </c>
      <c r="E5" s="6">
        <v>8</v>
      </c>
      <c r="F5" s="6">
        <v>9</v>
      </c>
      <c r="G5" s="6">
        <v>10</v>
      </c>
      <c r="H5" s="6"/>
      <c r="I5" s="6"/>
      <c r="J5" s="6"/>
    </row>
    <row r="6" spans="1:10" ht="14.25" x14ac:dyDescent="0.15">
      <c r="A6" s="1">
        <v>5</v>
      </c>
      <c r="B6" s="12">
        <v>5</v>
      </c>
      <c r="C6" s="6">
        <v>11</v>
      </c>
      <c r="D6" s="6">
        <v>8</v>
      </c>
      <c r="E6" s="6">
        <v>9</v>
      </c>
      <c r="F6" s="6">
        <v>10</v>
      </c>
      <c r="G6" s="6"/>
      <c r="H6" s="6"/>
      <c r="I6" s="6"/>
      <c r="J6" s="6"/>
    </row>
    <row r="7" spans="1:10" ht="14.25" x14ac:dyDescent="0.15">
      <c r="A7" s="1">
        <v>6</v>
      </c>
      <c r="B7" s="12">
        <v>6</v>
      </c>
      <c r="C7" s="6">
        <v>11</v>
      </c>
      <c r="D7" s="6">
        <v>9</v>
      </c>
      <c r="E7" s="6">
        <v>8</v>
      </c>
      <c r="F7" s="6">
        <v>7</v>
      </c>
      <c r="G7" s="6">
        <v>6</v>
      </c>
      <c r="H7" s="6">
        <v>4</v>
      </c>
      <c r="I7" s="6">
        <v>2</v>
      </c>
      <c r="J7" s="6">
        <v>1</v>
      </c>
    </row>
    <row r="8" spans="1:10" ht="14.25" x14ac:dyDescent="0.15">
      <c r="A8" s="1">
        <v>7</v>
      </c>
      <c r="B8" s="12">
        <v>7</v>
      </c>
      <c r="C8" s="6">
        <v>7</v>
      </c>
      <c r="D8" s="6">
        <v>6</v>
      </c>
      <c r="E8" s="6">
        <v>4</v>
      </c>
      <c r="F8" s="6">
        <v>2</v>
      </c>
      <c r="G8" s="6">
        <v>1</v>
      </c>
      <c r="H8" s="6"/>
      <c r="I8" s="6"/>
      <c r="J8" s="6"/>
    </row>
    <row r="9" spans="1:10" ht="14.25" x14ac:dyDescent="0.15">
      <c r="A9" s="1">
        <v>8</v>
      </c>
      <c r="B9" s="12">
        <v>8</v>
      </c>
      <c r="C9" s="6">
        <v>6</v>
      </c>
      <c r="D9" s="6">
        <v>4</v>
      </c>
      <c r="E9" s="6">
        <v>2</v>
      </c>
      <c r="F9" s="6">
        <v>1</v>
      </c>
      <c r="G9" s="6"/>
      <c r="H9" s="6"/>
      <c r="I9" s="6"/>
      <c r="J9" s="6"/>
    </row>
    <row r="10" spans="1:10" ht="14.25" x14ac:dyDescent="0.15">
      <c r="A10" s="1">
        <v>9</v>
      </c>
      <c r="B10" s="12">
        <v>9</v>
      </c>
      <c r="C10" s="6">
        <v>4</v>
      </c>
      <c r="D10" s="6">
        <v>2</v>
      </c>
      <c r="E10" s="6">
        <v>1</v>
      </c>
      <c r="F10" s="6"/>
      <c r="G10" s="6"/>
      <c r="H10" s="6"/>
      <c r="I10" s="6"/>
      <c r="J10" s="6"/>
    </row>
    <row r="11" spans="1:10" ht="14.25" x14ac:dyDescent="0.15">
      <c r="A11" s="1">
        <v>10</v>
      </c>
      <c r="B11" s="12">
        <v>10</v>
      </c>
      <c r="C11" s="6">
        <v>2</v>
      </c>
      <c r="D11" s="6">
        <v>1</v>
      </c>
      <c r="E11" s="6"/>
      <c r="F11" s="6"/>
      <c r="G11" s="6"/>
      <c r="H11" s="6"/>
      <c r="I11" s="6"/>
      <c r="J11" s="6"/>
    </row>
  </sheetData>
  <mergeCells count="1">
    <mergeCell ref="C1:J1"/>
  </mergeCells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I66"/>
  <sheetViews>
    <sheetView workbookViewId="0"/>
  </sheetViews>
  <sheetFormatPr defaultRowHeight="13.5" x14ac:dyDescent="0.15"/>
  <cols>
    <col min="1" max="1" width="9" style="59"/>
    <col min="2" max="2" width="14.125" style="59" customWidth="1"/>
    <col min="3" max="3" width="9" style="59"/>
    <col min="4" max="5" width="10.625" style="59" customWidth="1"/>
    <col min="6" max="16384" width="9" style="59"/>
  </cols>
  <sheetData>
    <row r="1" spans="1:9" x14ac:dyDescent="0.15">
      <c r="A1" s="59" t="s">
        <v>69</v>
      </c>
      <c r="B1" s="59" t="s">
        <v>70</v>
      </c>
      <c r="C1" s="59" t="s">
        <v>71</v>
      </c>
      <c r="D1" s="59" t="s">
        <v>72</v>
      </c>
      <c r="E1" s="59" t="s">
        <v>73</v>
      </c>
      <c r="I1" s="59" t="s">
        <v>457</v>
      </c>
    </row>
    <row r="2" spans="1:9" x14ac:dyDescent="0.15">
      <c r="A2" s="59">
        <v>3</v>
      </c>
      <c r="B2" s="59">
        <v>9000</v>
      </c>
      <c r="C2" s="59">
        <v>1</v>
      </c>
      <c r="D2" s="59">
        <v>2700</v>
      </c>
      <c r="E2" s="59">
        <v>6300</v>
      </c>
    </row>
    <row r="3" spans="1:9" x14ac:dyDescent="0.15">
      <c r="A3" s="59">
        <v>3</v>
      </c>
      <c r="B3" s="59">
        <v>9000</v>
      </c>
      <c r="C3" s="59">
        <v>2</v>
      </c>
      <c r="D3" s="59">
        <v>2700</v>
      </c>
      <c r="E3" s="59">
        <v>6300</v>
      </c>
    </row>
    <row r="4" spans="1:9" x14ac:dyDescent="0.15">
      <c r="A4" s="59">
        <v>3</v>
      </c>
      <c r="B4" s="59">
        <v>9000</v>
      </c>
      <c r="C4" s="59">
        <v>3</v>
      </c>
      <c r="D4" s="59">
        <v>2700</v>
      </c>
      <c r="E4" s="59">
        <v>6300</v>
      </c>
    </row>
    <row r="66" spans="1:1" x14ac:dyDescent="0.15">
      <c r="A66" s="59" t="s">
        <v>77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12"/>
  <sheetViews>
    <sheetView workbookViewId="0">
      <selection activeCell="I2" sqref="I2"/>
    </sheetView>
  </sheetViews>
  <sheetFormatPr defaultRowHeight="13.5" x14ac:dyDescent="0.15"/>
  <sheetData>
    <row r="1" spans="1:2" x14ac:dyDescent="0.15">
      <c r="A1" t="s">
        <v>54</v>
      </c>
      <c r="B1" t="s">
        <v>60</v>
      </c>
    </row>
    <row r="2" spans="1:2" x14ac:dyDescent="0.15">
      <c r="A2">
        <v>1</v>
      </c>
      <c r="B2">
        <v>1</v>
      </c>
    </row>
    <row r="3" spans="1:2" x14ac:dyDescent="0.15">
      <c r="A3">
        <v>2</v>
      </c>
      <c r="B3">
        <v>2</v>
      </c>
    </row>
    <row r="4" spans="1:2" x14ac:dyDescent="0.15">
      <c r="A4">
        <v>3</v>
      </c>
      <c r="B4">
        <v>3</v>
      </c>
    </row>
    <row r="5" spans="1:2" x14ac:dyDescent="0.15">
      <c r="A5">
        <v>4</v>
      </c>
      <c r="B5">
        <v>4</v>
      </c>
    </row>
    <row r="6" spans="1:2" x14ac:dyDescent="0.15">
      <c r="A6">
        <v>5</v>
      </c>
      <c r="B6">
        <v>5</v>
      </c>
    </row>
    <row r="7" spans="1:2" x14ac:dyDescent="0.15">
      <c r="A7">
        <v>6</v>
      </c>
      <c r="B7">
        <v>6</v>
      </c>
    </row>
    <row r="8" spans="1:2" x14ac:dyDescent="0.15">
      <c r="A8">
        <v>7</v>
      </c>
      <c r="B8">
        <v>7</v>
      </c>
    </row>
    <row r="9" spans="1:2" x14ac:dyDescent="0.15">
      <c r="A9">
        <v>8</v>
      </c>
      <c r="B9">
        <v>8</v>
      </c>
    </row>
    <row r="10" spans="1:2" x14ac:dyDescent="0.15">
      <c r="A10">
        <v>9</v>
      </c>
      <c r="B10">
        <v>9</v>
      </c>
    </row>
    <row r="11" spans="1:2" x14ac:dyDescent="0.15">
      <c r="A11">
        <v>10</v>
      </c>
      <c r="B11">
        <v>10</v>
      </c>
    </row>
    <row r="12" spans="1:2" x14ac:dyDescent="0.15">
      <c r="A12">
        <v>11</v>
      </c>
      <c r="B12">
        <v>11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I66"/>
  <sheetViews>
    <sheetView workbookViewId="0">
      <selection activeCell="B4" sqref="B4"/>
    </sheetView>
  </sheetViews>
  <sheetFormatPr defaultRowHeight="13.5" x14ac:dyDescent="0.15"/>
  <cols>
    <col min="2" max="2" width="14.125" customWidth="1"/>
    <col min="4" max="5" width="10.625" customWidth="1"/>
  </cols>
  <sheetData>
    <row r="1" spans="1:9" x14ac:dyDescent="0.15">
      <c r="A1" t="s">
        <v>69</v>
      </c>
      <c r="B1" t="s">
        <v>70</v>
      </c>
      <c r="C1" t="s">
        <v>71</v>
      </c>
      <c r="D1" t="s">
        <v>72</v>
      </c>
      <c r="E1" t="s">
        <v>73</v>
      </c>
      <c r="I1" t="s">
        <v>452</v>
      </c>
    </row>
    <row r="2" spans="1:9" x14ac:dyDescent="0.15">
      <c r="D2" s="59"/>
      <c r="E2" s="59"/>
    </row>
    <row r="3" spans="1:9" x14ac:dyDescent="0.15">
      <c r="D3" s="59"/>
      <c r="E3" s="59"/>
    </row>
    <row r="66" spans="1:1" x14ac:dyDescent="0.15">
      <c r="A66" t="s">
        <v>77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6"/>
  <sheetViews>
    <sheetView workbookViewId="0"/>
  </sheetViews>
  <sheetFormatPr defaultRowHeight="13.5" x14ac:dyDescent="0.15"/>
  <cols>
    <col min="2" max="2" width="13" customWidth="1"/>
    <col min="3" max="3" width="16.25" customWidth="1"/>
    <col min="4" max="4" width="20.625" customWidth="1"/>
  </cols>
  <sheetData>
    <row r="1" spans="1:4" ht="14.25" x14ac:dyDescent="0.15">
      <c r="A1" s="1" t="s">
        <v>103</v>
      </c>
      <c r="B1" s="1" t="s">
        <v>80</v>
      </c>
      <c r="C1" s="1" t="s">
        <v>81</v>
      </c>
    </row>
    <row r="2" spans="1:4" ht="14.25" x14ac:dyDescent="0.15">
      <c r="A2" s="21" t="s">
        <v>104</v>
      </c>
      <c r="B2" s="21" t="s">
        <v>1</v>
      </c>
      <c r="C2" s="21" t="s">
        <v>109</v>
      </c>
      <c r="D2" s="20" t="s">
        <v>108</v>
      </c>
    </row>
    <row r="3" spans="1:4" ht="14.25" x14ac:dyDescent="0.15">
      <c r="A3" s="21" t="s">
        <v>105</v>
      </c>
      <c r="B3" s="21" t="s">
        <v>95</v>
      </c>
      <c r="C3" s="21" t="s">
        <v>110</v>
      </c>
      <c r="D3" s="20" t="s">
        <v>108</v>
      </c>
    </row>
    <row r="4" spans="1:4" ht="14.25" x14ac:dyDescent="0.15">
      <c r="A4" s="21" t="s">
        <v>112</v>
      </c>
      <c r="B4" s="21" t="s">
        <v>113</v>
      </c>
      <c r="C4" s="21" t="s">
        <v>114</v>
      </c>
      <c r="D4" s="20" t="s">
        <v>99</v>
      </c>
    </row>
    <row r="5" spans="1:4" ht="14.25" x14ac:dyDescent="0.15">
      <c r="A5" s="21" t="s">
        <v>106</v>
      </c>
      <c r="B5" s="21" t="s">
        <v>107</v>
      </c>
      <c r="C5" s="21" t="s">
        <v>82</v>
      </c>
    </row>
    <row r="6" spans="1:4" ht="14.25" x14ac:dyDescent="0.15">
      <c r="A6" s="21" t="s">
        <v>219</v>
      </c>
      <c r="B6" s="21" t="s">
        <v>217</v>
      </c>
      <c r="C6" s="21" t="s">
        <v>218</v>
      </c>
    </row>
  </sheetData>
  <phoneticPr fontId="1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I11"/>
  <sheetViews>
    <sheetView workbookViewId="0"/>
  </sheetViews>
  <sheetFormatPr defaultRowHeight="13.5" x14ac:dyDescent="0.15"/>
  <cols>
    <col min="1" max="1" width="10.875" customWidth="1"/>
    <col min="2" max="2" width="10.375" customWidth="1"/>
    <col min="3" max="3" width="21.75" customWidth="1"/>
    <col min="8" max="8" width="11.375" customWidth="1"/>
  </cols>
  <sheetData>
    <row r="1" spans="1:9" ht="14.25" x14ac:dyDescent="0.15">
      <c r="A1" s="1" t="s">
        <v>87</v>
      </c>
      <c r="B1" s="1" t="s">
        <v>93</v>
      </c>
      <c r="C1" s="19"/>
      <c r="F1" s="1" t="s">
        <v>101</v>
      </c>
      <c r="G1" s="21">
        <v>5</v>
      </c>
      <c r="H1" s="1" t="s">
        <v>102</v>
      </c>
      <c r="I1" s="21">
        <v>500</v>
      </c>
    </row>
    <row r="2" spans="1:9" ht="14.25" x14ac:dyDescent="0.15">
      <c r="A2" s="21" t="s">
        <v>88</v>
      </c>
      <c r="B2" s="21" t="s">
        <v>94</v>
      </c>
      <c r="C2" s="20" t="s">
        <v>99</v>
      </c>
      <c r="G2" s="21">
        <v>6</v>
      </c>
    </row>
    <row r="3" spans="1:9" ht="14.25" x14ac:dyDescent="0.15">
      <c r="A3" s="21" t="s">
        <v>89</v>
      </c>
      <c r="B3" s="21" t="s">
        <v>95</v>
      </c>
      <c r="C3" s="20" t="s">
        <v>99</v>
      </c>
      <c r="G3" s="21">
        <v>13</v>
      </c>
    </row>
    <row r="4" spans="1:9" ht="14.25" x14ac:dyDescent="0.15">
      <c r="A4" s="21" t="s">
        <v>90</v>
      </c>
      <c r="B4" s="21" t="s">
        <v>96</v>
      </c>
      <c r="C4" s="19"/>
      <c r="G4" s="21">
        <v>17</v>
      </c>
    </row>
    <row r="5" spans="1:9" ht="14.25" x14ac:dyDescent="0.15">
      <c r="A5" s="21" t="s">
        <v>91</v>
      </c>
      <c r="B5" s="21" t="s">
        <v>97</v>
      </c>
      <c r="C5" s="19"/>
      <c r="G5" s="21">
        <v>22</v>
      </c>
    </row>
    <row r="6" spans="1:9" ht="14.25" x14ac:dyDescent="0.15">
      <c r="A6" s="21" t="s">
        <v>92</v>
      </c>
      <c r="B6" s="21" t="s">
        <v>98</v>
      </c>
      <c r="C6" s="19"/>
      <c r="G6" s="21">
        <v>26</v>
      </c>
    </row>
    <row r="7" spans="1:9" ht="14.25" x14ac:dyDescent="0.15">
      <c r="G7" s="21">
        <v>31</v>
      </c>
    </row>
    <row r="8" spans="1:9" ht="14.25" x14ac:dyDescent="0.15">
      <c r="G8" s="21">
        <v>28</v>
      </c>
    </row>
    <row r="9" spans="1:9" ht="14.25" x14ac:dyDescent="0.15">
      <c r="G9" s="21">
        <v>25</v>
      </c>
    </row>
    <row r="10" spans="1:9" ht="14.25" x14ac:dyDescent="0.15">
      <c r="G10" s="21">
        <v>20</v>
      </c>
    </row>
    <row r="11" spans="1:9" ht="14.25" x14ac:dyDescent="0.15">
      <c r="G11" s="21">
        <v>16</v>
      </c>
    </row>
  </sheetData>
  <phoneticPr fontId="1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21"/>
  <sheetViews>
    <sheetView workbookViewId="0">
      <selection activeCell="E4" sqref="E4"/>
    </sheetView>
  </sheetViews>
  <sheetFormatPr defaultRowHeight="13.5" x14ac:dyDescent="0.15"/>
  <cols>
    <col min="1" max="1" width="14.375" customWidth="1"/>
    <col min="2" max="2" width="11.5" customWidth="1"/>
    <col min="3" max="3" width="11.125" customWidth="1"/>
    <col min="4" max="4" width="10.5" customWidth="1"/>
    <col min="5" max="5" width="10.25" customWidth="1"/>
    <col min="9" max="9" width="15.25" customWidth="1"/>
  </cols>
  <sheetData>
    <row r="1" spans="1:10" ht="15" x14ac:dyDescent="0.15">
      <c r="A1" s="23" t="s">
        <v>122</v>
      </c>
      <c r="B1" s="130" t="s">
        <v>123</v>
      </c>
      <c r="C1" s="130"/>
      <c r="D1" s="130"/>
      <c r="E1" s="130"/>
      <c r="F1" s="75" t="s">
        <v>216</v>
      </c>
      <c r="G1" s="75" t="s">
        <v>215</v>
      </c>
      <c r="I1" s="68" t="s">
        <v>214</v>
      </c>
      <c r="J1" s="24" t="s">
        <v>250</v>
      </c>
    </row>
    <row r="2" spans="1:10" ht="15" x14ac:dyDescent="0.15">
      <c r="A2" s="24">
        <v>1</v>
      </c>
      <c r="B2" s="25">
        <v>1</v>
      </c>
      <c r="C2" s="25">
        <v>2</v>
      </c>
      <c r="D2" s="25">
        <v>3</v>
      </c>
      <c r="E2" s="25"/>
      <c r="F2" s="69">
        <v>3</v>
      </c>
      <c r="G2" s="69">
        <v>122</v>
      </c>
    </row>
    <row r="3" spans="1:10" ht="15" x14ac:dyDescent="0.15">
      <c r="A3" s="24">
        <v>2</v>
      </c>
      <c r="B3" s="25">
        <v>4</v>
      </c>
      <c r="C3" s="25">
        <v>5</v>
      </c>
      <c r="D3" s="25">
        <v>6</v>
      </c>
      <c r="E3" s="25"/>
      <c r="F3" s="69">
        <v>3</v>
      </c>
      <c r="G3" s="69">
        <v>123</v>
      </c>
    </row>
    <row r="4" spans="1:10" ht="15" x14ac:dyDescent="0.15">
      <c r="A4" s="24">
        <v>3</v>
      </c>
      <c r="B4" s="25">
        <v>7</v>
      </c>
      <c r="C4" s="25">
        <v>8</v>
      </c>
      <c r="D4" s="25">
        <v>9</v>
      </c>
      <c r="E4" s="25"/>
      <c r="F4" s="69">
        <v>3</v>
      </c>
      <c r="G4" s="69">
        <v>124</v>
      </c>
    </row>
    <row r="5" spans="1:10" ht="15" x14ac:dyDescent="0.15">
      <c r="A5" s="24">
        <v>4</v>
      </c>
      <c r="B5" s="25">
        <v>10</v>
      </c>
      <c r="C5" s="25">
        <v>11</v>
      </c>
      <c r="D5" s="25">
        <v>12</v>
      </c>
      <c r="E5" s="25"/>
      <c r="F5" s="69">
        <v>3</v>
      </c>
      <c r="G5" s="69">
        <v>125</v>
      </c>
    </row>
    <row r="6" spans="1:10" ht="15" x14ac:dyDescent="0.15">
      <c r="A6" s="24">
        <v>5</v>
      </c>
      <c r="B6" s="25">
        <v>13</v>
      </c>
      <c r="C6" s="25">
        <v>14</v>
      </c>
      <c r="D6" s="25">
        <v>15</v>
      </c>
      <c r="E6" s="25"/>
      <c r="F6" s="69">
        <v>3</v>
      </c>
      <c r="G6" s="69">
        <v>126</v>
      </c>
    </row>
    <row r="7" spans="1:10" ht="15" x14ac:dyDescent="0.15">
      <c r="A7" s="24">
        <v>6</v>
      </c>
      <c r="B7" s="25">
        <v>16</v>
      </c>
      <c r="C7" s="25">
        <v>17</v>
      </c>
      <c r="D7" s="25">
        <v>18</v>
      </c>
      <c r="E7" s="25">
        <v>19</v>
      </c>
      <c r="F7" s="69">
        <v>3</v>
      </c>
      <c r="G7" s="69">
        <v>127</v>
      </c>
    </row>
    <row r="8" spans="1:10" ht="15" x14ac:dyDescent="0.15">
      <c r="A8" s="24">
        <v>7</v>
      </c>
      <c r="B8" s="25">
        <v>20</v>
      </c>
      <c r="C8" s="25">
        <v>21</v>
      </c>
      <c r="D8" s="25">
        <v>22</v>
      </c>
      <c r="E8" s="25">
        <v>23</v>
      </c>
      <c r="F8" s="69">
        <v>3</v>
      </c>
      <c r="G8" s="69">
        <v>128</v>
      </c>
    </row>
    <row r="9" spans="1:10" ht="15" x14ac:dyDescent="0.15">
      <c r="A9" s="24">
        <v>8</v>
      </c>
      <c r="B9" s="25">
        <v>24</v>
      </c>
      <c r="C9" s="25">
        <v>25</v>
      </c>
      <c r="D9" s="25">
        <v>26</v>
      </c>
      <c r="E9" s="25">
        <v>27</v>
      </c>
      <c r="F9" s="69">
        <v>3</v>
      </c>
      <c r="G9" s="69">
        <v>129</v>
      </c>
    </row>
    <row r="10" spans="1:10" ht="15" x14ac:dyDescent="0.15">
      <c r="A10" s="24">
        <v>9</v>
      </c>
      <c r="B10" s="25">
        <v>28</v>
      </c>
      <c r="C10" s="25">
        <v>29</v>
      </c>
      <c r="D10" s="25">
        <v>30</v>
      </c>
      <c r="E10" s="25">
        <v>31</v>
      </c>
      <c r="F10" s="69">
        <v>3</v>
      </c>
      <c r="G10" s="69">
        <v>130</v>
      </c>
    </row>
    <row r="11" spans="1:10" ht="15" x14ac:dyDescent="0.15">
      <c r="A11" s="24">
        <v>10</v>
      </c>
      <c r="B11" s="25">
        <v>32</v>
      </c>
      <c r="C11" s="25">
        <v>33</v>
      </c>
      <c r="D11" s="25">
        <v>34</v>
      </c>
      <c r="E11" s="25">
        <v>35</v>
      </c>
      <c r="F11" s="69">
        <v>3</v>
      </c>
      <c r="G11" s="69">
        <v>131</v>
      </c>
    </row>
    <row r="12" spans="1:10" ht="15" x14ac:dyDescent="0.15">
      <c r="A12" s="24">
        <v>11</v>
      </c>
      <c r="B12" s="25">
        <v>36</v>
      </c>
      <c r="C12" s="25">
        <v>37</v>
      </c>
      <c r="D12" s="25">
        <v>38</v>
      </c>
      <c r="E12" s="25">
        <v>39</v>
      </c>
      <c r="F12" s="69">
        <v>3</v>
      </c>
      <c r="G12" s="69">
        <v>132</v>
      </c>
    </row>
    <row r="13" spans="1:10" ht="15" x14ac:dyDescent="0.15">
      <c r="A13" s="24">
        <v>12</v>
      </c>
      <c r="B13" s="25">
        <v>40</v>
      </c>
      <c r="C13" s="25">
        <v>41</v>
      </c>
      <c r="D13" s="25">
        <v>42</v>
      </c>
      <c r="E13" s="25"/>
      <c r="F13" s="69">
        <v>3</v>
      </c>
      <c r="G13" s="69">
        <v>133</v>
      </c>
    </row>
    <row r="14" spans="1:10" ht="15" x14ac:dyDescent="0.15">
      <c r="A14" s="24">
        <v>13</v>
      </c>
      <c r="B14" s="25">
        <v>43</v>
      </c>
      <c r="C14" s="25">
        <v>44</v>
      </c>
      <c r="D14" s="25">
        <v>45</v>
      </c>
      <c r="E14" s="25"/>
      <c r="F14" s="69">
        <v>3</v>
      </c>
      <c r="G14" s="69">
        <v>134</v>
      </c>
    </row>
    <row r="15" spans="1:10" ht="15" x14ac:dyDescent="0.15">
      <c r="A15" s="24">
        <v>14</v>
      </c>
      <c r="B15" s="25">
        <v>46</v>
      </c>
      <c r="C15" s="25">
        <v>47</v>
      </c>
      <c r="D15" s="25">
        <v>48</v>
      </c>
      <c r="E15" s="25"/>
      <c r="F15" s="69">
        <v>3</v>
      </c>
      <c r="G15" s="69">
        <v>135</v>
      </c>
    </row>
    <row r="16" spans="1:10" ht="15" x14ac:dyDescent="0.15">
      <c r="A16" s="24">
        <v>15</v>
      </c>
      <c r="B16" s="25">
        <v>49</v>
      </c>
      <c r="C16" s="25">
        <v>50</v>
      </c>
      <c r="D16" s="25">
        <v>51</v>
      </c>
      <c r="E16" s="25"/>
      <c r="F16" s="69">
        <v>3</v>
      </c>
      <c r="G16" s="69">
        <v>136</v>
      </c>
    </row>
    <row r="17" spans="1:7" ht="15" x14ac:dyDescent="0.15">
      <c r="A17" s="24">
        <v>16</v>
      </c>
      <c r="B17" s="25">
        <v>52</v>
      </c>
      <c r="C17" s="25">
        <v>53</v>
      </c>
      <c r="D17" s="25">
        <v>54</v>
      </c>
      <c r="E17" s="25">
        <v>55</v>
      </c>
      <c r="F17" s="69">
        <v>3</v>
      </c>
      <c r="G17" s="69">
        <v>137</v>
      </c>
    </row>
    <row r="18" spans="1:7" ht="15" x14ac:dyDescent="0.15">
      <c r="A18" s="24">
        <v>17</v>
      </c>
      <c r="B18" s="25">
        <v>56</v>
      </c>
      <c r="C18" s="25">
        <v>57</v>
      </c>
      <c r="D18" s="25">
        <v>58</v>
      </c>
      <c r="E18" s="25">
        <v>59</v>
      </c>
      <c r="F18" s="69">
        <v>3</v>
      </c>
      <c r="G18" s="69">
        <v>138</v>
      </c>
    </row>
    <row r="19" spans="1:7" ht="15" x14ac:dyDescent="0.15">
      <c r="A19" s="24">
        <v>18</v>
      </c>
      <c r="B19" s="25">
        <v>60</v>
      </c>
      <c r="C19" s="25">
        <v>61</v>
      </c>
      <c r="D19" s="25">
        <v>62</v>
      </c>
      <c r="E19" s="25">
        <v>63</v>
      </c>
      <c r="F19" s="69">
        <v>3</v>
      </c>
      <c r="G19" s="69">
        <v>139</v>
      </c>
    </row>
    <row r="20" spans="1:7" ht="15" x14ac:dyDescent="0.15">
      <c r="A20" s="24">
        <v>19</v>
      </c>
      <c r="B20" s="25">
        <v>64</v>
      </c>
      <c r="C20" s="25">
        <v>65</v>
      </c>
      <c r="D20" s="25">
        <v>66</v>
      </c>
      <c r="E20" s="25">
        <v>67</v>
      </c>
      <c r="F20" s="69">
        <v>3</v>
      </c>
      <c r="G20" s="69">
        <v>140</v>
      </c>
    </row>
    <row r="21" spans="1:7" ht="15" x14ac:dyDescent="0.15">
      <c r="A21" s="24">
        <v>20</v>
      </c>
      <c r="B21" s="25">
        <v>68</v>
      </c>
      <c r="C21" s="25">
        <v>69</v>
      </c>
      <c r="D21" s="25">
        <v>70</v>
      </c>
      <c r="E21" s="25"/>
      <c r="F21" s="69">
        <v>3</v>
      </c>
      <c r="G21" s="69">
        <v>141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B2" sqref="B2"/>
    </sheetView>
  </sheetViews>
  <sheetFormatPr defaultRowHeight="13.5" x14ac:dyDescent="0.15"/>
  <cols>
    <col min="1" max="1" width="11.125" customWidth="1"/>
  </cols>
  <sheetData>
    <row r="1" spans="1:7" ht="15" x14ac:dyDescent="0.15">
      <c r="A1" s="27" t="s">
        <v>124</v>
      </c>
      <c r="B1" s="27" t="s">
        <v>125</v>
      </c>
      <c r="C1" s="27" t="s">
        <v>126</v>
      </c>
      <c r="D1" s="75" t="s">
        <v>246</v>
      </c>
      <c r="E1" s="75" t="s">
        <v>247</v>
      </c>
      <c r="F1" s="75" t="s">
        <v>248</v>
      </c>
      <c r="G1" s="75" t="s">
        <v>249</v>
      </c>
    </row>
    <row r="2" spans="1:7" ht="15" x14ac:dyDescent="0.15">
      <c r="A2" s="28">
        <v>1</v>
      </c>
      <c r="B2" s="26">
        <v>1</v>
      </c>
      <c r="C2" s="26" t="s">
        <v>127</v>
      </c>
      <c r="D2" s="69">
        <v>3</v>
      </c>
      <c r="E2" s="69">
        <v>2</v>
      </c>
      <c r="F2" s="25">
        <v>3</v>
      </c>
      <c r="G2" s="25">
        <v>29</v>
      </c>
    </row>
    <row r="3" spans="1:7" ht="15" x14ac:dyDescent="0.15">
      <c r="A3" s="28">
        <v>2</v>
      </c>
      <c r="B3" s="26">
        <v>2</v>
      </c>
      <c r="C3" s="26" t="s">
        <v>128</v>
      </c>
      <c r="D3" s="69">
        <v>3</v>
      </c>
      <c r="E3" s="69">
        <v>3</v>
      </c>
      <c r="F3" s="25">
        <v>3</v>
      </c>
      <c r="G3" s="25">
        <v>30</v>
      </c>
    </row>
    <row r="4" spans="1:7" ht="15" x14ac:dyDescent="0.15">
      <c r="A4" s="28">
        <v>3</v>
      </c>
      <c r="B4" s="26">
        <v>3</v>
      </c>
      <c r="C4" s="26" t="s">
        <v>129</v>
      </c>
      <c r="D4" s="69">
        <v>3</v>
      </c>
      <c r="E4" s="69">
        <v>4</v>
      </c>
      <c r="F4" s="25">
        <v>3</v>
      </c>
      <c r="G4" s="25">
        <v>31</v>
      </c>
    </row>
    <row r="5" spans="1:7" ht="15" x14ac:dyDescent="0.15">
      <c r="A5" s="28">
        <v>4</v>
      </c>
      <c r="B5" s="26">
        <v>4</v>
      </c>
      <c r="C5" s="26" t="s">
        <v>130</v>
      </c>
      <c r="D5" s="69">
        <v>3</v>
      </c>
      <c r="E5" s="69">
        <v>5</v>
      </c>
      <c r="F5" s="25">
        <v>3</v>
      </c>
      <c r="G5" s="25">
        <v>32</v>
      </c>
    </row>
    <row r="6" spans="1:7" ht="15" x14ac:dyDescent="0.15">
      <c r="A6" s="28">
        <v>5</v>
      </c>
      <c r="B6" s="26">
        <v>5</v>
      </c>
      <c r="C6" s="26" t="s">
        <v>131</v>
      </c>
      <c r="D6" s="69">
        <v>3</v>
      </c>
      <c r="E6" s="69">
        <v>6</v>
      </c>
      <c r="F6" s="25">
        <v>3</v>
      </c>
      <c r="G6" s="25">
        <v>33</v>
      </c>
    </row>
    <row r="7" spans="1:7" ht="15" x14ac:dyDescent="0.15">
      <c r="A7" s="28">
        <v>6</v>
      </c>
      <c r="B7" s="26">
        <v>6</v>
      </c>
      <c r="C7" s="26" t="s">
        <v>132</v>
      </c>
      <c r="D7" s="69">
        <v>3</v>
      </c>
      <c r="E7" s="69">
        <v>7</v>
      </c>
      <c r="F7" s="25">
        <v>3</v>
      </c>
      <c r="G7" s="25">
        <v>34</v>
      </c>
    </row>
    <row r="8" spans="1:7" ht="15" x14ac:dyDescent="0.15">
      <c r="A8" s="28">
        <v>7</v>
      </c>
      <c r="B8" s="26">
        <v>7</v>
      </c>
      <c r="C8" s="26" t="s">
        <v>133</v>
      </c>
      <c r="D8" s="69">
        <v>3</v>
      </c>
      <c r="E8" s="69">
        <v>8</v>
      </c>
      <c r="F8" s="25">
        <v>3</v>
      </c>
      <c r="G8" s="25">
        <v>35</v>
      </c>
    </row>
    <row r="9" spans="1:7" ht="15" x14ac:dyDescent="0.15">
      <c r="A9" s="28">
        <v>8</v>
      </c>
      <c r="B9" s="26">
        <v>8</v>
      </c>
      <c r="C9" s="26" t="s">
        <v>134</v>
      </c>
      <c r="D9" s="69">
        <v>3</v>
      </c>
      <c r="E9" s="69">
        <v>9</v>
      </c>
      <c r="F9" s="25">
        <v>3</v>
      </c>
      <c r="G9" s="25">
        <v>36</v>
      </c>
    </row>
    <row r="10" spans="1:7" ht="15" x14ac:dyDescent="0.15">
      <c r="A10" s="28">
        <v>9</v>
      </c>
      <c r="B10" s="26">
        <v>9</v>
      </c>
      <c r="C10" s="26" t="s">
        <v>135</v>
      </c>
      <c r="D10" s="69">
        <v>3</v>
      </c>
      <c r="E10" s="69">
        <v>10</v>
      </c>
      <c r="F10" s="25">
        <v>3</v>
      </c>
      <c r="G10" s="25">
        <v>37</v>
      </c>
    </row>
    <row r="18" spans="1:2" ht="15" x14ac:dyDescent="0.15">
      <c r="A18" s="74" t="s">
        <v>214</v>
      </c>
      <c r="B18" s="24" t="s">
        <v>225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31</vt:i4>
      </vt:variant>
      <vt:variant>
        <vt:lpstr>命名范围</vt:lpstr>
      </vt:variant>
      <vt:variant>
        <vt:i4>158</vt:i4>
      </vt:variant>
    </vt:vector>
  </HeadingPairs>
  <TitlesOfParts>
    <vt:vector size="189" baseType="lpstr">
      <vt:lpstr>Homepage</vt:lpstr>
      <vt:lpstr>AutoPilot</vt:lpstr>
      <vt:lpstr>L9_0</vt:lpstr>
      <vt:lpstr>L9_RM</vt:lpstr>
      <vt:lpstr>L9_VSL</vt:lpstr>
      <vt:lpstr>L9_RM_VSL</vt:lpstr>
      <vt:lpstr>L9_RM_VSL_RR3</vt:lpstr>
      <vt:lpstr>L9_RM_VSL_RR5</vt:lpstr>
      <vt:lpstr>L9_RM_VSL_RR7</vt:lpstr>
      <vt:lpstr>Parameters</vt:lpstr>
      <vt:lpstr>ATM_Conf</vt:lpstr>
      <vt:lpstr>ATMDispatcherConf</vt:lpstr>
      <vt:lpstr>ATMLogConf</vt:lpstr>
      <vt:lpstr>Links</vt:lpstr>
      <vt:lpstr>Nodes</vt:lpstr>
      <vt:lpstr>On-Ramps</vt:lpstr>
      <vt:lpstr>Off-Ramp</vt:lpstr>
      <vt:lpstr>OD</vt:lpstr>
      <vt:lpstr>PRD_Conf</vt:lpstr>
      <vt:lpstr>Route_Parts_Conf</vt:lpstr>
      <vt:lpstr>Aggregated_Data</vt:lpstr>
      <vt:lpstr>IC_Miles</vt:lpstr>
      <vt:lpstr>Input_Conf</vt:lpstr>
      <vt:lpstr>Route_Decisions_Conf</vt:lpstr>
      <vt:lpstr>I_L9</vt:lpstr>
      <vt:lpstr>Comp_Conf</vt:lpstr>
      <vt:lpstr>Incidents_Conf</vt:lpstr>
      <vt:lpstr>DC_Conf</vt:lpstr>
      <vt:lpstr>FCD_Conf</vt:lpstr>
      <vt:lpstr>VSL_Conf</vt:lpstr>
      <vt:lpstr>RM_Conf</vt:lpstr>
      <vt:lpstr>A</vt:lpstr>
      <vt:lpstr>alpha</vt:lpstr>
      <vt:lpstr>b0</vt:lpstr>
      <vt:lpstr>beta1</vt:lpstr>
      <vt:lpstr>beta2</vt:lpstr>
      <vt:lpstr>bmin</vt:lpstr>
      <vt:lpstr>bmin_new</vt:lpstr>
      <vt:lpstr>cmdline</vt:lpstr>
      <vt:lpstr>continue</vt:lpstr>
      <vt:lpstr>countdown</vt:lpstr>
      <vt:lpstr>d</vt:lpstr>
      <vt:lpstr>E</vt:lpstr>
      <vt:lpstr>flow1</vt:lpstr>
      <vt:lpstr>flow10</vt:lpstr>
      <vt:lpstr>flow11</vt:lpstr>
      <vt:lpstr>flow12</vt:lpstr>
      <vt:lpstr>flow13</vt:lpstr>
      <vt:lpstr>flow14</vt:lpstr>
      <vt:lpstr>flow15</vt:lpstr>
      <vt:lpstr>flow16</vt:lpstr>
      <vt:lpstr>flow17</vt:lpstr>
      <vt:lpstr>flow18</vt:lpstr>
      <vt:lpstr>flow19</vt:lpstr>
      <vt:lpstr>flow2</vt:lpstr>
      <vt:lpstr>flow20</vt:lpstr>
      <vt:lpstr>flow3</vt:lpstr>
      <vt:lpstr>flow4</vt:lpstr>
      <vt:lpstr>flow5</vt:lpstr>
      <vt:lpstr>flow6</vt:lpstr>
      <vt:lpstr>flow7</vt:lpstr>
      <vt:lpstr>flow8</vt:lpstr>
      <vt:lpstr>flow9</vt:lpstr>
      <vt:lpstr>gamma</vt:lpstr>
      <vt:lpstr>gamma_indicator</vt:lpstr>
      <vt:lpstr>kappa</vt:lpstr>
      <vt:lpstr>lambdal</vt:lpstr>
      <vt:lpstr>lambdaoff</vt:lpstr>
      <vt:lpstr>link_conf</vt:lpstr>
      <vt:lpstr>Ll</vt:lpstr>
      <vt:lpstr>Loff</vt:lpstr>
      <vt:lpstr>Nc</vt:lpstr>
      <vt:lpstr>nexttask</vt:lpstr>
      <vt:lpstr>nodes_conf</vt:lpstr>
      <vt:lpstr>Np</vt:lpstr>
      <vt:lpstr>off_ramps_conf</vt:lpstr>
      <vt:lpstr>on_ramps_conf</vt:lpstr>
      <vt:lpstr>phib</vt:lpstr>
      <vt:lpstr>phir</vt:lpstr>
      <vt:lpstr>phiw</vt:lpstr>
      <vt:lpstr>q_in1</vt:lpstr>
      <vt:lpstr>q_in2</vt:lpstr>
      <vt:lpstr>q_in3</vt:lpstr>
      <vt:lpstr>q_in4</vt:lpstr>
      <vt:lpstr>q_in5</vt:lpstr>
      <vt:lpstr>q_in6</vt:lpstr>
      <vt:lpstr>q_in7</vt:lpstr>
      <vt:lpstr>q_in8</vt:lpstr>
      <vt:lpstr>q_in9</vt:lpstr>
      <vt:lpstr>Qc</vt:lpstr>
      <vt:lpstr>qin</vt:lpstr>
      <vt:lpstr>ql</vt:lpstr>
      <vt:lpstr>qoff</vt:lpstr>
      <vt:lpstr>queue1</vt:lpstr>
      <vt:lpstr>queue2</vt:lpstr>
      <vt:lpstr>queue3</vt:lpstr>
      <vt:lpstr>queue4</vt:lpstr>
      <vt:lpstr>queue5</vt:lpstr>
      <vt:lpstr>queue6</vt:lpstr>
      <vt:lpstr>queue7</vt:lpstr>
      <vt:lpstr>queue8</vt:lpstr>
      <vt:lpstr>queue9</vt:lpstr>
      <vt:lpstr>r0</vt:lpstr>
      <vt:lpstr>rhocrit</vt:lpstr>
      <vt:lpstr>rhol</vt:lpstr>
      <vt:lpstr>rhol1</vt:lpstr>
      <vt:lpstr>rhol10</vt:lpstr>
      <vt:lpstr>rhol11</vt:lpstr>
      <vt:lpstr>rhol12</vt:lpstr>
      <vt:lpstr>rhol13</vt:lpstr>
      <vt:lpstr>rhol14</vt:lpstr>
      <vt:lpstr>rhol15</vt:lpstr>
      <vt:lpstr>rhol16</vt:lpstr>
      <vt:lpstr>rhol17</vt:lpstr>
      <vt:lpstr>rhol18</vt:lpstr>
      <vt:lpstr>rhol19</vt:lpstr>
      <vt:lpstr>rhol2</vt:lpstr>
      <vt:lpstr>rhol20</vt:lpstr>
      <vt:lpstr>rhol3</vt:lpstr>
      <vt:lpstr>rhol4</vt:lpstr>
      <vt:lpstr>rhol5</vt:lpstr>
      <vt:lpstr>rhol6</vt:lpstr>
      <vt:lpstr>rhol7</vt:lpstr>
      <vt:lpstr>rhol8</vt:lpstr>
      <vt:lpstr>rhol9</vt:lpstr>
      <vt:lpstr>rhomax</vt:lpstr>
      <vt:lpstr>rhooff</vt:lpstr>
      <vt:lpstr>rm_rate1</vt:lpstr>
      <vt:lpstr>rm_rate2</vt:lpstr>
      <vt:lpstr>rm_rate3</vt:lpstr>
      <vt:lpstr>rm_rate4</vt:lpstr>
      <vt:lpstr>rm_rate5</vt:lpstr>
      <vt:lpstr>rm_rate6</vt:lpstr>
      <vt:lpstr>rm_rate7</vt:lpstr>
      <vt:lpstr>rm_rate8</vt:lpstr>
      <vt:lpstr>rm_rate9</vt:lpstr>
      <vt:lpstr>rmin</vt:lpstr>
      <vt:lpstr>rmin_new</vt:lpstr>
      <vt:lpstr>sample_interval</vt:lpstr>
      <vt:lpstr>T</vt:lpstr>
      <vt:lpstr>tau</vt:lpstr>
      <vt:lpstr>theta</vt:lpstr>
      <vt:lpstr>velocity1</vt:lpstr>
      <vt:lpstr>velocity10</vt:lpstr>
      <vt:lpstr>velocity11</vt:lpstr>
      <vt:lpstr>velocity12</vt:lpstr>
      <vt:lpstr>velocity13</vt:lpstr>
      <vt:lpstr>velocity14</vt:lpstr>
      <vt:lpstr>velocity15</vt:lpstr>
      <vt:lpstr>velocity16</vt:lpstr>
      <vt:lpstr>velocity17</vt:lpstr>
      <vt:lpstr>velocity18</vt:lpstr>
      <vt:lpstr>velocity19</vt:lpstr>
      <vt:lpstr>velocity2</vt:lpstr>
      <vt:lpstr>velocity20</vt:lpstr>
      <vt:lpstr>velocity3</vt:lpstr>
      <vt:lpstr>velocity4</vt:lpstr>
      <vt:lpstr>velocity5</vt:lpstr>
      <vt:lpstr>velocity6</vt:lpstr>
      <vt:lpstr>velocity7</vt:lpstr>
      <vt:lpstr>velocity8</vt:lpstr>
      <vt:lpstr>velocity9</vt:lpstr>
      <vt:lpstr>vf</vt:lpstr>
      <vt:lpstr>vl</vt:lpstr>
      <vt:lpstr>vlink1</vt:lpstr>
      <vt:lpstr>voff</vt:lpstr>
      <vt:lpstr>von</vt:lpstr>
      <vt:lpstr>vsl_rate1</vt:lpstr>
      <vt:lpstr>vsl_rate10</vt:lpstr>
      <vt:lpstr>vsl_rate11</vt:lpstr>
      <vt:lpstr>vsl_rate12</vt:lpstr>
      <vt:lpstr>vsl_rate13</vt:lpstr>
      <vt:lpstr>vsl_rate14</vt:lpstr>
      <vt:lpstr>vsl_rate15</vt:lpstr>
      <vt:lpstr>vsl_rate16</vt:lpstr>
      <vt:lpstr>vsl_rate17</vt:lpstr>
      <vt:lpstr>vsl_rate18</vt:lpstr>
      <vt:lpstr>vsl_rate19</vt:lpstr>
      <vt:lpstr>vsl_rate2</vt:lpstr>
      <vt:lpstr>vsl_rate20</vt:lpstr>
      <vt:lpstr>vsl_rate3</vt:lpstr>
      <vt:lpstr>vsl_rate4</vt:lpstr>
      <vt:lpstr>vsl_rate5</vt:lpstr>
      <vt:lpstr>vsl_rate6</vt:lpstr>
      <vt:lpstr>vsl_rate7</vt:lpstr>
      <vt:lpstr>vsl_rate8</vt:lpstr>
      <vt:lpstr>vsl_rate9</vt:lpstr>
      <vt:lpstr>w</vt:lpstr>
      <vt:lpstr>wmax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Lin</dc:creator>
  <cp:lastModifiedBy>John Lin</cp:lastModifiedBy>
  <cp:lastPrinted>2018-05-25T03:34:14Z</cp:lastPrinted>
  <dcterms:created xsi:type="dcterms:W3CDTF">2017-12-05T01:08:46Z</dcterms:created>
  <dcterms:modified xsi:type="dcterms:W3CDTF">2018-06-07T03:13:36Z</dcterms:modified>
</cp:coreProperties>
</file>