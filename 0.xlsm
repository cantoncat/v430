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 firstSheet="1" activeTab="1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25" l="1"/>
  <c r="Y3" i="25"/>
  <c r="Z3" i="25"/>
  <c r="AA3" i="25"/>
  <c r="AD3" i="25"/>
  <c r="AE3" i="25"/>
  <c r="AF3" i="25"/>
  <c r="L3" i="25" s="1"/>
  <c r="AG3" i="25"/>
  <c r="AH3" i="25"/>
  <c r="AK3" i="25"/>
  <c r="AL3" i="25"/>
  <c r="AM3" i="25"/>
  <c r="AN3" i="25"/>
  <c r="V3" i="25"/>
  <c r="B3" i="25" s="1"/>
  <c r="W3" i="25"/>
  <c r="P203" i="25"/>
  <c r="AJ3" i="25" s="1"/>
  <c r="I203" i="25"/>
  <c r="AC3" i="25" s="1"/>
  <c r="C3" i="25" l="1"/>
  <c r="D3" i="25" s="1"/>
  <c r="E3" i="25" s="1"/>
  <c r="F3" i="25" s="1"/>
  <c r="G3" i="25" s="1"/>
  <c r="M3" i="25"/>
  <c r="N3" i="25" s="1"/>
  <c r="N198" i="20"/>
  <c r="L198" i="20"/>
  <c r="K198" i="20"/>
  <c r="J198" i="20"/>
  <c r="I198" i="20"/>
  <c r="H198" i="20"/>
  <c r="G198" i="20"/>
  <c r="F198" i="20"/>
  <c r="D198" i="20"/>
  <c r="N199" i="20"/>
  <c r="L199" i="20"/>
  <c r="K199" i="20"/>
  <c r="J199" i="20"/>
  <c r="I199" i="20"/>
  <c r="H199" i="20"/>
  <c r="G199" i="20"/>
  <c r="F199" i="20"/>
  <c r="D199" i="20"/>
  <c r="U203" i="25" l="1"/>
  <c r="AO3" i="25" s="1"/>
  <c r="O203" i="25"/>
  <c r="AI3" i="25" s="1"/>
  <c r="O3" i="25" s="1"/>
  <c r="P3" i="25" s="1"/>
  <c r="Q3" i="25" s="1"/>
  <c r="R3" i="25" s="1"/>
  <c r="S3" i="25" s="1"/>
  <c r="T3" i="25" s="1"/>
  <c r="H203" i="25"/>
  <c r="AB3" i="25" s="1"/>
  <c r="H3" i="25" s="1"/>
  <c r="I3" i="25" s="1"/>
  <c r="J3" i="25" s="1"/>
  <c r="K3" i="25" s="1"/>
  <c r="U3" i="25" l="1"/>
  <c r="M19" i="26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T31" i="15" l="1"/>
  <c r="T32" i="15"/>
  <c r="T28" i="15"/>
  <c r="T30" i="15"/>
  <c r="L194" i="20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T7" i="15" l="1"/>
  <c r="D22" i="26" s="1"/>
  <c r="T8" i="15"/>
  <c r="D21" i="26" s="1"/>
  <c r="T33" i="15"/>
  <c r="N25" i="26" s="1"/>
  <c r="N20" i="26" s="1"/>
  <c r="L24" i="26"/>
  <c r="L25" i="26"/>
  <c r="K23" i="26"/>
  <c r="T29" i="15"/>
  <c r="K24" i="26" s="1"/>
  <c r="K25" i="26"/>
  <c r="T27" i="15"/>
  <c r="J22" i="26" s="1"/>
  <c r="T26" i="15"/>
  <c r="J23" i="26" s="1"/>
  <c r="T25" i="15"/>
  <c r="J24" i="26" s="1"/>
  <c r="T24" i="15"/>
  <c r="J25" i="26" s="1"/>
  <c r="T23" i="15"/>
  <c r="I21" i="26" s="1"/>
  <c r="T22" i="15"/>
  <c r="I22" i="26" s="1"/>
  <c r="T21" i="15"/>
  <c r="I23" i="26" s="1"/>
  <c r="T20" i="15"/>
  <c r="I24" i="26" s="1"/>
  <c r="T18" i="15"/>
  <c r="H26" i="26" s="1"/>
  <c r="H20" i="26" s="1"/>
  <c r="T17" i="15"/>
  <c r="G23" i="26" s="1"/>
  <c r="T16" i="15"/>
  <c r="G24" i="26" s="1"/>
  <c r="T15" i="15"/>
  <c r="G25" i="26" s="1"/>
  <c r="T14" i="15"/>
  <c r="G26" i="26" s="1"/>
  <c r="T13" i="15"/>
  <c r="F22" i="26" s="1"/>
  <c r="T12" i="15"/>
  <c r="F23" i="26" s="1"/>
  <c r="T11" i="15"/>
  <c r="F24" i="26" s="1"/>
  <c r="T10" i="15"/>
  <c r="F25" i="26" s="1"/>
  <c r="T9" i="15"/>
  <c r="F26" i="26" s="1"/>
  <c r="T6" i="15"/>
  <c r="D23" i="26" s="1"/>
  <c r="T5" i="15"/>
  <c r="D24" i="26" s="1"/>
  <c r="T4" i="15"/>
  <c r="D25" i="26" s="1"/>
  <c r="L20" i="26" l="1"/>
  <c r="F20" i="26"/>
  <c r="G20" i="26"/>
  <c r="K20" i="26"/>
  <c r="I20" i="26"/>
  <c r="J20" i="26"/>
  <c r="T3" i="15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T34" i="15"/>
  <c r="EL183" i="25"/>
  <c r="M3" i="22" l="1"/>
  <c r="N3" i="22"/>
  <c r="O3" i="22"/>
  <c r="R3" i="22"/>
  <c r="S3" i="22"/>
  <c r="T3" i="22"/>
  <c r="U3" i="22"/>
  <c r="V3" i="22"/>
  <c r="W3" i="22"/>
  <c r="X3" i="22"/>
  <c r="L204" i="22" s="1"/>
  <c r="Y3" i="22"/>
  <c r="Z3" i="22"/>
  <c r="AA3" i="22"/>
  <c r="L3" i="22"/>
  <c r="O204" i="22" l="1"/>
  <c r="N204" i="22"/>
  <c r="K204" i="22"/>
  <c r="C204" i="22"/>
  <c r="M204" i="22"/>
  <c r="J204" i="22"/>
  <c r="I204" i="22"/>
  <c r="H204" i="22"/>
  <c r="G204" i="22"/>
  <c r="F204" i="22"/>
  <c r="E204" i="22"/>
  <c r="D204" i="22"/>
  <c r="B204" i="22"/>
</calcChain>
</file>

<file path=xl/sharedStrings.xml><?xml version="1.0" encoding="utf-8"?>
<sst xmlns="http://schemas.openxmlformats.org/spreadsheetml/2006/main" count="889" uniqueCount="452">
  <si>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</si>
  <si>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</si>
  <si>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</si>
  <si>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</si>
  <si>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</si>
  <si>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</si>
  <si>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</si>
  <si>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</si>
  <si>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</si>
  <si>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</si>
  <si>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</si>
  <si>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</si>
  <si>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</si>
  <si>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</si>
  <si>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</si>
  <si>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</si>
  <si>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</si>
  <si>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</si>
  <si>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</si>
  <si>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</si>
  <si>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</si>
  <si>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</si>
  <si>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</si>
  <si>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</si>
  <si>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</si>
  <si>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</si>
  <si>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</si>
  <si>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</si>
  <si>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</si>
  <si>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</si>
  <si>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</si>
  <si>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</si>
  <si>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</si>
  <si>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</si>
  <si>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</si>
  <si>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</si>
  <si>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</si>
  <si>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</si>
  <si>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</si>
  <si>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</si>
  <si>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</si>
  <si>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</si>
  <si>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</si>
  <si>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</si>
  <si>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</si>
  <si>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</si>
  <si>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</si>
  <si>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</si>
  <si>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</si>
  <si>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</si>
  <si>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</si>
  <si>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</si>
  <si>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</si>
  <si>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</si>
  <si>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</si>
  <si>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</si>
  <si>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</si>
  <si>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</si>
  <si>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</si>
  <si>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</si>
  <si>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</si>
  <si>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</si>
  <si>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</si>
  <si>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</si>
  <si>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</si>
  <si>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</si>
  <si>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</si>
  <si>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</si>
  <si>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</si>
  <si>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</si>
  <si>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</si>
  <si>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</si>
  <si>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</si>
  <si>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</si>
  <si>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</si>
  <si>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</si>
  <si>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</si>
  <si>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</si>
  <si>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</si>
  <si>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</si>
  <si>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</si>
  <si>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</si>
  <si>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</si>
  <si>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</si>
  <si>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</si>
  <si>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</si>
  <si>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</si>
  <si>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</si>
  <si>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</si>
  <si>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</si>
  <si>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</si>
  <si>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</si>
  <si>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</si>
  <si>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</si>
  <si>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</si>
  <si>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</si>
  <si>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</si>
  <si>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</si>
  <si>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</si>
  <si>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</si>
  <si>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</si>
  <si>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</si>
  <si>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</si>
  <si>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</si>
  <si>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</si>
  <si>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</si>
  <si>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</si>
  <si>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</si>
  <si>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</si>
  <si>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</si>
  <si>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</si>
  <si>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</si>
  <si>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</si>
  <si>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</si>
  <si>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</si>
  <si>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</si>
  <si>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</si>
  <si>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</si>
  <si>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</si>
  <si>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</si>
  <si>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</si>
  <si>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</si>
  <si>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</si>
  <si>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</si>
  <si>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</si>
  <si>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</si>
  <si>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</si>
  <si>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</si>
  <si>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</si>
  <si>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</si>
  <si>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</si>
  <si>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</si>
  <si>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</si>
  <si>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</si>
  <si>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</si>
  <si>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</si>
  <si>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</si>
  <si>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</si>
  <si>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</si>
  <si>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</si>
  <si>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</si>
  <si>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</si>
  <si>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</si>
  <si>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</si>
  <si>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</si>
  <si>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</si>
  <si>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</si>
  <si>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</si>
  <si>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</si>
  <si>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</si>
  <si>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</si>
  <si>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</si>
  <si>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</si>
  <si>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</si>
  <si>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</si>
  <si>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</si>
  <si>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</si>
  <si>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</si>
  <si>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</si>
  <si>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</si>
  <si>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</si>
  <si>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</si>
  <si>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</si>
  <si>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</si>
  <si>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</si>
  <si>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</si>
  <si>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</si>
  <si>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</si>
  <si>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</si>
  <si>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</si>
  <si>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</si>
  <si>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</si>
  <si>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</si>
  <si>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</si>
  <si>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</si>
  <si>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</si>
  <si>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</si>
  <si>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</si>
  <si>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</si>
  <si>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</si>
  <si>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</si>
  <si>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</si>
  <si>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</si>
  <si>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</si>
  <si>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</si>
  <si>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</si>
  <si>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</si>
  <si>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</si>
  <si>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</si>
  <si>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</si>
  <si>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</si>
  <si>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</si>
  <si>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</si>
  <si>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</si>
  <si>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</si>
  <si>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</si>
  <si>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</si>
  <si>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</si>
  <si>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</si>
  <si>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</si>
  <si>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</si>
  <si>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</si>
  <si>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</si>
  <si>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</si>
  <si>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</si>
  <si>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</si>
  <si>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</si>
  <si>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</si>
  <si>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</si>
  <si>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</si>
  <si>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</si>
  <si>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</si>
  <si>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</si>
  <si>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</si>
  <si>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</si>
  <si>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</si>
  <si>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</si>
  <si>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</si>
  <si>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</si>
  <si>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</si>
  <si>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</si>
  <si>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</si>
  <si>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</si>
  <si>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</si>
  <si>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</si>
  <si>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</si>
  <si>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</si>
  <si>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</si>
  <si>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</si>
  <si>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</si>
  <si>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</si>
  <si>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</si>
  <si>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</si>
  <si>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</si>
  <si>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</si>
  <si>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</si>
  <si>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</si>
  <si>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</si>
  <si>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</si>
  <si>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</si>
  <si>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</si>
  <si>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</si>
  <si>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</si>
  <si>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</si>
  <si>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</si>
  <si>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</si>
  <si>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</si>
  <si>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</si>
  <si>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</si>
  <si>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</si>
  <si>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</si>
  <si>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</si>
  <si>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</si>
  <si>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</si>
  <si>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</si>
  <si>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</si>
  <si>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</si>
  <si>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</si>
  <si>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</si>
  <si>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</si>
  <si>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</si>
  <si>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</si>
  <si>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</si>
  <si>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</si>
  <si>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</si>
  <si>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</si>
  <si>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</si>
  <si>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</si>
  <si>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</si>
  <si>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</si>
  <si>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</si>
  <si>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</si>
  <si>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</si>
  <si>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</si>
  <si>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</si>
  <si>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</si>
  <si>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</si>
  <si>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</si>
  <si>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</si>
  <si>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</si>
  <si>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</si>
  <si>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</si>
  <si>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</si>
  <si>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</si>
  <si>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</si>
  <si>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</si>
  <si>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</si>
  <si>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</si>
  <si>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</si>
  <si>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</si>
  <si>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</si>
  <si>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</si>
  <si>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</si>
  <si>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</si>
  <si>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</si>
  <si>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</si>
  <si>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</si>
  <si>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</si>
  <si>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</si>
  <si>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</si>
  <si>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</si>
  <si>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</si>
  <si>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</si>
  <si>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</si>
  <si>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</si>
  <si>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</si>
  <si>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</si>
  <si>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</si>
  <si>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</si>
  <si>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</si>
  <si>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</si>
  <si>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</si>
  <si>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</si>
  <si>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</si>
  <si>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</si>
  <si>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</si>
  <si>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</si>
  <si>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</si>
  <si>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</si>
  <si>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</si>
  <si>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</si>
  <si>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</si>
  <si>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</si>
  <si>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</si>
  <si>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</si>
  <si>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</si>
  <si>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</si>
  <si>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</si>
  <si>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</si>
  <si>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</si>
  <si>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</si>
  <si>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</si>
  <si>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</si>
  <si>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</si>
  <si>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</si>
  <si>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</si>
  <si>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</si>
  <si>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</si>
  <si>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</si>
  <si>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</si>
  <si>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</si>
  <si>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</si>
  <si>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</si>
  <si>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</si>
  <si>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</si>
  <si>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</si>
  <si>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</si>
  <si>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</si>
  <si>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</si>
  <si>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</si>
  <si>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</si>
  <si>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</si>
  <si>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</si>
  <si>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</si>
  <si>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</si>
  <si>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</si>
  <si>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</si>
  <si>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</si>
  <si>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</si>
  <si>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</si>
  <si>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</si>
  <si>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</si>
  <si>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</si>
  <si>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</si>
  <si>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</si>
  <si>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</si>
  <si>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</si>
  <si>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</si>
  <si>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</si>
  <si>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</si>
  <si>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</si>
  <si>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</si>
  <si>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</si>
  <si>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</si>
  <si>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</si>
  <si>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</si>
  <si>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</si>
  <si>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</si>
  <si>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</si>
  <si>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</si>
  <si>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</si>
  <si>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</si>
  <si>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</si>
  <si>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</si>
  <si>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</si>
  <si>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</si>
  <si>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</si>
  <si>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</si>
  <si>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</si>
  <si>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</si>
  <si>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</si>
  <si>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</si>
  <si>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</si>
  <si>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</si>
  <si>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</si>
  <si>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</si>
  <si>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</si>
  <si>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</si>
  <si>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</si>
  <si>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</si>
  <si>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</si>
  <si>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</si>
  <si>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</si>
  <si>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</si>
  <si>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</si>
  <si>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</si>
  <si>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</si>
  <si>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</si>
  <si>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</si>
  <si>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</si>
  <si>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</si>
  <si>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</si>
  <si>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</si>
  <si>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</si>
  <si>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</si>
  <si>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</si>
  <si>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</si>
  <si>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</si>
  <si>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</si>
  <si>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</si>
  <si>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</si>
  <si>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</si>
  <si>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</si>
  <si>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</si>
  <si>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</si>
  <si>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</si>
  <si>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</si>
  <si>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</si>
  <si>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</si>
  <si>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</si>
  <si>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</si>
  <si>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</si>
  <si>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</si>
  <si>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</si>
  <si>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</si>
  <si>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</si>
  <si>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</si>
  <si>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</si>
  <si>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</si>
  <si>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</si>
  <si>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</si>
  <si>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</si>
  <si>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</si>
  <si>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</si>
  <si>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</si>
  <si>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</si>
  <si>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</si>
  <si>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</si>
  <si>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</si>
  <si>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>07:00:00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</si>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</sst>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8"/>
  <sheetViews>
    <sheetView tabSelected="1" workbookViewId="0"/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451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12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12"/>
      <c r="B3" s="6" t="s">
        <v>25</v>
      </c>
      <c r="C3" s="7" t="s">
        <v>91</v>
      </c>
      <c r="D3" s="6" t="s">
        <v>38</v>
      </c>
    </row>
    <row r="4" spans="1:4" ht="14.25" x14ac:dyDescent="0.15">
      <c r="A4" s="112"/>
      <c r="B4" s="16" t="s">
        <v>26</v>
      </c>
      <c r="C4" s="17" t="s">
        <v>71</v>
      </c>
      <c r="D4" s="18"/>
    </row>
    <row r="5" spans="1:4" ht="14.25" x14ac:dyDescent="0.15">
      <c r="A5" s="112"/>
      <c r="B5" s="6" t="s">
        <v>31</v>
      </c>
      <c r="C5" s="7" t="s">
        <v>32</v>
      </c>
      <c r="D5" s="6" t="s">
        <v>40</v>
      </c>
    </row>
    <row r="6" spans="1:4" ht="14.25" x14ac:dyDescent="0.15">
      <c r="A6" s="112"/>
      <c r="B6" s="6" t="s">
        <v>51</v>
      </c>
      <c r="C6" s="7" t="s">
        <v>53</v>
      </c>
      <c r="D6" s="6" t="s">
        <v>40</v>
      </c>
    </row>
    <row r="7" spans="1:4" ht="14.25" x14ac:dyDescent="0.15">
      <c r="A7" s="112"/>
      <c r="B7" s="6" t="s">
        <v>52</v>
      </c>
      <c r="C7" s="7" t="s">
        <v>54</v>
      </c>
      <c r="D7" s="6" t="s">
        <v>40</v>
      </c>
    </row>
    <row r="8" spans="1:4" ht="14.25" x14ac:dyDescent="0.15">
      <c r="A8" s="112"/>
      <c r="B8" s="6" t="s">
        <v>55</v>
      </c>
      <c r="C8" s="7" t="s">
        <v>56</v>
      </c>
      <c r="D8" s="6" t="s">
        <v>40</v>
      </c>
    </row>
    <row r="9" spans="1:4" ht="14.25" x14ac:dyDescent="0.15">
      <c r="A9" s="112"/>
      <c r="B9" s="6" t="s">
        <v>63</v>
      </c>
      <c r="C9" s="14" t="s">
        <v>64</v>
      </c>
      <c r="D9" s="6" t="s">
        <v>65</v>
      </c>
    </row>
    <row r="10" spans="1:4" ht="14.25" x14ac:dyDescent="0.15">
      <c r="A10" s="112" t="s">
        <v>43</v>
      </c>
      <c r="B10" s="6" t="s">
        <v>60</v>
      </c>
      <c r="C10" s="7">
        <v>58</v>
      </c>
      <c r="D10" s="6"/>
    </row>
    <row r="11" spans="1:4" ht="14.25" x14ac:dyDescent="0.15">
      <c r="A11" s="112"/>
      <c r="B11" s="6" t="s">
        <v>35</v>
      </c>
      <c r="C11" s="7">
        <v>0</v>
      </c>
      <c r="D11" s="6" t="s">
        <v>36</v>
      </c>
    </row>
    <row r="12" spans="1:4" ht="14.25" x14ac:dyDescent="0.15">
      <c r="A12" s="112"/>
      <c r="B12" s="6" t="s">
        <v>61</v>
      </c>
      <c r="C12" s="15" t="s">
        <v>449</v>
      </c>
      <c r="D12" s="6" t="s">
        <v>37</v>
      </c>
    </row>
    <row r="13" spans="1:4" ht="14.25" x14ac:dyDescent="0.15">
      <c r="A13" s="112"/>
      <c r="B13" s="6" t="s">
        <v>68</v>
      </c>
      <c r="C13" s="7">
        <v>3000</v>
      </c>
      <c r="D13" s="6"/>
    </row>
    <row r="14" spans="1:4" ht="14.25" x14ac:dyDescent="0.15">
      <c r="A14" s="112"/>
      <c r="B14" s="16" t="s">
        <v>69</v>
      </c>
      <c r="C14" s="17" t="s">
        <v>70</v>
      </c>
      <c r="D14" s="16" t="s">
        <v>33</v>
      </c>
    </row>
    <row r="15" spans="1:4" ht="14.25" x14ac:dyDescent="0.15">
      <c r="A15" s="112"/>
      <c r="B15" s="6" t="s">
        <v>62</v>
      </c>
      <c r="C15" s="7">
        <v>2</v>
      </c>
      <c r="D15" s="6" t="s">
        <v>34</v>
      </c>
    </row>
    <row r="16" spans="1:4" ht="14.25" x14ac:dyDescent="0.15">
      <c r="A16" s="112" t="s">
        <v>87</v>
      </c>
      <c r="B16" s="6" t="s">
        <v>72</v>
      </c>
      <c r="C16" s="7" t="s">
        <v>73</v>
      </c>
      <c r="D16" s="6" t="s">
        <v>74</v>
      </c>
    </row>
    <row r="17" spans="1:4" ht="14.25" x14ac:dyDescent="0.15">
      <c r="A17" s="112"/>
      <c r="B17" s="6" t="s">
        <v>89</v>
      </c>
      <c r="C17" s="7">
        <v>120</v>
      </c>
      <c r="D17" s="6" t="s">
        <v>450</v>
      </c>
    </row>
    <row r="18" spans="1:4" ht="14.25" x14ac:dyDescent="0.15">
      <c r="A18" s="112"/>
      <c r="B18" s="6" t="s">
        <v>90</v>
      </c>
      <c r="C18" s="7" t="s">
        <v>98</v>
      </c>
      <c r="D18" s="6" t="s">
        <v>38</v>
      </c>
    </row>
    <row r="19" spans="1:4" ht="14.25" x14ac:dyDescent="0.15">
      <c r="A19" s="112"/>
      <c r="B19" s="6" t="s">
        <v>85</v>
      </c>
      <c r="C19" s="7">
        <v>1</v>
      </c>
      <c r="D19" s="6" t="s">
        <v>86</v>
      </c>
    </row>
    <row r="20" spans="1:4" ht="14.25" x14ac:dyDescent="0.15">
      <c r="A20" s="112"/>
      <c r="B20" s="6" t="s">
        <v>215</v>
      </c>
      <c r="C20" s="7"/>
      <c r="D20" s="6"/>
    </row>
    <row r="21" spans="1:4" ht="14.25" x14ac:dyDescent="0.15">
      <c r="A21" s="113" t="s">
        <v>75</v>
      </c>
      <c r="B21" s="6" t="s">
        <v>76</v>
      </c>
      <c r="C21" s="7" t="s">
        <v>77</v>
      </c>
      <c r="D21" s="6" t="s">
        <v>78</v>
      </c>
    </row>
    <row r="22" spans="1:4" ht="14.25" x14ac:dyDescent="0.15">
      <c r="A22" s="114"/>
      <c r="B22" s="6" t="s">
        <v>85</v>
      </c>
      <c r="C22" s="7">
        <v>1</v>
      </c>
      <c r="D22" s="6" t="s">
        <v>86</v>
      </c>
    </row>
    <row r="23" spans="1:4" ht="14.25" x14ac:dyDescent="0.15">
      <c r="A23" s="114"/>
      <c r="B23" s="6" t="s">
        <v>79</v>
      </c>
      <c r="C23" s="7"/>
      <c r="D23" s="6"/>
    </row>
    <row r="24" spans="1:4" ht="14.25" x14ac:dyDescent="0.15">
      <c r="A24" s="114"/>
      <c r="B24" s="6" t="s">
        <v>79</v>
      </c>
      <c r="C24" s="7"/>
      <c r="D24" s="6"/>
    </row>
    <row r="25" spans="1:4" ht="14.25" x14ac:dyDescent="0.15">
      <c r="A25" s="114"/>
      <c r="B25" s="6" t="s">
        <v>79</v>
      </c>
      <c r="C25" s="7"/>
      <c r="D25" s="6"/>
    </row>
    <row r="26" spans="1:4" ht="14.25" customHeight="1" x14ac:dyDescent="0.15">
      <c r="A26" s="109" t="s">
        <v>95</v>
      </c>
      <c r="B26" s="6" t="s">
        <v>97</v>
      </c>
      <c r="C26" s="7">
        <v>10</v>
      </c>
      <c r="D26" s="6" t="s">
        <v>96</v>
      </c>
    </row>
    <row r="27" spans="1:4" ht="14.25" x14ac:dyDescent="0.15">
      <c r="A27" s="110"/>
      <c r="B27" s="6" t="s">
        <v>90</v>
      </c>
      <c r="C27" s="7" t="s">
        <v>114</v>
      </c>
      <c r="D27" s="6" t="s">
        <v>115</v>
      </c>
    </row>
    <row r="28" spans="1:4" ht="14.25" x14ac:dyDescent="0.15">
      <c r="A28" s="110"/>
      <c r="B28" s="6" t="s">
        <v>76</v>
      </c>
      <c r="C28" s="7" t="s">
        <v>99</v>
      </c>
      <c r="D28" s="6" t="s">
        <v>100</v>
      </c>
    </row>
    <row r="29" spans="1:4" ht="14.25" x14ac:dyDescent="0.15">
      <c r="A29" s="110"/>
      <c r="B29" s="6" t="s">
        <v>85</v>
      </c>
      <c r="C29" s="7">
        <v>0</v>
      </c>
      <c r="D29" s="6" t="s">
        <v>86</v>
      </c>
    </row>
    <row r="30" spans="1:4" ht="28.5" x14ac:dyDescent="0.15">
      <c r="A30" s="110"/>
      <c r="B30" s="6" t="s">
        <v>69</v>
      </c>
      <c r="C30" s="7">
        <v>15</v>
      </c>
      <c r="D30" s="22" t="s">
        <v>130</v>
      </c>
    </row>
    <row r="31" spans="1:4" ht="14.25" x14ac:dyDescent="0.15">
      <c r="A31" s="111"/>
      <c r="B31" s="6" t="s">
        <v>126</v>
      </c>
      <c r="C31" s="7" t="s">
        <v>131</v>
      </c>
      <c r="D31" s="6"/>
    </row>
    <row r="32" spans="1:4" ht="14.25" x14ac:dyDescent="0.15">
      <c r="A32" s="113" t="s">
        <v>135</v>
      </c>
      <c r="B32" s="6" t="s">
        <v>136</v>
      </c>
      <c r="C32" s="7" t="s">
        <v>138</v>
      </c>
      <c r="D32" s="6"/>
    </row>
    <row r="33" spans="1:4" ht="14.25" x14ac:dyDescent="0.15">
      <c r="A33" s="114"/>
      <c r="B33" s="6" t="s">
        <v>132</v>
      </c>
      <c r="C33" s="7">
        <v>1</v>
      </c>
      <c r="D33" s="6"/>
    </row>
    <row r="34" spans="1:4" ht="14.25" x14ac:dyDescent="0.15">
      <c r="A34" s="114"/>
      <c r="B34" s="6" t="s">
        <v>133</v>
      </c>
      <c r="C34" s="7">
        <v>1</v>
      </c>
      <c r="D34" s="6"/>
    </row>
    <row r="35" spans="1:4" ht="14.25" x14ac:dyDescent="0.15">
      <c r="A35" s="114"/>
      <c r="B35" s="6" t="s">
        <v>134</v>
      </c>
      <c r="C35" s="7">
        <v>1</v>
      </c>
      <c r="D35" s="6"/>
    </row>
    <row r="36" spans="1:4" ht="14.25" x14ac:dyDescent="0.15">
      <c r="A36" s="114"/>
      <c r="B36" s="6" t="s">
        <v>137</v>
      </c>
      <c r="C36" s="7">
        <v>1</v>
      </c>
      <c r="D36" s="6" t="s">
        <v>86</v>
      </c>
    </row>
    <row r="37" spans="1:4" ht="14.25" x14ac:dyDescent="0.15">
      <c r="A37" s="114"/>
      <c r="B37" s="6" t="s">
        <v>440</v>
      </c>
      <c r="C37" s="7">
        <v>120</v>
      </c>
      <c r="D37" s="6" t="s">
        <v>441</v>
      </c>
    </row>
    <row r="38" spans="1:4" ht="14.25" x14ac:dyDescent="0.15">
      <c r="A38" s="115"/>
      <c r="B38" s="6" t="s">
        <v>444</v>
      </c>
      <c r="C38" s="7">
        <v>1800</v>
      </c>
      <c r="D38" s="6" t="s">
        <v>445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topLeftCell="A16" workbookViewId="0">
      <selection activeCell="C28" sqref="C28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41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16" t="s">
        <v>42</v>
      </c>
      <c r="B2" s="52" t="s">
        <v>139</v>
      </c>
      <c r="C2" s="102" t="s">
        <v>143</v>
      </c>
      <c r="D2" s="52"/>
    </row>
    <row r="3" spans="1:9" ht="15" x14ac:dyDescent="0.15">
      <c r="A3" s="117"/>
      <c r="B3" s="52" t="s">
        <v>140</v>
      </c>
      <c r="C3" s="102" t="s">
        <v>142</v>
      </c>
      <c r="D3" s="52"/>
      <c r="H3" s="62" t="s">
        <v>205</v>
      </c>
      <c r="I3" s="63" t="s">
        <v>302</v>
      </c>
    </row>
    <row r="4" spans="1:9" ht="15" x14ac:dyDescent="0.15">
      <c r="A4" s="118"/>
      <c r="B4" s="52" t="s">
        <v>141</v>
      </c>
      <c r="C4" s="102" t="s">
        <v>158</v>
      </c>
      <c r="D4" s="52"/>
    </row>
    <row r="5" spans="1:9" ht="15" x14ac:dyDescent="0.15">
      <c r="A5" s="119" t="s">
        <v>174</v>
      </c>
      <c r="B5" s="52" t="s">
        <v>175</v>
      </c>
      <c r="C5" s="102">
        <v>10</v>
      </c>
      <c r="D5" s="52" t="s">
        <v>176</v>
      </c>
      <c r="E5" s="52" t="s">
        <v>312</v>
      </c>
      <c r="F5" s="102">
        <v>120</v>
      </c>
      <c r="G5" s="52"/>
    </row>
    <row r="6" spans="1:9" ht="15" x14ac:dyDescent="0.15">
      <c r="A6" s="119"/>
      <c r="B6" s="52" t="s">
        <v>177</v>
      </c>
      <c r="C6" s="102">
        <v>180</v>
      </c>
      <c r="D6" s="52"/>
      <c r="E6" s="52" t="s">
        <v>313</v>
      </c>
      <c r="F6" s="102">
        <v>180</v>
      </c>
      <c r="G6" s="52" t="s">
        <v>442</v>
      </c>
    </row>
    <row r="7" spans="1:9" ht="15" x14ac:dyDescent="0.15">
      <c r="A7" s="119"/>
      <c r="B7" s="52" t="s">
        <v>178</v>
      </c>
      <c r="C7" s="102">
        <v>33.5</v>
      </c>
      <c r="D7" s="52" t="s">
        <v>179</v>
      </c>
      <c r="E7" s="52" t="s">
        <v>314</v>
      </c>
      <c r="F7" s="102">
        <v>60</v>
      </c>
      <c r="G7" s="52" t="s">
        <v>443</v>
      </c>
    </row>
    <row r="8" spans="1:9" ht="15" x14ac:dyDescent="0.15">
      <c r="A8" s="119"/>
      <c r="B8" s="52" t="s">
        <v>180</v>
      </c>
      <c r="C8" s="102">
        <v>18</v>
      </c>
      <c r="D8" s="52"/>
      <c r="E8" s="52" t="s">
        <v>315</v>
      </c>
      <c r="F8" s="102">
        <v>0.3</v>
      </c>
      <c r="G8" s="52"/>
    </row>
    <row r="9" spans="1:9" ht="15" x14ac:dyDescent="0.15">
      <c r="A9" s="119"/>
      <c r="B9" s="52" t="s">
        <v>181</v>
      </c>
      <c r="C9" s="102">
        <v>60</v>
      </c>
      <c r="D9" s="52"/>
      <c r="E9" s="52" t="s">
        <v>316</v>
      </c>
      <c r="F9" s="102">
        <v>0.5</v>
      </c>
      <c r="G9" s="52"/>
    </row>
    <row r="10" spans="1:9" ht="15" x14ac:dyDescent="0.15">
      <c r="A10" s="119"/>
      <c r="B10" s="52" t="s">
        <v>183</v>
      </c>
      <c r="C10" s="102">
        <v>40</v>
      </c>
      <c r="D10" s="52"/>
    </row>
    <row r="11" spans="1:9" ht="15" x14ac:dyDescent="0.15">
      <c r="A11" s="119"/>
      <c r="B11" s="52" t="s">
        <v>184</v>
      </c>
      <c r="C11" s="102">
        <v>0.3</v>
      </c>
      <c r="D11" s="52" t="s">
        <v>182</v>
      </c>
    </row>
    <row r="12" spans="1:9" ht="15" x14ac:dyDescent="0.15">
      <c r="A12" s="119"/>
      <c r="B12" s="52" t="s">
        <v>203</v>
      </c>
      <c r="C12" s="102">
        <v>1</v>
      </c>
      <c r="D12" s="52" t="s">
        <v>209</v>
      </c>
    </row>
    <row r="13" spans="1:9" ht="15" x14ac:dyDescent="0.15">
      <c r="A13" s="119"/>
      <c r="B13" s="52" t="s">
        <v>212</v>
      </c>
      <c r="C13" s="102">
        <v>1</v>
      </c>
      <c r="D13" s="52" t="s">
        <v>210</v>
      </c>
    </row>
    <row r="14" spans="1:9" ht="15" x14ac:dyDescent="0.15">
      <c r="A14" s="119"/>
      <c r="B14" s="52" t="s">
        <v>204</v>
      </c>
      <c r="C14" s="102">
        <v>1</v>
      </c>
      <c r="D14" s="52" t="s">
        <v>211</v>
      </c>
    </row>
    <row r="15" spans="1:9" ht="15" x14ac:dyDescent="0.15">
      <c r="A15" s="119"/>
      <c r="B15" s="52" t="s">
        <v>213</v>
      </c>
      <c r="C15" s="102">
        <v>1</v>
      </c>
      <c r="D15" s="52" t="s">
        <v>214</v>
      </c>
    </row>
    <row r="16" spans="1:9" ht="15" x14ac:dyDescent="0.15">
      <c r="A16" s="119"/>
      <c r="B16" s="52" t="s">
        <v>216</v>
      </c>
      <c r="C16" s="102"/>
      <c r="D16" s="52" t="s">
        <v>217</v>
      </c>
    </row>
    <row r="17" spans="1:4" ht="15" x14ac:dyDescent="0.15">
      <c r="A17" s="119"/>
      <c r="B17" s="52" t="s">
        <v>309</v>
      </c>
      <c r="C17" s="102">
        <v>1.867</v>
      </c>
      <c r="D17" s="52"/>
    </row>
    <row r="18" spans="1:4" ht="15" x14ac:dyDescent="0.15">
      <c r="A18" s="119"/>
      <c r="B18" s="52" t="s">
        <v>310</v>
      </c>
      <c r="C18" s="102">
        <v>0.7</v>
      </c>
      <c r="D18" s="52"/>
    </row>
    <row r="19" spans="1:4" ht="15" x14ac:dyDescent="0.15">
      <c r="A19" s="119"/>
      <c r="B19" s="52" t="s">
        <v>311</v>
      </c>
      <c r="C19" s="102">
        <v>1.9</v>
      </c>
      <c r="D19" s="52"/>
    </row>
    <row r="20" spans="1:4" ht="15" x14ac:dyDescent="0.15">
      <c r="A20" s="119" t="s">
        <v>271</v>
      </c>
      <c r="B20" s="52" t="s">
        <v>268</v>
      </c>
      <c r="C20" s="103" t="s">
        <v>267</v>
      </c>
      <c r="D20" s="52"/>
    </row>
    <row r="21" spans="1:4" ht="15" x14ac:dyDescent="0.15">
      <c r="A21" s="119"/>
      <c r="B21" s="52" t="s">
        <v>245</v>
      </c>
      <c r="C21" s="103" t="s">
        <v>264</v>
      </c>
      <c r="D21" s="52"/>
    </row>
    <row r="22" spans="1:4" ht="15" x14ac:dyDescent="0.15">
      <c r="A22" s="119"/>
      <c r="B22" s="52" t="s">
        <v>265</v>
      </c>
      <c r="C22" s="103" t="s">
        <v>265</v>
      </c>
      <c r="D22" s="52"/>
    </row>
    <row r="23" spans="1:4" ht="15" x14ac:dyDescent="0.15">
      <c r="A23" s="119"/>
      <c r="B23" s="52" t="s">
        <v>269</v>
      </c>
      <c r="C23" s="103" t="s">
        <v>266</v>
      </c>
      <c r="D23" s="52"/>
    </row>
    <row r="24" spans="1:4" ht="15" x14ac:dyDescent="0.15">
      <c r="A24" s="119"/>
      <c r="B24" s="52" t="s">
        <v>270</v>
      </c>
      <c r="C24" s="103" t="s">
        <v>272</v>
      </c>
      <c r="D24" s="52"/>
    </row>
    <row r="25" spans="1:4" ht="15" x14ac:dyDescent="0.15">
      <c r="A25" s="119"/>
      <c r="B25" s="52" t="s">
        <v>429</v>
      </c>
      <c r="C25" s="103" t="s">
        <v>430</v>
      </c>
      <c r="D25" s="52"/>
    </row>
    <row r="26" spans="1:4" ht="15" x14ac:dyDescent="0.15">
      <c r="A26" s="119"/>
      <c r="B26" s="52" t="s">
        <v>431</v>
      </c>
      <c r="C26" s="103" t="s">
        <v>301</v>
      </c>
      <c r="D26" s="52"/>
    </row>
    <row r="27" spans="1:4" ht="15" x14ac:dyDescent="0.15">
      <c r="A27" s="119"/>
      <c r="B27" s="52"/>
      <c r="C27" s="102"/>
      <c r="D27" s="52"/>
    </row>
    <row r="28" spans="1:4" ht="15" x14ac:dyDescent="0.15">
      <c r="A28" s="119"/>
      <c r="B28" s="52"/>
      <c r="C28" s="102"/>
      <c r="D28" s="52"/>
    </row>
    <row r="29" spans="1:4" ht="15" x14ac:dyDescent="0.15">
      <c r="A29" s="119"/>
      <c r="B29" s="52"/>
      <c r="C29" s="102"/>
      <c r="D29" s="52"/>
    </row>
    <row r="30" spans="1:4" ht="15" x14ac:dyDescent="0.15">
      <c r="A30" s="119" t="s">
        <v>435</v>
      </c>
      <c r="B30" s="52" t="s">
        <v>432</v>
      </c>
      <c r="C30" s="102">
        <v>1</v>
      </c>
      <c r="D30" s="52" t="s">
        <v>424</v>
      </c>
    </row>
    <row r="31" spans="1:4" x14ac:dyDescent="0.15">
      <c r="A31" s="119"/>
      <c r="B31" s="52" t="s">
        <v>433</v>
      </c>
      <c r="C31" s="7" t="s">
        <v>439</v>
      </c>
      <c r="D31" s="52"/>
    </row>
    <row r="32" spans="1:4" ht="15" x14ac:dyDescent="0.15">
      <c r="A32" s="119"/>
      <c r="B32" s="52" t="s">
        <v>434</v>
      </c>
      <c r="C32" s="102" t="s">
        <v>436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7"/>
  <sheetViews>
    <sheetView topLeftCell="A46" workbookViewId="0">
      <selection activeCell="D8" sqref="D8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20" t="s">
        <v>243</v>
      </c>
      <c r="B1" s="120"/>
      <c r="C1" s="120"/>
      <c r="D1" s="120"/>
      <c r="E1" s="120"/>
      <c r="F1" s="120"/>
      <c r="G1" s="120"/>
      <c r="H1" s="120"/>
      <c r="I1" s="120" t="s">
        <v>244</v>
      </c>
      <c r="J1" s="120"/>
      <c r="K1" s="120"/>
      <c r="L1" s="120"/>
      <c r="M1" s="120"/>
      <c r="N1" s="120"/>
      <c r="O1" s="120"/>
      <c r="P1" s="120"/>
    </row>
    <row r="2" spans="1:16" ht="15" x14ac:dyDescent="0.15">
      <c r="A2" s="121" t="s">
        <v>235</v>
      </c>
      <c r="B2" s="121"/>
      <c r="C2" s="121"/>
      <c r="D2" s="121"/>
      <c r="E2" s="121" t="s">
        <v>236</v>
      </c>
      <c r="F2" s="121"/>
      <c r="G2" s="121"/>
      <c r="H2" s="121"/>
      <c r="I2" s="121" t="s">
        <v>235</v>
      </c>
      <c r="J2" s="121"/>
      <c r="K2" s="121"/>
      <c r="L2" s="121"/>
      <c r="M2" s="122"/>
      <c r="N2" s="122"/>
      <c r="O2" s="122"/>
      <c r="P2" s="122"/>
    </row>
    <row r="3" spans="1:16" ht="15" x14ac:dyDescent="0.15">
      <c r="A3" s="64" t="s">
        <v>218</v>
      </c>
      <c r="B3" s="64" t="s">
        <v>219</v>
      </c>
      <c r="C3" s="64" t="s">
        <v>220</v>
      </c>
      <c r="D3" s="64" t="s">
        <v>221</v>
      </c>
      <c r="E3" s="64" t="s">
        <v>222</v>
      </c>
      <c r="F3" s="64" t="s">
        <v>223</v>
      </c>
      <c r="G3" s="64" t="s">
        <v>224</v>
      </c>
      <c r="H3" s="64" t="s">
        <v>225</v>
      </c>
      <c r="I3" s="64" t="s">
        <v>218</v>
      </c>
      <c r="J3" s="64" t="s">
        <v>219</v>
      </c>
      <c r="K3" s="64" t="s">
        <v>220</v>
      </c>
      <c r="L3" s="64" t="s">
        <v>221</v>
      </c>
      <c r="M3" s="72"/>
      <c r="N3" s="72"/>
      <c r="O3" s="72"/>
      <c r="P3" s="72"/>
    </row>
    <row r="4" spans="1:16" x14ac:dyDescent="0.15">
      <c r="A4" s="70">
        <v>1</v>
      </c>
      <c r="B4" s="70" t="s">
        <v>245</v>
      </c>
      <c r="C4" s="70">
        <v>203</v>
      </c>
      <c r="D4" s="70">
        <v>2</v>
      </c>
      <c r="E4" s="71">
        <v>4</v>
      </c>
      <c r="F4" s="71" t="s">
        <v>246</v>
      </c>
      <c r="G4" s="71">
        <v>3</v>
      </c>
      <c r="H4" s="71">
        <v>42</v>
      </c>
      <c r="I4" s="70">
        <v>1</v>
      </c>
      <c r="J4" s="70" t="s">
        <v>247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245</v>
      </c>
      <c r="C5" s="70">
        <v>204</v>
      </c>
      <c r="D5" s="70">
        <v>2</v>
      </c>
      <c r="E5" s="71">
        <v>13</v>
      </c>
      <c r="F5" s="71" t="s">
        <v>246</v>
      </c>
      <c r="G5" s="71">
        <v>3</v>
      </c>
      <c r="H5" s="71">
        <v>43</v>
      </c>
      <c r="I5" s="70">
        <v>2</v>
      </c>
      <c r="J5" s="70" t="s">
        <v>247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245</v>
      </c>
      <c r="C6" s="70">
        <v>203</v>
      </c>
      <c r="D6" s="70">
        <v>3</v>
      </c>
      <c r="E6" s="71">
        <v>22</v>
      </c>
      <c r="F6" s="71" t="s">
        <v>246</v>
      </c>
      <c r="G6" s="71">
        <v>3</v>
      </c>
      <c r="H6" s="71">
        <v>44</v>
      </c>
      <c r="I6" s="70">
        <v>3</v>
      </c>
      <c r="J6" s="70" t="s">
        <v>247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245</v>
      </c>
      <c r="C7" s="70">
        <v>204</v>
      </c>
      <c r="D7" s="70">
        <v>3</v>
      </c>
      <c r="E7" s="71">
        <v>31</v>
      </c>
      <c r="F7" s="71" t="s">
        <v>246</v>
      </c>
      <c r="G7" s="71">
        <v>3</v>
      </c>
      <c r="H7" s="71">
        <v>45</v>
      </c>
      <c r="I7" s="70">
        <v>4</v>
      </c>
      <c r="J7" s="70" t="s">
        <v>247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245</v>
      </c>
      <c r="C8" s="70">
        <v>203</v>
      </c>
      <c r="D8" s="70">
        <v>4</v>
      </c>
      <c r="E8" s="71">
        <v>40</v>
      </c>
      <c r="F8" s="71" t="s">
        <v>246</v>
      </c>
      <c r="G8" s="71">
        <v>3</v>
      </c>
      <c r="H8" s="71">
        <v>46</v>
      </c>
      <c r="I8" s="70">
        <v>5</v>
      </c>
      <c r="J8" s="70" t="s">
        <v>247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245</v>
      </c>
      <c r="C9" s="70">
        <v>204</v>
      </c>
      <c r="D9" s="70">
        <v>4</v>
      </c>
      <c r="E9" s="71">
        <v>206</v>
      </c>
      <c r="F9" s="71" t="s">
        <v>246</v>
      </c>
      <c r="G9" s="71">
        <v>3</v>
      </c>
      <c r="H9" s="71">
        <v>47</v>
      </c>
      <c r="I9" s="70">
        <v>6</v>
      </c>
      <c r="J9" s="70" t="s">
        <v>247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245</v>
      </c>
      <c r="C10" s="70">
        <v>203</v>
      </c>
      <c r="D10" s="70">
        <v>5</v>
      </c>
      <c r="E10" s="71">
        <v>50</v>
      </c>
      <c r="F10" s="71" t="s">
        <v>246</v>
      </c>
      <c r="G10" s="71">
        <v>3</v>
      </c>
      <c r="H10" s="71">
        <v>48</v>
      </c>
      <c r="I10" s="70">
        <v>7</v>
      </c>
      <c r="J10" s="70" t="s">
        <v>247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245</v>
      </c>
      <c r="C11" s="70">
        <v>204</v>
      </c>
      <c r="D11" s="70">
        <v>5</v>
      </c>
      <c r="E11" s="71">
        <v>218</v>
      </c>
      <c r="F11" s="71" t="s">
        <v>246</v>
      </c>
      <c r="G11" s="71">
        <v>3</v>
      </c>
      <c r="H11" s="71">
        <v>49</v>
      </c>
      <c r="I11" s="70">
        <v>8</v>
      </c>
      <c r="J11" s="70" t="s">
        <v>247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245</v>
      </c>
      <c r="C12" s="70">
        <v>203</v>
      </c>
      <c r="D12" s="70">
        <v>6</v>
      </c>
      <c r="E12" s="71">
        <v>62</v>
      </c>
      <c r="F12" s="71" t="s">
        <v>246</v>
      </c>
      <c r="G12" s="71">
        <v>3</v>
      </c>
      <c r="H12" s="71">
        <v>50</v>
      </c>
      <c r="I12" s="70">
        <v>9</v>
      </c>
      <c r="J12" s="70" t="s">
        <v>247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245</v>
      </c>
      <c r="C13" s="70">
        <v>204</v>
      </c>
      <c r="D13" s="70">
        <v>6</v>
      </c>
      <c r="E13" s="71">
        <v>74</v>
      </c>
      <c r="F13" s="71" t="s">
        <v>246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245</v>
      </c>
      <c r="C14" s="70">
        <v>203</v>
      </c>
      <c r="D14" s="70">
        <v>7</v>
      </c>
      <c r="E14" s="71">
        <v>86</v>
      </c>
      <c r="F14" s="71" t="s">
        <v>246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245</v>
      </c>
      <c r="C15" s="70">
        <v>204</v>
      </c>
      <c r="D15" s="70">
        <v>7</v>
      </c>
      <c r="E15" s="71">
        <v>98</v>
      </c>
      <c r="F15" s="71" t="s">
        <v>246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245</v>
      </c>
      <c r="C16" s="70">
        <v>204</v>
      </c>
      <c r="D16" s="70">
        <v>8</v>
      </c>
      <c r="E16" s="71">
        <v>222</v>
      </c>
      <c r="F16" s="71" t="s">
        <v>446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245</v>
      </c>
      <c r="C17" s="70">
        <v>204</v>
      </c>
      <c r="D17" s="70">
        <v>9</v>
      </c>
      <c r="E17" s="71">
        <v>110</v>
      </c>
      <c r="F17" s="71" t="s">
        <v>246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245</v>
      </c>
      <c r="C18" s="70">
        <v>203</v>
      </c>
      <c r="D18" s="70">
        <v>10</v>
      </c>
      <c r="E18" s="71">
        <v>234</v>
      </c>
      <c r="F18" s="71" t="s">
        <v>446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245</v>
      </c>
      <c r="C19" s="70">
        <v>204</v>
      </c>
      <c r="D19" s="70">
        <v>10</v>
      </c>
      <c r="E19" s="71">
        <v>121</v>
      </c>
      <c r="F19" s="71" t="s">
        <v>246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245</v>
      </c>
      <c r="C20" s="70">
        <v>203</v>
      </c>
      <c r="D20" s="70">
        <v>11</v>
      </c>
      <c r="E20" s="71">
        <v>130</v>
      </c>
      <c r="F20" s="71" t="s">
        <v>246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245</v>
      </c>
      <c r="C21" s="70">
        <v>204</v>
      </c>
      <c r="D21" s="70">
        <v>11</v>
      </c>
      <c r="E21" s="71">
        <v>139</v>
      </c>
      <c r="F21" s="71" t="s">
        <v>246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245</v>
      </c>
      <c r="C22" s="70">
        <v>203</v>
      </c>
      <c r="D22" s="70">
        <v>12</v>
      </c>
      <c r="E22" s="71">
        <v>148</v>
      </c>
      <c r="F22" s="71" t="s">
        <v>246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245</v>
      </c>
      <c r="C23" s="70">
        <v>204</v>
      </c>
      <c r="D23" s="70">
        <v>12</v>
      </c>
      <c r="E23" s="71">
        <v>151</v>
      </c>
      <c r="F23" s="71" t="s">
        <v>447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245</v>
      </c>
      <c r="C24" s="70">
        <v>203</v>
      </c>
      <c r="D24" s="70">
        <v>13</v>
      </c>
      <c r="E24" s="71">
        <v>154</v>
      </c>
      <c r="F24" s="71" t="s">
        <v>253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245</v>
      </c>
      <c r="C25" s="70">
        <v>204</v>
      </c>
      <c r="D25" s="70">
        <v>13</v>
      </c>
      <c r="E25" s="71">
        <v>156</v>
      </c>
      <c r="F25" s="71" t="s">
        <v>248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245</v>
      </c>
      <c r="C26" s="70">
        <v>203</v>
      </c>
      <c r="D26" s="70">
        <v>14</v>
      </c>
      <c r="E26" s="71">
        <v>158</v>
      </c>
      <c r="F26" s="71" t="s">
        <v>248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245</v>
      </c>
      <c r="C27" s="70">
        <v>204</v>
      </c>
      <c r="D27" s="70">
        <v>14</v>
      </c>
      <c r="E27" s="71">
        <v>159</v>
      </c>
      <c r="F27" s="71" t="s">
        <v>248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245</v>
      </c>
      <c r="C28" s="70">
        <v>204</v>
      </c>
      <c r="D28" s="70">
        <v>15</v>
      </c>
      <c r="E28" s="71">
        <v>161</v>
      </c>
      <c r="F28" s="71" t="s">
        <v>248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245</v>
      </c>
      <c r="C29" s="70">
        <v>204</v>
      </c>
      <c r="D29" s="70">
        <v>16</v>
      </c>
      <c r="E29" s="71">
        <v>162</v>
      </c>
      <c r="F29" s="71" t="s">
        <v>248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245</v>
      </c>
      <c r="C30" s="70">
        <v>203</v>
      </c>
      <c r="D30" s="70">
        <v>17</v>
      </c>
      <c r="E30" s="71">
        <v>165</v>
      </c>
      <c r="F30" s="71" t="s">
        <v>248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245</v>
      </c>
      <c r="C31" s="70">
        <v>204</v>
      </c>
      <c r="D31" s="70">
        <v>17</v>
      </c>
      <c r="E31" s="71">
        <v>167</v>
      </c>
      <c r="F31" s="71" t="s">
        <v>249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245</v>
      </c>
      <c r="C32" s="70">
        <v>203</v>
      </c>
      <c r="D32" s="70">
        <v>18</v>
      </c>
      <c r="E32" s="71">
        <v>169</v>
      </c>
      <c r="F32" s="71" t="s">
        <v>248</v>
      </c>
      <c r="G32" s="71">
        <v>3</v>
      </c>
      <c r="H32" s="71">
        <v>91</v>
      </c>
    </row>
    <row r="33" spans="1:5" x14ac:dyDescent="0.15">
      <c r="A33" s="70">
        <v>133</v>
      </c>
      <c r="B33" s="70" t="s">
        <v>245</v>
      </c>
      <c r="C33" s="70">
        <v>204</v>
      </c>
      <c r="D33" s="70">
        <v>18</v>
      </c>
      <c r="E33" s="47">
        <v>-1</v>
      </c>
    </row>
    <row r="34" spans="1:5" x14ac:dyDescent="0.15">
      <c r="A34" s="70">
        <v>136</v>
      </c>
      <c r="B34" s="70" t="s">
        <v>245</v>
      </c>
      <c r="C34" s="70">
        <v>203</v>
      </c>
      <c r="D34" s="70">
        <v>19</v>
      </c>
    </row>
    <row r="35" spans="1:5" x14ac:dyDescent="0.15">
      <c r="A35" s="70">
        <v>142</v>
      </c>
      <c r="B35" s="70" t="s">
        <v>245</v>
      </c>
      <c r="C35" s="70">
        <v>204</v>
      </c>
      <c r="D35" s="70">
        <v>19</v>
      </c>
    </row>
    <row r="36" spans="1:5" x14ac:dyDescent="0.15">
      <c r="A36" s="70">
        <v>145</v>
      </c>
      <c r="B36" s="70" t="s">
        <v>245</v>
      </c>
      <c r="C36" s="70">
        <v>203</v>
      </c>
      <c r="D36" s="70">
        <v>20</v>
      </c>
    </row>
    <row r="37" spans="1:5" x14ac:dyDescent="0.15">
      <c r="A37" s="70">
        <v>148</v>
      </c>
      <c r="B37" s="70" t="s">
        <v>245</v>
      </c>
      <c r="C37" s="70">
        <v>204</v>
      </c>
      <c r="D37" s="70">
        <v>20</v>
      </c>
    </row>
    <row r="38" spans="1:5" x14ac:dyDescent="0.15">
      <c r="A38" s="70">
        <v>151</v>
      </c>
      <c r="B38" s="70" t="s">
        <v>245</v>
      </c>
      <c r="C38" s="70">
        <v>204</v>
      </c>
      <c r="D38" s="70">
        <v>21</v>
      </c>
    </row>
    <row r="39" spans="1:5" x14ac:dyDescent="0.15">
      <c r="A39" s="70">
        <v>170</v>
      </c>
      <c r="B39" s="70" t="s">
        <v>251</v>
      </c>
      <c r="C39" s="70">
        <v>194</v>
      </c>
      <c r="D39" s="70">
        <v>2</v>
      </c>
    </row>
    <row r="40" spans="1:5" x14ac:dyDescent="0.15">
      <c r="A40" s="70">
        <v>171</v>
      </c>
      <c r="B40" s="70" t="s">
        <v>251</v>
      </c>
      <c r="C40" s="70">
        <v>195</v>
      </c>
      <c r="D40" s="70">
        <v>2</v>
      </c>
    </row>
    <row r="41" spans="1:5" x14ac:dyDescent="0.15">
      <c r="A41" s="70">
        <v>172</v>
      </c>
      <c r="B41" s="70" t="s">
        <v>251</v>
      </c>
      <c r="C41" s="70">
        <v>194</v>
      </c>
      <c r="D41" s="70">
        <v>3</v>
      </c>
    </row>
    <row r="42" spans="1:5" x14ac:dyDescent="0.15">
      <c r="A42" s="70">
        <v>173</v>
      </c>
      <c r="B42" s="70" t="s">
        <v>250</v>
      </c>
      <c r="C42" s="70">
        <v>195</v>
      </c>
      <c r="D42" s="70">
        <v>3</v>
      </c>
    </row>
    <row r="43" spans="1:5" x14ac:dyDescent="0.15">
      <c r="A43" s="70">
        <v>174</v>
      </c>
      <c r="B43" s="70" t="s">
        <v>251</v>
      </c>
      <c r="C43" s="70">
        <v>194</v>
      </c>
      <c r="D43" s="70">
        <v>4</v>
      </c>
    </row>
    <row r="44" spans="1:5" x14ac:dyDescent="0.15">
      <c r="A44" s="70">
        <v>175</v>
      </c>
      <c r="B44" s="70" t="s">
        <v>251</v>
      </c>
      <c r="C44" s="70">
        <v>195</v>
      </c>
      <c r="D44" s="70">
        <v>4</v>
      </c>
    </row>
    <row r="45" spans="1:5" x14ac:dyDescent="0.15">
      <c r="A45" s="70">
        <v>176</v>
      </c>
      <c r="B45" s="70" t="s">
        <v>251</v>
      </c>
      <c r="C45" s="70">
        <v>194</v>
      </c>
      <c r="D45" s="70">
        <v>5</v>
      </c>
    </row>
    <row r="46" spans="1:5" x14ac:dyDescent="0.15">
      <c r="A46" s="70">
        <v>177</v>
      </c>
      <c r="B46" s="70" t="s">
        <v>251</v>
      </c>
      <c r="C46" s="70">
        <v>195</v>
      </c>
      <c r="D46" s="70">
        <v>5</v>
      </c>
    </row>
    <row r="47" spans="1:5" x14ac:dyDescent="0.15">
      <c r="A47" s="70">
        <v>178</v>
      </c>
      <c r="B47" s="70" t="s">
        <v>251</v>
      </c>
      <c r="C47" s="70">
        <v>194</v>
      </c>
      <c r="D47" s="70">
        <v>12</v>
      </c>
    </row>
    <row r="48" spans="1:5" x14ac:dyDescent="0.15">
      <c r="A48" s="70">
        <v>180</v>
      </c>
      <c r="B48" s="70" t="s">
        <v>252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251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251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251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252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251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251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250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251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251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251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250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251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251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251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251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251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251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251</v>
      </c>
      <c r="C66" s="70">
        <v>195</v>
      </c>
      <c r="D66" s="70">
        <v>11</v>
      </c>
    </row>
    <row r="67" spans="1:4" x14ac:dyDescent="0.15">
      <c r="A67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zoomScale="85" zoomScaleNormal="85" workbookViewId="0">
      <selection activeCell="D29" sqref="D29"/>
    </sheetView>
  </sheetViews>
  <sheetFormatPr defaultRowHeight="13.5" x14ac:dyDescent="0.15"/>
  <sheetData>
    <row r="1" spans="1:101" x14ac:dyDescent="0.15">
      <c r="A1" t="s">
        <v>324</v>
      </c>
      <c r="B1" t="s">
        <v>346</v>
      </c>
      <c r="C1" s="59" t="s">
        <v>347</v>
      </c>
      <c r="D1" s="59" t="s">
        <v>348</v>
      </c>
      <c r="E1" s="59" t="s">
        <v>349</v>
      </c>
      <c r="F1" s="59" t="s">
        <v>350</v>
      </c>
      <c r="G1" s="59" t="s">
        <v>351</v>
      </c>
      <c r="H1" s="59" t="s">
        <v>352</v>
      </c>
      <c r="I1" s="59" t="s">
        <v>353</v>
      </c>
      <c r="J1" s="59" t="s">
        <v>354</v>
      </c>
      <c r="K1" t="s">
        <v>355</v>
      </c>
      <c r="L1" s="59" t="s">
        <v>356</v>
      </c>
      <c r="M1" s="59" t="s">
        <v>357</v>
      </c>
      <c r="N1" s="59" t="s">
        <v>358</v>
      </c>
      <c r="O1" s="59" t="s">
        <v>359</v>
      </c>
      <c r="P1" s="59" t="s">
        <v>360</v>
      </c>
      <c r="Q1" s="59" t="s">
        <v>361</v>
      </c>
      <c r="R1" s="59" t="s">
        <v>362</v>
      </c>
      <c r="S1" s="59" t="s">
        <v>363</v>
      </c>
      <c r="T1" s="59" t="s">
        <v>364</v>
      </c>
      <c r="U1" s="59" t="s">
        <v>365</v>
      </c>
      <c r="V1" s="59" t="s">
        <v>366</v>
      </c>
      <c r="W1" s="59" t="s">
        <v>367</v>
      </c>
      <c r="X1" s="59" t="s">
        <v>368</v>
      </c>
      <c r="Y1" s="59" t="s">
        <v>369</v>
      </c>
      <c r="Z1" s="59" t="s">
        <v>370</v>
      </c>
      <c r="AA1" s="59" t="s">
        <v>371</v>
      </c>
      <c r="AB1" s="59" t="s">
        <v>372</v>
      </c>
      <c r="AC1" s="59" t="s">
        <v>373</v>
      </c>
      <c r="AD1" s="59" t="s">
        <v>374</v>
      </c>
      <c r="AE1" t="s">
        <v>375</v>
      </c>
      <c r="AF1" s="59" t="s">
        <v>376</v>
      </c>
      <c r="AG1" s="59" t="s">
        <v>377</v>
      </c>
      <c r="AH1" s="59" t="s">
        <v>378</v>
      </c>
      <c r="AI1" s="59" t="s">
        <v>379</v>
      </c>
      <c r="AJ1" s="59" t="s">
        <v>380</v>
      </c>
      <c r="AK1" s="59" t="s">
        <v>381</v>
      </c>
      <c r="AL1" s="59" t="s">
        <v>382</v>
      </c>
      <c r="AM1" s="59" t="s">
        <v>383</v>
      </c>
      <c r="AN1" s="59" t="s">
        <v>384</v>
      </c>
      <c r="AO1" s="59" t="s">
        <v>385</v>
      </c>
      <c r="AP1" s="59" t="s">
        <v>386</v>
      </c>
      <c r="AQ1" s="59" t="s">
        <v>387</v>
      </c>
      <c r="AR1" s="59" t="s">
        <v>388</v>
      </c>
      <c r="AS1" s="59" t="s">
        <v>389</v>
      </c>
      <c r="AT1" s="59" t="s">
        <v>390</v>
      </c>
      <c r="AU1" s="59" t="s">
        <v>391</v>
      </c>
      <c r="AV1" s="59" t="s">
        <v>392</v>
      </c>
      <c r="AW1" s="59" t="s">
        <v>393</v>
      </c>
      <c r="AX1" s="59" t="s">
        <v>394</v>
      </c>
      <c r="AY1" t="s">
        <v>326</v>
      </c>
      <c r="AZ1" s="59" t="s">
        <v>327</v>
      </c>
      <c r="BA1" s="59" t="s">
        <v>328</v>
      </c>
      <c r="BB1" s="59" t="s">
        <v>329</v>
      </c>
      <c r="BC1" s="59" t="s">
        <v>330</v>
      </c>
      <c r="BD1" s="59" t="s">
        <v>331</v>
      </c>
      <c r="BE1" s="59" t="s">
        <v>332</v>
      </c>
      <c r="BF1" s="59" t="s">
        <v>333</v>
      </c>
      <c r="BG1" s="59" t="s">
        <v>334</v>
      </c>
      <c r="BH1" s="59" t="s">
        <v>335</v>
      </c>
      <c r="BI1" s="59" t="s">
        <v>336</v>
      </c>
      <c r="BJ1" s="59" t="s">
        <v>337</v>
      </c>
      <c r="BK1" s="59" t="s">
        <v>338</v>
      </c>
      <c r="BL1" s="59" t="s">
        <v>339</v>
      </c>
      <c r="BM1" s="59" t="s">
        <v>340</v>
      </c>
      <c r="BN1" s="59" t="s">
        <v>341</v>
      </c>
      <c r="BO1" s="59" t="s">
        <v>342</v>
      </c>
      <c r="BP1" s="59" t="s">
        <v>343</v>
      </c>
      <c r="BQ1" s="59" t="s">
        <v>344</v>
      </c>
      <c r="BR1" s="59" t="s">
        <v>325</v>
      </c>
      <c r="BS1" t="s">
        <v>395</v>
      </c>
      <c r="BT1" s="59" t="s">
        <v>396</v>
      </c>
      <c r="BU1" s="59" t="s">
        <v>397</v>
      </c>
      <c r="BV1" s="59" t="s">
        <v>398</v>
      </c>
      <c r="BW1" s="59" t="s">
        <v>399</v>
      </c>
      <c r="BX1" s="59" t="s">
        <v>400</v>
      </c>
      <c r="BY1" s="59" t="s">
        <v>401</v>
      </c>
      <c r="BZ1" s="59" t="s">
        <v>402</v>
      </c>
      <c r="CA1" s="59" t="s">
        <v>403</v>
      </c>
      <c r="CB1" s="59" t="s">
        <v>404</v>
      </c>
      <c r="CC1" s="59" t="s">
        <v>405</v>
      </c>
      <c r="CD1" s="59" t="s">
        <v>406</v>
      </c>
      <c r="CE1" s="59" t="s">
        <v>407</v>
      </c>
      <c r="CF1" s="59" t="s">
        <v>408</v>
      </c>
      <c r="CG1" s="59" t="s">
        <v>409</v>
      </c>
      <c r="CH1" s="59" t="s">
        <v>410</v>
      </c>
      <c r="CI1" s="59" t="s">
        <v>411</v>
      </c>
      <c r="CJ1" s="59" t="s">
        <v>412</v>
      </c>
      <c r="CK1" s="59" t="s">
        <v>413</v>
      </c>
      <c r="CL1" s="59" t="s">
        <v>414</v>
      </c>
      <c r="CM1" t="s">
        <v>415</v>
      </c>
      <c r="CN1" s="59" t="s">
        <v>416</v>
      </c>
      <c r="CO1" s="59" t="s">
        <v>417</v>
      </c>
      <c r="CP1" s="59" t="s">
        <v>418</v>
      </c>
      <c r="CQ1" s="59" t="s">
        <v>419</v>
      </c>
      <c r="CR1" s="59" t="s">
        <v>420</v>
      </c>
      <c r="CS1" s="59" t="s">
        <v>421</v>
      </c>
      <c r="CT1" s="59" t="s">
        <v>422</v>
      </c>
      <c r="CU1" s="59" t="s">
        <v>423</v>
      </c>
      <c r="CV1" t="s">
        <v>345</v>
      </c>
      <c r="CW1" t="s">
        <v>437</v>
      </c>
    </row>
    <row r="2" spans="1:101" x14ac:dyDescent="0.15">
      <c r="A2" t="s">
        <v>425</v>
      </c>
      <c r="B2" t="s">
        <v>427</v>
      </c>
      <c r="C2" s="59" t="s">
        <v>427</v>
      </c>
      <c r="D2" s="59" t="s">
        <v>427</v>
      </c>
      <c r="E2" s="59" t="s">
        <v>427</v>
      </c>
      <c r="F2" s="59" t="s">
        <v>427</v>
      </c>
      <c r="G2" s="59" t="s">
        <v>427</v>
      </c>
      <c r="H2" s="59" t="s">
        <v>427</v>
      </c>
      <c r="I2" s="59" t="s">
        <v>427</v>
      </c>
      <c r="J2" s="59" t="s">
        <v>427</v>
      </c>
      <c r="K2" t="s">
        <v>428</v>
      </c>
      <c r="L2" s="59" t="s">
        <v>428</v>
      </c>
      <c r="M2" s="59" t="s">
        <v>428</v>
      </c>
      <c r="N2" s="59" t="s">
        <v>428</v>
      </c>
      <c r="O2" s="59" t="s">
        <v>428</v>
      </c>
      <c r="P2" s="59" t="s">
        <v>428</v>
      </c>
      <c r="Q2" s="59" t="s">
        <v>428</v>
      </c>
      <c r="R2" s="59" t="s">
        <v>428</v>
      </c>
      <c r="S2" s="59" t="s">
        <v>428</v>
      </c>
      <c r="T2" s="59" t="s">
        <v>428</v>
      </c>
      <c r="U2" s="59" t="s">
        <v>428</v>
      </c>
      <c r="V2" s="59" t="s">
        <v>428</v>
      </c>
      <c r="W2" s="59" t="s">
        <v>428</v>
      </c>
      <c r="X2" s="59" t="s">
        <v>428</v>
      </c>
      <c r="Y2" s="59" t="s">
        <v>428</v>
      </c>
      <c r="Z2" s="59" t="s">
        <v>428</v>
      </c>
      <c r="AA2" s="59" t="s">
        <v>428</v>
      </c>
      <c r="AB2" s="59" t="s">
        <v>428</v>
      </c>
      <c r="AC2" s="59" t="s">
        <v>428</v>
      </c>
      <c r="AD2" s="59" t="s">
        <v>428</v>
      </c>
      <c r="AE2" s="59" t="s">
        <v>428</v>
      </c>
      <c r="AF2" s="59" t="s">
        <v>428</v>
      </c>
      <c r="AG2" s="59" t="s">
        <v>428</v>
      </c>
      <c r="AH2" s="59" t="s">
        <v>428</v>
      </c>
      <c r="AI2" s="59" t="s">
        <v>428</v>
      </c>
      <c r="AJ2" s="59" t="s">
        <v>428</v>
      </c>
      <c r="AK2" s="59" t="s">
        <v>428</v>
      </c>
      <c r="AL2" s="59" t="s">
        <v>428</v>
      </c>
      <c r="AM2" s="59" t="s">
        <v>428</v>
      </c>
      <c r="AN2" s="59" t="s">
        <v>428</v>
      </c>
      <c r="AO2" s="59" t="s">
        <v>428</v>
      </c>
      <c r="AP2" s="59" t="s">
        <v>428</v>
      </c>
      <c r="AQ2" s="59" t="s">
        <v>428</v>
      </c>
      <c r="AR2" s="59" t="s">
        <v>428</v>
      </c>
      <c r="AS2" s="59" t="s">
        <v>428</v>
      </c>
      <c r="AT2" s="59" t="s">
        <v>428</v>
      </c>
      <c r="AU2" s="59" t="s">
        <v>428</v>
      </c>
      <c r="AV2" s="59" t="s">
        <v>428</v>
      </c>
      <c r="AW2" s="59" t="s">
        <v>428</v>
      </c>
      <c r="AX2" s="59" t="s">
        <v>428</v>
      </c>
      <c r="AY2" s="59" t="s">
        <v>428</v>
      </c>
      <c r="AZ2" s="59" t="s">
        <v>428</v>
      </c>
      <c r="BA2" s="59" t="s">
        <v>428</v>
      </c>
      <c r="BB2" s="59" t="s">
        <v>428</v>
      </c>
      <c r="BC2" s="59" t="s">
        <v>428</v>
      </c>
      <c r="BD2" s="59" t="s">
        <v>428</v>
      </c>
      <c r="BE2" s="59" t="s">
        <v>428</v>
      </c>
      <c r="BF2" s="59" t="s">
        <v>428</v>
      </c>
      <c r="BG2" s="59" t="s">
        <v>428</v>
      </c>
      <c r="BH2" s="59" t="s">
        <v>428</v>
      </c>
      <c r="BI2" s="59" t="s">
        <v>428</v>
      </c>
      <c r="BJ2" s="59" t="s">
        <v>428</v>
      </c>
      <c r="BK2" s="59" t="s">
        <v>428</v>
      </c>
      <c r="BL2" s="59" t="s">
        <v>428</v>
      </c>
      <c r="BM2" s="59" t="s">
        <v>428</v>
      </c>
      <c r="BN2" s="59" t="s">
        <v>428</v>
      </c>
      <c r="BO2" s="59" t="s">
        <v>428</v>
      </c>
      <c r="BP2" s="59" t="s">
        <v>428</v>
      </c>
      <c r="BQ2" s="59" t="s">
        <v>428</v>
      </c>
      <c r="BR2" s="59" t="s">
        <v>428</v>
      </c>
      <c r="BS2" s="59" t="s">
        <v>428</v>
      </c>
      <c r="BT2" s="59" t="s">
        <v>428</v>
      </c>
      <c r="BU2" s="59" t="s">
        <v>428</v>
      </c>
      <c r="BV2" s="59" t="s">
        <v>428</v>
      </c>
      <c r="BW2" s="59" t="s">
        <v>428</v>
      </c>
      <c r="BX2" s="59" t="s">
        <v>428</v>
      </c>
      <c r="BY2" s="59" t="s">
        <v>428</v>
      </c>
      <c r="BZ2" s="59" t="s">
        <v>428</v>
      </c>
      <c r="CA2" s="59" t="s">
        <v>428</v>
      </c>
      <c r="CB2" s="59" t="s">
        <v>428</v>
      </c>
      <c r="CC2" s="59" t="s">
        <v>428</v>
      </c>
      <c r="CD2" s="59" t="s">
        <v>428</v>
      </c>
      <c r="CE2" s="59" t="s">
        <v>428</v>
      </c>
      <c r="CF2" s="59" t="s">
        <v>428</v>
      </c>
      <c r="CG2" s="59" t="s">
        <v>428</v>
      </c>
      <c r="CH2" s="59" t="s">
        <v>428</v>
      </c>
      <c r="CI2" s="59" t="s">
        <v>428</v>
      </c>
      <c r="CJ2" s="59" t="s">
        <v>428</v>
      </c>
      <c r="CK2" s="59" t="s">
        <v>428</v>
      </c>
      <c r="CL2" s="59" t="s">
        <v>428</v>
      </c>
      <c r="CM2" t="s">
        <v>248</v>
      </c>
      <c r="CN2" s="59" t="s">
        <v>248</v>
      </c>
      <c r="CO2" s="59" t="s">
        <v>248</v>
      </c>
      <c r="CP2" s="59" t="s">
        <v>248</v>
      </c>
      <c r="CQ2" s="59" t="s">
        <v>248</v>
      </c>
      <c r="CR2" s="59" t="s">
        <v>248</v>
      </c>
      <c r="CS2" s="59" t="s">
        <v>248</v>
      </c>
      <c r="CT2" s="59" t="s">
        <v>248</v>
      </c>
      <c r="CU2" s="59" t="s">
        <v>248</v>
      </c>
      <c r="CV2" t="s">
        <v>426</v>
      </c>
      <c r="CW2" t="s">
        <v>438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AL1" zoomScale="70" zoomScaleNormal="70" workbookViewId="0">
      <selection activeCell="AP3" sqref="AP3:BI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9" t="s">
        <v>187</v>
      </c>
      <c r="B1" s="123" t="s">
        <v>167</v>
      </c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5"/>
      <c r="V1" s="123" t="s">
        <v>258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5"/>
      <c r="AP1" s="123" t="s">
        <v>259</v>
      </c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5"/>
      <c r="BJ1" s="123" t="s">
        <v>260</v>
      </c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5"/>
      <c r="CD1" s="123" t="s">
        <v>185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5"/>
      <c r="CX1" s="123" t="s">
        <v>186</v>
      </c>
      <c r="CY1" s="124"/>
      <c r="CZ1" s="124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5"/>
      <c r="DR1" s="123" t="s">
        <v>261</v>
      </c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5"/>
      <c r="EL1" s="126" t="s">
        <v>189</v>
      </c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8"/>
    </row>
    <row r="2" spans="1:161" x14ac:dyDescent="0.15">
      <c r="A2" s="13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" si="0">V3*AP3*B191</f>
        <v>1036.7858375602957</v>
      </c>
      <c r="C3" s="43">
        <f>IF(W3*AQ3*C191=0,flow1,W3*AQ3*C191)</f>
        <v>1002.9260116351713</v>
      </c>
      <c r="D3" s="43">
        <f>IF(X3*AR3*D191=0,flow2,X3*AR3*D191)</f>
        <v>775.81304639832297</v>
      </c>
      <c r="E3" s="43">
        <f>IF(Y3*AS3*E191=0,flow3,Y3*AS3*E191)</f>
        <v>797.00134643195099</v>
      </c>
      <c r="F3" s="43">
        <f>IF(Z3*AT3*F191=0,flow4,Z3*AT3*F191)</f>
        <v>5404.6269269380982</v>
      </c>
      <c r="G3" s="43">
        <f>IF(AA3*AU3*G191=0,flow5,AA3*AU3*G191)</f>
        <v>607.15967171356033</v>
      </c>
      <c r="H3" s="43">
        <f>IF(AB3*AV3*H191=0,flow6,AB3*AV3*H191)</f>
        <v>810.19715268499556</v>
      </c>
      <c r="I3" s="43">
        <f>IF(AC3*AW3*I191=0,flow7,AC3*AW3*I191)</f>
        <v>956.42969225005345</v>
      </c>
      <c r="J3" s="43">
        <f>IF(AD3*AX3*J191=0,flow8,AD3*AX3*J191)</f>
        <v>313.77001900225696</v>
      </c>
      <c r="K3" s="43">
        <f>IF(AE3*AY3*K191=0,flow9,AE3*AY3*K191)</f>
        <v>259.84057623697805</v>
      </c>
      <c r="L3" s="43">
        <f>AF3*AZ3*L191</f>
        <v>953.75137946403458</v>
      </c>
      <c r="M3" s="43">
        <f>IF(AG3*BA3*M191=0,flow11,AG3*BA3*M191)</f>
        <v>826.75179824871054</v>
      </c>
      <c r="N3" s="43">
        <f>IF(AH3*BB3*N191=0,flow12,AH3*BB3*N191)</f>
        <v>698.6827572560162</v>
      </c>
      <c r="O3" s="43">
        <f>IF(AI3*BC3*O191=0,flow13,AI3*BC3*O191)</f>
        <v>1066.1811341108005</v>
      </c>
      <c r="P3" s="43">
        <f>IF(AJ3*BD3*P191=0,flow14,AJ3*BD3*P191)</f>
        <v>1465.6756970259992</v>
      </c>
      <c r="Q3" s="43">
        <f>IF(AK3*BE3*Q191=0,flow15,AK3*BE3*Q191)</f>
        <v>713.7525489159151</v>
      </c>
      <c r="R3" s="43">
        <f>IF(AL3*BF3*R191=0,flow16,AL3*BF3*R191)</f>
        <v>948.07852662762548</v>
      </c>
      <c r="S3" s="43">
        <f>IF(AM3*BG3*S191=0,flow17,AM3*BG3*S191)</f>
        <v>1599.7342156492878</v>
      </c>
      <c r="T3" s="43">
        <f>IF(AN3*BH3*T191=0,flow18,AN3*BH3*T191)</f>
        <v>807.01133254423405</v>
      </c>
      <c r="U3" s="43">
        <f>IF(AO3*BI3*U191=0,flow19,AO3*BI3*U191)</f>
        <v>333.35747405982443</v>
      </c>
      <c r="V3" s="48">
        <f t="shared" ref="V3:W3" si="1">(MAX((B205+B203-B204),0))/(B191*V194)</f>
        <v>3.14940082649276</v>
      </c>
      <c r="W3" s="48">
        <f t="shared" si="1"/>
        <v>3.0236921397610979</v>
      </c>
      <c r="X3" s="48">
        <f>(MAX((D205+D203-D204),0))/(D191*X194)</f>
        <v>2.3869225288489426</v>
      </c>
      <c r="Y3" s="48">
        <f t="shared" ref="Y3:AO3" si="2">(MAX((E205+E203-E204),0))/(E191*Y194)</f>
        <v>2.3523918237917383</v>
      </c>
      <c r="Z3" s="48">
        <f t="shared" si="2"/>
        <v>16.802095867589141</v>
      </c>
      <c r="AA3" s="48">
        <f t="shared" si="2"/>
        <v>1.3256848794014267</v>
      </c>
      <c r="AB3" s="48">
        <f t="shared" si="2"/>
        <v>1.7980734721589899</v>
      </c>
      <c r="AC3" s="48">
        <f t="shared" si="2"/>
        <v>2.1339057132338</v>
      </c>
      <c r="AD3" s="48">
        <f t="shared" si="2"/>
        <v>0.72829001090866408</v>
      </c>
      <c r="AE3" s="48">
        <f t="shared" si="2"/>
        <v>0.59352892036931093</v>
      </c>
      <c r="AF3" s="48">
        <f t="shared" si="2"/>
        <v>2.1017145787533473</v>
      </c>
      <c r="AG3" s="48">
        <f t="shared" si="2"/>
        <v>1.9395667509883803</v>
      </c>
      <c r="AH3" s="48">
        <f t="shared" si="2"/>
        <v>1.5687707935666275</v>
      </c>
      <c r="AI3" s="48">
        <f t="shared" si="2"/>
        <v>2.3431867339581833</v>
      </c>
      <c r="AJ3" s="48">
        <f t="shared" si="2"/>
        <v>3.3542707591751513</v>
      </c>
      <c r="AK3" s="48">
        <f t="shared" si="2"/>
        <v>2.1614668032258644</v>
      </c>
      <c r="AL3" s="48">
        <f t="shared" si="2"/>
        <v>2.7950173960411662</v>
      </c>
      <c r="AM3" s="48">
        <f t="shared" si="2"/>
        <v>4.9291800062600668</v>
      </c>
      <c r="AN3" s="48">
        <f t="shared" si="2"/>
        <v>2.2622796539617043</v>
      </c>
      <c r="AO3" s="48">
        <f t="shared" si="2"/>
        <v>0.97641184270395787</v>
      </c>
      <c r="AP3" s="42">
        <v>109.73365990115254</v>
      </c>
      <c r="AQ3" s="42">
        <v>110.56306498566711</v>
      </c>
      <c r="AR3" s="42">
        <v>108.34216262735139</v>
      </c>
      <c r="AS3" s="42">
        <v>112.93489153907083</v>
      </c>
      <c r="AT3" s="42">
        <v>107.22128496210404</v>
      </c>
      <c r="AU3" s="42">
        <v>114.49924509731625</v>
      </c>
      <c r="AV3" s="42">
        <v>112.64794865587061</v>
      </c>
      <c r="AW3" s="42">
        <v>112.05154078722677</v>
      </c>
      <c r="AX3" s="42">
        <v>107.7077861505941</v>
      </c>
      <c r="AY3" s="42">
        <v>109.44731053513691</v>
      </c>
      <c r="AZ3" s="42">
        <v>113.44920346293662</v>
      </c>
      <c r="BA3" s="42">
        <v>106.56397850543267</v>
      </c>
      <c r="BB3" s="42">
        <v>111.34238987002506</v>
      </c>
      <c r="BC3" s="42">
        <v>113.75332561628309</v>
      </c>
      <c r="BD3" s="42">
        <v>109.23951897866642</v>
      </c>
      <c r="BE3" s="42">
        <v>110.07225091323488</v>
      </c>
      <c r="BF3" s="42">
        <v>113.06769538900117</v>
      </c>
      <c r="BG3" s="42">
        <v>108.18122646617508</v>
      </c>
      <c r="BH3" s="42">
        <v>118.9082777823976</v>
      </c>
      <c r="BI3" s="42">
        <v>113.80357463938722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0</v>
      </c>
      <c r="AQ63" s="43">
        <v>0</v>
      </c>
      <c r="AR63" s="43">
        <v>0</v>
      </c>
      <c r="AS63" s="43">
        <v>0</v>
      </c>
      <c r="AT63" s="43">
        <v>0</v>
      </c>
      <c r="AU63" s="43">
        <v>0</v>
      </c>
      <c r="AV63" s="43">
        <v>0</v>
      </c>
      <c r="AW63" s="43">
        <v>0</v>
      </c>
      <c r="AX63" s="43">
        <v>0</v>
      </c>
      <c r="AY63" s="43">
        <v>0</v>
      </c>
      <c r="AZ63" s="43">
        <v>0</v>
      </c>
      <c r="BA63" s="43">
        <v>0</v>
      </c>
      <c r="BB63" s="43">
        <v>0</v>
      </c>
      <c r="BC63" s="43">
        <v>0</v>
      </c>
      <c r="BD63" s="43">
        <v>0</v>
      </c>
      <c r="BE63" s="43">
        <v>0</v>
      </c>
      <c r="BF63" s="43">
        <v>0</v>
      </c>
      <c r="BG63" s="43">
        <v>0</v>
      </c>
      <c r="BH63" s="43">
        <v>0</v>
      </c>
      <c r="BI63" s="43">
        <v>0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3">
        <v>0</v>
      </c>
      <c r="BA64" s="43">
        <v>0</v>
      </c>
      <c r="BB64" s="43">
        <v>0</v>
      </c>
      <c r="BC64" s="43">
        <v>0</v>
      </c>
      <c r="BD64" s="43">
        <v>0</v>
      </c>
      <c r="BE64" s="43">
        <v>0</v>
      </c>
      <c r="BF64" s="43">
        <v>0</v>
      </c>
      <c r="BG64" s="43">
        <v>0</v>
      </c>
      <c r="BH64" s="43">
        <v>0</v>
      </c>
      <c r="BI64" s="43">
        <v>0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0</v>
      </c>
      <c r="AQ65" s="43">
        <v>0</v>
      </c>
      <c r="AR65" s="43">
        <v>0</v>
      </c>
      <c r="AS65" s="43">
        <v>0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3">
        <v>0</v>
      </c>
      <c r="BA65" s="43">
        <v>0</v>
      </c>
      <c r="BB65" s="43">
        <v>0</v>
      </c>
      <c r="BC65" s="43">
        <v>0</v>
      </c>
      <c r="BD65" s="43">
        <v>0</v>
      </c>
      <c r="BE65" s="43">
        <v>0</v>
      </c>
      <c r="BF65" s="43">
        <v>0</v>
      </c>
      <c r="BG65" s="43">
        <v>0</v>
      </c>
      <c r="BH65" s="43">
        <v>0</v>
      </c>
      <c r="BI65" s="43">
        <v>0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0</v>
      </c>
      <c r="AQ66" s="43">
        <v>0</v>
      </c>
      <c r="AR66" s="43">
        <v>0</v>
      </c>
      <c r="AS66" s="43">
        <v>0</v>
      </c>
      <c r="AT66" s="43">
        <v>0</v>
      </c>
      <c r="AU66" s="43">
        <v>0</v>
      </c>
      <c r="AV66" s="43">
        <v>0</v>
      </c>
      <c r="AW66" s="43">
        <v>0</v>
      </c>
      <c r="AX66" s="43">
        <v>0</v>
      </c>
      <c r="AY66" s="43">
        <v>0</v>
      </c>
      <c r="AZ66" s="43">
        <v>0</v>
      </c>
      <c r="BA66" s="43">
        <v>0</v>
      </c>
      <c r="BB66" s="43">
        <v>0</v>
      </c>
      <c r="BC66" s="43">
        <v>0</v>
      </c>
      <c r="BD66" s="43">
        <v>0</v>
      </c>
      <c r="BE66" s="43">
        <v>0</v>
      </c>
      <c r="BF66" s="43">
        <v>0</v>
      </c>
      <c r="BG66" s="43">
        <v>0</v>
      </c>
      <c r="BH66" s="43">
        <v>0</v>
      </c>
      <c r="BI66" s="43">
        <v>0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0</v>
      </c>
      <c r="AQ67" s="43">
        <v>0</v>
      </c>
      <c r="AR67" s="43">
        <v>0</v>
      </c>
      <c r="AS67" s="43">
        <v>0</v>
      </c>
      <c r="AT67" s="43">
        <v>0</v>
      </c>
      <c r="AU67" s="43">
        <v>0</v>
      </c>
      <c r="AV67" s="43">
        <v>0</v>
      </c>
      <c r="AW67" s="43">
        <v>0</v>
      </c>
      <c r="AX67" s="43">
        <v>0</v>
      </c>
      <c r="AY67" s="43">
        <v>0</v>
      </c>
      <c r="AZ67" s="43">
        <v>0</v>
      </c>
      <c r="BA67" s="43">
        <v>0</v>
      </c>
      <c r="BB67" s="43">
        <v>0</v>
      </c>
      <c r="BC67" s="43">
        <v>0</v>
      </c>
      <c r="BD67" s="43">
        <v>0</v>
      </c>
      <c r="BE67" s="43">
        <v>0</v>
      </c>
      <c r="BF67" s="43">
        <v>0</v>
      </c>
      <c r="BG67" s="43">
        <v>0</v>
      </c>
      <c r="BH67" s="43">
        <v>0</v>
      </c>
      <c r="BI67" s="43">
        <v>0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0</v>
      </c>
      <c r="AQ68" s="43">
        <v>0</v>
      </c>
      <c r="AR68" s="43">
        <v>0</v>
      </c>
      <c r="AS68" s="43">
        <v>0</v>
      </c>
      <c r="AT68" s="43">
        <v>0</v>
      </c>
      <c r="AU68" s="43">
        <v>0</v>
      </c>
      <c r="AV68" s="43">
        <v>0</v>
      </c>
      <c r="AW68" s="43">
        <v>0</v>
      </c>
      <c r="AX68" s="43">
        <v>0</v>
      </c>
      <c r="AY68" s="43">
        <v>0</v>
      </c>
      <c r="AZ68" s="43">
        <v>0</v>
      </c>
      <c r="BA68" s="43">
        <v>0</v>
      </c>
      <c r="BB68" s="43">
        <v>0</v>
      </c>
      <c r="BC68" s="43">
        <v>0</v>
      </c>
      <c r="BD68" s="43">
        <v>0</v>
      </c>
      <c r="BE68" s="43">
        <v>0</v>
      </c>
      <c r="BF68" s="43">
        <v>0</v>
      </c>
      <c r="BG68" s="43">
        <v>0</v>
      </c>
      <c r="BH68" s="43">
        <v>0</v>
      </c>
      <c r="BI68" s="43">
        <v>0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0</v>
      </c>
      <c r="AQ70" s="43">
        <v>0</v>
      </c>
      <c r="AR70" s="43">
        <v>0</v>
      </c>
      <c r="AS70" s="43">
        <v>0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3">
        <v>0</v>
      </c>
      <c r="BA70" s="43">
        <v>0</v>
      </c>
      <c r="BB70" s="43">
        <v>0</v>
      </c>
      <c r="BC70" s="43">
        <v>0</v>
      </c>
      <c r="BD70" s="43">
        <v>0</v>
      </c>
      <c r="BE70" s="43">
        <v>0</v>
      </c>
      <c r="BF70" s="43">
        <v>0</v>
      </c>
      <c r="BG70" s="43">
        <v>0</v>
      </c>
      <c r="BH70" s="43">
        <v>0</v>
      </c>
      <c r="BI70" s="43">
        <v>0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0</v>
      </c>
      <c r="AQ71" s="43">
        <v>0</v>
      </c>
      <c r="AR71" s="43">
        <v>0</v>
      </c>
      <c r="AS71" s="43">
        <v>0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3">
        <v>0</v>
      </c>
      <c r="BA71" s="43">
        <v>0</v>
      </c>
      <c r="BB71" s="43">
        <v>0</v>
      </c>
      <c r="BC71" s="43">
        <v>0</v>
      </c>
      <c r="BD71" s="43">
        <v>0</v>
      </c>
      <c r="BE71" s="43">
        <v>0</v>
      </c>
      <c r="BF71" s="43">
        <v>0</v>
      </c>
      <c r="BG71" s="43">
        <v>0</v>
      </c>
      <c r="BH71" s="43">
        <v>0</v>
      </c>
      <c r="BI71" s="43">
        <v>0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0</v>
      </c>
      <c r="AQ73" s="43">
        <v>0</v>
      </c>
      <c r="AR73" s="43">
        <v>0</v>
      </c>
      <c r="AS73" s="43">
        <v>0</v>
      </c>
      <c r="AT73" s="43">
        <v>0</v>
      </c>
      <c r="AU73" s="43">
        <v>0</v>
      </c>
      <c r="AV73" s="43">
        <v>0</v>
      </c>
      <c r="AW73" s="43">
        <v>0</v>
      </c>
      <c r="AX73" s="43">
        <v>0</v>
      </c>
      <c r="AY73" s="43">
        <v>0</v>
      </c>
      <c r="AZ73" s="43">
        <v>0</v>
      </c>
      <c r="BA73" s="43">
        <v>0</v>
      </c>
      <c r="BB73" s="43">
        <v>0</v>
      </c>
      <c r="BC73" s="43">
        <v>0</v>
      </c>
      <c r="BD73" s="43">
        <v>0</v>
      </c>
      <c r="BE73" s="43">
        <v>0</v>
      </c>
      <c r="BF73" s="43">
        <v>0</v>
      </c>
      <c r="BG73" s="43">
        <v>0</v>
      </c>
      <c r="BH73" s="43">
        <v>0</v>
      </c>
      <c r="BI73" s="43">
        <v>0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0</v>
      </c>
      <c r="AQ74" s="43">
        <v>0</v>
      </c>
      <c r="AR74" s="43">
        <v>0</v>
      </c>
      <c r="AS74" s="43">
        <v>0</v>
      </c>
      <c r="AT74" s="43">
        <v>0</v>
      </c>
      <c r="AU74" s="43">
        <v>0</v>
      </c>
      <c r="AV74" s="43">
        <v>0</v>
      </c>
      <c r="AW74" s="43">
        <v>0</v>
      </c>
      <c r="AX74" s="43">
        <v>0</v>
      </c>
      <c r="AY74" s="43">
        <v>0</v>
      </c>
      <c r="AZ74" s="43">
        <v>0</v>
      </c>
      <c r="BA74" s="43">
        <v>0</v>
      </c>
      <c r="BB74" s="43">
        <v>0</v>
      </c>
      <c r="BC74" s="43">
        <v>0</v>
      </c>
      <c r="BD74" s="43">
        <v>0</v>
      </c>
      <c r="BE74" s="43">
        <v>0</v>
      </c>
      <c r="BF74" s="43">
        <v>0</v>
      </c>
      <c r="BG74" s="43">
        <v>0</v>
      </c>
      <c r="BH74" s="43">
        <v>0</v>
      </c>
      <c r="BI74" s="43">
        <v>0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0</v>
      </c>
      <c r="AQ75" s="43">
        <v>0</v>
      </c>
      <c r="AR75" s="43">
        <v>0</v>
      </c>
      <c r="AS75" s="43">
        <v>0</v>
      </c>
      <c r="AT75" s="43">
        <v>0</v>
      </c>
      <c r="AU75" s="43">
        <v>0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0</v>
      </c>
      <c r="AQ76" s="43">
        <v>0</v>
      </c>
      <c r="AR76" s="43">
        <v>0</v>
      </c>
      <c r="AS76" s="43">
        <v>0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3">
        <v>0</v>
      </c>
      <c r="BA76" s="43">
        <v>0</v>
      </c>
      <c r="BB76" s="43">
        <v>0</v>
      </c>
      <c r="BC76" s="43">
        <v>0</v>
      </c>
      <c r="BD76" s="43">
        <v>0</v>
      </c>
      <c r="BE76" s="43">
        <v>0</v>
      </c>
      <c r="BF76" s="43">
        <v>0</v>
      </c>
      <c r="BG76" s="43">
        <v>0</v>
      </c>
      <c r="BH76" s="43">
        <v>0</v>
      </c>
      <c r="BI76" s="43">
        <v>0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0</v>
      </c>
      <c r="AQ77" s="43">
        <v>0</v>
      </c>
      <c r="AR77" s="43">
        <v>0</v>
      </c>
      <c r="AS77" s="43">
        <v>0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3">
        <v>0</v>
      </c>
      <c r="BA77" s="43">
        <v>0</v>
      </c>
      <c r="BB77" s="43">
        <v>0</v>
      </c>
      <c r="BC77" s="43">
        <v>0</v>
      </c>
      <c r="BD77" s="43">
        <v>0</v>
      </c>
      <c r="BE77" s="43">
        <v>0</v>
      </c>
      <c r="BF77" s="43">
        <v>0</v>
      </c>
      <c r="BG77" s="43">
        <v>0</v>
      </c>
      <c r="BH77" s="43">
        <v>0</v>
      </c>
      <c r="BI77" s="43">
        <v>0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0</v>
      </c>
      <c r="AQ78" s="43">
        <v>0</v>
      </c>
      <c r="AR78" s="43">
        <v>0</v>
      </c>
      <c r="AS78" s="43">
        <v>0</v>
      </c>
      <c r="AT78" s="43">
        <v>0</v>
      </c>
      <c r="AU78" s="43">
        <v>0</v>
      </c>
      <c r="AV78" s="43">
        <v>0</v>
      </c>
      <c r="AW78" s="43">
        <v>0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0</v>
      </c>
      <c r="AQ79" s="43">
        <v>0</v>
      </c>
      <c r="AR79" s="43">
        <v>0</v>
      </c>
      <c r="AS79" s="43">
        <v>0</v>
      </c>
      <c r="AT79" s="43">
        <v>0</v>
      </c>
      <c r="AU79" s="43">
        <v>0</v>
      </c>
      <c r="AV79" s="43">
        <v>0</v>
      </c>
      <c r="AW79" s="43">
        <v>0</v>
      </c>
      <c r="AX79" s="43">
        <v>0</v>
      </c>
      <c r="AY79" s="43">
        <v>0</v>
      </c>
      <c r="AZ79" s="43">
        <v>0</v>
      </c>
      <c r="BA79" s="43">
        <v>0</v>
      </c>
      <c r="BB79" s="43">
        <v>0</v>
      </c>
      <c r="BC79" s="43">
        <v>0</v>
      </c>
      <c r="BD79" s="43">
        <v>0</v>
      </c>
      <c r="BE79" s="43">
        <v>0</v>
      </c>
      <c r="BF79" s="43">
        <v>0</v>
      </c>
      <c r="BG79" s="43">
        <v>0</v>
      </c>
      <c r="BH79" s="43">
        <v>0</v>
      </c>
      <c r="BI79" s="43">
        <v>0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0</v>
      </c>
      <c r="AQ80" s="43">
        <v>0</v>
      </c>
      <c r="AR80" s="43">
        <v>0</v>
      </c>
      <c r="AS80" s="43">
        <v>0</v>
      </c>
      <c r="AT80" s="43">
        <v>0</v>
      </c>
      <c r="AU80" s="43">
        <v>0</v>
      </c>
      <c r="AV80" s="43">
        <v>0</v>
      </c>
      <c r="AW80" s="43">
        <v>0</v>
      </c>
      <c r="AX80" s="43">
        <v>0</v>
      </c>
      <c r="AY80" s="43">
        <v>0</v>
      </c>
      <c r="AZ80" s="43">
        <v>0</v>
      </c>
      <c r="BA80" s="43">
        <v>0</v>
      </c>
      <c r="BB80" s="43">
        <v>0</v>
      </c>
      <c r="BC80" s="43">
        <v>0</v>
      </c>
      <c r="BD80" s="43">
        <v>0</v>
      </c>
      <c r="BE80" s="43">
        <v>0</v>
      </c>
      <c r="BF80" s="43">
        <v>0</v>
      </c>
      <c r="BG80" s="43">
        <v>0</v>
      </c>
      <c r="BH80" s="43">
        <v>0</v>
      </c>
      <c r="BI80" s="43">
        <v>0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0</v>
      </c>
      <c r="AQ81" s="43">
        <v>0</v>
      </c>
      <c r="AR81" s="43">
        <v>0</v>
      </c>
      <c r="AS81" s="43">
        <v>0</v>
      </c>
      <c r="AT81" s="43">
        <v>0</v>
      </c>
      <c r="AU81" s="43">
        <v>0</v>
      </c>
      <c r="AV81" s="43">
        <v>0</v>
      </c>
      <c r="AW81" s="43">
        <v>0</v>
      </c>
      <c r="AX81" s="43">
        <v>0</v>
      </c>
      <c r="AY81" s="43">
        <v>0</v>
      </c>
      <c r="AZ81" s="43">
        <v>0</v>
      </c>
      <c r="BA81" s="43">
        <v>0</v>
      </c>
      <c r="BB81" s="43">
        <v>0</v>
      </c>
      <c r="BC81" s="43">
        <v>0</v>
      </c>
      <c r="BD81" s="43">
        <v>0</v>
      </c>
      <c r="BE81" s="43">
        <v>0</v>
      </c>
      <c r="BF81" s="43">
        <v>0</v>
      </c>
      <c r="BG81" s="43">
        <v>0</v>
      </c>
      <c r="BH81" s="43">
        <v>0</v>
      </c>
      <c r="BI81" s="43">
        <v>0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0</v>
      </c>
      <c r="AQ83" s="43">
        <v>0</v>
      </c>
      <c r="AR83" s="43">
        <v>0</v>
      </c>
      <c r="AS83" s="43">
        <v>0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3">
        <v>0</v>
      </c>
      <c r="BA83" s="43">
        <v>0</v>
      </c>
      <c r="BB83" s="43">
        <v>0</v>
      </c>
      <c r="BC83" s="43">
        <v>0</v>
      </c>
      <c r="BD83" s="43">
        <v>0</v>
      </c>
      <c r="BE83" s="43">
        <v>0</v>
      </c>
      <c r="BF83" s="43">
        <v>0</v>
      </c>
      <c r="BG83" s="43">
        <v>0</v>
      </c>
      <c r="BH83" s="43">
        <v>0</v>
      </c>
      <c r="BI83" s="43">
        <v>0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0</v>
      </c>
      <c r="AQ84" s="43">
        <v>0</v>
      </c>
      <c r="AR84" s="43">
        <v>0</v>
      </c>
      <c r="AS84" s="43">
        <v>0</v>
      </c>
      <c r="AT84" s="43">
        <v>0</v>
      </c>
      <c r="AU84" s="43">
        <v>0</v>
      </c>
      <c r="AV84" s="43">
        <v>0</v>
      </c>
      <c r="AW84" s="43">
        <v>0</v>
      </c>
      <c r="AX84" s="43">
        <v>0</v>
      </c>
      <c r="AY84" s="43">
        <v>0</v>
      </c>
      <c r="AZ84" s="43">
        <v>0</v>
      </c>
      <c r="BA84" s="43">
        <v>0</v>
      </c>
      <c r="BB84" s="43">
        <v>0</v>
      </c>
      <c r="BC84" s="43">
        <v>0</v>
      </c>
      <c r="BD84" s="43">
        <v>0</v>
      </c>
      <c r="BE84" s="43">
        <v>0</v>
      </c>
      <c r="BF84" s="43">
        <v>0</v>
      </c>
      <c r="BG84" s="43">
        <v>0</v>
      </c>
      <c r="BH84" s="43">
        <v>0</v>
      </c>
      <c r="BI84" s="43">
        <v>0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0</v>
      </c>
      <c r="AQ85" s="43">
        <v>0</v>
      </c>
      <c r="AR85" s="43">
        <v>0</v>
      </c>
      <c r="AS85" s="43">
        <v>0</v>
      </c>
      <c r="AT85" s="43">
        <v>0</v>
      </c>
      <c r="AU85" s="43">
        <v>0</v>
      </c>
      <c r="AV85" s="43">
        <v>0</v>
      </c>
      <c r="AW85" s="43">
        <v>0</v>
      </c>
      <c r="AX85" s="43">
        <v>0</v>
      </c>
      <c r="AY85" s="43">
        <v>0</v>
      </c>
      <c r="AZ85" s="43">
        <v>0</v>
      </c>
      <c r="BA85" s="43">
        <v>0</v>
      </c>
      <c r="BB85" s="43">
        <v>0</v>
      </c>
      <c r="BC85" s="43">
        <v>0</v>
      </c>
      <c r="BD85" s="43">
        <v>0</v>
      </c>
      <c r="BE85" s="43">
        <v>0</v>
      </c>
      <c r="BF85" s="43">
        <v>0</v>
      </c>
      <c r="BG85" s="43">
        <v>0</v>
      </c>
      <c r="BH85" s="43">
        <v>0</v>
      </c>
      <c r="BI85" s="43">
        <v>0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0</v>
      </c>
      <c r="AQ86" s="43">
        <v>0</v>
      </c>
      <c r="AR86" s="43">
        <v>0</v>
      </c>
      <c r="AS86" s="43">
        <v>0</v>
      </c>
      <c r="AT86" s="43">
        <v>0</v>
      </c>
      <c r="AU86" s="43">
        <v>0</v>
      </c>
      <c r="AV86" s="43">
        <v>0</v>
      </c>
      <c r="AW86" s="43">
        <v>0</v>
      </c>
      <c r="AX86" s="43">
        <v>0</v>
      </c>
      <c r="AY86" s="43">
        <v>0</v>
      </c>
      <c r="AZ86" s="43">
        <v>0</v>
      </c>
      <c r="BA86" s="43">
        <v>0</v>
      </c>
      <c r="BB86" s="43">
        <v>0</v>
      </c>
      <c r="BC86" s="43">
        <v>0</v>
      </c>
      <c r="BD86" s="43">
        <v>0</v>
      </c>
      <c r="BE86" s="43">
        <v>0</v>
      </c>
      <c r="BF86" s="43">
        <v>0</v>
      </c>
      <c r="BG86" s="43">
        <v>0</v>
      </c>
      <c r="BH86" s="43">
        <v>0</v>
      </c>
      <c r="BI86" s="43">
        <v>0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0</v>
      </c>
      <c r="AQ87" s="43">
        <v>0</v>
      </c>
      <c r="AR87" s="43">
        <v>0</v>
      </c>
      <c r="AS87" s="43">
        <v>0</v>
      </c>
      <c r="AT87" s="43">
        <v>0</v>
      </c>
      <c r="AU87" s="43">
        <v>0</v>
      </c>
      <c r="AV87" s="43">
        <v>0</v>
      </c>
      <c r="AW87" s="43">
        <v>0</v>
      </c>
      <c r="AX87" s="43">
        <v>0</v>
      </c>
      <c r="AY87" s="43">
        <v>0</v>
      </c>
      <c r="AZ87" s="43">
        <v>0</v>
      </c>
      <c r="BA87" s="43">
        <v>0</v>
      </c>
      <c r="BB87" s="43">
        <v>0</v>
      </c>
      <c r="BC87" s="43">
        <v>0</v>
      </c>
      <c r="BD87" s="43">
        <v>0</v>
      </c>
      <c r="BE87" s="43">
        <v>0</v>
      </c>
      <c r="BF87" s="43">
        <v>0</v>
      </c>
      <c r="BG87" s="43">
        <v>0</v>
      </c>
      <c r="BH87" s="43">
        <v>0</v>
      </c>
      <c r="BI87" s="43">
        <v>0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3">
        <v>0</v>
      </c>
      <c r="BA88" s="43">
        <v>0</v>
      </c>
      <c r="BB88" s="43">
        <v>0</v>
      </c>
      <c r="BC88" s="43">
        <v>0</v>
      </c>
      <c r="BD88" s="43">
        <v>0</v>
      </c>
      <c r="BE88" s="43">
        <v>0</v>
      </c>
      <c r="BF88" s="43">
        <v>0</v>
      </c>
      <c r="BG88" s="43">
        <v>0</v>
      </c>
      <c r="BH88" s="43">
        <v>0</v>
      </c>
      <c r="BI88" s="43">
        <v>0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0</v>
      </c>
      <c r="AQ89" s="43">
        <v>0</v>
      </c>
      <c r="AR89" s="43">
        <v>0</v>
      </c>
      <c r="AS89" s="43">
        <v>0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3">
        <v>0</v>
      </c>
      <c r="BA89" s="43">
        <v>0</v>
      </c>
      <c r="BB89" s="43">
        <v>0</v>
      </c>
      <c r="BC89" s="43">
        <v>0</v>
      </c>
      <c r="BD89" s="43">
        <v>0</v>
      </c>
      <c r="BE89" s="43">
        <v>0</v>
      </c>
      <c r="BF89" s="43">
        <v>0</v>
      </c>
      <c r="BG89" s="43">
        <v>0</v>
      </c>
      <c r="BH89" s="43">
        <v>0</v>
      </c>
      <c r="BI89" s="43">
        <v>0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0</v>
      </c>
      <c r="AQ90" s="43">
        <v>0</v>
      </c>
      <c r="AR90" s="43">
        <v>0</v>
      </c>
      <c r="AS90" s="43">
        <v>0</v>
      </c>
      <c r="AT90" s="43">
        <v>0</v>
      </c>
      <c r="AU90" s="43">
        <v>0</v>
      </c>
      <c r="AV90" s="43">
        <v>0</v>
      </c>
      <c r="AW90" s="43">
        <v>0</v>
      </c>
      <c r="AX90" s="43">
        <v>0</v>
      </c>
      <c r="AY90" s="43">
        <v>0</v>
      </c>
      <c r="AZ90" s="43">
        <v>0</v>
      </c>
      <c r="BA90" s="43">
        <v>0</v>
      </c>
      <c r="BB90" s="43">
        <v>0</v>
      </c>
      <c r="BC90" s="43">
        <v>0</v>
      </c>
      <c r="BD90" s="43">
        <v>0</v>
      </c>
      <c r="BE90" s="43">
        <v>0</v>
      </c>
      <c r="BF90" s="43">
        <v>0</v>
      </c>
      <c r="BG90" s="43">
        <v>0</v>
      </c>
      <c r="BH90" s="43">
        <v>0</v>
      </c>
      <c r="BI90" s="43">
        <v>0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0</v>
      </c>
      <c r="AQ91" s="43">
        <v>0</v>
      </c>
      <c r="AR91" s="43">
        <v>0</v>
      </c>
      <c r="AS91" s="43">
        <v>0</v>
      </c>
      <c r="AT91" s="43">
        <v>0</v>
      </c>
      <c r="AU91" s="43">
        <v>0</v>
      </c>
      <c r="AV91" s="43">
        <v>0</v>
      </c>
      <c r="AW91" s="43">
        <v>0</v>
      </c>
      <c r="AX91" s="43">
        <v>0</v>
      </c>
      <c r="AY91" s="43">
        <v>0</v>
      </c>
      <c r="AZ91" s="43">
        <v>0</v>
      </c>
      <c r="BA91" s="43">
        <v>0</v>
      </c>
      <c r="BB91" s="43">
        <v>0</v>
      </c>
      <c r="BC91" s="43">
        <v>0</v>
      </c>
      <c r="BD91" s="43">
        <v>0</v>
      </c>
      <c r="BE91" s="43">
        <v>0</v>
      </c>
      <c r="BF91" s="43">
        <v>0</v>
      </c>
      <c r="BG91" s="43">
        <v>0</v>
      </c>
      <c r="BH91" s="43">
        <v>0</v>
      </c>
      <c r="BI91" s="43">
        <v>0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0</v>
      </c>
      <c r="AQ92" s="43">
        <v>0</v>
      </c>
      <c r="AR92" s="43">
        <v>0</v>
      </c>
      <c r="AS92" s="43">
        <v>0</v>
      </c>
      <c r="AT92" s="43">
        <v>0</v>
      </c>
      <c r="AU92" s="43">
        <v>0</v>
      </c>
      <c r="AV92" s="43">
        <v>0</v>
      </c>
      <c r="AW92" s="43">
        <v>0</v>
      </c>
      <c r="AX92" s="43">
        <v>0</v>
      </c>
      <c r="AY92" s="43">
        <v>0</v>
      </c>
      <c r="AZ92" s="43">
        <v>0</v>
      </c>
      <c r="BA92" s="43">
        <v>0</v>
      </c>
      <c r="BB92" s="43">
        <v>0</v>
      </c>
      <c r="BC92" s="43">
        <v>0</v>
      </c>
      <c r="BD92" s="43">
        <v>0</v>
      </c>
      <c r="BE92" s="43">
        <v>0</v>
      </c>
      <c r="BF92" s="43">
        <v>0</v>
      </c>
      <c r="BG92" s="43">
        <v>0</v>
      </c>
      <c r="BH92" s="43">
        <v>0</v>
      </c>
      <c r="BI92" s="43">
        <v>0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0</v>
      </c>
      <c r="AQ93" s="43">
        <v>0</v>
      </c>
      <c r="AR93" s="43">
        <v>0</v>
      </c>
      <c r="AS93" s="43">
        <v>0</v>
      </c>
      <c r="AT93" s="43">
        <v>0</v>
      </c>
      <c r="AU93" s="43">
        <v>0</v>
      </c>
      <c r="AV93" s="43">
        <v>0</v>
      </c>
      <c r="AW93" s="43">
        <v>0</v>
      </c>
      <c r="AX93" s="43">
        <v>0</v>
      </c>
      <c r="AY93" s="43">
        <v>0</v>
      </c>
      <c r="AZ93" s="43">
        <v>0</v>
      </c>
      <c r="BA93" s="43">
        <v>0</v>
      </c>
      <c r="BB93" s="43">
        <v>0</v>
      </c>
      <c r="BC93" s="43">
        <v>0</v>
      </c>
      <c r="BD93" s="43">
        <v>0</v>
      </c>
      <c r="BE93" s="43">
        <v>0</v>
      </c>
      <c r="BF93" s="43">
        <v>0</v>
      </c>
      <c r="BG93" s="43">
        <v>0</v>
      </c>
      <c r="BH93" s="43">
        <v>0</v>
      </c>
      <c r="BI93" s="43">
        <v>0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0</v>
      </c>
      <c r="AQ94" s="43">
        <v>0</v>
      </c>
      <c r="AR94" s="43">
        <v>0</v>
      </c>
      <c r="AS94" s="43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3">
        <v>0</v>
      </c>
      <c r="BA94" s="43">
        <v>0</v>
      </c>
      <c r="BB94" s="43">
        <v>0</v>
      </c>
      <c r="BC94" s="43">
        <v>0</v>
      </c>
      <c r="BD94" s="43">
        <v>0</v>
      </c>
      <c r="BE94" s="43">
        <v>0</v>
      </c>
      <c r="BF94" s="43">
        <v>0</v>
      </c>
      <c r="BG94" s="43">
        <v>0</v>
      </c>
      <c r="BH94" s="43">
        <v>0</v>
      </c>
      <c r="BI94" s="43">
        <v>0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0</v>
      </c>
      <c r="AQ95" s="43">
        <v>0</v>
      </c>
      <c r="AR95" s="43">
        <v>0</v>
      </c>
      <c r="AS95" s="43">
        <v>0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3">
        <v>0</v>
      </c>
      <c r="BA95" s="43">
        <v>0</v>
      </c>
      <c r="BB95" s="43">
        <v>0</v>
      </c>
      <c r="BC95" s="43">
        <v>0</v>
      </c>
      <c r="BD95" s="43">
        <v>0</v>
      </c>
      <c r="BE95" s="43">
        <v>0</v>
      </c>
      <c r="BF95" s="43">
        <v>0</v>
      </c>
      <c r="BG95" s="43">
        <v>0</v>
      </c>
      <c r="BH95" s="43">
        <v>0</v>
      </c>
      <c r="BI95" s="43">
        <v>0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0</v>
      </c>
      <c r="AQ96" s="43">
        <v>0</v>
      </c>
      <c r="AR96" s="43">
        <v>0</v>
      </c>
      <c r="AS96" s="43">
        <v>0</v>
      </c>
      <c r="AT96" s="43">
        <v>0</v>
      </c>
      <c r="AU96" s="43">
        <v>0</v>
      </c>
      <c r="AV96" s="43">
        <v>0</v>
      </c>
      <c r="AW96" s="43">
        <v>0</v>
      </c>
      <c r="AX96" s="43">
        <v>0</v>
      </c>
      <c r="AY96" s="43">
        <v>0</v>
      </c>
      <c r="AZ96" s="43">
        <v>0</v>
      </c>
      <c r="BA96" s="43">
        <v>0</v>
      </c>
      <c r="BB96" s="43">
        <v>0</v>
      </c>
      <c r="BC96" s="43">
        <v>0</v>
      </c>
      <c r="BD96" s="43">
        <v>0</v>
      </c>
      <c r="BE96" s="43">
        <v>0</v>
      </c>
      <c r="BF96" s="43">
        <v>0</v>
      </c>
      <c r="BG96" s="43">
        <v>0</v>
      </c>
      <c r="BH96" s="43">
        <v>0</v>
      </c>
      <c r="BI96" s="43">
        <v>0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0</v>
      </c>
      <c r="AQ97" s="43">
        <v>0</v>
      </c>
      <c r="AR97" s="43">
        <v>0</v>
      </c>
      <c r="AS97" s="43">
        <v>0</v>
      </c>
      <c r="AT97" s="43">
        <v>0</v>
      </c>
      <c r="AU97" s="43">
        <v>0</v>
      </c>
      <c r="AV97" s="43">
        <v>0</v>
      </c>
      <c r="AW97" s="43">
        <v>0</v>
      </c>
      <c r="AX97" s="43">
        <v>0</v>
      </c>
      <c r="AY97" s="43">
        <v>0</v>
      </c>
      <c r="AZ97" s="43">
        <v>0</v>
      </c>
      <c r="BA97" s="43">
        <v>0</v>
      </c>
      <c r="BB97" s="43">
        <v>0</v>
      </c>
      <c r="BC97" s="43">
        <v>0</v>
      </c>
      <c r="BD97" s="43">
        <v>0</v>
      </c>
      <c r="BE97" s="43">
        <v>0</v>
      </c>
      <c r="BF97" s="43">
        <v>0</v>
      </c>
      <c r="BG97" s="43">
        <v>0</v>
      </c>
      <c r="BH97" s="43">
        <v>0</v>
      </c>
      <c r="BI97" s="43">
        <v>0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0</v>
      </c>
      <c r="AQ98" s="43">
        <v>0</v>
      </c>
      <c r="AR98" s="43">
        <v>0</v>
      </c>
      <c r="AS98" s="43">
        <v>0</v>
      </c>
      <c r="AT98" s="43">
        <v>0</v>
      </c>
      <c r="AU98" s="43">
        <v>0</v>
      </c>
      <c r="AV98" s="43">
        <v>0</v>
      </c>
      <c r="AW98" s="43">
        <v>0</v>
      </c>
      <c r="AX98" s="43">
        <v>0</v>
      </c>
      <c r="AY98" s="43">
        <v>0</v>
      </c>
      <c r="AZ98" s="43">
        <v>0</v>
      </c>
      <c r="BA98" s="43">
        <v>0</v>
      </c>
      <c r="BB98" s="43">
        <v>0</v>
      </c>
      <c r="BC98" s="43">
        <v>0</v>
      </c>
      <c r="BD98" s="43">
        <v>0</v>
      </c>
      <c r="BE98" s="43">
        <v>0</v>
      </c>
      <c r="BF98" s="43">
        <v>0</v>
      </c>
      <c r="BG98" s="43">
        <v>0</v>
      </c>
      <c r="BH98" s="43">
        <v>0</v>
      </c>
      <c r="BI98" s="43">
        <v>0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0</v>
      </c>
      <c r="AQ99" s="43">
        <v>0</v>
      </c>
      <c r="AR99" s="43">
        <v>0</v>
      </c>
      <c r="AS99" s="43">
        <v>0</v>
      </c>
      <c r="AT99" s="43">
        <v>0</v>
      </c>
      <c r="AU99" s="43">
        <v>0</v>
      </c>
      <c r="AV99" s="43">
        <v>0</v>
      </c>
      <c r="AW99" s="43">
        <v>0</v>
      </c>
      <c r="AX99" s="43">
        <v>0</v>
      </c>
      <c r="AY99" s="43">
        <v>0</v>
      </c>
      <c r="AZ99" s="43">
        <v>0</v>
      </c>
      <c r="BA99" s="43">
        <v>0</v>
      </c>
      <c r="BB99" s="43">
        <v>0</v>
      </c>
      <c r="BC99" s="43">
        <v>0</v>
      </c>
      <c r="BD99" s="43">
        <v>0</v>
      </c>
      <c r="BE99" s="43">
        <v>0</v>
      </c>
      <c r="BF99" s="43">
        <v>0</v>
      </c>
      <c r="BG99" s="43">
        <v>0</v>
      </c>
      <c r="BH99" s="43">
        <v>0</v>
      </c>
      <c r="BI99" s="43">
        <v>0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0</v>
      </c>
      <c r="AQ100" s="43">
        <v>0</v>
      </c>
      <c r="AR100" s="43">
        <v>0</v>
      </c>
      <c r="AS100" s="43">
        <v>0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3">
        <v>0</v>
      </c>
      <c r="BA100" s="43">
        <v>0</v>
      </c>
      <c r="BB100" s="43">
        <v>0</v>
      </c>
      <c r="BC100" s="43">
        <v>0</v>
      </c>
      <c r="BD100" s="43">
        <v>0</v>
      </c>
      <c r="BE100" s="43">
        <v>0</v>
      </c>
      <c r="BF100" s="43">
        <v>0</v>
      </c>
      <c r="BG100" s="43">
        <v>0</v>
      </c>
      <c r="BH100" s="43">
        <v>0</v>
      </c>
      <c r="BI100" s="43">
        <v>0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0</v>
      </c>
      <c r="AQ101" s="43">
        <v>0</v>
      </c>
      <c r="AR101" s="43">
        <v>0</v>
      </c>
      <c r="AS101" s="43">
        <v>0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3">
        <v>0</v>
      </c>
      <c r="BA101" s="43">
        <v>0</v>
      </c>
      <c r="BB101" s="43">
        <v>0</v>
      </c>
      <c r="BC101" s="43">
        <v>0</v>
      </c>
      <c r="BD101" s="43">
        <v>0</v>
      </c>
      <c r="BE101" s="43">
        <v>0</v>
      </c>
      <c r="BF101" s="43">
        <v>0</v>
      </c>
      <c r="BG101" s="43">
        <v>0</v>
      </c>
      <c r="BH101" s="43">
        <v>0</v>
      </c>
      <c r="BI101" s="43">
        <v>0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0</v>
      </c>
      <c r="AQ102" s="43">
        <v>0</v>
      </c>
      <c r="AR102" s="43">
        <v>0</v>
      </c>
      <c r="AS102" s="43">
        <v>0</v>
      </c>
      <c r="AT102" s="43">
        <v>0</v>
      </c>
      <c r="AU102" s="43">
        <v>0</v>
      </c>
      <c r="AV102" s="43">
        <v>0</v>
      </c>
      <c r="AW102" s="43">
        <v>0</v>
      </c>
      <c r="AX102" s="43">
        <v>0</v>
      </c>
      <c r="AY102" s="43">
        <v>0</v>
      </c>
      <c r="AZ102" s="43">
        <v>0</v>
      </c>
      <c r="BA102" s="43">
        <v>0</v>
      </c>
      <c r="BB102" s="43">
        <v>0</v>
      </c>
      <c r="BC102" s="43">
        <v>0</v>
      </c>
      <c r="BD102" s="43">
        <v>0</v>
      </c>
      <c r="BE102" s="43">
        <v>0</v>
      </c>
      <c r="BF102" s="43">
        <v>0</v>
      </c>
      <c r="BG102" s="43">
        <v>0</v>
      </c>
      <c r="BH102" s="43">
        <v>0</v>
      </c>
      <c r="BI102" s="43">
        <v>0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0</v>
      </c>
      <c r="AQ103" s="43">
        <v>0</v>
      </c>
      <c r="AR103" s="43">
        <v>0</v>
      </c>
      <c r="AS103" s="43">
        <v>0</v>
      </c>
      <c r="AT103" s="43">
        <v>0</v>
      </c>
      <c r="AU103" s="43">
        <v>0</v>
      </c>
      <c r="AV103" s="43">
        <v>0</v>
      </c>
      <c r="AW103" s="43">
        <v>0</v>
      </c>
      <c r="AX103" s="43">
        <v>0</v>
      </c>
      <c r="AY103" s="43">
        <v>0</v>
      </c>
      <c r="AZ103" s="43">
        <v>0</v>
      </c>
      <c r="BA103" s="43">
        <v>0</v>
      </c>
      <c r="BB103" s="43">
        <v>0</v>
      </c>
      <c r="BC103" s="43">
        <v>0</v>
      </c>
      <c r="BD103" s="43">
        <v>0</v>
      </c>
      <c r="BE103" s="43">
        <v>0</v>
      </c>
      <c r="BF103" s="43">
        <v>0</v>
      </c>
      <c r="BG103" s="43">
        <v>0</v>
      </c>
      <c r="BH103" s="43">
        <v>0</v>
      </c>
      <c r="BI103" s="43">
        <v>0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0</v>
      </c>
      <c r="AQ104" s="43">
        <v>0</v>
      </c>
      <c r="AR104" s="43">
        <v>0</v>
      </c>
      <c r="AS104" s="43">
        <v>0</v>
      </c>
      <c r="AT104" s="43">
        <v>0</v>
      </c>
      <c r="AU104" s="43">
        <v>0</v>
      </c>
      <c r="AV104" s="43">
        <v>0</v>
      </c>
      <c r="AW104" s="43">
        <v>0</v>
      </c>
      <c r="AX104" s="43">
        <v>0</v>
      </c>
      <c r="AY104" s="43">
        <v>0</v>
      </c>
      <c r="AZ104" s="43">
        <v>0</v>
      </c>
      <c r="BA104" s="43">
        <v>0</v>
      </c>
      <c r="BB104" s="43">
        <v>0</v>
      </c>
      <c r="BC104" s="43">
        <v>0</v>
      </c>
      <c r="BD104" s="43">
        <v>0</v>
      </c>
      <c r="BE104" s="43">
        <v>0</v>
      </c>
      <c r="BF104" s="43">
        <v>0</v>
      </c>
      <c r="BG104" s="43">
        <v>0</v>
      </c>
      <c r="BH104" s="43">
        <v>0</v>
      </c>
      <c r="BI104" s="43">
        <v>0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0</v>
      </c>
      <c r="AQ105" s="43">
        <v>0</v>
      </c>
      <c r="AR105" s="43">
        <v>0</v>
      </c>
      <c r="AS105" s="43">
        <v>0</v>
      </c>
      <c r="AT105" s="43">
        <v>0</v>
      </c>
      <c r="AU105" s="43">
        <v>0</v>
      </c>
      <c r="AV105" s="43">
        <v>0</v>
      </c>
      <c r="AW105" s="43">
        <v>0</v>
      </c>
      <c r="AX105" s="43">
        <v>0</v>
      </c>
      <c r="AY105" s="43">
        <v>0</v>
      </c>
      <c r="AZ105" s="43">
        <v>0</v>
      </c>
      <c r="BA105" s="43">
        <v>0</v>
      </c>
      <c r="BB105" s="43">
        <v>0</v>
      </c>
      <c r="BC105" s="43">
        <v>0</v>
      </c>
      <c r="BD105" s="43">
        <v>0</v>
      </c>
      <c r="BE105" s="43">
        <v>0</v>
      </c>
      <c r="BF105" s="43">
        <v>0</v>
      </c>
      <c r="BG105" s="43">
        <v>0</v>
      </c>
      <c r="BH105" s="43">
        <v>0</v>
      </c>
      <c r="BI105" s="43">
        <v>0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0</v>
      </c>
      <c r="AQ106" s="43">
        <v>0</v>
      </c>
      <c r="AR106" s="43">
        <v>0</v>
      </c>
      <c r="AS106" s="43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3">
        <v>0</v>
      </c>
      <c r="BA106" s="43">
        <v>0</v>
      </c>
      <c r="BB106" s="43">
        <v>0</v>
      </c>
      <c r="BC106" s="43">
        <v>0</v>
      </c>
      <c r="BD106" s="43">
        <v>0</v>
      </c>
      <c r="BE106" s="43">
        <v>0</v>
      </c>
      <c r="BF106" s="43">
        <v>0</v>
      </c>
      <c r="BG106" s="43">
        <v>0</v>
      </c>
      <c r="BH106" s="43">
        <v>0</v>
      </c>
      <c r="BI106" s="43">
        <v>0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0</v>
      </c>
      <c r="AQ107" s="43">
        <v>0</v>
      </c>
      <c r="AR107" s="43">
        <v>0</v>
      </c>
      <c r="AS107" s="43">
        <v>0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3">
        <v>0</v>
      </c>
      <c r="BA107" s="43">
        <v>0</v>
      </c>
      <c r="BB107" s="43">
        <v>0</v>
      </c>
      <c r="BC107" s="43">
        <v>0</v>
      </c>
      <c r="BD107" s="43">
        <v>0</v>
      </c>
      <c r="BE107" s="43">
        <v>0</v>
      </c>
      <c r="BF107" s="43">
        <v>0</v>
      </c>
      <c r="BG107" s="43">
        <v>0</v>
      </c>
      <c r="BH107" s="43">
        <v>0</v>
      </c>
      <c r="BI107" s="43">
        <v>0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0</v>
      </c>
      <c r="AQ108" s="43">
        <v>0</v>
      </c>
      <c r="AR108" s="43">
        <v>0</v>
      </c>
      <c r="AS108" s="43">
        <v>0</v>
      </c>
      <c r="AT108" s="43">
        <v>0</v>
      </c>
      <c r="AU108" s="43">
        <v>0</v>
      </c>
      <c r="AV108" s="43">
        <v>0</v>
      </c>
      <c r="AW108" s="43">
        <v>0</v>
      </c>
      <c r="AX108" s="43">
        <v>0</v>
      </c>
      <c r="AY108" s="43">
        <v>0</v>
      </c>
      <c r="AZ108" s="43">
        <v>0</v>
      </c>
      <c r="BA108" s="43">
        <v>0</v>
      </c>
      <c r="BB108" s="43">
        <v>0</v>
      </c>
      <c r="BC108" s="43">
        <v>0</v>
      </c>
      <c r="BD108" s="43">
        <v>0</v>
      </c>
      <c r="BE108" s="43">
        <v>0</v>
      </c>
      <c r="BF108" s="43">
        <v>0</v>
      </c>
      <c r="BG108" s="43">
        <v>0</v>
      </c>
      <c r="BH108" s="43">
        <v>0</v>
      </c>
      <c r="BI108" s="43">
        <v>0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0</v>
      </c>
      <c r="AQ109" s="43">
        <v>0</v>
      </c>
      <c r="AR109" s="43">
        <v>0</v>
      </c>
      <c r="AS109" s="43">
        <v>0</v>
      </c>
      <c r="AT109" s="43">
        <v>0</v>
      </c>
      <c r="AU109" s="43">
        <v>0</v>
      </c>
      <c r="AV109" s="43">
        <v>0</v>
      </c>
      <c r="AW109" s="43">
        <v>0</v>
      </c>
      <c r="AX109" s="43">
        <v>0</v>
      </c>
      <c r="AY109" s="43">
        <v>0</v>
      </c>
      <c r="AZ109" s="43">
        <v>0</v>
      </c>
      <c r="BA109" s="43">
        <v>0</v>
      </c>
      <c r="BB109" s="43">
        <v>0</v>
      </c>
      <c r="BC109" s="43">
        <v>0</v>
      </c>
      <c r="BD109" s="43">
        <v>0</v>
      </c>
      <c r="BE109" s="43">
        <v>0</v>
      </c>
      <c r="BF109" s="43">
        <v>0</v>
      </c>
      <c r="BG109" s="43">
        <v>0</v>
      </c>
      <c r="BH109" s="43">
        <v>0</v>
      </c>
      <c r="BI109" s="43">
        <v>0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0</v>
      </c>
      <c r="AQ110" s="43">
        <v>0</v>
      </c>
      <c r="AR110" s="43">
        <v>0</v>
      </c>
      <c r="AS110" s="43">
        <v>0</v>
      </c>
      <c r="AT110" s="43">
        <v>0</v>
      </c>
      <c r="AU110" s="43">
        <v>0</v>
      </c>
      <c r="AV110" s="43">
        <v>0</v>
      </c>
      <c r="AW110" s="43">
        <v>0</v>
      </c>
      <c r="AX110" s="43">
        <v>0</v>
      </c>
      <c r="AY110" s="43">
        <v>0</v>
      </c>
      <c r="AZ110" s="43">
        <v>0</v>
      </c>
      <c r="BA110" s="43">
        <v>0</v>
      </c>
      <c r="BB110" s="43">
        <v>0</v>
      </c>
      <c r="BC110" s="43">
        <v>0</v>
      </c>
      <c r="BD110" s="43">
        <v>0</v>
      </c>
      <c r="BE110" s="43">
        <v>0</v>
      </c>
      <c r="BF110" s="43">
        <v>0</v>
      </c>
      <c r="BG110" s="43">
        <v>0</v>
      </c>
      <c r="BH110" s="43">
        <v>0</v>
      </c>
      <c r="BI110" s="43">
        <v>0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0</v>
      </c>
      <c r="AQ111" s="43">
        <v>0</v>
      </c>
      <c r="AR111" s="43">
        <v>0</v>
      </c>
      <c r="AS111" s="43">
        <v>0</v>
      </c>
      <c r="AT111" s="43">
        <v>0</v>
      </c>
      <c r="AU111" s="43">
        <v>0</v>
      </c>
      <c r="AV111" s="43">
        <v>0</v>
      </c>
      <c r="AW111" s="43">
        <v>0</v>
      </c>
      <c r="AX111" s="43">
        <v>0</v>
      </c>
      <c r="AY111" s="43">
        <v>0</v>
      </c>
      <c r="AZ111" s="43">
        <v>0</v>
      </c>
      <c r="BA111" s="43">
        <v>0</v>
      </c>
      <c r="BB111" s="43">
        <v>0</v>
      </c>
      <c r="BC111" s="43">
        <v>0</v>
      </c>
      <c r="BD111" s="43">
        <v>0</v>
      </c>
      <c r="BE111" s="43">
        <v>0</v>
      </c>
      <c r="BF111" s="43">
        <v>0</v>
      </c>
      <c r="BG111" s="43">
        <v>0</v>
      </c>
      <c r="BH111" s="43">
        <v>0</v>
      </c>
      <c r="BI111" s="43">
        <v>0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43">
        <v>0</v>
      </c>
      <c r="BH112" s="43">
        <v>0</v>
      </c>
      <c r="BI112" s="43">
        <v>0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0</v>
      </c>
      <c r="AQ113" s="43">
        <v>0</v>
      </c>
      <c r="AR113" s="43">
        <v>0</v>
      </c>
      <c r="AS113" s="43">
        <v>0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3">
        <v>0</v>
      </c>
      <c r="BA113" s="43">
        <v>0</v>
      </c>
      <c r="BB113" s="43">
        <v>0</v>
      </c>
      <c r="BC113" s="43">
        <v>0</v>
      </c>
      <c r="BD113" s="43">
        <v>0</v>
      </c>
      <c r="BE113" s="43">
        <v>0</v>
      </c>
      <c r="BF113" s="43">
        <v>0</v>
      </c>
      <c r="BG113" s="43">
        <v>0</v>
      </c>
      <c r="BH113" s="43">
        <v>0</v>
      </c>
      <c r="BI113" s="43">
        <v>0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0</v>
      </c>
      <c r="AQ114" s="43">
        <v>0</v>
      </c>
      <c r="AR114" s="43">
        <v>0</v>
      </c>
      <c r="AS114" s="43">
        <v>0</v>
      </c>
      <c r="AT114" s="43">
        <v>0</v>
      </c>
      <c r="AU114" s="43">
        <v>0</v>
      </c>
      <c r="AV114" s="43">
        <v>0</v>
      </c>
      <c r="AW114" s="43">
        <v>0</v>
      </c>
      <c r="AX114" s="43">
        <v>0</v>
      </c>
      <c r="AY114" s="43">
        <v>0</v>
      </c>
      <c r="AZ114" s="43">
        <v>0</v>
      </c>
      <c r="BA114" s="43">
        <v>0</v>
      </c>
      <c r="BB114" s="43">
        <v>0</v>
      </c>
      <c r="BC114" s="43">
        <v>0</v>
      </c>
      <c r="BD114" s="43">
        <v>0</v>
      </c>
      <c r="BE114" s="43">
        <v>0</v>
      </c>
      <c r="BF114" s="43">
        <v>0</v>
      </c>
      <c r="BG114" s="43">
        <v>0</v>
      </c>
      <c r="BH114" s="43">
        <v>0</v>
      </c>
      <c r="BI114" s="43">
        <v>0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0</v>
      </c>
      <c r="AQ115" s="43">
        <v>0</v>
      </c>
      <c r="AR115" s="43">
        <v>0</v>
      </c>
      <c r="AS115" s="43">
        <v>0</v>
      </c>
      <c r="AT115" s="43">
        <v>0</v>
      </c>
      <c r="AU115" s="43">
        <v>0</v>
      </c>
      <c r="AV115" s="43">
        <v>0</v>
      </c>
      <c r="AW115" s="43">
        <v>0</v>
      </c>
      <c r="AX115" s="43">
        <v>0</v>
      </c>
      <c r="AY115" s="43">
        <v>0</v>
      </c>
      <c r="AZ115" s="43">
        <v>0</v>
      </c>
      <c r="BA115" s="43">
        <v>0</v>
      </c>
      <c r="BB115" s="43">
        <v>0</v>
      </c>
      <c r="BC115" s="43">
        <v>0</v>
      </c>
      <c r="BD115" s="43">
        <v>0</v>
      </c>
      <c r="BE115" s="43">
        <v>0</v>
      </c>
      <c r="BF115" s="43">
        <v>0</v>
      </c>
      <c r="BG115" s="43">
        <v>0</v>
      </c>
      <c r="BH115" s="43">
        <v>0</v>
      </c>
      <c r="BI115" s="43">
        <v>0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3">
        <v>0</v>
      </c>
      <c r="AV116" s="43">
        <v>0</v>
      </c>
      <c r="AW116" s="43">
        <v>0</v>
      </c>
      <c r="AX116" s="43">
        <v>0</v>
      </c>
      <c r="AY116" s="43">
        <v>0</v>
      </c>
      <c r="AZ116" s="43">
        <v>0</v>
      </c>
      <c r="BA116" s="43">
        <v>0</v>
      </c>
      <c r="BB116" s="43">
        <v>0</v>
      </c>
      <c r="BC116" s="43">
        <v>0</v>
      </c>
      <c r="BD116" s="43">
        <v>0</v>
      </c>
      <c r="BE116" s="43">
        <v>0</v>
      </c>
      <c r="BF116" s="43">
        <v>0</v>
      </c>
      <c r="BG116" s="43">
        <v>0</v>
      </c>
      <c r="BH116" s="43">
        <v>0</v>
      </c>
      <c r="BI116" s="43">
        <v>0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3">
        <v>0</v>
      </c>
      <c r="AV117" s="43">
        <v>0</v>
      </c>
      <c r="AW117" s="43">
        <v>0</v>
      </c>
      <c r="AX117" s="43">
        <v>0</v>
      </c>
      <c r="AY117" s="43">
        <v>0</v>
      </c>
      <c r="AZ117" s="43">
        <v>0</v>
      </c>
      <c r="BA117" s="43">
        <v>0</v>
      </c>
      <c r="BB117" s="43">
        <v>0</v>
      </c>
      <c r="BC117" s="43">
        <v>0</v>
      </c>
      <c r="BD117" s="43">
        <v>0</v>
      </c>
      <c r="BE117" s="43">
        <v>0</v>
      </c>
      <c r="BF117" s="43">
        <v>0</v>
      </c>
      <c r="BG117" s="43">
        <v>0</v>
      </c>
      <c r="BH117" s="43">
        <v>0</v>
      </c>
      <c r="BI117" s="43">
        <v>0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0</v>
      </c>
      <c r="AQ118" s="43">
        <v>0</v>
      </c>
      <c r="AR118" s="43">
        <v>0</v>
      </c>
      <c r="AS118" s="43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3">
        <v>0</v>
      </c>
      <c r="BA118" s="43">
        <v>0</v>
      </c>
      <c r="BB118" s="43">
        <v>0</v>
      </c>
      <c r="BC118" s="43">
        <v>0</v>
      </c>
      <c r="BD118" s="43">
        <v>0</v>
      </c>
      <c r="BE118" s="43">
        <v>0</v>
      </c>
      <c r="BF118" s="43">
        <v>0</v>
      </c>
      <c r="BG118" s="43">
        <v>0</v>
      </c>
      <c r="BH118" s="43">
        <v>0</v>
      </c>
      <c r="BI118" s="43">
        <v>0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0</v>
      </c>
      <c r="AQ119" s="43">
        <v>0</v>
      </c>
      <c r="AR119" s="43">
        <v>0</v>
      </c>
      <c r="AS119" s="43">
        <v>0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3">
        <v>0</v>
      </c>
      <c r="BA119" s="43">
        <v>0</v>
      </c>
      <c r="BB119" s="43">
        <v>0</v>
      </c>
      <c r="BC119" s="43">
        <v>0</v>
      </c>
      <c r="BD119" s="43">
        <v>0</v>
      </c>
      <c r="BE119" s="43">
        <v>0</v>
      </c>
      <c r="BF119" s="43">
        <v>0</v>
      </c>
      <c r="BG119" s="43">
        <v>0</v>
      </c>
      <c r="BH119" s="43">
        <v>0</v>
      </c>
      <c r="BI119" s="43">
        <v>0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0</v>
      </c>
      <c r="AQ120" s="43">
        <v>0</v>
      </c>
      <c r="AR120" s="43">
        <v>0</v>
      </c>
      <c r="AS120" s="43">
        <v>0</v>
      </c>
      <c r="AT120" s="43">
        <v>0</v>
      </c>
      <c r="AU120" s="43">
        <v>0</v>
      </c>
      <c r="AV120" s="43">
        <v>0</v>
      </c>
      <c r="AW120" s="43">
        <v>0</v>
      </c>
      <c r="AX120" s="43">
        <v>0</v>
      </c>
      <c r="AY120" s="43">
        <v>0</v>
      </c>
      <c r="AZ120" s="43">
        <v>0</v>
      </c>
      <c r="BA120" s="43">
        <v>0</v>
      </c>
      <c r="BB120" s="43">
        <v>0</v>
      </c>
      <c r="BC120" s="43">
        <v>0</v>
      </c>
      <c r="BD120" s="43">
        <v>0</v>
      </c>
      <c r="BE120" s="43">
        <v>0</v>
      </c>
      <c r="BF120" s="43">
        <v>0</v>
      </c>
      <c r="BG120" s="43">
        <v>0</v>
      </c>
      <c r="BH120" s="43">
        <v>0</v>
      </c>
      <c r="BI120" s="43">
        <v>0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0</v>
      </c>
      <c r="AQ121" s="43">
        <v>0</v>
      </c>
      <c r="AR121" s="43">
        <v>0</v>
      </c>
      <c r="AS121" s="43">
        <v>0</v>
      </c>
      <c r="AT121" s="43">
        <v>0</v>
      </c>
      <c r="AU121" s="43">
        <v>0</v>
      </c>
      <c r="AV121" s="43">
        <v>0</v>
      </c>
      <c r="AW121" s="43">
        <v>0</v>
      </c>
      <c r="AX121" s="43">
        <v>0</v>
      </c>
      <c r="AY121" s="43">
        <v>0</v>
      </c>
      <c r="AZ121" s="43">
        <v>0</v>
      </c>
      <c r="BA121" s="43">
        <v>0</v>
      </c>
      <c r="BB121" s="43">
        <v>0</v>
      </c>
      <c r="BC121" s="43">
        <v>0</v>
      </c>
      <c r="BD121" s="43">
        <v>0</v>
      </c>
      <c r="BE121" s="43">
        <v>0</v>
      </c>
      <c r="BF121" s="43">
        <v>0</v>
      </c>
      <c r="BG121" s="43">
        <v>0</v>
      </c>
      <c r="BH121" s="43">
        <v>0</v>
      </c>
      <c r="BI121" s="43">
        <v>0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0</v>
      </c>
      <c r="AQ122" s="43">
        <v>0</v>
      </c>
      <c r="AR122" s="43">
        <v>0</v>
      </c>
      <c r="AS122" s="43">
        <v>0</v>
      </c>
      <c r="AT122" s="43">
        <v>0</v>
      </c>
      <c r="AU122" s="43">
        <v>0</v>
      </c>
      <c r="AV122" s="43">
        <v>0</v>
      </c>
      <c r="AW122" s="43">
        <v>0</v>
      </c>
      <c r="AX122" s="43">
        <v>0</v>
      </c>
      <c r="AY122" s="43">
        <v>0</v>
      </c>
      <c r="AZ122" s="43">
        <v>0</v>
      </c>
      <c r="BA122" s="43">
        <v>0</v>
      </c>
      <c r="BB122" s="43">
        <v>0</v>
      </c>
      <c r="BC122" s="43">
        <v>0</v>
      </c>
      <c r="BD122" s="43">
        <v>0</v>
      </c>
      <c r="BE122" s="43">
        <v>0</v>
      </c>
      <c r="BF122" s="43">
        <v>0</v>
      </c>
      <c r="BG122" s="43">
        <v>0</v>
      </c>
      <c r="BH122" s="43">
        <v>0</v>
      </c>
      <c r="BI122" s="43">
        <v>0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0</v>
      </c>
      <c r="AQ123" s="43">
        <v>0</v>
      </c>
      <c r="AR123" s="43">
        <v>0</v>
      </c>
      <c r="AS123" s="43">
        <v>0</v>
      </c>
      <c r="AT123" s="43">
        <v>0</v>
      </c>
      <c r="AU123" s="43">
        <v>0</v>
      </c>
      <c r="AV123" s="43">
        <v>0</v>
      </c>
      <c r="AW123" s="43">
        <v>0</v>
      </c>
      <c r="AX123" s="43">
        <v>0</v>
      </c>
      <c r="AY123" s="43">
        <v>0</v>
      </c>
      <c r="AZ123" s="43">
        <v>0</v>
      </c>
      <c r="BA123" s="43">
        <v>0</v>
      </c>
      <c r="BB123" s="43">
        <v>0</v>
      </c>
      <c r="BC123" s="43">
        <v>0</v>
      </c>
      <c r="BD123" s="43">
        <v>0</v>
      </c>
      <c r="BE123" s="43">
        <v>0</v>
      </c>
      <c r="BF123" s="43">
        <v>0</v>
      </c>
      <c r="BG123" s="43">
        <v>0</v>
      </c>
      <c r="BH123" s="43">
        <v>0</v>
      </c>
      <c r="BI123" s="43">
        <v>0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0</v>
      </c>
      <c r="AQ124" s="43">
        <v>0</v>
      </c>
      <c r="AR124" s="43">
        <v>0</v>
      </c>
      <c r="AS124" s="43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3">
        <v>0</v>
      </c>
      <c r="BA124" s="43">
        <v>0</v>
      </c>
      <c r="BB124" s="43">
        <v>0</v>
      </c>
      <c r="BC124" s="43">
        <v>0</v>
      </c>
      <c r="BD124" s="43">
        <v>0</v>
      </c>
      <c r="BE124" s="43">
        <v>0</v>
      </c>
      <c r="BF124" s="43">
        <v>0</v>
      </c>
      <c r="BG124" s="43">
        <v>0</v>
      </c>
      <c r="BH124" s="43">
        <v>0</v>
      </c>
      <c r="BI124" s="43">
        <v>0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0</v>
      </c>
      <c r="AQ125" s="43">
        <v>0</v>
      </c>
      <c r="AR125" s="43">
        <v>0</v>
      </c>
      <c r="AS125" s="43">
        <v>0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3">
        <v>0</v>
      </c>
      <c r="BA125" s="43">
        <v>0</v>
      </c>
      <c r="BB125" s="43">
        <v>0</v>
      </c>
      <c r="BC125" s="43">
        <v>0</v>
      </c>
      <c r="BD125" s="43">
        <v>0</v>
      </c>
      <c r="BE125" s="43">
        <v>0</v>
      </c>
      <c r="BF125" s="43">
        <v>0</v>
      </c>
      <c r="BG125" s="43">
        <v>0</v>
      </c>
      <c r="BH125" s="43">
        <v>0</v>
      </c>
      <c r="BI125" s="43">
        <v>0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0</v>
      </c>
      <c r="AQ126" s="43">
        <v>0</v>
      </c>
      <c r="AR126" s="43">
        <v>0</v>
      </c>
      <c r="AS126" s="43">
        <v>0</v>
      </c>
      <c r="AT126" s="43">
        <v>0</v>
      </c>
      <c r="AU126" s="43">
        <v>0</v>
      </c>
      <c r="AV126" s="43">
        <v>0</v>
      </c>
      <c r="AW126" s="43">
        <v>0</v>
      </c>
      <c r="AX126" s="43">
        <v>0</v>
      </c>
      <c r="AY126" s="43">
        <v>0</v>
      </c>
      <c r="AZ126" s="43">
        <v>0</v>
      </c>
      <c r="BA126" s="43">
        <v>0</v>
      </c>
      <c r="BB126" s="43">
        <v>0</v>
      </c>
      <c r="BC126" s="43">
        <v>0</v>
      </c>
      <c r="BD126" s="43">
        <v>0</v>
      </c>
      <c r="BE126" s="43">
        <v>0</v>
      </c>
      <c r="BF126" s="43">
        <v>0</v>
      </c>
      <c r="BG126" s="43">
        <v>0</v>
      </c>
      <c r="BH126" s="43">
        <v>0</v>
      </c>
      <c r="BI126" s="43">
        <v>0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0</v>
      </c>
      <c r="AQ127" s="43">
        <v>0</v>
      </c>
      <c r="AR127" s="43">
        <v>0</v>
      </c>
      <c r="AS127" s="43">
        <v>0</v>
      </c>
      <c r="AT127" s="43">
        <v>0</v>
      </c>
      <c r="AU127" s="43">
        <v>0</v>
      </c>
      <c r="AV127" s="43">
        <v>0</v>
      </c>
      <c r="AW127" s="43">
        <v>0</v>
      </c>
      <c r="AX127" s="43">
        <v>0</v>
      </c>
      <c r="AY127" s="43">
        <v>0</v>
      </c>
      <c r="AZ127" s="43">
        <v>0</v>
      </c>
      <c r="BA127" s="43">
        <v>0</v>
      </c>
      <c r="BB127" s="43">
        <v>0</v>
      </c>
      <c r="BC127" s="43">
        <v>0</v>
      </c>
      <c r="BD127" s="43">
        <v>0</v>
      </c>
      <c r="BE127" s="43">
        <v>0</v>
      </c>
      <c r="BF127" s="43">
        <v>0</v>
      </c>
      <c r="BG127" s="43">
        <v>0</v>
      </c>
      <c r="BH127" s="43">
        <v>0</v>
      </c>
      <c r="BI127" s="43">
        <v>0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0</v>
      </c>
      <c r="AQ128" s="43">
        <v>0</v>
      </c>
      <c r="AR128" s="43">
        <v>0</v>
      </c>
      <c r="AS128" s="43">
        <v>0</v>
      </c>
      <c r="AT128" s="43">
        <v>0</v>
      </c>
      <c r="AU128" s="43">
        <v>0</v>
      </c>
      <c r="AV128" s="43">
        <v>0</v>
      </c>
      <c r="AW128" s="43">
        <v>0</v>
      </c>
      <c r="AX128" s="43">
        <v>0</v>
      </c>
      <c r="AY128" s="43">
        <v>0</v>
      </c>
      <c r="AZ128" s="43">
        <v>0</v>
      </c>
      <c r="BA128" s="43">
        <v>0</v>
      </c>
      <c r="BB128" s="43">
        <v>0</v>
      </c>
      <c r="BC128" s="43">
        <v>0</v>
      </c>
      <c r="BD128" s="43">
        <v>0</v>
      </c>
      <c r="BE128" s="43">
        <v>0</v>
      </c>
      <c r="BF128" s="43">
        <v>0</v>
      </c>
      <c r="BG128" s="43">
        <v>0</v>
      </c>
      <c r="BH128" s="43">
        <v>0</v>
      </c>
      <c r="BI128" s="43">
        <v>0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43">
        <v>0</v>
      </c>
      <c r="AY129" s="43">
        <v>0</v>
      </c>
      <c r="AZ129" s="43">
        <v>0</v>
      </c>
      <c r="BA129" s="43">
        <v>0</v>
      </c>
      <c r="BB129" s="43">
        <v>0</v>
      </c>
      <c r="BC129" s="43">
        <v>0</v>
      </c>
      <c r="BD129" s="43">
        <v>0</v>
      </c>
      <c r="BE129" s="43">
        <v>0</v>
      </c>
      <c r="BF129" s="43">
        <v>0</v>
      </c>
      <c r="BG129" s="43">
        <v>0</v>
      </c>
      <c r="BH129" s="43">
        <v>0</v>
      </c>
      <c r="BI129" s="43">
        <v>0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0</v>
      </c>
      <c r="AQ130" s="43">
        <v>0</v>
      </c>
      <c r="AR130" s="43">
        <v>0</v>
      </c>
      <c r="AS130" s="43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3">
        <v>0</v>
      </c>
      <c r="BA130" s="43">
        <v>0</v>
      </c>
      <c r="BB130" s="43">
        <v>0</v>
      </c>
      <c r="BC130" s="43">
        <v>0</v>
      </c>
      <c r="BD130" s="43">
        <v>0</v>
      </c>
      <c r="BE130" s="43">
        <v>0</v>
      </c>
      <c r="BF130" s="43">
        <v>0</v>
      </c>
      <c r="BG130" s="43">
        <v>0</v>
      </c>
      <c r="BH130" s="43">
        <v>0</v>
      </c>
      <c r="BI130" s="43">
        <v>0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0</v>
      </c>
      <c r="AQ131" s="43">
        <v>0</v>
      </c>
      <c r="AR131" s="43">
        <v>0</v>
      </c>
      <c r="AS131" s="43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3">
        <v>0</v>
      </c>
      <c r="BA131" s="43">
        <v>0</v>
      </c>
      <c r="BB131" s="43">
        <v>0</v>
      </c>
      <c r="BC131" s="43">
        <v>0</v>
      </c>
      <c r="BD131" s="43">
        <v>0</v>
      </c>
      <c r="BE131" s="43">
        <v>0</v>
      </c>
      <c r="BF131" s="43">
        <v>0</v>
      </c>
      <c r="BG131" s="43">
        <v>0</v>
      </c>
      <c r="BH131" s="43">
        <v>0</v>
      </c>
      <c r="BI131" s="43">
        <v>0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0</v>
      </c>
      <c r="AQ132" s="43">
        <v>0</v>
      </c>
      <c r="AR132" s="43">
        <v>0</v>
      </c>
      <c r="AS132" s="43">
        <v>0</v>
      </c>
      <c r="AT132" s="43">
        <v>0</v>
      </c>
      <c r="AU132" s="43">
        <v>0</v>
      </c>
      <c r="AV132" s="43">
        <v>0</v>
      </c>
      <c r="AW132" s="43">
        <v>0</v>
      </c>
      <c r="AX132" s="43">
        <v>0</v>
      </c>
      <c r="AY132" s="43">
        <v>0</v>
      </c>
      <c r="AZ132" s="43">
        <v>0</v>
      </c>
      <c r="BA132" s="43">
        <v>0</v>
      </c>
      <c r="BB132" s="43">
        <v>0</v>
      </c>
      <c r="BC132" s="43">
        <v>0</v>
      </c>
      <c r="BD132" s="43">
        <v>0</v>
      </c>
      <c r="BE132" s="43">
        <v>0</v>
      </c>
      <c r="BF132" s="43">
        <v>0</v>
      </c>
      <c r="BG132" s="43">
        <v>0</v>
      </c>
      <c r="BH132" s="43">
        <v>0</v>
      </c>
      <c r="BI132" s="43">
        <v>0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0</v>
      </c>
      <c r="AQ133" s="43">
        <v>0</v>
      </c>
      <c r="AR133" s="43">
        <v>0</v>
      </c>
      <c r="AS133" s="43">
        <v>0</v>
      </c>
      <c r="AT133" s="43">
        <v>0</v>
      </c>
      <c r="AU133" s="43">
        <v>0</v>
      </c>
      <c r="AV133" s="43">
        <v>0</v>
      </c>
      <c r="AW133" s="43">
        <v>0</v>
      </c>
      <c r="AX133" s="43">
        <v>0</v>
      </c>
      <c r="AY133" s="43">
        <v>0</v>
      </c>
      <c r="AZ133" s="43">
        <v>0</v>
      </c>
      <c r="BA133" s="43">
        <v>0</v>
      </c>
      <c r="BB133" s="43">
        <v>0</v>
      </c>
      <c r="BC133" s="43">
        <v>0</v>
      </c>
      <c r="BD133" s="43">
        <v>0</v>
      </c>
      <c r="BE133" s="43">
        <v>0</v>
      </c>
      <c r="BF133" s="43">
        <v>0</v>
      </c>
      <c r="BG133" s="43">
        <v>0</v>
      </c>
      <c r="BH133" s="43">
        <v>0</v>
      </c>
      <c r="BI133" s="43">
        <v>0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0</v>
      </c>
      <c r="AQ134" s="43">
        <v>0</v>
      </c>
      <c r="AR134" s="43">
        <v>0</v>
      </c>
      <c r="AS134" s="43">
        <v>0</v>
      </c>
      <c r="AT134" s="43">
        <v>0</v>
      </c>
      <c r="AU134" s="43">
        <v>0</v>
      </c>
      <c r="AV134" s="43">
        <v>0</v>
      </c>
      <c r="AW134" s="43">
        <v>0</v>
      </c>
      <c r="AX134" s="43">
        <v>0</v>
      </c>
      <c r="AY134" s="43">
        <v>0</v>
      </c>
      <c r="AZ134" s="43">
        <v>0</v>
      </c>
      <c r="BA134" s="43">
        <v>0</v>
      </c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43">
        <v>0</v>
      </c>
      <c r="BH134" s="43">
        <v>0</v>
      </c>
      <c r="BI134" s="43">
        <v>0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0</v>
      </c>
      <c r="AQ135" s="43">
        <v>0</v>
      </c>
      <c r="AR135" s="43">
        <v>0</v>
      </c>
      <c r="AS135" s="43">
        <v>0</v>
      </c>
      <c r="AT135" s="43">
        <v>0</v>
      </c>
      <c r="AU135" s="43">
        <v>0</v>
      </c>
      <c r="AV135" s="43">
        <v>0</v>
      </c>
      <c r="AW135" s="43">
        <v>0</v>
      </c>
      <c r="AX135" s="43">
        <v>0</v>
      </c>
      <c r="AY135" s="43">
        <v>0</v>
      </c>
      <c r="AZ135" s="43">
        <v>0</v>
      </c>
      <c r="BA135" s="43">
        <v>0</v>
      </c>
      <c r="BB135" s="43">
        <v>0</v>
      </c>
      <c r="BC135" s="43">
        <v>0</v>
      </c>
      <c r="BD135" s="43">
        <v>0</v>
      </c>
      <c r="BE135" s="43">
        <v>0</v>
      </c>
      <c r="BF135" s="43">
        <v>0</v>
      </c>
      <c r="BG135" s="43">
        <v>0</v>
      </c>
      <c r="BH135" s="43">
        <v>0</v>
      </c>
      <c r="BI135" s="43">
        <v>0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0</v>
      </c>
      <c r="AQ136" s="43">
        <v>0</v>
      </c>
      <c r="AR136" s="43">
        <v>0</v>
      </c>
      <c r="AS136" s="43">
        <v>0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3">
        <v>0</v>
      </c>
      <c r="BA136" s="43">
        <v>0</v>
      </c>
      <c r="BB136" s="43">
        <v>0</v>
      </c>
      <c r="BC136" s="43">
        <v>0</v>
      </c>
      <c r="BD136" s="43">
        <v>0</v>
      </c>
      <c r="BE136" s="43">
        <v>0</v>
      </c>
      <c r="BF136" s="43">
        <v>0</v>
      </c>
      <c r="BG136" s="43">
        <v>0</v>
      </c>
      <c r="BH136" s="43">
        <v>0</v>
      </c>
      <c r="BI136" s="43">
        <v>0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0</v>
      </c>
      <c r="AQ137" s="43">
        <v>0</v>
      </c>
      <c r="AR137" s="43">
        <v>0</v>
      </c>
      <c r="AS137" s="43">
        <v>0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3">
        <v>0</v>
      </c>
      <c r="BA137" s="43">
        <v>0</v>
      </c>
      <c r="BB137" s="43">
        <v>0</v>
      </c>
      <c r="BC137" s="43">
        <v>0</v>
      </c>
      <c r="BD137" s="43">
        <v>0</v>
      </c>
      <c r="BE137" s="43">
        <v>0</v>
      </c>
      <c r="BF137" s="43">
        <v>0</v>
      </c>
      <c r="BG137" s="43">
        <v>0</v>
      </c>
      <c r="BH137" s="43">
        <v>0</v>
      </c>
      <c r="BI137" s="43">
        <v>0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0</v>
      </c>
      <c r="AQ138" s="43">
        <v>0</v>
      </c>
      <c r="AR138" s="43">
        <v>0</v>
      </c>
      <c r="AS138" s="43">
        <v>0</v>
      </c>
      <c r="AT138" s="43">
        <v>0</v>
      </c>
      <c r="AU138" s="43">
        <v>0</v>
      </c>
      <c r="AV138" s="43">
        <v>0</v>
      </c>
      <c r="AW138" s="43">
        <v>0</v>
      </c>
      <c r="AX138" s="43">
        <v>0</v>
      </c>
      <c r="AY138" s="43">
        <v>0</v>
      </c>
      <c r="AZ138" s="43">
        <v>0</v>
      </c>
      <c r="BA138" s="43">
        <v>0</v>
      </c>
      <c r="BB138" s="43">
        <v>0</v>
      </c>
      <c r="BC138" s="43">
        <v>0</v>
      </c>
      <c r="BD138" s="43">
        <v>0</v>
      </c>
      <c r="BE138" s="43">
        <v>0</v>
      </c>
      <c r="BF138" s="43">
        <v>0</v>
      </c>
      <c r="BG138" s="43">
        <v>0</v>
      </c>
      <c r="BH138" s="43">
        <v>0</v>
      </c>
      <c r="BI138" s="43">
        <v>0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0</v>
      </c>
      <c r="AQ139" s="43">
        <v>0</v>
      </c>
      <c r="AR139" s="43">
        <v>0</v>
      </c>
      <c r="AS139" s="43">
        <v>0</v>
      </c>
      <c r="AT139" s="43">
        <v>0</v>
      </c>
      <c r="AU139" s="43">
        <v>0</v>
      </c>
      <c r="AV139" s="43">
        <v>0</v>
      </c>
      <c r="AW139" s="43">
        <v>0</v>
      </c>
      <c r="AX139" s="43">
        <v>0</v>
      </c>
      <c r="AY139" s="43">
        <v>0</v>
      </c>
      <c r="AZ139" s="43">
        <v>0</v>
      </c>
      <c r="BA139" s="43">
        <v>0</v>
      </c>
      <c r="BB139" s="43">
        <v>0</v>
      </c>
      <c r="BC139" s="43">
        <v>0</v>
      </c>
      <c r="BD139" s="43">
        <v>0</v>
      </c>
      <c r="BE139" s="43">
        <v>0</v>
      </c>
      <c r="BF139" s="43">
        <v>0</v>
      </c>
      <c r="BG139" s="43">
        <v>0</v>
      </c>
      <c r="BH139" s="43">
        <v>0</v>
      </c>
      <c r="BI139" s="43">
        <v>0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0</v>
      </c>
      <c r="AQ140" s="43">
        <v>0</v>
      </c>
      <c r="AR140" s="43">
        <v>0</v>
      </c>
      <c r="AS140" s="43">
        <v>0</v>
      </c>
      <c r="AT140" s="43">
        <v>0</v>
      </c>
      <c r="AU140" s="43">
        <v>0</v>
      </c>
      <c r="AV140" s="43">
        <v>0</v>
      </c>
      <c r="AW140" s="43">
        <v>0</v>
      </c>
      <c r="AX140" s="43">
        <v>0</v>
      </c>
      <c r="AY140" s="43">
        <v>0</v>
      </c>
      <c r="AZ140" s="43">
        <v>0</v>
      </c>
      <c r="BA140" s="43">
        <v>0</v>
      </c>
      <c r="BB140" s="43">
        <v>0</v>
      </c>
      <c r="BC140" s="43">
        <v>0</v>
      </c>
      <c r="BD140" s="43">
        <v>0</v>
      </c>
      <c r="BE140" s="43">
        <v>0</v>
      </c>
      <c r="BF140" s="43">
        <v>0</v>
      </c>
      <c r="BG140" s="43">
        <v>0</v>
      </c>
      <c r="BH140" s="43">
        <v>0</v>
      </c>
      <c r="BI140" s="43">
        <v>0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0</v>
      </c>
      <c r="AQ141" s="43">
        <v>0</v>
      </c>
      <c r="AR141" s="43">
        <v>0</v>
      </c>
      <c r="AS141" s="43">
        <v>0</v>
      </c>
      <c r="AT141" s="43">
        <v>0</v>
      </c>
      <c r="AU141" s="43">
        <v>0</v>
      </c>
      <c r="AV141" s="43">
        <v>0</v>
      </c>
      <c r="AW141" s="43">
        <v>0</v>
      </c>
      <c r="AX141" s="43">
        <v>0</v>
      </c>
      <c r="AY141" s="43">
        <v>0</v>
      </c>
      <c r="AZ141" s="43">
        <v>0</v>
      </c>
      <c r="BA141" s="43">
        <v>0</v>
      </c>
      <c r="BB141" s="43">
        <v>0</v>
      </c>
      <c r="BC141" s="43">
        <v>0</v>
      </c>
      <c r="BD141" s="43">
        <v>0</v>
      </c>
      <c r="BE141" s="43">
        <v>0</v>
      </c>
      <c r="BF141" s="43">
        <v>0</v>
      </c>
      <c r="BG141" s="43">
        <v>0</v>
      </c>
      <c r="BH141" s="43">
        <v>0</v>
      </c>
      <c r="BI141" s="43">
        <v>0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0</v>
      </c>
      <c r="AQ142" s="43">
        <v>0</v>
      </c>
      <c r="AR142" s="43">
        <v>0</v>
      </c>
      <c r="AS142" s="43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3">
        <v>0</v>
      </c>
      <c r="BA142" s="43">
        <v>0</v>
      </c>
      <c r="BB142" s="43">
        <v>0</v>
      </c>
      <c r="BC142" s="43">
        <v>0</v>
      </c>
      <c r="BD142" s="43">
        <v>0</v>
      </c>
      <c r="BE142" s="43">
        <v>0</v>
      </c>
      <c r="BF142" s="43">
        <v>0</v>
      </c>
      <c r="BG142" s="43">
        <v>0</v>
      </c>
      <c r="BH142" s="43">
        <v>0</v>
      </c>
      <c r="BI142" s="43">
        <v>0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0</v>
      </c>
      <c r="AQ143" s="43">
        <v>0</v>
      </c>
      <c r="AR143" s="43">
        <v>0</v>
      </c>
      <c r="AS143" s="43">
        <v>0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3">
        <v>0</v>
      </c>
      <c r="BA143" s="43">
        <v>0</v>
      </c>
      <c r="BB143" s="43">
        <v>0</v>
      </c>
      <c r="BC143" s="43">
        <v>0</v>
      </c>
      <c r="BD143" s="43">
        <v>0</v>
      </c>
      <c r="BE143" s="43">
        <v>0</v>
      </c>
      <c r="BF143" s="43">
        <v>0</v>
      </c>
      <c r="BG143" s="43">
        <v>0</v>
      </c>
      <c r="BH143" s="43">
        <v>0</v>
      </c>
      <c r="BI143" s="43">
        <v>0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3">
        <v>0</v>
      </c>
      <c r="AV144" s="43">
        <v>0</v>
      </c>
      <c r="AW144" s="43">
        <v>0</v>
      </c>
      <c r="AX144" s="43">
        <v>0</v>
      </c>
      <c r="AY144" s="43">
        <v>0</v>
      </c>
      <c r="AZ144" s="43">
        <v>0</v>
      </c>
      <c r="BA144" s="43">
        <v>0</v>
      </c>
      <c r="BB144" s="43">
        <v>0</v>
      </c>
      <c r="BC144" s="43">
        <v>0</v>
      </c>
      <c r="BD144" s="43">
        <v>0</v>
      </c>
      <c r="BE144" s="43">
        <v>0</v>
      </c>
      <c r="BF144" s="43">
        <v>0</v>
      </c>
      <c r="BG144" s="43">
        <v>0</v>
      </c>
      <c r="BH144" s="43">
        <v>0</v>
      </c>
      <c r="BI144" s="43">
        <v>0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0</v>
      </c>
      <c r="AQ145" s="43">
        <v>0</v>
      </c>
      <c r="AR145" s="43">
        <v>0</v>
      </c>
      <c r="AS145" s="43">
        <v>0</v>
      </c>
      <c r="AT145" s="43">
        <v>0</v>
      </c>
      <c r="AU145" s="43">
        <v>0</v>
      </c>
      <c r="AV145" s="43">
        <v>0</v>
      </c>
      <c r="AW145" s="43">
        <v>0</v>
      </c>
      <c r="AX145" s="43">
        <v>0</v>
      </c>
      <c r="AY145" s="43">
        <v>0</v>
      </c>
      <c r="AZ145" s="43">
        <v>0</v>
      </c>
      <c r="BA145" s="43">
        <v>0</v>
      </c>
      <c r="BB145" s="43">
        <v>0</v>
      </c>
      <c r="BC145" s="43">
        <v>0</v>
      </c>
      <c r="BD145" s="43">
        <v>0</v>
      </c>
      <c r="BE145" s="43">
        <v>0</v>
      </c>
      <c r="BF145" s="43">
        <v>0</v>
      </c>
      <c r="BG145" s="43">
        <v>0</v>
      </c>
      <c r="BH145" s="43">
        <v>0</v>
      </c>
      <c r="BI145" s="43">
        <v>0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0</v>
      </c>
      <c r="AQ146" s="43">
        <v>0</v>
      </c>
      <c r="AR146" s="43">
        <v>0</v>
      </c>
      <c r="AS146" s="43">
        <v>0</v>
      </c>
      <c r="AT146" s="43">
        <v>0</v>
      </c>
      <c r="AU146" s="43">
        <v>0</v>
      </c>
      <c r="AV146" s="43">
        <v>0</v>
      </c>
      <c r="AW146" s="43">
        <v>0</v>
      </c>
      <c r="AX146" s="43">
        <v>0</v>
      </c>
      <c r="AY146" s="43">
        <v>0</v>
      </c>
      <c r="AZ146" s="43">
        <v>0</v>
      </c>
      <c r="BA146" s="43">
        <v>0</v>
      </c>
      <c r="BB146" s="43">
        <v>0</v>
      </c>
      <c r="BC146" s="43">
        <v>0</v>
      </c>
      <c r="BD146" s="43">
        <v>0</v>
      </c>
      <c r="BE146" s="43">
        <v>0</v>
      </c>
      <c r="BF146" s="43">
        <v>0</v>
      </c>
      <c r="BG146" s="43">
        <v>0</v>
      </c>
      <c r="BH146" s="43">
        <v>0</v>
      </c>
      <c r="BI146" s="43">
        <v>0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0</v>
      </c>
      <c r="AQ147" s="43">
        <v>0</v>
      </c>
      <c r="AR147" s="43">
        <v>0</v>
      </c>
      <c r="AS147" s="43">
        <v>0</v>
      </c>
      <c r="AT147" s="43">
        <v>0</v>
      </c>
      <c r="AU147" s="43">
        <v>0</v>
      </c>
      <c r="AV147" s="43">
        <v>0</v>
      </c>
      <c r="AW147" s="43">
        <v>0</v>
      </c>
      <c r="AX147" s="43">
        <v>0</v>
      </c>
      <c r="AY147" s="43">
        <v>0</v>
      </c>
      <c r="AZ147" s="43">
        <v>0</v>
      </c>
      <c r="BA147" s="43">
        <v>0</v>
      </c>
      <c r="BB147" s="43">
        <v>0</v>
      </c>
      <c r="BC147" s="43">
        <v>0</v>
      </c>
      <c r="BD147" s="43">
        <v>0</v>
      </c>
      <c r="BE147" s="43">
        <v>0</v>
      </c>
      <c r="BF147" s="43">
        <v>0</v>
      </c>
      <c r="BG147" s="43">
        <v>0</v>
      </c>
      <c r="BH147" s="43">
        <v>0</v>
      </c>
      <c r="BI147" s="43">
        <v>0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3">
        <v>0</v>
      </c>
      <c r="BA148" s="43">
        <v>0</v>
      </c>
      <c r="BB148" s="43">
        <v>0</v>
      </c>
      <c r="BC148" s="43">
        <v>0</v>
      </c>
      <c r="BD148" s="43">
        <v>0</v>
      </c>
      <c r="BE148" s="43">
        <v>0</v>
      </c>
      <c r="BF148" s="43">
        <v>0</v>
      </c>
      <c r="BG148" s="43">
        <v>0</v>
      </c>
      <c r="BH148" s="43">
        <v>0</v>
      </c>
      <c r="BI148" s="43">
        <v>0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0</v>
      </c>
      <c r="AQ149" s="43">
        <v>0</v>
      </c>
      <c r="AR149" s="43">
        <v>0</v>
      </c>
      <c r="AS149" s="43">
        <v>0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3">
        <v>0</v>
      </c>
      <c r="BA149" s="43">
        <v>0</v>
      </c>
      <c r="BB149" s="43">
        <v>0</v>
      </c>
      <c r="BC149" s="43">
        <v>0</v>
      </c>
      <c r="BD149" s="43">
        <v>0</v>
      </c>
      <c r="BE149" s="43">
        <v>0</v>
      </c>
      <c r="BF149" s="43">
        <v>0</v>
      </c>
      <c r="BG149" s="43">
        <v>0</v>
      </c>
      <c r="BH149" s="43">
        <v>0</v>
      </c>
      <c r="BI149" s="43">
        <v>0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0</v>
      </c>
      <c r="AQ150" s="43">
        <v>0</v>
      </c>
      <c r="AR150" s="43">
        <v>0</v>
      </c>
      <c r="AS150" s="43">
        <v>0</v>
      </c>
      <c r="AT150" s="43">
        <v>0</v>
      </c>
      <c r="AU150" s="43">
        <v>0</v>
      </c>
      <c r="AV150" s="43">
        <v>0</v>
      </c>
      <c r="AW150" s="43">
        <v>0</v>
      </c>
      <c r="AX150" s="43">
        <v>0</v>
      </c>
      <c r="AY150" s="43">
        <v>0</v>
      </c>
      <c r="AZ150" s="43">
        <v>0</v>
      </c>
      <c r="BA150" s="43">
        <v>0</v>
      </c>
      <c r="BB150" s="43">
        <v>0</v>
      </c>
      <c r="BC150" s="43">
        <v>0</v>
      </c>
      <c r="BD150" s="43">
        <v>0</v>
      </c>
      <c r="BE150" s="43">
        <v>0</v>
      </c>
      <c r="BF150" s="43">
        <v>0</v>
      </c>
      <c r="BG150" s="43">
        <v>0</v>
      </c>
      <c r="BH150" s="43">
        <v>0</v>
      </c>
      <c r="BI150" s="43">
        <v>0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0</v>
      </c>
      <c r="AQ151" s="43">
        <v>0</v>
      </c>
      <c r="AR151" s="43">
        <v>0</v>
      </c>
      <c r="AS151" s="43">
        <v>0</v>
      </c>
      <c r="AT151" s="43">
        <v>0</v>
      </c>
      <c r="AU151" s="43">
        <v>0</v>
      </c>
      <c r="AV151" s="43">
        <v>0</v>
      </c>
      <c r="AW151" s="43">
        <v>0</v>
      </c>
      <c r="AX151" s="43">
        <v>0</v>
      </c>
      <c r="AY151" s="43">
        <v>0</v>
      </c>
      <c r="AZ151" s="43">
        <v>0</v>
      </c>
      <c r="BA151" s="43">
        <v>0</v>
      </c>
      <c r="BB151" s="43">
        <v>0</v>
      </c>
      <c r="BC151" s="43">
        <v>0</v>
      </c>
      <c r="BD151" s="43">
        <v>0</v>
      </c>
      <c r="BE151" s="43">
        <v>0</v>
      </c>
      <c r="BF151" s="43">
        <v>0</v>
      </c>
      <c r="BG151" s="43">
        <v>0</v>
      </c>
      <c r="BH151" s="43">
        <v>0</v>
      </c>
      <c r="BI151" s="43">
        <v>0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0</v>
      </c>
      <c r="AQ152" s="43">
        <v>0</v>
      </c>
      <c r="AR152" s="43">
        <v>0</v>
      </c>
      <c r="AS152" s="43">
        <v>0</v>
      </c>
      <c r="AT152" s="43">
        <v>0</v>
      </c>
      <c r="AU152" s="43">
        <v>0</v>
      </c>
      <c r="AV152" s="43">
        <v>0</v>
      </c>
      <c r="AW152" s="43">
        <v>0</v>
      </c>
      <c r="AX152" s="43">
        <v>0</v>
      </c>
      <c r="AY152" s="43">
        <v>0</v>
      </c>
      <c r="AZ152" s="43">
        <v>0</v>
      </c>
      <c r="BA152" s="43">
        <v>0</v>
      </c>
      <c r="BB152" s="43">
        <v>0</v>
      </c>
      <c r="BC152" s="43">
        <v>0</v>
      </c>
      <c r="BD152" s="43">
        <v>0</v>
      </c>
      <c r="BE152" s="43">
        <v>0</v>
      </c>
      <c r="BF152" s="43">
        <v>0</v>
      </c>
      <c r="BG152" s="43">
        <v>0</v>
      </c>
      <c r="BH152" s="43">
        <v>0</v>
      </c>
      <c r="BI152" s="43">
        <v>0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0</v>
      </c>
      <c r="AQ153" s="43">
        <v>0</v>
      </c>
      <c r="AR153" s="43">
        <v>0</v>
      </c>
      <c r="AS153" s="43">
        <v>0</v>
      </c>
      <c r="AT153" s="43">
        <v>0</v>
      </c>
      <c r="AU153" s="43">
        <v>0</v>
      </c>
      <c r="AV153" s="43">
        <v>0</v>
      </c>
      <c r="AW153" s="43">
        <v>0</v>
      </c>
      <c r="AX153" s="43">
        <v>0</v>
      </c>
      <c r="AY153" s="43">
        <v>0</v>
      </c>
      <c r="AZ153" s="43">
        <v>0</v>
      </c>
      <c r="BA153" s="43">
        <v>0</v>
      </c>
      <c r="BB153" s="43">
        <v>0</v>
      </c>
      <c r="BC153" s="43">
        <v>0</v>
      </c>
      <c r="BD153" s="43">
        <v>0</v>
      </c>
      <c r="BE153" s="43">
        <v>0</v>
      </c>
      <c r="BF153" s="43">
        <v>0</v>
      </c>
      <c r="BG153" s="43">
        <v>0</v>
      </c>
      <c r="BH153" s="43">
        <v>0</v>
      </c>
      <c r="BI153" s="43">
        <v>0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0</v>
      </c>
      <c r="AQ154" s="43">
        <v>0</v>
      </c>
      <c r="AR154" s="43">
        <v>0</v>
      </c>
      <c r="AS154" s="43">
        <v>0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3">
        <v>0</v>
      </c>
      <c r="BA154" s="43">
        <v>0</v>
      </c>
      <c r="BB154" s="43">
        <v>0</v>
      </c>
      <c r="BC154" s="43">
        <v>0</v>
      </c>
      <c r="BD154" s="43">
        <v>0</v>
      </c>
      <c r="BE154" s="43">
        <v>0</v>
      </c>
      <c r="BF154" s="43">
        <v>0</v>
      </c>
      <c r="BG154" s="43">
        <v>0</v>
      </c>
      <c r="BH154" s="43">
        <v>0</v>
      </c>
      <c r="BI154" s="43">
        <v>0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0</v>
      </c>
      <c r="AQ156" s="43">
        <v>0</v>
      </c>
      <c r="AR156" s="43">
        <v>0</v>
      </c>
      <c r="AS156" s="43">
        <v>0</v>
      </c>
      <c r="AT156" s="43">
        <v>0</v>
      </c>
      <c r="AU156" s="43">
        <v>0</v>
      </c>
      <c r="AV156" s="43">
        <v>0</v>
      </c>
      <c r="AW156" s="43">
        <v>0</v>
      </c>
      <c r="AX156" s="43">
        <v>0</v>
      </c>
      <c r="AY156" s="43">
        <v>0</v>
      </c>
      <c r="AZ156" s="43">
        <v>0</v>
      </c>
      <c r="BA156" s="43">
        <v>0</v>
      </c>
      <c r="BB156" s="43">
        <v>0</v>
      </c>
      <c r="BC156" s="43">
        <v>0</v>
      </c>
      <c r="BD156" s="43">
        <v>0</v>
      </c>
      <c r="BE156" s="43">
        <v>0</v>
      </c>
      <c r="BF156" s="43">
        <v>0</v>
      </c>
      <c r="BG156" s="43">
        <v>0</v>
      </c>
      <c r="BH156" s="43">
        <v>0</v>
      </c>
      <c r="BI156" s="43">
        <v>0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0</v>
      </c>
      <c r="AQ157" s="43">
        <v>0</v>
      </c>
      <c r="AR157" s="43">
        <v>0</v>
      </c>
      <c r="AS157" s="43">
        <v>0</v>
      </c>
      <c r="AT157" s="43">
        <v>0</v>
      </c>
      <c r="AU157" s="43">
        <v>0</v>
      </c>
      <c r="AV157" s="43">
        <v>0</v>
      </c>
      <c r="AW157" s="43">
        <v>0</v>
      </c>
      <c r="AX157" s="43">
        <v>0</v>
      </c>
      <c r="AY157" s="43">
        <v>0</v>
      </c>
      <c r="AZ157" s="43">
        <v>0</v>
      </c>
      <c r="BA157" s="43">
        <v>0</v>
      </c>
      <c r="BB157" s="43">
        <v>0</v>
      </c>
      <c r="BC157" s="43">
        <v>0</v>
      </c>
      <c r="BD157" s="43">
        <v>0</v>
      </c>
      <c r="BE157" s="43">
        <v>0</v>
      </c>
      <c r="BF157" s="43">
        <v>0</v>
      </c>
      <c r="BG157" s="43">
        <v>0</v>
      </c>
      <c r="BH157" s="43">
        <v>0</v>
      </c>
      <c r="BI157" s="43">
        <v>0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0</v>
      </c>
      <c r="AQ159" s="43">
        <v>0</v>
      </c>
      <c r="AR159" s="43">
        <v>0</v>
      </c>
      <c r="AS159" s="43">
        <v>0</v>
      </c>
      <c r="AT159" s="43">
        <v>0</v>
      </c>
      <c r="AU159" s="43">
        <v>0</v>
      </c>
      <c r="AV159" s="43">
        <v>0</v>
      </c>
      <c r="AW159" s="43">
        <v>0</v>
      </c>
      <c r="AX159" s="43">
        <v>0</v>
      </c>
      <c r="AY159" s="43">
        <v>0</v>
      </c>
      <c r="AZ159" s="43">
        <v>0</v>
      </c>
      <c r="BA159" s="43">
        <v>0</v>
      </c>
      <c r="BB159" s="43">
        <v>0</v>
      </c>
      <c r="BC159" s="43">
        <v>0</v>
      </c>
      <c r="BD159" s="43">
        <v>0</v>
      </c>
      <c r="BE159" s="43">
        <v>0</v>
      </c>
      <c r="BF159" s="43">
        <v>0</v>
      </c>
      <c r="BG159" s="43">
        <v>0</v>
      </c>
      <c r="BH159" s="43">
        <v>0</v>
      </c>
      <c r="BI159" s="43">
        <v>0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0</v>
      </c>
      <c r="AQ160" s="43">
        <v>0</v>
      </c>
      <c r="AR160" s="43">
        <v>0</v>
      </c>
      <c r="AS160" s="43">
        <v>0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3">
        <v>0</v>
      </c>
      <c r="BA160" s="43">
        <v>0</v>
      </c>
      <c r="BB160" s="43">
        <v>0</v>
      </c>
      <c r="BC160" s="43">
        <v>0</v>
      </c>
      <c r="BD160" s="43">
        <v>0</v>
      </c>
      <c r="BE160" s="43">
        <v>0</v>
      </c>
      <c r="BF160" s="43">
        <v>0</v>
      </c>
      <c r="BG160" s="43">
        <v>0</v>
      </c>
      <c r="BH160" s="43">
        <v>0</v>
      </c>
      <c r="BI160" s="43">
        <v>0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0</v>
      </c>
      <c r="AQ161" s="43">
        <v>0</v>
      </c>
      <c r="AR161" s="43">
        <v>0</v>
      </c>
      <c r="AS161" s="43">
        <v>0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3">
        <v>0</v>
      </c>
      <c r="BA161" s="43">
        <v>0</v>
      </c>
      <c r="BB161" s="43">
        <v>0</v>
      </c>
      <c r="BC161" s="43">
        <v>0</v>
      </c>
      <c r="BD161" s="43">
        <v>0</v>
      </c>
      <c r="BE161" s="43">
        <v>0</v>
      </c>
      <c r="BF161" s="43">
        <v>0</v>
      </c>
      <c r="BG161" s="43">
        <v>0</v>
      </c>
      <c r="BH161" s="43">
        <v>0</v>
      </c>
      <c r="BI161" s="43">
        <v>0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0</v>
      </c>
      <c r="AQ162" s="43">
        <v>0</v>
      </c>
      <c r="AR162" s="43">
        <v>0</v>
      </c>
      <c r="AS162" s="43">
        <v>0</v>
      </c>
      <c r="AT162" s="43">
        <v>0</v>
      </c>
      <c r="AU162" s="43">
        <v>0</v>
      </c>
      <c r="AV162" s="43">
        <v>0</v>
      </c>
      <c r="AW162" s="43">
        <v>0</v>
      </c>
      <c r="AX162" s="43">
        <v>0</v>
      </c>
      <c r="AY162" s="43">
        <v>0</v>
      </c>
      <c r="AZ162" s="43">
        <v>0</v>
      </c>
      <c r="BA162" s="43">
        <v>0</v>
      </c>
      <c r="BB162" s="43">
        <v>0</v>
      </c>
      <c r="BC162" s="43">
        <v>0</v>
      </c>
      <c r="BD162" s="43">
        <v>0</v>
      </c>
      <c r="BE162" s="43">
        <v>0</v>
      </c>
      <c r="BF162" s="43">
        <v>0</v>
      </c>
      <c r="BG162" s="43">
        <v>0</v>
      </c>
      <c r="BH162" s="43">
        <v>0</v>
      </c>
      <c r="BI162" s="43">
        <v>0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0</v>
      </c>
      <c r="AQ163" s="43">
        <v>0</v>
      </c>
      <c r="AR163" s="43">
        <v>0</v>
      </c>
      <c r="AS163" s="43">
        <v>0</v>
      </c>
      <c r="AT163" s="43">
        <v>0</v>
      </c>
      <c r="AU163" s="43">
        <v>0</v>
      </c>
      <c r="AV163" s="43">
        <v>0</v>
      </c>
      <c r="AW163" s="43">
        <v>0</v>
      </c>
      <c r="AX163" s="43">
        <v>0</v>
      </c>
      <c r="AY163" s="43">
        <v>0</v>
      </c>
      <c r="AZ163" s="43">
        <v>0</v>
      </c>
      <c r="BA163" s="43">
        <v>0</v>
      </c>
      <c r="BB163" s="43">
        <v>0</v>
      </c>
      <c r="BC163" s="43">
        <v>0</v>
      </c>
      <c r="BD163" s="43">
        <v>0</v>
      </c>
      <c r="BE163" s="43">
        <v>0</v>
      </c>
      <c r="BF163" s="43">
        <v>0</v>
      </c>
      <c r="BG163" s="43">
        <v>0</v>
      </c>
      <c r="BH163" s="43">
        <v>0</v>
      </c>
      <c r="BI163" s="43">
        <v>0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0</v>
      </c>
      <c r="AQ164" s="43">
        <v>0</v>
      </c>
      <c r="AR164" s="43">
        <v>0</v>
      </c>
      <c r="AS164" s="43">
        <v>0</v>
      </c>
      <c r="AT164" s="43">
        <v>0</v>
      </c>
      <c r="AU164" s="43">
        <v>0</v>
      </c>
      <c r="AV164" s="43">
        <v>0</v>
      </c>
      <c r="AW164" s="43">
        <v>0</v>
      </c>
      <c r="AX164" s="43">
        <v>0</v>
      </c>
      <c r="AY164" s="43">
        <v>0</v>
      </c>
      <c r="AZ164" s="43">
        <v>0</v>
      </c>
      <c r="BA164" s="43">
        <v>0</v>
      </c>
      <c r="BB164" s="43">
        <v>0</v>
      </c>
      <c r="BC164" s="43">
        <v>0</v>
      </c>
      <c r="BD164" s="43">
        <v>0</v>
      </c>
      <c r="BE164" s="43">
        <v>0</v>
      </c>
      <c r="BF164" s="43">
        <v>0</v>
      </c>
      <c r="BG164" s="43">
        <v>0</v>
      </c>
      <c r="BH164" s="43">
        <v>0</v>
      </c>
      <c r="BI164" s="43">
        <v>0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43">
        <v>0</v>
      </c>
      <c r="BH165" s="43">
        <v>0</v>
      </c>
      <c r="BI165" s="43">
        <v>0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0</v>
      </c>
      <c r="AQ166" s="43">
        <v>0</v>
      </c>
      <c r="AR166" s="43">
        <v>0</v>
      </c>
      <c r="AS166" s="43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3">
        <v>0</v>
      </c>
      <c r="BA166" s="43">
        <v>0</v>
      </c>
      <c r="BB166" s="43">
        <v>0</v>
      </c>
      <c r="BC166" s="43">
        <v>0</v>
      </c>
      <c r="BD166" s="43">
        <v>0</v>
      </c>
      <c r="BE166" s="43">
        <v>0</v>
      </c>
      <c r="BF166" s="43">
        <v>0</v>
      </c>
      <c r="BG166" s="43">
        <v>0</v>
      </c>
      <c r="BH166" s="43">
        <v>0</v>
      </c>
      <c r="BI166" s="43">
        <v>0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0</v>
      </c>
      <c r="AQ167" s="43">
        <v>0</v>
      </c>
      <c r="AR167" s="43">
        <v>0</v>
      </c>
      <c r="AS167" s="43">
        <v>0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3">
        <v>0</v>
      </c>
      <c r="BA167" s="43">
        <v>0</v>
      </c>
      <c r="BB167" s="43">
        <v>0</v>
      </c>
      <c r="BC167" s="43">
        <v>0</v>
      </c>
      <c r="BD167" s="43">
        <v>0</v>
      </c>
      <c r="BE167" s="43">
        <v>0</v>
      </c>
      <c r="BF167" s="43">
        <v>0</v>
      </c>
      <c r="BG167" s="43">
        <v>0</v>
      </c>
      <c r="BH167" s="43">
        <v>0</v>
      </c>
      <c r="BI167" s="43">
        <v>0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0</v>
      </c>
      <c r="AQ168" s="43">
        <v>0</v>
      </c>
      <c r="AR168" s="43">
        <v>0</v>
      </c>
      <c r="AS168" s="43">
        <v>0</v>
      </c>
      <c r="AT168" s="43">
        <v>0</v>
      </c>
      <c r="AU168" s="43">
        <v>0</v>
      </c>
      <c r="AV168" s="43">
        <v>0</v>
      </c>
      <c r="AW168" s="43">
        <v>0</v>
      </c>
      <c r="AX168" s="43">
        <v>0</v>
      </c>
      <c r="AY168" s="43">
        <v>0</v>
      </c>
      <c r="AZ168" s="43">
        <v>0</v>
      </c>
      <c r="BA168" s="43">
        <v>0</v>
      </c>
      <c r="BB168" s="43">
        <v>0</v>
      </c>
      <c r="BC168" s="43">
        <v>0</v>
      </c>
      <c r="BD168" s="43">
        <v>0</v>
      </c>
      <c r="BE168" s="43">
        <v>0</v>
      </c>
      <c r="BF168" s="43">
        <v>0</v>
      </c>
      <c r="BG168" s="43">
        <v>0</v>
      </c>
      <c r="BH168" s="43">
        <v>0</v>
      </c>
      <c r="BI168" s="43">
        <v>0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0</v>
      </c>
      <c r="AQ169" s="43">
        <v>0</v>
      </c>
      <c r="AR169" s="43">
        <v>0</v>
      </c>
      <c r="AS169" s="43">
        <v>0</v>
      </c>
      <c r="AT169" s="43">
        <v>0</v>
      </c>
      <c r="AU169" s="43">
        <v>0</v>
      </c>
      <c r="AV169" s="43">
        <v>0</v>
      </c>
      <c r="AW169" s="43">
        <v>0</v>
      </c>
      <c r="AX169" s="43">
        <v>0</v>
      </c>
      <c r="AY169" s="43">
        <v>0</v>
      </c>
      <c r="AZ169" s="43">
        <v>0</v>
      </c>
      <c r="BA169" s="43">
        <v>0</v>
      </c>
      <c r="BB169" s="43">
        <v>0</v>
      </c>
      <c r="BC169" s="43">
        <v>0</v>
      </c>
      <c r="BD169" s="43">
        <v>0</v>
      </c>
      <c r="BE169" s="43">
        <v>0</v>
      </c>
      <c r="BF169" s="43">
        <v>0</v>
      </c>
      <c r="BG169" s="43">
        <v>0</v>
      </c>
      <c r="BH169" s="43">
        <v>0</v>
      </c>
      <c r="BI169" s="43">
        <v>0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43">
        <v>0</v>
      </c>
      <c r="AY170" s="43">
        <v>0</v>
      </c>
      <c r="AZ170" s="43">
        <v>0</v>
      </c>
      <c r="BA170" s="43">
        <v>0</v>
      </c>
      <c r="BB170" s="43">
        <v>0</v>
      </c>
      <c r="BC170" s="43">
        <v>0</v>
      </c>
      <c r="BD170" s="43">
        <v>0</v>
      </c>
      <c r="BE170" s="43">
        <v>0</v>
      </c>
      <c r="BF170" s="43">
        <v>0</v>
      </c>
      <c r="BG170" s="43">
        <v>0</v>
      </c>
      <c r="BH170" s="43">
        <v>0</v>
      </c>
      <c r="BI170" s="43">
        <v>0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0</v>
      </c>
      <c r="AQ171" s="43">
        <v>0</v>
      </c>
      <c r="AR171" s="43">
        <v>0</v>
      </c>
      <c r="AS171" s="43">
        <v>0</v>
      </c>
      <c r="AT171" s="43">
        <v>0</v>
      </c>
      <c r="AU171" s="43">
        <v>0</v>
      </c>
      <c r="AV171" s="43">
        <v>0</v>
      </c>
      <c r="AW171" s="43">
        <v>0</v>
      </c>
      <c r="AX171" s="43">
        <v>0</v>
      </c>
      <c r="AY171" s="43">
        <v>0</v>
      </c>
      <c r="AZ171" s="43">
        <v>0</v>
      </c>
      <c r="BA171" s="43">
        <v>0</v>
      </c>
      <c r="BB171" s="43">
        <v>0</v>
      </c>
      <c r="BC171" s="43">
        <v>0</v>
      </c>
      <c r="BD171" s="43">
        <v>0</v>
      </c>
      <c r="BE171" s="43">
        <v>0</v>
      </c>
      <c r="BF171" s="43">
        <v>0</v>
      </c>
      <c r="BG171" s="43">
        <v>0</v>
      </c>
      <c r="BH171" s="43">
        <v>0</v>
      </c>
      <c r="BI171" s="43">
        <v>0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0</v>
      </c>
      <c r="AQ172" s="43">
        <v>0</v>
      </c>
      <c r="AR172" s="43">
        <v>0</v>
      </c>
      <c r="AS172" s="43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3">
        <v>0</v>
      </c>
      <c r="BA172" s="43">
        <v>0</v>
      </c>
      <c r="BB172" s="43">
        <v>0</v>
      </c>
      <c r="BC172" s="43">
        <v>0</v>
      </c>
      <c r="BD172" s="43">
        <v>0</v>
      </c>
      <c r="BE172" s="43">
        <v>0</v>
      </c>
      <c r="BF172" s="43">
        <v>0</v>
      </c>
      <c r="BG172" s="43">
        <v>0</v>
      </c>
      <c r="BH172" s="43">
        <v>0</v>
      </c>
      <c r="BI172" s="43">
        <v>0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0</v>
      </c>
      <c r="AQ173" s="43">
        <v>0</v>
      </c>
      <c r="AR173" s="43">
        <v>0</v>
      </c>
      <c r="AS173" s="43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3">
        <v>0</v>
      </c>
      <c r="BA173" s="43">
        <v>0</v>
      </c>
      <c r="BB173" s="43">
        <v>0</v>
      </c>
      <c r="BC173" s="43">
        <v>0</v>
      </c>
      <c r="BD173" s="43">
        <v>0</v>
      </c>
      <c r="BE173" s="43">
        <v>0</v>
      </c>
      <c r="BF173" s="43">
        <v>0</v>
      </c>
      <c r="BG173" s="43">
        <v>0</v>
      </c>
      <c r="BH173" s="43">
        <v>0</v>
      </c>
      <c r="BI173" s="43">
        <v>0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0</v>
      </c>
      <c r="AQ174" s="43">
        <v>0</v>
      </c>
      <c r="AR174" s="43">
        <v>0</v>
      </c>
      <c r="AS174" s="43">
        <v>0</v>
      </c>
      <c r="AT174" s="43">
        <v>0</v>
      </c>
      <c r="AU174" s="43">
        <v>0</v>
      </c>
      <c r="AV174" s="43">
        <v>0</v>
      </c>
      <c r="AW174" s="43">
        <v>0</v>
      </c>
      <c r="AX174" s="43">
        <v>0</v>
      </c>
      <c r="AY174" s="43">
        <v>0</v>
      </c>
      <c r="AZ174" s="43">
        <v>0</v>
      </c>
      <c r="BA174" s="43">
        <v>0</v>
      </c>
      <c r="BB174" s="43">
        <v>0</v>
      </c>
      <c r="BC174" s="43">
        <v>0</v>
      </c>
      <c r="BD174" s="43">
        <v>0</v>
      </c>
      <c r="BE174" s="43">
        <v>0</v>
      </c>
      <c r="BF174" s="43">
        <v>0</v>
      </c>
      <c r="BG174" s="43">
        <v>0</v>
      </c>
      <c r="BH174" s="43">
        <v>0</v>
      </c>
      <c r="BI174" s="43">
        <v>0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0</v>
      </c>
      <c r="AQ175" s="43">
        <v>0</v>
      </c>
      <c r="AR175" s="43">
        <v>0</v>
      </c>
      <c r="AS175" s="43">
        <v>0</v>
      </c>
      <c r="AT175" s="43">
        <v>0</v>
      </c>
      <c r="AU175" s="43">
        <v>0</v>
      </c>
      <c r="AV175" s="43">
        <v>0</v>
      </c>
      <c r="AW175" s="43">
        <v>0</v>
      </c>
      <c r="AX175" s="43">
        <v>0</v>
      </c>
      <c r="AY175" s="43">
        <v>0</v>
      </c>
      <c r="AZ175" s="43">
        <v>0</v>
      </c>
      <c r="BA175" s="43">
        <v>0</v>
      </c>
      <c r="BB175" s="43">
        <v>0</v>
      </c>
      <c r="BC175" s="43">
        <v>0</v>
      </c>
      <c r="BD175" s="43">
        <v>0</v>
      </c>
      <c r="BE175" s="43">
        <v>0</v>
      </c>
      <c r="BF175" s="43">
        <v>0</v>
      </c>
      <c r="BG175" s="43">
        <v>0</v>
      </c>
      <c r="BH175" s="43">
        <v>0</v>
      </c>
      <c r="BI175" s="43">
        <v>0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0</v>
      </c>
      <c r="AQ176" s="43">
        <v>0</v>
      </c>
      <c r="AR176" s="43">
        <v>0</v>
      </c>
      <c r="AS176" s="43">
        <v>0</v>
      </c>
      <c r="AT176" s="43">
        <v>0</v>
      </c>
      <c r="AU176" s="43">
        <v>0</v>
      </c>
      <c r="AV176" s="43">
        <v>0</v>
      </c>
      <c r="AW176" s="43">
        <v>0</v>
      </c>
      <c r="AX176" s="43">
        <v>0</v>
      </c>
      <c r="AY176" s="43">
        <v>0</v>
      </c>
      <c r="AZ176" s="43">
        <v>0</v>
      </c>
      <c r="BA176" s="43">
        <v>0</v>
      </c>
      <c r="BB176" s="43">
        <v>0</v>
      </c>
      <c r="BC176" s="43">
        <v>0</v>
      </c>
      <c r="BD176" s="43">
        <v>0</v>
      </c>
      <c r="BE176" s="43">
        <v>0</v>
      </c>
      <c r="BF176" s="43">
        <v>0</v>
      </c>
      <c r="BG176" s="43">
        <v>0</v>
      </c>
      <c r="BH176" s="43">
        <v>0</v>
      </c>
      <c r="BI176" s="43">
        <v>0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0</v>
      </c>
      <c r="AQ177" s="43">
        <v>0</v>
      </c>
      <c r="AR177" s="43">
        <v>0</v>
      </c>
      <c r="AS177" s="43">
        <v>0</v>
      </c>
      <c r="AT177" s="43">
        <v>0</v>
      </c>
      <c r="AU177" s="43">
        <v>0</v>
      </c>
      <c r="AV177" s="43">
        <v>0</v>
      </c>
      <c r="AW177" s="43">
        <v>0</v>
      </c>
      <c r="AX177" s="43">
        <v>0</v>
      </c>
      <c r="AY177" s="43">
        <v>0</v>
      </c>
      <c r="AZ177" s="43">
        <v>0</v>
      </c>
      <c r="BA177" s="43">
        <v>0</v>
      </c>
      <c r="BB177" s="43">
        <v>0</v>
      </c>
      <c r="BC177" s="43">
        <v>0</v>
      </c>
      <c r="BD177" s="43">
        <v>0</v>
      </c>
      <c r="BE177" s="43">
        <v>0</v>
      </c>
      <c r="BF177" s="43">
        <v>0</v>
      </c>
      <c r="BG177" s="43">
        <v>0</v>
      </c>
      <c r="BH177" s="43">
        <v>0</v>
      </c>
      <c r="BI177" s="43">
        <v>0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0</v>
      </c>
      <c r="AQ178" s="43">
        <v>0</v>
      </c>
      <c r="AR178" s="43">
        <v>0</v>
      </c>
      <c r="AS178" s="43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3">
        <v>0</v>
      </c>
      <c r="BA178" s="43">
        <v>0</v>
      </c>
      <c r="BB178" s="43">
        <v>0</v>
      </c>
      <c r="BC178" s="43">
        <v>0</v>
      </c>
      <c r="BD178" s="43">
        <v>0</v>
      </c>
      <c r="BE178" s="43">
        <v>0</v>
      </c>
      <c r="BF178" s="43">
        <v>0</v>
      </c>
      <c r="BG178" s="43">
        <v>0</v>
      </c>
      <c r="BH178" s="43">
        <v>0</v>
      </c>
      <c r="BI178" s="43">
        <v>0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0</v>
      </c>
      <c r="AQ179" s="43">
        <v>0</v>
      </c>
      <c r="AR179" s="43">
        <v>0</v>
      </c>
      <c r="AS179" s="43">
        <v>0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3">
        <v>0</v>
      </c>
      <c r="BA179" s="43">
        <v>0</v>
      </c>
      <c r="BB179" s="43">
        <v>0</v>
      </c>
      <c r="BC179" s="43">
        <v>0</v>
      </c>
      <c r="BD179" s="43">
        <v>0</v>
      </c>
      <c r="BE179" s="43">
        <v>0</v>
      </c>
      <c r="BF179" s="43">
        <v>0</v>
      </c>
      <c r="BG179" s="43">
        <v>0</v>
      </c>
      <c r="BH179" s="43">
        <v>0</v>
      </c>
      <c r="BI179" s="43">
        <v>0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0</v>
      </c>
      <c r="AQ180" s="43">
        <v>0</v>
      </c>
      <c r="AR180" s="43">
        <v>0</v>
      </c>
      <c r="AS180" s="43">
        <v>0</v>
      </c>
      <c r="AT180" s="43">
        <v>0</v>
      </c>
      <c r="AU180" s="43">
        <v>0</v>
      </c>
      <c r="AV180" s="43">
        <v>0</v>
      </c>
      <c r="AW180" s="43">
        <v>0</v>
      </c>
      <c r="AX180" s="43">
        <v>0</v>
      </c>
      <c r="AY180" s="43">
        <v>0</v>
      </c>
      <c r="AZ180" s="43">
        <v>0</v>
      </c>
      <c r="BA180" s="43">
        <v>0</v>
      </c>
      <c r="BB180" s="43">
        <v>0</v>
      </c>
      <c r="BC180" s="43">
        <v>0</v>
      </c>
      <c r="BD180" s="43">
        <v>0</v>
      </c>
      <c r="BE180" s="43">
        <v>0</v>
      </c>
      <c r="BF180" s="43">
        <v>0</v>
      </c>
      <c r="BG180" s="43">
        <v>0</v>
      </c>
      <c r="BH180" s="43">
        <v>0</v>
      </c>
      <c r="BI180" s="43">
        <v>0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0</v>
      </c>
      <c r="AQ181" s="43">
        <v>0</v>
      </c>
      <c r="AR181" s="43">
        <v>0</v>
      </c>
      <c r="AS181" s="43">
        <v>0</v>
      </c>
      <c r="AT181" s="43">
        <v>0</v>
      </c>
      <c r="AU181" s="43">
        <v>0</v>
      </c>
      <c r="AV181" s="43">
        <v>0</v>
      </c>
      <c r="AW181" s="43">
        <v>0</v>
      </c>
      <c r="AX181" s="43">
        <v>0</v>
      </c>
      <c r="AY181" s="43">
        <v>0</v>
      </c>
      <c r="AZ181" s="43">
        <v>0</v>
      </c>
      <c r="BA181" s="43">
        <v>0</v>
      </c>
      <c r="BB181" s="43">
        <v>0</v>
      </c>
      <c r="BC181" s="43">
        <v>0</v>
      </c>
      <c r="BD181" s="43">
        <v>0</v>
      </c>
      <c r="BE181" s="43">
        <v>0</v>
      </c>
      <c r="BF181" s="43">
        <v>0</v>
      </c>
      <c r="BG181" s="43">
        <v>0</v>
      </c>
      <c r="BH181" s="43">
        <v>0</v>
      </c>
      <c r="BI181" s="43">
        <v>0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0</v>
      </c>
      <c r="AQ182" s="43">
        <v>0</v>
      </c>
      <c r="AR182" s="43">
        <v>0</v>
      </c>
      <c r="AS182" s="43">
        <v>0</v>
      </c>
      <c r="AT182" s="43">
        <v>0</v>
      </c>
      <c r="AU182" s="43">
        <v>0</v>
      </c>
      <c r="AV182" s="43">
        <v>0</v>
      </c>
      <c r="AW182" s="43">
        <v>0</v>
      </c>
      <c r="AX182" s="43">
        <v>0</v>
      </c>
      <c r="AY182" s="43">
        <v>0</v>
      </c>
      <c r="AZ182" s="43">
        <v>0</v>
      </c>
      <c r="BA182" s="43">
        <v>0</v>
      </c>
      <c r="BB182" s="43">
        <v>0</v>
      </c>
      <c r="BC182" s="43">
        <v>0</v>
      </c>
      <c r="BD182" s="43">
        <v>0</v>
      </c>
      <c r="BE182" s="43">
        <v>0</v>
      </c>
      <c r="BF182" s="43">
        <v>0</v>
      </c>
      <c r="BG182" s="43">
        <v>0</v>
      </c>
      <c r="BH182" s="43">
        <v>0</v>
      </c>
      <c r="BI182" s="43">
        <v>0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9" t="s">
        <v>187</v>
      </c>
      <c r="B189" s="123" t="s">
        <v>262</v>
      </c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5"/>
      <c r="V189" s="123" t="s">
        <v>263</v>
      </c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4"/>
      <c r="AJ189" s="124"/>
      <c r="AK189" s="124"/>
      <c r="AL189" s="124"/>
      <c r="AM189" s="124"/>
      <c r="AN189" s="124"/>
      <c r="AO189" s="125"/>
    </row>
    <row r="190" spans="1:161" x14ac:dyDescent="0.15">
      <c r="A190" s="130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323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318</v>
      </c>
      <c r="AQ192" s="65" t="s">
        <v>317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228</v>
      </c>
    </row>
    <row r="194" spans="1:42" x14ac:dyDescent="0.15">
      <c r="V194" s="100">
        <f>(V193-V192)/1000</f>
        <v>2.222645</v>
      </c>
      <c r="W194" s="100">
        <f t="shared" ref="W194:AO194" si="3">(W193-W192)/1000</f>
        <v>0.88192399999999993</v>
      </c>
      <c r="X194" s="100">
        <f t="shared" si="3"/>
        <v>0.83789899999999984</v>
      </c>
      <c r="Y194" s="100">
        <f t="shared" si="3"/>
        <v>2.2671959999999998</v>
      </c>
      <c r="Z194" s="100">
        <f t="shared" si="3"/>
        <v>3.0948520000000008</v>
      </c>
      <c r="AA194" s="100">
        <f t="shared" si="3"/>
        <v>2.4515630000000002</v>
      </c>
      <c r="AB194" s="100">
        <f t="shared" si="3"/>
        <v>2.7807539999999999</v>
      </c>
      <c r="AC194" s="100">
        <f t="shared" si="3"/>
        <v>1.7573410000000003</v>
      </c>
      <c r="AD194" s="100">
        <f t="shared" si="3"/>
        <v>4.4625079999999988</v>
      </c>
      <c r="AE194" s="100">
        <f t="shared" si="3"/>
        <v>6.3181420000000017</v>
      </c>
      <c r="AF194" s="100">
        <f t="shared" si="3"/>
        <v>2.1411089999999997</v>
      </c>
      <c r="AG194" s="100">
        <f t="shared" si="3"/>
        <v>4.382422</v>
      </c>
      <c r="AH194" s="100">
        <f t="shared" si="3"/>
        <v>2.5497670000000006</v>
      </c>
      <c r="AI194" s="100">
        <f t="shared" si="3"/>
        <v>2.774</v>
      </c>
      <c r="AJ194" s="100">
        <f t="shared" si="3"/>
        <v>2.4595509999999994</v>
      </c>
      <c r="AK194" s="100">
        <f t="shared" si="3"/>
        <v>2.9301089999999999</v>
      </c>
      <c r="AL194" s="100">
        <f t="shared" si="3"/>
        <v>2.2659370000000005</v>
      </c>
      <c r="AM194" s="100">
        <f t="shared" si="3"/>
        <v>0.27049799999999957</v>
      </c>
      <c r="AN194" s="100">
        <f t="shared" si="3"/>
        <v>2.357504</v>
      </c>
      <c r="AO194" s="100">
        <f t="shared" si="3"/>
        <v>2.0483159999999998</v>
      </c>
    </row>
    <row r="195" spans="1:42" x14ac:dyDescent="0.15">
      <c r="V195" s="131" t="s">
        <v>319</v>
      </c>
      <c r="W195" s="131"/>
      <c r="X195" s="131"/>
      <c r="Y195" s="131"/>
      <c r="Z195" s="131"/>
      <c r="AA195" s="131" t="s">
        <v>320</v>
      </c>
      <c r="AB195" s="131"/>
      <c r="AC195" s="131"/>
      <c r="AD195" s="131"/>
      <c r="AE195" s="131"/>
      <c r="AF195" s="131" t="s">
        <v>321</v>
      </c>
      <c r="AG195" s="131"/>
      <c r="AH195" s="131"/>
      <c r="AI195" s="131"/>
      <c r="AJ195" s="131"/>
      <c r="AK195" s="131" t="s">
        <v>322</v>
      </c>
      <c r="AL195" s="131"/>
      <c r="AM195" s="131"/>
      <c r="AN195" s="131"/>
      <c r="AO195" s="131"/>
    </row>
    <row r="197" spans="1:42" x14ac:dyDescent="0.15">
      <c r="A197" s="46" t="s">
        <v>94</v>
      </c>
      <c r="B197" s="123" t="s">
        <v>206</v>
      </c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5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29" t="s">
        <v>187</v>
      </c>
      <c r="B201" s="123" t="s">
        <v>226</v>
      </c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5"/>
    </row>
    <row r="202" spans="1:42" x14ac:dyDescent="0.15">
      <c r="A202" s="130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227</v>
      </c>
      <c r="B203" s="42">
        <v>35</v>
      </c>
      <c r="C203" s="42">
        <v>32</v>
      </c>
      <c r="D203" s="42">
        <v>35</v>
      </c>
      <c r="E203" s="42">
        <v>32</v>
      </c>
      <c r="F203" s="42">
        <v>38</v>
      </c>
      <c r="G203" s="42">
        <v>21</v>
      </c>
      <c r="H203" s="48">
        <f>G204</f>
        <v>30</v>
      </c>
      <c r="I203" s="48">
        <f>H204</f>
        <v>30</v>
      </c>
      <c r="J203" s="42">
        <v>37</v>
      </c>
      <c r="K203" s="42">
        <v>36</v>
      </c>
      <c r="L203" s="42">
        <v>36</v>
      </c>
      <c r="M203" s="42">
        <v>43</v>
      </c>
      <c r="N203" s="42">
        <v>35</v>
      </c>
      <c r="O203" s="48">
        <f>N204</f>
        <v>39</v>
      </c>
      <c r="P203" s="48">
        <f>O204</f>
        <v>48</v>
      </c>
      <c r="Q203" s="42">
        <v>26</v>
      </c>
      <c r="R203" s="42">
        <v>36</v>
      </c>
      <c r="S203" s="42">
        <v>32</v>
      </c>
      <c r="T203" s="42">
        <v>21</v>
      </c>
      <c r="U203" s="48">
        <f>T204</f>
        <v>14</v>
      </c>
    </row>
    <row r="204" spans="1:42" x14ac:dyDescent="0.15">
      <c r="A204" s="46" t="s">
        <v>228</v>
      </c>
      <c r="B204" s="42">
        <v>31</v>
      </c>
      <c r="C204" s="42">
        <v>33</v>
      </c>
      <c r="D204" s="42">
        <v>37</v>
      </c>
      <c r="E204" s="42">
        <v>30</v>
      </c>
      <c r="F204" s="42">
        <v>21</v>
      </c>
      <c r="G204" s="42">
        <v>30</v>
      </c>
      <c r="H204" s="42">
        <v>30</v>
      </c>
      <c r="I204" s="42">
        <v>35</v>
      </c>
      <c r="J204" s="42">
        <v>39</v>
      </c>
      <c r="K204" s="42">
        <v>47</v>
      </c>
      <c r="L204" s="42">
        <v>36</v>
      </c>
      <c r="M204" s="42">
        <v>54</v>
      </c>
      <c r="N204" s="42">
        <v>39</v>
      </c>
      <c r="O204" s="42">
        <v>48</v>
      </c>
      <c r="P204" s="42">
        <v>30</v>
      </c>
      <c r="Q204" s="42">
        <v>39</v>
      </c>
      <c r="R204" s="42">
        <v>29</v>
      </c>
      <c r="S204" s="42">
        <v>30</v>
      </c>
      <c r="T204" s="42">
        <v>14</v>
      </c>
      <c r="U204" s="42">
        <v>15</v>
      </c>
    </row>
    <row r="205" spans="1:42" x14ac:dyDescent="0.15">
      <c r="A205" s="46">
        <v>0</v>
      </c>
      <c r="B205" s="43">
        <v>17</v>
      </c>
      <c r="C205" s="43">
        <v>9</v>
      </c>
      <c r="D205" s="43">
        <v>8</v>
      </c>
      <c r="E205" s="43">
        <v>14</v>
      </c>
      <c r="F205" s="43">
        <v>139</v>
      </c>
      <c r="G205" s="43">
        <v>22</v>
      </c>
      <c r="H205" s="43">
        <v>20</v>
      </c>
      <c r="I205" s="43">
        <v>20</v>
      </c>
      <c r="J205" s="43">
        <v>15</v>
      </c>
      <c r="K205" s="43">
        <v>26</v>
      </c>
      <c r="L205" s="43">
        <v>18</v>
      </c>
      <c r="M205" s="43">
        <v>45</v>
      </c>
      <c r="N205" s="43">
        <v>20</v>
      </c>
      <c r="O205" s="43">
        <v>35</v>
      </c>
      <c r="P205" s="43">
        <v>15</v>
      </c>
      <c r="Q205" s="43">
        <v>32</v>
      </c>
      <c r="R205" s="43">
        <v>12</v>
      </c>
      <c r="S205" s="43">
        <v>2</v>
      </c>
      <c r="T205" s="43">
        <v>9</v>
      </c>
      <c r="U205" s="43">
        <v>7</v>
      </c>
    </row>
  </sheetData>
  <mergeCells count="19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37" t="s">
        <v>168</v>
      </c>
      <c r="B1" s="134" t="s">
        <v>191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4" t="s">
        <v>192</v>
      </c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6"/>
      <c r="AB1" s="134" t="s">
        <v>193</v>
      </c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6"/>
      <c r="AO1" s="134" t="s">
        <v>194</v>
      </c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6"/>
      <c r="BB1" s="132" t="s">
        <v>195</v>
      </c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2" t="s">
        <v>196</v>
      </c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</row>
    <row r="2" spans="1:79" x14ac:dyDescent="0.15">
      <c r="A2" s="137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9"/>
  <sheetViews>
    <sheetView topLeftCell="A160" zoomScale="66" zoomScaleNormal="66" workbookViewId="0">
      <selection activeCell="C199" sqref="C199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0" t="s">
        <v>168</v>
      </c>
      <c r="B1" s="138" t="s">
        <v>169</v>
      </c>
      <c r="C1" s="138"/>
      <c r="D1" s="138"/>
      <c r="E1" s="138"/>
      <c r="F1" s="138"/>
      <c r="G1" s="138"/>
      <c r="H1" s="138"/>
      <c r="I1" s="138"/>
      <c r="J1" s="138"/>
      <c r="K1" s="138" t="s">
        <v>170</v>
      </c>
      <c r="L1" s="138"/>
      <c r="M1" s="138"/>
      <c r="N1" s="138"/>
      <c r="O1" s="138"/>
      <c r="P1" s="138"/>
      <c r="Q1" s="138"/>
      <c r="R1" s="138"/>
      <c r="S1" s="138"/>
      <c r="T1" s="138" t="s">
        <v>171</v>
      </c>
      <c r="U1" s="138"/>
      <c r="V1" s="138"/>
      <c r="W1" s="138"/>
      <c r="X1" s="138"/>
      <c r="Y1" s="138"/>
      <c r="Z1" s="138"/>
      <c r="AA1" s="138"/>
      <c r="AB1" s="138"/>
      <c r="AC1" s="138" t="s">
        <v>167</v>
      </c>
      <c r="AD1" s="138"/>
      <c r="AE1" s="138"/>
      <c r="AF1" s="138"/>
      <c r="AG1" s="138"/>
      <c r="AH1" s="138"/>
      <c r="AI1" s="138"/>
      <c r="AJ1" s="138"/>
      <c r="AK1" s="138"/>
      <c r="AL1" s="138" t="s">
        <v>172</v>
      </c>
      <c r="AM1" s="138"/>
      <c r="AN1" s="138"/>
      <c r="AO1" s="138"/>
      <c r="AP1" s="138"/>
      <c r="AQ1" s="138"/>
      <c r="AR1" s="138"/>
      <c r="AS1" s="138"/>
      <c r="AT1" s="138"/>
      <c r="AU1" s="138" t="s">
        <v>173</v>
      </c>
      <c r="AV1" s="138"/>
      <c r="AW1" s="138"/>
      <c r="AX1" s="138"/>
      <c r="AY1" s="138"/>
      <c r="AZ1" s="138"/>
      <c r="BA1" s="138"/>
      <c r="BB1" s="138"/>
      <c r="BC1" s="138"/>
      <c r="BD1" s="138" t="s">
        <v>197</v>
      </c>
      <c r="BE1" s="138"/>
      <c r="BF1" s="138"/>
      <c r="BG1" s="138"/>
      <c r="BH1" s="138"/>
      <c r="BI1" s="138"/>
      <c r="BJ1" s="138"/>
      <c r="BK1" s="138"/>
      <c r="BL1" s="138"/>
      <c r="BM1" s="139" t="s">
        <v>188</v>
      </c>
      <c r="BN1" s="139"/>
      <c r="BO1" s="139"/>
      <c r="BP1" s="139"/>
      <c r="BQ1" s="139"/>
      <c r="BR1" s="139"/>
      <c r="BS1" s="139"/>
      <c r="BT1" s="139"/>
      <c r="BU1" s="139"/>
      <c r="BV1" s="139" t="s">
        <v>207</v>
      </c>
      <c r="BW1" s="139"/>
      <c r="BX1" s="139"/>
      <c r="BY1" s="139"/>
      <c r="BZ1" s="139"/>
      <c r="CA1" s="139"/>
      <c r="CB1" s="139"/>
      <c r="CC1" s="139"/>
      <c r="CD1" s="139"/>
      <c r="CE1" s="138" t="s">
        <v>198</v>
      </c>
      <c r="CF1" s="138"/>
      <c r="CG1" s="138"/>
      <c r="CH1" s="138"/>
      <c r="CI1" s="138"/>
      <c r="CJ1" s="138"/>
      <c r="CK1" s="138"/>
      <c r="CL1" s="138"/>
      <c r="CM1" s="138"/>
    </row>
    <row r="2" spans="1:91" s="49" customFormat="1" x14ac:dyDescent="0.15">
      <c r="A2" s="14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/>
      <c r="L3" s="42"/>
      <c r="M3" s="42"/>
      <c r="N3" s="42"/>
      <c r="O3" s="42"/>
      <c r="P3" s="42"/>
      <c r="Q3" s="42"/>
      <c r="R3" s="42"/>
      <c r="S3" s="42"/>
      <c r="T3" s="88"/>
      <c r="U3" s="88"/>
      <c r="V3" s="88"/>
      <c r="W3" s="88"/>
      <c r="X3" s="88"/>
      <c r="Y3" s="88"/>
      <c r="Z3" s="88"/>
      <c r="AA3" s="88"/>
      <c r="AB3" s="88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92.604240188160631</v>
      </c>
      <c r="CF3" s="42">
        <v>78.475586904809148</v>
      </c>
      <c r="CG3" s="42">
        <v>0</v>
      </c>
      <c r="CH3" s="42">
        <v>104.48900570548651</v>
      </c>
      <c r="CI3" s="42">
        <v>79.919541844255193</v>
      </c>
      <c r="CJ3" s="42">
        <v>40.534314395517939</v>
      </c>
      <c r="CK3" s="42">
        <v>79.505338290615555</v>
      </c>
      <c r="CL3" s="42">
        <v>82.543670321931742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1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1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1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1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1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1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1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1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1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1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1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1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1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1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1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1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1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1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1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1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1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1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1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1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1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1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1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1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1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1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1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1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1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1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1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1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1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1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1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1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1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1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1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1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1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1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1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1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1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1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1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1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1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1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1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1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1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1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1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1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1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1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1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1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1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1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1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1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1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1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1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1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1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1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1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1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1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1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1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1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1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1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1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1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1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1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1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1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1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1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1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1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1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1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1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38" t="s">
        <v>190</v>
      </c>
      <c r="C188" s="138"/>
      <c r="D188" s="138"/>
      <c r="E188" s="138"/>
      <c r="F188" s="138"/>
      <c r="G188" s="138"/>
      <c r="H188" s="138"/>
      <c r="I188" s="138"/>
      <c r="J188" s="138"/>
      <c r="K188" s="138" t="s">
        <v>199</v>
      </c>
      <c r="L188" s="138"/>
      <c r="M188" s="138"/>
      <c r="N188" s="138"/>
      <c r="O188" s="138"/>
      <c r="P188" s="138"/>
      <c r="Q188" s="138"/>
      <c r="R188" s="138"/>
      <c r="S188" s="138"/>
      <c r="T188" s="138" t="s">
        <v>208</v>
      </c>
      <c r="U188" s="138"/>
      <c r="V188" s="138"/>
      <c r="W188" s="138"/>
      <c r="X188" s="138"/>
      <c r="Y188" s="138"/>
      <c r="Z188" s="138"/>
      <c r="AA188" s="138"/>
      <c r="AB188" s="138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0">T191*rhomax/1000</f>
        <v>36</v>
      </c>
      <c r="U190" s="42">
        <f t="shared" si="0"/>
        <v>72</v>
      </c>
      <c r="V190" s="42">
        <f t="shared" si="0"/>
        <v>36</v>
      </c>
      <c r="W190" s="42">
        <f t="shared" si="0"/>
        <v>108</v>
      </c>
      <c r="X190" s="42">
        <f t="shared" si="0"/>
        <v>45</v>
      </c>
      <c r="Y190" s="42">
        <f t="shared" si="0"/>
        <v>72</v>
      </c>
      <c r="Z190" s="42">
        <f t="shared" si="0"/>
        <v>72</v>
      </c>
      <c r="AA190" s="42">
        <f t="shared" si="0"/>
        <v>36</v>
      </c>
      <c r="AB190" s="42">
        <f t="shared" si="0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38" t="s">
        <v>254</v>
      </c>
      <c r="C192" s="138"/>
      <c r="D192" s="138"/>
      <c r="E192" s="138"/>
      <c r="F192" s="138"/>
      <c r="G192" s="138"/>
      <c r="H192" s="138"/>
      <c r="I192" s="138"/>
      <c r="J192" s="138"/>
      <c r="K192" s="138" t="s">
        <v>303</v>
      </c>
      <c r="L192" s="138"/>
      <c r="M192" s="138"/>
      <c r="N192" s="138"/>
      <c r="O192" s="138"/>
      <c r="P192" s="138"/>
      <c r="Q192" s="138"/>
      <c r="R192" s="138"/>
      <c r="S192" s="138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1">L195*L190</f>
        <v>4000</v>
      </c>
      <c r="M194" s="42">
        <f t="shared" si="1"/>
        <v>2000</v>
      </c>
      <c r="N194" s="42">
        <f t="shared" si="1"/>
        <v>4000</v>
      </c>
      <c r="O194" s="42">
        <f t="shared" si="1"/>
        <v>2000</v>
      </c>
      <c r="P194" s="42">
        <f t="shared" si="1"/>
        <v>6000</v>
      </c>
      <c r="Q194" s="42">
        <f t="shared" si="1"/>
        <v>2000</v>
      </c>
      <c r="R194" s="42">
        <f t="shared" si="1"/>
        <v>4000</v>
      </c>
      <c r="S194" s="42">
        <f t="shared" si="1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307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308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448</v>
      </c>
      <c r="C199" s="108">
        <v>0</v>
      </c>
      <c r="D199" s="108">
        <f>T190</f>
        <v>36</v>
      </c>
      <c r="E199" s="108">
        <v>0</v>
      </c>
      <c r="F199" s="108">
        <f t="shared" ref="F199:L199" si="2">U190</f>
        <v>72</v>
      </c>
      <c r="G199" s="108">
        <f t="shared" si="2"/>
        <v>36</v>
      </c>
      <c r="H199" s="108">
        <f t="shared" si="2"/>
        <v>108</v>
      </c>
      <c r="I199" s="108">
        <f t="shared" si="2"/>
        <v>45</v>
      </c>
      <c r="J199" s="108">
        <f t="shared" si="2"/>
        <v>72</v>
      </c>
      <c r="K199" s="108">
        <f t="shared" si="2"/>
        <v>72</v>
      </c>
      <c r="L199" s="108">
        <f t="shared" si="2"/>
        <v>36</v>
      </c>
      <c r="M199" s="108">
        <v>0</v>
      </c>
      <c r="N199" s="108">
        <f>AB190</f>
        <v>36</v>
      </c>
      <c r="O199" s="108">
        <v>0</v>
      </c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4"/>
  <sheetViews>
    <sheetView topLeftCell="A169" zoomScale="70" zoomScaleNormal="70" workbookViewId="0">
      <selection activeCell="B196" sqref="B196"/>
    </sheetView>
  </sheetViews>
  <sheetFormatPr defaultRowHeight="14.25" x14ac:dyDescent="0.15"/>
  <cols>
    <col min="1" max="16384" width="9" style="47"/>
  </cols>
  <sheetData>
    <row r="1" spans="1:28" x14ac:dyDescent="0.15">
      <c r="A1" s="140" t="s">
        <v>187</v>
      </c>
      <c r="B1" s="145" t="s">
        <v>167</v>
      </c>
      <c r="C1" s="146"/>
      <c r="D1" s="146"/>
      <c r="E1" s="146"/>
      <c r="F1" s="146"/>
      <c r="G1" s="146"/>
      <c r="H1" s="146"/>
      <c r="I1" s="146"/>
      <c r="J1" s="146"/>
      <c r="K1" s="147"/>
      <c r="L1" s="138" t="s">
        <v>200</v>
      </c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59"/>
    </row>
    <row r="2" spans="1:28" x14ac:dyDescent="0.15">
      <c r="A2" s="14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229</v>
      </c>
      <c r="W2" s="40" t="s">
        <v>230</v>
      </c>
      <c r="X2" s="40" t="s">
        <v>231</v>
      </c>
      <c r="Y2" s="40" t="s">
        <v>232</v>
      </c>
      <c r="Z2" s="40" t="s">
        <v>233</v>
      </c>
      <c r="AA2" s="40" t="s">
        <v>234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(B195-B194+B196)/(A189*Q189)</f>
        <v>0</v>
      </c>
      <c r="M3" s="48">
        <f t="shared" ref="M3:AA3" si="0">(C195-C194+C196)/(B189*R189)</f>
        <v>-8.4250966779843797</v>
      </c>
      <c r="N3" s="48">
        <f t="shared" si="0"/>
        <v>23.812075103284876</v>
      </c>
      <c r="O3" s="48">
        <f t="shared" si="0"/>
        <v>0</v>
      </c>
      <c r="P3" s="66"/>
      <c r="Q3" s="66"/>
      <c r="R3" s="48">
        <f t="shared" si="0"/>
        <v>10.700497359117252</v>
      </c>
      <c r="S3" s="48">
        <f t="shared" si="0"/>
        <v>0</v>
      </c>
      <c r="T3" s="48">
        <f t="shared" si="0"/>
        <v>4.0479766188870494</v>
      </c>
      <c r="U3" s="48">
        <f t="shared" si="0"/>
        <v>-1.8604616549550606</v>
      </c>
      <c r="V3" s="48">
        <f t="shared" si="0"/>
        <v>-1.4258541579333102</v>
      </c>
      <c r="W3" s="48">
        <f t="shared" si="0"/>
        <v>0</v>
      </c>
      <c r="X3" s="48">
        <f t="shared" si="0"/>
        <v>-5.7668796567553224</v>
      </c>
      <c r="Y3" s="48">
        <f t="shared" si="0"/>
        <v>0</v>
      </c>
      <c r="Z3" s="48">
        <f t="shared" si="0"/>
        <v>0</v>
      </c>
      <c r="AA3" s="48">
        <f t="shared" si="0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38" t="s">
        <v>201</v>
      </c>
      <c r="B187" s="138"/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 t="s">
        <v>202</v>
      </c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/>
      <c r="AE187" s="138"/>
      <c r="AF187" s="138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229</v>
      </c>
      <c r="L188" s="40" t="s">
        <v>230</v>
      </c>
      <c r="M188" s="40" t="s">
        <v>231</v>
      </c>
      <c r="N188" s="40" t="s">
        <v>232</v>
      </c>
      <c r="O188" s="40" t="s">
        <v>233</v>
      </c>
      <c r="P188" s="40" t="s">
        <v>234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229</v>
      </c>
      <c r="AB188" s="40" t="s">
        <v>230</v>
      </c>
      <c r="AC188" s="40" t="s">
        <v>231</v>
      </c>
      <c r="AD188" s="40" t="s">
        <v>232</v>
      </c>
      <c r="AE188" s="40" t="s">
        <v>233</v>
      </c>
      <c r="AF188" s="40" t="s">
        <v>234</v>
      </c>
    </row>
    <row r="189" spans="1:32" x14ac:dyDescent="0.15">
      <c r="A189" s="43">
        <f>A190/1000</f>
        <v>0.303595</v>
      </c>
      <c r="B189" s="43">
        <f t="shared" ref="B189:P189" si="1">B190/1000</f>
        <v>0.23738599999999999</v>
      </c>
      <c r="C189" s="43">
        <f t="shared" si="1"/>
        <v>0.251973</v>
      </c>
      <c r="D189" s="43">
        <f t="shared" si="1"/>
        <v>0.14541900000000002</v>
      </c>
      <c r="E189" s="43">
        <f t="shared" si="1"/>
        <v>0</v>
      </c>
      <c r="F189" s="43">
        <f t="shared" si="1"/>
        <v>0</v>
      </c>
      <c r="G189" s="43">
        <f t="shared" si="1"/>
        <v>0.23363399999999998</v>
      </c>
      <c r="H189" s="43">
        <f t="shared" si="1"/>
        <v>0.152585</v>
      </c>
      <c r="I189" s="43">
        <f t="shared" si="1"/>
        <v>0.24703700000000001</v>
      </c>
      <c r="J189" s="43">
        <f t="shared" si="1"/>
        <v>0.53750100000000001</v>
      </c>
      <c r="K189" s="43">
        <f t="shared" si="1"/>
        <v>0.7013339999999999</v>
      </c>
      <c r="L189" s="43">
        <f t="shared" si="1"/>
        <v>0.36566699999999996</v>
      </c>
      <c r="M189" s="43">
        <f t="shared" si="1"/>
        <v>0.173404</v>
      </c>
      <c r="N189" s="43">
        <f t="shared" si="1"/>
        <v>0.31930900000000001</v>
      </c>
      <c r="O189" s="43">
        <f t="shared" si="1"/>
        <v>0.15876099999999999</v>
      </c>
      <c r="P189" s="43">
        <f t="shared" si="1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2" t="s">
        <v>187</v>
      </c>
      <c r="B192" s="143" t="s">
        <v>226</v>
      </c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</row>
    <row r="193" spans="1:19" x14ac:dyDescent="0.15">
      <c r="A193" s="142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229</v>
      </c>
      <c r="M193" s="40" t="s">
        <v>230</v>
      </c>
      <c r="N193" s="40" t="s">
        <v>231</v>
      </c>
      <c r="O193" s="40" t="s">
        <v>232</v>
      </c>
      <c r="P193" s="40" t="s">
        <v>233</v>
      </c>
      <c r="Q193" s="40" t="s">
        <v>234</v>
      </c>
    </row>
    <row r="194" spans="1:19" x14ac:dyDescent="0.15">
      <c r="A194" s="46" t="s">
        <v>227</v>
      </c>
      <c r="B194" s="42">
        <v>0</v>
      </c>
      <c r="C194" s="42">
        <v>3</v>
      </c>
      <c r="D194" s="42">
        <v>9</v>
      </c>
      <c r="E194" s="42">
        <v>3</v>
      </c>
      <c r="F194" s="66"/>
      <c r="G194" s="66"/>
      <c r="H194" s="42">
        <v>15</v>
      </c>
      <c r="I194" s="42">
        <v>6</v>
      </c>
      <c r="J194" s="42">
        <v>7</v>
      </c>
      <c r="K194" s="42">
        <v>9</v>
      </c>
      <c r="L194" s="42">
        <v>9</v>
      </c>
      <c r="M194" s="42">
        <v>2</v>
      </c>
      <c r="N194" s="42">
        <v>3</v>
      </c>
      <c r="O194" s="42">
        <v>7</v>
      </c>
      <c r="P194" s="42">
        <v>6</v>
      </c>
      <c r="Q194" s="42">
        <v>7</v>
      </c>
    </row>
    <row r="195" spans="1:19" x14ac:dyDescent="0.15">
      <c r="A195" s="46" t="s">
        <v>228</v>
      </c>
      <c r="B195" s="42">
        <v>0</v>
      </c>
      <c r="C195" s="42">
        <v>1</v>
      </c>
      <c r="D195" s="42">
        <v>11</v>
      </c>
      <c r="E195" s="42">
        <v>3</v>
      </c>
      <c r="F195" s="66"/>
      <c r="G195" s="66"/>
      <c r="H195" s="42">
        <v>16</v>
      </c>
      <c r="I195" s="42">
        <v>6</v>
      </c>
      <c r="J195" s="42">
        <v>7</v>
      </c>
      <c r="K195" s="42">
        <v>8</v>
      </c>
      <c r="L195" s="42">
        <v>6</v>
      </c>
      <c r="M195" s="42">
        <v>2</v>
      </c>
      <c r="N195" s="42">
        <v>2</v>
      </c>
      <c r="O195" s="42">
        <v>7</v>
      </c>
      <c r="P195" s="42">
        <v>6</v>
      </c>
      <c r="Q195" s="42">
        <v>7</v>
      </c>
    </row>
    <row r="196" spans="1:19" x14ac:dyDescent="0.15">
      <c r="A196" s="46">
        <v>0</v>
      </c>
      <c r="B196" s="43">
        <v>0</v>
      </c>
      <c r="C196" s="43">
        <v>0</v>
      </c>
      <c r="D196" s="43">
        <v>4</v>
      </c>
      <c r="E196" s="43">
        <v>0</v>
      </c>
      <c r="F196" s="66">
        <v>0</v>
      </c>
      <c r="G196" s="66">
        <v>0</v>
      </c>
      <c r="H196" s="43">
        <v>4</v>
      </c>
      <c r="I196" s="43">
        <v>0</v>
      </c>
      <c r="J196" s="43">
        <v>2</v>
      </c>
      <c r="K196" s="43">
        <v>0</v>
      </c>
      <c r="L196" s="43">
        <v>1</v>
      </c>
      <c r="M196" s="43">
        <v>0</v>
      </c>
      <c r="N196" s="43">
        <v>0</v>
      </c>
      <c r="O196" s="43">
        <v>0</v>
      </c>
      <c r="P196" s="43">
        <v>0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304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305</v>
      </c>
      <c r="B202" s="65">
        <f>A189</f>
        <v>0.303595</v>
      </c>
      <c r="C202" s="65">
        <f t="shared" ref="C202:D202" si="2">B189</f>
        <v>0.23738599999999999</v>
      </c>
      <c r="D202" s="65">
        <f t="shared" si="2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3">H189</f>
        <v>0.152585</v>
      </c>
      <c r="H202" s="65">
        <f t="shared" si="3"/>
        <v>0.24703700000000001</v>
      </c>
      <c r="I202" s="65">
        <f t="shared" si="3"/>
        <v>0.53750100000000001</v>
      </c>
      <c r="J202" s="65">
        <f t="shared" si="3"/>
        <v>0.7013339999999999</v>
      </c>
      <c r="K202" s="65">
        <f t="shared" si="3"/>
        <v>0.36566699999999996</v>
      </c>
      <c r="L202" s="65">
        <f t="shared" si="3"/>
        <v>0.173404</v>
      </c>
      <c r="M202" s="65">
        <f t="shared" si="3"/>
        <v>0.31930900000000001</v>
      </c>
      <c r="N202" s="65">
        <f t="shared" si="3"/>
        <v>0.15876099999999999</v>
      </c>
      <c r="O202" s="65">
        <f t="shared" si="3"/>
        <v>0.16373199999999999</v>
      </c>
      <c r="P202" s="65"/>
      <c r="Q202" s="65"/>
      <c r="R202" s="65"/>
      <c r="S202" s="65"/>
    </row>
    <row r="203" spans="1:19" x14ac:dyDescent="0.15">
      <c r="A203" s="65" t="s">
        <v>306</v>
      </c>
      <c r="B203" s="65">
        <f>Q189</f>
        <v>1</v>
      </c>
      <c r="C203" s="65">
        <f t="shared" ref="C203:E203" si="4">R189</f>
        <v>1</v>
      </c>
      <c r="D203" s="65">
        <f t="shared" si="4"/>
        <v>1</v>
      </c>
      <c r="E203" s="65">
        <f t="shared" si="4"/>
        <v>1</v>
      </c>
      <c r="F203" s="65">
        <f>W189</f>
        <v>2</v>
      </c>
      <c r="G203" s="65">
        <f t="shared" ref="G203:O203" si="5">X189</f>
        <v>1</v>
      </c>
      <c r="H203" s="65">
        <f t="shared" si="5"/>
        <v>2</v>
      </c>
      <c r="I203" s="65">
        <f t="shared" si="5"/>
        <v>1</v>
      </c>
      <c r="J203" s="65">
        <f t="shared" si="5"/>
        <v>2</v>
      </c>
      <c r="K203" s="65">
        <f t="shared" si="5"/>
        <v>1</v>
      </c>
      <c r="L203" s="65">
        <f t="shared" si="5"/>
        <v>1</v>
      </c>
      <c r="M203" s="65">
        <f t="shared" si="5"/>
        <v>1</v>
      </c>
      <c r="N203" s="65">
        <f t="shared" si="5"/>
        <v>1</v>
      </c>
      <c r="O203" s="65">
        <f t="shared" si="5"/>
        <v>1</v>
      </c>
      <c r="P203" s="65"/>
      <c r="Q203" s="65"/>
      <c r="R203" s="65"/>
      <c r="S203" s="65"/>
    </row>
    <row r="204" spans="1:19" x14ac:dyDescent="0.15">
      <c r="A204" s="47" t="s">
        <v>200</v>
      </c>
      <c r="B204" s="47">
        <f>L3</f>
        <v>0</v>
      </c>
      <c r="C204" s="47">
        <f t="shared" ref="C204:E204" si="6">M3</f>
        <v>-8.4250966779843797</v>
      </c>
      <c r="D204" s="47">
        <f t="shared" si="6"/>
        <v>23.812075103284876</v>
      </c>
      <c r="E204" s="47">
        <f t="shared" si="6"/>
        <v>0</v>
      </c>
      <c r="F204" s="47">
        <f>R3</f>
        <v>10.700497359117252</v>
      </c>
      <c r="G204" s="47">
        <f t="shared" ref="G204:O204" si="7">S3</f>
        <v>0</v>
      </c>
      <c r="H204" s="47">
        <f t="shared" si="7"/>
        <v>4.0479766188870494</v>
      </c>
      <c r="I204" s="47">
        <f t="shared" si="7"/>
        <v>-1.8604616549550606</v>
      </c>
      <c r="J204" s="47">
        <f t="shared" si="7"/>
        <v>-1.4258541579333102</v>
      </c>
      <c r="K204" s="47">
        <f t="shared" si="7"/>
        <v>0</v>
      </c>
      <c r="L204" s="47">
        <f t="shared" si="7"/>
        <v>-5.7668796567553224</v>
      </c>
      <c r="M204" s="47">
        <f t="shared" si="7"/>
        <v>0</v>
      </c>
      <c r="N204" s="47">
        <f t="shared" si="7"/>
        <v>0</v>
      </c>
      <c r="O204" s="47">
        <f t="shared" si="7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B19" sqref="B19:N19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171</v>
      </c>
      <c r="B1" s="76" t="s">
        <v>281</v>
      </c>
      <c r="C1" s="76" t="s">
        <v>282</v>
      </c>
      <c r="D1" s="76" t="s">
        <v>283</v>
      </c>
      <c r="E1" s="76" t="s">
        <v>284</v>
      </c>
      <c r="F1" s="76" t="s">
        <v>278</v>
      </c>
      <c r="G1" s="76" t="s">
        <v>285</v>
      </c>
      <c r="H1" s="76" t="s">
        <v>280</v>
      </c>
      <c r="I1" s="76" t="s">
        <v>286</v>
      </c>
      <c r="J1" s="76" t="s">
        <v>279</v>
      </c>
      <c r="K1" s="76" t="s">
        <v>287</v>
      </c>
      <c r="L1" s="76" t="s">
        <v>288</v>
      </c>
      <c r="M1" s="79" t="s">
        <v>297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281</v>
      </c>
      <c r="B2" s="80">
        <v>0</v>
      </c>
      <c r="C2" s="85">
        <v>13</v>
      </c>
      <c r="D2" s="82">
        <v>0</v>
      </c>
      <c r="E2" s="85">
        <v>84</v>
      </c>
      <c r="F2" s="82">
        <v>0</v>
      </c>
      <c r="G2" s="85">
        <v>48</v>
      </c>
      <c r="H2" s="85">
        <v>14</v>
      </c>
      <c r="I2" s="85">
        <v>208</v>
      </c>
      <c r="J2" s="85">
        <v>16</v>
      </c>
      <c r="K2" s="85">
        <v>40</v>
      </c>
      <c r="L2" s="85">
        <v>33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282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289</v>
      </c>
      <c r="B4" s="83">
        <v>0</v>
      </c>
      <c r="C4" s="84">
        <v>0</v>
      </c>
      <c r="D4" s="84">
        <v>0</v>
      </c>
      <c r="E4" s="86">
        <v>3</v>
      </c>
      <c r="F4" s="84">
        <v>0</v>
      </c>
      <c r="G4" s="86">
        <v>4</v>
      </c>
      <c r="H4" s="86">
        <v>2</v>
      </c>
      <c r="I4" s="86">
        <v>8</v>
      </c>
      <c r="J4" s="86">
        <v>3</v>
      </c>
      <c r="K4" s="86">
        <v>7</v>
      </c>
      <c r="L4" s="86">
        <v>4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284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290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2</v>
      </c>
      <c r="H6" s="86">
        <v>7</v>
      </c>
      <c r="I6" s="86">
        <v>26</v>
      </c>
      <c r="J6" s="86">
        <v>3</v>
      </c>
      <c r="K6" s="86">
        <v>7</v>
      </c>
      <c r="L6" s="86">
        <v>5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291</v>
      </c>
      <c r="B7" s="87">
        <v>9</v>
      </c>
      <c r="C7" s="84">
        <v>0</v>
      </c>
      <c r="D7" s="86">
        <v>0</v>
      </c>
      <c r="E7" s="84">
        <v>0</v>
      </c>
      <c r="F7" s="86">
        <v>1</v>
      </c>
      <c r="G7" s="84">
        <v>0</v>
      </c>
      <c r="H7" s="86">
        <v>1</v>
      </c>
      <c r="I7" s="86">
        <v>2</v>
      </c>
      <c r="J7" s="86">
        <v>0</v>
      </c>
      <c r="K7" s="86">
        <v>2</v>
      </c>
      <c r="L7" s="86">
        <v>2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292</v>
      </c>
      <c r="B8" s="87">
        <v>8</v>
      </c>
      <c r="C8" s="84">
        <v>0</v>
      </c>
      <c r="D8" s="86">
        <v>4</v>
      </c>
      <c r="E8" s="84">
        <v>0</v>
      </c>
      <c r="F8" s="86">
        <v>6</v>
      </c>
      <c r="G8" s="86">
        <v>0</v>
      </c>
      <c r="H8" s="84">
        <v>0</v>
      </c>
      <c r="I8" s="86">
        <v>1</v>
      </c>
      <c r="J8" s="86">
        <v>1</v>
      </c>
      <c r="K8" s="86">
        <v>1</v>
      </c>
      <c r="L8" s="86">
        <v>3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293</v>
      </c>
      <c r="B9" s="87">
        <v>96</v>
      </c>
      <c r="C9" s="84">
        <v>0</v>
      </c>
      <c r="D9" s="86">
        <v>30</v>
      </c>
      <c r="E9" s="84">
        <v>0</v>
      </c>
      <c r="F9" s="86">
        <v>18</v>
      </c>
      <c r="G9" s="86">
        <v>9</v>
      </c>
      <c r="H9" s="86">
        <v>2</v>
      </c>
      <c r="I9" s="84">
        <v>0</v>
      </c>
      <c r="J9" s="86">
        <v>21</v>
      </c>
      <c r="K9" s="86">
        <v>4</v>
      </c>
      <c r="L9" s="86">
        <v>4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279</v>
      </c>
      <c r="B10" s="87">
        <v>5</v>
      </c>
      <c r="C10" s="84">
        <v>0</v>
      </c>
      <c r="D10" s="86">
        <v>3</v>
      </c>
      <c r="E10" s="84">
        <v>0</v>
      </c>
      <c r="F10" s="86">
        <v>2</v>
      </c>
      <c r="G10" s="86">
        <v>0</v>
      </c>
      <c r="H10" s="86">
        <v>0</v>
      </c>
      <c r="I10" s="86">
        <v>7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294</v>
      </c>
      <c r="B11" s="87">
        <v>18</v>
      </c>
      <c r="C11" s="84">
        <v>0</v>
      </c>
      <c r="D11" s="86">
        <v>7</v>
      </c>
      <c r="E11" s="84">
        <v>0</v>
      </c>
      <c r="F11" s="86">
        <v>4</v>
      </c>
      <c r="G11" s="86">
        <v>2</v>
      </c>
      <c r="H11" s="86">
        <v>0</v>
      </c>
      <c r="I11" s="86">
        <v>5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288</v>
      </c>
      <c r="B12" s="87">
        <v>118</v>
      </c>
      <c r="C12" s="84">
        <v>0</v>
      </c>
      <c r="D12" s="86">
        <v>32</v>
      </c>
      <c r="E12" s="84">
        <v>0</v>
      </c>
      <c r="F12" s="86">
        <v>11</v>
      </c>
      <c r="G12" s="86">
        <v>2</v>
      </c>
      <c r="H12" s="86">
        <v>4</v>
      </c>
      <c r="I12" s="86">
        <v>49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296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295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194</v>
      </c>
      <c r="B18" s="81">
        <f>C2/SUM(C2,E2,G2:L2)</f>
        <v>2.850877192982456E-2</v>
      </c>
      <c r="C18" s="84">
        <v>0</v>
      </c>
      <c r="D18" s="81">
        <f>SUM(E2,E4)/SUM(E2,G2:L2,E4,G4:L4)</f>
        <v>0.18354430379746836</v>
      </c>
      <c r="E18" s="84">
        <v>0</v>
      </c>
      <c r="F18" s="81">
        <f>SUM(G2,G4,G6)/SUM(G2:L2,G4:L4,G6:L6,H7:L7)</f>
        <v>0.12162162162162163</v>
      </c>
      <c r="G18" s="81">
        <f>SUM(H2,H4,H6,H7)/SUM(H2:L2,H4:L4,H6:L6,H7:L7,I8:L8)</f>
        <v>6.0606060606060608E-2</v>
      </c>
      <c r="H18" s="81">
        <f>SUM(J2:L2,J4:L4,J6:L6,J7:L7,J8:L8)/SUM(I2:L2,I4:L4,I6:L6,I7:L7,I8:L8,I10:I12)</f>
        <v>0.29330254041570436</v>
      </c>
      <c r="I18" s="81">
        <f>SUM(J9:L9)/SUM(B9,D9,F9:H9,B10:B12,D10:D12,F10:H12)</f>
        <v>7.9889807162534437E-2</v>
      </c>
      <c r="J18" s="81">
        <f>SUM(H9:H12)/SUM(B9:B12,D9:D12,F9:H12,B8,D8,F8:G8)</f>
        <v>1.5748031496062992E-2</v>
      </c>
      <c r="K18" s="81">
        <f>SUM(G8:G12)/SUM(B8:B12,D8:D12,F8:G12,B7,D7,F7)</f>
        <v>3.3766233766233764E-2</v>
      </c>
      <c r="L18" s="81">
        <f>SUM(F7:F12)/SUM(B7:B12,D7:D12,F7:F12)</f>
        <v>0.11290322580645161</v>
      </c>
      <c r="M18" s="84">
        <v>0</v>
      </c>
      <c r="N18" s="81">
        <f>SUM(D7:D12)/SUM(B7:B12,D7:D12)</f>
        <v>0.23030303030303031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171</v>
      </c>
      <c r="B19" s="84">
        <v>0</v>
      </c>
      <c r="C19" s="81">
        <f>SUM(E4,G4:L4)*4</f>
        <v>124</v>
      </c>
      <c r="D19" s="84">
        <v>0</v>
      </c>
      <c r="E19" s="81">
        <f>SUM(G6:L6)*4</f>
        <v>200</v>
      </c>
      <c r="F19" s="81">
        <f>SUM(H7:L7)*4</f>
        <v>28</v>
      </c>
      <c r="G19" s="81">
        <f>SUM(I8:L8)*4</f>
        <v>24</v>
      </c>
      <c r="H19" s="81">
        <f>SUM(J9:L9)*4</f>
        <v>116</v>
      </c>
      <c r="I19" s="81">
        <f>SUM(B10:B12,D10:D12,F10:H12)*4</f>
        <v>832</v>
      </c>
      <c r="J19" s="81">
        <f>SUM(B8,D8,F8:G8)*4</f>
        <v>72</v>
      </c>
      <c r="K19" s="81">
        <f>SUM(B7,D7,F7)*4</f>
        <v>40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298</v>
      </c>
      <c r="B20" s="81">
        <f>C2/SUM(C2,E2,G2:L2)</f>
        <v>2.850877192982456E-2</v>
      </c>
      <c r="C20" s="84">
        <v>0</v>
      </c>
      <c r="D20" s="81">
        <f>SUM(E2,E4,SUM(D21:D26))/SUM(E2,G2:L2,E4,G4:L4)</f>
        <v>0.18354430379746836</v>
      </c>
      <c r="E20" s="84">
        <v>0</v>
      </c>
      <c r="F20" s="81">
        <f>SUM(G2,G4,G6,SUM(F22:F26))/SUM(G2:L2,G4:L4,G6:L6,H7:L7)</f>
        <v>0.12162162162162163</v>
      </c>
      <c r="G20" s="81">
        <f>SUM(H2,H4,H6,H7,SUM(G23:G26))/SUM(H2:L2,H4:L4,H6:L6,H7:L7,I8:L8)</f>
        <v>6.0606060606060608E-2</v>
      </c>
      <c r="H20" s="81">
        <f>SUM(J2:L2,J4:L4,J6:L6,J7:L7,J8:L8,H26)/SUM(I2:L2,I4:L4,I6:L6,I7:L7,I8:L8,I10:I12)</f>
        <v>0.29330254041570436</v>
      </c>
      <c r="I20" s="81">
        <f>SUM(J9:L9,B9*R9,D9*T9,SUM(I21:I25))/SUM(B9,D9,F9:H9,B10:B12,D10:D12,F10:H12)</f>
        <v>7.9889807162534437E-2</v>
      </c>
      <c r="J20" s="81">
        <f>SUM(H9:H12,SUM(J22:J25))/SUM(B9:B12,D9:D12,F9:H12,B8,D8,F8:G8)</f>
        <v>1.5748031496062992E-2</v>
      </c>
      <c r="K20" s="81">
        <f>SUM(G8:G12,SUM(K23:K25))/SUM(B8:B12,D8:D12,F8:G12,B7,D7,F7)</f>
        <v>3.3766233766233764E-2</v>
      </c>
      <c r="L20" s="81">
        <f>SUM(F7:F12,SUM(L24:L25))/SUM(B7:B12,D7:D12,F7:F12)</f>
        <v>0.11290322580645161</v>
      </c>
      <c r="M20" s="84">
        <v>0</v>
      </c>
      <c r="N20" s="81">
        <f>SUM(D7:D12,N25)/SUM(B7:B12,D7:D12)</f>
        <v>0.23030303030303031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L15" sqref="L15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20" t="s">
        <v>165</v>
      </c>
      <c r="B1" s="120" t="s">
        <v>166</v>
      </c>
      <c r="C1" s="149" t="s">
        <v>159</v>
      </c>
      <c r="D1" s="120" t="s">
        <v>164</v>
      </c>
      <c r="E1" s="120"/>
      <c r="F1" s="120"/>
      <c r="G1" s="120"/>
      <c r="H1" s="120"/>
      <c r="I1" s="120"/>
      <c r="J1" s="120"/>
      <c r="K1" s="120"/>
      <c r="L1" s="120" t="s">
        <v>255</v>
      </c>
      <c r="M1" s="120"/>
      <c r="N1" s="120"/>
      <c r="O1" s="120"/>
      <c r="P1" s="120"/>
      <c r="Q1" s="120"/>
      <c r="R1" s="120"/>
      <c r="S1" s="120"/>
      <c r="T1" s="148" t="s">
        <v>299</v>
      </c>
    </row>
    <row r="2" spans="1:20" ht="15" x14ac:dyDescent="0.15">
      <c r="A2" s="120"/>
      <c r="B2" s="120"/>
      <c r="C2" s="120"/>
      <c r="D2" s="35" t="s">
        <v>162</v>
      </c>
      <c r="E2" s="36">
        <v>4</v>
      </c>
      <c r="F2" s="36">
        <v>6</v>
      </c>
      <c r="G2" s="36">
        <v>7</v>
      </c>
      <c r="H2" s="36">
        <v>11</v>
      </c>
      <c r="I2" s="37" t="s">
        <v>160</v>
      </c>
      <c r="J2" s="37" t="s">
        <v>161</v>
      </c>
      <c r="K2" s="38" t="s">
        <v>163</v>
      </c>
      <c r="L2" s="35" t="s">
        <v>162</v>
      </c>
      <c r="M2" s="36">
        <v>4</v>
      </c>
      <c r="N2" s="36">
        <v>6</v>
      </c>
      <c r="O2" s="36">
        <v>7</v>
      </c>
      <c r="P2" s="36">
        <v>11</v>
      </c>
      <c r="Q2" s="37" t="s">
        <v>160</v>
      </c>
      <c r="R2" s="37" t="s">
        <v>161</v>
      </c>
      <c r="S2" s="38" t="s">
        <v>163</v>
      </c>
      <c r="T2" s="148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Route_Parts_Conf!M8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Route_Parts_Conf!M13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Route_Parts_Conf!M18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Route_Parts_Conf!M23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Route_Parts_Conf!M27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Route_Parts_Conf!M30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Route_Parts_Conf!M35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Route_Parts_Conf!M38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Route_Parts_Conf!M41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Route_Parts_Conf!M44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Route_Parts_Conf!M46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Route_Parts_Conf!M50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Route_Parts_Conf!M52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Route_Parts_Conf!M54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Route_Parts_Conf!M56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Route_Parts_Conf!M59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f>Route_Parts_Conf!M65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f>Route_Parts_Conf!M71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f>Route_Parts_Conf!M75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f>Route_Parts_Conf!M78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f>Route_Parts_Conf!M81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f>Route_Parts_Conf!M85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f>Route_Parts_Conf!M88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f>Route_Parts_Conf!M90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f>Route_Parts_Conf!M93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f>Route_Parts_Conf!M96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f>Route_Parts_Conf!M98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f>Route_Parts_Conf!M101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f>Route_Parts_Conf!M103</f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f>Route_Parts_Conf!M105</f>
        <v>0</v>
      </c>
    </row>
    <row r="34" spans="1:21" x14ac:dyDescent="0.15">
      <c r="T34" s="29">
        <f>SUM(T3:T33)</f>
        <v>0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zoomScale="85" zoomScaleNormal="85" workbookViewId="0">
      <selection activeCell="C60" sqref="C60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256</v>
      </c>
      <c r="B1" s="92" t="s">
        <v>257</v>
      </c>
      <c r="C1" s="150" t="s">
        <v>300</v>
      </c>
      <c r="D1" s="150"/>
      <c r="E1" s="150"/>
      <c r="F1" s="150"/>
      <c r="G1" s="150"/>
      <c r="H1" s="150"/>
      <c r="I1" s="150"/>
      <c r="J1" s="150"/>
      <c r="K1" s="150"/>
      <c r="L1" s="150"/>
    </row>
    <row r="2" spans="1:12" x14ac:dyDescent="0.15">
      <c r="A2" s="89">
        <v>1</v>
      </c>
      <c r="B2" s="90">
        <v>0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0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0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0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0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0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0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0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0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0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0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0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0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0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0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0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0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0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0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0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0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0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0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0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0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0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0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0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51" t="s">
        <v>47</v>
      </c>
      <c r="C1" s="152"/>
      <c r="D1" s="153"/>
      <c r="E1" s="151" t="s">
        <v>48</v>
      </c>
      <c r="F1" s="152"/>
      <c r="G1" s="152"/>
      <c r="H1" s="152"/>
      <c r="I1" s="152"/>
      <c r="J1" s="152"/>
      <c r="K1" s="152"/>
      <c r="L1" s="153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51" t="s">
        <v>50</v>
      </c>
      <c r="D1" s="152"/>
      <c r="E1" s="152"/>
      <c r="F1" s="152"/>
      <c r="G1" s="152"/>
      <c r="H1" s="152"/>
      <c r="I1" s="152"/>
      <c r="J1" s="153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80</v>
      </c>
      <c r="B1" t="s">
        <v>81</v>
      </c>
      <c r="C1" t="s">
        <v>82</v>
      </c>
      <c r="D1" t="s">
        <v>83</v>
      </c>
      <c r="E1" t="s">
        <v>84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118</v>
      </c>
      <c r="B1" s="1" t="s">
        <v>92</v>
      </c>
      <c r="C1" s="1" t="s">
        <v>93</v>
      </c>
    </row>
    <row r="2" spans="1:4" ht="14.25" x14ac:dyDescent="0.15">
      <c r="A2" s="21" t="s">
        <v>119</v>
      </c>
      <c r="B2" s="21" t="s">
        <v>1</v>
      </c>
      <c r="C2" s="21" t="s">
        <v>124</v>
      </c>
      <c r="D2" s="20" t="s">
        <v>123</v>
      </c>
    </row>
    <row r="3" spans="1:4" ht="14.25" x14ac:dyDescent="0.15">
      <c r="A3" s="21" t="s">
        <v>120</v>
      </c>
      <c r="B3" s="21" t="s">
        <v>109</v>
      </c>
      <c r="C3" s="21" t="s">
        <v>125</v>
      </c>
      <c r="D3" s="20" t="s">
        <v>123</v>
      </c>
    </row>
    <row r="4" spans="1:4" ht="14.25" x14ac:dyDescent="0.15">
      <c r="A4" s="21" t="s">
        <v>127</v>
      </c>
      <c r="B4" s="21" t="s">
        <v>128</v>
      </c>
      <c r="C4" s="21" t="s">
        <v>129</v>
      </c>
      <c r="D4" s="20" t="s">
        <v>113</v>
      </c>
    </row>
    <row r="5" spans="1:4" ht="14.25" x14ac:dyDescent="0.15">
      <c r="A5" s="21" t="s">
        <v>121</v>
      </c>
      <c r="B5" s="21" t="s">
        <v>122</v>
      </c>
      <c r="C5" s="21" t="s">
        <v>94</v>
      </c>
    </row>
    <row r="6" spans="1:4" ht="14.25" x14ac:dyDescent="0.15">
      <c r="A6" s="21" t="s">
        <v>242</v>
      </c>
      <c r="B6" s="21" t="s">
        <v>240</v>
      </c>
      <c r="C6" s="21" t="s">
        <v>241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101</v>
      </c>
      <c r="B1" s="1" t="s">
        <v>107</v>
      </c>
      <c r="C1" s="19"/>
      <c r="F1" s="1" t="s">
        <v>116</v>
      </c>
      <c r="G1" s="21">
        <v>5</v>
      </c>
      <c r="H1" s="1" t="s">
        <v>117</v>
      </c>
      <c r="I1" s="21">
        <v>500</v>
      </c>
    </row>
    <row r="2" spans="1:9" ht="14.25" x14ac:dyDescent="0.15">
      <c r="A2" s="21" t="s">
        <v>102</v>
      </c>
      <c r="B2" s="21" t="s">
        <v>108</v>
      </c>
      <c r="C2" s="20" t="s">
        <v>113</v>
      </c>
      <c r="G2" s="21">
        <v>6</v>
      </c>
    </row>
    <row r="3" spans="1:9" ht="14.25" x14ac:dyDescent="0.15">
      <c r="A3" s="21" t="s">
        <v>103</v>
      </c>
      <c r="B3" s="21" t="s">
        <v>109</v>
      </c>
      <c r="C3" s="20" t="s">
        <v>113</v>
      </c>
      <c r="G3" s="21">
        <v>13</v>
      </c>
    </row>
    <row r="4" spans="1:9" ht="14.25" x14ac:dyDescent="0.15">
      <c r="A4" s="21" t="s">
        <v>104</v>
      </c>
      <c r="B4" s="21" t="s">
        <v>110</v>
      </c>
      <c r="C4" s="19"/>
      <c r="G4" s="21">
        <v>17</v>
      </c>
    </row>
    <row r="5" spans="1:9" ht="14.25" x14ac:dyDescent="0.15">
      <c r="A5" s="21" t="s">
        <v>105</v>
      </c>
      <c r="B5" s="21" t="s">
        <v>111</v>
      </c>
      <c r="C5" s="19"/>
      <c r="G5" s="21">
        <v>22</v>
      </c>
    </row>
    <row r="6" spans="1:9" ht="14.25" x14ac:dyDescent="0.15">
      <c r="A6" s="21" t="s">
        <v>106</v>
      </c>
      <c r="B6" s="21" t="s">
        <v>112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G2" sqref="G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144</v>
      </c>
      <c r="B1" s="120" t="s">
        <v>145</v>
      </c>
      <c r="C1" s="120"/>
      <c r="D1" s="120"/>
      <c r="E1" s="120"/>
      <c r="F1" s="75" t="s">
        <v>239</v>
      </c>
      <c r="G1" s="75" t="s">
        <v>238</v>
      </c>
      <c r="I1" s="68" t="s">
        <v>237</v>
      </c>
      <c r="J1" s="24" t="s">
        <v>277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146</v>
      </c>
      <c r="B1" s="27" t="s">
        <v>147</v>
      </c>
      <c r="C1" s="27" t="s">
        <v>148</v>
      </c>
      <c r="D1" s="75" t="s">
        <v>273</v>
      </c>
      <c r="E1" s="75" t="s">
        <v>274</v>
      </c>
      <c r="F1" s="75" t="s">
        <v>275</v>
      </c>
      <c r="G1" s="75" t="s">
        <v>276</v>
      </c>
    </row>
    <row r="2" spans="1:7" ht="15" x14ac:dyDescent="0.15">
      <c r="A2" s="28">
        <v>1</v>
      </c>
      <c r="B2" s="26">
        <v>1</v>
      </c>
      <c r="C2" s="26" t="s">
        <v>149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150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151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152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153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154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155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156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157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237</v>
      </c>
      <c r="B18" s="24" t="s">
        <v>248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138</vt:i4>
      </vt:variant>
    </vt:vector>
  </HeadingPairs>
  <TitlesOfParts>
    <vt:vector size="160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2018-05-10T05:51:51Z</dcterms:modified>
</cp:coreProperties>
</file>