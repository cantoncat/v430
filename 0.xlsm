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623" firstSheet="3" activeTab="5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gamma_indicator">PRD_Conf!$T$34</definedName>
    <definedName name="kappa">ATM_Conf!$C$10</definedName>
    <definedName name="lambdal">Links!$B$191:$U$191</definedName>
    <definedName name="lambdaoff">'Off-Ramp'!$B$203:$O$203</definedName>
    <definedName name="link_conf">ATM_Conf!$C$21</definedName>
    <definedName name="Ll">Links!$V$194:$AO$194</definedName>
    <definedName name="Loff">'Off-Ramp'!$B$202:$O$202</definedName>
    <definedName name="Nc">ATM_Conf!$F$7</definedName>
    <definedName name="nodes_conf">ATM_Conf!$C$22</definedName>
    <definedName name="Np">ATM_Conf!$F$6</definedName>
    <definedName name="off_ramps_conf">ATM_Conf!$C$24</definedName>
    <definedName name="on_ramps_conf">ATM_Conf!$C$23</definedName>
    <definedName name="phib">ATM_Conf!$C$13</definedName>
    <definedName name="phir">ATM_Conf!$C$12</definedName>
    <definedName name="phiw">ATM_Conf!$C$14</definedName>
    <definedName name="Qc">'On-Ramps'!$K$194:$S$194</definedName>
    <definedName name="ql">Links!$B$3:$U$3</definedName>
    <definedName name="qoff">'Off-Ramp'!$B$206:$O$206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off">'Off-Ramp'!$B$205:$O$205</definedName>
    <definedName name="von">'On-Ramps'!$CE$3:$CM$3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  <definedName name="wmax">'On-Ramps'!$C$199:$O$199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94" i="25" l="1"/>
  <c r="AN194" i="25"/>
  <c r="AI194" i="25"/>
  <c r="AJ194" i="25"/>
  <c r="AH194" i="25"/>
  <c r="AB194" i="25"/>
  <c r="AC194" i="25"/>
  <c r="AA194" i="25"/>
  <c r="W195" i="25"/>
  <c r="X195" i="25"/>
  <c r="Y195" i="25"/>
  <c r="Z195" i="25"/>
  <c r="AA195" i="25"/>
  <c r="AB195" i="25"/>
  <c r="AC195" i="25"/>
  <c r="AD195" i="25"/>
  <c r="AE195" i="25"/>
  <c r="AF195" i="25"/>
  <c r="AG195" i="25"/>
  <c r="AH195" i="25"/>
  <c r="AI195" i="25"/>
  <c r="AJ195" i="25"/>
  <c r="AK195" i="25"/>
  <c r="AL195" i="25"/>
  <c r="AM195" i="25"/>
  <c r="AN195" i="25"/>
  <c r="AO195" i="25"/>
  <c r="V195" i="25"/>
  <c r="AF3" i="20" l="1"/>
  <c r="AG3" i="20"/>
  <c r="AH3" i="20"/>
  <c r="AI3" i="20"/>
  <c r="AJ3" i="20"/>
  <c r="AE3" i="20"/>
  <c r="AD3" i="20"/>
  <c r="AC3" i="20"/>
  <c r="T34" i="15" l="1"/>
  <c r="AK3" i="20"/>
  <c r="X3" i="22" l="1"/>
  <c r="Y3" i="22"/>
  <c r="Z3" i="22"/>
  <c r="AA3" i="22"/>
  <c r="W3" i="22"/>
  <c r="V3" i="22"/>
  <c r="U3" i="22"/>
  <c r="T3" i="22"/>
  <c r="S3" i="22"/>
  <c r="R3" i="22"/>
  <c r="O3" i="22"/>
  <c r="N3" i="22"/>
  <c r="M3" i="22"/>
  <c r="L3" i="22"/>
  <c r="X3" i="25" l="1"/>
  <c r="Y3" i="25"/>
  <c r="Z3" i="25"/>
  <c r="AA3" i="25"/>
  <c r="AD3" i="25"/>
  <c r="AE3" i="25"/>
  <c r="AF3" i="25"/>
  <c r="L3" i="25" s="1"/>
  <c r="AG3" i="25"/>
  <c r="AH3" i="25"/>
  <c r="AK3" i="25"/>
  <c r="AL3" i="25"/>
  <c r="AM3" i="25"/>
  <c r="AN3" i="25"/>
  <c r="V3" i="25"/>
  <c r="B3" i="25" s="1"/>
  <c r="W3" i="25"/>
  <c r="P203" i="25"/>
  <c r="AJ3" i="25" s="1"/>
  <c r="I203" i="25"/>
  <c r="AC3" i="25" s="1"/>
  <c r="C3" i="25" l="1"/>
  <c r="D3" i="25" s="1"/>
  <c r="E3" i="25" s="1"/>
  <c r="F3" i="25" s="1"/>
  <c r="G3" i="25" s="1"/>
  <c r="M3" i="25"/>
  <c r="N3" i="25" s="1"/>
  <c r="N198" i="20"/>
  <c r="L198" i="20"/>
  <c r="K198" i="20"/>
  <c r="J198" i="20"/>
  <c r="I198" i="20"/>
  <c r="H198" i="20"/>
  <c r="G198" i="20"/>
  <c r="F198" i="20"/>
  <c r="N199" i="20"/>
  <c r="L199" i="20"/>
  <c r="K199" i="20"/>
  <c r="J199" i="20"/>
  <c r="I199" i="20"/>
  <c r="H199" i="20"/>
  <c r="G199" i="20"/>
  <c r="F199" i="20"/>
  <c r="D199" i="20"/>
  <c r="U203" i="25" l="1"/>
  <c r="AO3" i="25" s="1"/>
  <c r="O203" i="25"/>
  <c r="AI3" i="25" s="1"/>
  <c r="O3" i="25" s="1"/>
  <c r="P3" i="25" s="1"/>
  <c r="Q3" i="25" s="1"/>
  <c r="R3" i="25" s="1"/>
  <c r="S3" i="25" s="1"/>
  <c r="T3" i="25" s="1"/>
  <c r="H203" i="25"/>
  <c r="AB3" i="25" s="1"/>
  <c r="H3" i="25" s="1"/>
  <c r="I3" i="25" s="1"/>
  <c r="J3" i="25" s="1"/>
  <c r="K3" i="25" s="1"/>
  <c r="U3" i="25" l="1"/>
  <c r="M19" i="26"/>
  <c r="K19" i="26"/>
  <c r="J19" i="26"/>
  <c r="I19" i="26"/>
  <c r="H19" i="26"/>
  <c r="G19" i="26"/>
  <c r="F19" i="26"/>
  <c r="E19" i="26"/>
  <c r="C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D194" i="25"/>
  <c r="AE194" i="25"/>
  <c r="AF194" i="25"/>
  <c r="AG194" i="25"/>
  <c r="AK194" i="25"/>
  <c r="AL194" i="25"/>
  <c r="AM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L194" i="20" l="1"/>
  <c r="M194" i="20"/>
  <c r="N194" i="20"/>
  <c r="O194" i="20"/>
  <c r="P194" i="20"/>
  <c r="Q194" i="20"/>
  <c r="R194" i="20"/>
  <c r="S194" i="20"/>
  <c r="K194" i="20"/>
  <c r="U190" i="20" l="1"/>
  <c r="V190" i="20"/>
  <c r="W190" i="20"/>
  <c r="X190" i="20"/>
  <c r="Y190" i="20"/>
  <c r="Z190" i="20"/>
  <c r="AA190" i="20"/>
  <c r="AB190" i="20"/>
  <c r="T190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D22" i="26" l="1"/>
  <c r="D21" i="26"/>
  <c r="N25" i="26"/>
  <c r="N20" i="26" s="1"/>
  <c r="L24" i="26"/>
  <c r="L25" i="26"/>
  <c r="K23" i="26"/>
  <c r="K24" i="26"/>
  <c r="K25" i="26"/>
  <c r="J22" i="26"/>
  <c r="J23" i="26"/>
  <c r="J24" i="26"/>
  <c r="J25" i="26"/>
  <c r="I21" i="26"/>
  <c r="I22" i="26"/>
  <c r="I23" i="26"/>
  <c r="I24" i="26"/>
  <c r="H26" i="26"/>
  <c r="H20" i="26" s="1"/>
  <c r="G23" i="26"/>
  <c r="G24" i="26"/>
  <c r="G25" i="26"/>
  <c r="G26" i="26"/>
  <c r="F22" i="26"/>
  <c r="F23" i="26"/>
  <c r="F24" i="26"/>
  <c r="F25" i="26"/>
  <c r="F26" i="26"/>
  <c r="D23" i="26"/>
  <c r="D24" i="26"/>
  <c r="D25" i="26"/>
  <c r="L20" i="26" l="1"/>
  <c r="F20" i="26"/>
  <c r="G20" i="26"/>
  <c r="K20" i="26"/>
  <c r="I20" i="26"/>
  <c r="J20" i="26"/>
  <c r="B18" i="26"/>
  <c r="K18" i="26"/>
  <c r="J18" i="26"/>
  <c r="I18" i="26"/>
  <c r="H18" i="26"/>
  <c r="G18" i="26"/>
  <c r="F18" i="26"/>
  <c r="D18" i="26"/>
  <c r="N18" i="26"/>
  <c r="L18" i="26"/>
  <c r="D26" i="26" l="1"/>
  <c r="D20" i="26" s="1"/>
  <c r="EL183" i="25"/>
  <c r="L204" i="22" l="1"/>
  <c r="L206" i="22" s="1"/>
  <c r="O204" i="22" l="1"/>
  <c r="O206" i="22" s="1"/>
  <c r="N204" i="22"/>
  <c r="N206" i="22" s="1"/>
  <c r="K204" i="22"/>
  <c r="K206" i="22" s="1"/>
  <c r="C204" i="22"/>
  <c r="C206" i="22" s="1"/>
  <c r="M204" i="22"/>
  <c r="M206" i="22" s="1"/>
  <c r="J204" i="22"/>
  <c r="J206" i="22" s="1"/>
  <c r="I204" i="22"/>
  <c r="I206" i="22" s="1"/>
  <c r="H204" i="22"/>
  <c r="H206" i="22" s="1"/>
  <c r="G204" i="22"/>
  <c r="G206" i="22" s="1"/>
  <c r="F204" i="22"/>
  <c r="F206" i="22" s="1"/>
  <c r="E204" i="22"/>
  <c r="E206" i="22" s="1"/>
  <c r="D204" i="22"/>
  <c r="D206" i="22" s="1"/>
  <c r="B204" i="22"/>
  <c r="B206" i="22" s="1"/>
  <c r="D198" i="20"/>
</calcChain>
</file>

<file path=xl/sharedStrings.xml><?xml version="1.0" encoding="utf-8"?>
<sst xmlns="http://schemas.openxmlformats.org/spreadsheetml/2006/main" count="911" uniqueCount="462">
  <si>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</si>
  <si>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</si>
  <si>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</si>
  <si>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</si>
  <si>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</si>
  <si>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</si>
  <si>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</si>
  <si>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</si>
  <si>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</si>
  <si>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</si>
  <si>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</si>
  <si>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</si>
  <si>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</si>
  <si>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</si>
  <si>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</si>
  <si>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</si>
  <si>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</si>
  <si>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</si>
  <si>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</si>
  <si>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</si>
  <si>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</si>
  <si>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</si>
  <si>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</si>
  <si>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</si>
  <si>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</si>
  <si>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</si>
  <si>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</si>
  <si>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</si>
  <si>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</si>
  <si>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</si>
  <si>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</si>
  <si>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</si>
  <si>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</si>
  <si>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</si>
  <si>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</si>
  <si>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</si>
  <si>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</si>
  <si>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</si>
  <si>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</si>
  <si>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</si>
  <si>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</si>
  <si>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</si>
  <si>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</si>
  <si>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</si>
  <si>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</si>
  <si>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</si>
  <si>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</si>
  <si>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</si>
  <si>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</si>
  <si>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</si>
  <si>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</si>
  <si>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</si>
  <si>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</si>
  <si>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</si>
  <si>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</si>
  <si>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</si>
  <si>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</si>
  <si>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</si>
  <si>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</si>
  <si>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</si>
  <si>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</si>
  <si>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</si>
  <si>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</si>
  <si>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</si>
  <si>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</si>
  <si>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</si>
  <si>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</si>
  <si>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</si>
  <si>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</si>
  <si>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</si>
  <si>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</si>
  <si>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</si>
  <si>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</si>
  <si>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</si>
  <si>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</si>
  <si>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</si>
  <si>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</si>
  <si>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</si>
  <si>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</si>
  <si>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</si>
  <si>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</si>
  <si>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</si>
  <si>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</si>
  <si>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</si>
  <si>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</si>
  <si>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</si>
  <si>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</si>
  <si>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</si>
  <si>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</si>
  <si>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</si>
  <si>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</si>
  <si>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</si>
  <si>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</si>
  <si>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</si>
  <si>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</si>
  <si>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</si>
  <si>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</si>
  <si>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</si>
  <si>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</si>
  <si>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</si>
  <si>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</si>
  <si>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</si>
  <si>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</si>
  <si>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</si>
  <si>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</si>
  <si>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</si>
  <si>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</si>
  <si>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</si>
  <si>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</si>
  <si>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</si>
  <si>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</si>
  <si>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</si>
  <si>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</si>
  <si>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</si>
  <si>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</si>
  <si>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</si>
  <si>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</si>
  <si>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</si>
  <si>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</si>
  <si>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</si>
  <si>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</si>
  <si>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</si>
  <si>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</si>
  <si>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</si>
  <si>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</si>
  <si>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</si>
  <si>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</si>
  <si>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</si>
  <si>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</si>
  <si>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</si>
  <si>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</si>
  <si>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</si>
  <si>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</si>
  <si>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</si>
  <si>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</si>
  <si>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</si>
  <si>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</si>
  <si>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</si>
  <si>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</si>
  <si>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</si>
  <si>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</si>
  <si>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</si>
  <si>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</si>
  <si>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</si>
  <si>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</si>
  <si>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</si>
  <si>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</si>
  <si>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</si>
  <si>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</si>
  <si>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</si>
  <si>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</si>
  <si>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</si>
  <si>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</si>
  <si>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</si>
  <si>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</si>
  <si>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</si>
  <si>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</si>
  <si>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</si>
  <si>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</si>
  <si>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</si>
  <si>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</si>
  <si>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</si>
  <si>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</si>
  <si>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</si>
  <si>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</si>
  <si>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</si>
  <si>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</si>
  <si>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</si>
  <si>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</si>
  <si>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</si>
  <si>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</si>
  <si>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</si>
  <si>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</si>
  <si>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</si>
  <si>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</si>
  <si>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</si>
  <si>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</si>
  <si>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</si>
  <si>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</si>
  <si>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</si>
  <si>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</si>
  <si>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</si>
  <si>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</si>
  <si>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</si>
  <si>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</si>
  <si>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</si>
  <si>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</si>
  <si>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</si>
  <si>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</si>
  <si>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</si>
  <si>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</si>
  <si>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</si>
  <si>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</si>
  <si>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</si>
  <si>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</si>
  <si>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</si>
  <si>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</si>
  <si>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</si>
  <si>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</si>
  <si>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</si>
  <si>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</si>
  <si>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</si>
  <si>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</si>
  <si>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</si>
  <si>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</si>
  <si>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</si>
  <si>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</si>
  <si>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</si>
  <si>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</si>
  <si>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</si>
  <si>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</si>
  <si>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</si>
  <si>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</si>
  <si>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</si>
  <si>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</si>
  <si>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</si>
  <si>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</si>
  <si>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</si>
  <si>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</si>
  <si>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</si>
  <si>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</si>
  <si>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</si>
  <si>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</si>
  <si>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</si>
  <si>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</si>
  <si>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</si>
  <si>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</si>
  <si>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</si>
  <si>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</si>
  <si>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</si>
  <si>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</si>
  <si>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</si>
  <si>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</si>
  <si>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</si>
  <si>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</si>
  <si>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</si>
  <si>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</si>
  <si>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</si>
  <si>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</si>
  <si>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</si>
  <si>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</si>
  <si>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</si>
  <si>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</si>
  <si>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</si>
  <si>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</si>
  <si>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</si>
  <si>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</si>
  <si>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</si>
  <si>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</si>
  <si>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</si>
  <si>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</si>
  <si>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</si>
  <si>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</si>
  <si>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</si>
  <si>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</si>
  <si>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</si>
  <si>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</si>
  <si>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</si>
  <si>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</si>
  <si>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</si>
  <si>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</si>
  <si>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</si>
  <si>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</si>
  <si>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</si>
  <si>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</si>
  <si>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</si>
  <si>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</si>
  <si>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</si>
  <si>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</si>
  <si>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</si>
  <si>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</si>
  <si>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</si>
  <si>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</si>
  <si>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</si>
  <si>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</si>
  <si>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</si>
  <si>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</si>
  <si>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</si>
  <si>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</si>
  <si>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</si>
  <si>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</si>
  <si>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</si>
  <si>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</si>
  <si>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</si>
  <si>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</si>
  <si>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</si>
  <si>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</si>
  <si>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</si>
  <si>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</si>
  <si>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</si>
  <si>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</si>
  <si>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</si>
  <si>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</si>
  <si>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</si>
  <si>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</si>
  <si>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</si>
  <si>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</si>
  <si>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</si>
  <si>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</si>
  <si>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</si>
  <si>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</si>
  <si>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</si>
  <si>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</si>
  <si>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</si>
  <si>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</si>
  <si>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</si>
  <si>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</si>
  <si>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</si>
  <si>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</si>
  <si>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</si>
  <si>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</si>
  <si>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</si>
  <si>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</si>
  <si>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</si>
  <si>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</si>
  <si>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</si>
  <si>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</si>
  <si>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</si>
  <si>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</si>
  <si>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</si>
  <si>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</si>
  <si>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</si>
  <si>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</si>
  <si>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</si>
  <si>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</si>
  <si>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</si>
  <si>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</si>
  <si>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</si>
  <si>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</si>
  <si>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</si>
  <si>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</si>
  <si>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</si>
  <si>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</si>
  <si>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</si>
  <si>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</si>
  <si>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</si>
  <si>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</si>
  <si>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</si>
  <si>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</si>
  <si>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</si>
  <si>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</si>
  <si>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</si>
  <si>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</si>
  <si>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</si>
  <si>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</si>
  <si>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</si>
  <si>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</si>
  <si>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</si>
  <si>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</si>
  <si>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</si>
  <si>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</si>
  <si>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</si>
  <si>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</si>
  <si>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</si>
  <si>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</si>
  <si>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</si>
  <si>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</si>
  <si>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</si>
  <si>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</si>
  <si>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</si>
  <si>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</si>
  <si>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</si>
  <si>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</si>
  <si>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</si>
  <si>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</si>
  <si>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</si>
  <si>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</si>
  <si>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</si>
  <si>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</si>
  <si>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</si>
  <si>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</si>
  <si>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</si>
  <si>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</si>
  <si>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</si>
  <si>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</si>
  <si>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</si>
  <si>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</si>
  <si>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</si>
  <si>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</si>
  <si>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</si>
  <si>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</si>
  <si>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</si>
  <si>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</si>
  <si>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</si>
  <si>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</si>
  <si>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</si>
  <si>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</si>
  <si>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</si>
  <si>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</si>
  <si>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</si>
  <si>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</si>
  <si>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</si>
  <si>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</si>
  <si>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</si>
  <si>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</si>
  <si>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</si>
  <si>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</si>
  <si>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</si>
  <si>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</si>
  <si>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</si>
  <si>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</si>
  <si>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</si>
  <si>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</si>
  <si>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</si>
  <si>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</si>
  <si>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</si>
  <si>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</si>
  <si>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</si>
  <si>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</si>
  <si>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</si>
  <si>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</si>
  <si>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</si>
  <si>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</si>
  <si>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</si>
  <si>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</si>
  <si>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</si>
  <si>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</si>
  <si>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</si>
  <si>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</si>
  <si>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</si>
  <si>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</si>
  <si>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</si>
  <si>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</si>
  <si>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</si>
  <si>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</si>
  <si>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</si>
  <si>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</si>
  <si>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</si>
  <si>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</si>
  <si>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</si>
  <si>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</si>
  <si>
    <t>exitflag</t>
    <phoneticPr fontId="1" type="noConversion"/>
  </si>
  <si>
    <t>$</t>
    <phoneticPr fontId="1" type="noConversion"/>
  </si>
  <si>
    <t>F:\Documents\粤S41\Test\ATM_Test.csv</t>
    <phoneticPr fontId="1" type="noConversion"/>
  </si>
  <si>
    <t>Interval</t>
    <phoneticPr fontId="1" type="noConversion"/>
  </si>
  <si>
    <t xml:space="preserve">sec. </t>
    <phoneticPr fontId="1" type="noConversion"/>
  </si>
  <si>
    <t>k 10s</t>
    <phoneticPr fontId="1" type="noConversion"/>
  </si>
  <si>
    <t>k 10s</t>
    <phoneticPr fontId="1" type="noConversion"/>
  </si>
  <si>
    <t>start-up time</t>
    <phoneticPr fontId="1" type="noConversion"/>
  </si>
  <si>
    <t xml:space="preserve">sec. </t>
    <phoneticPr fontId="1" type="noConversion"/>
  </si>
  <si>
    <t>Links</t>
    <phoneticPr fontId="1" type="noConversion"/>
  </si>
  <si>
    <t>Links</t>
    <phoneticPr fontId="1" type="noConversion"/>
  </si>
  <si>
    <t>w_max</t>
    <phoneticPr fontId="1" type="noConversion"/>
  </si>
  <si>
    <t>07:00:00</t>
    <phoneticPr fontId="1" type="noConversion"/>
  </si>
  <si>
    <t xml:space="preserve">This parameter must be set in VISSIM GUI manually, otherwise results would only be zero. </t>
    <phoneticPr fontId="1" type="noConversion"/>
  </si>
  <si>
    <t>Category</t>
    <phoneticPr fontId="1" type="noConversion"/>
  </si>
  <si>
    <t>v</t>
    <phoneticPr fontId="1" type="noConversion"/>
  </si>
  <si>
    <t>Off-Ramp</t>
    <phoneticPr fontId="1" type="noConversion"/>
  </si>
  <si>
    <t>q</t>
    <phoneticPr fontId="1" type="noConversion"/>
  </si>
  <si>
    <t>q</t>
    <phoneticPr fontId="1" type="noConversion"/>
  </si>
  <si>
    <t>Data Source</t>
  </si>
  <si>
    <t>F:\Documents\粤S41\Day1.csv</t>
  </si>
  <si>
    <t>CSV File Full Path</t>
  </si>
  <si>
    <t>w_return</t>
    <phoneticPr fontId="1" type="noConversion"/>
  </si>
  <si>
    <t>MATLAB</t>
    <phoneticPr fontId="1" type="noConversion"/>
  </si>
  <si>
    <t>ETT</t>
    <phoneticPr fontId="1" type="noConversion"/>
  </si>
  <si>
    <t>pi</t>
    <phoneticPr fontId="1" type="noConversion"/>
  </si>
  <si>
    <t>pi_tt</t>
    <phoneticPr fontId="1" type="noConversion"/>
  </si>
  <si>
    <t>pi_w</t>
    <phoneticPr fontId="1" type="noConversion"/>
  </si>
  <si>
    <t>!</t>
    <phoneticPr fontId="1" type="noConversion"/>
  </si>
  <si>
    <t>%</t>
    <phoneticPr fontId="1" type="noConversion"/>
  </si>
  <si>
    <t>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</si>
</sst>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  <font>
      <b/>
      <u/>
      <sz val="12"/>
      <color rgb="FFFF66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10" fillId="19" borderId="0" xfId="0" applyFont="1" applyFill="1">
      <alignment vertical="center"/>
    </xf>
    <xf numFmtId="0" fontId="10" fillId="21" borderId="0" xfId="0" applyFont="1" applyFill="1">
      <alignment vertical="center"/>
    </xf>
    <xf numFmtId="0" fontId="0" fillId="14" borderId="0" xfId="0" applyFill="1" applyAlignment="1">
      <alignment horizontal="center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9" fillId="21" borderId="0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sng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mergencyStop">
                <anchor moveWithCells="1" sizeWithCells="1">
                  <from>
                    <xdr:col>1</xdr:col>
                    <xdr:colOff>0</xdr:colOff>
                    <xdr:row>12</xdr:row>
                    <xdr:rowOff>152400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K38"/>
  <sheetViews>
    <sheetView workbookViewId="0">
      <selection activeCell="E3" sqref="E3:J3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115" ht="14.25" x14ac:dyDescent="0.15">
      <c r="A1" s="13" t="s">
        <v>445</v>
      </c>
      <c r="B1" s="13" t="s">
        <v>21</v>
      </c>
      <c r="C1" s="13" t="s">
        <v>22</v>
      </c>
      <c r="D1" s="13" t="s">
        <v>23</v>
      </c>
    </row>
    <row r="2" spans="1:115" ht="14.25" x14ac:dyDescent="0.15">
      <c r="A2" s="119" t="s">
        <v>41</v>
      </c>
      <c r="B2" s="6" t="s">
        <v>24</v>
      </c>
      <c r="C2" s="7" t="s">
        <v>66</v>
      </c>
      <c r="D2" s="6" t="s">
        <v>38</v>
      </c>
    </row>
    <row r="3" spans="1:115" ht="14.25" x14ac:dyDescent="0.15">
      <c r="A3" s="119"/>
      <c r="B3" s="111" t="s">
        <v>450</v>
      </c>
      <c r="C3" s="112" t="s">
        <v>451</v>
      </c>
      <c r="D3" s="111" t="s">
        <v>452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</row>
    <row r="4" spans="1:115" ht="14.25" x14ac:dyDescent="0.15">
      <c r="A4" s="119"/>
      <c r="B4" s="16" t="s">
        <v>25</v>
      </c>
      <c r="C4" s="17" t="s">
        <v>70</v>
      </c>
      <c r="D4" s="18"/>
    </row>
    <row r="5" spans="1:115" ht="14.25" x14ac:dyDescent="0.15">
      <c r="A5" s="119"/>
      <c r="B5" s="6" t="s">
        <v>30</v>
      </c>
      <c r="C5" s="7" t="s">
        <v>31</v>
      </c>
      <c r="D5" s="6" t="s">
        <v>39</v>
      </c>
    </row>
    <row r="6" spans="1:115" ht="14.25" x14ac:dyDescent="0.15">
      <c r="A6" s="119"/>
      <c r="B6" s="6" t="s">
        <v>50</v>
      </c>
      <c r="C6" s="7" t="s">
        <v>52</v>
      </c>
      <c r="D6" s="6" t="s">
        <v>39</v>
      </c>
    </row>
    <row r="7" spans="1:115" ht="14.25" x14ac:dyDescent="0.15">
      <c r="A7" s="119"/>
      <c r="B7" s="6" t="s">
        <v>51</v>
      </c>
      <c r="C7" s="7" t="s">
        <v>53</v>
      </c>
      <c r="D7" s="6" t="s">
        <v>39</v>
      </c>
    </row>
    <row r="8" spans="1:115" ht="14.25" x14ac:dyDescent="0.15">
      <c r="A8" s="119"/>
      <c r="B8" s="6" t="s">
        <v>54</v>
      </c>
      <c r="C8" s="7" t="s">
        <v>55</v>
      </c>
      <c r="D8" s="6" t="s">
        <v>39</v>
      </c>
    </row>
    <row r="9" spans="1:115" ht="14.25" x14ac:dyDescent="0.15">
      <c r="A9" s="119"/>
      <c r="B9" s="6" t="s">
        <v>62</v>
      </c>
      <c r="C9" s="14" t="s">
        <v>63</v>
      </c>
      <c r="D9" s="6" t="s">
        <v>64</v>
      </c>
    </row>
    <row r="10" spans="1:115" ht="14.25" x14ac:dyDescent="0.15">
      <c r="A10" s="119" t="s">
        <v>42</v>
      </c>
      <c r="B10" s="6" t="s">
        <v>59</v>
      </c>
      <c r="C10" s="7">
        <v>58</v>
      </c>
      <c r="D10" s="6"/>
    </row>
    <row r="11" spans="1:115" ht="14.25" x14ac:dyDescent="0.15">
      <c r="A11" s="119"/>
      <c r="B11" s="6" t="s">
        <v>34</v>
      </c>
      <c r="C11" s="7">
        <v>0</v>
      </c>
      <c r="D11" s="6" t="s">
        <v>35</v>
      </c>
    </row>
    <row r="12" spans="1:115" ht="14.25" x14ac:dyDescent="0.15">
      <c r="A12" s="119"/>
      <c r="B12" s="6" t="s">
        <v>60</v>
      </c>
      <c r="C12" s="15" t="s">
        <v>443</v>
      </c>
      <c r="D12" s="6" t="s">
        <v>36</v>
      </c>
    </row>
    <row r="13" spans="1:115" ht="14.25" x14ac:dyDescent="0.15">
      <c r="A13" s="119"/>
      <c r="B13" s="6" t="s">
        <v>67</v>
      </c>
      <c r="C13" s="7">
        <v>3000</v>
      </c>
      <c r="D13" s="6"/>
    </row>
    <row r="14" spans="1:115" ht="14.25" x14ac:dyDescent="0.15">
      <c r="A14" s="119"/>
      <c r="B14" s="16" t="s">
        <v>68</v>
      </c>
      <c r="C14" s="17" t="s">
        <v>69</v>
      </c>
      <c r="D14" s="16" t="s">
        <v>32</v>
      </c>
    </row>
    <row r="15" spans="1:115" ht="14.25" x14ac:dyDescent="0.15">
      <c r="A15" s="119"/>
      <c r="B15" s="6" t="s">
        <v>61</v>
      </c>
      <c r="C15" s="7">
        <v>2</v>
      </c>
      <c r="D15" s="6" t="s">
        <v>33</v>
      </c>
    </row>
    <row r="16" spans="1:115" ht="14.25" x14ac:dyDescent="0.15">
      <c r="A16" s="119" t="s">
        <v>86</v>
      </c>
      <c r="B16" s="6" t="s">
        <v>71</v>
      </c>
      <c r="C16" s="7" t="s">
        <v>72</v>
      </c>
      <c r="D16" s="6" t="s">
        <v>73</v>
      </c>
    </row>
    <row r="17" spans="1:4" ht="14.25" x14ac:dyDescent="0.15">
      <c r="A17" s="119"/>
      <c r="B17" s="6" t="s">
        <v>88</v>
      </c>
      <c r="C17" s="7">
        <v>120</v>
      </c>
      <c r="D17" s="6" t="s">
        <v>444</v>
      </c>
    </row>
    <row r="18" spans="1:4" ht="14.25" x14ac:dyDescent="0.15">
      <c r="A18" s="119"/>
      <c r="B18" s="6" t="s">
        <v>89</v>
      </c>
      <c r="C18" s="7" t="s">
        <v>96</v>
      </c>
      <c r="D18" s="6" t="s">
        <v>37</v>
      </c>
    </row>
    <row r="19" spans="1:4" ht="14.25" x14ac:dyDescent="0.15">
      <c r="A19" s="119"/>
      <c r="B19" s="6" t="s">
        <v>84</v>
      </c>
      <c r="C19" s="7">
        <v>1</v>
      </c>
      <c r="D19" s="6" t="s">
        <v>85</v>
      </c>
    </row>
    <row r="20" spans="1:4" ht="14.25" x14ac:dyDescent="0.15">
      <c r="A20" s="119"/>
      <c r="B20" s="6" t="s">
        <v>213</v>
      </c>
      <c r="C20" s="7"/>
      <c r="D20" s="6"/>
    </row>
    <row r="21" spans="1:4" ht="14.25" x14ac:dyDescent="0.15">
      <c r="A21" s="113" t="s">
        <v>74</v>
      </c>
      <c r="B21" s="6" t="s">
        <v>75</v>
      </c>
      <c r="C21" s="7" t="s">
        <v>76</v>
      </c>
      <c r="D21" s="6" t="s">
        <v>77</v>
      </c>
    </row>
    <row r="22" spans="1:4" ht="14.25" x14ac:dyDescent="0.15">
      <c r="A22" s="114"/>
      <c r="B22" s="6" t="s">
        <v>84</v>
      </c>
      <c r="C22" s="7">
        <v>1</v>
      </c>
      <c r="D22" s="6" t="s">
        <v>85</v>
      </c>
    </row>
    <row r="23" spans="1:4" ht="14.25" x14ac:dyDescent="0.15">
      <c r="A23" s="114"/>
      <c r="B23" s="6" t="s">
        <v>78</v>
      </c>
      <c r="C23" s="7"/>
      <c r="D23" s="6"/>
    </row>
    <row r="24" spans="1:4" ht="14.25" x14ac:dyDescent="0.15">
      <c r="A24" s="114"/>
      <c r="B24" s="6" t="s">
        <v>78</v>
      </c>
      <c r="C24" s="7"/>
      <c r="D24" s="6"/>
    </row>
    <row r="25" spans="1:4" ht="14.25" x14ac:dyDescent="0.15">
      <c r="A25" s="114"/>
      <c r="B25" s="6" t="s">
        <v>78</v>
      </c>
      <c r="C25" s="7"/>
      <c r="D25" s="6"/>
    </row>
    <row r="26" spans="1:4" ht="14.25" customHeight="1" x14ac:dyDescent="0.15">
      <c r="A26" s="116" t="s">
        <v>93</v>
      </c>
      <c r="B26" s="6" t="s">
        <v>95</v>
      </c>
      <c r="C26" s="7">
        <v>10</v>
      </c>
      <c r="D26" s="6" t="s">
        <v>94</v>
      </c>
    </row>
    <row r="27" spans="1:4" ht="14.25" x14ac:dyDescent="0.15">
      <c r="A27" s="117"/>
      <c r="B27" s="6" t="s">
        <v>89</v>
      </c>
      <c r="C27" s="7" t="s">
        <v>112</v>
      </c>
      <c r="D27" s="6" t="s">
        <v>113</v>
      </c>
    </row>
    <row r="28" spans="1:4" ht="14.25" x14ac:dyDescent="0.15">
      <c r="A28" s="117"/>
      <c r="B28" s="6" t="s">
        <v>75</v>
      </c>
      <c r="C28" s="7" t="s">
        <v>97</v>
      </c>
      <c r="D28" s="6" t="s">
        <v>98</v>
      </c>
    </row>
    <row r="29" spans="1:4" ht="14.25" x14ac:dyDescent="0.15">
      <c r="A29" s="117"/>
      <c r="B29" s="6" t="s">
        <v>84</v>
      </c>
      <c r="C29" s="7">
        <v>0</v>
      </c>
      <c r="D29" s="6" t="s">
        <v>85</v>
      </c>
    </row>
    <row r="30" spans="1:4" ht="28.5" x14ac:dyDescent="0.15">
      <c r="A30" s="117"/>
      <c r="B30" s="6" t="s">
        <v>68</v>
      </c>
      <c r="C30" s="7">
        <v>15</v>
      </c>
      <c r="D30" s="22" t="s">
        <v>128</v>
      </c>
    </row>
    <row r="31" spans="1:4" ht="14.25" x14ac:dyDescent="0.15">
      <c r="A31" s="118"/>
      <c r="B31" s="6" t="s">
        <v>124</v>
      </c>
      <c r="C31" s="7" t="s">
        <v>129</v>
      </c>
      <c r="D31" s="6"/>
    </row>
    <row r="32" spans="1:4" ht="14.25" x14ac:dyDescent="0.15">
      <c r="A32" s="113" t="s">
        <v>133</v>
      </c>
      <c r="B32" s="6" t="s">
        <v>134</v>
      </c>
      <c r="C32" s="7" t="s">
        <v>136</v>
      </c>
      <c r="D32" s="6"/>
    </row>
    <row r="33" spans="1:4" ht="14.25" x14ac:dyDescent="0.15">
      <c r="A33" s="114"/>
      <c r="B33" s="6" t="s">
        <v>130</v>
      </c>
      <c r="C33" s="7">
        <v>1</v>
      </c>
      <c r="D33" s="6"/>
    </row>
    <row r="34" spans="1:4" ht="14.25" x14ac:dyDescent="0.15">
      <c r="A34" s="114"/>
      <c r="B34" s="6" t="s">
        <v>131</v>
      </c>
      <c r="C34" s="7">
        <v>1</v>
      </c>
      <c r="D34" s="6"/>
    </row>
    <row r="35" spans="1:4" ht="14.25" x14ac:dyDescent="0.15">
      <c r="A35" s="114"/>
      <c r="B35" s="6" t="s">
        <v>132</v>
      </c>
      <c r="C35" s="7">
        <v>1</v>
      </c>
      <c r="D35" s="6"/>
    </row>
    <row r="36" spans="1:4" ht="14.25" x14ac:dyDescent="0.15">
      <c r="A36" s="114"/>
      <c r="B36" s="6" t="s">
        <v>135</v>
      </c>
      <c r="C36" s="7">
        <v>1</v>
      </c>
      <c r="D36" s="6" t="s">
        <v>85</v>
      </c>
    </row>
    <row r="37" spans="1:4" ht="14.25" x14ac:dyDescent="0.15">
      <c r="A37" s="114"/>
      <c r="B37" s="6" t="s">
        <v>434</v>
      </c>
      <c r="C37" s="7">
        <v>120</v>
      </c>
      <c r="D37" s="6" t="s">
        <v>435</v>
      </c>
    </row>
    <row r="38" spans="1:4" ht="14.25" x14ac:dyDescent="0.15">
      <c r="A38" s="115"/>
      <c r="B38" s="6" t="s">
        <v>438</v>
      </c>
      <c r="C38" s="7">
        <v>600</v>
      </c>
      <c r="D38" s="6" t="s">
        <v>439</v>
      </c>
    </row>
  </sheetData>
  <dataConsolidate/>
  <mergeCells count="6">
    <mergeCell ref="A32:A38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workbookViewId="0">
      <selection activeCell="F10" sqref="F10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40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20" t="s">
        <v>41</v>
      </c>
      <c r="B2" s="52" t="s">
        <v>137</v>
      </c>
      <c r="C2" s="102" t="s">
        <v>141</v>
      </c>
      <c r="D2" s="52"/>
    </row>
    <row r="3" spans="1:9" ht="15" x14ac:dyDescent="0.15">
      <c r="A3" s="121"/>
      <c r="B3" s="52" t="s">
        <v>138</v>
      </c>
      <c r="C3" s="102" t="s">
        <v>140</v>
      </c>
      <c r="D3" s="52"/>
      <c r="H3" s="62" t="s">
        <v>203</v>
      </c>
      <c r="I3" s="63" t="s">
        <v>300</v>
      </c>
    </row>
    <row r="4" spans="1:9" ht="15" x14ac:dyDescent="0.15">
      <c r="A4" s="122"/>
      <c r="B4" s="52" t="s">
        <v>139</v>
      </c>
      <c r="C4" s="102" t="s">
        <v>156</v>
      </c>
      <c r="D4" s="52"/>
    </row>
    <row r="5" spans="1:9" ht="15" x14ac:dyDescent="0.15">
      <c r="A5" s="123" t="s">
        <v>172</v>
      </c>
      <c r="B5" s="52" t="s">
        <v>173</v>
      </c>
      <c r="C5" s="102">
        <v>10</v>
      </c>
      <c r="D5" s="52" t="s">
        <v>174</v>
      </c>
      <c r="E5" s="52" t="s">
        <v>310</v>
      </c>
      <c r="F5" s="102">
        <v>120</v>
      </c>
      <c r="G5" s="52"/>
    </row>
    <row r="6" spans="1:9" ht="15" x14ac:dyDescent="0.15">
      <c r="A6" s="123"/>
      <c r="B6" s="52" t="s">
        <v>175</v>
      </c>
      <c r="C6" s="102">
        <v>180</v>
      </c>
      <c r="D6" s="52"/>
      <c r="E6" s="52" t="s">
        <v>311</v>
      </c>
      <c r="F6" s="102">
        <v>60</v>
      </c>
      <c r="G6" s="52" t="s">
        <v>436</v>
      </c>
    </row>
    <row r="7" spans="1:9" ht="15" x14ac:dyDescent="0.15">
      <c r="A7" s="123"/>
      <c r="B7" s="52" t="s">
        <v>176</v>
      </c>
      <c r="C7" s="102">
        <v>33.5</v>
      </c>
      <c r="D7" s="52" t="s">
        <v>177</v>
      </c>
      <c r="E7" s="52" t="s">
        <v>312</v>
      </c>
      <c r="F7" s="102">
        <v>6</v>
      </c>
      <c r="G7" s="52" t="s">
        <v>437</v>
      </c>
    </row>
    <row r="8" spans="1:9" ht="15" x14ac:dyDescent="0.15">
      <c r="A8" s="123"/>
      <c r="B8" s="52" t="s">
        <v>178</v>
      </c>
      <c r="C8" s="102">
        <v>18</v>
      </c>
      <c r="D8" s="52"/>
      <c r="E8" s="52" t="s">
        <v>313</v>
      </c>
      <c r="F8" s="102">
        <v>0.3</v>
      </c>
      <c r="G8" s="52"/>
    </row>
    <row r="9" spans="1:9" ht="15" x14ac:dyDescent="0.15">
      <c r="A9" s="123"/>
      <c r="B9" s="52" t="s">
        <v>179</v>
      </c>
      <c r="C9" s="102">
        <v>60</v>
      </c>
      <c r="D9" s="52"/>
      <c r="E9" s="52" t="s">
        <v>314</v>
      </c>
      <c r="F9" s="102">
        <v>0.5</v>
      </c>
      <c r="G9" s="52"/>
    </row>
    <row r="10" spans="1:9" ht="15" x14ac:dyDescent="0.15">
      <c r="A10" s="123"/>
      <c r="B10" s="52" t="s">
        <v>181</v>
      </c>
      <c r="C10" s="102">
        <v>40</v>
      </c>
      <c r="D10" s="52"/>
    </row>
    <row r="11" spans="1:9" ht="15" x14ac:dyDescent="0.15">
      <c r="A11" s="123"/>
      <c r="B11" s="52" t="s">
        <v>182</v>
      </c>
      <c r="C11" s="102">
        <v>0.3</v>
      </c>
      <c r="D11" s="52" t="s">
        <v>180</v>
      </c>
    </row>
    <row r="12" spans="1:9" ht="15" x14ac:dyDescent="0.15">
      <c r="A12" s="123"/>
      <c r="B12" s="52" t="s">
        <v>201</v>
      </c>
      <c r="C12" s="102">
        <v>1</v>
      </c>
      <c r="D12" s="52" t="s">
        <v>207</v>
      </c>
    </row>
    <row r="13" spans="1:9" ht="15" x14ac:dyDescent="0.15">
      <c r="A13" s="123"/>
      <c r="B13" s="52" t="s">
        <v>210</v>
      </c>
      <c r="C13" s="102">
        <v>1</v>
      </c>
      <c r="D13" s="52" t="s">
        <v>208</v>
      </c>
    </row>
    <row r="14" spans="1:9" ht="15" x14ac:dyDescent="0.15">
      <c r="A14" s="123"/>
      <c r="B14" s="52" t="s">
        <v>202</v>
      </c>
      <c r="C14" s="102">
        <v>1</v>
      </c>
      <c r="D14" s="52" t="s">
        <v>209</v>
      </c>
    </row>
    <row r="15" spans="1:9" ht="15" x14ac:dyDescent="0.15">
      <c r="A15" s="123"/>
      <c r="B15" s="52" t="s">
        <v>211</v>
      </c>
      <c r="C15" s="102">
        <v>1</v>
      </c>
      <c r="D15" s="52" t="s">
        <v>212</v>
      </c>
    </row>
    <row r="16" spans="1:9" ht="15" x14ac:dyDescent="0.15">
      <c r="A16" s="123"/>
      <c r="B16" s="52" t="s">
        <v>214</v>
      </c>
      <c r="C16" s="102"/>
      <c r="D16" s="52" t="s">
        <v>215</v>
      </c>
    </row>
    <row r="17" spans="1:4" ht="15" x14ac:dyDescent="0.15">
      <c r="A17" s="123"/>
      <c r="B17" s="52" t="s">
        <v>307</v>
      </c>
      <c r="C17" s="102">
        <v>1.867</v>
      </c>
      <c r="D17" s="52"/>
    </row>
    <row r="18" spans="1:4" ht="15" x14ac:dyDescent="0.15">
      <c r="A18" s="123"/>
      <c r="B18" s="52" t="s">
        <v>308</v>
      </c>
      <c r="C18" s="102">
        <v>0.7</v>
      </c>
      <c r="D18" s="52"/>
    </row>
    <row r="19" spans="1:4" ht="15" x14ac:dyDescent="0.15">
      <c r="A19" s="123"/>
      <c r="B19" s="52" t="s">
        <v>309</v>
      </c>
      <c r="C19" s="102">
        <v>1.9</v>
      </c>
      <c r="D19" s="52"/>
    </row>
    <row r="20" spans="1:4" ht="15" x14ac:dyDescent="0.15">
      <c r="A20" s="123" t="s">
        <v>269</v>
      </c>
      <c r="B20" s="52" t="s">
        <v>266</v>
      </c>
      <c r="C20" s="103" t="s">
        <v>265</v>
      </c>
      <c r="D20" s="52"/>
    </row>
    <row r="21" spans="1:4" ht="15" x14ac:dyDescent="0.15">
      <c r="A21" s="123"/>
      <c r="B21" s="52" t="s">
        <v>243</v>
      </c>
      <c r="C21" s="103" t="s">
        <v>262</v>
      </c>
      <c r="D21" s="52"/>
    </row>
    <row r="22" spans="1:4" ht="15" x14ac:dyDescent="0.15">
      <c r="A22" s="123"/>
      <c r="B22" s="52" t="s">
        <v>263</v>
      </c>
      <c r="C22" s="103" t="s">
        <v>263</v>
      </c>
      <c r="D22" s="52"/>
    </row>
    <row r="23" spans="1:4" ht="15" x14ac:dyDescent="0.15">
      <c r="A23" s="123"/>
      <c r="B23" s="52" t="s">
        <v>267</v>
      </c>
      <c r="C23" s="103" t="s">
        <v>264</v>
      </c>
      <c r="D23" s="52"/>
    </row>
    <row r="24" spans="1:4" ht="15" x14ac:dyDescent="0.15">
      <c r="A24" s="123"/>
      <c r="B24" s="52" t="s">
        <v>268</v>
      </c>
      <c r="C24" s="103" t="s">
        <v>270</v>
      </c>
      <c r="D24" s="52"/>
    </row>
    <row r="25" spans="1:4" ht="15" x14ac:dyDescent="0.15">
      <c r="A25" s="123"/>
      <c r="B25" s="52" t="s">
        <v>423</v>
      </c>
      <c r="C25" s="103" t="s">
        <v>424</v>
      </c>
      <c r="D25" s="52"/>
    </row>
    <row r="26" spans="1:4" ht="15" x14ac:dyDescent="0.15">
      <c r="A26" s="123"/>
      <c r="B26" s="52" t="s">
        <v>425</v>
      </c>
      <c r="C26" s="103" t="s">
        <v>299</v>
      </c>
      <c r="D26" s="52"/>
    </row>
    <row r="27" spans="1:4" ht="15" x14ac:dyDescent="0.15">
      <c r="A27" s="123"/>
      <c r="B27" s="52"/>
      <c r="C27" s="102"/>
      <c r="D27" s="52"/>
    </row>
    <row r="28" spans="1:4" ht="15" x14ac:dyDescent="0.15">
      <c r="A28" s="123"/>
      <c r="B28" s="52"/>
      <c r="C28" s="102"/>
      <c r="D28" s="52"/>
    </row>
    <row r="29" spans="1:4" ht="15" x14ac:dyDescent="0.15">
      <c r="A29" s="123"/>
      <c r="B29" s="52"/>
      <c r="C29" s="102"/>
      <c r="D29" s="52"/>
    </row>
    <row r="30" spans="1:4" ht="15" x14ac:dyDescent="0.15">
      <c r="A30" s="123" t="s">
        <v>429</v>
      </c>
      <c r="B30" s="52" t="s">
        <v>426</v>
      </c>
      <c r="C30" s="102">
        <v>1</v>
      </c>
      <c r="D30" s="52" t="s">
        <v>418</v>
      </c>
    </row>
    <row r="31" spans="1:4" x14ac:dyDescent="0.15">
      <c r="A31" s="123"/>
      <c r="B31" s="52" t="s">
        <v>427</v>
      </c>
      <c r="C31" s="7" t="s">
        <v>433</v>
      </c>
      <c r="D31" s="52"/>
    </row>
    <row r="32" spans="1:4" ht="15" x14ac:dyDescent="0.15">
      <c r="A32" s="123"/>
      <c r="B32" s="52" t="s">
        <v>428</v>
      </c>
      <c r="C32" s="102" t="s">
        <v>430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7"/>
  <sheetViews>
    <sheetView workbookViewId="0">
      <selection sqref="A1:H1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24" t="s">
        <v>241</v>
      </c>
      <c r="B1" s="124"/>
      <c r="C1" s="124"/>
      <c r="D1" s="124"/>
      <c r="E1" s="124"/>
      <c r="F1" s="124"/>
      <c r="G1" s="124"/>
      <c r="H1" s="124"/>
      <c r="I1" s="124" t="s">
        <v>242</v>
      </c>
      <c r="J1" s="124"/>
      <c r="K1" s="124"/>
      <c r="L1" s="124"/>
      <c r="M1" s="124"/>
      <c r="N1" s="124"/>
      <c r="O1" s="124"/>
      <c r="P1" s="124"/>
    </row>
    <row r="2" spans="1:16" ht="15" x14ac:dyDescent="0.15">
      <c r="A2" s="125" t="s">
        <v>233</v>
      </c>
      <c r="B2" s="125"/>
      <c r="C2" s="125"/>
      <c r="D2" s="125"/>
      <c r="E2" s="125" t="s">
        <v>234</v>
      </c>
      <c r="F2" s="125"/>
      <c r="G2" s="125"/>
      <c r="H2" s="125"/>
      <c r="I2" s="125" t="s">
        <v>233</v>
      </c>
      <c r="J2" s="125"/>
      <c r="K2" s="125"/>
      <c r="L2" s="125"/>
      <c r="M2" s="126"/>
      <c r="N2" s="126"/>
      <c r="O2" s="126"/>
      <c r="P2" s="126"/>
    </row>
    <row r="3" spans="1:16" ht="15" x14ac:dyDescent="0.15">
      <c r="A3" s="64" t="s">
        <v>216</v>
      </c>
      <c r="B3" s="64" t="s">
        <v>217</v>
      </c>
      <c r="C3" s="64" t="s">
        <v>218</v>
      </c>
      <c r="D3" s="64" t="s">
        <v>219</v>
      </c>
      <c r="E3" s="64" t="s">
        <v>220</v>
      </c>
      <c r="F3" s="64" t="s">
        <v>221</v>
      </c>
      <c r="G3" s="64" t="s">
        <v>222</v>
      </c>
      <c r="H3" s="64" t="s">
        <v>223</v>
      </c>
      <c r="I3" s="64" t="s">
        <v>216</v>
      </c>
      <c r="J3" s="64" t="s">
        <v>217</v>
      </c>
      <c r="K3" s="64" t="s">
        <v>218</v>
      </c>
      <c r="L3" s="64" t="s">
        <v>219</v>
      </c>
      <c r="M3" s="72"/>
      <c r="N3" s="72"/>
      <c r="O3" s="72"/>
      <c r="P3" s="72"/>
    </row>
    <row r="4" spans="1:16" x14ac:dyDescent="0.15">
      <c r="A4" s="70">
        <v>1</v>
      </c>
      <c r="B4" s="70" t="s">
        <v>243</v>
      </c>
      <c r="C4" s="70">
        <v>203</v>
      </c>
      <c r="D4" s="70">
        <v>2</v>
      </c>
      <c r="E4" s="71">
        <v>4</v>
      </c>
      <c r="F4" s="71" t="s">
        <v>244</v>
      </c>
      <c r="G4" s="71">
        <v>3</v>
      </c>
      <c r="H4" s="71">
        <v>42</v>
      </c>
      <c r="I4" s="70">
        <v>1</v>
      </c>
      <c r="J4" s="70" t="s">
        <v>245</v>
      </c>
      <c r="K4" s="70">
        <v>3</v>
      </c>
      <c r="L4" s="70">
        <v>11</v>
      </c>
      <c r="M4" s="73"/>
      <c r="N4" s="73"/>
      <c r="O4" s="73"/>
      <c r="P4" s="73"/>
    </row>
    <row r="5" spans="1:16" x14ac:dyDescent="0.15">
      <c r="A5" s="70">
        <v>7</v>
      </c>
      <c r="B5" s="70" t="s">
        <v>243</v>
      </c>
      <c r="C5" s="70">
        <v>204</v>
      </c>
      <c r="D5" s="70">
        <v>2</v>
      </c>
      <c r="E5" s="71">
        <v>13</v>
      </c>
      <c r="F5" s="71" t="s">
        <v>244</v>
      </c>
      <c r="G5" s="71">
        <v>3</v>
      </c>
      <c r="H5" s="71">
        <v>43</v>
      </c>
      <c r="I5" s="70">
        <v>2</v>
      </c>
      <c r="J5" s="70" t="s">
        <v>245</v>
      </c>
      <c r="K5" s="70">
        <v>3</v>
      </c>
      <c r="L5" s="70">
        <v>12</v>
      </c>
      <c r="M5" s="73"/>
      <c r="N5" s="73"/>
      <c r="O5" s="73"/>
      <c r="P5" s="73"/>
    </row>
    <row r="6" spans="1:16" x14ac:dyDescent="0.15">
      <c r="A6" s="70">
        <v>10</v>
      </c>
      <c r="B6" s="70" t="s">
        <v>243</v>
      </c>
      <c r="C6" s="70">
        <v>203</v>
      </c>
      <c r="D6" s="70">
        <v>3</v>
      </c>
      <c r="E6" s="71">
        <v>22</v>
      </c>
      <c r="F6" s="71" t="s">
        <v>244</v>
      </c>
      <c r="G6" s="71">
        <v>3</v>
      </c>
      <c r="H6" s="71">
        <v>44</v>
      </c>
      <c r="I6" s="70">
        <v>3</v>
      </c>
      <c r="J6" s="70" t="s">
        <v>245</v>
      </c>
      <c r="K6" s="70">
        <v>3</v>
      </c>
      <c r="L6" s="70">
        <v>13</v>
      </c>
      <c r="M6" s="73"/>
      <c r="N6" s="73"/>
      <c r="O6" s="73"/>
      <c r="P6" s="73"/>
    </row>
    <row r="7" spans="1:16" x14ac:dyDescent="0.15">
      <c r="A7" s="70">
        <v>16</v>
      </c>
      <c r="B7" s="70" t="s">
        <v>243</v>
      </c>
      <c r="C7" s="70">
        <v>204</v>
      </c>
      <c r="D7" s="70">
        <v>3</v>
      </c>
      <c r="E7" s="71">
        <v>31</v>
      </c>
      <c r="F7" s="71" t="s">
        <v>244</v>
      </c>
      <c r="G7" s="71">
        <v>3</v>
      </c>
      <c r="H7" s="71">
        <v>45</v>
      </c>
      <c r="I7" s="70">
        <v>4</v>
      </c>
      <c r="J7" s="70" t="s">
        <v>245</v>
      </c>
      <c r="K7" s="70">
        <v>3</v>
      </c>
      <c r="L7" s="70">
        <v>14</v>
      </c>
      <c r="M7" s="73"/>
      <c r="N7" s="73"/>
      <c r="O7" s="73"/>
      <c r="P7" s="73"/>
    </row>
    <row r="8" spans="1:16" x14ac:dyDescent="0.15">
      <c r="A8" s="70">
        <v>19</v>
      </c>
      <c r="B8" s="70" t="s">
        <v>243</v>
      </c>
      <c r="C8" s="70">
        <v>203</v>
      </c>
      <c r="D8" s="70">
        <v>4</v>
      </c>
      <c r="E8" s="71">
        <v>40</v>
      </c>
      <c r="F8" s="71" t="s">
        <v>244</v>
      </c>
      <c r="G8" s="71">
        <v>3</v>
      </c>
      <c r="H8" s="71">
        <v>46</v>
      </c>
      <c r="I8" s="70">
        <v>5</v>
      </c>
      <c r="J8" s="70" t="s">
        <v>245</v>
      </c>
      <c r="K8" s="70">
        <v>3</v>
      </c>
      <c r="L8" s="70">
        <v>15</v>
      </c>
      <c r="M8" s="73"/>
      <c r="N8" s="73"/>
      <c r="O8" s="73"/>
      <c r="P8" s="73"/>
    </row>
    <row r="9" spans="1:16" x14ac:dyDescent="0.15">
      <c r="A9" s="70">
        <v>25</v>
      </c>
      <c r="B9" s="70" t="s">
        <v>243</v>
      </c>
      <c r="C9" s="70">
        <v>204</v>
      </c>
      <c r="D9" s="70">
        <v>4</v>
      </c>
      <c r="E9" s="71">
        <v>206</v>
      </c>
      <c r="F9" s="71" t="s">
        <v>244</v>
      </c>
      <c r="G9" s="71">
        <v>3</v>
      </c>
      <c r="H9" s="71">
        <v>47</v>
      </c>
      <c r="I9" s="70">
        <v>6</v>
      </c>
      <c r="J9" s="70" t="s">
        <v>245</v>
      </c>
      <c r="K9" s="70">
        <v>3</v>
      </c>
      <c r="L9" s="70">
        <v>16</v>
      </c>
      <c r="M9" s="73"/>
      <c r="N9" s="73"/>
      <c r="O9" s="73"/>
      <c r="P9" s="73"/>
    </row>
    <row r="10" spans="1:16" x14ac:dyDescent="0.15">
      <c r="A10" s="70">
        <v>28</v>
      </c>
      <c r="B10" s="70" t="s">
        <v>243</v>
      </c>
      <c r="C10" s="70">
        <v>203</v>
      </c>
      <c r="D10" s="70">
        <v>5</v>
      </c>
      <c r="E10" s="71">
        <v>50</v>
      </c>
      <c r="F10" s="71" t="s">
        <v>244</v>
      </c>
      <c r="G10" s="71">
        <v>3</v>
      </c>
      <c r="H10" s="71">
        <v>48</v>
      </c>
      <c r="I10" s="70">
        <v>7</v>
      </c>
      <c r="J10" s="70" t="s">
        <v>245</v>
      </c>
      <c r="K10" s="70">
        <v>3</v>
      </c>
      <c r="L10" s="70">
        <v>17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243</v>
      </c>
      <c r="C11" s="70">
        <v>204</v>
      </c>
      <c r="D11" s="70">
        <v>5</v>
      </c>
      <c r="E11" s="71">
        <v>218</v>
      </c>
      <c r="F11" s="71" t="s">
        <v>244</v>
      </c>
      <c r="G11" s="71">
        <v>3</v>
      </c>
      <c r="H11" s="71">
        <v>49</v>
      </c>
      <c r="I11" s="70">
        <v>8</v>
      </c>
      <c r="J11" s="70" t="s">
        <v>245</v>
      </c>
      <c r="K11" s="70">
        <v>3</v>
      </c>
      <c r="L11" s="70">
        <v>18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243</v>
      </c>
      <c r="C12" s="70">
        <v>203</v>
      </c>
      <c r="D12" s="70">
        <v>6</v>
      </c>
      <c r="E12" s="71">
        <v>62</v>
      </c>
      <c r="F12" s="71" t="s">
        <v>244</v>
      </c>
      <c r="G12" s="71">
        <v>3</v>
      </c>
      <c r="H12" s="71">
        <v>50</v>
      </c>
      <c r="I12" s="70">
        <v>9</v>
      </c>
      <c r="J12" s="70" t="s">
        <v>245</v>
      </c>
      <c r="K12" s="70">
        <v>3</v>
      </c>
      <c r="L12" s="70">
        <v>19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243</v>
      </c>
      <c r="C13" s="70">
        <v>204</v>
      </c>
      <c r="D13" s="70">
        <v>6</v>
      </c>
      <c r="E13" s="71">
        <v>74</v>
      </c>
      <c r="F13" s="71" t="s">
        <v>244</v>
      </c>
      <c r="G13" s="71">
        <v>3</v>
      </c>
      <c r="H13" s="71">
        <v>51</v>
      </c>
      <c r="I13" s="70">
        <v>-1</v>
      </c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243</v>
      </c>
      <c r="C14" s="70">
        <v>203</v>
      </c>
      <c r="D14" s="70">
        <v>7</v>
      </c>
      <c r="E14" s="71">
        <v>86</v>
      </c>
      <c r="F14" s="71" t="s">
        <v>244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243</v>
      </c>
      <c r="C15" s="70">
        <v>204</v>
      </c>
      <c r="D15" s="70">
        <v>7</v>
      </c>
      <c r="E15" s="71">
        <v>98</v>
      </c>
      <c r="F15" s="71" t="s">
        <v>244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243</v>
      </c>
      <c r="C16" s="70">
        <v>204</v>
      </c>
      <c r="D16" s="70">
        <v>8</v>
      </c>
      <c r="E16" s="71">
        <v>222</v>
      </c>
      <c r="F16" s="71" t="s">
        <v>440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243</v>
      </c>
      <c r="C17" s="70">
        <v>204</v>
      </c>
      <c r="D17" s="70">
        <v>9</v>
      </c>
      <c r="E17" s="71">
        <v>110</v>
      </c>
      <c r="F17" s="71" t="s">
        <v>244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243</v>
      </c>
      <c r="C18" s="70">
        <v>203</v>
      </c>
      <c r="D18" s="70">
        <v>10</v>
      </c>
      <c r="E18" s="71">
        <v>234</v>
      </c>
      <c r="F18" s="71" t="s">
        <v>440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243</v>
      </c>
      <c r="C19" s="70">
        <v>204</v>
      </c>
      <c r="D19" s="70">
        <v>10</v>
      </c>
      <c r="E19" s="71">
        <v>121</v>
      </c>
      <c r="F19" s="71" t="s">
        <v>244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243</v>
      </c>
      <c r="C20" s="70">
        <v>203</v>
      </c>
      <c r="D20" s="70">
        <v>11</v>
      </c>
      <c r="E20" s="71">
        <v>130</v>
      </c>
      <c r="F20" s="71" t="s">
        <v>244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243</v>
      </c>
      <c r="C21" s="70">
        <v>204</v>
      </c>
      <c r="D21" s="70">
        <v>11</v>
      </c>
      <c r="E21" s="71">
        <v>139</v>
      </c>
      <c r="F21" s="71" t="s">
        <v>244</v>
      </c>
      <c r="G21" s="71">
        <v>3</v>
      </c>
      <c r="H21" s="71">
        <v>59</v>
      </c>
    </row>
    <row r="22" spans="1:8" x14ac:dyDescent="0.15">
      <c r="A22" s="70">
        <v>82</v>
      </c>
      <c r="B22" s="70" t="s">
        <v>243</v>
      </c>
      <c r="C22" s="70">
        <v>203</v>
      </c>
      <c r="D22" s="70">
        <v>12</v>
      </c>
      <c r="E22" s="71">
        <v>148</v>
      </c>
      <c r="F22" s="71" t="s">
        <v>244</v>
      </c>
      <c r="G22" s="71">
        <v>3</v>
      </c>
      <c r="H22" s="71">
        <v>60</v>
      </c>
    </row>
    <row r="23" spans="1:8" x14ac:dyDescent="0.15">
      <c r="A23" s="70">
        <v>90</v>
      </c>
      <c r="B23" s="70" t="s">
        <v>243</v>
      </c>
      <c r="C23" s="70">
        <v>204</v>
      </c>
      <c r="D23" s="70">
        <v>12</v>
      </c>
      <c r="E23" s="71">
        <v>151</v>
      </c>
      <c r="F23" s="71" t="s">
        <v>441</v>
      </c>
      <c r="G23" s="71">
        <v>3</v>
      </c>
      <c r="H23" s="71">
        <v>61</v>
      </c>
    </row>
    <row r="24" spans="1:8" x14ac:dyDescent="0.15">
      <c r="A24" s="70">
        <v>94</v>
      </c>
      <c r="B24" s="70" t="s">
        <v>243</v>
      </c>
      <c r="C24" s="70">
        <v>203</v>
      </c>
      <c r="D24" s="70">
        <v>13</v>
      </c>
      <c r="E24" s="71">
        <v>154</v>
      </c>
      <c r="F24" s="71" t="s">
        <v>251</v>
      </c>
      <c r="G24" s="71">
        <v>3</v>
      </c>
      <c r="H24" s="71">
        <v>83</v>
      </c>
    </row>
    <row r="25" spans="1:8" x14ac:dyDescent="0.15">
      <c r="A25" s="70">
        <v>102</v>
      </c>
      <c r="B25" s="70" t="s">
        <v>243</v>
      </c>
      <c r="C25" s="70">
        <v>204</v>
      </c>
      <c r="D25" s="70">
        <v>13</v>
      </c>
      <c r="E25" s="71">
        <v>156</v>
      </c>
      <c r="F25" s="71" t="s">
        <v>246</v>
      </c>
      <c r="G25" s="71">
        <v>3</v>
      </c>
      <c r="H25" s="71">
        <v>84</v>
      </c>
    </row>
    <row r="26" spans="1:8" x14ac:dyDescent="0.15">
      <c r="A26" s="70">
        <v>106</v>
      </c>
      <c r="B26" s="70" t="s">
        <v>243</v>
      </c>
      <c r="C26" s="70">
        <v>203</v>
      </c>
      <c r="D26" s="70">
        <v>14</v>
      </c>
      <c r="E26" s="71">
        <v>158</v>
      </c>
      <c r="F26" s="71" t="s">
        <v>246</v>
      </c>
      <c r="G26" s="71">
        <v>3</v>
      </c>
      <c r="H26" s="71">
        <v>85</v>
      </c>
    </row>
    <row r="27" spans="1:8" x14ac:dyDescent="0.15">
      <c r="A27" s="70">
        <v>226</v>
      </c>
      <c r="B27" s="70" t="s">
        <v>243</v>
      </c>
      <c r="C27" s="70">
        <v>204</v>
      </c>
      <c r="D27" s="70">
        <v>14</v>
      </c>
      <c r="E27" s="71">
        <v>159</v>
      </c>
      <c r="F27" s="71" t="s">
        <v>246</v>
      </c>
      <c r="G27" s="71">
        <v>3</v>
      </c>
      <c r="H27" s="71">
        <v>86</v>
      </c>
    </row>
    <row r="28" spans="1:8" x14ac:dyDescent="0.15">
      <c r="A28" s="70">
        <v>230</v>
      </c>
      <c r="B28" s="70" t="s">
        <v>243</v>
      </c>
      <c r="C28" s="70">
        <v>204</v>
      </c>
      <c r="D28" s="70">
        <v>15</v>
      </c>
      <c r="E28" s="71">
        <v>161</v>
      </c>
      <c r="F28" s="71" t="s">
        <v>246</v>
      </c>
      <c r="G28" s="71">
        <v>3</v>
      </c>
      <c r="H28" s="71">
        <v>87</v>
      </c>
    </row>
    <row r="29" spans="1:8" x14ac:dyDescent="0.15">
      <c r="A29" s="70">
        <v>114</v>
      </c>
      <c r="B29" s="70" t="s">
        <v>243</v>
      </c>
      <c r="C29" s="70">
        <v>204</v>
      </c>
      <c r="D29" s="70">
        <v>16</v>
      </c>
      <c r="E29" s="71">
        <v>162</v>
      </c>
      <c r="F29" s="71" t="s">
        <v>246</v>
      </c>
      <c r="G29" s="71">
        <v>3</v>
      </c>
      <c r="H29" s="71">
        <v>88</v>
      </c>
    </row>
    <row r="30" spans="1:8" x14ac:dyDescent="0.15">
      <c r="A30" s="70">
        <v>118</v>
      </c>
      <c r="B30" s="70" t="s">
        <v>243</v>
      </c>
      <c r="C30" s="70">
        <v>203</v>
      </c>
      <c r="D30" s="70">
        <v>17</v>
      </c>
      <c r="E30" s="71">
        <v>165</v>
      </c>
      <c r="F30" s="71" t="s">
        <v>246</v>
      </c>
      <c r="G30" s="71">
        <v>3</v>
      </c>
      <c r="H30" s="71">
        <v>89</v>
      </c>
    </row>
    <row r="31" spans="1:8" x14ac:dyDescent="0.15">
      <c r="A31" s="70">
        <v>124</v>
      </c>
      <c r="B31" s="70" t="s">
        <v>243</v>
      </c>
      <c r="C31" s="70">
        <v>204</v>
      </c>
      <c r="D31" s="70">
        <v>17</v>
      </c>
      <c r="E31" s="71">
        <v>167</v>
      </c>
      <c r="F31" s="71" t="s">
        <v>247</v>
      </c>
      <c r="G31" s="71">
        <v>3</v>
      </c>
      <c r="H31" s="71">
        <v>90</v>
      </c>
    </row>
    <row r="32" spans="1:8" x14ac:dyDescent="0.15">
      <c r="A32" s="70">
        <v>127</v>
      </c>
      <c r="B32" s="70" t="s">
        <v>243</v>
      </c>
      <c r="C32" s="70">
        <v>203</v>
      </c>
      <c r="D32" s="70">
        <v>18</v>
      </c>
      <c r="E32" s="71">
        <v>169</v>
      </c>
      <c r="F32" s="71" t="s">
        <v>246</v>
      </c>
      <c r="G32" s="71">
        <v>3</v>
      </c>
      <c r="H32" s="71">
        <v>91</v>
      </c>
    </row>
    <row r="33" spans="1:8" x14ac:dyDescent="0.15">
      <c r="A33" s="70">
        <v>133</v>
      </c>
      <c r="B33" s="70" t="s">
        <v>243</v>
      </c>
      <c r="C33" s="70">
        <v>204</v>
      </c>
      <c r="D33" s="70">
        <v>18</v>
      </c>
      <c r="E33" s="71">
        <v>171</v>
      </c>
      <c r="F33" s="71" t="s">
        <v>447</v>
      </c>
      <c r="G33" s="71">
        <v>205</v>
      </c>
      <c r="H33" s="71">
        <v>2</v>
      </c>
    </row>
    <row r="34" spans="1:8" x14ac:dyDescent="0.15">
      <c r="A34" s="70">
        <v>136</v>
      </c>
      <c r="B34" s="70" t="s">
        <v>243</v>
      </c>
      <c r="C34" s="70">
        <v>203</v>
      </c>
      <c r="D34" s="70">
        <v>19</v>
      </c>
      <c r="E34" s="71">
        <v>173</v>
      </c>
      <c r="F34" s="71" t="s">
        <v>248</v>
      </c>
      <c r="G34" s="71">
        <v>205</v>
      </c>
      <c r="H34" s="71">
        <v>3</v>
      </c>
    </row>
    <row r="35" spans="1:8" x14ac:dyDescent="0.15">
      <c r="A35" s="70">
        <v>142</v>
      </c>
      <c r="B35" s="70" t="s">
        <v>243</v>
      </c>
      <c r="C35" s="70">
        <v>204</v>
      </c>
      <c r="D35" s="70">
        <v>19</v>
      </c>
      <c r="E35" s="71">
        <v>175</v>
      </c>
      <c r="F35" s="71" t="s">
        <v>248</v>
      </c>
      <c r="G35" s="71">
        <v>205</v>
      </c>
      <c r="H35" s="71">
        <v>4</v>
      </c>
    </row>
    <row r="36" spans="1:8" x14ac:dyDescent="0.15">
      <c r="A36" s="70">
        <v>145</v>
      </c>
      <c r="B36" s="70" t="s">
        <v>243</v>
      </c>
      <c r="C36" s="70">
        <v>203</v>
      </c>
      <c r="D36" s="70">
        <v>20</v>
      </c>
      <c r="E36" s="71">
        <v>177</v>
      </c>
      <c r="F36" s="71" t="s">
        <v>248</v>
      </c>
      <c r="G36" s="71">
        <v>205</v>
      </c>
      <c r="H36" s="71">
        <v>5</v>
      </c>
    </row>
    <row r="37" spans="1:8" x14ac:dyDescent="0.15">
      <c r="A37" s="70">
        <v>148</v>
      </c>
      <c r="B37" s="70" t="s">
        <v>243</v>
      </c>
      <c r="C37" s="70">
        <v>204</v>
      </c>
      <c r="D37" s="70">
        <v>20</v>
      </c>
      <c r="E37" s="71">
        <v>180</v>
      </c>
      <c r="F37" s="71" t="s">
        <v>248</v>
      </c>
      <c r="G37" s="71">
        <v>205</v>
      </c>
      <c r="H37" s="71">
        <v>10</v>
      </c>
    </row>
    <row r="38" spans="1:8" x14ac:dyDescent="0.15">
      <c r="A38" s="70">
        <v>151</v>
      </c>
      <c r="B38" s="70" t="s">
        <v>243</v>
      </c>
      <c r="C38" s="70">
        <v>204</v>
      </c>
      <c r="D38" s="70">
        <v>21</v>
      </c>
      <c r="E38" s="71">
        <v>183</v>
      </c>
      <c r="F38" s="71" t="s">
        <v>248</v>
      </c>
      <c r="G38" s="71">
        <v>205</v>
      </c>
      <c r="H38" s="71">
        <v>11</v>
      </c>
    </row>
    <row r="39" spans="1:8" x14ac:dyDescent="0.15">
      <c r="A39" s="70">
        <v>170</v>
      </c>
      <c r="B39" s="70" t="s">
        <v>249</v>
      </c>
      <c r="C39" s="70">
        <v>194</v>
      </c>
      <c r="D39" s="70">
        <v>2</v>
      </c>
      <c r="E39" s="71">
        <v>185</v>
      </c>
      <c r="F39" s="71" t="s">
        <v>248</v>
      </c>
      <c r="G39" s="71">
        <v>205</v>
      </c>
      <c r="H39" s="71">
        <v>12</v>
      </c>
    </row>
    <row r="40" spans="1:8" x14ac:dyDescent="0.15">
      <c r="A40" s="70">
        <v>171</v>
      </c>
      <c r="B40" s="70" t="s">
        <v>249</v>
      </c>
      <c r="C40" s="70">
        <v>195</v>
      </c>
      <c r="D40" s="70">
        <v>2</v>
      </c>
      <c r="E40" s="71">
        <v>187</v>
      </c>
      <c r="F40" s="71" t="s">
        <v>248</v>
      </c>
      <c r="G40" s="71">
        <v>205</v>
      </c>
      <c r="H40" s="71">
        <v>13</v>
      </c>
    </row>
    <row r="41" spans="1:8" x14ac:dyDescent="0.15">
      <c r="A41" s="70">
        <v>172</v>
      </c>
      <c r="B41" s="70" t="s">
        <v>249</v>
      </c>
      <c r="C41" s="70">
        <v>194</v>
      </c>
      <c r="D41" s="70">
        <v>3</v>
      </c>
      <c r="E41" s="71">
        <v>189</v>
      </c>
      <c r="F41" s="71" t="s">
        <v>248</v>
      </c>
      <c r="G41" s="71">
        <v>205</v>
      </c>
      <c r="H41" s="71">
        <v>14</v>
      </c>
    </row>
    <row r="42" spans="1:8" x14ac:dyDescent="0.15">
      <c r="A42" s="70">
        <v>173</v>
      </c>
      <c r="B42" s="70" t="s">
        <v>248</v>
      </c>
      <c r="C42" s="70">
        <v>195</v>
      </c>
      <c r="D42" s="70">
        <v>3</v>
      </c>
      <c r="E42" s="71">
        <v>191</v>
      </c>
      <c r="F42" s="71" t="s">
        <v>447</v>
      </c>
      <c r="G42" s="71">
        <v>205</v>
      </c>
      <c r="H42" s="71">
        <v>15</v>
      </c>
    </row>
    <row r="43" spans="1:8" x14ac:dyDescent="0.15">
      <c r="A43" s="70">
        <v>174</v>
      </c>
      <c r="B43" s="70" t="s">
        <v>249</v>
      </c>
      <c r="C43" s="70">
        <v>194</v>
      </c>
      <c r="D43" s="70">
        <v>4</v>
      </c>
      <c r="E43" s="71">
        <v>194</v>
      </c>
      <c r="F43" s="71" t="s">
        <v>248</v>
      </c>
      <c r="G43" s="71">
        <v>205</v>
      </c>
      <c r="H43" s="71">
        <v>6</v>
      </c>
    </row>
    <row r="44" spans="1:8" x14ac:dyDescent="0.15">
      <c r="A44" s="70">
        <v>175</v>
      </c>
      <c r="B44" s="70" t="s">
        <v>249</v>
      </c>
      <c r="C44" s="70">
        <v>195</v>
      </c>
      <c r="D44" s="70">
        <v>4</v>
      </c>
      <c r="E44" s="71">
        <v>198</v>
      </c>
      <c r="F44" s="71" t="s">
        <v>447</v>
      </c>
      <c r="G44" s="71">
        <v>205</v>
      </c>
      <c r="H44" s="71">
        <v>7</v>
      </c>
    </row>
    <row r="45" spans="1:8" x14ac:dyDescent="0.15">
      <c r="A45" s="70">
        <v>176</v>
      </c>
      <c r="B45" s="70" t="s">
        <v>249</v>
      </c>
      <c r="C45" s="70">
        <v>194</v>
      </c>
      <c r="D45" s="70">
        <v>5</v>
      </c>
      <c r="E45" s="71">
        <v>202</v>
      </c>
      <c r="F45" s="71" t="s">
        <v>447</v>
      </c>
      <c r="G45" s="71">
        <v>205</v>
      </c>
      <c r="H45" s="71">
        <v>8</v>
      </c>
    </row>
    <row r="46" spans="1:8" x14ac:dyDescent="0.15">
      <c r="A46" s="70">
        <v>177</v>
      </c>
      <c r="B46" s="70" t="s">
        <v>249</v>
      </c>
      <c r="C46" s="70">
        <v>195</v>
      </c>
      <c r="D46" s="70">
        <v>5</v>
      </c>
      <c r="E46" s="71">
        <v>205</v>
      </c>
      <c r="F46" s="71" t="s">
        <v>248</v>
      </c>
      <c r="G46" s="71">
        <v>205</v>
      </c>
      <c r="H46" s="71">
        <v>9</v>
      </c>
    </row>
    <row r="47" spans="1:8" x14ac:dyDescent="0.15">
      <c r="A47" s="70">
        <v>178</v>
      </c>
      <c r="B47" s="70" t="s">
        <v>249</v>
      </c>
      <c r="C47" s="70">
        <v>194</v>
      </c>
      <c r="D47" s="70">
        <v>12</v>
      </c>
      <c r="E47" s="47">
        <v>-1</v>
      </c>
    </row>
    <row r="48" spans="1:8" x14ac:dyDescent="0.15">
      <c r="A48" s="70">
        <v>180</v>
      </c>
      <c r="B48" s="70" t="s">
        <v>250</v>
      </c>
      <c r="C48" s="70">
        <v>195</v>
      </c>
      <c r="D48" s="70">
        <v>12</v>
      </c>
    </row>
    <row r="49" spans="1:4" x14ac:dyDescent="0.15">
      <c r="A49" s="70">
        <v>182</v>
      </c>
      <c r="B49" s="70" t="s">
        <v>249</v>
      </c>
      <c r="C49" s="70">
        <v>194</v>
      </c>
      <c r="D49" s="70">
        <v>13</v>
      </c>
    </row>
    <row r="50" spans="1:4" x14ac:dyDescent="0.15">
      <c r="A50" s="70">
        <v>183</v>
      </c>
      <c r="B50" s="70" t="s">
        <v>249</v>
      </c>
      <c r="C50" s="70">
        <v>195</v>
      </c>
      <c r="D50" s="70">
        <v>13</v>
      </c>
    </row>
    <row r="51" spans="1:4" x14ac:dyDescent="0.15">
      <c r="A51" s="70">
        <v>184</v>
      </c>
      <c r="B51" s="70" t="s">
        <v>249</v>
      </c>
      <c r="C51" s="70">
        <v>194</v>
      </c>
      <c r="D51" s="70">
        <v>14</v>
      </c>
    </row>
    <row r="52" spans="1:4" x14ac:dyDescent="0.15">
      <c r="A52" s="70">
        <v>185</v>
      </c>
      <c r="B52" s="70" t="s">
        <v>250</v>
      </c>
      <c r="C52" s="70">
        <v>195</v>
      </c>
      <c r="D52" s="70">
        <v>14</v>
      </c>
    </row>
    <row r="53" spans="1:4" x14ac:dyDescent="0.15">
      <c r="A53" s="70">
        <v>186</v>
      </c>
      <c r="B53" s="70" t="s">
        <v>249</v>
      </c>
      <c r="C53" s="70">
        <v>194</v>
      </c>
      <c r="D53" s="70">
        <v>15</v>
      </c>
    </row>
    <row r="54" spans="1:4" x14ac:dyDescent="0.15">
      <c r="A54" s="70">
        <v>187</v>
      </c>
      <c r="B54" s="70" t="s">
        <v>249</v>
      </c>
      <c r="C54" s="70">
        <v>195</v>
      </c>
      <c r="D54" s="70">
        <v>15</v>
      </c>
    </row>
    <row r="55" spans="1:4" x14ac:dyDescent="0.15">
      <c r="A55" s="70">
        <v>188</v>
      </c>
      <c r="B55" s="70" t="s">
        <v>248</v>
      </c>
      <c r="C55" s="70">
        <v>194</v>
      </c>
      <c r="D55" s="70">
        <v>16</v>
      </c>
    </row>
    <row r="56" spans="1:4" x14ac:dyDescent="0.15">
      <c r="A56" s="70">
        <v>189</v>
      </c>
      <c r="B56" s="70" t="s">
        <v>249</v>
      </c>
      <c r="C56" s="70">
        <v>195</v>
      </c>
      <c r="D56" s="70">
        <v>16</v>
      </c>
    </row>
    <row r="57" spans="1:4" x14ac:dyDescent="0.15">
      <c r="A57" s="70">
        <v>190</v>
      </c>
      <c r="B57" s="70" t="s">
        <v>249</v>
      </c>
      <c r="C57" s="70">
        <v>194</v>
      </c>
      <c r="D57" s="70">
        <v>17</v>
      </c>
    </row>
    <row r="58" spans="1:4" x14ac:dyDescent="0.15">
      <c r="A58" s="70">
        <v>191</v>
      </c>
      <c r="B58" s="70" t="s">
        <v>249</v>
      </c>
      <c r="C58" s="70">
        <v>195</v>
      </c>
      <c r="D58" s="70">
        <v>17</v>
      </c>
    </row>
    <row r="59" spans="1:4" x14ac:dyDescent="0.15">
      <c r="A59" s="70">
        <v>192</v>
      </c>
      <c r="B59" s="70" t="s">
        <v>248</v>
      </c>
      <c r="C59" s="70">
        <v>194</v>
      </c>
      <c r="D59" s="70">
        <v>8</v>
      </c>
    </row>
    <row r="60" spans="1:4" x14ac:dyDescent="0.15">
      <c r="A60" s="70">
        <v>194</v>
      </c>
      <c r="B60" s="70" t="s">
        <v>249</v>
      </c>
      <c r="C60" s="70">
        <v>195</v>
      </c>
      <c r="D60" s="70">
        <v>8</v>
      </c>
    </row>
    <row r="61" spans="1:4" x14ac:dyDescent="0.15">
      <c r="A61" s="70">
        <v>196</v>
      </c>
      <c r="B61" s="70" t="s">
        <v>249</v>
      </c>
      <c r="C61" s="70">
        <v>194</v>
      </c>
      <c r="D61" s="70">
        <v>9</v>
      </c>
    </row>
    <row r="62" spans="1:4" x14ac:dyDescent="0.15">
      <c r="A62" s="70">
        <v>198</v>
      </c>
      <c r="B62" s="70" t="s">
        <v>249</v>
      </c>
      <c r="C62" s="70">
        <v>195</v>
      </c>
      <c r="D62" s="70">
        <v>9</v>
      </c>
    </row>
    <row r="63" spans="1:4" x14ac:dyDescent="0.15">
      <c r="A63" s="70">
        <v>200</v>
      </c>
      <c r="B63" s="70" t="s">
        <v>249</v>
      </c>
      <c r="C63" s="70">
        <v>194</v>
      </c>
      <c r="D63" s="70">
        <v>10</v>
      </c>
    </row>
    <row r="64" spans="1:4" x14ac:dyDescent="0.15">
      <c r="A64" s="70">
        <v>202</v>
      </c>
      <c r="B64" s="70" t="s">
        <v>249</v>
      </c>
      <c r="C64" s="70">
        <v>195</v>
      </c>
      <c r="D64" s="70">
        <v>10</v>
      </c>
    </row>
    <row r="65" spans="1:4" x14ac:dyDescent="0.15">
      <c r="A65" s="70">
        <v>204</v>
      </c>
      <c r="B65" s="70" t="s">
        <v>249</v>
      </c>
      <c r="C65" s="70">
        <v>194</v>
      </c>
      <c r="D65" s="70">
        <v>11</v>
      </c>
    </row>
    <row r="66" spans="1:4" x14ac:dyDescent="0.15">
      <c r="A66" s="70">
        <v>205</v>
      </c>
      <c r="B66" s="70" t="s">
        <v>249</v>
      </c>
      <c r="C66" s="70">
        <v>195</v>
      </c>
      <c r="D66" s="70">
        <v>11</v>
      </c>
    </row>
    <row r="67" spans="1:4" x14ac:dyDescent="0.15">
      <c r="A67" s="47">
        <v>-1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Z2"/>
  <sheetViews>
    <sheetView topLeftCell="CF1" zoomScale="85" zoomScaleNormal="85" workbookViewId="0">
      <selection activeCell="CZ4" sqref="CZ4"/>
    </sheetView>
  </sheetViews>
  <sheetFormatPr defaultRowHeight="13.5" x14ac:dyDescent="0.15"/>
  <sheetData>
    <row r="1" spans="1:104" x14ac:dyDescent="0.15">
      <c r="A1" t="s">
        <v>318</v>
      </c>
      <c r="B1" t="s">
        <v>340</v>
      </c>
      <c r="C1" s="59" t="s">
        <v>341</v>
      </c>
      <c r="D1" s="59" t="s">
        <v>342</v>
      </c>
      <c r="E1" s="59" t="s">
        <v>343</v>
      </c>
      <c r="F1" s="59" t="s">
        <v>344</v>
      </c>
      <c r="G1" s="59" t="s">
        <v>345</v>
      </c>
      <c r="H1" s="59" t="s">
        <v>346</v>
      </c>
      <c r="I1" s="59" t="s">
        <v>347</v>
      </c>
      <c r="J1" s="59" t="s">
        <v>348</v>
      </c>
      <c r="K1" t="s">
        <v>349</v>
      </c>
      <c r="L1" s="59" t="s">
        <v>350</v>
      </c>
      <c r="M1" s="59" t="s">
        <v>351</v>
      </c>
      <c r="N1" s="59" t="s">
        <v>352</v>
      </c>
      <c r="O1" s="59" t="s">
        <v>353</v>
      </c>
      <c r="P1" s="59" t="s">
        <v>354</v>
      </c>
      <c r="Q1" s="59" t="s">
        <v>355</v>
      </c>
      <c r="R1" s="59" t="s">
        <v>356</v>
      </c>
      <c r="S1" s="59" t="s">
        <v>357</v>
      </c>
      <c r="T1" s="59" t="s">
        <v>358</v>
      </c>
      <c r="U1" s="59" t="s">
        <v>359</v>
      </c>
      <c r="V1" s="59" t="s">
        <v>360</v>
      </c>
      <c r="W1" s="59" t="s">
        <v>361</v>
      </c>
      <c r="X1" s="59" t="s">
        <v>362</v>
      </c>
      <c r="Y1" s="59" t="s">
        <v>363</v>
      </c>
      <c r="Z1" s="59" t="s">
        <v>364</v>
      </c>
      <c r="AA1" s="59" t="s">
        <v>365</v>
      </c>
      <c r="AB1" s="59" t="s">
        <v>366</v>
      </c>
      <c r="AC1" s="59" t="s">
        <v>367</v>
      </c>
      <c r="AD1" s="59" t="s">
        <v>368</v>
      </c>
      <c r="AE1" t="s">
        <v>369</v>
      </c>
      <c r="AF1" s="59" t="s">
        <v>370</v>
      </c>
      <c r="AG1" s="59" t="s">
        <v>371</v>
      </c>
      <c r="AH1" s="59" t="s">
        <v>372</v>
      </c>
      <c r="AI1" s="59" t="s">
        <v>373</v>
      </c>
      <c r="AJ1" s="59" t="s">
        <v>374</v>
      </c>
      <c r="AK1" s="59" t="s">
        <v>375</v>
      </c>
      <c r="AL1" s="59" t="s">
        <v>376</v>
      </c>
      <c r="AM1" s="59" t="s">
        <v>377</v>
      </c>
      <c r="AN1" s="59" t="s">
        <v>378</v>
      </c>
      <c r="AO1" s="59" t="s">
        <v>379</v>
      </c>
      <c r="AP1" s="59" t="s">
        <v>380</v>
      </c>
      <c r="AQ1" s="59" t="s">
        <v>381</v>
      </c>
      <c r="AR1" s="59" t="s">
        <v>382</v>
      </c>
      <c r="AS1" s="59" t="s">
        <v>383</v>
      </c>
      <c r="AT1" s="59" t="s">
        <v>384</v>
      </c>
      <c r="AU1" s="59" t="s">
        <v>385</v>
      </c>
      <c r="AV1" s="59" t="s">
        <v>386</v>
      </c>
      <c r="AW1" s="59" t="s">
        <v>387</v>
      </c>
      <c r="AX1" s="59" t="s">
        <v>388</v>
      </c>
      <c r="AY1" t="s">
        <v>320</v>
      </c>
      <c r="AZ1" s="59" t="s">
        <v>321</v>
      </c>
      <c r="BA1" s="59" t="s">
        <v>322</v>
      </c>
      <c r="BB1" s="59" t="s">
        <v>323</v>
      </c>
      <c r="BC1" s="59" t="s">
        <v>324</v>
      </c>
      <c r="BD1" s="59" t="s">
        <v>325</v>
      </c>
      <c r="BE1" s="59" t="s">
        <v>326</v>
      </c>
      <c r="BF1" s="59" t="s">
        <v>327</v>
      </c>
      <c r="BG1" s="59" t="s">
        <v>328</v>
      </c>
      <c r="BH1" s="59" t="s">
        <v>329</v>
      </c>
      <c r="BI1" s="59" t="s">
        <v>330</v>
      </c>
      <c r="BJ1" s="59" t="s">
        <v>331</v>
      </c>
      <c r="BK1" s="59" t="s">
        <v>332</v>
      </c>
      <c r="BL1" s="59" t="s">
        <v>333</v>
      </c>
      <c r="BM1" s="59" t="s">
        <v>334</v>
      </c>
      <c r="BN1" s="59" t="s">
        <v>335</v>
      </c>
      <c r="BO1" s="59" t="s">
        <v>336</v>
      </c>
      <c r="BP1" s="59" t="s">
        <v>337</v>
      </c>
      <c r="BQ1" s="59" t="s">
        <v>338</v>
      </c>
      <c r="BR1" s="59" t="s">
        <v>319</v>
      </c>
      <c r="BS1" t="s">
        <v>389</v>
      </c>
      <c r="BT1" s="59" t="s">
        <v>390</v>
      </c>
      <c r="BU1" s="59" t="s">
        <v>391</v>
      </c>
      <c r="BV1" s="59" t="s">
        <v>392</v>
      </c>
      <c r="BW1" s="59" t="s">
        <v>393</v>
      </c>
      <c r="BX1" s="59" t="s">
        <v>394</v>
      </c>
      <c r="BY1" s="59" t="s">
        <v>395</v>
      </c>
      <c r="BZ1" s="59" t="s">
        <v>396</v>
      </c>
      <c r="CA1" s="59" t="s">
        <v>397</v>
      </c>
      <c r="CB1" s="59" t="s">
        <v>398</v>
      </c>
      <c r="CC1" s="59" t="s">
        <v>399</v>
      </c>
      <c r="CD1" s="59" t="s">
        <v>400</v>
      </c>
      <c r="CE1" s="59" t="s">
        <v>401</v>
      </c>
      <c r="CF1" s="59" t="s">
        <v>402</v>
      </c>
      <c r="CG1" s="59" t="s">
        <v>403</v>
      </c>
      <c r="CH1" s="59" t="s">
        <v>404</v>
      </c>
      <c r="CI1" s="59" t="s">
        <v>405</v>
      </c>
      <c r="CJ1" s="59" t="s">
        <v>406</v>
      </c>
      <c r="CK1" s="59" t="s">
        <v>407</v>
      </c>
      <c r="CL1" s="59" t="s">
        <v>408</v>
      </c>
      <c r="CM1" t="s">
        <v>409</v>
      </c>
      <c r="CN1" s="59" t="s">
        <v>410</v>
      </c>
      <c r="CO1" s="59" t="s">
        <v>411</v>
      </c>
      <c r="CP1" s="59" t="s">
        <v>412</v>
      </c>
      <c r="CQ1" s="59" t="s">
        <v>413</v>
      </c>
      <c r="CR1" s="59" t="s">
        <v>414</v>
      </c>
      <c r="CS1" s="59" t="s">
        <v>415</v>
      </c>
      <c r="CT1" s="59" t="s">
        <v>416</v>
      </c>
      <c r="CU1" s="59" t="s">
        <v>417</v>
      </c>
      <c r="CV1" t="s">
        <v>339</v>
      </c>
      <c r="CW1" t="s">
        <v>431</v>
      </c>
      <c r="CX1" t="s">
        <v>456</v>
      </c>
      <c r="CY1" t="s">
        <v>457</v>
      </c>
      <c r="CZ1" t="s">
        <v>458</v>
      </c>
    </row>
    <row r="2" spans="1:104" x14ac:dyDescent="0.15">
      <c r="A2" t="s">
        <v>419</v>
      </c>
      <c r="B2" t="s">
        <v>421</v>
      </c>
      <c r="C2" s="59" t="s">
        <v>421</v>
      </c>
      <c r="D2" s="59" t="s">
        <v>421</v>
      </c>
      <c r="E2" s="59" t="s">
        <v>421</v>
      </c>
      <c r="F2" s="59" t="s">
        <v>421</v>
      </c>
      <c r="G2" s="59" t="s">
        <v>421</v>
      </c>
      <c r="H2" s="59" t="s">
        <v>421</v>
      </c>
      <c r="I2" s="59" t="s">
        <v>421</v>
      </c>
      <c r="J2" s="59" t="s">
        <v>421</v>
      </c>
      <c r="K2" t="s">
        <v>422</v>
      </c>
      <c r="L2" s="59" t="s">
        <v>422</v>
      </c>
      <c r="M2" s="59" t="s">
        <v>422</v>
      </c>
      <c r="N2" s="59" t="s">
        <v>422</v>
      </c>
      <c r="O2" s="59" t="s">
        <v>422</v>
      </c>
      <c r="P2" s="59" t="s">
        <v>422</v>
      </c>
      <c r="Q2" s="59" t="s">
        <v>422</v>
      </c>
      <c r="R2" s="59" t="s">
        <v>422</v>
      </c>
      <c r="S2" s="59" t="s">
        <v>422</v>
      </c>
      <c r="T2" s="59" t="s">
        <v>422</v>
      </c>
      <c r="U2" s="59" t="s">
        <v>422</v>
      </c>
      <c r="V2" s="59" t="s">
        <v>422</v>
      </c>
      <c r="W2" s="59" t="s">
        <v>422</v>
      </c>
      <c r="X2" s="59" t="s">
        <v>422</v>
      </c>
      <c r="Y2" s="59" t="s">
        <v>422</v>
      </c>
      <c r="Z2" s="59" t="s">
        <v>422</v>
      </c>
      <c r="AA2" s="59" t="s">
        <v>422</v>
      </c>
      <c r="AB2" s="59" t="s">
        <v>422</v>
      </c>
      <c r="AC2" s="59" t="s">
        <v>422</v>
      </c>
      <c r="AD2" s="59" t="s">
        <v>422</v>
      </c>
      <c r="AE2" s="59" t="s">
        <v>422</v>
      </c>
      <c r="AF2" s="59" t="s">
        <v>422</v>
      </c>
      <c r="AG2" s="59" t="s">
        <v>422</v>
      </c>
      <c r="AH2" s="59" t="s">
        <v>422</v>
      </c>
      <c r="AI2" s="59" t="s">
        <v>422</v>
      </c>
      <c r="AJ2" s="59" t="s">
        <v>422</v>
      </c>
      <c r="AK2" s="59" t="s">
        <v>422</v>
      </c>
      <c r="AL2" s="59" t="s">
        <v>422</v>
      </c>
      <c r="AM2" s="59" t="s">
        <v>422</v>
      </c>
      <c r="AN2" s="59" t="s">
        <v>422</v>
      </c>
      <c r="AO2" s="59" t="s">
        <v>422</v>
      </c>
      <c r="AP2" s="59" t="s">
        <v>422</v>
      </c>
      <c r="AQ2" s="59" t="s">
        <v>422</v>
      </c>
      <c r="AR2" s="59" t="s">
        <v>422</v>
      </c>
      <c r="AS2" s="59" t="s">
        <v>422</v>
      </c>
      <c r="AT2" s="59" t="s">
        <v>422</v>
      </c>
      <c r="AU2" s="59" t="s">
        <v>422</v>
      </c>
      <c r="AV2" s="59" t="s">
        <v>422</v>
      </c>
      <c r="AW2" s="59" t="s">
        <v>422</v>
      </c>
      <c r="AX2" s="59" t="s">
        <v>422</v>
      </c>
      <c r="AY2" s="59" t="s">
        <v>422</v>
      </c>
      <c r="AZ2" s="59" t="s">
        <v>422</v>
      </c>
      <c r="BA2" s="59" t="s">
        <v>422</v>
      </c>
      <c r="BB2" s="59" t="s">
        <v>422</v>
      </c>
      <c r="BC2" s="59" t="s">
        <v>422</v>
      </c>
      <c r="BD2" s="59" t="s">
        <v>422</v>
      </c>
      <c r="BE2" s="59" t="s">
        <v>422</v>
      </c>
      <c r="BF2" s="59" t="s">
        <v>422</v>
      </c>
      <c r="BG2" s="59" t="s">
        <v>422</v>
      </c>
      <c r="BH2" s="59" t="s">
        <v>422</v>
      </c>
      <c r="BI2" s="59" t="s">
        <v>422</v>
      </c>
      <c r="BJ2" s="59" t="s">
        <v>422</v>
      </c>
      <c r="BK2" s="59" t="s">
        <v>422</v>
      </c>
      <c r="BL2" s="59" t="s">
        <v>422</v>
      </c>
      <c r="BM2" s="59" t="s">
        <v>422</v>
      </c>
      <c r="BN2" s="59" t="s">
        <v>422</v>
      </c>
      <c r="BO2" s="59" t="s">
        <v>422</v>
      </c>
      <c r="BP2" s="59" t="s">
        <v>422</v>
      </c>
      <c r="BQ2" s="59" t="s">
        <v>422</v>
      </c>
      <c r="BR2" s="59" t="s">
        <v>422</v>
      </c>
      <c r="BS2" s="59" t="s">
        <v>422</v>
      </c>
      <c r="BT2" s="59" t="s">
        <v>422</v>
      </c>
      <c r="BU2" s="59" t="s">
        <v>422</v>
      </c>
      <c r="BV2" s="59" t="s">
        <v>422</v>
      </c>
      <c r="BW2" s="59" t="s">
        <v>422</v>
      </c>
      <c r="BX2" s="59" t="s">
        <v>422</v>
      </c>
      <c r="BY2" s="59" t="s">
        <v>422</v>
      </c>
      <c r="BZ2" s="59" t="s">
        <v>422</v>
      </c>
      <c r="CA2" s="59" t="s">
        <v>422</v>
      </c>
      <c r="CB2" s="59" t="s">
        <v>422</v>
      </c>
      <c r="CC2" s="59" t="s">
        <v>422</v>
      </c>
      <c r="CD2" s="59" t="s">
        <v>422</v>
      </c>
      <c r="CE2" s="59" t="s">
        <v>422</v>
      </c>
      <c r="CF2" s="59" t="s">
        <v>422</v>
      </c>
      <c r="CG2" s="59" t="s">
        <v>422</v>
      </c>
      <c r="CH2" s="59" t="s">
        <v>422</v>
      </c>
      <c r="CI2" s="59" t="s">
        <v>422</v>
      </c>
      <c r="CJ2" s="59" t="s">
        <v>422</v>
      </c>
      <c r="CK2" s="59" t="s">
        <v>422</v>
      </c>
      <c r="CL2" s="59" t="s">
        <v>422</v>
      </c>
      <c r="CM2" t="s">
        <v>246</v>
      </c>
      <c r="CN2" s="59" t="s">
        <v>246</v>
      </c>
      <c r="CO2" s="59" t="s">
        <v>246</v>
      </c>
      <c r="CP2" s="59" t="s">
        <v>246</v>
      </c>
      <c r="CQ2" s="59" t="s">
        <v>246</v>
      </c>
      <c r="CR2" s="59" t="s">
        <v>246</v>
      </c>
      <c r="CS2" s="59" t="s">
        <v>246</v>
      </c>
      <c r="CT2" s="59" t="s">
        <v>246</v>
      </c>
      <c r="CU2" s="59" t="s">
        <v>246</v>
      </c>
      <c r="CV2" t="s">
        <v>420</v>
      </c>
      <c r="CW2" t="s">
        <v>432</v>
      </c>
      <c r="CX2" t="s">
        <v>459</v>
      </c>
      <c r="CY2" t="s">
        <v>460</v>
      </c>
      <c r="CZ2" t="s">
        <v>461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abSelected="1" topLeftCell="AM1" zoomScale="70" zoomScaleNormal="70" workbookViewId="0">
      <selection activeCell="V194" sqref="V194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30" t="s">
        <v>185</v>
      </c>
      <c r="B1" s="127" t="s">
        <v>165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9"/>
      <c r="V1" s="127" t="s">
        <v>256</v>
      </c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9"/>
      <c r="AP1" s="127" t="s">
        <v>257</v>
      </c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9"/>
      <c r="BJ1" s="127" t="s">
        <v>258</v>
      </c>
      <c r="BK1" s="128"/>
      <c r="BL1" s="128"/>
      <c r="BM1" s="128"/>
      <c r="BN1" s="128"/>
      <c r="BO1" s="128"/>
      <c r="BP1" s="128"/>
      <c r="BQ1" s="128"/>
      <c r="BR1" s="128"/>
      <c r="BS1" s="128"/>
      <c r="BT1" s="128"/>
      <c r="BU1" s="128"/>
      <c r="BV1" s="128"/>
      <c r="BW1" s="128"/>
      <c r="BX1" s="128"/>
      <c r="BY1" s="128"/>
      <c r="BZ1" s="128"/>
      <c r="CA1" s="128"/>
      <c r="CB1" s="128"/>
      <c r="CC1" s="129"/>
      <c r="CD1" s="127" t="s">
        <v>183</v>
      </c>
      <c r="CE1" s="128"/>
      <c r="CF1" s="128"/>
      <c r="CG1" s="128"/>
      <c r="CH1" s="128"/>
      <c r="CI1" s="128"/>
      <c r="CJ1" s="128"/>
      <c r="CK1" s="128"/>
      <c r="CL1" s="128"/>
      <c r="CM1" s="128"/>
      <c r="CN1" s="128"/>
      <c r="CO1" s="128"/>
      <c r="CP1" s="128"/>
      <c r="CQ1" s="128"/>
      <c r="CR1" s="128"/>
      <c r="CS1" s="128"/>
      <c r="CT1" s="128"/>
      <c r="CU1" s="128"/>
      <c r="CV1" s="128"/>
      <c r="CW1" s="129"/>
      <c r="CX1" s="127" t="s">
        <v>184</v>
      </c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8"/>
      <c r="DK1" s="128"/>
      <c r="DL1" s="128"/>
      <c r="DM1" s="128"/>
      <c r="DN1" s="128"/>
      <c r="DO1" s="128"/>
      <c r="DP1" s="128"/>
      <c r="DQ1" s="129"/>
      <c r="DR1" s="127" t="s">
        <v>259</v>
      </c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9"/>
      <c r="EL1" s="132" t="s">
        <v>187</v>
      </c>
      <c r="EM1" s="133"/>
      <c r="EN1" s="133"/>
      <c r="EO1" s="133"/>
      <c r="EP1" s="133"/>
      <c r="EQ1" s="133"/>
      <c r="ER1" s="133"/>
      <c r="ES1" s="133"/>
      <c r="ET1" s="133"/>
      <c r="EU1" s="133"/>
      <c r="EV1" s="133"/>
      <c r="EW1" s="133"/>
      <c r="EX1" s="133"/>
      <c r="EY1" s="133"/>
      <c r="EZ1" s="133"/>
      <c r="FA1" s="133"/>
      <c r="FB1" s="133"/>
      <c r="FC1" s="133"/>
      <c r="FD1" s="133"/>
      <c r="FE1" s="134"/>
    </row>
    <row r="2" spans="1:161" x14ac:dyDescent="0.15">
      <c r="A2" s="131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 t="shared" ref="B3" si="0">V3*AP3*B191</f>
        <v>1174.9712989025504</v>
      </c>
      <c r="C3" s="43">
        <f>IF(W3*AQ3*C191=0,flow1,W3*AQ3*C191)</f>
        <v>914.27714686585955</v>
      </c>
      <c r="D3" s="43">
        <f>IF(X3*AR3*D191=0,flow2,X3*AR3*D191)</f>
        <v>1642.723654111358</v>
      </c>
      <c r="E3" s="43">
        <f>IF(Y3*AS3*E191=0,flow3,Y3*AS3*E191)</f>
        <v>892.53835133860684</v>
      </c>
      <c r="F3" s="43">
        <f>IF(Z3*AT3*F191=0,flow4,Z3*AT3*F191)</f>
        <v>2403.5187421106252</v>
      </c>
      <c r="G3" s="43">
        <f>IF(AA3*AU3*G191=0,flow5,AA3*AU3*G191)</f>
        <v>262.01182426701337</v>
      </c>
      <c r="H3" s="43">
        <f>IF(AB3*AV3*H191=0,flow6,AB3*AV3*H191)</f>
        <v>348.84737512288723</v>
      </c>
      <c r="I3" s="43">
        <f>IF(AC3*AW3*I191=0,flow7,AC3*AW3*I191)</f>
        <v>290.81679705055313</v>
      </c>
      <c r="J3" s="43">
        <f>IF(AD3*AX3*J191=0,flow8,AD3*AX3*J191)</f>
        <v>463.82339180782191</v>
      </c>
      <c r="K3" s="43">
        <f>IF(AE3*AY3*K191=0,flow9,AE3*AY3*K191)</f>
        <v>349.76180139121294</v>
      </c>
      <c r="L3" s="43">
        <f>AF3*AZ3*L191</f>
        <v>849.56705416288708</v>
      </c>
      <c r="M3" s="43">
        <f>IF(AG3*BA3*M191=0,flow11,AG3*BA3*M191)</f>
        <v>801.09754513683902</v>
      </c>
      <c r="N3" s="43">
        <f>IF(AH3*BB3*N191=0,flow12,AH3*BB3*N191)</f>
        <v>268.75963029917642</v>
      </c>
      <c r="O3" s="43">
        <f>IF(AI3*BC3*O191=0,flow13,AI3*BC3*O191)</f>
        <v>277.52657738028472</v>
      </c>
      <c r="P3" s="43">
        <f>IF(AJ3*BD3*P191=0,flow14,AJ3*BD3*P191)</f>
        <v>419.63573594920774</v>
      </c>
      <c r="Q3" s="43">
        <f>IF(AK3*BE3*Q191=0,flow15,AK3*BE3*Q191)</f>
        <v>447.08174966198044</v>
      </c>
      <c r="R3" s="43">
        <f>IF(AL3*BF3*R191=0,flow16,AL3*BF3*R191)</f>
        <v>557.06310672101893</v>
      </c>
      <c r="S3" s="43">
        <f>IF(AM3*BG3*S191=0,flow17,AM3*BG3*S191)</f>
        <v>416.87790308647072</v>
      </c>
      <c r="T3" s="43">
        <f>IF(AN3*BH3*T191=0,flow18,AN3*BH3*T191)</f>
        <v>172.43759533059156</v>
      </c>
      <c r="U3" s="43">
        <f>IF(AO3*BI3*U191=0,flow19,AO3*BI3*U191)</f>
        <v>127.79165897426692</v>
      </c>
      <c r="V3" s="48">
        <f t="shared" ref="V3:W3" si="1">(MAX((B205+B203-B204),0))/(B191*V194)</f>
        <v>3.4493437623492129</v>
      </c>
      <c r="W3" s="48">
        <f t="shared" si="1"/>
        <v>2.6457306222909609</v>
      </c>
      <c r="X3" s="48">
        <f>(MAX((D205+D203-D204),0))/(D191*X194)</f>
        <v>4.7738450576978853</v>
      </c>
      <c r="Y3" s="48">
        <f t="shared" ref="Y3:AO3" si="2">(MAX((E205+E203-E204),0))/(E191*Y194)</f>
        <v>2.7934652907526893</v>
      </c>
      <c r="Z3" s="48">
        <f t="shared" si="2"/>
        <v>7.3239905063850106</v>
      </c>
      <c r="AA3" s="48">
        <f t="shared" si="2"/>
        <v>0.57227406548360449</v>
      </c>
      <c r="AB3" s="48">
        <f t="shared" si="2"/>
        <v>0.78687684003995617</v>
      </c>
      <c r="AC3" s="48">
        <f t="shared" si="2"/>
        <v>0.64380832366905505</v>
      </c>
      <c r="AD3" s="48">
        <f t="shared" si="2"/>
        <v>1.0644238620972784</v>
      </c>
      <c r="AE3" s="48">
        <f t="shared" si="2"/>
        <v>0.75180329913446053</v>
      </c>
      <c r="AF3" s="48">
        <f t="shared" si="2"/>
        <v>1.868190736669642</v>
      </c>
      <c r="AG3" s="48">
        <f t="shared" si="2"/>
        <v>1.7684285082541116</v>
      </c>
      <c r="AH3" s="48">
        <f t="shared" si="2"/>
        <v>0.61027957485483697</v>
      </c>
      <c r="AI3" s="48">
        <f t="shared" si="2"/>
        <v>0.64239955247877578</v>
      </c>
      <c r="AJ3" s="48">
        <f t="shared" si="2"/>
        <v>0.96359932871816367</v>
      </c>
      <c r="AK3" s="48">
        <f t="shared" si="2"/>
        <v>1.3651369283531773</v>
      </c>
      <c r="AL3" s="48">
        <f t="shared" si="2"/>
        <v>1.6181679661290962</v>
      </c>
      <c r="AM3" s="48">
        <f t="shared" si="2"/>
        <v>1.2322950015650167</v>
      </c>
      <c r="AN3" s="48">
        <f t="shared" si="2"/>
        <v>0.52960251061853025</v>
      </c>
      <c r="AO3" s="48">
        <f t="shared" si="2"/>
        <v>0.45394500910159741</v>
      </c>
      <c r="AP3" s="42">
        <v>113.54539489779387</v>
      </c>
      <c r="AQ3" s="42">
        <v>115.18899406750376</v>
      </c>
      <c r="AR3" s="42">
        <v>114.70304225468772</v>
      </c>
      <c r="AS3" s="42">
        <v>106.50312526323597</v>
      </c>
      <c r="AT3" s="42">
        <v>109.39021744203757</v>
      </c>
      <c r="AU3" s="42">
        <v>114.46081522390776</v>
      </c>
      <c r="AV3" s="42">
        <v>110.83290210484952</v>
      </c>
      <c r="AW3" s="42">
        <v>112.92833066882085</v>
      </c>
      <c r="AX3" s="42">
        <v>108.93766297523889</v>
      </c>
      <c r="AY3" s="42">
        <v>116.30761722976219</v>
      </c>
      <c r="AZ3" s="42">
        <v>113.6884791107278</v>
      </c>
      <c r="BA3" s="42">
        <v>113.24991954689278</v>
      </c>
      <c r="BB3" s="42">
        <v>110.09692990425923</v>
      </c>
      <c r="BC3" s="42">
        <v>108.00388026011815</v>
      </c>
      <c r="BD3" s="42">
        <v>108.87194590189051</v>
      </c>
      <c r="BE3" s="42">
        <v>109.16652153502632</v>
      </c>
      <c r="BF3" s="42">
        <v>114.75180953219143</v>
      </c>
      <c r="BG3" s="42">
        <v>112.76463902908398</v>
      </c>
      <c r="BH3" s="42">
        <v>108.53271517991814</v>
      </c>
      <c r="BI3" s="42">
        <v>93.837841157000781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>
        <v>1</v>
      </c>
      <c r="CS3" s="43"/>
      <c r="CT3" s="43"/>
      <c r="CU3" s="43"/>
      <c r="CV3" s="43"/>
      <c r="CW3" s="43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45">
        <v>1</v>
      </c>
      <c r="DS3" s="45">
        <v>1</v>
      </c>
      <c r="DT3" s="45">
        <v>1</v>
      </c>
      <c r="DU3" s="45">
        <v>1</v>
      </c>
      <c r="DV3" s="45">
        <v>1</v>
      </c>
      <c r="DW3" s="45">
        <v>1</v>
      </c>
      <c r="DX3" s="45">
        <v>1</v>
      </c>
      <c r="DY3" s="45">
        <v>1</v>
      </c>
      <c r="DZ3" s="45">
        <v>1</v>
      </c>
      <c r="EA3" s="45">
        <v>1</v>
      </c>
      <c r="EB3" s="45">
        <v>1</v>
      </c>
      <c r="EC3" s="45">
        <v>1</v>
      </c>
      <c r="ED3" s="45">
        <v>1</v>
      </c>
      <c r="EE3" s="45">
        <v>1</v>
      </c>
      <c r="EF3" s="45">
        <v>1</v>
      </c>
      <c r="EG3" s="45">
        <v>1</v>
      </c>
      <c r="EH3" s="45">
        <v>1</v>
      </c>
      <c r="EI3" s="45">
        <v>1</v>
      </c>
      <c r="EJ3" s="45">
        <v>1</v>
      </c>
      <c r="EK3" s="45">
        <v>1</v>
      </c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43">
        <v>116.89840384685994</v>
      </c>
      <c r="AQ4" s="43">
        <v>115.06790816185939</v>
      </c>
      <c r="AR4" s="43">
        <v>118.65714255296865</v>
      </c>
      <c r="AS4" s="43">
        <v>113.17022655720163</v>
      </c>
      <c r="AT4" s="43">
        <v>114.48086678486423</v>
      </c>
      <c r="AU4" s="43">
        <v>117.25908661756307</v>
      </c>
      <c r="AV4" s="43">
        <v>116.06982052807125</v>
      </c>
      <c r="AW4" s="43">
        <v>116.69133786668257</v>
      </c>
      <c r="AX4" s="43">
        <v>113.51264434770999</v>
      </c>
      <c r="AY4" s="43">
        <v>117.85888523146663</v>
      </c>
      <c r="AZ4" s="43">
        <v>115.59819402505788</v>
      </c>
      <c r="BA4" s="43">
        <v>117.0728346277288</v>
      </c>
      <c r="BB4" s="43">
        <v>115.69895186651945</v>
      </c>
      <c r="BC4" s="43">
        <v>114.69300945260048</v>
      </c>
      <c r="BD4" s="43">
        <v>114.48220087469284</v>
      </c>
      <c r="BE4" s="43">
        <v>114.93232983626365</v>
      </c>
      <c r="BF4" s="43">
        <v>116.8936166519201</v>
      </c>
      <c r="BG4" s="43">
        <v>114.75112860650938</v>
      </c>
      <c r="BH4" s="43">
        <v>115.19164192281276</v>
      </c>
      <c r="BI4" s="43">
        <v>109.23014684189356</v>
      </c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>
        <v>1</v>
      </c>
      <c r="CS4" s="43"/>
      <c r="CT4" s="43"/>
      <c r="CU4" s="43"/>
      <c r="CV4" s="43"/>
      <c r="CW4" s="43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43">
        <v>1</v>
      </c>
      <c r="DS4" s="43">
        <v>1</v>
      </c>
      <c r="DT4" s="43">
        <v>1</v>
      </c>
      <c r="DU4" s="43">
        <v>1</v>
      </c>
      <c r="DV4" s="43">
        <v>1</v>
      </c>
      <c r="DW4" s="43">
        <v>1</v>
      </c>
      <c r="DX4" s="43">
        <v>1</v>
      </c>
      <c r="DY4" s="43">
        <v>1</v>
      </c>
      <c r="DZ4" s="43">
        <v>1</v>
      </c>
      <c r="EA4" s="43">
        <v>1</v>
      </c>
      <c r="EB4" s="43">
        <v>1</v>
      </c>
      <c r="EC4" s="43">
        <v>1</v>
      </c>
      <c r="ED4" s="43">
        <v>1</v>
      </c>
      <c r="EE4" s="43">
        <v>1</v>
      </c>
      <c r="EF4" s="43">
        <v>1</v>
      </c>
      <c r="EG4" s="43">
        <v>1</v>
      </c>
      <c r="EH4" s="43">
        <v>1</v>
      </c>
      <c r="EI4" s="43">
        <v>1</v>
      </c>
      <c r="EJ4" s="43">
        <v>1</v>
      </c>
      <c r="EK4" s="43">
        <v>1</v>
      </c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43">
        <v>118.45668913446677</v>
      </c>
      <c r="AQ5" s="43">
        <v>116.27382485265723</v>
      </c>
      <c r="AR5" s="43">
        <v>118.81922612698163</v>
      </c>
      <c r="AS5" s="43">
        <v>115.82418864357562</v>
      </c>
      <c r="AT5" s="43">
        <v>116.49896745423794</v>
      </c>
      <c r="AU5" s="43">
        <v>118.59612061408392</v>
      </c>
      <c r="AV5" s="43">
        <v>118.29240136041312</v>
      </c>
      <c r="AW5" s="43">
        <v>118.44972578302129</v>
      </c>
      <c r="AX5" s="43">
        <v>117.2331101900478</v>
      </c>
      <c r="AY5" s="43">
        <v>118.76766778754656</v>
      </c>
      <c r="AZ5" s="43">
        <v>117.63368441664258</v>
      </c>
      <c r="BA5" s="43">
        <v>118.65222165527774</v>
      </c>
      <c r="BB5" s="43">
        <v>118.12158092745408</v>
      </c>
      <c r="BC5" s="43">
        <v>117.62645428342393</v>
      </c>
      <c r="BD5" s="43">
        <v>117.46693163492344</v>
      </c>
      <c r="BE5" s="43">
        <v>117.60125045952864</v>
      </c>
      <c r="BF5" s="43">
        <v>118.35017866770768</v>
      </c>
      <c r="BG5" s="43">
        <v>120</v>
      </c>
      <c r="BH5" s="43">
        <v>117.82959176441264</v>
      </c>
      <c r="BI5" s="43">
        <v>115.61233389215363</v>
      </c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>
        <v>1</v>
      </c>
      <c r="CS5" s="43"/>
      <c r="CT5" s="43"/>
      <c r="CU5" s="43"/>
      <c r="CV5" s="43"/>
      <c r="CW5" s="43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43">
        <v>1</v>
      </c>
      <c r="DS5" s="43">
        <v>1</v>
      </c>
      <c r="DT5" s="43">
        <v>1</v>
      </c>
      <c r="DU5" s="43">
        <v>1</v>
      </c>
      <c r="DV5" s="43">
        <v>1</v>
      </c>
      <c r="DW5" s="43">
        <v>1</v>
      </c>
      <c r="DX5" s="43">
        <v>1</v>
      </c>
      <c r="DY5" s="43">
        <v>1</v>
      </c>
      <c r="DZ5" s="43">
        <v>1</v>
      </c>
      <c r="EA5" s="43">
        <v>1</v>
      </c>
      <c r="EB5" s="43">
        <v>1</v>
      </c>
      <c r="EC5" s="43">
        <v>1</v>
      </c>
      <c r="ED5" s="43">
        <v>1</v>
      </c>
      <c r="EE5" s="43">
        <v>1</v>
      </c>
      <c r="EF5" s="43">
        <v>1</v>
      </c>
      <c r="EG5" s="43">
        <v>1</v>
      </c>
      <c r="EH5" s="43">
        <v>1</v>
      </c>
      <c r="EI5" s="43">
        <v>1</v>
      </c>
      <c r="EJ5" s="43">
        <v>1</v>
      </c>
      <c r="EK5" s="43">
        <v>1</v>
      </c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43">
        <v>119.21772053251745</v>
      </c>
      <c r="AQ6" s="43">
        <v>116.94578678936969</v>
      </c>
      <c r="AR6" s="43">
        <v>117.71101863172603</v>
      </c>
      <c r="AS6" s="43">
        <v>116.66795068898806</v>
      </c>
      <c r="AT6" s="43">
        <v>117.15700102313075</v>
      </c>
      <c r="AU6" s="43">
        <v>119.2174862405429</v>
      </c>
      <c r="AV6" s="43">
        <v>119.2396351805469</v>
      </c>
      <c r="AW6" s="43">
        <v>118.92399433891602</v>
      </c>
      <c r="AX6" s="43">
        <v>117.32634034806208</v>
      </c>
      <c r="AY6" s="43">
        <v>119.30811410699334</v>
      </c>
      <c r="AZ6" s="43">
        <v>117.3993922567073</v>
      </c>
      <c r="BA6" s="43">
        <v>119.39744278409196</v>
      </c>
      <c r="BB6" s="43">
        <v>119.1639449033399</v>
      </c>
      <c r="BC6" s="43">
        <v>118.90981686212926</v>
      </c>
      <c r="BD6" s="43">
        <v>118.60982958825149</v>
      </c>
      <c r="BE6" s="43">
        <v>118.58870536145723</v>
      </c>
      <c r="BF6" s="43">
        <v>119.16993099217576</v>
      </c>
      <c r="BG6" s="43">
        <v>112.69294761361189</v>
      </c>
      <c r="BH6" s="43">
        <v>119.19524429014631</v>
      </c>
      <c r="BI6" s="43">
        <v>118.19992772027371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>
        <v>1</v>
      </c>
      <c r="CS6" s="43"/>
      <c r="CT6" s="43"/>
      <c r="CU6" s="43"/>
      <c r="CV6" s="43"/>
      <c r="CW6" s="43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43">
        <v>1</v>
      </c>
      <c r="DS6" s="43">
        <v>1</v>
      </c>
      <c r="DT6" s="43">
        <v>1</v>
      </c>
      <c r="DU6" s="43">
        <v>1</v>
      </c>
      <c r="DV6" s="43">
        <v>1</v>
      </c>
      <c r="DW6" s="43">
        <v>1</v>
      </c>
      <c r="DX6" s="43">
        <v>1</v>
      </c>
      <c r="DY6" s="43">
        <v>1</v>
      </c>
      <c r="DZ6" s="43">
        <v>1</v>
      </c>
      <c r="EA6" s="43">
        <v>1</v>
      </c>
      <c r="EB6" s="43">
        <v>1</v>
      </c>
      <c r="EC6" s="43">
        <v>1</v>
      </c>
      <c r="ED6" s="43">
        <v>1</v>
      </c>
      <c r="EE6" s="43">
        <v>1</v>
      </c>
      <c r="EF6" s="43">
        <v>1</v>
      </c>
      <c r="EG6" s="43">
        <v>1</v>
      </c>
      <c r="EH6" s="43">
        <v>1</v>
      </c>
      <c r="EI6" s="43">
        <v>1</v>
      </c>
      <c r="EJ6" s="43">
        <v>1</v>
      </c>
      <c r="EK6" s="43">
        <v>1</v>
      </c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43">
        <v>119.56997334675548</v>
      </c>
      <c r="AQ7" s="43">
        <v>117.28186449308339</v>
      </c>
      <c r="AR7" s="43">
        <v>117.35601242813269</v>
      </c>
      <c r="AS7" s="43">
        <v>116.76703372950469</v>
      </c>
      <c r="AT7" s="43">
        <v>117.3642993607484</v>
      </c>
      <c r="AU7" s="43">
        <v>119.49368450402164</v>
      </c>
      <c r="AV7" s="43">
        <v>119.6453002997293</v>
      </c>
      <c r="AW7" s="43">
        <v>119.21946467425245</v>
      </c>
      <c r="AX7" s="43">
        <v>117.25900568371439</v>
      </c>
      <c r="AY7" s="43">
        <v>119.52412380331995</v>
      </c>
      <c r="AZ7" s="43">
        <v>117.28288128339835</v>
      </c>
      <c r="BA7" s="43">
        <v>119.6555880674285</v>
      </c>
      <c r="BB7" s="43">
        <v>119.61477821629208</v>
      </c>
      <c r="BC7" s="43">
        <v>119.47019961376822</v>
      </c>
      <c r="BD7" s="43">
        <v>119.15575804462433</v>
      </c>
      <c r="BE7" s="43">
        <v>118.93983961835501</v>
      </c>
      <c r="BF7" s="43">
        <v>119.55801218061444</v>
      </c>
      <c r="BG7" s="43">
        <v>114.16630844198242</v>
      </c>
      <c r="BH7" s="43">
        <v>119.15231491023302</v>
      </c>
      <c r="BI7" s="43">
        <v>119.26252447457597</v>
      </c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>
        <v>1</v>
      </c>
      <c r="CS7" s="43"/>
      <c r="CT7" s="43"/>
      <c r="CU7" s="43"/>
      <c r="CV7" s="43"/>
      <c r="CW7" s="43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43">
        <v>1</v>
      </c>
      <c r="DS7" s="43">
        <v>1</v>
      </c>
      <c r="DT7" s="43">
        <v>1</v>
      </c>
      <c r="DU7" s="43">
        <v>1</v>
      </c>
      <c r="DV7" s="43">
        <v>1</v>
      </c>
      <c r="DW7" s="43">
        <v>1</v>
      </c>
      <c r="DX7" s="43">
        <v>1</v>
      </c>
      <c r="DY7" s="43">
        <v>1</v>
      </c>
      <c r="DZ7" s="43">
        <v>1</v>
      </c>
      <c r="EA7" s="43">
        <v>1</v>
      </c>
      <c r="EB7" s="43">
        <v>1</v>
      </c>
      <c r="EC7" s="43">
        <v>1</v>
      </c>
      <c r="ED7" s="43">
        <v>1</v>
      </c>
      <c r="EE7" s="43">
        <v>1</v>
      </c>
      <c r="EF7" s="43">
        <v>1</v>
      </c>
      <c r="EG7" s="43">
        <v>1</v>
      </c>
      <c r="EH7" s="43">
        <v>1</v>
      </c>
      <c r="EI7" s="43">
        <v>1</v>
      </c>
      <c r="EJ7" s="43">
        <v>1</v>
      </c>
      <c r="EK7" s="43">
        <v>1</v>
      </c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43">
        <v>119.73008976051683</v>
      </c>
      <c r="AQ8" s="43">
        <v>117.43961237737848</v>
      </c>
      <c r="AR8" s="43">
        <v>117.29429721159043</v>
      </c>
      <c r="AS8" s="43">
        <v>116.74623368981834</v>
      </c>
      <c r="AT8" s="43">
        <v>117.40951251002431</v>
      </c>
      <c r="AU8" s="43">
        <v>119.61255369937875</v>
      </c>
      <c r="AV8" s="43">
        <v>119.81943637708196</v>
      </c>
      <c r="AW8" s="43">
        <v>119.34701937493406</v>
      </c>
      <c r="AX8" s="43">
        <v>117.16902945525499</v>
      </c>
      <c r="AY8" s="43">
        <v>119.60513963990748</v>
      </c>
      <c r="AZ8" s="43">
        <v>117.1972456266034</v>
      </c>
      <c r="BA8" s="43">
        <v>119.74192236905213</v>
      </c>
      <c r="BB8" s="43">
        <v>119.80696045751041</v>
      </c>
      <c r="BC8" s="43">
        <v>119.71463851819421</v>
      </c>
      <c r="BD8" s="43">
        <v>119.39615316646889</v>
      </c>
      <c r="BE8" s="43">
        <v>119.08201081600488</v>
      </c>
      <c r="BF8" s="43">
        <v>119.7248010917767</v>
      </c>
      <c r="BG8" s="43">
        <v>110.19915612964471</v>
      </c>
      <c r="BH8" s="43">
        <v>119.24731952827837</v>
      </c>
      <c r="BI8" s="43">
        <v>119.65232918973045</v>
      </c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>
        <v>1</v>
      </c>
      <c r="CS8" s="43"/>
      <c r="CT8" s="43"/>
      <c r="CU8" s="43"/>
      <c r="CV8" s="43"/>
      <c r="CW8" s="43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43">
        <v>1</v>
      </c>
      <c r="DS8" s="43">
        <v>1</v>
      </c>
      <c r="DT8" s="43">
        <v>1</v>
      </c>
      <c r="DU8" s="43">
        <v>1</v>
      </c>
      <c r="DV8" s="43">
        <v>1</v>
      </c>
      <c r="DW8" s="43">
        <v>1</v>
      </c>
      <c r="DX8" s="43">
        <v>1</v>
      </c>
      <c r="DY8" s="43">
        <v>1</v>
      </c>
      <c r="DZ8" s="43">
        <v>1</v>
      </c>
      <c r="EA8" s="43">
        <v>1</v>
      </c>
      <c r="EB8" s="43">
        <v>1</v>
      </c>
      <c r="EC8" s="43">
        <v>1</v>
      </c>
      <c r="ED8" s="43">
        <v>1</v>
      </c>
      <c r="EE8" s="43">
        <v>1</v>
      </c>
      <c r="EF8" s="43">
        <v>1</v>
      </c>
      <c r="EG8" s="43">
        <v>1</v>
      </c>
      <c r="EH8" s="43">
        <v>1</v>
      </c>
      <c r="EI8" s="43">
        <v>1</v>
      </c>
      <c r="EJ8" s="43">
        <v>1</v>
      </c>
      <c r="EK8" s="43">
        <v>1</v>
      </c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43">
        <v>119.80234498060072</v>
      </c>
      <c r="AQ9" s="43">
        <v>117.51173551928999</v>
      </c>
      <c r="AR9" s="43">
        <v>117.30008714071205</v>
      </c>
      <c r="AS9" s="43">
        <v>116.7311217945481</v>
      </c>
      <c r="AT9" s="43">
        <v>117.41061984004283</v>
      </c>
      <c r="AU9" s="43">
        <v>119.66168890474796</v>
      </c>
      <c r="AV9" s="43">
        <v>119.89418801242429</v>
      </c>
      <c r="AW9" s="43">
        <v>119.40726182455752</v>
      </c>
      <c r="AX9" s="43">
        <v>117.08995759247249</v>
      </c>
      <c r="AY9" s="43">
        <v>119.63225411764971</v>
      </c>
      <c r="AZ9" s="43">
        <v>117.14318493561461</v>
      </c>
      <c r="BA9" s="43">
        <v>119.7672219775495</v>
      </c>
      <c r="BB9" s="43">
        <v>119.88785176697222</v>
      </c>
      <c r="BC9" s="43">
        <v>119.82105798874369</v>
      </c>
      <c r="BD9" s="43">
        <v>119.50346388734967</v>
      </c>
      <c r="BE9" s="43">
        <v>119.14449852623753</v>
      </c>
      <c r="BF9" s="43">
        <v>119.79518999002717</v>
      </c>
      <c r="BG9" s="43">
        <v>110.5669711065915</v>
      </c>
      <c r="BH9" s="43">
        <v>118.98384019886154</v>
      </c>
      <c r="BI9" s="43">
        <v>119.80330942543586</v>
      </c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>
        <v>1</v>
      </c>
      <c r="CS9" s="43"/>
      <c r="CT9" s="43"/>
      <c r="CU9" s="43"/>
      <c r="CV9" s="43"/>
      <c r="CW9" s="43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43">
        <v>1</v>
      </c>
      <c r="DS9" s="43">
        <v>1</v>
      </c>
      <c r="DT9" s="43">
        <v>1</v>
      </c>
      <c r="DU9" s="43">
        <v>1</v>
      </c>
      <c r="DV9" s="43">
        <v>1</v>
      </c>
      <c r="DW9" s="43">
        <v>1</v>
      </c>
      <c r="DX9" s="43">
        <v>1</v>
      </c>
      <c r="DY9" s="43">
        <v>1</v>
      </c>
      <c r="DZ9" s="43">
        <v>1</v>
      </c>
      <c r="EA9" s="43">
        <v>1</v>
      </c>
      <c r="EB9" s="43">
        <v>1</v>
      </c>
      <c r="EC9" s="43">
        <v>1</v>
      </c>
      <c r="ED9" s="43">
        <v>1</v>
      </c>
      <c r="EE9" s="43">
        <v>1</v>
      </c>
      <c r="EF9" s="43">
        <v>1</v>
      </c>
      <c r="EG9" s="43">
        <v>1</v>
      </c>
      <c r="EH9" s="43">
        <v>1</v>
      </c>
      <c r="EI9" s="43">
        <v>1</v>
      </c>
      <c r="EJ9" s="43">
        <v>1</v>
      </c>
      <c r="EK9" s="43">
        <v>1</v>
      </c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43">
        <v>119.83485078963881</v>
      </c>
      <c r="AQ10" s="43">
        <v>117.54435945013057</v>
      </c>
      <c r="AR10" s="43">
        <v>117.31289378270991</v>
      </c>
      <c r="AS10" s="43">
        <v>116.72738461651559</v>
      </c>
      <c r="AT10" s="43">
        <v>117.40533590647256</v>
      </c>
      <c r="AU10" s="43">
        <v>119.6811904320878</v>
      </c>
      <c r="AV10" s="43">
        <v>119.92618425787224</v>
      </c>
      <c r="AW10" s="43">
        <v>119.4345431714388</v>
      </c>
      <c r="AX10" s="43">
        <v>117.03265403228541</v>
      </c>
      <c r="AY10" s="43">
        <v>119.63886164044064</v>
      </c>
      <c r="AZ10" s="43">
        <v>117.11129106387806</v>
      </c>
      <c r="BA10" s="43">
        <v>119.77244408786542</v>
      </c>
      <c r="BB10" s="43">
        <v>119.92142300190754</v>
      </c>
      <c r="BC10" s="43">
        <v>119.86726738259317</v>
      </c>
      <c r="BD10" s="43">
        <v>119.55110689015044</v>
      </c>
      <c r="BE10" s="43">
        <v>119.17349247186955</v>
      </c>
      <c r="BF10" s="43">
        <v>119.82525814948141</v>
      </c>
      <c r="BG10" s="43">
        <v>108.78107982835951</v>
      </c>
      <c r="BH10" s="43">
        <v>118.91559903971205</v>
      </c>
      <c r="BI10" s="43">
        <v>119.83906762125743</v>
      </c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>
        <v>1</v>
      </c>
      <c r="CS10" s="43"/>
      <c r="CT10" s="43"/>
      <c r="CU10" s="43"/>
      <c r="CV10" s="43"/>
      <c r="CW10" s="43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43">
        <v>1</v>
      </c>
      <c r="DS10" s="43">
        <v>1</v>
      </c>
      <c r="DT10" s="43">
        <v>1</v>
      </c>
      <c r="DU10" s="43">
        <v>1</v>
      </c>
      <c r="DV10" s="43">
        <v>1</v>
      </c>
      <c r="DW10" s="43">
        <v>1</v>
      </c>
      <c r="DX10" s="43">
        <v>1</v>
      </c>
      <c r="DY10" s="43">
        <v>1</v>
      </c>
      <c r="DZ10" s="43">
        <v>1</v>
      </c>
      <c r="EA10" s="43">
        <v>1</v>
      </c>
      <c r="EB10" s="43">
        <v>1</v>
      </c>
      <c r="EC10" s="43">
        <v>1</v>
      </c>
      <c r="ED10" s="43">
        <v>1</v>
      </c>
      <c r="EE10" s="43">
        <v>1</v>
      </c>
      <c r="EF10" s="43">
        <v>1</v>
      </c>
      <c r="EG10" s="43">
        <v>1</v>
      </c>
      <c r="EH10" s="43">
        <v>1</v>
      </c>
      <c r="EI10" s="43">
        <v>1</v>
      </c>
      <c r="EJ10" s="43">
        <v>1</v>
      </c>
      <c r="EK10" s="43">
        <v>1</v>
      </c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43">
        <v>119.84945474091523</v>
      </c>
      <c r="AQ11" s="43">
        <v>117.5590506144557</v>
      </c>
      <c r="AR11" s="43">
        <v>117.32166211238142</v>
      </c>
      <c r="AS11" s="43">
        <v>116.72808705554534</v>
      </c>
      <c r="AT11" s="43">
        <v>117.40177692725342</v>
      </c>
      <c r="AU11" s="43">
        <v>119.68866732784117</v>
      </c>
      <c r="AV11" s="43">
        <v>119.93980635462252</v>
      </c>
      <c r="AW11" s="43">
        <v>119.44692547209391</v>
      </c>
      <c r="AX11" s="43">
        <v>116.99479502559984</v>
      </c>
      <c r="AY11" s="43">
        <v>119.63855672695861</v>
      </c>
      <c r="AZ11" s="43">
        <v>117.09331807152442</v>
      </c>
      <c r="BA11" s="43">
        <v>119.77195781295029</v>
      </c>
      <c r="BB11" s="43">
        <v>119.93512880281565</v>
      </c>
      <c r="BC11" s="43">
        <v>119.8872653413447</v>
      </c>
      <c r="BD11" s="43">
        <v>119.57222808337475</v>
      </c>
      <c r="BE11" s="43">
        <v>119.18723816358408</v>
      </c>
      <c r="BF11" s="43">
        <v>119.83843999797332</v>
      </c>
      <c r="BG11" s="43">
        <v>108.734104227158</v>
      </c>
      <c r="BH11" s="43">
        <v>118.75685299587009</v>
      </c>
      <c r="BI11" s="43">
        <v>119.84708389885307</v>
      </c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>
        <v>1</v>
      </c>
      <c r="CS11" s="43"/>
      <c r="CT11" s="43"/>
      <c r="CU11" s="43"/>
      <c r="CV11" s="43"/>
      <c r="CW11" s="43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43">
        <v>1</v>
      </c>
      <c r="DS11" s="43">
        <v>1</v>
      </c>
      <c r="DT11" s="43">
        <v>1</v>
      </c>
      <c r="DU11" s="43">
        <v>1</v>
      </c>
      <c r="DV11" s="43">
        <v>1</v>
      </c>
      <c r="DW11" s="43">
        <v>1</v>
      </c>
      <c r="DX11" s="43">
        <v>1</v>
      </c>
      <c r="DY11" s="43">
        <v>1</v>
      </c>
      <c r="DZ11" s="43">
        <v>1</v>
      </c>
      <c r="EA11" s="43">
        <v>1</v>
      </c>
      <c r="EB11" s="43">
        <v>1</v>
      </c>
      <c r="EC11" s="43">
        <v>1</v>
      </c>
      <c r="ED11" s="43">
        <v>1</v>
      </c>
      <c r="EE11" s="43">
        <v>1</v>
      </c>
      <c r="EF11" s="43">
        <v>1</v>
      </c>
      <c r="EG11" s="43">
        <v>1</v>
      </c>
      <c r="EH11" s="43">
        <v>1</v>
      </c>
      <c r="EI11" s="43">
        <v>1</v>
      </c>
      <c r="EJ11" s="43">
        <v>1</v>
      </c>
      <c r="EK11" s="43">
        <v>1</v>
      </c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43">
        <v>119.85601211708881</v>
      </c>
      <c r="AQ12" s="43">
        <v>117.56565371481877</v>
      </c>
      <c r="AR12" s="43">
        <v>117.32648705261694</v>
      </c>
      <c r="AS12" s="43">
        <v>116.72955330379853</v>
      </c>
      <c r="AT12" s="43">
        <v>117.40018023543814</v>
      </c>
      <c r="AU12" s="43">
        <v>119.69146351376573</v>
      </c>
      <c r="AV12" s="43">
        <v>119.94556637895545</v>
      </c>
      <c r="AW12" s="43">
        <v>119.45248587045661</v>
      </c>
      <c r="AX12" s="43">
        <v>116.97096359299279</v>
      </c>
      <c r="AY12" s="43">
        <v>119.63653179801622</v>
      </c>
      <c r="AZ12" s="43">
        <v>117.08350546478013</v>
      </c>
      <c r="BA12" s="43">
        <v>119.77042423963449</v>
      </c>
      <c r="BB12" s="43">
        <v>119.94061207085863</v>
      </c>
      <c r="BC12" s="43">
        <v>119.89588449072117</v>
      </c>
      <c r="BD12" s="43">
        <v>119.58156951914258</v>
      </c>
      <c r="BE12" s="43">
        <v>119.1937764308892</v>
      </c>
      <c r="BF12" s="43">
        <v>119.84437089829304</v>
      </c>
      <c r="BG12" s="43">
        <v>107.99224676196555</v>
      </c>
      <c r="BH12" s="43">
        <v>118.6956821920471</v>
      </c>
      <c r="BI12" s="43">
        <v>119.83804127863459</v>
      </c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>
        <v>1</v>
      </c>
      <c r="CS12" s="43"/>
      <c r="CT12" s="43"/>
      <c r="CU12" s="43"/>
      <c r="CV12" s="43"/>
      <c r="CW12" s="43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43">
        <v>1</v>
      </c>
      <c r="DS12" s="43">
        <v>1</v>
      </c>
      <c r="DT12" s="43">
        <v>1</v>
      </c>
      <c r="DU12" s="43">
        <v>1</v>
      </c>
      <c r="DV12" s="43">
        <v>1</v>
      </c>
      <c r="DW12" s="43">
        <v>1</v>
      </c>
      <c r="DX12" s="43">
        <v>1</v>
      </c>
      <c r="DY12" s="43">
        <v>1</v>
      </c>
      <c r="DZ12" s="43">
        <v>1</v>
      </c>
      <c r="EA12" s="43">
        <v>1</v>
      </c>
      <c r="EB12" s="43">
        <v>1</v>
      </c>
      <c r="EC12" s="43">
        <v>1</v>
      </c>
      <c r="ED12" s="43">
        <v>1</v>
      </c>
      <c r="EE12" s="43">
        <v>1</v>
      </c>
      <c r="EF12" s="43">
        <v>1</v>
      </c>
      <c r="EG12" s="43">
        <v>1</v>
      </c>
      <c r="EH12" s="43">
        <v>1</v>
      </c>
      <c r="EI12" s="43">
        <v>1</v>
      </c>
      <c r="EJ12" s="43">
        <v>1</v>
      </c>
      <c r="EK12" s="43">
        <v>1</v>
      </c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43">
        <v>119.85895578375063</v>
      </c>
      <c r="AQ13" s="43">
        <v>117.5686191297135</v>
      </c>
      <c r="AR13" s="43">
        <v>117.32891502690752</v>
      </c>
      <c r="AS13" s="43">
        <v>116.73068638783116</v>
      </c>
      <c r="AT13" s="43">
        <v>117.39963649708811</v>
      </c>
      <c r="AU13" s="43">
        <v>119.69249701123178</v>
      </c>
      <c r="AV13" s="43">
        <v>119.94798453501384</v>
      </c>
      <c r="AW13" s="43">
        <v>119.454968326159</v>
      </c>
      <c r="AX13" s="43">
        <v>116.95629016420409</v>
      </c>
      <c r="AY13" s="43">
        <v>119.63454157196117</v>
      </c>
      <c r="AZ13" s="43">
        <v>117.07827003745605</v>
      </c>
      <c r="BA13" s="43">
        <v>119.76912140678428</v>
      </c>
      <c r="BB13" s="43">
        <v>119.94274840057031</v>
      </c>
      <c r="BC13" s="43">
        <v>119.89958118827998</v>
      </c>
      <c r="BD13" s="43">
        <v>119.58569151294691</v>
      </c>
      <c r="BE13" s="43">
        <v>119.19686831343432</v>
      </c>
      <c r="BF13" s="43">
        <v>119.84709135092299</v>
      </c>
      <c r="BG13" s="43">
        <v>107.87574735391634</v>
      </c>
      <c r="BH13" s="43">
        <v>118.61794242196554</v>
      </c>
      <c r="BI13" s="43">
        <v>119.83008998668419</v>
      </c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>
        <v>1</v>
      </c>
      <c r="CS13" s="43"/>
      <c r="CT13" s="43"/>
      <c r="CU13" s="43"/>
      <c r="CV13" s="43"/>
      <c r="CW13" s="43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43">
        <v>1</v>
      </c>
      <c r="DS13" s="43">
        <v>1</v>
      </c>
      <c r="DT13" s="43">
        <v>1</v>
      </c>
      <c r="DU13" s="43">
        <v>1</v>
      </c>
      <c r="DV13" s="43">
        <v>1</v>
      </c>
      <c r="DW13" s="43">
        <v>1</v>
      </c>
      <c r="DX13" s="43">
        <v>1</v>
      </c>
      <c r="DY13" s="43">
        <v>1</v>
      </c>
      <c r="DZ13" s="43">
        <v>1</v>
      </c>
      <c r="EA13" s="43">
        <v>1</v>
      </c>
      <c r="EB13" s="43">
        <v>1</v>
      </c>
      <c r="EC13" s="43">
        <v>1</v>
      </c>
      <c r="ED13" s="43">
        <v>1</v>
      </c>
      <c r="EE13" s="43">
        <v>1</v>
      </c>
      <c r="EF13" s="43">
        <v>1</v>
      </c>
      <c r="EG13" s="43">
        <v>1</v>
      </c>
      <c r="EH13" s="43">
        <v>1</v>
      </c>
      <c r="EI13" s="43">
        <v>1</v>
      </c>
      <c r="EJ13" s="43">
        <v>1</v>
      </c>
      <c r="EK13" s="43">
        <v>1</v>
      </c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43">
        <v>119.86027711821342</v>
      </c>
      <c r="AQ14" s="43">
        <v>117.56995043063344</v>
      </c>
      <c r="AR14" s="43">
        <v>117.33008239607857</v>
      </c>
      <c r="AS14" s="43">
        <v>116.73137600322995</v>
      </c>
      <c r="AT14" s="43">
        <v>117.39951842464552</v>
      </c>
      <c r="AU14" s="43">
        <v>119.69288112963757</v>
      </c>
      <c r="AV14" s="43">
        <v>119.94899302178514</v>
      </c>
      <c r="AW14" s="43">
        <v>119.45606898584167</v>
      </c>
      <c r="AX14" s="43">
        <v>116.94730029445634</v>
      </c>
      <c r="AY14" s="43">
        <v>119.63302594419039</v>
      </c>
      <c r="AZ14" s="43">
        <v>117.07552478041518</v>
      </c>
      <c r="BA14" s="43">
        <v>119.76824843283521</v>
      </c>
      <c r="BB14" s="43">
        <v>119.94355053319002</v>
      </c>
      <c r="BC14" s="43">
        <v>119.90115745459617</v>
      </c>
      <c r="BD14" s="43">
        <v>119.58750581965541</v>
      </c>
      <c r="BE14" s="43">
        <v>119.19831670214113</v>
      </c>
      <c r="BF14" s="43">
        <v>119.84835284128474</v>
      </c>
      <c r="BG14" s="43">
        <v>107.57017284437654</v>
      </c>
      <c r="BH14" s="43">
        <v>118.58101733997383</v>
      </c>
      <c r="BI14" s="43">
        <v>119.82128926011995</v>
      </c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>
        <v>1</v>
      </c>
      <c r="CS14" s="43"/>
      <c r="CT14" s="43"/>
      <c r="CU14" s="43"/>
      <c r="CV14" s="43"/>
      <c r="CW14" s="43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43">
        <v>1</v>
      </c>
      <c r="DS14" s="43">
        <v>1</v>
      </c>
      <c r="DT14" s="43">
        <v>1</v>
      </c>
      <c r="DU14" s="43">
        <v>1</v>
      </c>
      <c r="DV14" s="43">
        <v>1</v>
      </c>
      <c r="DW14" s="43">
        <v>1</v>
      </c>
      <c r="DX14" s="43">
        <v>1</v>
      </c>
      <c r="DY14" s="43">
        <v>1</v>
      </c>
      <c r="DZ14" s="43">
        <v>1</v>
      </c>
      <c r="EA14" s="43">
        <v>1</v>
      </c>
      <c r="EB14" s="43">
        <v>1</v>
      </c>
      <c r="EC14" s="43">
        <v>1</v>
      </c>
      <c r="ED14" s="43">
        <v>1</v>
      </c>
      <c r="EE14" s="43">
        <v>1</v>
      </c>
      <c r="EF14" s="43">
        <v>1</v>
      </c>
      <c r="EG14" s="43">
        <v>1</v>
      </c>
      <c r="EH14" s="43">
        <v>1</v>
      </c>
      <c r="EI14" s="43">
        <v>1</v>
      </c>
      <c r="EJ14" s="43">
        <v>1</v>
      </c>
      <c r="EK14" s="43">
        <v>1</v>
      </c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43">
        <v>119.86087022463438</v>
      </c>
      <c r="AQ15" s="43">
        <v>117.57054803304912</v>
      </c>
      <c r="AR15" s="43">
        <v>117.3306293649118</v>
      </c>
      <c r="AS15" s="43">
        <v>116.73175133264652</v>
      </c>
      <c r="AT15" s="43">
        <v>117.39953303805943</v>
      </c>
      <c r="AU15" s="43">
        <v>119.69302774994293</v>
      </c>
      <c r="AV15" s="43">
        <v>119.94941137257017</v>
      </c>
      <c r="AW15" s="43">
        <v>119.45655402066706</v>
      </c>
      <c r="AX15" s="43">
        <v>116.9417514093486</v>
      </c>
      <c r="AY15" s="43">
        <v>119.63198171867302</v>
      </c>
      <c r="AZ15" s="43">
        <v>117.07410454798992</v>
      </c>
      <c r="BA15" s="43">
        <v>119.76772102733695</v>
      </c>
      <c r="BB15" s="43">
        <v>119.94383528143833</v>
      </c>
      <c r="BC15" s="43">
        <v>119.90182491545265</v>
      </c>
      <c r="BD15" s="43">
        <v>119.58830222217763</v>
      </c>
      <c r="BE15" s="43">
        <v>119.19898821959337</v>
      </c>
      <c r="BF15" s="43">
        <v>119.84893995729217</v>
      </c>
      <c r="BG15" s="43">
        <v>107.48206452417284</v>
      </c>
      <c r="BH15" s="43">
        <v>118.54477127583385</v>
      </c>
      <c r="BI15" s="43">
        <v>119.81525990230749</v>
      </c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>
        <v>1</v>
      </c>
      <c r="CS15" s="43"/>
      <c r="CT15" s="43"/>
      <c r="CU15" s="43"/>
      <c r="CV15" s="43"/>
      <c r="CW15" s="43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45">
        <v>1</v>
      </c>
      <c r="DS15" s="45">
        <v>1</v>
      </c>
      <c r="DT15" s="45">
        <v>1</v>
      </c>
      <c r="DU15" s="45">
        <v>1</v>
      </c>
      <c r="DV15" s="45">
        <v>1</v>
      </c>
      <c r="DW15" s="45">
        <v>1</v>
      </c>
      <c r="DX15" s="45">
        <v>1</v>
      </c>
      <c r="DY15" s="45">
        <v>1</v>
      </c>
      <c r="DZ15" s="45">
        <v>1</v>
      </c>
      <c r="EA15" s="45">
        <v>1</v>
      </c>
      <c r="EB15" s="45">
        <v>1</v>
      </c>
      <c r="EC15" s="45">
        <v>1</v>
      </c>
      <c r="ED15" s="45">
        <v>1</v>
      </c>
      <c r="EE15" s="45">
        <v>1</v>
      </c>
      <c r="EF15" s="45">
        <v>1</v>
      </c>
      <c r="EG15" s="45">
        <v>1</v>
      </c>
      <c r="EH15" s="45">
        <v>1</v>
      </c>
      <c r="EI15" s="45">
        <v>1</v>
      </c>
      <c r="EJ15" s="45">
        <v>1</v>
      </c>
      <c r="EK15" s="45">
        <v>1</v>
      </c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43">
        <v>119.86113645758178</v>
      </c>
      <c r="AQ16" s="43">
        <v>117.57081628019417</v>
      </c>
      <c r="AR16" s="43">
        <v>117.33088170235935</v>
      </c>
      <c r="AS16" s="43">
        <v>116.73194296894545</v>
      </c>
      <c r="AT16" s="43">
        <v>117.3995714095562</v>
      </c>
      <c r="AU16" s="43">
        <v>119.69308645483393</v>
      </c>
      <c r="AV16" s="43">
        <v>119.94958431044263</v>
      </c>
      <c r="AW16" s="43">
        <v>119.45676651911194</v>
      </c>
      <c r="AX16" s="43">
        <v>116.93826917150749</v>
      </c>
      <c r="AY16" s="43">
        <v>119.63129474459708</v>
      </c>
      <c r="AZ16" s="43">
        <v>117.07337764490056</v>
      </c>
      <c r="BA16" s="43">
        <v>119.76742037643034</v>
      </c>
      <c r="BB16" s="43">
        <v>119.94392705286624</v>
      </c>
      <c r="BC16" s="43">
        <v>119.90210519793605</v>
      </c>
      <c r="BD16" s="43">
        <v>119.58865076479462</v>
      </c>
      <c r="BE16" s="43">
        <v>119.19929644649899</v>
      </c>
      <c r="BF16" s="43">
        <v>119.8492128302295</v>
      </c>
      <c r="BG16" s="43">
        <v>107.35312876731933</v>
      </c>
      <c r="BH16" s="43">
        <v>118.5250373525507</v>
      </c>
      <c r="BI16" s="43">
        <v>119.81030230145427</v>
      </c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>
        <v>1</v>
      </c>
      <c r="CS16" s="43"/>
      <c r="CT16" s="43"/>
      <c r="CU16" s="43"/>
      <c r="CV16" s="43"/>
      <c r="CW16" s="43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43">
        <v>1</v>
      </c>
      <c r="DS16" s="43">
        <v>1</v>
      </c>
      <c r="DT16" s="43">
        <v>1</v>
      </c>
      <c r="DU16" s="43">
        <v>1</v>
      </c>
      <c r="DV16" s="43">
        <v>1</v>
      </c>
      <c r="DW16" s="43">
        <v>1</v>
      </c>
      <c r="DX16" s="43">
        <v>1</v>
      </c>
      <c r="DY16" s="43">
        <v>1</v>
      </c>
      <c r="DZ16" s="43">
        <v>1</v>
      </c>
      <c r="EA16" s="43">
        <v>1</v>
      </c>
      <c r="EB16" s="43">
        <v>1</v>
      </c>
      <c r="EC16" s="43">
        <v>1</v>
      </c>
      <c r="ED16" s="43">
        <v>1</v>
      </c>
      <c r="EE16" s="43">
        <v>1</v>
      </c>
      <c r="EF16" s="43">
        <v>1</v>
      </c>
      <c r="EG16" s="43">
        <v>1</v>
      </c>
      <c r="EH16" s="43">
        <v>1</v>
      </c>
      <c r="EI16" s="43">
        <v>1</v>
      </c>
      <c r="EJ16" s="43">
        <v>1</v>
      </c>
      <c r="EK16" s="43">
        <v>1</v>
      </c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43">
        <v>119.86125596816869</v>
      </c>
      <c r="AQ17" s="43">
        <v>117.57093669034525</v>
      </c>
      <c r="AR17" s="43">
        <v>117.33099699730806</v>
      </c>
      <c r="AS17" s="43">
        <v>116.7320369627523</v>
      </c>
      <c r="AT17" s="43">
        <v>117.39960251708361</v>
      </c>
      <c r="AU17" s="43">
        <v>119.69311145201952</v>
      </c>
      <c r="AV17" s="43">
        <v>119.94965570867298</v>
      </c>
      <c r="AW17" s="43">
        <v>119.45685912667756</v>
      </c>
      <c r="AX17" s="43">
        <v>116.93603332704937</v>
      </c>
      <c r="AY17" s="43">
        <v>119.63085127073521</v>
      </c>
      <c r="AZ17" s="43">
        <v>117.07300882834227</v>
      </c>
      <c r="BA17" s="43">
        <v>119.76725522990077</v>
      </c>
      <c r="BB17" s="43">
        <v>119.94395103612368</v>
      </c>
      <c r="BC17" s="43">
        <v>119.90222170542256</v>
      </c>
      <c r="BD17" s="43">
        <v>119.58880279829422</v>
      </c>
      <c r="BE17" s="43">
        <v>119.19943661398425</v>
      </c>
      <c r="BF17" s="43">
        <v>119.84933908392675</v>
      </c>
      <c r="BG17" s="43">
        <v>107.30091443235681</v>
      </c>
      <c r="BH17" s="43">
        <v>118.50824397279818</v>
      </c>
      <c r="BI17" s="43">
        <v>119.80698672203613</v>
      </c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>
        <v>1</v>
      </c>
      <c r="CS17" s="43"/>
      <c r="CT17" s="43"/>
      <c r="CU17" s="43"/>
      <c r="CV17" s="43"/>
      <c r="CW17" s="43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43">
        <v>1</v>
      </c>
      <c r="DS17" s="43">
        <v>1</v>
      </c>
      <c r="DT17" s="43">
        <v>1</v>
      </c>
      <c r="DU17" s="43">
        <v>1</v>
      </c>
      <c r="DV17" s="43">
        <v>1</v>
      </c>
      <c r="DW17" s="43">
        <v>1</v>
      </c>
      <c r="DX17" s="43">
        <v>1</v>
      </c>
      <c r="DY17" s="43">
        <v>1</v>
      </c>
      <c r="DZ17" s="43">
        <v>1</v>
      </c>
      <c r="EA17" s="43">
        <v>1</v>
      </c>
      <c r="EB17" s="43">
        <v>1</v>
      </c>
      <c r="EC17" s="43">
        <v>1</v>
      </c>
      <c r="ED17" s="43">
        <v>1</v>
      </c>
      <c r="EE17" s="43">
        <v>1</v>
      </c>
      <c r="EF17" s="43">
        <v>1</v>
      </c>
      <c r="EG17" s="43">
        <v>1</v>
      </c>
      <c r="EH17" s="43">
        <v>1</v>
      </c>
      <c r="EI17" s="43">
        <v>1</v>
      </c>
      <c r="EJ17" s="43">
        <v>1</v>
      </c>
      <c r="EK17" s="43">
        <v>1</v>
      </c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43">
        <v>119.86130961808703</v>
      </c>
      <c r="AQ18" s="43">
        <v>117.57099074146132</v>
      </c>
      <c r="AR18" s="43">
        <v>117.3310493544259</v>
      </c>
      <c r="AS18" s="43">
        <v>116.7320818532537</v>
      </c>
      <c r="AT18" s="43">
        <v>117.3996222485427</v>
      </c>
      <c r="AU18" s="43">
        <v>119.69312277388568</v>
      </c>
      <c r="AV18" s="43">
        <v>119.94968522202728</v>
      </c>
      <c r="AW18" s="43">
        <v>119.45689929680827</v>
      </c>
      <c r="AX18" s="43">
        <v>116.93455949643733</v>
      </c>
      <c r="AY18" s="43">
        <v>119.63056559772102</v>
      </c>
      <c r="AZ18" s="43">
        <v>117.07282303900321</v>
      </c>
      <c r="BA18" s="43">
        <v>119.76716681504513</v>
      </c>
      <c r="BB18" s="43">
        <v>119.94395359782892</v>
      </c>
      <c r="BC18" s="43">
        <v>119.9022695289938</v>
      </c>
      <c r="BD18" s="43">
        <v>119.58886886949995</v>
      </c>
      <c r="BE18" s="43">
        <v>119.19949981793945</v>
      </c>
      <c r="BF18" s="43">
        <v>119.84939714032632</v>
      </c>
      <c r="BG18" s="43">
        <v>107.24475457260485</v>
      </c>
      <c r="BH18" s="43">
        <v>118.49825198843348</v>
      </c>
      <c r="BI18" s="43">
        <v>119.80449776133213</v>
      </c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>
        <v>1</v>
      </c>
      <c r="CS18" s="43"/>
      <c r="CT18" s="43"/>
      <c r="CU18" s="43"/>
      <c r="CV18" s="43"/>
      <c r="CW18" s="43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43">
        <v>1</v>
      </c>
      <c r="DS18" s="43">
        <v>1</v>
      </c>
      <c r="DT18" s="43">
        <v>1</v>
      </c>
      <c r="DU18" s="43">
        <v>1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1</v>
      </c>
      <c r="EB18" s="43">
        <v>1</v>
      </c>
      <c r="EC18" s="43">
        <v>1</v>
      </c>
      <c r="ED18" s="43">
        <v>1</v>
      </c>
      <c r="EE18" s="43">
        <v>1</v>
      </c>
      <c r="EF18" s="43">
        <v>1</v>
      </c>
      <c r="EG18" s="43">
        <v>1</v>
      </c>
      <c r="EH18" s="43">
        <v>1</v>
      </c>
      <c r="EI18" s="43">
        <v>1</v>
      </c>
      <c r="EJ18" s="43">
        <v>1</v>
      </c>
      <c r="EK18" s="43">
        <v>1</v>
      </c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43">
        <v>119.86133370332951</v>
      </c>
      <c r="AQ19" s="43">
        <v>117.57101500552405</v>
      </c>
      <c r="AR19" s="43">
        <v>117.33107303690434</v>
      </c>
      <c r="AS19" s="43">
        <v>116.7321029054106</v>
      </c>
      <c r="AT19" s="43">
        <v>117.39963341967781</v>
      </c>
      <c r="AU19" s="43">
        <v>119.69312816078767</v>
      </c>
      <c r="AV19" s="43">
        <v>119.94969746888532</v>
      </c>
      <c r="AW19" s="43">
        <v>119.45691665215632</v>
      </c>
      <c r="AX19" s="43">
        <v>116.9335613849095</v>
      </c>
      <c r="AY19" s="43">
        <v>119.63037988621674</v>
      </c>
      <c r="AZ19" s="43">
        <v>117.07273001053365</v>
      </c>
      <c r="BA19" s="43">
        <v>119.76712036066148</v>
      </c>
      <c r="BB19" s="43">
        <v>119.94395084180266</v>
      </c>
      <c r="BC19" s="43">
        <v>119.90228884779177</v>
      </c>
      <c r="BD19" s="43">
        <v>119.58889746306335</v>
      </c>
      <c r="BE19" s="43">
        <v>119.19952809802645</v>
      </c>
      <c r="BF19" s="43">
        <v>119.84942365320359</v>
      </c>
      <c r="BG19" s="43">
        <v>107.21681668395271</v>
      </c>
      <c r="BH19" s="43">
        <v>118.49043247633958</v>
      </c>
      <c r="BI19" s="43">
        <v>119.80282685941053</v>
      </c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>
        <v>1</v>
      </c>
      <c r="CS19" s="43"/>
      <c r="CT19" s="43"/>
      <c r="CU19" s="43"/>
      <c r="CV19" s="43"/>
      <c r="CW19" s="43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43">
        <v>1</v>
      </c>
      <c r="DS19" s="43">
        <v>1</v>
      </c>
      <c r="DT19" s="43">
        <v>1</v>
      </c>
      <c r="DU19" s="43">
        <v>1</v>
      </c>
      <c r="DV19" s="43">
        <v>1</v>
      </c>
      <c r="DW19" s="43">
        <v>1</v>
      </c>
      <c r="DX19" s="43">
        <v>1</v>
      </c>
      <c r="DY19" s="43">
        <v>1</v>
      </c>
      <c r="DZ19" s="43">
        <v>1</v>
      </c>
      <c r="EA19" s="43">
        <v>1</v>
      </c>
      <c r="EB19" s="43">
        <v>1</v>
      </c>
      <c r="EC19" s="43">
        <v>1</v>
      </c>
      <c r="ED19" s="43">
        <v>1</v>
      </c>
      <c r="EE19" s="43">
        <v>1</v>
      </c>
      <c r="EF19" s="43">
        <v>1</v>
      </c>
      <c r="EG19" s="43">
        <v>1</v>
      </c>
      <c r="EH19" s="43">
        <v>1</v>
      </c>
      <c r="EI19" s="43">
        <v>1</v>
      </c>
      <c r="EJ19" s="43">
        <v>1</v>
      </c>
      <c r="EK19" s="43">
        <v>1</v>
      </c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43">
        <v>119.86134451649174</v>
      </c>
      <c r="AQ20" s="43">
        <v>117.57102589836819</v>
      </c>
      <c r="AR20" s="43">
        <v>117.33108372173572</v>
      </c>
      <c r="AS20" s="43">
        <v>116.73211265356436</v>
      </c>
      <c r="AT20" s="43">
        <v>117.39963933866312</v>
      </c>
      <c r="AU20" s="43">
        <v>119.69313080568432</v>
      </c>
      <c r="AV20" s="43">
        <v>119.94970258367387</v>
      </c>
      <c r="AW20" s="43">
        <v>119.45692412652355</v>
      </c>
      <c r="AX20" s="43">
        <v>116.93286804886091</v>
      </c>
      <c r="AY20" s="43">
        <v>119.63025714485133</v>
      </c>
      <c r="AZ20" s="43">
        <v>117.07268366637189</v>
      </c>
      <c r="BA20" s="43">
        <v>119.76709629920747</v>
      </c>
      <c r="BB20" s="43">
        <v>119.94394774649642</v>
      </c>
      <c r="BC20" s="43">
        <v>119.9022964895909</v>
      </c>
      <c r="BD20" s="43">
        <v>119.58890977866565</v>
      </c>
      <c r="BE20" s="43">
        <v>119.19954066144697</v>
      </c>
      <c r="BF20" s="43">
        <v>119.84943567522308</v>
      </c>
      <c r="BG20" s="43">
        <v>107.19166052143615</v>
      </c>
      <c r="BH20" s="43">
        <v>118.48550965939661</v>
      </c>
      <c r="BI20" s="43">
        <v>119.80162118829571</v>
      </c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>
        <v>1</v>
      </c>
      <c r="CS20" s="43"/>
      <c r="CT20" s="43"/>
      <c r="CU20" s="43"/>
      <c r="CV20" s="43"/>
      <c r="CW20" s="43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43">
        <v>1</v>
      </c>
      <c r="DS20" s="43">
        <v>1</v>
      </c>
      <c r="DT20" s="43">
        <v>1</v>
      </c>
      <c r="DU20" s="43">
        <v>1</v>
      </c>
      <c r="DV20" s="43">
        <v>1</v>
      </c>
      <c r="DW20" s="43">
        <v>1</v>
      </c>
      <c r="DX20" s="43">
        <v>1</v>
      </c>
      <c r="DY20" s="43">
        <v>1</v>
      </c>
      <c r="DZ20" s="43">
        <v>1</v>
      </c>
      <c r="EA20" s="43">
        <v>1</v>
      </c>
      <c r="EB20" s="43">
        <v>1</v>
      </c>
      <c r="EC20" s="43">
        <v>1</v>
      </c>
      <c r="ED20" s="43">
        <v>1</v>
      </c>
      <c r="EE20" s="43">
        <v>1</v>
      </c>
      <c r="EF20" s="43">
        <v>1</v>
      </c>
      <c r="EG20" s="43">
        <v>1</v>
      </c>
      <c r="EH20" s="43">
        <v>1</v>
      </c>
      <c r="EI20" s="43">
        <v>1</v>
      </c>
      <c r="EJ20" s="43">
        <v>1</v>
      </c>
      <c r="EK20" s="43">
        <v>1</v>
      </c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43">
        <v>119.86134937132486</v>
      </c>
      <c r="AQ21" s="43">
        <v>117.57103078870364</v>
      </c>
      <c r="AR21" s="43">
        <v>117.33108853440763</v>
      </c>
      <c r="AS21" s="43">
        <v>116.73211712719518</v>
      </c>
      <c r="AT21" s="43">
        <v>117.39964234202618</v>
      </c>
      <c r="AU21" s="43">
        <v>119.69313212421621</v>
      </c>
      <c r="AV21" s="43">
        <v>119.94970473865314</v>
      </c>
      <c r="AW21" s="43">
        <v>119.45692733791054</v>
      </c>
      <c r="AX21" s="43">
        <v>116.93237557986974</v>
      </c>
      <c r="AY21" s="43">
        <v>119.6301743277448</v>
      </c>
      <c r="AZ21" s="43">
        <v>117.07266067962603</v>
      </c>
      <c r="BA21" s="43">
        <v>119.76708397532711</v>
      </c>
      <c r="BB21" s="43">
        <v>119.94394547350991</v>
      </c>
      <c r="BC21" s="43">
        <v>119.90229942659997</v>
      </c>
      <c r="BD21" s="43">
        <v>119.58891505416656</v>
      </c>
      <c r="BE21" s="43">
        <v>119.19954620511041</v>
      </c>
      <c r="BF21" s="43">
        <v>119.84944108830844</v>
      </c>
      <c r="BG21" s="43">
        <v>107.17745695897383</v>
      </c>
      <c r="BH21" s="43">
        <v>118.48184524658546</v>
      </c>
      <c r="BI21" s="43">
        <v>119.80080556703528</v>
      </c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>
        <v>1</v>
      </c>
      <c r="CS21" s="43"/>
      <c r="CT21" s="43"/>
      <c r="CU21" s="43"/>
      <c r="CV21" s="43"/>
      <c r="CW21" s="43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43">
        <v>1</v>
      </c>
      <c r="DS21" s="43">
        <v>1</v>
      </c>
      <c r="DT21" s="43">
        <v>1</v>
      </c>
      <c r="DU21" s="43">
        <v>1</v>
      </c>
      <c r="DV21" s="43">
        <v>1</v>
      </c>
      <c r="DW21" s="43">
        <v>1</v>
      </c>
      <c r="DX21" s="43">
        <v>1</v>
      </c>
      <c r="DY21" s="43">
        <v>1</v>
      </c>
      <c r="DZ21" s="43">
        <v>1</v>
      </c>
      <c r="EA21" s="43">
        <v>1</v>
      </c>
      <c r="EB21" s="43">
        <v>1</v>
      </c>
      <c r="EC21" s="43">
        <v>1</v>
      </c>
      <c r="ED21" s="43">
        <v>1</v>
      </c>
      <c r="EE21" s="43">
        <v>1</v>
      </c>
      <c r="EF21" s="43">
        <v>1</v>
      </c>
      <c r="EG21" s="43">
        <v>1</v>
      </c>
      <c r="EH21" s="43">
        <v>1</v>
      </c>
      <c r="EI21" s="43">
        <v>1</v>
      </c>
      <c r="EJ21" s="43">
        <v>1</v>
      </c>
      <c r="EK21" s="43">
        <v>1</v>
      </c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43">
        <v>119.86135155112053</v>
      </c>
      <c r="AQ22" s="43">
        <v>117.5710329843169</v>
      </c>
      <c r="AR22" s="43">
        <v>117.33109069979781</v>
      </c>
      <c r="AS22" s="43">
        <v>116.73211916724846</v>
      </c>
      <c r="AT22" s="43">
        <v>117.39964382075834</v>
      </c>
      <c r="AU22" s="43">
        <v>119.69313278394537</v>
      </c>
      <c r="AV22" s="43">
        <v>119.94970565632892</v>
      </c>
      <c r="AW22" s="43">
        <v>119.45692871567098</v>
      </c>
      <c r="AX22" s="43">
        <v>116.93201928481828</v>
      </c>
      <c r="AY22" s="43">
        <v>119.63011720760473</v>
      </c>
      <c r="AZ22" s="43">
        <v>117.07264932109175</v>
      </c>
      <c r="BA22" s="43">
        <v>119.76707771985697</v>
      </c>
      <c r="BB22" s="43">
        <v>119.94394403319224</v>
      </c>
      <c r="BC22" s="43">
        <v>119.90230050903607</v>
      </c>
      <c r="BD22" s="43">
        <v>119.58891729961701</v>
      </c>
      <c r="BE22" s="43">
        <v>119.19954863526689</v>
      </c>
      <c r="BF22" s="43">
        <v>119.84944350899632</v>
      </c>
      <c r="BG22" s="43">
        <v>107.16594929595419</v>
      </c>
      <c r="BH22" s="43">
        <v>118.4794554332295</v>
      </c>
      <c r="BI22" s="43">
        <v>119.80022857080706</v>
      </c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>
        <v>1</v>
      </c>
      <c r="CS22" s="43"/>
      <c r="CT22" s="43"/>
      <c r="CU22" s="43"/>
      <c r="CV22" s="43"/>
      <c r="CW22" s="43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43">
        <v>1</v>
      </c>
      <c r="DS22" s="43">
        <v>1</v>
      </c>
      <c r="DT22" s="43">
        <v>1</v>
      </c>
      <c r="DU22" s="43">
        <v>1</v>
      </c>
      <c r="DV22" s="43">
        <v>1</v>
      </c>
      <c r="DW22" s="43">
        <v>1</v>
      </c>
      <c r="DX22" s="43">
        <v>1</v>
      </c>
      <c r="DY22" s="43">
        <v>1</v>
      </c>
      <c r="DZ22" s="43">
        <v>1</v>
      </c>
      <c r="EA22" s="43">
        <v>1</v>
      </c>
      <c r="EB22" s="43">
        <v>1</v>
      </c>
      <c r="EC22" s="43">
        <v>1</v>
      </c>
      <c r="ED22" s="43">
        <v>1</v>
      </c>
      <c r="EE22" s="43">
        <v>1</v>
      </c>
      <c r="EF22" s="43">
        <v>1</v>
      </c>
      <c r="EG22" s="43">
        <v>1</v>
      </c>
      <c r="EH22" s="43">
        <v>1</v>
      </c>
      <c r="EI22" s="43">
        <v>1</v>
      </c>
      <c r="EJ22" s="43">
        <v>1</v>
      </c>
      <c r="EK22" s="43">
        <v>1</v>
      </c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43">
        <v>119.86135252988255</v>
      </c>
      <c r="AQ23" s="43">
        <v>117.57103397012624</v>
      </c>
      <c r="AR23" s="43">
        <v>117.33109167340407</v>
      </c>
      <c r="AS23" s="43">
        <v>116.73212009336169</v>
      </c>
      <c r="AT23" s="43">
        <v>117.39964453311219</v>
      </c>
      <c r="AU23" s="43">
        <v>119.69313311294006</v>
      </c>
      <c r="AV23" s="43">
        <v>119.94970605179506</v>
      </c>
      <c r="AW23" s="43">
        <v>119.45692930643685</v>
      </c>
      <c r="AX23" s="43">
        <v>116.93175773951535</v>
      </c>
      <c r="AY23" s="43">
        <v>119.6300769738136</v>
      </c>
      <c r="AZ23" s="43">
        <v>117.07264372683537</v>
      </c>
      <c r="BA23" s="43">
        <v>119.76707456799753</v>
      </c>
      <c r="BB23" s="43">
        <v>119.94394318702152</v>
      </c>
      <c r="BC23" s="43">
        <v>119.90230088218178</v>
      </c>
      <c r="BD23" s="43">
        <v>119.58891824820876</v>
      </c>
      <c r="BE23" s="43">
        <v>119.1995496935923</v>
      </c>
      <c r="BF23" s="43">
        <v>119.84944458432018</v>
      </c>
      <c r="BG23" s="43">
        <v>107.15892543919453</v>
      </c>
      <c r="BH23" s="43">
        <v>118.4777292338932</v>
      </c>
      <c r="BI23" s="43">
        <v>119.79983568296863</v>
      </c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43">
        <v>1</v>
      </c>
      <c r="DS23" s="43">
        <v>1</v>
      </c>
      <c r="DT23" s="43">
        <v>1</v>
      </c>
      <c r="DU23" s="43">
        <v>1</v>
      </c>
      <c r="DV23" s="43">
        <v>1</v>
      </c>
      <c r="DW23" s="43">
        <v>1</v>
      </c>
      <c r="DX23" s="43">
        <v>1</v>
      </c>
      <c r="DY23" s="43">
        <v>1</v>
      </c>
      <c r="DZ23" s="43">
        <v>1</v>
      </c>
      <c r="EA23" s="43">
        <v>1</v>
      </c>
      <c r="EB23" s="43">
        <v>1</v>
      </c>
      <c r="EC23" s="43">
        <v>1</v>
      </c>
      <c r="ED23" s="43">
        <v>1</v>
      </c>
      <c r="EE23" s="43">
        <v>1</v>
      </c>
      <c r="EF23" s="43">
        <v>1</v>
      </c>
      <c r="EG23" s="43">
        <v>1</v>
      </c>
      <c r="EH23" s="43">
        <v>1</v>
      </c>
      <c r="EI23" s="43">
        <v>1</v>
      </c>
      <c r="EJ23" s="43">
        <v>1</v>
      </c>
      <c r="EK23" s="43">
        <v>1</v>
      </c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43">
        <v>119.86135296938184</v>
      </c>
      <c r="AQ24" s="43">
        <v>117.57103441276543</v>
      </c>
      <c r="AR24" s="43">
        <v>117.33109211096351</v>
      </c>
      <c r="AS24" s="43">
        <v>116.73212051243968</v>
      </c>
      <c r="AT24" s="43">
        <v>117.3996448707544</v>
      </c>
      <c r="AU24" s="43">
        <v>119.69313327585338</v>
      </c>
      <c r="AV24" s="43">
        <v>119.94970622434882</v>
      </c>
      <c r="AW24" s="43">
        <v>119.45692955984356</v>
      </c>
      <c r="AX24" s="43">
        <v>116.93156361771295</v>
      </c>
      <c r="AY24" s="43">
        <v>119.63004810165046</v>
      </c>
      <c r="AZ24" s="43">
        <v>117.07264097948038</v>
      </c>
      <c r="BA24" s="43">
        <v>119.76707298963782</v>
      </c>
      <c r="BB24" s="43">
        <v>119.94394271230028</v>
      </c>
      <c r="BC24" s="43">
        <v>119.90230099585315</v>
      </c>
      <c r="BD24" s="43">
        <v>119.5889186453512</v>
      </c>
      <c r="BE24" s="43">
        <v>119.19955015137413</v>
      </c>
      <c r="BF24" s="43">
        <v>119.84944505888775</v>
      </c>
      <c r="BG24" s="43">
        <v>107.15358458129768</v>
      </c>
      <c r="BH24" s="43">
        <v>118.47657862400258</v>
      </c>
      <c r="BI24" s="43">
        <v>119.79956068656358</v>
      </c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43">
        <v>1</v>
      </c>
      <c r="DS24" s="43">
        <v>1</v>
      </c>
      <c r="DT24" s="43">
        <v>1</v>
      </c>
      <c r="DU24" s="43">
        <v>1</v>
      </c>
      <c r="DV24" s="43">
        <v>1</v>
      </c>
      <c r="DW24" s="43">
        <v>1</v>
      </c>
      <c r="DX24" s="43">
        <v>1</v>
      </c>
      <c r="DY24" s="43">
        <v>1</v>
      </c>
      <c r="DZ24" s="43">
        <v>1</v>
      </c>
      <c r="EA24" s="43">
        <v>1</v>
      </c>
      <c r="EB24" s="43">
        <v>1</v>
      </c>
      <c r="EC24" s="43">
        <v>1</v>
      </c>
      <c r="ED24" s="43">
        <v>1</v>
      </c>
      <c r="EE24" s="43">
        <v>1</v>
      </c>
      <c r="EF24" s="43">
        <v>1</v>
      </c>
      <c r="EG24" s="43">
        <v>1</v>
      </c>
      <c r="EH24" s="43">
        <v>1</v>
      </c>
      <c r="EI24" s="43">
        <v>1</v>
      </c>
      <c r="EJ24" s="43">
        <v>1</v>
      </c>
      <c r="EK24" s="43">
        <v>1</v>
      </c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43">
        <v>119.86135316674174</v>
      </c>
      <c r="AQ25" s="43">
        <v>117.5710346115243</v>
      </c>
      <c r="AR25" s="43">
        <v>117.33109230755704</v>
      </c>
      <c r="AS25" s="43">
        <v>116.73212070164735</v>
      </c>
      <c r="AT25" s="43">
        <v>117.39964502883852</v>
      </c>
      <c r="AU25" s="43">
        <v>119.69313335583243</v>
      </c>
      <c r="AV25" s="43">
        <v>119.94970630056223</v>
      </c>
      <c r="AW25" s="43">
        <v>119.45692966867999</v>
      </c>
      <c r="AX25" s="43">
        <v>116.93141836160223</v>
      </c>
      <c r="AY25" s="43">
        <v>119.63002705881573</v>
      </c>
      <c r="AZ25" s="43">
        <v>117.07263963365637</v>
      </c>
      <c r="BA25" s="43">
        <v>119.76707220332457</v>
      </c>
      <c r="BB25" s="43">
        <v>119.94394245409998</v>
      </c>
      <c r="BC25" s="43">
        <v>119.90230102119709</v>
      </c>
      <c r="BD25" s="43">
        <v>119.58891880980484</v>
      </c>
      <c r="BE25" s="43">
        <v>119.19955034796207</v>
      </c>
      <c r="BF25" s="43">
        <v>119.84944526696241</v>
      </c>
      <c r="BG25" s="43">
        <v>107.15016516553743</v>
      </c>
      <c r="BH25" s="43">
        <v>118.47576245386936</v>
      </c>
      <c r="BI25" s="43">
        <v>119.7993725590904</v>
      </c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43">
        <v>1</v>
      </c>
      <c r="DS25" s="43">
        <v>1</v>
      </c>
      <c r="DT25" s="43">
        <v>1</v>
      </c>
      <c r="DU25" s="43">
        <v>1</v>
      </c>
      <c r="DV25" s="43">
        <v>1</v>
      </c>
      <c r="DW25" s="43">
        <v>1</v>
      </c>
      <c r="DX25" s="43">
        <v>1</v>
      </c>
      <c r="DY25" s="43">
        <v>1</v>
      </c>
      <c r="DZ25" s="43">
        <v>1</v>
      </c>
      <c r="EA25" s="43">
        <v>1</v>
      </c>
      <c r="EB25" s="43">
        <v>1</v>
      </c>
      <c r="EC25" s="43">
        <v>1</v>
      </c>
      <c r="ED25" s="43">
        <v>1</v>
      </c>
      <c r="EE25" s="43">
        <v>1</v>
      </c>
      <c r="EF25" s="43">
        <v>1</v>
      </c>
      <c r="EG25" s="43">
        <v>1</v>
      </c>
      <c r="EH25" s="43">
        <v>1</v>
      </c>
      <c r="EI25" s="43">
        <v>1</v>
      </c>
      <c r="EJ25" s="43">
        <v>1</v>
      </c>
      <c r="EK25" s="43">
        <v>1</v>
      </c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43">
        <v>119.8613532553714</v>
      </c>
      <c r="AQ26" s="43">
        <v>117.57103470077732</v>
      </c>
      <c r="AR26" s="43">
        <v>117.33109239587061</v>
      </c>
      <c r="AS26" s="43">
        <v>116.73212078693483</v>
      </c>
      <c r="AT26" s="43">
        <v>117.39964510216183</v>
      </c>
      <c r="AU26" s="43">
        <v>119.69313339474432</v>
      </c>
      <c r="AV26" s="43">
        <v>119.94970633460657</v>
      </c>
      <c r="AW26" s="43">
        <v>119.45692971552432</v>
      </c>
      <c r="AX26" s="43">
        <v>116.93130903146319</v>
      </c>
      <c r="AY26" s="43">
        <v>119.63001153220199</v>
      </c>
      <c r="AZ26" s="43">
        <v>117.07263897586382</v>
      </c>
      <c r="BA26" s="43">
        <v>119.76707181332223</v>
      </c>
      <c r="BB26" s="43">
        <v>119.94394231675386</v>
      </c>
      <c r="BC26" s="43">
        <v>119.90230102032808</v>
      </c>
      <c r="BD26" s="43">
        <v>119.58891887697655</v>
      </c>
      <c r="BE26" s="43">
        <v>119.19955043171487</v>
      </c>
      <c r="BF26" s="43">
        <v>119.8494453575866</v>
      </c>
      <c r="BG26" s="43">
        <v>107.14766280270342</v>
      </c>
      <c r="BH26" s="43">
        <v>118.47521108481385</v>
      </c>
      <c r="BI26" s="43">
        <v>119.7992416671031</v>
      </c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43">
        <v>1</v>
      </c>
      <c r="DS26" s="43">
        <v>1</v>
      </c>
      <c r="DT26" s="43">
        <v>1</v>
      </c>
      <c r="DU26" s="43">
        <v>1</v>
      </c>
      <c r="DV26" s="43">
        <v>1</v>
      </c>
      <c r="DW26" s="43">
        <v>1</v>
      </c>
      <c r="DX26" s="43">
        <v>1</v>
      </c>
      <c r="DY26" s="43">
        <v>1</v>
      </c>
      <c r="DZ26" s="43">
        <v>1</v>
      </c>
      <c r="EA26" s="43">
        <v>1</v>
      </c>
      <c r="EB26" s="43">
        <v>1</v>
      </c>
      <c r="EC26" s="43">
        <v>1</v>
      </c>
      <c r="ED26" s="43">
        <v>1</v>
      </c>
      <c r="EE26" s="43">
        <v>1</v>
      </c>
      <c r="EF26" s="43">
        <v>1</v>
      </c>
      <c r="EG26" s="43">
        <v>1</v>
      </c>
      <c r="EH26" s="43">
        <v>1</v>
      </c>
      <c r="EI26" s="43">
        <v>1</v>
      </c>
      <c r="EJ26" s="43">
        <v>1</v>
      </c>
      <c r="EK26" s="43">
        <v>1</v>
      </c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43">
        <v>119.86135329517468</v>
      </c>
      <c r="AQ27" s="43">
        <v>117.57103474085834</v>
      </c>
      <c r="AR27" s="43">
        <v>117.33109243553891</v>
      </c>
      <c r="AS27" s="43">
        <v>116.73212082533576</v>
      </c>
      <c r="AT27" s="43">
        <v>117.39964513592571</v>
      </c>
      <c r="AU27" s="43">
        <v>119.69313341351129</v>
      </c>
      <c r="AV27" s="43">
        <v>119.94970634996596</v>
      </c>
      <c r="AW27" s="43">
        <v>119.45692973574555</v>
      </c>
      <c r="AX27" s="43">
        <v>116.93122639996291</v>
      </c>
      <c r="AY27" s="43">
        <v>119.62999996745593</v>
      </c>
      <c r="AZ27" s="43">
        <v>117.07263865499723</v>
      </c>
      <c r="BA27" s="43">
        <v>119.76707162061946</v>
      </c>
      <c r="BB27" s="43">
        <v>119.94394224490445</v>
      </c>
      <c r="BC27" s="43">
        <v>119.90230101410174</v>
      </c>
      <c r="BD27" s="43">
        <v>119.58891890393419</v>
      </c>
      <c r="BE27" s="43">
        <v>119.19955046707575</v>
      </c>
      <c r="BF27" s="43">
        <v>119.84944539678227</v>
      </c>
      <c r="BG27" s="43">
        <v>107.14601319983848</v>
      </c>
      <c r="BH27" s="43">
        <v>118.47482423724897</v>
      </c>
      <c r="BI27" s="43">
        <v>119.79915184309404</v>
      </c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45">
        <v>1</v>
      </c>
      <c r="DS27" s="45">
        <v>1</v>
      </c>
      <c r="DT27" s="45">
        <v>1</v>
      </c>
      <c r="DU27" s="45">
        <v>1</v>
      </c>
      <c r="DV27" s="45">
        <v>1</v>
      </c>
      <c r="DW27" s="45">
        <v>1</v>
      </c>
      <c r="DX27" s="45">
        <v>1</v>
      </c>
      <c r="DY27" s="45">
        <v>1</v>
      </c>
      <c r="DZ27" s="45">
        <v>1</v>
      </c>
      <c r="EA27" s="45">
        <v>1</v>
      </c>
      <c r="EB27" s="45">
        <v>1</v>
      </c>
      <c r="EC27" s="45">
        <v>1</v>
      </c>
      <c r="ED27" s="45">
        <v>1</v>
      </c>
      <c r="EE27" s="45">
        <v>1</v>
      </c>
      <c r="EF27" s="45">
        <v>1</v>
      </c>
      <c r="EG27" s="45">
        <v>1</v>
      </c>
      <c r="EH27" s="45">
        <v>1</v>
      </c>
      <c r="EI27" s="45">
        <v>1</v>
      </c>
      <c r="EJ27" s="45">
        <v>1</v>
      </c>
      <c r="EK27" s="45">
        <v>1</v>
      </c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43">
        <v>119.86135331305098</v>
      </c>
      <c r="AQ28" s="43">
        <v>117.57103475885842</v>
      </c>
      <c r="AR28" s="43">
        <v>117.33109245335604</v>
      </c>
      <c r="AS28" s="43">
        <v>116.73212084261229</v>
      </c>
      <c r="AT28" s="43">
        <v>117.39964515138638</v>
      </c>
      <c r="AU28" s="43">
        <v>119.69313342248905</v>
      </c>
      <c r="AV28" s="43">
        <v>119.94970635695323</v>
      </c>
      <c r="AW28" s="43">
        <v>119.4569297445059</v>
      </c>
      <c r="AX28" s="43">
        <v>116.93116376667197</v>
      </c>
      <c r="AY28" s="43">
        <v>119.6299912933021</v>
      </c>
      <c r="AZ28" s="43">
        <v>117.07263849875886</v>
      </c>
      <c r="BA28" s="43">
        <v>119.7670715257173</v>
      </c>
      <c r="BB28" s="43">
        <v>119.94394220780259</v>
      </c>
      <c r="BC28" s="43">
        <v>119.90230100852627</v>
      </c>
      <c r="BD28" s="43">
        <v>119.58891891450207</v>
      </c>
      <c r="BE28" s="43">
        <v>119.1995504818487</v>
      </c>
      <c r="BF28" s="43">
        <v>119.84944541360792</v>
      </c>
      <c r="BG28" s="43">
        <v>107.14483367301423</v>
      </c>
      <c r="BH28" s="43">
        <v>118.47456074512321</v>
      </c>
      <c r="BI28" s="43">
        <v>119.7990895618471</v>
      </c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2"/>
      <c r="CY28" s="52"/>
      <c r="CZ28" s="52"/>
      <c r="DA28" s="52"/>
      <c r="DB28" s="52"/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43">
        <v>119.86135332107987</v>
      </c>
      <c r="AQ29" s="43">
        <v>117.57103476694246</v>
      </c>
      <c r="AR29" s="43">
        <v>117.33109246135851</v>
      </c>
      <c r="AS29" s="43">
        <v>116.73212085038072</v>
      </c>
      <c r="AT29" s="43">
        <v>117.39964515843516</v>
      </c>
      <c r="AU29" s="43">
        <v>119.69313342675213</v>
      </c>
      <c r="AV29" s="43">
        <v>119.94970636015285</v>
      </c>
      <c r="AW29" s="43">
        <v>119.45692974831692</v>
      </c>
      <c r="AX29" s="43">
        <v>116.93111619739472</v>
      </c>
      <c r="AY29" s="43">
        <v>119.62998475424888</v>
      </c>
      <c r="AZ29" s="43">
        <v>117.07263842280344</v>
      </c>
      <c r="BA29" s="43">
        <v>119.76707147911446</v>
      </c>
      <c r="BB29" s="43">
        <v>119.94394218884098</v>
      </c>
      <c r="BC29" s="43">
        <v>119.90230100469911</v>
      </c>
      <c r="BD29" s="43">
        <v>119.58891891851111</v>
      </c>
      <c r="BE29" s="43">
        <v>119.19955048794262</v>
      </c>
      <c r="BF29" s="43">
        <v>119.849445420771</v>
      </c>
      <c r="BG29" s="43">
        <v>107.14404212550312</v>
      </c>
      <c r="BH29" s="43">
        <v>118.47437709563204</v>
      </c>
      <c r="BI29" s="43">
        <v>119.79904673567029</v>
      </c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2"/>
      <c r="CY29" s="52"/>
      <c r="CZ29" s="52"/>
      <c r="DA29" s="52"/>
      <c r="DB29" s="52"/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  <c r="DR29" s="43">
        <v>1</v>
      </c>
      <c r="DS29" s="43">
        <v>1</v>
      </c>
      <c r="DT29" s="43">
        <v>1</v>
      </c>
      <c r="DU29" s="43">
        <v>1</v>
      </c>
      <c r="DV29" s="43">
        <v>1</v>
      </c>
      <c r="DW29" s="43">
        <v>1</v>
      </c>
      <c r="DX29" s="43">
        <v>1</v>
      </c>
      <c r="DY29" s="43">
        <v>1</v>
      </c>
      <c r="DZ29" s="43">
        <v>1</v>
      </c>
      <c r="EA29" s="43">
        <v>1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1</v>
      </c>
      <c r="EH29" s="43">
        <v>1</v>
      </c>
      <c r="EI29" s="43">
        <v>1</v>
      </c>
      <c r="EJ29" s="43">
        <v>1</v>
      </c>
      <c r="EK29" s="43">
        <v>1</v>
      </c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43">
        <v>119.86135332468609</v>
      </c>
      <c r="AQ30" s="43">
        <v>117.57103477057326</v>
      </c>
      <c r="AR30" s="43">
        <v>117.33109246495279</v>
      </c>
      <c r="AS30" s="43">
        <v>116.73212085387254</v>
      </c>
      <c r="AT30" s="43">
        <v>117.39964516163796</v>
      </c>
      <c r="AU30" s="43">
        <v>119.69313342876301</v>
      </c>
      <c r="AV30" s="43">
        <v>119.94970636162527</v>
      </c>
      <c r="AW30" s="43">
        <v>119.45692974998244</v>
      </c>
      <c r="AX30" s="43">
        <v>116.93108002037292</v>
      </c>
      <c r="AY30" s="43">
        <v>119.62997980698937</v>
      </c>
      <c r="AZ30" s="43">
        <v>117.07263838593049</v>
      </c>
      <c r="BA30" s="43">
        <v>119.7670714562875</v>
      </c>
      <c r="BB30" s="43">
        <v>119.94394217923157</v>
      </c>
      <c r="BC30" s="43">
        <v>119.90230100235047</v>
      </c>
      <c r="BD30" s="43">
        <v>119.58891891995889</v>
      </c>
      <c r="BE30" s="43">
        <v>119.199550490417</v>
      </c>
      <c r="BF30" s="43">
        <v>119.84944542379181</v>
      </c>
      <c r="BG30" s="43">
        <v>107.14348403847514</v>
      </c>
      <c r="BH30" s="43">
        <v>118.47425137814874</v>
      </c>
      <c r="BI30" s="43">
        <v>119.7990171010793</v>
      </c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43">
        <v>1</v>
      </c>
      <c r="DS30" s="43">
        <v>1</v>
      </c>
      <c r="DT30" s="43">
        <v>1</v>
      </c>
      <c r="DU30" s="43">
        <v>1</v>
      </c>
      <c r="DV30" s="43">
        <v>1</v>
      </c>
      <c r="DW30" s="43">
        <v>1</v>
      </c>
      <c r="DX30" s="43">
        <v>1</v>
      </c>
      <c r="DY30" s="43">
        <v>1</v>
      </c>
      <c r="DZ30" s="43">
        <v>1</v>
      </c>
      <c r="EA30" s="43">
        <v>1</v>
      </c>
      <c r="EB30" s="43">
        <v>1</v>
      </c>
      <c r="EC30" s="43">
        <v>1</v>
      </c>
      <c r="ED30" s="43">
        <v>1</v>
      </c>
      <c r="EE30" s="43">
        <v>1</v>
      </c>
      <c r="EF30" s="43">
        <v>1</v>
      </c>
      <c r="EG30" s="43">
        <v>1</v>
      </c>
      <c r="EH30" s="43">
        <v>1</v>
      </c>
      <c r="EI30" s="43">
        <v>1</v>
      </c>
      <c r="EJ30" s="43">
        <v>1</v>
      </c>
      <c r="EK30" s="43">
        <v>1</v>
      </c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43">
        <v>119.86135332630593</v>
      </c>
      <c r="AQ31" s="43">
        <v>117.57103477220404</v>
      </c>
      <c r="AR31" s="43">
        <v>117.33109246656717</v>
      </c>
      <c r="AS31" s="43">
        <v>116.73212085544168</v>
      </c>
      <c r="AT31" s="43">
        <v>117.39964516308943</v>
      </c>
      <c r="AU31" s="43">
        <v>119.69313342970592</v>
      </c>
      <c r="AV31" s="43">
        <v>119.94970636230521</v>
      </c>
      <c r="AW31" s="43">
        <v>119.45692975071383</v>
      </c>
      <c r="AX31" s="43">
        <v>116.93105248244737</v>
      </c>
      <c r="AY31" s="43">
        <v>119.62997605459819</v>
      </c>
      <c r="AZ31" s="43">
        <v>117.07263836805342</v>
      </c>
      <c r="BA31" s="43">
        <v>119.76707144513145</v>
      </c>
      <c r="BB31" s="43">
        <v>119.94394217439553</v>
      </c>
      <c r="BC31" s="43">
        <v>119.90230100099589</v>
      </c>
      <c r="BD31" s="43">
        <v>119.58891892044048</v>
      </c>
      <c r="BE31" s="43">
        <v>119.19955049140142</v>
      </c>
      <c r="BF31" s="43">
        <v>119.8494454250517</v>
      </c>
      <c r="BG31" s="43">
        <v>107.14310543418546</v>
      </c>
      <c r="BH31" s="43">
        <v>118.4741641056992</v>
      </c>
      <c r="BI31" s="43">
        <v>119.79899669768372</v>
      </c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43">
        <v>1</v>
      </c>
      <c r="DS31" s="43">
        <v>1</v>
      </c>
      <c r="DT31" s="43">
        <v>1</v>
      </c>
      <c r="DU31" s="43">
        <v>1</v>
      </c>
      <c r="DV31" s="43">
        <v>1</v>
      </c>
      <c r="DW31" s="43">
        <v>1</v>
      </c>
      <c r="DX31" s="43">
        <v>1</v>
      </c>
      <c r="DY31" s="43">
        <v>1</v>
      </c>
      <c r="DZ31" s="43">
        <v>1</v>
      </c>
      <c r="EA31" s="43">
        <v>1</v>
      </c>
      <c r="EB31" s="43">
        <v>1</v>
      </c>
      <c r="EC31" s="43">
        <v>1</v>
      </c>
      <c r="ED31" s="43">
        <v>1</v>
      </c>
      <c r="EE31" s="43">
        <v>1</v>
      </c>
      <c r="EF31" s="43">
        <v>1</v>
      </c>
      <c r="EG31" s="43">
        <v>1</v>
      </c>
      <c r="EH31" s="43">
        <v>1</v>
      </c>
      <c r="EI31" s="43">
        <v>1</v>
      </c>
      <c r="EJ31" s="43">
        <v>1</v>
      </c>
      <c r="EK31" s="43">
        <v>1</v>
      </c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43">
        <v>119.86135332703356</v>
      </c>
      <c r="AQ32" s="43">
        <v>117.57103477293656</v>
      </c>
      <c r="AR32" s="43">
        <v>117.33109246729229</v>
      </c>
      <c r="AS32" s="43">
        <v>116.73212085614669</v>
      </c>
      <c r="AT32" s="43">
        <v>117.39964516374587</v>
      </c>
      <c r="AU32" s="43">
        <v>119.69313343014576</v>
      </c>
      <c r="AV32" s="43">
        <v>119.94970636261986</v>
      </c>
      <c r="AW32" s="43">
        <v>119.45692975103658</v>
      </c>
      <c r="AX32" s="43">
        <v>116.93103150807192</v>
      </c>
      <c r="AY32" s="43">
        <v>119.62997320353486</v>
      </c>
      <c r="AZ32" s="43">
        <v>117.07263835939622</v>
      </c>
      <c r="BA32" s="43">
        <v>119.76707143969007</v>
      </c>
      <c r="BB32" s="43">
        <v>119.94394217197595</v>
      </c>
      <c r="BC32" s="43">
        <v>119.90230100024488</v>
      </c>
      <c r="BD32" s="43">
        <v>119.58891892057621</v>
      </c>
      <c r="BE32" s="43">
        <v>119.19955049178242</v>
      </c>
      <c r="BF32" s="43">
        <v>119.84944542557017</v>
      </c>
      <c r="BG32" s="43">
        <v>107.14284076216828</v>
      </c>
      <c r="BH32" s="43">
        <v>118.47410418022626</v>
      </c>
      <c r="BI32" s="43">
        <v>119.79898259587824</v>
      </c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43">
        <v>1</v>
      </c>
      <c r="DS32" s="43">
        <v>1</v>
      </c>
      <c r="DT32" s="43">
        <v>1</v>
      </c>
      <c r="DU32" s="43">
        <v>1</v>
      </c>
      <c r="DV32" s="43">
        <v>1</v>
      </c>
      <c r="DW32" s="43">
        <v>1</v>
      </c>
      <c r="DX32" s="43">
        <v>1</v>
      </c>
      <c r="DY32" s="43">
        <v>1</v>
      </c>
      <c r="DZ32" s="43">
        <v>1</v>
      </c>
      <c r="EA32" s="43">
        <v>1</v>
      </c>
      <c r="EB32" s="43">
        <v>1</v>
      </c>
      <c r="EC32" s="43">
        <v>1</v>
      </c>
      <c r="ED32" s="43">
        <v>1</v>
      </c>
      <c r="EE32" s="43">
        <v>1</v>
      </c>
      <c r="EF32" s="43">
        <v>1</v>
      </c>
      <c r="EG32" s="43">
        <v>1</v>
      </c>
      <c r="EH32" s="43">
        <v>1</v>
      </c>
      <c r="EI32" s="43">
        <v>1</v>
      </c>
      <c r="EJ32" s="43">
        <v>1</v>
      </c>
      <c r="EK32" s="43">
        <v>1</v>
      </c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43">
        <v>119.8613533273604</v>
      </c>
      <c r="AQ33" s="43">
        <v>117.57103477326558</v>
      </c>
      <c r="AR33" s="43">
        <v>117.33109246761799</v>
      </c>
      <c r="AS33" s="43">
        <v>116.73212085646344</v>
      </c>
      <c r="AT33" s="43">
        <v>117.3996451640423</v>
      </c>
      <c r="AU33" s="43">
        <v>119.69313343034999</v>
      </c>
      <c r="AV33" s="43">
        <v>119.94970636276564</v>
      </c>
      <c r="AW33" s="43">
        <v>119.45692975117971</v>
      </c>
      <c r="AX33" s="43">
        <v>116.93101552663539</v>
      </c>
      <c r="AY33" s="43">
        <v>119.62997103472813</v>
      </c>
      <c r="AZ33" s="43">
        <v>117.07263835520828</v>
      </c>
      <c r="BA33" s="43">
        <v>119.76707143704074</v>
      </c>
      <c r="BB33" s="43">
        <v>119.94394217077136</v>
      </c>
      <c r="BC33" s="43">
        <v>119.90230099983967</v>
      </c>
      <c r="BD33" s="43">
        <v>119.5889189205987</v>
      </c>
      <c r="BE33" s="43">
        <v>119.19955049192413</v>
      </c>
      <c r="BF33" s="43">
        <v>119.84944542577999</v>
      </c>
      <c r="BG33" s="43">
        <v>107.14266001960881</v>
      </c>
      <c r="BH33" s="43">
        <v>118.47406268115363</v>
      </c>
      <c r="BI33" s="43">
        <v>119.79897287909145</v>
      </c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43">
        <v>1</v>
      </c>
      <c r="DS33" s="43">
        <v>1</v>
      </c>
      <c r="DT33" s="43">
        <v>1</v>
      </c>
      <c r="DU33" s="43">
        <v>1</v>
      </c>
      <c r="DV33" s="43">
        <v>1</v>
      </c>
      <c r="DW33" s="43">
        <v>1</v>
      </c>
      <c r="DX33" s="43">
        <v>1</v>
      </c>
      <c r="DY33" s="43">
        <v>1</v>
      </c>
      <c r="DZ33" s="43">
        <v>1</v>
      </c>
      <c r="EA33" s="43">
        <v>1</v>
      </c>
      <c r="EB33" s="43">
        <v>1</v>
      </c>
      <c r="EC33" s="43">
        <v>1</v>
      </c>
      <c r="ED33" s="43">
        <v>1</v>
      </c>
      <c r="EE33" s="43">
        <v>1</v>
      </c>
      <c r="EF33" s="43">
        <v>1</v>
      </c>
      <c r="EG33" s="43">
        <v>1</v>
      </c>
      <c r="EH33" s="43">
        <v>1</v>
      </c>
      <c r="EI33" s="43">
        <v>1</v>
      </c>
      <c r="EJ33" s="43">
        <v>1</v>
      </c>
      <c r="EK33" s="43">
        <v>1</v>
      </c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43">
        <v>119.86135332750725</v>
      </c>
      <c r="AQ34" s="43">
        <v>117.57103477341337</v>
      </c>
      <c r="AR34" s="43">
        <v>117.33109246776431</v>
      </c>
      <c r="AS34" s="43">
        <v>116.73212085660572</v>
      </c>
      <c r="AT34" s="43">
        <v>117.39964516417598</v>
      </c>
      <c r="AU34" s="43">
        <v>119.69313343044442</v>
      </c>
      <c r="AV34" s="43">
        <v>119.94970636283321</v>
      </c>
      <c r="AW34" s="43">
        <v>119.45692975124349</v>
      </c>
      <c r="AX34" s="43">
        <v>116.93100334654343</v>
      </c>
      <c r="AY34" s="43">
        <v>119.62996938359544</v>
      </c>
      <c r="AZ34" s="43">
        <v>117.07263835318432</v>
      </c>
      <c r="BA34" s="43">
        <v>119.76707143575288</v>
      </c>
      <c r="BB34" s="43">
        <v>119.94394217017424</v>
      </c>
      <c r="BC34" s="43">
        <v>119.90230099962537</v>
      </c>
      <c r="BD34" s="43">
        <v>119.58891892059046</v>
      </c>
      <c r="BE34" s="43">
        <v>119.19955049197368</v>
      </c>
      <c r="BF34" s="43">
        <v>119.84944542586308</v>
      </c>
      <c r="BG34" s="43">
        <v>107.14253431945762</v>
      </c>
      <c r="BH34" s="43">
        <v>118.47403413274384</v>
      </c>
      <c r="BI34" s="43">
        <v>119.79896616809592</v>
      </c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43">
        <v>1</v>
      </c>
      <c r="DS34" s="43">
        <v>1</v>
      </c>
      <c r="DT34" s="43">
        <v>1</v>
      </c>
      <c r="DU34" s="43">
        <v>1</v>
      </c>
      <c r="DV34" s="43">
        <v>1</v>
      </c>
      <c r="DW34" s="43">
        <v>1</v>
      </c>
      <c r="DX34" s="43">
        <v>1</v>
      </c>
      <c r="DY34" s="43">
        <v>1</v>
      </c>
      <c r="DZ34" s="43">
        <v>1</v>
      </c>
      <c r="EA34" s="43">
        <v>1</v>
      </c>
      <c r="EB34" s="43">
        <v>1</v>
      </c>
      <c r="EC34" s="43">
        <v>1</v>
      </c>
      <c r="ED34" s="43">
        <v>1</v>
      </c>
      <c r="EE34" s="43">
        <v>1</v>
      </c>
      <c r="EF34" s="43">
        <v>1</v>
      </c>
      <c r="EG34" s="43">
        <v>1</v>
      </c>
      <c r="EH34" s="43">
        <v>1</v>
      </c>
      <c r="EI34" s="43">
        <v>1</v>
      </c>
      <c r="EJ34" s="43">
        <v>1</v>
      </c>
      <c r="EK34" s="43">
        <v>1</v>
      </c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43">
        <v>119.86135332757321</v>
      </c>
      <c r="AQ35" s="43">
        <v>117.57103477347979</v>
      </c>
      <c r="AR35" s="43">
        <v>117.33109246783003</v>
      </c>
      <c r="AS35" s="43">
        <v>116.73212085666964</v>
      </c>
      <c r="AT35" s="43">
        <v>117.3996451642362</v>
      </c>
      <c r="AU35" s="43">
        <v>119.69313343048793</v>
      </c>
      <c r="AV35" s="43">
        <v>119.94970636286452</v>
      </c>
      <c r="AW35" s="43">
        <v>119.45692975127201</v>
      </c>
      <c r="AX35" s="43">
        <v>116.93099406216922</v>
      </c>
      <c r="AY35" s="43">
        <v>119.62996812590451</v>
      </c>
      <c r="AZ35" s="43">
        <v>117.07263835220701</v>
      </c>
      <c r="BA35" s="43">
        <v>119.76707143512773</v>
      </c>
      <c r="BB35" s="43">
        <v>119.94394216987932</v>
      </c>
      <c r="BC35" s="43">
        <v>119.90230099951374</v>
      </c>
      <c r="BD35" s="43">
        <v>119.588918920578</v>
      </c>
      <c r="BE35" s="43">
        <v>119.1995504919892</v>
      </c>
      <c r="BF35" s="43">
        <v>119.849445425895</v>
      </c>
      <c r="BG35" s="43">
        <v>107.14244813422438</v>
      </c>
      <c r="BH35" s="43">
        <v>118.4740143917283</v>
      </c>
      <c r="BI35" s="43">
        <v>119.79896154164075</v>
      </c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43">
        <v>1</v>
      </c>
      <c r="DS35" s="43">
        <v>1</v>
      </c>
      <c r="DT35" s="43">
        <v>1</v>
      </c>
      <c r="DU35" s="43">
        <v>1</v>
      </c>
      <c r="DV35" s="43">
        <v>1</v>
      </c>
      <c r="DW35" s="43">
        <v>1</v>
      </c>
      <c r="DX35" s="43">
        <v>1</v>
      </c>
      <c r="DY35" s="43">
        <v>1</v>
      </c>
      <c r="DZ35" s="43">
        <v>1</v>
      </c>
      <c r="EA35" s="43">
        <v>1</v>
      </c>
      <c r="EB35" s="43">
        <v>1</v>
      </c>
      <c r="EC35" s="43">
        <v>1</v>
      </c>
      <c r="ED35" s="43">
        <v>1</v>
      </c>
      <c r="EE35" s="43">
        <v>1</v>
      </c>
      <c r="EF35" s="43">
        <v>1</v>
      </c>
      <c r="EG35" s="43">
        <v>1</v>
      </c>
      <c r="EH35" s="43">
        <v>1</v>
      </c>
      <c r="EI35" s="43">
        <v>1</v>
      </c>
      <c r="EJ35" s="43">
        <v>1</v>
      </c>
      <c r="EK35" s="43">
        <v>1</v>
      </c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43">
        <v>119.86135332760284</v>
      </c>
      <c r="AQ36" s="43">
        <v>117.57103477350962</v>
      </c>
      <c r="AR36" s="43">
        <v>117.33109246785956</v>
      </c>
      <c r="AS36" s="43">
        <v>116.73212085669836</v>
      </c>
      <c r="AT36" s="43">
        <v>117.39964516426333</v>
      </c>
      <c r="AU36" s="43">
        <v>119.69313343050793</v>
      </c>
      <c r="AV36" s="43">
        <v>119.949706362879</v>
      </c>
      <c r="AW36" s="43">
        <v>119.45692975128483</v>
      </c>
      <c r="AX36" s="43">
        <v>116.93098698441865</v>
      </c>
      <c r="AY36" s="43">
        <v>119.62996716757011</v>
      </c>
      <c r="AZ36" s="43">
        <v>117.07263835173548</v>
      </c>
      <c r="BA36" s="43">
        <v>119.76707143482466</v>
      </c>
      <c r="BB36" s="43">
        <v>119.94394216973411</v>
      </c>
      <c r="BC36" s="43">
        <v>119.90230099945629</v>
      </c>
      <c r="BD36" s="43">
        <v>119.58891892056822</v>
      </c>
      <c r="BE36" s="43">
        <v>119.19955049199294</v>
      </c>
      <c r="BF36" s="43">
        <v>119.84944542590677</v>
      </c>
      <c r="BG36" s="43">
        <v>107.14238838339702</v>
      </c>
      <c r="BH36" s="43">
        <v>118.47400079590149</v>
      </c>
      <c r="BI36" s="43">
        <v>119.79895834768904</v>
      </c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43">
        <v>1</v>
      </c>
      <c r="DS36" s="43">
        <v>1</v>
      </c>
      <c r="DT36" s="43">
        <v>1</v>
      </c>
      <c r="DU36" s="43">
        <v>1</v>
      </c>
      <c r="DV36" s="43">
        <v>1</v>
      </c>
      <c r="DW36" s="43">
        <v>1</v>
      </c>
      <c r="DX36" s="43">
        <v>1</v>
      </c>
      <c r="DY36" s="43">
        <v>1</v>
      </c>
      <c r="DZ36" s="43">
        <v>1</v>
      </c>
      <c r="EA36" s="43">
        <v>1</v>
      </c>
      <c r="EB36" s="43">
        <v>1</v>
      </c>
      <c r="EC36" s="43">
        <v>1</v>
      </c>
      <c r="ED36" s="43">
        <v>1</v>
      </c>
      <c r="EE36" s="43">
        <v>1</v>
      </c>
      <c r="EF36" s="43">
        <v>1</v>
      </c>
      <c r="EG36" s="43">
        <v>1</v>
      </c>
      <c r="EH36" s="43">
        <v>1</v>
      </c>
      <c r="EI36" s="43">
        <v>1</v>
      </c>
      <c r="EJ36" s="43">
        <v>1</v>
      </c>
      <c r="EK36" s="43">
        <v>1</v>
      </c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43">
        <v>119.86135332761616</v>
      </c>
      <c r="AQ37" s="43">
        <v>117.57103477352301</v>
      </c>
      <c r="AR37" s="43">
        <v>117.33109246787282</v>
      </c>
      <c r="AS37" s="43">
        <v>116.73212085671125</v>
      </c>
      <c r="AT37" s="43">
        <v>117.39964516427553</v>
      </c>
      <c r="AU37" s="43">
        <v>119.69313343051708</v>
      </c>
      <c r="AV37" s="43">
        <v>119.94970636288571</v>
      </c>
      <c r="AW37" s="43">
        <v>119.4569297512906</v>
      </c>
      <c r="AX37" s="43">
        <v>116.93098158855381</v>
      </c>
      <c r="AY37" s="43">
        <v>119.62996643717558</v>
      </c>
      <c r="AZ37" s="43">
        <v>117.07263835150815</v>
      </c>
      <c r="BA37" s="43">
        <v>119.7670714346779</v>
      </c>
      <c r="BB37" s="43">
        <v>119.94394216966283</v>
      </c>
      <c r="BC37" s="43">
        <v>119.902300999427</v>
      </c>
      <c r="BD37" s="43">
        <v>119.58891892056182</v>
      </c>
      <c r="BE37" s="43">
        <v>119.19955049199307</v>
      </c>
      <c r="BF37" s="43">
        <v>119.8494454259108</v>
      </c>
      <c r="BG37" s="43">
        <v>107.14234731558096</v>
      </c>
      <c r="BH37" s="43">
        <v>118.47399140287888</v>
      </c>
      <c r="BI37" s="43">
        <v>119.79895614516161</v>
      </c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43">
        <v>1</v>
      </c>
      <c r="DS37" s="43">
        <v>1</v>
      </c>
      <c r="DT37" s="43">
        <v>1</v>
      </c>
      <c r="DU37" s="43">
        <v>1</v>
      </c>
      <c r="DV37" s="43">
        <v>1</v>
      </c>
      <c r="DW37" s="43">
        <v>1</v>
      </c>
      <c r="DX37" s="43">
        <v>1</v>
      </c>
      <c r="DY37" s="43">
        <v>1</v>
      </c>
      <c r="DZ37" s="43">
        <v>1</v>
      </c>
      <c r="EA37" s="43">
        <v>1</v>
      </c>
      <c r="EB37" s="43">
        <v>1</v>
      </c>
      <c r="EC37" s="43">
        <v>1</v>
      </c>
      <c r="ED37" s="43">
        <v>1</v>
      </c>
      <c r="EE37" s="43">
        <v>1</v>
      </c>
      <c r="EF37" s="43">
        <v>1</v>
      </c>
      <c r="EG37" s="43">
        <v>1</v>
      </c>
      <c r="EH37" s="43">
        <v>1</v>
      </c>
      <c r="EI37" s="43">
        <v>1</v>
      </c>
      <c r="EJ37" s="43">
        <v>1</v>
      </c>
      <c r="EK37" s="43">
        <v>1</v>
      </c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43">
        <v>119.86135332762214</v>
      </c>
      <c r="AQ38" s="43">
        <v>117.57103477352904</v>
      </c>
      <c r="AR38" s="43">
        <v>117.33109246787879</v>
      </c>
      <c r="AS38" s="43">
        <v>116.73212085671705</v>
      </c>
      <c r="AT38" s="43">
        <v>117.39964516428101</v>
      </c>
      <c r="AU38" s="43">
        <v>119.69313343052126</v>
      </c>
      <c r="AV38" s="43">
        <v>119.9497063628888</v>
      </c>
      <c r="AW38" s="43">
        <v>119.45692975129323</v>
      </c>
      <c r="AX38" s="43">
        <v>116.93097747479307</v>
      </c>
      <c r="AY38" s="43">
        <v>119.62996588042701</v>
      </c>
      <c r="AZ38" s="43">
        <v>117.07263835139861</v>
      </c>
      <c r="BA38" s="43">
        <v>119.76707143460692</v>
      </c>
      <c r="BB38" s="43">
        <v>119.94394216962792</v>
      </c>
      <c r="BC38" s="43">
        <v>119.90230099941218</v>
      </c>
      <c r="BD38" s="43">
        <v>119.58891892055802</v>
      </c>
      <c r="BE38" s="43">
        <v>119.1995504919924</v>
      </c>
      <c r="BF38" s="43">
        <v>119.84944542591202</v>
      </c>
      <c r="BG38" s="43">
        <v>107.1423188981925</v>
      </c>
      <c r="BH38" s="43">
        <v>118.47398492934828</v>
      </c>
      <c r="BI38" s="43">
        <v>119.79895462499695</v>
      </c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2"/>
      <c r="CY38" s="52"/>
      <c r="CZ38" s="52"/>
      <c r="DA38" s="52"/>
      <c r="DB38" s="52"/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  <c r="DR38" s="43">
        <v>1</v>
      </c>
      <c r="DS38" s="43">
        <v>1</v>
      </c>
      <c r="DT38" s="43">
        <v>1</v>
      </c>
      <c r="DU38" s="43">
        <v>1</v>
      </c>
      <c r="DV38" s="43">
        <v>1</v>
      </c>
      <c r="DW38" s="43">
        <v>1</v>
      </c>
      <c r="DX38" s="43">
        <v>1</v>
      </c>
      <c r="DY38" s="43">
        <v>1</v>
      </c>
      <c r="DZ38" s="43">
        <v>1</v>
      </c>
      <c r="EA38" s="43">
        <v>1</v>
      </c>
      <c r="EB38" s="43">
        <v>1</v>
      </c>
      <c r="EC38" s="43">
        <v>1</v>
      </c>
      <c r="ED38" s="43">
        <v>1</v>
      </c>
      <c r="EE38" s="43">
        <v>1</v>
      </c>
      <c r="EF38" s="43">
        <v>1</v>
      </c>
      <c r="EG38" s="43">
        <v>1</v>
      </c>
      <c r="EH38" s="43">
        <v>1</v>
      </c>
      <c r="EI38" s="43">
        <v>1</v>
      </c>
      <c r="EJ38" s="43">
        <v>1</v>
      </c>
      <c r="EK38" s="43">
        <v>1</v>
      </c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43">
        <v>119.86135332762483</v>
      </c>
      <c r="AQ39" s="43">
        <v>117.57103477353174</v>
      </c>
      <c r="AR39" s="43">
        <v>117.33109246788145</v>
      </c>
      <c r="AS39" s="43">
        <v>116.73212085671965</v>
      </c>
      <c r="AT39" s="43">
        <v>117.39964516428347</v>
      </c>
      <c r="AU39" s="43">
        <v>119.69313343052316</v>
      </c>
      <c r="AV39" s="43">
        <v>119.94970636289024</v>
      </c>
      <c r="AW39" s="43">
        <v>119.45692975129441</v>
      </c>
      <c r="AX39" s="43">
        <v>116.930974338459</v>
      </c>
      <c r="AY39" s="43">
        <v>119.62996545600494</v>
      </c>
      <c r="AZ39" s="43">
        <v>117.07263835134586</v>
      </c>
      <c r="BA39" s="43">
        <v>119.76707143457261</v>
      </c>
      <c r="BB39" s="43">
        <v>119.94394216961086</v>
      </c>
      <c r="BC39" s="43">
        <v>119.90230099940473</v>
      </c>
      <c r="BD39" s="43">
        <v>119.58891892055586</v>
      </c>
      <c r="BE39" s="43">
        <v>119.19955049199174</v>
      </c>
      <c r="BF39" s="43">
        <v>119.84944542591228</v>
      </c>
      <c r="BG39" s="43">
        <v>107.14229933739844</v>
      </c>
      <c r="BH39" s="43">
        <v>118.47398045936802</v>
      </c>
      <c r="BI39" s="43">
        <v>119.79895357650668</v>
      </c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2"/>
      <c r="CY39" s="52"/>
      <c r="CZ39" s="52"/>
      <c r="DA39" s="52"/>
      <c r="DB39" s="52"/>
      <c r="DC39" s="52"/>
      <c r="DD39" s="52"/>
      <c r="DE39" s="52"/>
      <c r="DF39" s="52"/>
      <c r="DG39" s="52"/>
      <c r="DH39" s="52"/>
      <c r="DI39" s="52"/>
      <c r="DJ39" s="52"/>
      <c r="DK39" s="52"/>
      <c r="DL39" s="52"/>
      <c r="DM39" s="52"/>
      <c r="DN39" s="52"/>
      <c r="DO39" s="52"/>
      <c r="DP39" s="52"/>
      <c r="DQ39" s="52"/>
      <c r="DR39" s="45">
        <v>1</v>
      </c>
      <c r="DS39" s="45">
        <v>1</v>
      </c>
      <c r="DT39" s="45">
        <v>1</v>
      </c>
      <c r="DU39" s="45">
        <v>1</v>
      </c>
      <c r="DV39" s="45">
        <v>1</v>
      </c>
      <c r="DW39" s="45">
        <v>1</v>
      </c>
      <c r="DX39" s="45">
        <v>1</v>
      </c>
      <c r="DY39" s="45">
        <v>1</v>
      </c>
      <c r="DZ39" s="45">
        <v>1</v>
      </c>
      <c r="EA39" s="45">
        <v>1</v>
      </c>
      <c r="EB39" s="45">
        <v>1</v>
      </c>
      <c r="EC39" s="45">
        <v>1</v>
      </c>
      <c r="ED39" s="45">
        <v>1</v>
      </c>
      <c r="EE39" s="45">
        <v>1</v>
      </c>
      <c r="EF39" s="45">
        <v>1</v>
      </c>
      <c r="EG39" s="45">
        <v>1</v>
      </c>
      <c r="EH39" s="45">
        <v>1</v>
      </c>
      <c r="EI39" s="45">
        <v>1</v>
      </c>
      <c r="EJ39" s="45">
        <v>1</v>
      </c>
      <c r="EK39" s="45">
        <v>1</v>
      </c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43">
        <v>119.86135332762603</v>
      </c>
      <c r="AQ40" s="43">
        <v>117.57103477353294</v>
      </c>
      <c r="AR40" s="43">
        <v>117.33109246788267</v>
      </c>
      <c r="AS40" s="43">
        <v>116.73212085672081</v>
      </c>
      <c r="AT40" s="43">
        <v>117.39964516428458</v>
      </c>
      <c r="AU40" s="43">
        <v>119.69313343052404</v>
      </c>
      <c r="AV40" s="43">
        <v>119.94970636289088</v>
      </c>
      <c r="AW40" s="43">
        <v>119.45692975129495</v>
      </c>
      <c r="AX40" s="43">
        <v>116.93097194730896</v>
      </c>
      <c r="AY40" s="43">
        <v>119.62996513244221</v>
      </c>
      <c r="AZ40" s="43">
        <v>117.07263835132048</v>
      </c>
      <c r="BA40" s="43">
        <v>119.76707143455604</v>
      </c>
      <c r="BB40" s="43">
        <v>119.94394216960255</v>
      </c>
      <c r="BC40" s="43">
        <v>119.90230099940101</v>
      </c>
      <c r="BD40" s="43">
        <v>119.58891892055468</v>
      </c>
      <c r="BE40" s="43">
        <v>119.19955049199129</v>
      </c>
      <c r="BF40" s="43">
        <v>119.84944542591226</v>
      </c>
      <c r="BG40" s="43">
        <v>107.14228581773631</v>
      </c>
      <c r="BH40" s="43">
        <v>118.47397737743131</v>
      </c>
      <c r="BI40" s="43">
        <v>119.79895285295919</v>
      </c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2"/>
      <c r="CY40" s="52"/>
      <c r="CZ40" s="52"/>
      <c r="DA40" s="52"/>
      <c r="DB40" s="52"/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  <c r="DR40" s="43">
        <v>1</v>
      </c>
      <c r="DS40" s="43">
        <v>1</v>
      </c>
      <c r="DT40" s="43">
        <v>1</v>
      </c>
      <c r="DU40" s="43">
        <v>1</v>
      </c>
      <c r="DV40" s="43">
        <v>1</v>
      </c>
      <c r="DW40" s="43">
        <v>1</v>
      </c>
      <c r="DX40" s="43">
        <v>1</v>
      </c>
      <c r="DY40" s="43">
        <v>1</v>
      </c>
      <c r="DZ40" s="43">
        <v>1</v>
      </c>
      <c r="EA40" s="43">
        <v>1</v>
      </c>
      <c r="EB40" s="43">
        <v>1</v>
      </c>
      <c r="EC40" s="43">
        <v>1</v>
      </c>
      <c r="ED40" s="43">
        <v>1</v>
      </c>
      <c r="EE40" s="43">
        <v>1</v>
      </c>
      <c r="EF40" s="43">
        <v>1</v>
      </c>
      <c r="EG40" s="43">
        <v>1</v>
      </c>
      <c r="EH40" s="43">
        <v>1</v>
      </c>
      <c r="EI40" s="43">
        <v>1</v>
      </c>
      <c r="EJ40" s="43">
        <v>1</v>
      </c>
      <c r="EK40" s="43">
        <v>1</v>
      </c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43">
        <v>119.86135332762657</v>
      </c>
      <c r="AQ41" s="43">
        <v>117.5710347735335</v>
      </c>
      <c r="AR41" s="43">
        <v>117.3310924678832</v>
      </c>
      <c r="AS41" s="43">
        <v>116.73212085672134</v>
      </c>
      <c r="AT41" s="43">
        <v>117.39964516428509</v>
      </c>
      <c r="AU41" s="43">
        <v>119.69313343052443</v>
      </c>
      <c r="AV41" s="43">
        <v>119.94970636289118</v>
      </c>
      <c r="AW41" s="43">
        <v>119.45692975129521</v>
      </c>
      <c r="AX41" s="43">
        <v>116.93097012429391</v>
      </c>
      <c r="AY41" s="43">
        <v>119.62996488576402</v>
      </c>
      <c r="AZ41" s="43">
        <v>117.07263835130826</v>
      </c>
      <c r="BA41" s="43">
        <v>119.76707143454806</v>
      </c>
      <c r="BB41" s="43">
        <v>119.9439421695985</v>
      </c>
      <c r="BC41" s="43">
        <v>119.90230099939916</v>
      </c>
      <c r="BD41" s="43">
        <v>119.58891892055404</v>
      </c>
      <c r="BE41" s="43">
        <v>119.199550491991</v>
      </c>
      <c r="BF41" s="43">
        <v>119.84944542591219</v>
      </c>
      <c r="BG41" s="43">
        <v>107.14227650322884</v>
      </c>
      <c r="BH41" s="43">
        <v>118.4739752500504</v>
      </c>
      <c r="BI41" s="43">
        <v>119.79895235385605</v>
      </c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43">
        <v>1</v>
      </c>
      <c r="DS41" s="43">
        <v>1</v>
      </c>
      <c r="DT41" s="43">
        <v>1</v>
      </c>
      <c r="DU41" s="43">
        <v>1</v>
      </c>
      <c r="DV41" s="43">
        <v>1</v>
      </c>
      <c r="DW41" s="43">
        <v>1</v>
      </c>
      <c r="DX41" s="43">
        <v>1</v>
      </c>
      <c r="DY41" s="43">
        <v>1</v>
      </c>
      <c r="DZ41" s="43">
        <v>1</v>
      </c>
      <c r="EA41" s="43">
        <v>1</v>
      </c>
      <c r="EB41" s="43">
        <v>1</v>
      </c>
      <c r="EC41" s="43">
        <v>1</v>
      </c>
      <c r="ED41" s="43">
        <v>1</v>
      </c>
      <c r="EE41" s="43">
        <v>1</v>
      </c>
      <c r="EF41" s="43">
        <v>1</v>
      </c>
      <c r="EG41" s="43">
        <v>1</v>
      </c>
      <c r="EH41" s="43">
        <v>1</v>
      </c>
      <c r="EI41" s="43">
        <v>1</v>
      </c>
      <c r="EJ41" s="43">
        <v>1</v>
      </c>
      <c r="EK41" s="43">
        <v>1</v>
      </c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43">
        <v>119.86135332762682</v>
      </c>
      <c r="AQ42" s="43">
        <v>117.57103477353375</v>
      </c>
      <c r="AR42" s="43">
        <v>117.33109246788344</v>
      </c>
      <c r="AS42" s="43">
        <v>116.73212085672158</v>
      </c>
      <c r="AT42" s="43">
        <v>117.39964516428532</v>
      </c>
      <c r="AU42" s="43">
        <v>119.69313343052461</v>
      </c>
      <c r="AV42" s="43">
        <v>119.94970636289132</v>
      </c>
      <c r="AW42" s="43">
        <v>119.45692975129532</v>
      </c>
      <c r="AX42" s="43">
        <v>116.93096873443272</v>
      </c>
      <c r="AY42" s="43">
        <v>119.62996469769884</v>
      </c>
      <c r="AZ42" s="43">
        <v>117.07263835130239</v>
      </c>
      <c r="BA42" s="43">
        <v>119.76707143454419</v>
      </c>
      <c r="BB42" s="43">
        <v>119.94394216959653</v>
      </c>
      <c r="BC42" s="43">
        <v>119.90230099939824</v>
      </c>
      <c r="BD42" s="43">
        <v>119.5889189205537</v>
      </c>
      <c r="BE42" s="43">
        <v>119.19955049199083</v>
      </c>
      <c r="BF42" s="43">
        <v>119.84944542591212</v>
      </c>
      <c r="BG42" s="43">
        <v>107.14227006993184</v>
      </c>
      <c r="BH42" s="43">
        <v>118.47397378290151</v>
      </c>
      <c r="BI42" s="43">
        <v>119.79895200946433</v>
      </c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43">
        <v>1</v>
      </c>
      <c r="DS42" s="43">
        <v>1</v>
      </c>
      <c r="DT42" s="43">
        <v>1</v>
      </c>
      <c r="DU42" s="43">
        <v>1</v>
      </c>
      <c r="DV42" s="43">
        <v>1</v>
      </c>
      <c r="DW42" s="43">
        <v>1</v>
      </c>
      <c r="DX42" s="43">
        <v>1</v>
      </c>
      <c r="DY42" s="43">
        <v>1</v>
      </c>
      <c r="DZ42" s="43">
        <v>1</v>
      </c>
      <c r="EA42" s="43">
        <v>1</v>
      </c>
      <c r="EB42" s="43">
        <v>1</v>
      </c>
      <c r="EC42" s="43">
        <v>1</v>
      </c>
      <c r="ED42" s="43">
        <v>1</v>
      </c>
      <c r="EE42" s="43">
        <v>1</v>
      </c>
      <c r="EF42" s="43">
        <v>1</v>
      </c>
      <c r="EG42" s="43">
        <v>1</v>
      </c>
      <c r="EH42" s="43">
        <v>1</v>
      </c>
      <c r="EI42" s="43">
        <v>1</v>
      </c>
      <c r="EJ42" s="43">
        <v>1</v>
      </c>
      <c r="EK42" s="43">
        <v>1</v>
      </c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43">
        <v>119.86135332762693</v>
      </c>
      <c r="AQ43" s="43">
        <v>117.57103477353387</v>
      </c>
      <c r="AR43" s="43">
        <v>117.33109246788356</v>
      </c>
      <c r="AS43" s="43">
        <v>116.73212085672168</v>
      </c>
      <c r="AT43" s="43">
        <v>117.39964516428542</v>
      </c>
      <c r="AU43" s="43">
        <v>119.6931334305247</v>
      </c>
      <c r="AV43" s="43">
        <v>119.94970636289138</v>
      </c>
      <c r="AW43" s="43">
        <v>119.45692975129536</v>
      </c>
      <c r="AX43" s="43">
        <v>116.93096767481349</v>
      </c>
      <c r="AY43" s="43">
        <v>119.62996455431909</v>
      </c>
      <c r="AZ43" s="43">
        <v>117.07263835129957</v>
      </c>
      <c r="BA43" s="43">
        <v>119.76707143454233</v>
      </c>
      <c r="BB43" s="43">
        <v>119.94394216959559</v>
      </c>
      <c r="BC43" s="43">
        <v>119.90230099939778</v>
      </c>
      <c r="BD43" s="43">
        <v>119.58891892055352</v>
      </c>
      <c r="BE43" s="43">
        <v>119.19955049199073</v>
      </c>
      <c r="BF43" s="43">
        <v>119.84944542591208</v>
      </c>
      <c r="BG43" s="43">
        <v>107.14226563521704</v>
      </c>
      <c r="BH43" s="43">
        <v>118.47397277036895</v>
      </c>
      <c r="BI43" s="43">
        <v>119.79895177188635</v>
      </c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43">
        <v>1</v>
      </c>
      <c r="DS43" s="43">
        <v>1</v>
      </c>
      <c r="DT43" s="43">
        <v>1</v>
      </c>
      <c r="DU43" s="43">
        <v>1</v>
      </c>
      <c r="DV43" s="43">
        <v>1</v>
      </c>
      <c r="DW43" s="43">
        <v>1</v>
      </c>
      <c r="DX43" s="43">
        <v>1</v>
      </c>
      <c r="DY43" s="43">
        <v>1</v>
      </c>
      <c r="DZ43" s="43">
        <v>1</v>
      </c>
      <c r="EA43" s="43">
        <v>1</v>
      </c>
      <c r="EB43" s="43">
        <v>1</v>
      </c>
      <c r="EC43" s="43">
        <v>1</v>
      </c>
      <c r="ED43" s="43">
        <v>1</v>
      </c>
      <c r="EE43" s="43">
        <v>1</v>
      </c>
      <c r="EF43" s="43">
        <v>1</v>
      </c>
      <c r="EG43" s="43">
        <v>1</v>
      </c>
      <c r="EH43" s="43">
        <v>1</v>
      </c>
      <c r="EI43" s="43">
        <v>1</v>
      </c>
      <c r="EJ43" s="43">
        <v>1</v>
      </c>
      <c r="EK43" s="43">
        <v>1</v>
      </c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43">
        <v>119.86135332762697</v>
      </c>
      <c r="AQ44" s="43">
        <v>117.57103477353391</v>
      </c>
      <c r="AR44" s="43">
        <v>117.33109246788362</v>
      </c>
      <c r="AS44" s="43">
        <v>116.73212085672172</v>
      </c>
      <c r="AT44" s="43">
        <v>117.39964516428546</v>
      </c>
      <c r="AU44" s="43">
        <v>119.69313343052474</v>
      </c>
      <c r="AV44" s="43">
        <v>119.94970636289142</v>
      </c>
      <c r="AW44" s="43">
        <v>119.45692975129539</v>
      </c>
      <c r="AX44" s="43">
        <v>116.93096686697336</v>
      </c>
      <c r="AY44" s="43">
        <v>119.62996444500737</v>
      </c>
      <c r="AZ44" s="43">
        <v>117.07263835129822</v>
      </c>
      <c r="BA44" s="43">
        <v>119.76707143454144</v>
      </c>
      <c r="BB44" s="43">
        <v>119.94394216959512</v>
      </c>
      <c r="BC44" s="43">
        <v>119.90230099939755</v>
      </c>
      <c r="BD44" s="43">
        <v>119.58891892055344</v>
      </c>
      <c r="BE44" s="43">
        <v>119.19955049199068</v>
      </c>
      <c r="BF44" s="43">
        <v>119.84944542591205</v>
      </c>
      <c r="BG44" s="43">
        <v>107.14226257357979</v>
      </c>
      <c r="BH44" s="43">
        <v>118.47397207196724</v>
      </c>
      <c r="BI44" s="43">
        <v>119.79895160796171</v>
      </c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2"/>
      <c r="CY44" s="52"/>
      <c r="CZ44" s="52"/>
      <c r="DA44" s="52"/>
      <c r="DB44" s="52"/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  <c r="DR44" s="43">
        <v>1</v>
      </c>
      <c r="DS44" s="43">
        <v>1</v>
      </c>
      <c r="DT44" s="43">
        <v>1</v>
      </c>
      <c r="DU44" s="43">
        <v>1</v>
      </c>
      <c r="DV44" s="43">
        <v>1</v>
      </c>
      <c r="DW44" s="43">
        <v>1</v>
      </c>
      <c r="DX44" s="43">
        <v>1</v>
      </c>
      <c r="DY44" s="43">
        <v>1</v>
      </c>
      <c r="DZ44" s="43">
        <v>1</v>
      </c>
      <c r="EA44" s="43">
        <v>1</v>
      </c>
      <c r="EB44" s="43">
        <v>1</v>
      </c>
      <c r="EC44" s="43">
        <v>1</v>
      </c>
      <c r="ED44" s="43">
        <v>1</v>
      </c>
      <c r="EE44" s="43">
        <v>1</v>
      </c>
      <c r="EF44" s="43">
        <v>1</v>
      </c>
      <c r="EG44" s="43">
        <v>1</v>
      </c>
      <c r="EH44" s="43">
        <v>1</v>
      </c>
      <c r="EI44" s="43">
        <v>1</v>
      </c>
      <c r="EJ44" s="43">
        <v>1</v>
      </c>
      <c r="EK44" s="43">
        <v>1</v>
      </c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43">
        <v>119.861353327627</v>
      </c>
      <c r="AQ45" s="43">
        <v>117.57103477353392</v>
      </c>
      <c r="AR45" s="43">
        <v>117.33109246788364</v>
      </c>
      <c r="AS45" s="43">
        <v>116.73212085672175</v>
      </c>
      <c r="AT45" s="43">
        <v>117.39964516428547</v>
      </c>
      <c r="AU45" s="43">
        <v>119.69313343052475</v>
      </c>
      <c r="AV45" s="43">
        <v>119.94970636289143</v>
      </c>
      <c r="AW45" s="43">
        <v>119.45692975129541</v>
      </c>
      <c r="AX45" s="43">
        <v>116.93096625109025</v>
      </c>
      <c r="AY45" s="43">
        <v>119.6299643616692</v>
      </c>
      <c r="AZ45" s="43">
        <v>117.07263835129757</v>
      </c>
      <c r="BA45" s="43">
        <v>119.76707143454101</v>
      </c>
      <c r="BB45" s="43">
        <v>119.94394216959491</v>
      </c>
      <c r="BC45" s="43">
        <v>119.90230099939745</v>
      </c>
      <c r="BD45" s="43">
        <v>119.58891892055338</v>
      </c>
      <c r="BE45" s="43">
        <v>119.19955049199066</v>
      </c>
      <c r="BF45" s="43">
        <v>119.84944542591204</v>
      </c>
      <c r="BG45" s="43">
        <v>107.14226046237451</v>
      </c>
      <c r="BH45" s="43">
        <v>118.47397159003337</v>
      </c>
      <c r="BI45" s="43">
        <v>119.7989514948738</v>
      </c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43">
        <v>1</v>
      </c>
      <c r="DS45" s="43">
        <v>1</v>
      </c>
      <c r="DT45" s="43">
        <v>1</v>
      </c>
      <c r="DU45" s="43">
        <v>1</v>
      </c>
      <c r="DV45" s="43">
        <v>1</v>
      </c>
      <c r="DW45" s="43">
        <v>1</v>
      </c>
      <c r="DX45" s="43">
        <v>1</v>
      </c>
      <c r="DY45" s="43">
        <v>1</v>
      </c>
      <c r="DZ45" s="43">
        <v>1</v>
      </c>
      <c r="EA45" s="43">
        <v>1</v>
      </c>
      <c r="EB45" s="43">
        <v>1</v>
      </c>
      <c r="EC45" s="43">
        <v>1</v>
      </c>
      <c r="ED45" s="43">
        <v>1</v>
      </c>
      <c r="EE45" s="43">
        <v>1</v>
      </c>
      <c r="EF45" s="43">
        <v>1</v>
      </c>
      <c r="EG45" s="43">
        <v>1</v>
      </c>
      <c r="EH45" s="43">
        <v>1</v>
      </c>
      <c r="EI45" s="43">
        <v>1</v>
      </c>
      <c r="EJ45" s="43">
        <v>1</v>
      </c>
      <c r="EK45" s="43">
        <v>1</v>
      </c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43">
        <v>119.861353327627</v>
      </c>
      <c r="AQ46" s="43">
        <v>117.57103477353394</v>
      </c>
      <c r="AR46" s="43">
        <v>117.33109246788364</v>
      </c>
      <c r="AS46" s="43">
        <v>116.73212085672175</v>
      </c>
      <c r="AT46" s="43">
        <v>117.39964516428549</v>
      </c>
      <c r="AU46" s="43">
        <v>119.69313343052475</v>
      </c>
      <c r="AV46" s="43">
        <v>119.94970636289145</v>
      </c>
      <c r="AW46" s="43">
        <v>119.45692975129541</v>
      </c>
      <c r="AX46" s="43">
        <v>116.93096578155439</v>
      </c>
      <c r="AY46" s="43">
        <v>119.6299642981333</v>
      </c>
      <c r="AZ46" s="43">
        <v>117.07263835129726</v>
      </c>
      <c r="BA46" s="43">
        <v>119.7670714345408</v>
      </c>
      <c r="BB46" s="43">
        <v>119.94394216959479</v>
      </c>
      <c r="BC46" s="43">
        <v>119.9023009993974</v>
      </c>
      <c r="BD46" s="43">
        <v>119.58891892055335</v>
      </c>
      <c r="BE46" s="43">
        <v>119.19955049199064</v>
      </c>
      <c r="BF46" s="43">
        <v>119.84944542591202</v>
      </c>
      <c r="BG46" s="43">
        <v>107.14225900521964</v>
      </c>
      <c r="BH46" s="43">
        <v>118.47397125758465</v>
      </c>
      <c r="BI46" s="43">
        <v>119.79895141684777</v>
      </c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2"/>
      <c r="CY46" s="52"/>
      <c r="CZ46" s="52"/>
      <c r="DA46" s="52"/>
      <c r="DB46" s="52"/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  <c r="DR46" s="43">
        <v>1</v>
      </c>
      <c r="DS46" s="43">
        <v>1</v>
      </c>
      <c r="DT46" s="43">
        <v>1</v>
      </c>
      <c r="DU46" s="43">
        <v>1</v>
      </c>
      <c r="DV46" s="43">
        <v>1</v>
      </c>
      <c r="DW46" s="43">
        <v>1</v>
      </c>
      <c r="DX46" s="43">
        <v>1</v>
      </c>
      <c r="DY46" s="43">
        <v>1</v>
      </c>
      <c r="DZ46" s="43">
        <v>1</v>
      </c>
      <c r="EA46" s="43">
        <v>1</v>
      </c>
      <c r="EB46" s="43">
        <v>1</v>
      </c>
      <c r="EC46" s="43">
        <v>1</v>
      </c>
      <c r="ED46" s="43">
        <v>1</v>
      </c>
      <c r="EE46" s="43">
        <v>1</v>
      </c>
      <c r="EF46" s="43">
        <v>1</v>
      </c>
      <c r="EG46" s="43">
        <v>1</v>
      </c>
      <c r="EH46" s="43">
        <v>1</v>
      </c>
      <c r="EI46" s="43">
        <v>1</v>
      </c>
      <c r="EJ46" s="43">
        <v>1</v>
      </c>
      <c r="EK46" s="43">
        <v>1</v>
      </c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43">
        <v>119.861353327627</v>
      </c>
      <c r="AQ47" s="43">
        <v>117.57103477353394</v>
      </c>
      <c r="AR47" s="43">
        <v>117.33109246788364</v>
      </c>
      <c r="AS47" s="43">
        <v>116.73212085672175</v>
      </c>
      <c r="AT47" s="43">
        <v>117.39964516428549</v>
      </c>
      <c r="AU47" s="43">
        <v>119.69313343052475</v>
      </c>
      <c r="AV47" s="43">
        <v>119.94970636289143</v>
      </c>
      <c r="AW47" s="43">
        <v>119.45692975129541</v>
      </c>
      <c r="AX47" s="43">
        <v>116.93096542359223</v>
      </c>
      <c r="AY47" s="43">
        <v>119.62996424969465</v>
      </c>
      <c r="AZ47" s="43">
        <v>117.0726383512971</v>
      </c>
      <c r="BA47" s="43">
        <v>119.76707143454071</v>
      </c>
      <c r="BB47" s="43">
        <v>119.94394216959473</v>
      </c>
      <c r="BC47" s="43">
        <v>119.90230099939737</v>
      </c>
      <c r="BD47" s="43">
        <v>119.58891892055334</v>
      </c>
      <c r="BE47" s="43">
        <v>119.19955049199062</v>
      </c>
      <c r="BF47" s="43">
        <v>119.84944542591202</v>
      </c>
      <c r="BG47" s="43">
        <v>107.14225800020982</v>
      </c>
      <c r="BH47" s="43">
        <v>118.47397102819447</v>
      </c>
      <c r="BI47" s="43">
        <v>119.79895136301798</v>
      </c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43">
        <v>1</v>
      </c>
      <c r="DS47" s="43">
        <v>1</v>
      </c>
      <c r="DT47" s="43">
        <v>1</v>
      </c>
      <c r="DU47" s="43">
        <v>1</v>
      </c>
      <c r="DV47" s="43">
        <v>1</v>
      </c>
      <c r="DW47" s="43">
        <v>1</v>
      </c>
      <c r="DX47" s="43">
        <v>1</v>
      </c>
      <c r="DY47" s="43">
        <v>1</v>
      </c>
      <c r="DZ47" s="43">
        <v>1</v>
      </c>
      <c r="EA47" s="43">
        <v>1</v>
      </c>
      <c r="EB47" s="43">
        <v>1</v>
      </c>
      <c r="EC47" s="43">
        <v>1</v>
      </c>
      <c r="ED47" s="43">
        <v>1</v>
      </c>
      <c r="EE47" s="43">
        <v>1</v>
      </c>
      <c r="EF47" s="43">
        <v>1</v>
      </c>
      <c r="EG47" s="43">
        <v>1</v>
      </c>
      <c r="EH47" s="43">
        <v>1</v>
      </c>
      <c r="EI47" s="43">
        <v>1</v>
      </c>
      <c r="EJ47" s="43">
        <v>1</v>
      </c>
      <c r="EK47" s="43">
        <v>1</v>
      </c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43">
        <v>119.861353327627</v>
      </c>
      <c r="AQ48" s="43">
        <v>117.57103477353394</v>
      </c>
      <c r="AR48" s="43">
        <v>117.33109246788364</v>
      </c>
      <c r="AS48" s="43">
        <v>116.73212085672175</v>
      </c>
      <c r="AT48" s="43">
        <v>117.39964516428549</v>
      </c>
      <c r="AU48" s="43">
        <v>119.69313343052475</v>
      </c>
      <c r="AV48" s="43">
        <v>119.94970636289145</v>
      </c>
      <c r="AW48" s="43">
        <v>119.45692975129541</v>
      </c>
      <c r="AX48" s="43">
        <v>116.93096515069213</v>
      </c>
      <c r="AY48" s="43">
        <v>119.62996421276607</v>
      </c>
      <c r="AZ48" s="43">
        <v>117.07263835129703</v>
      </c>
      <c r="BA48" s="43">
        <v>119.76707143454065</v>
      </c>
      <c r="BB48" s="43">
        <v>119.94394216959472</v>
      </c>
      <c r="BC48" s="43">
        <v>119.90230099939735</v>
      </c>
      <c r="BD48" s="43">
        <v>119.58891892055334</v>
      </c>
      <c r="BE48" s="43">
        <v>119.19955049199062</v>
      </c>
      <c r="BF48" s="43">
        <v>119.84944542591202</v>
      </c>
      <c r="BG48" s="43">
        <v>107.14225730666098</v>
      </c>
      <c r="BH48" s="43">
        <v>118.47397086994694</v>
      </c>
      <c r="BI48" s="43">
        <v>119.79895132587839</v>
      </c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43">
        <v>1</v>
      </c>
      <c r="DS48" s="43">
        <v>1</v>
      </c>
      <c r="DT48" s="43">
        <v>1</v>
      </c>
      <c r="DU48" s="43">
        <v>1</v>
      </c>
      <c r="DV48" s="43">
        <v>1</v>
      </c>
      <c r="DW48" s="43">
        <v>1</v>
      </c>
      <c r="DX48" s="43">
        <v>1</v>
      </c>
      <c r="DY48" s="43">
        <v>1</v>
      </c>
      <c r="DZ48" s="43">
        <v>1</v>
      </c>
      <c r="EA48" s="43">
        <v>1</v>
      </c>
      <c r="EB48" s="43">
        <v>1</v>
      </c>
      <c r="EC48" s="43">
        <v>1</v>
      </c>
      <c r="ED48" s="43">
        <v>1</v>
      </c>
      <c r="EE48" s="43">
        <v>1</v>
      </c>
      <c r="EF48" s="43">
        <v>1</v>
      </c>
      <c r="EG48" s="43">
        <v>1</v>
      </c>
      <c r="EH48" s="43">
        <v>1</v>
      </c>
      <c r="EI48" s="43">
        <v>1</v>
      </c>
      <c r="EJ48" s="43">
        <v>1</v>
      </c>
      <c r="EK48" s="43">
        <v>1</v>
      </c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43">
        <v>119.861353327627</v>
      </c>
      <c r="AQ49" s="43">
        <v>117.57103477353394</v>
      </c>
      <c r="AR49" s="43">
        <v>117.33109246788364</v>
      </c>
      <c r="AS49" s="43">
        <v>116.73212085672175</v>
      </c>
      <c r="AT49" s="43">
        <v>117.39964516428549</v>
      </c>
      <c r="AU49" s="43">
        <v>119.69313343052475</v>
      </c>
      <c r="AV49" s="43">
        <v>119.94970636289143</v>
      </c>
      <c r="AW49" s="43">
        <v>119.45692975129541</v>
      </c>
      <c r="AX49" s="43">
        <v>116.93096494264165</v>
      </c>
      <c r="AY49" s="43">
        <v>119.62996418461263</v>
      </c>
      <c r="AZ49" s="43">
        <v>117.072638351297</v>
      </c>
      <c r="BA49" s="43">
        <v>119.76707143454063</v>
      </c>
      <c r="BB49" s="43">
        <v>119.94394216959469</v>
      </c>
      <c r="BC49" s="43">
        <v>119.90230099939735</v>
      </c>
      <c r="BD49" s="43">
        <v>119.58891892055334</v>
      </c>
      <c r="BE49" s="43">
        <v>119.19955049199062</v>
      </c>
      <c r="BF49" s="43">
        <v>119.84944542591202</v>
      </c>
      <c r="BG49" s="43">
        <v>107.14225682825672</v>
      </c>
      <c r="BH49" s="43">
        <v>118.47397076076076</v>
      </c>
      <c r="BI49" s="43">
        <v>119.79895130025557</v>
      </c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43">
        <v>1</v>
      </c>
      <c r="DS49" s="43">
        <v>1</v>
      </c>
      <c r="DT49" s="43">
        <v>1</v>
      </c>
      <c r="DU49" s="43">
        <v>1</v>
      </c>
      <c r="DV49" s="43">
        <v>1</v>
      </c>
      <c r="DW49" s="43">
        <v>1</v>
      </c>
      <c r="DX49" s="43">
        <v>1</v>
      </c>
      <c r="DY49" s="43">
        <v>1</v>
      </c>
      <c r="DZ49" s="43">
        <v>1</v>
      </c>
      <c r="EA49" s="43">
        <v>1</v>
      </c>
      <c r="EB49" s="43">
        <v>1</v>
      </c>
      <c r="EC49" s="43">
        <v>1</v>
      </c>
      <c r="ED49" s="43">
        <v>1</v>
      </c>
      <c r="EE49" s="43">
        <v>1</v>
      </c>
      <c r="EF49" s="43">
        <v>1</v>
      </c>
      <c r="EG49" s="43">
        <v>1</v>
      </c>
      <c r="EH49" s="43">
        <v>1</v>
      </c>
      <c r="EI49" s="43">
        <v>1</v>
      </c>
      <c r="EJ49" s="43">
        <v>1</v>
      </c>
      <c r="EK49" s="43">
        <v>1</v>
      </c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43">
        <v>119.861353327627</v>
      </c>
      <c r="AQ50" s="43">
        <v>117.57103477353394</v>
      </c>
      <c r="AR50" s="43">
        <v>117.33109246788364</v>
      </c>
      <c r="AS50" s="43">
        <v>116.73212085672175</v>
      </c>
      <c r="AT50" s="43">
        <v>117.39964516428549</v>
      </c>
      <c r="AU50" s="43">
        <v>119.69313343052475</v>
      </c>
      <c r="AV50" s="43">
        <v>119.94970636289145</v>
      </c>
      <c r="AW50" s="43">
        <v>119.45692975129541</v>
      </c>
      <c r="AX50" s="43">
        <v>116.93096478403095</v>
      </c>
      <c r="AY50" s="43">
        <v>119.62996416314925</v>
      </c>
      <c r="AZ50" s="43">
        <v>117.07263835129699</v>
      </c>
      <c r="BA50" s="43">
        <v>119.76707143454061</v>
      </c>
      <c r="BB50" s="43">
        <v>119.94394216959468</v>
      </c>
      <c r="BC50" s="43">
        <v>119.90230099939735</v>
      </c>
      <c r="BD50" s="43">
        <v>119.58891892055334</v>
      </c>
      <c r="BE50" s="43">
        <v>119.19955049199062</v>
      </c>
      <c r="BF50" s="43">
        <v>119.84944542591202</v>
      </c>
      <c r="BG50" s="43">
        <v>107.14225649814561</v>
      </c>
      <c r="BH50" s="43">
        <v>118.47397068543475</v>
      </c>
      <c r="BI50" s="43">
        <v>119.79895128257743</v>
      </c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43">
        <v>1</v>
      </c>
      <c r="DS50" s="43">
        <v>1</v>
      </c>
      <c r="DT50" s="43">
        <v>1</v>
      </c>
      <c r="DU50" s="43">
        <v>1</v>
      </c>
      <c r="DV50" s="43">
        <v>1</v>
      </c>
      <c r="DW50" s="43">
        <v>1</v>
      </c>
      <c r="DX50" s="43">
        <v>1</v>
      </c>
      <c r="DY50" s="43">
        <v>1</v>
      </c>
      <c r="DZ50" s="43">
        <v>1</v>
      </c>
      <c r="EA50" s="43">
        <v>1</v>
      </c>
      <c r="EB50" s="43">
        <v>1</v>
      </c>
      <c r="EC50" s="43">
        <v>1</v>
      </c>
      <c r="ED50" s="43">
        <v>1</v>
      </c>
      <c r="EE50" s="43">
        <v>1</v>
      </c>
      <c r="EF50" s="43">
        <v>1</v>
      </c>
      <c r="EG50" s="43">
        <v>1</v>
      </c>
      <c r="EH50" s="43">
        <v>1</v>
      </c>
      <c r="EI50" s="43">
        <v>1</v>
      </c>
      <c r="EJ50" s="43">
        <v>1</v>
      </c>
      <c r="EK50" s="43">
        <v>1</v>
      </c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43">
        <v>119.861353327627</v>
      </c>
      <c r="AQ51" s="43">
        <v>117.57103477353394</v>
      </c>
      <c r="AR51" s="43">
        <v>117.33109246788364</v>
      </c>
      <c r="AS51" s="43">
        <v>116.73212085672175</v>
      </c>
      <c r="AT51" s="43">
        <v>117.39964516428549</v>
      </c>
      <c r="AU51" s="43">
        <v>119.69313343052475</v>
      </c>
      <c r="AV51" s="43">
        <v>119.94970636289143</v>
      </c>
      <c r="AW51" s="43">
        <v>119.45692975129541</v>
      </c>
      <c r="AX51" s="43">
        <v>116.93096466311175</v>
      </c>
      <c r="AY51" s="43">
        <v>119.62996414678624</v>
      </c>
      <c r="AZ51" s="43">
        <v>117.07263835129699</v>
      </c>
      <c r="BA51" s="43">
        <v>119.76707143454061</v>
      </c>
      <c r="BB51" s="43">
        <v>119.94394216959468</v>
      </c>
      <c r="BC51" s="43">
        <v>119.90230099939735</v>
      </c>
      <c r="BD51" s="43">
        <v>119.58891892055334</v>
      </c>
      <c r="BE51" s="43">
        <v>119.19955049199062</v>
      </c>
      <c r="BF51" s="43">
        <v>119.84944542591202</v>
      </c>
      <c r="BG51" s="43">
        <v>107.14225627042069</v>
      </c>
      <c r="BH51" s="43">
        <v>118.47397063346341</v>
      </c>
      <c r="BI51" s="43">
        <v>119.79895127038107</v>
      </c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45">
        <v>1</v>
      </c>
      <c r="DS51" s="45">
        <v>1</v>
      </c>
      <c r="DT51" s="45">
        <v>1</v>
      </c>
      <c r="DU51" s="45">
        <v>1</v>
      </c>
      <c r="DV51" s="45">
        <v>1</v>
      </c>
      <c r="DW51" s="45">
        <v>1</v>
      </c>
      <c r="DX51" s="45">
        <v>1</v>
      </c>
      <c r="DY51" s="45">
        <v>1</v>
      </c>
      <c r="DZ51" s="45">
        <v>1</v>
      </c>
      <c r="EA51" s="45">
        <v>1</v>
      </c>
      <c r="EB51" s="45">
        <v>1</v>
      </c>
      <c r="EC51" s="45">
        <v>1</v>
      </c>
      <c r="ED51" s="45">
        <v>1</v>
      </c>
      <c r="EE51" s="45">
        <v>1</v>
      </c>
      <c r="EF51" s="45">
        <v>1</v>
      </c>
      <c r="EG51" s="45">
        <v>1</v>
      </c>
      <c r="EH51" s="45">
        <v>1</v>
      </c>
      <c r="EI51" s="45">
        <v>1</v>
      </c>
      <c r="EJ51" s="45">
        <v>1</v>
      </c>
      <c r="EK51" s="45">
        <v>1</v>
      </c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43">
        <v>119.861353327627</v>
      </c>
      <c r="AQ52" s="43">
        <v>117.57103477353394</v>
      </c>
      <c r="AR52" s="43">
        <v>117.33109246788364</v>
      </c>
      <c r="AS52" s="43">
        <v>116.73212085672175</v>
      </c>
      <c r="AT52" s="43">
        <v>117.39964516428549</v>
      </c>
      <c r="AU52" s="43">
        <v>119.69313343052475</v>
      </c>
      <c r="AV52" s="43">
        <v>119.94970636289145</v>
      </c>
      <c r="AW52" s="43">
        <v>119.45692975129541</v>
      </c>
      <c r="AX52" s="43">
        <v>116.93096457092742</v>
      </c>
      <c r="AY52" s="43">
        <v>119.62996413431161</v>
      </c>
      <c r="AZ52" s="43">
        <v>117.07263835129699</v>
      </c>
      <c r="BA52" s="43">
        <v>119.76707143454061</v>
      </c>
      <c r="BB52" s="43">
        <v>119.94394216959468</v>
      </c>
      <c r="BC52" s="43">
        <v>119.90230099939735</v>
      </c>
      <c r="BD52" s="43">
        <v>119.58891892055334</v>
      </c>
      <c r="BE52" s="43">
        <v>119.19955049199062</v>
      </c>
      <c r="BF52" s="43">
        <v>119.84944542591202</v>
      </c>
      <c r="BG52" s="43">
        <v>107.14225611329384</v>
      </c>
      <c r="BH52" s="43">
        <v>118.47397059760837</v>
      </c>
      <c r="BI52" s="43">
        <v>119.79895126196642</v>
      </c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43">
        <v>1</v>
      </c>
      <c r="DS52" s="43">
        <v>1</v>
      </c>
      <c r="DT52" s="43">
        <v>1</v>
      </c>
      <c r="DU52" s="43">
        <v>1</v>
      </c>
      <c r="DV52" s="43">
        <v>1</v>
      </c>
      <c r="DW52" s="43">
        <v>1</v>
      </c>
      <c r="DX52" s="43">
        <v>1</v>
      </c>
      <c r="DY52" s="43">
        <v>1</v>
      </c>
      <c r="DZ52" s="43">
        <v>1</v>
      </c>
      <c r="EA52" s="43">
        <v>1</v>
      </c>
      <c r="EB52" s="43">
        <v>1</v>
      </c>
      <c r="EC52" s="43">
        <v>1</v>
      </c>
      <c r="ED52" s="43">
        <v>1</v>
      </c>
      <c r="EE52" s="43">
        <v>1</v>
      </c>
      <c r="EF52" s="43">
        <v>1</v>
      </c>
      <c r="EG52" s="43">
        <v>1</v>
      </c>
      <c r="EH52" s="43">
        <v>1</v>
      </c>
      <c r="EI52" s="43">
        <v>1</v>
      </c>
      <c r="EJ52" s="43">
        <v>1</v>
      </c>
      <c r="EK52" s="43">
        <v>1</v>
      </c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43">
        <v>119.861353327627</v>
      </c>
      <c r="AQ53" s="43">
        <v>117.57103477353394</v>
      </c>
      <c r="AR53" s="43">
        <v>117.33109246788364</v>
      </c>
      <c r="AS53" s="43">
        <v>116.73212085672175</v>
      </c>
      <c r="AT53" s="43">
        <v>117.39964516428549</v>
      </c>
      <c r="AU53" s="43">
        <v>119.69313343052475</v>
      </c>
      <c r="AV53" s="43">
        <v>119.94970636289143</v>
      </c>
      <c r="AW53" s="43">
        <v>119.45692975129541</v>
      </c>
      <c r="AX53" s="43">
        <v>116.93096450064957</v>
      </c>
      <c r="AY53" s="43">
        <v>119.62996412480138</v>
      </c>
      <c r="AZ53" s="43">
        <v>117.07263835129699</v>
      </c>
      <c r="BA53" s="43">
        <v>119.76707143454061</v>
      </c>
      <c r="BB53" s="43">
        <v>119.94394216959468</v>
      </c>
      <c r="BC53" s="43">
        <v>119.90230099939735</v>
      </c>
      <c r="BD53" s="43">
        <v>119.58891892055334</v>
      </c>
      <c r="BE53" s="43">
        <v>119.19955049199062</v>
      </c>
      <c r="BF53" s="43">
        <v>119.84944542591202</v>
      </c>
      <c r="BG53" s="43">
        <v>107.14225600489604</v>
      </c>
      <c r="BH53" s="43">
        <v>118.47397057287053</v>
      </c>
      <c r="BI53" s="43">
        <v>119.79895125616102</v>
      </c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43">
        <v>1</v>
      </c>
      <c r="DS53" s="43">
        <v>1</v>
      </c>
      <c r="DT53" s="43">
        <v>1</v>
      </c>
      <c r="DU53" s="43">
        <v>1</v>
      </c>
      <c r="DV53" s="43">
        <v>1</v>
      </c>
      <c r="DW53" s="43">
        <v>1</v>
      </c>
      <c r="DX53" s="43">
        <v>1</v>
      </c>
      <c r="DY53" s="43">
        <v>1</v>
      </c>
      <c r="DZ53" s="43">
        <v>1</v>
      </c>
      <c r="EA53" s="43">
        <v>1</v>
      </c>
      <c r="EB53" s="43">
        <v>1</v>
      </c>
      <c r="EC53" s="43">
        <v>1</v>
      </c>
      <c r="ED53" s="43">
        <v>1</v>
      </c>
      <c r="EE53" s="43">
        <v>1</v>
      </c>
      <c r="EF53" s="43">
        <v>1</v>
      </c>
      <c r="EG53" s="43">
        <v>1</v>
      </c>
      <c r="EH53" s="43">
        <v>1</v>
      </c>
      <c r="EI53" s="43">
        <v>1</v>
      </c>
      <c r="EJ53" s="43">
        <v>1</v>
      </c>
      <c r="EK53" s="43">
        <v>1</v>
      </c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43">
        <v>119.861353327627</v>
      </c>
      <c r="AQ54" s="43">
        <v>117.57103477353394</v>
      </c>
      <c r="AR54" s="43">
        <v>117.33109246788364</v>
      </c>
      <c r="AS54" s="43">
        <v>116.73212085672175</v>
      </c>
      <c r="AT54" s="43">
        <v>117.39964516428549</v>
      </c>
      <c r="AU54" s="43">
        <v>119.69313343052475</v>
      </c>
      <c r="AV54" s="43">
        <v>119.94970636289145</v>
      </c>
      <c r="AW54" s="43">
        <v>119.45692975129541</v>
      </c>
      <c r="AX54" s="43">
        <v>116.93096444707247</v>
      </c>
      <c r="AY54" s="43">
        <v>119.62996411755114</v>
      </c>
      <c r="AZ54" s="43">
        <v>117.07263835129699</v>
      </c>
      <c r="BA54" s="43">
        <v>119.76707143454061</v>
      </c>
      <c r="BB54" s="43">
        <v>119.94394216959468</v>
      </c>
      <c r="BC54" s="43">
        <v>119.90230099939735</v>
      </c>
      <c r="BD54" s="43">
        <v>119.58891892055334</v>
      </c>
      <c r="BE54" s="43">
        <v>119.19955049199062</v>
      </c>
      <c r="BF54" s="43">
        <v>119.84944542591202</v>
      </c>
      <c r="BG54" s="43">
        <v>107.14225593010578</v>
      </c>
      <c r="BH54" s="43">
        <v>118.47397055580366</v>
      </c>
      <c r="BI54" s="43">
        <v>119.7989512521557</v>
      </c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43">
        <v>1</v>
      </c>
      <c r="DS54" s="43">
        <v>1</v>
      </c>
      <c r="DT54" s="43">
        <v>1</v>
      </c>
      <c r="DU54" s="43">
        <v>1</v>
      </c>
      <c r="DV54" s="43">
        <v>1</v>
      </c>
      <c r="DW54" s="43">
        <v>1</v>
      </c>
      <c r="DX54" s="43">
        <v>1</v>
      </c>
      <c r="DY54" s="43">
        <v>1</v>
      </c>
      <c r="DZ54" s="43">
        <v>1</v>
      </c>
      <c r="EA54" s="43">
        <v>1</v>
      </c>
      <c r="EB54" s="43">
        <v>1</v>
      </c>
      <c r="EC54" s="43">
        <v>1</v>
      </c>
      <c r="ED54" s="43">
        <v>1</v>
      </c>
      <c r="EE54" s="43">
        <v>1</v>
      </c>
      <c r="EF54" s="43">
        <v>1</v>
      </c>
      <c r="EG54" s="43">
        <v>1</v>
      </c>
      <c r="EH54" s="43">
        <v>1</v>
      </c>
      <c r="EI54" s="43">
        <v>1</v>
      </c>
      <c r="EJ54" s="43">
        <v>1</v>
      </c>
      <c r="EK54" s="43">
        <v>1</v>
      </c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43">
        <v>119.861353327627</v>
      </c>
      <c r="AQ55" s="43">
        <v>117.57103477353394</v>
      </c>
      <c r="AR55" s="43">
        <v>117.33109246788364</v>
      </c>
      <c r="AS55" s="43">
        <v>116.73212085672175</v>
      </c>
      <c r="AT55" s="43">
        <v>117.39964516428549</v>
      </c>
      <c r="AU55" s="43">
        <v>119.69313343052475</v>
      </c>
      <c r="AV55" s="43">
        <v>119.94970636289143</v>
      </c>
      <c r="AW55" s="43">
        <v>119.45692975129541</v>
      </c>
      <c r="AX55" s="43">
        <v>116.9309644062274</v>
      </c>
      <c r="AY55" s="43">
        <v>119.62996411202383</v>
      </c>
      <c r="AZ55" s="43">
        <v>117.07263835129699</v>
      </c>
      <c r="BA55" s="43">
        <v>119.76707143454061</v>
      </c>
      <c r="BB55" s="43">
        <v>119.94394216959468</v>
      </c>
      <c r="BC55" s="43">
        <v>119.90230099939735</v>
      </c>
      <c r="BD55" s="43">
        <v>119.58891892055334</v>
      </c>
      <c r="BE55" s="43">
        <v>119.19955049199062</v>
      </c>
      <c r="BF55" s="43">
        <v>119.84944542591202</v>
      </c>
      <c r="BG55" s="43">
        <v>107.14225587850846</v>
      </c>
      <c r="BH55" s="43">
        <v>118.47397054402863</v>
      </c>
      <c r="BI55" s="43">
        <v>119.79895124939236</v>
      </c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43">
        <v>1</v>
      </c>
      <c r="DS55" s="43">
        <v>1</v>
      </c>
      <c r="DT55" s="43">
        <v>1</v>
      </c>
      <c r="DU55" s="43">
        <v>1</v>
      </c>
      <c r="DV55" s="43">
        <v>1</v>
      </c>
      <c r="DW55" s="43">
        <v>1</v>
      </c>
      <c r="DX55" s="43">
        <v>1</v>
      </c>
      <c r="DY55" s="43">
        <v>1</v>
      </c>
      <c r="DZ55" s="43">
        <v>1</v>
      </c>
      <c r="EA55" s="43">
        <v>1</v>
      </c>
      <c r="EB55" s="43">
        <v>1</v>
      </c>
      <c r="EC55" s="43">
        <v>1</v>
      </c>
      <c r="ED55" s="43">
        <v>1</v>
      </c>
      <c r="EE55" s="43">
        <v>1</v>
      </c>
      <c r="EF55" s="43">
        <v>1</v>
      </c>
      <c r="EG55" s="43">
        <v>1</v>
      </c>
      <c r="EH55" s="43">
        <v>1</v>
      </c>
      <c r="EI55" s="43">
        <v>1</v>
      </c>
      <c r="EJ55" s="43">
        <v>1</v>
      </c>
      <c r="EK55" s="43">
        <v>1</v>
      </c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43">
        <v>119.861353327627</v>
      </c>
      <c r="AQ56" s="43">
        <v>117.57103477353394</v>
      </c>
      <c r="AR56" s="43">
        <v>117.33109246788364</v>
      </c>
      <c r="AS56" s="43">
        <v>116.73212085672175</v>
      </c>
      <c r="AT56" s="43">
        <v>117.39964516428549</v>
      </c>
      <c r="AU56" s="43">
        <v>119.69313343052475</v>
      </c>
      <c r="AV56" s="43">
        <v>119.94970636289145</v>
      </c>
      <c r="AW56" s="43">
        <v>119.45692975129541</v>
      </c>
      <c r="AX56" s="43">
        <v>116.93096437508878</v>
      </c>
      <c r="AY56" s="43">
        <v>119.62996410781001</v>
      </c>
      <c r="AZ56" s="43">
        <v>117.07263835129699</v>
      </c>
      <c r="BA56" s="43">
        <v>119.76707143454061</v>
      </c>
      <c r="BB56" s="43">
        <v>119.94394216959468</v>
      </c>
      <c r="BC56" s="43">
        <v>119.90230099939735</v>
      </c>
      <c r="BD56" s="43">
        <v>119.58891892055334</v>
      </c>
      <c r="BE56" s="43">
        <v>119.19955049199062</v>
      </c>
      <c r="BF56" s="43">
        <v>119.84944542591202</v>
      </c>
      <c r="BG56" s="43">
        <v>107.14225584290911</v>
      </c>
      <c r="BH56" s="43">
        <v>118.47397053590487</v>
      </c>
      <c r="BI56" s="43">
        <v>119.79895124748585</v>
      </c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43">
        <v>1</v>
      </c>
      <c r="DS56" s="43">
        <v>1</v>
      </c>
      <c r="DT56" s="43">
        <v>1</v>
      </c>
      <c r="DU56" s="43">
        <v>1</v>
      </c>
      <c r="DV56" s="43">
        <v>1</v>
      </c>
      <c r="DW56" s="43">
        <v>1</v>
      </c>
      <c r="DX56" s="43">
        <v>1</v>
      </c>
      <c r="DY56" s="43">
        <v>1</v>
      </c>
      <c r="DZ56" s="43">
        <v>1</v>
      </c>
      <c r="EA56" s="43">
        <v>1</v>
      </c>
      <c r="EB56" s="43">
        <v>1</v>
      </c>
      <c r="EC56" s="43">
        <v>1</v>
      </c>
      <c r="ED56" s="43">
        <v>1</v>
      </c>
      <c r="EE56" s="43">
        <v>1</v>
      </c>
      <c r="EF56" s="43">
        <v>1</v>
      </c>
      <c r="EG56" s="43">
        <v>1</v>
      </c>
      <c r="EH56" s="43">
        <v>1</v>
      </c>
      <c r="EI56" s="43">
        <v>1</v>
      </c>
      <c r="EJ56" s="43">
        <v>1</v>
      </c>
      <c r="EK56" s="43">
        <v>1</v>
      </c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43">
        <v>119.861353327627</v>
      </c>
      <c r="AQ57" s="43">
        <v>117.57103477353394</v>
      </c>
      <c r="AR57" s="43">
        <v>117.33109246788364</v>
      </c>
      <c r="AS57" s="43">
        <v>116.73212085672175</v>
      </c>
      <c r="AT57" s="43">
        <v>117.39964516428549</v>
      </c>
      <c r="AU57" s="43">
        <v>119.69313343052475</v>
      </c>
      <c r="AV57" s="43">
        <v>119.94970636289143</v>
      </c>
      <c r="AW57" s="43">
        <v>119.45692975129541</v>
      </c>
      <c r="AX57" s="43">
        <v>116.93096435134996</v>
      </c>
      <c r="AY57" s="43">
        <v>119.62996410459756</v>
      </c>
      <c r="AZ57" s="43">
        <v>117.07263835129699</v>
      </c>
      <c r="BA57" s="43">
        <v>119.76707143454061</v>
      </c>
      <c r="BB57" s="43">
        <v>119.94394216959468</v>
      </c>
      <c r="BC57" s="43">
        <v>119.90230099939735</v>
      </c>
      <c r="BD57" s="43">
        <v>119.58891892055334</v>
      </c>
      <c r="BE57" s="43">
        <v>119.19955049199062</v>
      </c>
      <c r="BF57" s="43">
        <v>119.84944542591202</v>
      </c>
      <c r="BG57" s="43">
        <v>107.14225581834891</v>
      </c>
      <c r="BH57" s="43">
        <v>118.47397053030005</v>
      </c>
      <c r="BI57" s="43">
        <v>119.79895124617052</v>
      </c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2"/>
      <c r="CY57" s="52"/>
      <c r="CZ57" s="52"/>
      <c r="DA57" s="52"/>
      <c r="DB57" s="52"/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  <c r="DR57" s="43">
        <v>1</v>
      </c>
      <c r="DS57" s="43">
        <v>1</v>
      </c>
      <c r="DT57" s="43">
        <v>1</v>
      </c>
      <c r="DU57" s="43">
        <v>1</v>
      </c>
      <c r="DV57" s="43">
        <v>1</v>
      </c>
      <c r="DW57" s="43">
        <v>1</v>
      </c>
      <c r="DX57" s="43">
        <v>1</v>
      </c>
      <c r="DY57" s="43">
        <v>1</v>
      </c>
      <c r="DZ57" s="43">
        <v>1</v>
      </c>
      <c r="EA57" s="43">
        <v>1</v>
      </c>
      <c r="EB57" s="43">
        <v>1</v>
      </c>
      <c r="EC57" s="43">
        <v>1</v>
      </c>
      <c r="ED57" s="43">
        <v>1</v>
      </c>
      <c r="EE57" s="43">
        <v>1</v>
      </c>
      <c r="EF57" s="43">
        <v>1</v>
      </c>
      <c r="EG57" s="43">
        <v>1</v>
      </c>
      <c r="EH57" s="43">
        <v>1</v>
      </c>
      <c r="EI57" s="43">
        <v>1</v>
      </c>
      <c r="EJ57" s="43">
        <v>1</v>
      </c>
      <c r="EK57" s="43">
        <v>1</v>
      </c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43">
        <v>119.861353327627</v>
      </c>
      <c r="AQ58" s="43">
        <v>117.57103477353394</v>
      </c>
      <c r="AR58" s="43">
        <v>117.33109246788364</v>
      </c>
      <c r="AS58" s="43">
        <v>116.73212085672175</v>
      </c>
      <c r="AT58" s="43">
        <v>117.39964516428549</v>
      </c>
      <c r="AU58" s="43">
        <v>119.69313343052475</v>
      </c>
      <c r="AV58" s="43">
        <v>119.94970636289145</v>
      </c>
      <c r="AW58" s="43">
        <v>119.45692975129541</v>
      </c>
      <c r="AX58" s="43">
        <v>116.93096433325245</v>
      </c>
      <c r="AY58" s="43">
        <v>119.62996410214852</v>
      </c>
      <c r="AZ58" s="43">
        <v>117.07263835129699</v>
      </c>
      <c r="BA58" s="43">
        <v>119.76707143454061</v>
      </c>
      <c r="BB58" s="43">
        <v>119.94394216959468</v>
      </c>
      <c r="BC58" s="43">
        <v>119.90230099939735</v>
      </c>
      <c r="BD58" s="43">
        <v>119.58891892055334</v>
      </c>
      <c r="BE58" s="43">
        <v>119.19955049199062</v>
      </c>
      <c r="BF58" s="43">
        <v>119.84944542591202</v>
      </c>
      <c r="BG58" s="43">
        <v>107.14225580140396</v>
      </c>
      <c r="BH58" s="43">
        <v>118.47397052643319</v>
      </c>
      <c r="BI58" s="43">
        <v>119.79895124526303</v>
      </c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2"/>
      <c r="CY58" s="52"/>
      <c r="CZ58" s="52"/>
      <c r="DA58" s="52"/>
      <c r="DB58" s="52"/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  <c r="DR58" s="43">
        <v>1</v>
      </c>
      <c r="DS58" s="43">
        <v>1</v>
      </c>
      <c r="DT58" s="43">
        <v>1</v>
      </c>
      <c r="DU58" s="43">
        <v>1</v>
      </c>
      <c r="DV58" s="43">
        <v>1</v>
      </c>
      <c r="DW58" s="43">
        <v>1</v>
      </c>
      <c r="DX58" s="43">
        <v>1</v>
      </c>
      <c r="DY58" s="43">
        <v>1</v>
      </c>
      <c r="DZ58" s="43">
        <v>1</v>
      </c>
      <c r="EA58" s="43">
        <v>1</v>
      </c>
      <c r="EB58" s="43">
        <v>1</v>
      </c>
      <c r="EC58" s="43">
        <v>1</v>
      </c>
      <c r="ED58" s="43">
        <v>1</v>
      </c>
      <c r="EE58" s="43">
        <v>1</v>
      </c>
      <c r="EF58" s="43">
        <v>1</v>
      </c>
      <c r="EG58" s="43">
        <v>1</v>
      </c>
      <c r="EH58" s="43">
        <v>1</v>
      </c>
      <c r="EI58" s="43">
        <v>1</v>
      </c>
      <c r="EJ58" s="43">
        <v>1</v>
      </c>
      <c r="EK58" s="43">
        <v>1</v>
      </c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43">
        <v>119.861353327627</v>
      </c>
      <c r="AQ59" s="43">
        <v>117.57103477353394</v>
      </c>
      <c r="AR59" s="43">
        <v>117.33109246788364</v>
      </c>
      <c r="AS59" s="43">
        <v>116.73212085672175</v>
      </c>
      <c r="AT59" s="43">
        <v>117.39964516428549</v>
      </c>
      <c r="AU59" s="43">
        <v>119.69313343052475</v>
      </c>
      <c r="AV59" s="43">
        <v>119.94970636289143</v>
      </c>
      <c r="AW59" s="43">
        <v>119.45692975129541</v>
      </c>
      <c r="AX59" s="43">
        <v>116.93096431945565</v>
      </c>
      <c r="AY59" s="43">
        <v>119.62996410028147</v>
      </c>
      <c r="AZ59" s="43">
        <v>117.07263835129699</v>
      </c>
      <c r="BA59" s="43">
        <v>119.76707143454061</v>
      </c>
      <c r="BB59" s="43">
        <v>119.94394216959468</v>
      </c>
      <c r="BC59" s="43">
        <v>119.90230099939735</v>
      </c>
      <c r="BD59" s="43">
        <v>119.58891892055334</v>
      </c>
      <c r="BE59" s="43">
        <v>119.19955049199062</v>
      </c>
      <c r="BF59" s="43">
        <v>119.84944542591202</v>
      </c>
      <c r="BG59" s="43">
        <v>107.1422557897134</v>
      </c>
      <c r="BH59" s="43">
        <v>118.47397052376533</v>
      </c>
      <c r="BI59" s="43">
        <v>119.79895124463694</v>
      </c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43">
        <v>1</v>
      </c>
      <c r="DS59" s="43">
        <v>1</v>
      </c>
      <c r="DT59" s="43">
        <v>1</v>
      </c>
      <c r="DU59" s="43">
        <v>1</v>
      </c>
      <c r="DV59" s="43">
        <v>1</v>
      </c>
      <c r="DW59" s="43">
        <v>1</v>
      </c>
      <c r="DX59" s="43">
        <v>1</v>
      </c>
      <c r="DY59" s="43">
        <v>1</v>
      </c>
      <c r="DZ59" s="43">
        <v>1</v>
      </c>
      <c r="EA59" s="43">
        <v>1</v>
      </c>
      <c r="EB59" s="43">
        <v>1</v>
      </c>
      <c r="EC59" s="43">
        <v>1</v>
      </c>
      <c r="ED59" s="43">
        <v>1</v>
      </c>
      <c r="EE59" s="43">
        <v>1</v>
      </c>
      <c r="EF59" s="43">
        <v>1</v>
      </c>
      <c r="EG59" s="43">
        <v>1</v>
      </c>
      <c r="EH59" s="43">
        <v>1</v>
      </c>
      <c r="EI59" s="43">
        <v>1</v>
      </c>
      <c r="EJ59" s="43">
        <v>1</v>
      </c>
      <c r="EK59" s="43">
        <v>1</v>
      </c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43">
        <v>119.861353327627</v>
      </c>
      <c r="AQ60" s="43">
        <v>117.57103477353394</v>
      </c>
      <c r="AR60" s="43">
        <v>117.33109246788364</v>
      </c>
      <c r="AS60" s="43">
        <v>116.73212085672175</v>
      </c>
      <c r="AT60" s="43">
        <v>117.39964516428549</v>
      </c>
      <c r="AU60" s="43">
        <v>119.69313343052475</v>
      </c>
      <c r="AV60" s="43">
        <v>119.94970636289145</v>
      </c>
      <c r="AW60" s="43">
        <v>119.45692975129541</v>
      </c>
      <c r="AX60" s="43">
        <v>116.93096430893756</v>
      </c>
      <c r="AY60" s="43">
        <v>119.62996409885811</v>
      </c>
      <c r="AZ60" s="43">
        <v>117.07263835129699</v>
      </c>
      <c r="BA60" s="43">
        <v>119.76707143454061</v>
      </c>
      <c r="BB60" s="43">
        <v>119.94394216959468</v>
      </c>
      <c r="BC60" s="43">
        <v>119.90230099939735</v>
      </c>
      <c r="BD60" s="43">
        <v>119.58891892055334</v>
      </c>
      <c r="BE60" s="43">
        <v>119.19955049199062</v>
      </c>
      <c r="BF60" s="43">
        <v>119.84944542591202</v>
      </c>
      <c r="BG60" s="43">
        <v>107.14225578164772</v>
      </c>
      <c r="BH60" s="43">
        <v>118.47397052192473</v>
      </c>
      <c r="BI60" s="43">
        <v>119.79895124420499</v>
      </c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43">
        <v>1</v>
      </c>
      <c r="DS60" s="43">
        <v>1</v>
      </c>
      <c r="DT60" s="43">
        <v>1</v>
      </c>
      <c r="DU60" s="43">
        <v>1</v>
      </c>
      <c r="DV60" s="43">
        <v>1</v>
      </c>
      <c r="DW60" s="43">
        <v>1</v>
      </c>
      <c r="DX60" s="43">
        <v>1</v>
      </c>
      <c r="DY60" s="43">
        <v>1</v>
      </c>
      <c r="DZ60" s="43">
        <v>1</v>
      </c>
      <c r="EA60" s="43">
        <v>1</v>
      </c>
      <c r="EB60" s="43">
        <v>1</v>
      </c>
      <c r="EC60" s="43">
        <v>1</v>
      </c>
      <c r="ED60" s="43">
        <v>1</v>
      </c>
      <c r="EE60" s="43">
        <v>1</v>
      </c>
      <c r="EF60" s="43">
        <v>1</v>
      </c>
      <c r="EG60" s="43">
        <v>1</v>
      </c>
      <c r="EH60" s="43">
        <v>1</v>
      </c>
      <c r="EI60" s="43">
        <v>1</v>
      </c>
      <c r="EJ60" s="43">
        <v>1</v>
      </c>
      <c r="EK60" s="43">
        <v>1</v>
      </c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43">
        <v>119.861353327627</v>
      </c>
      <c r="AQ61" s="43">
        <v>117.57103477353394</v>
      </c>
      <c r="AR61" s="43">
        <v>117.33109246788364</v>
      </c>
      <c r="AS61" s="43">
        <v>116.73212085672175</v>
      </c>
      <c r="AT61" s="43">
        <v>117.39964516428549</v>
      </c>
      <c r="AU61" s="43">
        <v>119.69313343052475</v>
      </c>
      <c r="AV61" s="43">
        <v>119.94970636289143</v>
      </c>
      <c r="AW61" s="43">
        <v>119.45692975129541</v>
      </c>
      <c r="AX61" s="43">
        <v>116.930964300919</v>
      </c>
      <c r="AY61" s="43">
        <v>119.629964097773</v>
      </c>
      <c r="AZ61" s="43">
        <v>117.07263835129699</v>
      </c>
      <c r="BA61" s="43">
        <v>119.76707143454061</v>
      </c>
      <c r="BB61" s="43">
        <v>119.94394216959468</v>
      </c>
      <c r="BC61" s="43">
        <v>119.90230099939735</v>
      </c>
      <c r="BD61" s="43">
        <v>119.58891892055334</v>
      </c>
      <c r="BE61" s="43">
        <v>119.19955049199062</v>
      </c>
      <c r="BF61" s="43">
        <v>119.84944542591202</v>
      </c>
      <c r="BG61" s="43">
        <v>107.14225577608306</v>
      </c>
      <c r="BH61" s="43">
        <v>118.47397052065485</v>
      </c>
      <c r="BI61" s="43">
        <v>119.79895124390697</v>
      </c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2"/>
      <c r="CY61" s="52"/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43">
        <v>1</v>
      </c>
      <c r="DS61" s="43">
        <v>1</v>
      </c>
      <c r="DT61" s="43">
        <v>1</v>
      </c>
      <c r="DU61" s="43">
        <v>1</v>
      </c>
      <c r="DV61" s="43">
        <v>1</v>
      </c>
      <c r="DW61" s="43">
        <v>1</v>
      </c>
      <c r="DX61" s="43">
        <v>1</v>
      </c>
      <c r="DY61" s="43">
        <v>1</v>
      </c>
      <c r="DZ61" s="43">
        <v>1</v>
      </c>
      <c r="EA61" s="43">
        <v>1</v>
      </c>
      <c r="EB61" s="43">
        <v>1</v>
      </c>
      <c r="EC61" s="43">
        <v>1</v>
      </c>
      <c r="ED61" s="43">
        <v>1</v>
      </c>
      <c r="EE61" s="43">
        <v>1</v>
      </c>
      <c r="EF61" s="43">
        <v>1</v>
      </c>
      <c r="EG61" s="43">
        <v>1</v>
      </c>
      <c r="EH61" s="43">
        <v>1</v>
      </c>
      <c r="EI61" s="43">
        <v>1</v>
      </c>
      <c r="EJ61" s="43">
        <v>1</v>
      </c>
      <c r="EK61" s="43">
        <v>1</v>
      </c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43">
        <v>119.861353327627</v>
      </c>
      <c r="AQ62" s="43">
        <v>117.57103477353394</v>
      </c>
      <c r="AR62" s="43">
        <v>117.33109246788364</v>
      </c>
      <c r="AS62" s="43">
        <v>116.73212085672175</v>
      </c>
      <c r="AT62" s="43">
        <v>117.39964516428549</v>
      </c>
      <c r="AU62" s="43">
        <v>119.69313343052475</v>
      </c>
      <c r="AV62" s="43">
        <v>119.94970636289145</v>
      </c>
      <c r="AW62" s="43">
        <v>119.45692975129541</v>
      </c>
      <c r="AX62" s="43">
        <v>116.93096429480599</v>
      </c>
      <c r="AY62" s="43">
        <v>119.62996409694574</v>
      </c>
      <c r="AZ62" s="43">
        <v>117.07263835129699</v>
      </c>
      <c r="BA62" s="43">
        <v>119.76707143454061</v>
      </c>
      <c r="BB62" s="43">
        <v>119.94394216959468</v>
      </c>
      <c r="BC62" s="43">
        <v>119.90230099939735</v>
      </c>
      <c r="BD62" s="43">
        <v>119.58891892055334</v>
      </c>
      <c r="BE62" s="43">
        <v>119.19955049199062</v>
      </c>
      <c r="BF62" s="43">
        <v>119.84944542591202</v>
      </c>
      <c r="BG62" s="43">
        <v>107.14225577224386</v>
      </c>
      <c r="BH62" s="43">
        <v>118.47397051977872</v>
      </c>
      <c r="BI62" s="43">
        <v>119.79895124370137</v>
      </c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43">
        <v>1</v>
      </c>
      <c r="DS62" s="43">
        <v>1</v>
      </c>
      <c r="DT62" s="43">
        <v>1</v>
      </c>
      <c r="DU62" s="43">
        <v>1</v>
      </c>
      <c r="DV62" s="43">
        <v>1</v>
      </c>
      <c r="DW62" s="43">
        <v>1</v>
      </c>
      <c r="DX62" s="43">
        <v>1</v>
      </c>
      <c r="DY62" s="43">
        <v>1</v>
      </c>
      <c r="DZ62" s="43">
        <v>1</v>
      </c>
      <c r="EA62" s="43">
        <v>1</v>
      </c>
      <c r="EB62" s="43">
        <v>1</v>
      </c>
      <c r="EC62" s="43">
        <v>1</v>
      </c>
      <c r="ED62" s="43">
        <v>1</v>
      </c>
      <c r="EE62" s="43">
        <v>1</v>
      </c>
      <c r="EF62" s="43">
        <v>1</v>
      </c>
      <c r="EG62" s="43">
        <v>1</v>
      </c>
      <c r="EH62" s="43">
        <v>1</v>
      </c>
      <c r="EI62" s="43">
        <v>1</v>
      </c>
      <c r="EJ62" s="43">
        <v>1</v>
      </c>
      <c r="EK62" s="43">
        <v>1</v>
      </c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43">
        <v>0</v>
      </c>
      <c r="AQ63" s="43">
        <v>0</v>
      </c>
      <c r="AR63" s="43">
        <v>0</v>
      </c>
      <c r="AS63" s="43">
        <v>0</v>
      </c>
      <c r="AT63" s="43">
        <v>0</v>
      </c>
      <c r="AU63" s="43">
        <v>0</v>
      </c>
      <c r="AV63" s="43">
        <v>0</v>
      </c>
      <c r="AW63" s="43">
        <v>0</v>
      </c>
      <c r="AX63" s="43">
        <v>0</v>
      </c>
      <c r="AY63" s="43">
        <v>0</v>
      </c>
      <c r="AZ63" s="43">
        <v>0</v>
      </c>
      <c r="BA63" s="43">
        <v>0</v>
      </c>
      <c r="BB63" s="43">
        <v>0</v>
      </c>
      <c r="BC63" s="43">
        <v>0</v>
      </c>
      <c r="BD63" s="43">
        <v>0</v>
      </c>
      <c r="BE63" s="43">
        <v>0</v>
      </c>
      <c r="BF63" s="43">
        <v>0</v>
      </c>
      <c r="BG63" s="43">
        <v>0</v>
      </c>
      <c r="BH63" s="43">
        <v>0</v>
      </c>
      <c r="BI63" s="43">
        <v>0</v>
      </c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45">
        <v>1</v>
      </c>
      <c r="DS63" s="45">
        <v>1</v>
      </c>
      <c r="DT63" s="45">
        <v>1</v>
      </c>
      <c r="DU63" s="45">
        <v>1</v>
      </c>
      <c r="DV63" s="45">
        <v>1</v>
      </c>
      <c r="DW63" s="45">
        <v>1</v>
      </c>
      <c r="DX63" s="45">
        <v>1</v>
      </c>
      <c r="DY63" s="45">
        <v>1</v>
      </c>
      <c r="DZ63" s="45">
        <v>1</v>
      </c>
      <c r="EA63" s="45">
        <v>1</v>
      </c>
      <c r="EB63" s="45">
        <v>1</v>
      </c>
      <c r="EC63" s="45">
        <v>1</v>
      </c>
      <c r="ED63" s="45">
        <v>1</v>
      </c>
      <c r="EE63" s="45">
        <v>1</v>
      </c>
      <c r="EF63" s="45">
        <v>1</v>
      </c>
      <c r="EG63" s="45">
        <v>1</v>
      </c>
      <c r="EH63" s="45">
        <v>1</v>
      </c>
      <c r="EI63" s="45">
        <v>1</v>
      </c>
      <c r="EJ63" s="45">
        <v>1</v>
      </c>
      <c r="EK63" s="45">
        <v>1</v>
      </c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43">
        <v>0</v>
      </c>
      <c r="AQ64" s="43">
        <v>0</v>
      </c>
      <c r="AR64" s="43">
        <v>0</v>
      </c>
      <c r="AS64" s="43">
        <v>0</v>
      </c>
      <c r="AT64" s="43">
        <v>0</v>
      </c>
      <c r="AU64" s="43">
        <v>0</v>
      </c>
      <c r="AV64" s="43">
        <v>0</v>
      </c>
      <c r="AW64" s="43">
        <v>0</v>
      </c>
      <c r="AX64" s="43">
        <v>0</v>
      </c>
      <c r="AY64" s="43">
        <v>0</v>
      </c>
      <c r="AZ64" s="43">
        <v>0</v>
      </c>
      <c r="BA64" s="43">
        <v>0</v>
      </c>
      <c r="BB64" s="43">
        <v>0</v>
      </c>
      <c r="BC64" s="43">
        <v>0</v>
      </c>
      <c r="BD64" s="43">
        <v>0</v>
      </c>
      <c r="BE64" s="43">
        <v>0</v>
      </c>
      <c r="BF64" s="43">
        <v>0</v>
      </c>
      <c r="BG64" s="43">
        <v>0</v>
      </c>
      <c r="BH64" s="43">
        <v>0</v>
      </c>
      <c r="BI64" s="43">
        <v>0</v>
      </c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43">
        <v>1</v>
      </c>
      <c r="DS64" s="43">
        <v>1</v>
      </c>
      <c r="DT64" s="43">
        <v>1</v>
      </c>
      <c r="DU64" s="43">
        <v>1</v>
      </c>
      <c r="DV64" s="43">
        <v>1</v>
      </c>
      <c r="DW64" s="43">
        <v>1</v>
      </c>
      <c r="DX64" s="43">
        <v>1</v>
      </c>
      <c r="DY64" s="43">
        <v>1</v>
      </c>
      <c r="DZ64" s="43">
        <v>1</v>
      </c>
      <c r="EA64" s="43">
        <v>1</v>
      </c>
      <c r="EB64" s="43">
        <v>1</v>
      </c>
      <c r="EC64" s="43">
        <v>1</v>
      </c>
      <c r="ED64" s="43">
        <v>1</v>
      </c>
      <c r="EE64" s="43">
        <v>1</v>
      </c>
      <c r="EF64" s="43">
        <v>1</v>
      </c>
      <c r="EG64" s="43">
        <v>1</v>
      </c>
      <c r="EH64" s="43">
        <v>1</v>
      </c>
      <c r="EI64" s="43">
        <v>1</v>
      </c>
      <c r="EJ64" s="43">
        <v>1</v>
      </c>
      <c r="EK64" s="43">
        <v>1</v>
      </c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43">
        <v>0</v>
      </c>
      <c r="AQ65" s="43">
        <v>0</v>
      </c>
      <c r="AR65" s="43">
        <v>0</v>
      </c>
      <c r="AS65" s="43">
        <v>0</v>
      </c>
      <c r="AT65" s="43">
        <v>0</v>
      </c>
      <c r="AU65" s="43">
        <v>0</v>
      </c>
      <c r="AV65" s="43">
        <v>0</v>
      </c>
      <c r="AW65" s="43">
        <v>0</v>
      </c>
      <c r="AX65" s="43">
        <v>0</v>
      </c>
      <c r="AY65" s="43">
        <v>0</v>
      </c>
      <c r="AZ65" s="43">
        <v>0</v>
      </c>
      <c r="BA65" s="43">
        <v>0</v>
      </c>
      <c r="BB65" s="43">
        <v>0</v>
      </c>
      <c r="BC65" s="43">
        <v>0</v>
      </c>
      <c r="BD65" s="43">
        <v>0</v>
      </c>
      <c r="BE65" s="43">
        <v>0</v>
      </c>
      <c r="BF65" s="43">
        <v>0</v>
      </c>
      <c r="BG65" s="43">
        <v>0</v>
      </c>
      <c r="BH65" s="43">
        <v>0</v>
      </c>
      <c r="BI65" s="43">
        <v>0</v>
      </c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2"/>
      <c r="CY65" s="52"/>
      <c r="CZ65" s="52"/>
      <c r="DA65" s="52"/>
      <c r="DB65" s="52"/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  <c r="DR65" s="43">
        <v>1</v>
      </c>
      <c r="DS65" s="43">
        <v>1</v>
      </c>
      <c r="DT65" s="43">
        <v>1</v>
      </c>
      <c r="DU65" s="43">
        <v>1</v>
      </c>
      <c r="DV65" s="43">
        <v>1</v>
      </c>
      <c r="DW65" s="43">
        <v>1</v>
      </c>
      <c r="DX65" s="43">
        <v>1</v>
      </c>
      <c r="DY65" s="43">
        <v>1</v>
      </c>
      <c r="DZ65" s="43">
        <v>1</v>
      </c>
      <c r="EA65" s="43">
        <v>1</v>
      </c>
      <c r="EB65" s="43">
        <v>1</v>
      </c>
      <c r="EC65" s="43">
        <v>1</v>
      </c>
      <c r="ED65" s="43">
        <v>1</v>
      </c>
      <c r="EE65" s="43">
        <v>1</v>
      </c>
      <c r="EF65" s="43">
        <v>1</v>
      </c>
      <c r="EG65" s="43">
        <v>1</v>
      </c>
      <c r="EH65" s="43">
        <v>1</v>
      </c>
      <c r="EI65" s="43">
        <v>1</v>
      </c>
      <c r="EJ65" s="43">
        <v>1</v>
      </c>
      <c r="EK65" s="43">
        <v>1</v>
      </c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43">
        <v>0</v>
      </c>
      <c r="AQ66" s="43">
        <v>0</v>
      </c>
      <c r="AR66" s="43">
        <v>0</v>
      </c>
      <c r="AS66" s="43">
        <v>0</v>
      </c>
      <c r="AT66" s="43">
        <v>0</v>
      </c>
      <c r="AU66" s="43">
        <v>0</v>
      </c>
      <c r="AV66" s="43">
        <v>0</v>
      </c>
      <c r="AW66" s="43">
        <v>0</v>
      </c>
      <c r="AX66" s="43">
        <v>0</v>
      </c>
      <c r="AY66" s="43">
        <v>0</v>
      </c>
      <c r="AZ66" s="43">
        <v>0</v>
      </c>
      <c r="BA66" s="43">
        <v>0</v>
      </c>
      <c r="BB66" s="43">
        <v>0</v>
      </c>
      <c r="BC66" s="43">
        <v>0</v>
      </c>
      <c r="BD66" s="43">
        <v>0</v>
      </c>
      <c r="BE66" s="43">
        <v>0</v>
      </c>
      <c r="BF66" s="43">
        <v>0</v>
      </c>
      <c r="BG66" s="43">
        <v>0</v>
      </c>
      <c r="BH66" s="43">
        <v>0</v>
      </c>
      <c r="BI66" s="43">
        <v>0</v>
      </c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2"/>
      <c r="CY66" s="52"/>
      <c r="CZ66" s="52"/>
      <c r="DA66" s="52"/>
      <c r="DB66" s="52"/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  <c r="DR66" s="43">
        <v>1</v>
      </c>
      <c r="DS66" s="43">
        <v>1</v>
      </c>
      <c r="DT66" s="43">
        <v>1</v>
      </c>
      <c r="DU66" s="43">
        <v>1</v>
      </c>
      <c r="DV66" s="43">
        <v>1</v>
      </c>
      <c r="DW66" s="43">
        <v>1</v>
      </c>
      <c r="DX66" s="43">
        <v>1</v>
      </c>
      <c r="DY66" s="43">
        <v>1</v>
      </c>
      <c r="DZ66" s="43">
        <v>1</v>
      </c>
      <c r="EA66" s="43">
        <v>1</v>
      </c>
      <c r="EB66" s="43">
        <v>1</v>
      </c>
      <c r="EC66" s="43">
        <v>1</v>
      </c>
      <c r="ED66" s="43">
        <v>1</v>
      </c>
      <c r="EE66" s="43">
        <v>1</v>
      </c>
      <c r="EF66" s="43">
        <v>1</v>
      </c>
      <c r="EG66" s="43">
        <v>1</v>
      </c>
      <c r="EH66" s="43">
        <v>1</v>
      </c>
      <c r="EI66" s="43">
        <v>1</v>
      </c>
      <c r="EJ66" s="43">
        <v>1</v>
      </c>
      <c r="EK66" s="43">
        <v>1</v>
      </c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43">
        <v>0</v>
      </c>
      <c r="AQ67" s="43">
        <v>0</v>
      </c>
      <c r="AR67" s="43">
        <v>0</v>
      </c>
      <c r="AS67" s="43">
        <v>0</v>
      </c>
      <c r="AT67" s="43">
        <v>0</v>
      </c>
      <c r="AU67" s="43">
        <v>0</v>
      </c>
      <c r="AV67" s="43">
        <v>0</v>
      </c>
      <c r="AW67" s="43">
        <v>0</v>
      </c>
      <c r="AX67" s="43">
        <v>0</v>
      </c>
      <c r="AY67" s="43">
        <v>0</v>
      </c>
      <c r="AZ67" s="43">
        <v>0</v>
      </c>
      <c r="BA67" s="43">
        <v>0</v>
      </c>
      <c r="BB67" s="43">
        <v>0</v>
      </c>
      <c r="BC67" s="43">
        <v>0</v>
      </c>
      <c r="BD67" s="43">
        <v>0</v>
      </c>
      <c r="BE67" s="43">
        <v>0</v>
      </c>
      <c r="BF67" s="43">
        <v>0</v>
      </c>
      <c r="BG67" s="43">
        <v>0</v>
      </c>
      <c r="BH67" s="43">
        <v>0</v>
      </c>
      <c r="BI67" s="43">
        <v>0</v>
      </c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43">
        <v>1</v>
      </c>
      <c r="DS67" s="43">
        <v>1</v>
      </c>
      <c r="DT67" s="43">
        <v>1</v>
      </c>
      <c r="DU67" s="43">
        <v>1</v>
      </c>
      <c r="DV67" s="43">
        <v>1</v>
      </c>
      <c r="DW67" s="43">
        <v>1</v>
      </c>
      <c r="DX67" s="43">
        <v>1</v>
      </c>
      <c r="DY67" s="43">
        <v>1</v>
      </c>
      <c r="DZ67" s="43">
        <v>1</v>
      </c>
      <c r="EA67" s="43">
        <v>1</v>
      </c>
      <c r="EB67" s="43">
        <v>1</v>
      </c>
      <c r="EC67" s="43">
        <v>1</v>
      </c>
      <c r="ED67" s="43">
        <v>1</v>
      </c>
      <c r="EE67" s="43">
        <v>1</v>
      </c>
      <c r="EF67" s="43">
        <v>1</v>
      </c>
      <c r="EG67" s="43">
        <v>1</v>
      </c>
      <c r="EH67" s="43">
        <v>1</v>
      </c>
      <c r="EI67" s="43">
        <v>1</v>
      </c>
      <c r="EJ67" s="43">
        <v>1</v>
      </c>
      <c r="EK67" s="43">
        <v>1</v>
      </c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43">
        <v>0</v>
      </c>
      <c r="AQ68" s="43">
        <v>0</v>
      </c>
      <c r="AR68" s="43">
        <v>0</v>
      </c>
      <c r="AS68" s="43">
        <v>0</v>
      </c>
      <c r="AT68" s="43">
        <v>0</v>
      </c>
      <c r="AU68" s="43">
        <v>0</v>
      </c>
      <c r="AV68" s="43">
        <v>0</v>
      </c>
      <c r="AW68" s="43">
        <v>0</v>
      </c>
      <c r="AX68" s="43">
        <v>0</v>
      </c>
      <c r="AY68" s="43">
        <v>0</v>
      </c>
      <c r="AZ68" s="43">
        <v>0</v>
      </c>
      <c r="BA68" s="43">
        <v>0</v>
      </c>
      <c r="BB68" s="43">
        <v>0</v>
      </c>
      <c r="BC68" s="43">
        <v>0</v>
      </c>
      <c r="BD68" s="43">
        <v>0</v>
      </c>
      <c r="BE68" s="43">
        <v>0</v>
      </c>
      <c r="BF68" s="43">
        <v>0</v>
      </c>
      <c r="BG68" s="43">
        <v>0</v>
      </c>
      <c r="BH68" s="43">
        <v>0</v>
      </c>
      <c r="BI68" s="43">
        <v>0</v>
      </c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43">
        <v>1</v>
      </c>
      <c r="DS68" s="43">
        <v>1</v>
      </c>
      <c r="DT68" s="43">
        <v>1</v>
      </c>
      <c r="DU68" s="43">
        <v>1</v>
      </c>
      <c r="DV68" s="43">
        <v>1</v>
      </c>
      <c r="DW68" s="43">
        <v>1</v>
      </c>
      <c r="DX68" s="43">
        <v>1</v>
      </c>
      <c r="DY68" s="43">
        <v>1</v>
      </c>
      <c r="DZ68" s="43">
        <v>1</v>
      </c>
      <c r="EA68" s="43">
        <v>1</v>
      </c>
      <c r="EB68" s="43">
        <v>1</v>
      </c>
      <c r="EC68" s="43">
        <v>1</v>
      </c>
      <c r="ED68" s="43">
        <v>1</v>
      </c>
      <c r="EE68" s="43">
        <v>1</v>
      </c>
      <c r="EF68" s="43">
        <v>1</v>
      </c>
      <c r="EG68" s="43">
        <v>1</v>
      </c>
      <c r="EH68" s="43">
        <v>1</v>
      </c>
      <c r="EI68" s="43">
        <v>1</v>
      </c>
      <c r="EJ68" s="43">
        <v>1</v>
      </c>
      <c r="EK68" s="43">
        <v>1</v>
      </c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43">
        <v>0</v>
      </c>
      <c r="AQ69" s="43">
        <v>0</v>
      </c>
      <c r="AR69" s="43">
        <v>0</v>
      </c>
      <c r="AS69" s="43">
        <v>0</v>
      </c>
      <c r="AT69" s="43">
        <v>0</v>
      </c>
      <c r="AU69" s="43">
        <v>0</v>
      </c>
      <c r="AV69" s="43">
        <v>0</v>
      </c>
      <c r="AW69" s="43">
        <v>0</v>
      </c>
      <c r="AX69" s="43">
        <v>0</v>
      </c>
      <c r="AY69" s="43">
        <v>0</v>
      </c>
      <c r="AZ69" s="43">
        <v>0</v>
      </c>
      <c r="BA69" s="43">
        <v>0</v>
      </c>
      <c r="BB69" s="43">
        <v>0</v>
      </c>
      <c r="BC69" s="43">
        <v>0</v>
      </c>
      <c r="BD69" s="43">
        <v>0</v>
      </c>
      <c r="BE69" s="43">
        <v>0</v>
      </c>
      <c r="BF69" s="43">
        <v>0</v>
      </c>
      <c r="BG69" s="43">
        <v>0</v>
      </c>
      <c r="BH69" s="43">
        <v>0</v>
      </c>
      <c r="BI69" s="43">
        <v>0</v>
      </c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43">
        <v>1</v>
      </c>
      <c r="DS69" s="43">
        <v>1</v>
      </c>
      <c r="DT69" s="43">
        <v>1</v>
      </c>
      <c r="DU69" s="43">
        <v>1</v>
      </c>
      <c r="DV69" s="43">
        <v>1</v>
      </c>
      <c r="DW69" s="43">
        <v>1</v>
      </c>
      <c r="DX69" s="43">
        <v>1</v>
      </c>
      <c r="DY69" s="43">
        <v>1</v>
      </c>
      <c r="DZ69" s="43">
        <v>1</v>
      </c>
      <c r="EA69" s="43">
        <v>1</v>
      </c>
      <c r="EB69" s="43">
        <v>1</v>
      </c>
      <c r="EC69" s="43">
        <v>1</v>
      </c>
      <c r="ED69" s="43">
        <v>1</v>
      </c>
      <c r="EE69" s="43">
        <v>1</v>
      </c>
      <c r="EF69" s="43">
        <v>1</v>
      </c>
      <c r="EG69" s="43">
        <v>1</v>
      </c>
      <c r="EH69" s="43">
        <v>1</v>
      </c>
      <c r="EI69" s="43">
        <v>1</v>
      </c>
      <c r="EJ69" s="43">
        <v>1</v>
      </c>
      <c r="EK69" s="43">
        <v>1</v>
      </c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43">
        <v>0</v>
      </c>
      <c r="AQ70" s="43">
        <v>0</v>
      </c>
      <c r="AR70" s="43">
        <v>0</v>
      </c>
      <c r="AS70" s="43">
        <v>0</v>
      </c>
      <c r="AT70" s="43">
        <v>0</v>
      </c>
      <c r="AU70" s="43">
        <v>0</v>
      </c>
      <c r="AV70" s="43">
        <v>0</v>
      </c>
      <c r="AW70" s="43">
        <v>0</v>
      </c>
      <c r="AX70" s="43">
        <v>0</v>
      </c>
      <c r="AY70" s="43">
        <v>0</v>
      </c>
      <c r="AZ70" s="43">
        <v>0</v>
      </c>
      <c r="BA70" s="43">
        <v>0</v>
      </c>
      <c r="BB70" s="43">
        <v>0</v>
      </c>
      <c r="BC70" s="43">
        <v>0</v>
      </c>
      <c r="BD70" s="43">
        <v>0</v>
      </c>
      <c r="BE70" s="43">
        <v>0</v>
      </c>
      <c r="BF70" s="43">
        <v>0</v>
      </c>
      <c r="BG70" s="43">
        <v>0</v>
      </c>
      <c r="BH70" s="43">
        <v>0</v>
      </c>
      <c r="BI70" s="43">
        <v>0</v>
      </c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  <c r="DR70" s="43">
        <v>1</v>
      </c>
      <c r="DS70" s="43">
        <v>1</v>
      </c>
      <c r="DT70" s="43">
        <v>1</v>
      </c>
      <c r="DU70" s="43">
        <v>1</v>
      </c>
      <c r="DV70" s="43">
        <v>1</v>
      </c>
      <c r="DW70" s="43">
        <v>1</v>
      </c>
      <c r="DX70" s="43">
        <v>1</v>
      </c>
      <c r="DY70" s="43">
        <v>1</v>
      </c>
      <c r="DZ70" s="43">
        <v>1</v>
      </c>
      <c r="EA70" s="43">
        <v>1</v>
      </c>
      <c r="EB70" s="43">
        <v>1</v>
      </c>
      <c r="EC70" s="43">
        <v>1</v>
      </c>
      <c r="ED70" s="43">
        <v>1</v>
      </c>
      <c r="EE70" s="43">
        <v>1</v>
      </c>
      <c r="EF70" s="43">
        <v>1</v>
      </c>
      <c r="EG70" s="43">
        <v>1</v>
      </c>
      <c r="EH70" s="43">
        <v>1</v>
      </c>
      <c r="EI70" s="43">
        <v>1</v>
      </c>
      <c r="EJ70" s="43">
        <v>1</v>
      </c>
      <c r="EK70" s="43">
        <v>1</v>
      </c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43">
        <v>0</v>
      </c>
      <c r="AQ71" s="43">
        <v>0</v>
      </c>
      <c r="AR71" s="43">
        <v>0</v>
      </c>
      <c r="AS71" s="43">
        <v>0</v>
      </c>
      <c r="AT71" s="43">
        <v>0</v>
      </c>
      <c r="AU71" s="43">
        <v>0</v>
      </c>
      <c r="AV71" s="43">
        <v>0</v>
      </c>
      <c r="AW71" s="43">
        <v>0</v>
      </c>
      <c r="AX71" s="43">
        <v>0</v>
      </c>
      <c r="AY71" s="43">
        <v>0</v>
      </c>
      <c r="AZ71" s="43">
        <v>0</v>
      </c>
      <c r="BA71" s="43">
        <v>0</v>
      </c>
      <c r="BB71" s="43">
        <v>0</v>
      </c>
      <c r="BC71" s="43">
        <v>0</v>
      </c>
      <c r="BD71" s="43">
        <v>0</v>
      </c>
      <c r="BE71" s="43">
        <v>0</v>
      </c>
      <c r="BF71" s="43">
        <v>0</v>
      </c>
      <c r="BG71" s="43">
        <v>0</v>
      </c>
      <c r="BH71" s="43">
        <v>0</v>
      </c>
      <c r="BI71" s="43">
        <v>0</v>
      </c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43">
        <v>1</v>
      </c>
      <c r="DS71" s="43">
        <v>1</v>
      </c>
      <c r="DT71" s="43">
        <v>1</v>
      </c>
      <c r="DU71" s="43">
        <v>1</v>
      </c>
      <c r="DV71" s="43">
        <v>1</v>
      </c>
      <c r="DW71" s="43">
        <v>1</v>
      </c>
      <c r="DX71" s="43">
        <v>1</v>
      </c>
      <c r="DY71" s="43">
        <v>1</v>
      </c>
      <c r="DZ71" s="43">
        <v>1</v>
      </c>
      <c r="EA71" s="43">
        <v>1</v>
      </c>
      <c r="EB71" s="43">
        <v>1</v>
      </c>
      <c r="EC71" s="43">
        <v>1</v>
      </c>
      <c r="ED71" s="43">
        <v>1</v>
      </c>
      <c r="EE71" s="43">
        <v>1</v>
      </c>
      <c r="EF71" s="43">
        <v>1</v>
      </c>
      <c r="EG71" s="43">
        <v>1</v>
      </c>
      <c r="EH71" s="43">
        <v>1</v>
      </c>
      <c r="EI71" s="43">
        <v>1</v>
      </c>
      <c r="EJ71" s="43">
        <v>1</v>
      </c>
      <c r="EK71" s="43">
        <v>1</v>
      </c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43">
        <v>0</v>
      </c>
      <c r="AQ72" s="43">
        <v>0</v>
      </c>
      <c r="AR72" s="43">
        <v>0</v>
      </c>
      <c r="AS72" s="43">
        <v>0</v>
      </c>
      <c r="AT72" s="43">
        <v>0</v>
      </c>
      <c r="AU72" s="43">
        <v>0</v>
      </c>
      <c r="AV72" s="43">
        <v>0</v>
      </c>
      <c r="AW72" s="43">
        <v>0</v>
      </c>
      <c r="AX72" s="43">
        <v>0</v>
      </c>
      <c r="AY72" s="43">
        <v>0</v>
      </c>
      <c r="AZ72" s="43">
        <v>0</v>
      </c>
      <c r="BA72" s="43">
        <v>0</v>
      </c>
      <c r="BB72" s="43">
        <v>0</v>
      </c>
      <c r="BC72" s="43">
        <v>0</v>
      </c>
      <c r="BD72" s="43">
        <v>0</v>
      </c>
      <c r="BE72" s="43">
        <v>0</v>
      </c>
      <c r="BF72" s="43">
        <v>0</v>
      </c>
      <c r="BG72" s="43">
        <v>0</v>
      </c>
      <c r="BH72" s="43">
        <v>0</v>
      </c>
      <c r="BI72" s="43">
        <v>0</v>
      </c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43">
        <v>1</v>
      </c>
      <c r="DS72" s="43">
        <v>1</v>
      </c>
      <c r="DT72" s="43">
        <v>1</v>
      </c>
      <c r="DU72" s="43">
        <v>1</v>
      </c>
      <c r="DV72" s="43">
        <v>1</v>
      </c>
      <c r="DW72" s="43">
        <v>1</v>
      </c>
      <c r="DX72" s="43">
        <v>1</v>
      </c>
      <c r="DY72" s="43">
        <v>1</v>
      </c>
      <c r="DZ72" s="43">
        <v>1</v>
      </c>
      <c r="EA72" s="43">
        <v>1</v>
      </c>
      <c r="EB72" s="43">
        <v>1</v>
      </c>
      <c r="EC72" s="43">
        <v>1</v>
      </c>
      <c r="ED72" s="43">
        <v>1</v>
      </c>
      <c r="EE72" s="43">
        <v>1</v>
      </c>
      <c r="EF72" s="43">
        <v>1</v>
      </c>
      <c r="EG72" s="43">
        <v>1</v>
      </c>
      <c r="EH72" s="43">
        <v>1</v>
      </c>
      <c r="EI72" s="43">
        <v>1</v>
      </c>
      <c r="EJ72" s="43">
        <v>1</v>
      </c>
      <c r="EK72" s="43">
        <v>1</v>
      </c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43">
        <v>0</v>
      </c>
      <c r="AQ73" s="43">
        <v>0</v>
      </c>
      <c r="AR73" s="43">
        <v>0</v>
      </c>
      <c r="AS73" s="43">
        <v>0</v>
      </c>
      <c r="AT73" s="43">
        <v>0</v>
      </c>
      <c r="AU73" s="43">
        <v>0</v>
      </c>
      <c r="AV73" s="43">
        <v>0</v>
      </c>
      <c r="AW73" s="43">
        <v>0</v>
      </c>
      <c r="AX73" s="43">
        <v>0</v>
      </c>
      <c r="AY73" s="43">
        <v>0</v>
      </c>
      <c r="AZ73" s="43">
        <v>0</v>
      </c>
      <c r="BA73" s="43">
        <v>0</v>
      </c>
      <c r="BB73" s="43">
        <v>0</v>
      </c>
      <c r="BC73" s="43">
        <v>0</v>
      </c>
      <c r="BD73" s="43">
        <v>0</v>
      </c>
      <c r="BE73" s="43">
        <v>0</v>
      </c>
      <c r="BF73" s="43">
        <v>0</v>
      </c>
      <c r="BG73" s="43">
        <v>0</v>
      </c>
      <c r="BH73" s="43">
        <v>0</v>
      </c>
      <c r="BI73" s="43">
        <v>0</v>
      </c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43">
        <v>1</v>
      </c>
      <c r="DS73" s="43">
        <v>1</v>
      </c>
      <c r="DT73" s="43">
        <v>1</v>
      </c>
      <c r="DU73" s="43">
        <v>1</v>
      </c>
      <c r="DV73" s="43">
        <v>1</v>
      </c>
      <c r="DW73" s="43">
        <v>1</v>
      </c>
      <c r="DX73" s="43">
        <v>1</v>
      </c>
      <c r="DY73" s="43">
        <v>1</v>
      </c>
      <c r="DZ73" s="43">
        <v>1</v>
      </c>
      <c r="EA73" s="43">
        <v>1</v>
      </c>
      <c r="EB73" s="43">
        <v>1</v>
      </c>
      <c r="EC73" s="43">
        <v>1</v>
      </c>
      <c r="ED73" s="43">
        <v>1</v>
      </c>
      <c r="EE73" s="43">
        <v>1</v>
      </c>
      <c r="EF73" s="43">
        <v>1</v>
      </c>
      <c r="EG73" s="43">
        <v>1</v>
      </c>
      <c r="EH73" s="43">
        <v>1</v>
      </c>
      <c r="EI73" s="43">
        <v>1</v>
      </c>
      <c r="EJ73" s="43">
        <v>1</v>
      </c>
      <c r="EK73" s="43">
        <v>1</v>
      </c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43">
        <v>0</v>
      </c>
      <c r="AQ74" s="43">
        <v>0</v>
      </c>
      <c r="AR74" s="43">
        <v>0</v>
      </c>
      <c r="AS74" s="43">
        <v>0</v>
      </c>
      <c r="AT74" s="43">
        <v>0</v>
      </c>
      <c r="AU74" s="43">
        <v>0</v>
      </c>
      <c r="AV74" s="43">
        <v>0</v>
      </c>
      <c r="AW74" s="43">
        <v>0</v>
      </c>
      <c r="AX74" s="43">
        <v>0</v>
      </c>
      <c r="AY74" s="43">
        <v>0</v>
      </c>
      <c r="AZ74" s="43">
        <v>0</v>
      </c>
      <c r="BA74" s="43">
        <v>0</v>
      </c>
      <c r="BB74" s="43">
        <v>0</v>
      </c>
      <c r="BC74" s="43">
        <v>0</v>
      </c>
      <c r="BD74" s="43">
        <v>0</v>
      </c>
      <c r="BE74" s="43">
        <v>0</v>
      </c>
      <c r="BF74" s="43">
        <v>0</v>
      </c>
      <c r="BG74" s="43">
        <v>0</v>
      </c>
      <c r="BH74" s="43">
        <v>0</v>
      </c>
      <c r="BI74" s="43">
        <v>0</v>
      </c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2"/>
      <c r="CY74" s="52"/>
      <c r="CZ74" s="52"/>
      <c r="DA74" s="52"/>
      <c r="DB74" s="52"/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  <c r="DR74" s="43">
        <v>1</v>
      </c>
      <c r="DS74" s="43">
        <v>1</v>
      </c>
      <c r="DT74" s="43">
        <v>1</v>
      </c>
      <c r="DU74" s="43">
        <v>1</v>
      </c>
      <c r="DV74" s="43">
        <v>1</v>
      </c>
      <c r="DW74" s="43">
        <v>1</v>
      </c>
      <c r="DX74" s="43">
        <v>1</v>
      </c>
      <c r="DY74" s="43">
        <v>1</v>
      </c>
      <c r="DZ74" s="43">
        <v>1</v>
      </c>
      <c r="EA74" s="43">
        <v>1</v>
      </c>
      <c r="EB74" s="43">
        <v>1</v>
      </c>
      <c r="EC74" s="43">
        <v>1</v>
      </c>
      <c r="ED74" s="43">
        <v>1</v>
      </c>
      <c r="EE74" s="43">
        <v>1</v>
      </c>
      <c r="EF74" s="43">
        <v>1</v>
      </c>
      <c r="EG74" s="43">
        <v>1</v>
      </c>
      <c r="EH74" s="43">
        <v>1</v>
      </c>
      <c r="EI74" s="43">
        <v>1</v>
      </c>
      <c r="EJ74" s="43">
        <v>1</v>
      </c>
      <c r="EK74" s="43">
        <v>1</v>
      </c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43">
        <v>0</v>
      </c>
      <c r="AQ75" s="43">
        <v>0</v>
      </c>
      <c r="AR75" s="43">
        <v>0</v>
      </c>
      <c r="AS75" s="43">
        <v>0</v>
      </c>
      <c r="AT75" s="43">
        <v>0</v>
      </c>
      <c r="AU75" s="43">
        <v>0</v>
      </c>
      <c r="AV75" s="43">
        <v>0</v>
      </c>
      <c r="AW75" s="43">
        <v>0</v>
      </c>
      <c r="AX75" s="43">
        <v>0</v>
      </c>
      <c r="AY75" s="43">
        <v>0</v>
      </c>
      <c r="AZ75" s="43">
        <v>0</v>
      </c>
      <c r="BA75" s="43">
        <v>0</v>
      </c>
      <c r="BB75" s="43">
        <v>0</v>
      </c>
      <c r="BC75" s="43">
        <v>0</v>
      </c>
      <c r="BD75" s="43">
        <v>0</v>
      </c>
      <c r="BE75" s="43">
        <v>0</v>
      </c>
      <c r="BF75" s="43">
        <v>0</v>
      </c>
      <c r="BG75" s="43">
        <v>0</v>
      </c>
      <c r="BH75" s="43">
        <v>0</v>
      </c>
      <c r="BI75" s="43">
        <v>0</v>
      </c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45">
        <v>1</v>
      </c>
      <c r="DS75" s="45">
        <v>1</v>
      </c>
      <c r="DT75" s="45">
        <v>1</v>
      </c>
      <c r="DU75" s="45">
        <v>1</v>
      </c>
      <c r="DV75" s="45">
        <v>1</v>
      </c>
      <c r="DW75" s="45">
        <v>1</v>
      </c>
      <c r="DX75" s="45">
        <v>1</v>
      </c>
      <c r="DY75" s="45">
        <v>1</v>
      </c>
      <c r="DZ75" s="45">
        <v>1</v>
      </c>
      <c r="EA75" s="45">
        <v>1</v>
      </c>
      <c r="EB75" s="45">
        <v>1</v>
      </c>
      <c r="EC75" s="45">
        <v>1</v>
      </c>
      <c r="ED75" s="45">
        <v>1</v>
      </c>
      <c r="EE75" s="45">
        <v>1</v>
      </c>
      <c r="EF75" s="45">
        <v>1</v>
      </c>
      <c r="EG75" s="45">
        <v>1</v>
      </c>
      <c r="EH75" s="45">
        <v>1</v>
      </c>
      <c r="EI75" s="45">
        <v>1</v>
      </c>
      <c r="EJ75" s="45">
        <v>1</v>
      </c>
      <c r="EK75" s="45">
        <v>1</v>
      </c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43">
        <v>0</v>
      </c>
      <c r="AQ76" s="43">
        <v>0</v>
      </c>
      <c r="AR76" s="43">
        <v>0</v>
      </c>
      <c r="AS76" s="43">
        <v>0</v>
      </c>
      <c r="AT76" s="43">
        <v>0</v>
      </c>
      <c r="AU76" s="43">
        <v>0</v>
      </c>
      <c r="AV76" s="43">
        <v>0</v>
      </c>
      <c r="AW76" s="43">
        <v>0</v>
      </c>
      <c r="AX76" s="43">
        <v>0</v>
      </c>
      <c r="AY76" s="43">
        <v>0</v>
      </c>
      <c r="AZ76" s="43">
        <v>0</v>
      </c>
      <c r="BA76" s="43">
        <v>0</v>
      </c>
      <c r="BB76" s="43">
        <v>0</v>
      </c>
      <c r="BC76" s="43">
        <v>0</v>
      </c>
      <c r="BD76" s="43">
        <v>0</v>
      </c>
      <c r="BE76" s="43">
        <v>0</v>
      </c>
      <c r="BF76" s="43">
        <v>0</v>
      </c>
      <c r="BG76" s="43">
        <v>0</v>
      </c>
      <c r="BH76" s="43">
        <v>0</v>
      </c>
      <c r="BI76" s="43">
        <v>0</v>
      </c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43">
        <v>1</v>
      </c>
      <c r="DS76" s="43">
        <v>1</v>
      </c>
      <c r="DT76" s="43">
        <v>1</v>
      </c>
      <c r="DU76" s="43">
        <v>1</v>
      </c>
      <c r="DV76" s="43">
        <v>1</v>
      </c>
      <c r="DW76" s="43">
        <v>1</v>
      </c>
      <c r="DX76" s="43">
        <v>1</v>
      </c>
      <c r="DY76" s="43">
        <v>1</v>
      </c>
      <c r="DZ76" s="43">
        <v>1</v>
      </c>
      <c r="EA76" s="43">
        <v>1</v>
      </c>
      <c r="EB76" s="43">
        <v>1</v>
      </c>
      <c r="EC76" s="43">
        <v>1</v>
      </c>
      <c r="ED76" s="43">
        <v>1</v>
      </c>
      <c r="EE76" s="43">
        <v>1</v>
      </c>
      <c r="EF76" s="43">
        <v>1</v>
      </c>
      <c r="EG76" s="43">
        <v>1</v>
      </c>
      <c r="EH76" s="43">
        <v>1</v>
      </c>
      <c r="EI76" s="43">
        <v>1</v>
      </c>
      <c r="EJ76" s="43">
        <v>1</v>
      </c>
      <c r="EK76" s="43">
        <v>1</v>
      </c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43">
        <v>0</v>
      </c>
      <c r="AQ77" s="43">
        <v>0</v>
      </c>
      <c r="AR77" s="43">
        <v>0</v>
      </c>
      <c r="AS77" s="43">
        <v>0</v>
      </c>
      <c r="AT77" s="43">
        <v>0</v>
      </c>
      <c r="AU77" s="43">
        <v>0</v>
      </c>
      <c r="AV77" s="43">
        <v>0</v>
      </c>
      <c r="AW77" s="43">
        <v>0</v>
      </c>
      <c r="AX77" s="43">
        <v>0</v>
      </c>
      <c r="AY77" s="43">
        <v>0</v>
      </c>
      <c r="AZ77" s="43">
        <v>0</v>
      </c>
      <c r="BA77" s="43">
        <v>0</v>
      </c>
      <c r="BB77" s="43">
        <v>0</v>
      </c>
      <c r="BC77" s="43">
        <v>0</v>
      </c>
      <c r="BD77" s="43">
        <v>0</v>
      </c>
      <c r="BE77" s="43">
        <v>0</v>
      </c>
      <c r="BF77" s="43">
        <v>0</v>
      </c>
      <c r="BG77" s="43">
        <v>0</v>
      </c>
      <c r="BH77" s="43">
        <v>0</v>
      </c>
      <c r="BI77" s="43">
        <v>0</v>
      </c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43">
        <v>1</v>
      </c>
      <c r="DS77" s="43">
        <v>1</v>
      </c>
      <c r="DT77" s="43">
        <v>1</v>
      </c>
      <c r="DU77" s="43">
        <v>1</v>
      </c>
      <c r="DV77" s="43">
        <v>1</v>
      </c>
      <c r="DW77" s="43">
        <v>1</v>
      </c>
      <c r="DX77" s="43">
        <v>1</v>
      </c>
      <c r="DY77" s="43">
        <v>1</v>
      </c>
      <c r="DZ77" s="43">
        <v>1</v>
      </c>
      <c r="EA77" s="43">
        <v>1</v>
      </c>
      <c r="EB77" s="43">
        <v>1</v>
      </c>
      <c r="EC77" s="43">
        <v>1</v>
      </c>
      <c r="ED77" s="43">
        <v>1</v>
      </c>
      <c r="EE77" s="43">
        <v>1</v>
      </c>
      <c r="EF77" s="43">
        <v>1</v>
      </c>
      <c r="EG77" s="43">
        <v>1</v>
      </c>
      <c r="EH77" s="43">
        <v>1</v>
      </c>
      <c r="EI77" s="43">
        <v>1</v>
      </c>
      <c r="EJ77" s="43">
        <v>1</v>
      </c>
      <c r="EK77" s="43">
        <v>1</v>
      </c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43">
        <v>0</v>
      </c>
      <c r="AQ78" s="43">
        <v>0</v>
      </c>
      <c r="AR78" s="43">
        <v>0</v>
      </c>
      <c r="AS78" s="43">
        <v>0</v>
      </c>
      <c r="AT78" s="43">
        <v>0</v>
      </c>
      <c r="AU78" s="43">
        <v>0</v>
      </c>
      <c r="AV78" s="43">
        <v>0</v>
      </c>
      <c r="AW78" s="43">
        <v>0</v>
      </c>
      <c r="AX78" s="43">
        <v>0</v>
      </c>
      <c r="AY78" s="43">
        <v>0</v>
      </c>
      <c r="AZ78" s="43">
        <v>0</v>
      </c>
      <c r="BA78" s="43">
        <v>0</v>
      </c>
      <c r="BB78" s="43">
        <v>0</v>
      </c>
      <c r="BC78" s="43">
        <v>0</v>
      </c>
      <c r="BD78" s="43">
        <v>0</v>
      </c>
      <c r="BE78" s="43">
        <v>0</v>
      </c>
      <c r="BF78" s="43">
        <v>0</v>
      </c>
      <c r="BG78" s="43">
        <v>0</v>
      </c>
      <c r="BH78" s="43">
        <v>0</v>
      </c>
      <c r="BI78" s="43">
        <v>0</v>
      </c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43">
        <v>1</v>
      </c>
      <c r="DS78" s="43">
        <v>1</v>
      </c>
      <c r="DT78" s="43">
        <v>1</v>
      </c>
      <c r="DU78" s="43">
        <v>1</v>
      </c>
      <c r="DV78" s="43">
        <v>1</v>
      </c>
      <c r="DW78" s="43">
        <v>1</v>
      </c>
      <c r="DX78" s="43">
        <v>1</v>
      </c>
      <c r="DY78" s="43">
        <v>1</v>
      </c>
      <c r="DZ78" s="43">
        <v>1</v>
      </c>
      <c r="EA78" s="43">
        <v>1</v>
      </c>
      <c r="EB78" s="43">
        <v>1</v>
      </c>
      <c r="EC78" s="43">
        <v>1</v>
      </c>
      <c r="ED78" s="43">
        <v>1</v>
      </c>
      <c r="EE78" s="43">
        <v>1</v>
      </c>
      <c r="EF78" s="43">
        <v>1</v>
      </c>
      <c r="EG78" s="43">
        <v>1</v>
      </c>
      <c r="EH78" s="43">
        <v>1</v>
      </c>
      <c r="EI78" s="43">
        <v>1</v>
      </c>
      <c r="EJ78" s="43">
        <v>1</v>
      </c>
      <c r="EK78" s="43">
        <v>1</v>
      </c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43">
        <v>0</v>
      </c>
      <c r="AQ79" s="43">
        <v>0</v>
      </c>
      <c r="AR79" s="43">
        <v>0</v>
      </c>
      <c r="AS79" s="43">
        <v>0</v>
      </c>
      <c r="AT79" s="43">
        <v>0</v>
      </c>
      <c r="AU79" s="43">
        <v>0</v>
      </c>
      <c r="AV79" s="43">
        <v>0</v>
      </c>
      <c r="AW79" s="43">
        <v>0</v>
      </c>
      <c r="AX79" s="43">
        <v>0</v>
      </c>
      <c r="AY79" s="43">
        <v>0</v>
      </c>
      <c r="AZ79" s="43">
        <v>0</v>
      </c>
      <c r="BA79" s="43">
        <v>0</v>
      </c>
      <c r="BB79" s="43">
        <v>0</v>
      </c>
      <c r="BC79" s="43">
        <v>0</v>
      </c>
      <c r="BD79" s="43">
        <v>0</v>
      </c>
      <c r="BE79" s="43">
        <v>0</v>
      </c>
      <c r="BF79" s="43">
        <v>0</v>
      </c>
      <c r="BG79" s="43">
        <v>0</v>
      </c>
      <c r="BH79" s="43">
        <v>0</v>
      </c>
      <c r="BI79" s="43">
        <v>0</v>
      </c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43">
        <v>1</v>
      </c>
      <c r="DS79" s="43">
        <v>1</v>
      </c>
      <c r="DT79" s="43">
        <v>1</v>
      </c>
      <c r="DU79" s="43">
        <v>1</v>
      </c>
      <c r="DV79" s="43">
        <v>1</v>
      </c>
      <c r="DW79" s="43">
        <v>1</v>
      </c>
      <c r="DX79" s="43">
        <v>1</v>
      </c>
      <c r="DY79" s="43">
        <v>1</v>
      </c>
      <c r="DZ79" s="43">
        <v>1</v>
      </c>
      <c r="EA79" s="43">
        <v>1</v>
      </c>
      <c r="EB79" s="43">
        <v>1</v>
      </c>
      <c r="EC79" s="43">
        <v>1</v>
      </c>
      <c r="ED79" s="43">
        <v>1</v>
      </c>
      <c r="EE79" s="43">
        <v>1</v>
      </c>
      <c r="EF79" s="43">
        <v>1</v>
      </c>
      <c r="EG79" s="43">
        <v>1</v>
      </c>
      <c r="EH79" s="43">
        <v>1</v>
      </c>
      <c r="EI79" s="43">
        <v>1</v>
      </c>
      <c r="EJ79" s="43">
        <v>1</v>
      </c>
      <c r="EK79" s="43">
        <v>1</v>
      </c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43">
        <v>0</v>
      </c>
      <c r="AQ80" s="43">
        <v>0</v>
      </c>
      <c r="AR80" s="43">
        <v>0</v>
      </c>
      <c r="AS80" s="43">
        <v>0</v>
      </c>
      <c r="AT80" s="43">
        <v>0</v>
      </c>
      <c r="AU80" s="43">
        <v>0</v>
      </c>
      <c r="AV80" s="43">
        <v>0</v>
      </c>
      <c r="AW80" s="43">
        <v>0</v>
      </c>
      <c r="AX80" s="43">
        <v>0</v>
      </c>
      <c r="AY80" s="43">
        <v>0</v>
      </c>
      <c r="AZ80" s="43">
        <v>0</v>
      </c>
      <c r="BA80" s="43">
        <v>0</v>
      </c>
      <c r="BB80" s="43">
        <v>0</v>
      </c>
      <c r="BC80" s="43">
        <v>0</v>
      </c>
      <c r="BD80" s="43">
        <v>0</v>
      </c>
      <c r="BE80" s="43">
        <v>0</v>
      </c>
      <c r="BF80" s="43">
        <v>0</v>
      </c>
      <c r="BG80" s="43">
        <v>0</v>
      </c>
      <c r="BH80" s="43">
        <v>0</v>
      </c>
      <c r="BI80" s="43">
        <v>0</v>
      </c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43">
        <v>1</v>
      </c>
      <c r="DS80" s="43">
        <v>1</v>
      </c>
      <c r="DT80" s="43">
        <v>1</v>
      </c>
      <c r="DU80" s="43">
        <v>1</v>
      </c>
      <c r="DV80" s="43">
        <v>1</v>
      </c>
      <c r="DW80" s="43">
        <v>1</v>
      </c>
      <c r="DX80" s="43">
        <v>1</v>
      </c>
      <c r="DY80" s="43">
        <v>1</v>
      </c>
      <c r="DZ80" s="43">
        <v>1</v>
      </c>
      <c r="EA80" s="43">
        <v>1</v>
      </c>
      <c r="EB80" s="43">
        <v>1</v>
      </c>
      <c r="EC80" s="43">
        <v>1</v>
      </c>
      <c r="ED80" s="43">
        <v>1</v>
      </c>
      <c r="EE80" s="43">
        <v>1</v>
      </c>
      <c r="EF80" s="43">
        <v>1</v>
      </c>
      <c r="EG80" s="43">
        <v>1</v>
      </c>
      <c r="EH80" s="43">
        <v>1</v>
      </c>
      <c r="EI80" s="43">
        <v>1</v>
      </c>
      <c r="EJ80" s="43">
        <v>1</v>
      </c>
      <c r="EK80" s="43">
        <v>1</v>
      </c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43">
        <v>0</v>
      </c>
      <c r="AQ81" s="43">
        <v>0</v>
      </c>
      <c r="AR81" s="43">
        <v>0</v>
      </c>
      <c r="AS81" s="43">
        <v>0</v>
      </c>
      <c r="AT81" s="43">
        <v>0</v>
      </c>
      <c r="AU81" s="43">
        <v>0</v>
      </c>
      <c r="AV81" s="43">
        <v>0</v>
      </c>
      <c r="AW81" s="43">
        <v>0</v>
      </c>
      <c r="AX81" s="43">
        <v>0</v>
      </c>
      <c r="AY81" s="43">
        <v>0</v>
      </c>
      <c r="AZ81" s="43">
        <v>0</v>
      </c>
      <c r="BA81" s="43">
        <v>0</v>
      </c>
      <c r="BB81" s="43">
        <v>0</v>
      </c>
      <c r="BC81" s="43">
        <v>0</v>
      </c>
      <c r="BD81" s="43">
        <v>0</v>
      </c>
      <c r="BE81" s="43">
        <v>0</v>
      </c>
      <c r="BF81" s="43">
        <v>0</v>
      </c>
      <c r="BG81" s="43">
        <v>0</v>
      </c>
      <c r="BH81" s="43">
        <v>0</v>
      </c>
      <c r="BI81" s="43">
        <v>0</v>
      </c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43">
        <v>1</v>
      </c>
      <c r="DS81" s="43">
        <v>1</v>
      </c>
      <c r="DT81" s="43">
        <v>1</v>
      </c>
      <c r="DU81" s="43">
        <v>1</v>
      </c>
      <c r="DV81" s="43">
        <v>1</v>
      </c>
      <c r="DW81" s="43">
        <v>1</v>
      </c>
      <c r="DX81" s="43">
        <v>1</v>
      </c>
      <c r="DY81" s="43">
        <v>1</v>
      </c>
      <c r="DZ81" s="43">
        <v>1</v>
      </c>
      <c r="EA81" s="43">
        <v>1</v>
      </c>
      <c r="EB81" s="43">
        <v>1</v>
      </c>
      <c r="EC81" s="43">
        <v>1</v>
      </c>
      <c r="ED81" s="43">
        <v>1</v>
      </c>
      <c r="EE81" s="43">
        <v>1</v>
      </c>
      <c r="EF81" s="43">
        <v>1</v>
      </c>
      <c r="EG81" s="43">
        <v>1</v>
      </c>
      <c r="EH81" s="43">
        <v>1</v>
      </c>
      <c r="EI81" s="43">
        <v>1</v>
      </c>
      <c r="EJ81" s="43">
        <v>1</v>
      </c>
      <c r="EK81" s="43">
        <v>1</v>
      </c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43">
        <v>1</v>
      </c>
      <c r="DS82" s="43">
        <v>1</v>
      </c>
      <c r="DT82" s="43">
        <v>1</v>
      </c>
      <c r="DU82" s="43">
        <v>1</v>
      </c>
      <c r="DV82" s="43">
        <v>1</v>
      </c>
      <c r="DW82" s="43">
        <v>1</v>
      </c>
      <c r="DX82" s="43">
        <v>1</v>
      </c>
      <c r="DY82" s="43">
        <v>1</v>
      </c>
      <c r="DZ82" s="43">
        <v>1</v>
      </c>
      <c r="EA82" s="43">
        <v>1</v>
      </c>
      <c r="EB82" s="43">
        <v>1</v>
      </c>
      <c r="EC82" s="43">
        <v>1</v>
      </c>
      <c r="ED82" s="43">
        <v>1</v>
      </c>
      <c r="EE82" s="43">
        <v>1</v>
      </c>
      <c r="EF82" s="43">
        <v>1</v>
      </c>
      <c r="EG82" s="43">
        <v>1</v>
      </c>
      <c r="EH82" s="43">
        <v>1</v>
      </c>
      <c r="EI82" s="43">
        <v>1</v>
      </c>
      <c r="EJ82" s="43">
        <v>1</v>
      </c>
      <c r="EK82" s="43">
        <v>1</v>
      </c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43">
        <v>0</v>
      </c>
      <c r="AQ83" s="43">
        <v>0</v>
      </c>
      <c r="AR83" s="43">
        <v>0</v>
      </c>
      <c r="AS83" s="43">
        <v>0</v>
      </c>
      <c r="AT83" s="43">
        <v>0</v>
      </c>
      <c r="AU83" s="43">
        <v>0</v>
      </c>
      <c r="AV83" s="43">
        <v>0</v>
      </c>
      <c r="AW83" s="43">
        <v>0</v>
      </c>
      <c r="AX83" s="43">
        <v>0</v>
      </c>
      <c r="AY83" s="43">
        <v>0</v>
      </c>
      <c r="AZ83" s="43">
        <v>0</v>
      </c>
      <c r="BA83" s="43">
        <v>0</v>
      </c>
      <c r="BB83" s="43">
        <v>0</v>
      </c>
      <c r="BC83" s="43">
        <v>0</v>
      </c>
      <c r="BD83" s="43">
        <v>0</v>
      </c>
      <c r="BE83" s="43">
        <v>0</v>
      </c>
      <c r="BF83" s="43">
        <v>0</v>
      </c>
      <c r="BG83" s="43">
        <v>0</v>
      </c>
      <c r="BH83" s="43">
        <v>0</v>
      </c>
      <c r="BI83" s="43">
        <v>0</v>
      </c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43">
        <v>1</v>
      </c>
      <c r="DS83" s="43">
        <v>1</v>
      </c>
      <c r="DT83" s="43">
        <v>1</v>
      </c>
      <c r="DU83" s="43">
        <v>1</v>
      </c>
      <c r="DV83" s="43">
        <v>1</v>
      </c>
      <c r="DW83" s="43">
        <v>1</v>
      </c>
      <c r="DX83" s="43">
        <v>1</v>
      </c>
      <c r="DY83" s="43">
        <v>1</v>
      </c>
      <c r="DZ83" s="43">
        <v>1</v>
      </c>
      <c r="EA83" s="43">
        <v>1</v>
      </c>
      <c r="EB83" s="43">
        <v>1</v>
      </c>
      <c r="EC83" s="43">
        <v>1</v>
      </c>
      <c r="ED83" s="43">
        <v>1</v>
      </c>
      <c r="EE83" s="43">
        <v>1</v>
      </c>
      <c r="EF83" s="43">
        <v>1</v>
      </c>
      <c r="EG83" s="43">
        <v>1</v>
      </c>
      <c r="EH83" s="43">
        <v>1</v>
      </c>
      <c r="EI83" s="43">
        <v>1</v>
      </c>
      <c r="EJ83" s="43">
        <v>1</v>
      </c>
      <c r="EK83" s="43">
        <v>1</v>
      </c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43">
        <v>0</v>
      </c>
      <c r="AQ84" s="43">
        <v>0</v>
      </c>
      <c r="AR84" s="43">
        <v>0</v>
      </c>
      <c r="AS84" s="43">
        <v>0</v>
      </c>
      <c r="AT84" s="43">
        <v>0</v>
      </c>
      <c r="AU84" s="43">
        <v>0</v>
      </c>
      <c r="AV84" s="43">
        <v>0</v>
      </c>
      <c r="AW84" s="43">
        <v>0</v>
      </c>
      <c r="AX84" s="43">
        <v>0</v>
      </c>
      <c r="AY84" s="43">
        <v>0</v>
      </c>
      <c r="AZ84" s="43">
        <v>0</v>
      </c>
      <c r="BA84" s="43">
        <v>0</v>
      </c>
      <c r="BB84" s="43">
        <v>0</v>
      </c>
      <c r="BC84" s="43">
        <v>0</v>
      </c>
      <c r="BD84" s="43">
        <v>0</v>
      </c>
      <c r="BE84" s="43">
        <v>0</v>
      </c>
      <c r="BF84" s="43">
        <v>0</v>
      </c>
      <c r="BG84" s="43">
        <v>0</v>
      </c>
      <c r="BH84" s="43">
        <v>0</v>
      </c>
      <c r="BI84" s="43">
        <v>0</v>
      </c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43">
        <v>1</v>
      </c>
      <c r="DS84" s="43">
        <v>1</v>
      </c>
      <c r="DT84" s="43">
        <v>1</v>
      </c>
      <c r="DU84" s="43">
        <v>1</v>
      </c>
      <c r="DV84" s="43">
        <v>1</v>
      </c>
      <c r="DW84" s="43">
        <v>1</v>
      </c>
      <c r="DX84" s="43">
        <v>1</v>
      </c>
      <c r="DY84" s="43">
        <v>1</v>
      </c>
      <c r="DZ84" s="43">
        <v>1</v>
      </c>
      <c r="EA84" s="43">
        <v>1</v>
      </c>
      <c r="EB84" s="43">
        <v>1</v>
      </c>
      <c r="EC84" s="43">
        <v>1</v>
      </c>
      <c r="ED84" s="43">
        <v>1</v>
      </c>
      <c r="EE84" s="43">
        <v>1</v>
      </c>
      <c r="EF84" s="43">
        <v>1</v>
      </c>
      <c r="EG84" s="43">
        <v>1</v>
      </c>
      <c r="EH84" s="43">
        <v>1</v>
      </c>
      <c r="EI84" s="43">
        <v>1</v>
      </c>
      <c r="EJ84" s="43">
        <v>1</v>
      </c>
      <c r="EK84" s="43">
        <v>1</v>
      </c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43">
        <v>0</v>
      </c>
      <c r="AQ85" s="43">
        <v>0</v>
      </c>
      <c r="AR85" s="43">
        <v>0</v>
      </c>
      <c r="AS85" s="43">
        <v>0</v>
      </c>
      <c r="AT85" s="43">
        <v>0</v>
      </c>
      <c r="AU85" s="43">
        <v>0</v>
      </c>
      <c r="AV85" s="43">
        <v>0</v>
      </c>
      <c r="AW85" s="43">
        <v>0</v>
      </c>
      <c r="AX85" s="43">
        <v>0</v>
      </c>
      <c r="AY85" s="43">
        <v>0</v>
      </c>
      <c r="AZ85" s="43">
        <v>0</v>
      </c>
      <c r="BA85" s="43">
        <v>0</v>
      </c>
      <c r="BB85" s="43">
        <v>0</v>
      </c>
      <c r="BC85" s="43">
        <v>0</v>
      </c>
      <c r="BD85" s="43">
        <v>0</v>
      </c>
      <c r="BE85" s="43">
        <v>0</v>
      </c>
      <c r="BF85" s="43">
        <v>0</v>
      </c>
      <c r="BG85" s="43">
        <v>0</v>
      </c>
      <c r="BH85" s="43">
        <v>0</v>
      </c>
      <c r="BI85" s="43">
        <v>0</v>
      </c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43">
        <v>1</v>
      </c>
      <c r="DS85" s="43">
        <v>1</v>
      </c>
      <c r="DT85" s="43">
        <v>1</v>
      </c>
      <c r="DU85" s="43">
        <v>1</v>
      </c>
      <c r="DV85" s="43">
        <v>1</v>
      </c>
      <c r="DW85" s="43">
        <v>1</v>
      </c>
      <c r="DX85" s="43">
        <v>1</v>
      </c>
      <c r="DY85" s="43">
        <v>1</v>
      </c>
      <c r="DZ85" s="43">
        <v>1</v>
      </c>
      <c r="EA85" s="43">
        <v>1</v>
      </c>
      <c r="EB85" s="43">
        <v>1</v>
      </c>
      <c r="EC85" s="43">
        <v>1</v>
      </c>
      <c r="ED85" s="43">
        <v>1</v>
      </c>
      <c r="EE85" s="43">
        <v>1</v>
      </c>
      <c r="EF85" s="43">
        <v>1</v>
      </c>
      <c r="EG85" s="43">
        <v>1</v>
      </c>
      <c r="EH85" s="43">
        <v>1</v>
      </c>
      <c r="EI85" s="43">
        <v>1</v>
      </c>
      <c r="EJ85" s="43">
        <v>1</v>
      </c>
      <c r="EK85" s="43">
        <v>1</v>
      </c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43">
        <v>0</v>
      </c>
      <c r="AQ86" s="43">
        <v>0</v>
      </c>
      <c r="AR86" s="43">
        <v>0</v>
      </c>
      <c r="AS86" s="43">
        <v>0</v>
      </c>
      <c r="AT86" s="43">
        <v>0</v>
      </c>
      <c r="AU86" s="43">
        <v>0</v>
      </c>
      <c r="AV86" s="43">
        <v>0</v>
      </c>
      <c r="AW86" s="43">
        <v>0</v>
      </c>
      <c r="AX86" s="43">
        <v>0</v>
      </c>
      <c r="AY86" s="43">
        <v>0</v>
      </c>
      <c r="AZ86" s="43">
        <v>0</v>
      </c>
      <c r="BA86" s="43">
        <v>0</v>
      </c>
      <c r="BB86" s="43">
        <v>0</v>
      </c>
      <c r="BC86" s="43">
        <v>0</v>
      </c>
      <c r="BD86" s="43">
        <v>0</v>
      </c>
      <c r="BE86" s="43">
        <v>0</v>
      </c>
      <c r="BF86" s="43">
        <v>0</v>
      </c>
      <c r="BG86" s="43">
        <v>0</v>
      </c>
      <c r="BH86" s="43">
        <v>0</v>
      </c>
      <c r="BI86" s="43">
        <v>0</v>
      </c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2"/>
      <c r="CY86" s="52"/>
      <c r="CZ86" s="52"/>
      <c r="DA86" s="52"/>
      <c r="DB86" s="52"/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  <c r="DR86" s="43">
        <v>1</v>
      </c>
      <c r="DS86" s="43">
        <v>1</v>
      </c>
      <c r="DT86" s="43">
        <v>1</v>
      </c>
      <c r="DU86" s="43">
        <v>1</v>
      </c>
      <c r="DV86" s="43">
        <v>1</v>
      </c>
      <c r="DW86" s="43">
        <v>1</v>
      </c>
      <c r="DX86" s="43">
        <v>1</v>
      </c>
      <c r="DY86" s="43">
        <v>1</v>
      </c>
      <c r="DZ86" s="43">
        <v>1</v>
      </c>
      <c r="EA86" s="43">
        <v>1</v>
      </c>
      <c r="EB86" s="43">
        <v>1</v>
      </c>
      <c r="EC86" s="43">
        <v>1</v>
      </c>
      <c r="ED86" s="43">
        <v>1</v>
      </c>
      <c r="EE86" s="43">
        <v>1</v>
      </c>
      <c r="EF86" s="43">
        <v>1</v>
      </c>
      <c r="EG86" s="43">
        <v>1</v>
      </c>
      <c r="EH86" s="43">
        <v>1</v>
      </c>
      <c r="EI86" s="43">
        <v>1</v>
      </c>
      <c r="EJ86" s="43">
        <v>1</v>
      </c>
      <c r="EK86" s="43">
        <v>1</v>
      </c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43">
        <v>0</v>
      </c>
      <c r="AQ87" s="43">
        <v>0</v>
      </c>
      <c r="AR87" s="43">
        <v>0</v>
      </c>
      <c r="AS87" s="43">
        <v>0</v>
      </c>
      <c r="AT87" s="43">
        <v>0</v>
      </c>
      <c r="AU87" s="43">
        <v>0</v>
      </c>
      <c r="AV87" s="43">
        <v>0</v>
      </c>
      <c r="AW87" s="43">
        <v>0</v>
      </c>
      <c r="AX87" s="43">
        <v>0</v>
      </c>
      <c r="AY87" s="43">
        <v>0</v>
      </c>
      <c r="AZ87" s="43">
        <v>0</v>
      </c>
      <c r="BA87" s="43">
        <v>0</v>
      </c>
      <c r="BB87" s="43">
        <v>0</v>
      </c>
      <c r="BC87" s="43">
        <v>0</v>
      </c>
      <c r="BD87" s="43">
        <v>0</v>
      </c>
      <c r="BE87" s="43">
        <v>0</v>
      </c>
      <c r="BF87" s="43">
        <v>0</v>
      </c>
      <c r="BG87" s="43">
        <v>0</v>
      </c>
      <c r="BH87" s="43">
        <v>0</v>
      </c>
      <c r="BI87" s="43">
        <v>0</v>
      </c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45">
        <v>1</v>
      </c>
      <c r="DS87" s="45">
        <v>1</v>
      </c>
      <c r="DT87" s="45">
        <v>1</v>
      </c>
      <c r="DU87" s="45">
        <v>1</v>
      </c>
      <c r="DV87" s="45">
        <v>1</v>
      </c>
      <c r="DW87" s="45">
        <v>1</v>
      </c>
      <c r="DX87" s="45">
        <v>1</v>
      </c>
      <c r="DY87" s="45">
        <v>1</v>
      </c>
      <c r="DZ87" s="45">
        <v>1</v>
      </c>
      <c r="EA87" s="45">
        <v>1</v>
      </c>
      <c r="EB87" s="45">
        <v>1</v>
      </c>
      <c r="EC87" s="45">
        <v>1</v>
      </c>
      <c r="ED87" s="45">
        <v>1</v>
      </c>
      <c r="EE87" s="45">
        <v>1</v>
      </c>
      <c r="EF87" s="45">
        <v>1</v>
      </c>
      <c r="EG87" s="45">
        <v>1</v>
      </c>
      <c r="EH87" s="45">
        <v>1</v>
      </c>
      <c r="EI87" s="45">
        <v>1</v>
      </c>
      <c r="EJ87" s="45">
        <v>1</v>
      </c>
      <c r="EK87" s="45">
        <v>1</v>
      </c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43">
        <v>0</v>
      </c>
      <c r="AY88" s="43">
        <v>0</v>
      </c>
      <c r="AZ88" s="43">
        <v>0</v>
      </c>
      <c r="BA88" s="43">
        <v>0</v>
      </c>
      <c r="BB88" s="43">
        <v>0</v>
      </c>
      <c r="BC88" s="43">
        <v>0</v>
      </c>
      <c r="BD88" s="43">
        <v>0</v>
      </c>
      <c r="BE88" s="43">
        <v>0</v>
      </c>
      <c r="BF88" s="43">
        <v>0</v>
      </c>
      <c r="BG88" s="43">
        <v>0</v>
      </c>
      <c r="BH88" s="43">
        <v>0</v>
      </c>
      <c r="BI88" s="43">
        <v>0</v>
      </c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2"/>
      <c r="CY88" s="52"/>
      <c r="CZ88" s="52"/>
      <c r="DA88" s="52"/>
      <c r="DB88" s="52"/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  <c r="DR88" s="43">
        <v>1</v>
      </c>
      <c r="DS88" s="43">
        <v>1</v>
      </c>
      <c r="DT88" s="43">
        <v>1</v>
      </c>
      <c r="DU88" s="43">
        <v>1</v>
      </c>
      <c r="DV88" s="43">
        <v>1</v>
      </c>
      <c r="DW88" s="43">
        <v>1</v>
      </c>
      <c r="DX88" s="43">
        <v>1</v>
      </c>
      <c r="DY88" s="43">
        <v>1</v>
      </c>
      <c r="DZ88" s="43">
        <v>1</v>
      </c>
      <c r="EA88" s="43">
        <v>1</v>
      </c>
      <c r="EB88" s="43">
        <v>1</v>
      </c>
      <c r="EC88" s="43">
        <v>1</v>
      </c>
      <c r="ED88" s="43">
        <v>1</v>
      </c>
      <c r="EE88" s="43">
        <v>1</v>
      </c>
      <c r="EF88" s="43">
        <v>1</v>
      </c>
      <c r="EG88" s="43">
        <v>1</v>
      </c>
      <c r="EH88" s="43">
        <v>1</v>
      </c>
      <c r="EI88" s="43">
        <v>1</v>
      </c>
      <c r="EJ88" s="43">
        <v>1</v>
      </c>
      <c r="EK88" s="43">
        <v>1</v>
      </c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43">
        <v>0</v>
      </c>
      <c r="AQ89" s="43">
        <v>0</v>
      </c>
      <c r="AR89" s="43">
        <v>0</v>
      </c>
      <c r="AS89" s="43">
        <v>0</v>
      </c>
      <c r="AT89" s="43">
        <v>0</v>
      </c>
      <c r="AU89" s="43">
        <v>0</v>
      </c>
      <c r="AV89" s="43">
        <v>0</v>
      </c>
      <c r="AW89" s="43">
        <v>0</v>
      </c>
      <c r="AX89" s="43">
        <v>0</v>
      </c>
      <c r="AY89" s="43">
        <v>0</v>
      </c>
      <c r="AZ89" s="43">
        <v>0</v>
      </c>
      <c r="BA89" s="43">
        <v>0</v>
      </c>
      <c r="BB89" s="43">
        <v>0</v>
      </c>
      <c r="BC89" s="43">
        <v>0</v>
      </c>
      <c r="BD89" s="43">
        <v>0</v>
      </c>
      <c r="BE89" s="43">
        <v>0</v>
      </c>
      <c r="BF89" s="43">
        <v>0</v>
      </c>
      <c r="BG89" s="43">
        <v>0</v>
      </c>
      <c r="BH89" s="43">
        <v>0</v>
      </c>
      <c r="BI89" s="43">
        <v>0</v>
      </c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2"/>
      <c r="CY89" s="52"/>
      <c r="CZ89" s="52"/>
      <c r="DA89" s="52"/>
      <c r="DB89" s="52"/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  <c r="DR89" s="43">
        <v>1</v>
      </c>
      <c r="DS89" s="43">
        <v>1</v>
      </c>
      <c r="DT89" s="43">
        <v>1</v>
      </c>
      <c r="DU89" s="43">
        <v>1</v>
      </c>
      <c r="DV89" s="43">
        <v>1</v>
      </c>
      <c r="DW89" s="43">
        <v>1</v>
      </c>
      <c r="DX89" s="43">
        <v>1</v>
      </c>
      <c r="DY89" s="43">
        <v>1</v>
      </c>
      <c r="DZ89" s="43">
        <v>1</v>
      </c>
      <c r="EA89" s="43">
        <v>1</v>
      </c>
      <c r="EB89" s="43">
        <v>1</v>
      </c>
      <c r="EC89" s="43">
        <v>1</v>
      </c>
      <c r="ED89" s="43">
        <v>1</v>
      </c>
      <c r="EE89" s="43">
        <v>1</v>
      </c>
      <c r="EF89" s="43">
        <v>1</v>
      </c>
      <c r="EG89" s="43">
        <v>1</v>
      </c>
      <c r="EH89" s="43">
        <v>1</v>
      </c>
      <c r="EI89" s="43">
        <v>1</v>
      </c>
      <c r="EJ89" s="43">
        <v>1</v>
      </c>
      <c r="EK89" s="43">
        <v>1</v>
      </c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43">
        <v>0</v>
      </c>
      <c r="AQ90" s="43">
        <v>0</v>
      </c>
      <c r="AR90" s="43">
        <v>0</v>
      </c>
      <c r="AS90" s="43">
        <v>0</v>
      </c>
      <c r="AT90" s="43">
        <v>0</v>
      </c>
      <c r="AU90" s="43">
        <v>0</v>
      </c>
      <c r="AV90" s="43">
        <v>0</v>
      </c>
      <c r="AW90" s="43">
        <v>0</v>
      </c>
      <c r="AX90" s="43">
        <v>0</v>
      </c>
      <c r="AY90" s="43">
        <v>0</v>
      </c>
      <c r="AZ90" s="43">
        <v>0</v>
      </c>
      <c r="BA90" s="43">
        <v>0</v>
      </c>
      <c r="BB90" s="43">
        <v>0</v>
      </c>
      <c r="BC90" s="43">
        <v>0</v>
      </c>
      <c r="BD90" s="43">
        <v>0</v>
      </c>
      <c r="BE90" s="43">
        <v>0</v>
      </c>
      <c r="BF90" s="43">
        <v>0</v>
      </c>
      <c r="BG90" s="43">
        <v>0</v>
      </c>
      <c r="BH90" s="43">
        <v>0</v>
      </c>
      <c r="BI90" s="43">
        <v>0</v>
      </c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2"/>
      <c r="CY90" s="52"/>
      <c r="CZ90" s="52"/>
      <c r="DA90" s="52"/>
      <c r="DB90" s="52"/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  <c r="DR90" s="43">
        <v>1</v>
      </c>
      <c r="DS90" s="43">
        <v>1</v>
      </c>
      <c r="DT90" s="43">
        <v>1</v>
      </c>
      <c r="DU90" s="43">
        <v>1</v>
      </c>
      <c r="DV90" s="43">
        <v>1</v>
      </c>
      <c r="DW90" s="43">
        <v>1</v>
      </c>
      <c r="DX90" s="43">
        <v>1</v>
      </c>
      <c r="DY90" s="43">
        <v>1</v>
      </c>
      <c r="DZ90" s="43">
        <v>1</v>
      </c>
      <c r="EA90" s="43">
        <v>1</v>
      </c>
      <c r="EB90" s="43">
        <v>1</v>
      </c>
      <c r="EC90" s="43">
        <v>1</v>
      </c>
      <c r="ED90" s="43">
        <v>1</v>
      </c>
      <c r="EE90" s="43">
        <v>1</v>
      </c>
      <c r="EF90" s="43">
        <v>1</v>
      </c>
      <c r="EG90" s="43">
        <v>1</v>
      </c>
      <c r="EH90" s="43">
        <v>1</v>
      </c>
      <c r="EI90" s="43">
        <v>1</v>
      </c>
      <c r="EJ90" s="43">
        <v>1</v>
      </c>
      <c r="EK90" s="43">
        <v>1</v>
      </c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43">
        <v>0</v>
      </c>
      <c r="AQ91" s="43">
        <v>0</v>
      </c>
      <c r="AR91" s="43">
        <v>0</v>
      </c>
      <c r="AS91" s="43">
        <v>0</v>
      </c>
      <c r="AT91" s="43">
        <v>0</v>
      </c>
      <c r="AU91" s="43">
        <v>0</v>
      </c>
      <c r="AV91" s="43">
        <v>0</v>
      </c>
      <c r="AW91" s="43">
        <v>0</v>
      </c>
      <c r="AX91" s="43">
        <v>0</v>
      </c>
      <c r="AY91" s="43">
        <v>0</v>
      </c>
      <c r="AZ91" s="43">
        <v>0</v>
      </c>
      <c r="BA91" s="43">
        <v>0</v>
      </c>
      <c r="BB91" s="43">
        <v>0</v>
      </c>
      <c r="BC91" s="43">
        <v>0</v>
      </c>
      <c r="BD91" s="43">
        <v>0</v>
      </c>
      <c r="BE91" s="43">
        <v>0</v>
      </c>
      <c r="BF91" s="43">
        <v>0</v>
      </c>
      <c r="BG91" s="43">
        <v>0</v>
      </c>
      <c r="BH91" s="43">
        <v>0</v>
      </c>
      <c r="BI91" s="43">
        <v>0</v>
      </c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2"/>
      <c r="CY91" s="52"/>
      <c r="CZ91" s="52"/>
      <c r="DA91" s="52"/>
      <c r="DB91" s="52"/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  <c r="DR91" s="43">
        <v>1</v>
      </c>
      <c r="DS91" s="43">
        <v>1</v>
      </c>
      <c r="DT91" s="43">
        <v>1</v>
      </c>
      <c r="DU91" s="43">
        <v>1</v>
      </c>
      <c r="DV91" s="43">
        <v>1</v>
      </c>
      <c r="DW91" s="43">
        <v>1</v>
      </c>
      <c r="DX91" s="43">
        <v>1</v>
      </c>
      <c r="DY91" s="43">
        <v>1</v>
      </c>
      <c r="DZ91" s="43">
        <v>1</v>
      </c>
      <c r="EA91" s="43">
        <v>1</v>
      </c>
      <c r="EB91" s="43">
        <v>1</v>
      </c>
      <c r="EC91" s="43">
        <v>1</v>
      </c>
      <c r="ED91" s="43">
        <v>1</v>
      </c>
      <c r="EE91" s="43">
        <v>1</v>
      </c>
      <c r="EF91" s="43">
        <v>1</v>
      </c>
      <c r="EG91" s="43">
        <v>1</v>
      </c>
      <c r="EH91" s="43">
        <v>1</v>
      </c>
      <c r="EI91" s="43">
        <v>1</v>
      </c>
      <c r="EJ91" s="43">
        <v>1</v>
      </c>
      <c r="EK91" s="43">
        <v>1</v>
      </c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43">
        <v>0</v>
      </c>
      <c r="AQ92" s="43">
        <v>0</v>
      </c>
      <c r="AR92" s="43">
        <v>0</v>
      </c>
      <c r="AS92" s="43">
        <v>0</v>
      </c>
      <c r="AT92" s="43">
        <v>0</v>
      </c>
      <c r="AU92" s="43">
        <v>0</v>
      </c>
      <c r="AV92" s="43">
        <v>0</v>
      </c>
      <c r="AW92" s="43">
        <v>0</v>
      </c>
      <c r="AX92" s="43">
        <v>0</v>
      </c>
      <c r="AY92" s="43">
        <v>0</v>
      </c>
      <c r="AZ92" s="43">
        <v>0</v>
      </c>
      <c r="BA92" s="43">
        <v>0</v>
      </c>
      <c r="BB92" s="43">
        <v>0</v>
      </c>
      <c r="BC92" s="43">
        <v>0</v>
      </c>
      <c r="BD92" s="43">
        <v>0</v>
      </c>
      <c r="BE92" s="43">
        <v>0</v>
      </c>
      <c r="BF92" s="43">
        <v>0</v>
      </c>
      <c r="BG92" s="43">
        <v>0</v>
      </c>
      <c r="BH92" s="43">
        <v>0</v>
      </c>
      <c r="BI92" s="43">
        <v>0</v>
      </c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43">
        <v>1</v>
      </c>
      <c r="DS92" s="43">
        <v>1</v>
      </c>
      <c r="DT92" s="43">
        <v>1</v>
      </c>
      <c r="DU92" s="43">
        <v>1</v>
      </c>
      <c r="DV92" s="43">
        <v>1</v>
      </c>
      <c r="DW92" s="43">
        <v>1</v>
      </c>
      <c r="DX92" s="43">
        <v>1</v>
      </c>
      <c r="DY92" s="43">
        <v>1</v>
      </c>
      <c r="DZ92" s="43">
        <v>1</v>
      </c>
      <c r="EA92" s="43">
        <v>1</v>
      </c>
      <c r="EB92" s="43">
        <v>1</v>
      </c>
      <c r="EC92" s="43">
        <v>1</v>
      </c>
      <c r="ED92" s="43">
        <v>1</v>
      </c>
      <c r="EE92" s="43">
        <v>1</v>
      </c>
      <c r="EF92" s="43">
        <v>1</v>
      </c>
      <c r="EG92" s="43">
        <v>1</v>
      </c>
      <c r="EH92" s="43">
        <v>1</v>
      </c>
      <c r="EI92" s="43">
        <v>1</v>
      </c>
      <c r="EJ92" s="43">
        <v>1</v>
      </c>
      <c r="EK92" s="43">
        <v>1</v>
      </c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43">
        <v>0</v>
      </c>
      <c r="AQ93" s="43">
        <v>0</v>
      </c>
      <c r="AR93" s="43">
        <v>0</v>
      </c>
      <c r="AS93" s="43">
        <v>0</v>
      </c>
      <c r="AT93" s="43">
        <v>0</v>
      </c>
      <c r="AU93" s="43">
        <v>0</v>
      </c>
      <c r="AV93" s="43">
        <v>0</v>
      </c>
      <c r="AW93" s="43">
        <v>0</v>
      </c>
      <c r="AX93" s="43">
        <v>0</v>
      </c>
      <c r="AY93" s="43">
        <v>0</v>
      </c>
      <c r="AZ93" s="43">
        <v>0</v>
      </c>
      <c r="BA93" s="43">
        <v>0</v>
      </c>
      <c r="BB93" s="43">
        <v>0</v>
      </c>
      <c r="BC93" s="43">
        <v>0</v>
      </c>
      <c r="BD93" s="43">
        <v>0</v>
      </c>
      <c r="BE93" s="43">
        <v>0</v>
      </c>
      <c r="BF93" s="43">
        <v>0</v>
      </c>
      <c r="BG93" s="43">
        <v>0</v>
      </c>
      <c r="BH93" s="43">
        <v>0</v>
      </c>
      <c r="BI93" s="43">
        <v>0</v>
      </c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2"/>
      <c r="CY93" s="52"/>
      <c r="CZ93" s="52"/>
      <c r="DA93" s="52"/>
      <c r="DB93" s="52"/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  <c r="DR93" s="43">
        <v>1</v>
      </c>
      <c r="DS93" s="43">
        <v>1</v>
      </c>
      <c r="DT93" s="43">
        <v>1</v>
      </c>
      <c r="DU93" s="43">
        <v>1</v>
      </c>
      <c r="DV93" s="43">
        <v>1</v>
      </c>
      <c r="DW93" s="43">
        <v>1</v>
      </c>
      <c r="DX93" s="43">
        <v>1</v>
      </c>
      <c r="DY93" s="43">
        <v>1</v>
      </c>
      <c r="DZ93" s="43">
        <v>1</v>
      </c>
      <c r="EA93" s="43">
        <v>1</v>
      </c>
      <c r="EB93" s="43">
        <v>1</v>
      </c>
      <c r="EC93" s="43">
        <v>1</v>
      </c>
      <c r="ED93" s="43">
        <v>1</v>
      </c>
      <c r="EE93" s="43">
        <v>1</v>
      </c>
      <c r="EF93" s="43">
        <v>1</v>
      </c>
      <c r="EG93" s="43">
        <v>1</v>
      </c>
      <c r="EH93" s="43">
        <v>1</v>
      </c>
      <c r="EI93" s="43">
        <v>1</v>
      </c>
      <c r="EJ93" s="43">
        <v>1</v>
      </c>
      <c r="EK93" s="43">
        <v>1</v>
      </c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43">
        <v>0</v>
      </c>
      <c r="AQ94" s="43">
        <v>0</v>
      </c>
      <c r="AR94" s="43">
        <v>0</v>
      </c>
      <c r="AS94" s="43">
        <v>0</v>
      </c>
      <c r="AT94" s="43">
        <v>0</v>
      </c>
      <c r="AU94" s="43">
        <v>0</v>
      </c>
      <c r="AV94" s="43">
        <v>0</v>
      </c>
      <c r="AW94" s="43">
        <v>0</v>
      </c>
      <c r="AX94" s="43">
        <v>0</v>
      </c>
      <c r="AY94" s="43">
        <v>0</v>
      </c>
      <c r="AZ94" s="43">
        <v>0</v>
      </c>
      <c r="BA94" s="43">
        <v>0</v>
      </c>
      <c r="BB94" s="43">
        <v>0</v>
      </c>
      <c r="BC94" s="43">
        <v>0</v>
      </c>
      <c r="BD94" s="43">
        <v>0</v>
      </c>
      <c r="BE94" s="43">
        <v>0</v>
      </c>
      <c r="BF94" s="43">
        <v>0</v>
      </c>
      <c r="BG94" s="43">
        <v>0</v>
      </c>
      <c r="BH94" s="43">
        <v>0</v>
      </c>
      <c r="BI94" s="43">
        <v>0</v>
      </c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2"/>
      <c r="CY94" s="52"/>
      <c r="CZ94" s="52"/>
      <c r="DA94" s="52"/>
      <c r="DB94" s="52"/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  <c r="DR94" s="43">
        <v>1</v>
      </c>
      <c r="DS94" s="43">
        <v>1</v>
      </c>
      <c r="DT94" s="43">
        <v>1</v>
      </c>
      <c r="DU94" s="43">
        <v>1</v>
      </c>
      <c r="DV94" s="43">
        <v>1</v>
      </c>
      <c r="DW94" s="43">
        <v>1</v>
      </c>
      <c r="DX94" s="43">
        <v>1</v>
      </c>
      <c r="DY94" s="43">
        <v>1</v>
      </c>
      <c r="DZ94" s="43">
        <v>1</v>
      </c>
      <c r="EA94" s="43">
        <v>1</v>
      </c>
      <c r="EB94" s="43">
        <v>1</v>
      </c>
      <c r="EC94" s="43">
        <v>1</v>
      </c>
      <c r="ED94" s="43">
        <v>1</v>
      </c>
      <c r="EE94" s="43">
        <v>1</v>
      </c>
      <c r="EF94" s="43">
        <v>1</v>
      </c>
      <c r="EG94" s="43">
        <v>1</v>
      </c>
      <c r="EH94" s="43">
        <v>1</v>
      </c>
      <c r="EI94" s="43">
        <v>1</v>
      </c>
      <c r="EJ94" s="43">
        <v>1</v>
      </c>
      <c r="EK94" s="43">
        <v>1</v>
      </c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43">
        <v>0</v>
      </c>
      <c r="AQ95" s="43">
        <v>0</v>
      </c>
      <c r="AR95" s="43">
        <v>0</v>
      </c>
      <c r="AS95" s="43">
        <v>0</v>
      </c>
      <c r="AT95" s="43">
        <v>0</v>
      </c>
      <c r="AU95" s="43">
        <v>0</v>
      </c>
      <c r="AV95" s="43">
        <v>0</v>
      </c>
      <c r="AW95" s="43">
        <v>0</v>
      </c>
      <c r="AX95" s="43">
        <v>0</v>
      </c>
      <c r="AY95" s="43">
        <v>0</v>
      </c>
      <c r="AZ95" s="43">
        <v>0</v>
      </c>
      <c r="BA95" s="43">
        <v>0</v>
      </c>
      <c r="BB95" s="43">
        <v>0</v>
      </c>
      <c r="BC95" s="43">
        <v>0</v>
      </c>
      <c r="BD95" s="43">
        <v>0</v>
      </c>
      <c r="BE95" s="43">
        <v>0</v>
      </c>
      <c r="BF95" s="43">
        <v>0</v>
      </c>
      <c r="BG95" s="43">
        <v>0</v>
      </c>
      <c r="BH95" s="43">
        <v>0</v>
      </c>
      <c r="BI95" s="43">
        <v>0</v>
      </c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43">
        <v>1</v>
      </c>
      <c r="DS95" s="43">
        <v>1</v>
      </c>
      <c r="DT95" s="43">
        <v>1</v>
      </c>
      <c r="DU95" s="43">
        <v>1</v>
      </c>
      <c r="DV95" s="43">
        <v>1</v>
      </c>
      <c r="DW95" s="43">
        <v>1</v>
      </c>
      <c r="DX95" s="43">
        <v>1</v>
      </c>
      <c r="DY95" s="43">
        <v>1</v>
      </c>
      <c r="DZ95" s="43">
        <v>1</v>
      </c>
      <c r="EA95" s="43">
        <v>1</v>
      </c>
      <c r="EB95" s="43">
        <v>1</v>
      </c>
      <c r="EC95" s="43">
        <v>1</v>
      </c>
      <c r="ED95" s="43">
        <v>1</v>
      </c>
      <c r="EE95" s="43">
        <v>1</v>
      </c>
      <c r="EF95" s="43">
        <v>1</v>
      </c>
      <c r="EG95" s="43">
        <v>1</v>
      </c>
      <c r="EH95" s="43">
        <v>1</v>
      </c>
      <c r="EI95" s="43">
        <v>1</v>
      </c>
      <c r="EJ95" s="43">
        <v>1</v>
      </c>
      <c r="EK95" s="43">
        <v>1</v>
      </c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43">
        <v>0</v>
      </c>
      <c r="AQ96" s="43">
        <v>0</v>
      </c>
      <c r="AR96" s="43">
        <v>0</v>
      </c>
      <c r="AS96" s="43">
        <v>0</v>
      </c>
      <c r="AT96" s="43">
        <v>0</v>
      </c>
      <c r="AU96" s="43">
        <v>0</v>
      </c>
      <c r="AV96" s="43">
        <v>0</v>
      </c>
      <c r="AW96" s="43">
        <v>0</v>
      </c>
      <c r="AX96" s="43">
        <v>0</v>
      </c>
      <c r="AY96" s="43">
        <v>0</v>
      </c>
      <c r="AZ96" s="43">
        <v>0</v>
      </c>
      <c r="BA96" s="43">
        <v>0</v>
      </c>
      <c r="BB96" s="43">
        <v>0</v>
      </c>
      <c r="BC96" s="43">
        <v>0</v>
      </c>
      <c r="BD96" s="43">
        <v>0</v>
      </c>
      <c r="BE96" s="43">
        <v>0</v>
      </c>
      <c r="BF96" s="43">
        <v>0</v>
      </c>
      <c r="BG96" s="43">
        <v>0</v>
      </c>
      <c r="BH96" s="43">
        <v>0</v>
      </c>
      <c r="BI96" s="43">
        <v>0</v>
      </c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43">
        <v>1</v>
      </c>
      <c r="DS96" s="43">
        <v>1</v>
      </c>
      <c r="DT96" s="43">
        <v>1</v>
      </c>
      <c r="DU96" s="43">
        <v>1</v>
      </c>
      <c r="DV96" s="43">
        <v>1</v>
      </c>
      <c r="DW96" s="43">
        <v>1</v>
      </c>
      <c r="DX96" s="43">
        <v>1</v>
      </c>
      <c r="DY96" s="43">
        <v>1</v>
      </c>
      <c r="DZ96" s="43">
        <v>1</v>
      </c>
      <c r="EA96" s="43">
        <v>1</v>
      </c>
      <c r="EB96" s="43">
        <v>1</v>
      </c>
      <c r="EC96" s="43">
        <v>1</v>
      </c>
      <c r="ED96" s="43">
        <v>1</v>
      </c>
      <c r="EE96" s="43">
        <v>1</v>
      </c>
      <c r="EF96" s="43">
        <v>1</v>
      </c>
      <c r="EG96" s="43">
        <v>1</v>
      </c>
      <c r="EH96" s="43">
        <v>1</v>
      </c>
      <c r="EI96" s="43">
        <v>1</v>
      </c>
      <c r="EJ96" s="43">
        <v>1</v>
      </c>
      <c r="EK96" s="43">
        <v>1</v>
      </c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43">
        <v>0</v>
      </c>
      <c r="AQ97" s="43">
        <v>0</v>
      </c>
      <c r="AR97" s="43">
        <v>0</v>
      </c>
      <c r="AS97" s="43">
        <v>0</v>
      </c>
      <c r="AT97" s="43">
        <v>0</v>
      </c>
      <c r="AU97" s="43">
        <v>0</v>
      </c>
      <c r="AV97" s="43">
        <v>0</v>
      </c>
      <c r="AW97" s="43">
        <v>0</v>
      </c>
      <c r="AX97" s="43">
        <v>0</v>
      </c>
      <c r="AY97" s="43">
        <v>0</v>
      </c>
      <c r="AZ97" s="43">
        <v>0</v>
      </c>
      <c r="BA97" s="43">
        <v>0</v>
      </c>
      <c r="BB97" s="43">
        <v>0</v>
      </c>
      <c r="BC97" s="43">
        <v>0</v>
      </c>
      <c r="BD97" s="43">
        <v>0</v>
      </c>
      <c r="BE97" s="43">
        <v>0</v>
      </c>
      <c r="BF97" s="43">
        <v>0</v>
      </c>
      <c r="BG97" s="43">
        <v>0</v>
      </c>
      <c r="BH97" s="43">
        <v>0</v>
      </c>
      <c r="BI97" s="43">
        <v>0</v>
      </c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2"/>
      <c r="CY97" s="52"/>
      <c r="CZ97" s="52"/>
      <c r="DA97" s="52"/>
      <c r="DB97" s="52"/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  <c r="DR97" s="43">
        <v>1</v>
      </c>
      <c r="DS97" s="43">
        <v>1</v>
      </c>
      <c r="DT97" s="43">
        <v>1</v>
      </c>
      <c r="DU97" s="43">
        <v>1</v>
      </c>
      <c r="DV97" s="43">
        <v>1</v>
      </c>
      <c r="DW97" s="43">
        <v>1</v>
      </c>
      <c r="DX97" s="43">
        <v>1</v>
      </c>
      <c r="DY97" s="43">
        <v>1</v>
      </c>
      <c r="DZ97" s="43">
        <v>1</v>
      </c>
      <c r="EA97" s="43">
        <v>1</v>
      </c>
      <c r="EB97" s="43">
        <v>1</v>
      </c>
      <c r="EC97" s="43">
        <v>1</v>
      </c>
      <c r="ED97" s="43">
        <v>1</v>
      </c>
      <c r="EE97" s="43">
        <v>1</v>
      </c>
      <c r="EF97" s="43">
        <v>1</v>
      </c>
      <c r="EG97" s="43">
        <v>1</v>
      </c>
      <c r="EH97" s="43">
        <v>1</v>
      </c>
      <c r="EI97" s="43">
        <v>1</v>
      </c>
      <c r="EJ97" s="43">
        <v>1</v>
      </c>
      <c r="EK97" s="43">
        <v>1</v>
      </c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43">
        <v>0</v>
      </c>
      <c r="AQ98" s="43">
        <v>0</v>
      </c>
      <c r="AR98" s="43">
        <v>0</v>
      </c>
      <c r="AS98" s="43">
        <v>0</v>
      </c>
      <c r="AT98" s="43">
        <v>0</v>
      </c>
      <c r="AU98" s="43">
        <v>0</v>
      </c>
      <c r="AV98" s="43">
        <v>0</v>
      </c>
      <c r="AW98" s="43">
        <v>0</v>
      </c>
      <c r="AX98" s="43">
        <v>0</v>
      </c>
      <c r="AY98" s="43">
        <v>0</v>
      </c>
      <c r="AZ98" s="43">
        <v>0</v>
      </c>
      <c r="BA98" s="43">
        <v>0</v>
      </c>
      <c r="BB98" s="43">
        <v>0</v>
      </c>
      <c r="BC98" s="43">
        <v>0</v>
      </c>
      <c r="BD98" s="43">
        <v>0</v>
      </c>
      <c r="BE98" s="43">
        <v>0</v>
      </c>
      <c r="BF98" s="43">
        <v>0</v>
      </c>
      <c r="BG98" s="43">
        <v>0</v>
      </c>
      <c r="BH98" s="43">
        <v>0</v>
      </c>
      <c r="BI98" s="43">
        <v>0</v>
      </c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43">
        <v>1</v>
      </c>
      <c r="DS98" s="43">
        <v>1</v>
      </c>
      <c r="DT98" s="43">
        <v>1</v>
      </c>
      <c r="DU98" s="43">
        <v>1</v>
      </c>
      <c r="DV98" s="43">
        <v>1</v>
      </c>
      <c r="DW98" s="43">
        <v>1</v>
      </c>
      <c r="DX98" s="43">
        <v>1</v>
      </c>
      <c r="DY98" s="43">
        <v>1</v>
      </c>
      <c r="DZ98" s="43">
        <v>1</v>
      </c>
      <c r="EA98" s="43">
        <v>1</v>
      </c>
      <c r="EB98" s="43">
        <v>1</v>
      </c>
      <c r="EC98" s="43">
        <v>1</v>
      </c>
      <c r="ED98" s="43">
        <v>1</v>
      </c>
      <c r="EE98" s="43">
        <v>1</v>
      </c>
      <c r="EF98" s="43">
        <v>1</v>
      </c>
      <c r="EG98" s="43">
        <v>1</v>
      </c>
      <c r="EH98" s="43">
        <v>1</v>
      </c>
      <c r="EI98" s="43">
        <v>1</v>
      </c>
      <c r="EJ98" s="43">
        <v>1</v>
      </c>
      <c r="EK98" s="43">
        <v>1</v>
      </c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43">
        <v>0</v>
      </c>
      <c r="AQ99" s="43">
        <v>0</v>
      </c>
      <c r="AR99" s="43">
        <v>0</v>
      </c>
      <c r="AS99" s="43">
        <v>0</v>
      </c>
      <c r="AT99" s="43">
        <v>0</v>
      </c>
      <c r="AU99" s="43">
        <v>0</v>
      </c>
      <c r="AV99" s="43">
        <v>0</v>
      </c>
      <c r="AW99" s="43">
        <v>0</v>
      </c>
      <c r="AX99" s="43">
        <v>0</v>
      </c>
      <c r="AY99" s="43">
        <v>0</v>
      </c>
      <c r="AZ99" s="43">
        <v>0</v>
      </c>
      <c r="BA99" s="43">
        <v>0</v>
      </c>
      <c r="BB99" s="43">
        <v>0</v>
      </c>
      <c r="BC99" s="43">
        <v>0</v>
      </c>
      <c r="BD99" s="43">
        <v>0</v>
      </c>
      <c r="BE99" s="43">
        <v>0</v>
      </c>
      <c r="BF99" s="43">
        <v>0</v>
      </c>
      <c r="BG99" s="43">
        <v>0</v>
      </c>
      <c r="BH99" s="43">
        <v>0</v>
      </c>
      <c r="BI99" s="43">
        <v>0</v>
      </c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45">
        <v>1</v>
      </c>
      <c r="DS99" s="45">
        <v>1</v>
      </c>
      <c r="DT99" s="45">
        <v>1</v>
      </c>
      <c r="DU99" s="45">
        <v>1</v>
      </c>
      <c r="DV99" s="45">
        <v>1</v>
      </c>
      <c r="DW99" s="45">
        <v>1</v>
      </c>
      <c r="DX99" s="45">
        <v>1</v>
      </c>
      <c r="DY99" s="45">
        <v>1</v>
      </c>
      <c r="DZ99" s="45">
        <v>1</v>
      </c>
      <c r="EA99" s="45">
        <v>1</v>
      </c>
      <c r="EB99" s="45">
        <v>1</v>
      </c>
      <c r="EC99" s="45">
        <v>1</v>
      </c>
      <c r="ED99" s="45">
        <v>1</v>
      </c>
      <c r="EE99" s="45">
        <v>1</v>
      </c>
      <c r="EF99" s="45">
        <v>1</v>
      </c>
      <c r="EG99" s="45">
        <v>1</v>
      </c>
      <c r="EH99" s="45">
        <v>1</v>
      </c>
      <c r="EI99" s="45">
        <v>1</v>
      </c>
      <c r="EJ99" s="45">
        <v>1</v>
      </c>
      <c r="EK99" s="45">
        <v>1</v>
      </c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43">
        <v>0</v>
      </c>
      <c r="AQ100" s="43">
        <v>0</v>
      </c>
      <c r="AR100" s="43">
        <v>0</v>
      </c>
      <c r="AS100" s="43">
        <v>0</v>
      </c>
      <c r="AT100" s="43">
        <v>0</v>
      </c>
      <c r="AU100" s="43">
        <v>0</v>
      </c>
      <c r="AV100" s="43">
        <v>0</v>
      </c>
      <c r="AW100" s="43">
        <v>0</v>
      </c>
      <c r="AX100" s="43">
        <v>0</v>
      </c>
      <c r="AY100" s="43">
        <v>0</v>
      </c>
      <c r="AZ100" s="43">
        <v>0</v>
      </c>
      <c r="BA100" s="43">
        <v>0</v>
      </c>
      <c r="BB100" s="43">
        <v>0</v>
      </c>
      <c r="BC100" s="43">
        <v>0</v>
      </c>
      <c r="BD100" s="43">
        <v>0</v>
      </c>
      <c r="BE100" s="43">
        <v>0</v>
      </c>
      <c r="BF100" s="43">
        <v>0</v>
      </c>
      <c r="BG100" s="43">
        <v>0</v>
      </c>
      <c r="BH100" s="43">
        <v>0</v>
      </c>
      <c r="BI100" s="43">
        <v>0</v>
      </c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2"/>
      <c r="CY100" s="52"/>
      <c r="CZ100" s="52"/>
      <c r="DA100" s="52"/>
      <c r="DB100" s="52"/>
      <c r="DC100" s="52"/>
      <c r="DD100" s="52"/>
      <c r="DE100" s="52"/>
      <c r="DF100" s="52"/>
      <c r="DG100" s="52"/>
      <c r="DH100" s="52"/>
      <c r="DI100" s="52"/>
      <c r="DJ100" s="52"/>
      <c r="DK100" s="52"/>
      <c r="DL100" s="52"/>
      <c r="DM100" s="52"/>
      <c r="DN100" s="52"/>
      <c r="DO100" s="52"/>
      <c r="DP100" s="52"/>
      <c r="DQ100" s="52"/>
      <c r="DR100" s="43">
        <v>1</v>
      </c>
      <c r="DS100" s="43">
        <v>1</v>
      </c>
      <c r="DT100" s="43">
        <v>1</v>
      </c>
      <c r="DU100" s="43">
        <v>1</v>
      </c>
      <c r="DV100" s="43">
        <v>1</v>
      </c>
      <c r="DW100" s="43">
        <v>1</v>
      </c>
      <c r="DX100" s="43">
        <v>1</v>
      </c>
      <c r="DY100" s="43">
        <v>1</v>
      </c>
      <c r="DZ100" s="43">
        <v>1</v>
      </c>
      <c r="EA100" s="43">
        <v>1</v>
      </c>
      <c r="EB100" s="43">
        <v>1</v>
      </c>
      <c r="EC100" s="43">
        <v>1</v>
      </c>
      <c r="ED100" s="43">
        <v>1</v>
      </c>
      <c r="EE100" s="43">
        <v>1</v>
      </c>
      <c r="EF100" s="43">
        <v>1</v>
      </c>
      <c r="EG100" s="43">
        <v>1</v>
      </c>
      <c r="EH100" s="43">
        <v>1</v>
      </c>
      <c r="EI100" s="43">
        <v>1</v>
      </c>
      <c r="EJ100" s="43">
        <v>1</v>
      </c>
      <c r="EK100" s="43">
        <v>1</v>
      </c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43">
        <v>0</v>
      </c>
      <c r="AQ101" s="43">
        <v>0</v>
      </c>
      <c r="AR101" s="43">
        <v>0</v>
      </c>
      <c r="AS101" s="43">
        <v>0</v>
      </c>
      <c r="AT101" s="43">
        <v>0</v>
      </c>
      <c r="AU101" s="43">
        <v>0</v>
      </c>
      <c r="AV101" s="43">
        <v>0</v>
      </c>
      <c r="AW101" s="43">
        <v>0</v>
      </c>
      <c r="AX101" s="43">
        <v>0</v>
      </c>
      <c r="AY101" s="43">
        <v>0</v>
      </c>
      <c r="AZ101" s="43">
        <v>0</v>
      </c>
      <c r="BA101" s="43">
        <v>0</v>
      </c>
      <c r="BB101" s="43">
        <v>0</v>
      </c>
      <c r="BC101" s="43">
        <v>0</v>
      </c>
      <c r="BD101" s="43">
        <v>0</v>
      </c>
      <c r="BE101" s="43">
        <v>0</v>
      </c>
      <c r="BF101" s="43">
        <v>0</v>
      </c>
      <c r="BG101" s="43">
        <v>0</v>
      </c>
      <c r="BH101" s="43">
        <v>0</v>
      </c>
      <c r="BI101" s="43">
        <v>0</v>
      </c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  <c r="DR101" s="43">
        <v>1</v>
      </c>
      <c r="DS101" s="43">
        <v>1</v>
      </c>
      <c r="DT101" s="43">
        <v>1</v>
      </c>
      <c r="DU101" s="43">
        <v>1</v>
      </c>
      <c r="DV101" s="43">
        <v>1</v>
      </c>
      <c r="DW101" s="43">
        <v>1</v>
      </c>
      <c r="DX101" s="43">
        <v>1</v>
      </c>
      <c r="DY101" s="43">
        <v>1</v>
      </c>
      <c r="DZ101" s="43">
        <v>1</v>
      </c>
      <c r="EA101" s="43">
        <v>1</v>
      </c>
      <c r="EB101" s="43">
        <v>1</v>
      </c>
      <c r="EC101" s="43">
        <v>1</v>
      </c>
      <c r="ED101" s="43">
        <v>1</v>
      </c>
      <c r="EE101" s="43">
        <v>1</v>
      </c>
      <c r="EF101" s="43">
        <v>1</v>
      </c>
      <c r="EG101" s="43">
        <v>1</v>
      </c>
      <c r="EH101" s="43">
        <v>1</v>
      </c>
      <c r="EI101" s="43">
        <v>1</v>
      </c>
      <c r="EJ101" s="43">
        <v>1</v>
      </c>
      <c r="EK101" s="43">
        <v>1</v>
      </c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43">
        <v>0</v>
      </c>
      <c r="AQ102" s="43">
        <v>0</v>
      </c>
      <c r="AR102" s="43">
        <v>0</v>
      </c>
      <c r="AS102" s="43">
        <v>0</v>
      </c>
      <c r="AT102" s="43">
        <v>0</v>
      </c>
      <c r="AU102" s="43">
        <v>0</v>
      </c>
      <c r="AV102" s="43">
        <v>0</v>
      </c>
      <c r="AW102" s="43">
        <v>0</v>
      </c>
      <c r="AX102" s="43">
        <v>0</v>
      </c>
      <c r="AY102" s="43">
        <v>0</v>
      </c>
      <c r="AZ102" s="43">
        <v>0</v>
      </c>
      <c r="BA102" s="43">
        <v>0</v>
      </c>
      <c r="BB102" s="43">
        <v>0</v>
      </c>
      <c r="BC102" s="43">
        <v>0</v>
      </c>
      <c r="BD102" s="43">
        <v>0</v>
      </c>
      <c r="BE102" s="43">
        <v>0</v>
      </c>
      <c r="BF102" s="43">
        <v>0</v>
      </c>
      <c r="BG102" s="43">
        <v>0</v>
      </c>
      <c r="BH102" s="43">
        <v>0</v>
      </c>
      <c r="BI102" s="43">
        <v>0</v>
      </c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2"/>
      <c r="CY102" s="52"/>
      <c r="CZ102" s="52"/>
      <c r="DA102" s="52"/>
      <c r="DB102" s="52"/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  <c r="DR102" s="43">
        <v>1</v>
      </c>
      <c r="DS102" s="43">
        <v>1</v>
      </c>
      <c r="DT102" s="43">
        <v>1</v>
      </c>
      <c r="DU102" s="43">
        <v>1</v>
      </c>
      <c r="DV102" s="43">
        <v>1</v>
      </c>
      <c r="DW102" s="43">
        <v>1</v>
      </c>
      <c r="DX102" s="43">
        <v>1</v>
      </c>
      <c r="DY102" s="43">
        <v>1</v>
      </c>
      <c r="DZ102" s="43">
        <v>1</v>
      </c>
      <c r="EA102" s="43">
        <v>1</v>
      </c>
      <c r="EB102" s="43">
        <v>1</v>
      </c>
      <c r="EC102" s="43">
        <v>1</v>
      </c>
      <c r="ED102" s="43">
        <v>1</v>
      </c>
      <c r="EE102" s="43">
        <v>1</v>
      </c>
      <c r="EF102" s="43">
        <v>1</v>
      </c>
      <c r="EG102" s="43">
        <v>1</v>
      </c>
      <c r="EH102" s="43">
        <v>1</v>
      </c>
      <c r="EI102" s="43">
        <v>1</v>
      </c>
      <c r="EJ102" s="43">
        <v>1</v>
      </c>
      <c r="EK102" s="43">
        <v>1</v>
      </c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43">
        <v>0</v>
      </c>
      <c r="AQ103" s="43">
        <v>0</v>
      </c>
      <c r="AR103" s="43">
        <v>0</v>
      </c>
      <c r="AS103" s="43">
        <v>0</v>
      </c>
      <c r="AT103" s="43">
        <v>0</v>
      </c>
      <c r="AU103" s="43">
        <v>0</v>
      </c>
      <c r="AV103" s="43">
        <v>0</v>
      </c>
      <c r="AW103" s="43">
        <v>0</v>
      </c>
      <c r="AX103" s="43">
        <v>0</v>
      </c>
      <c r="AY103" s="43">
        <v>0</v>
      </c>
      <c r="AZ103" s="43">
        <v>0</v>
      </c>
      <c r="BA103" s="43">
        <v>0</v>
      </c>
      <c r="BB103" s="43">
        <v>0</v>
      </c>
      <c r="BC103" s="43">
        <v>0</v>
      </c>
      <c r="BD103" s="43">
        <v>0</v>
      </c>
      <c r="BE103" s="43">
        <v>0</v>
      </c>
      <c r="BF103" s="43">
        <v>0</v>
      </c>
      <c r="BG103" s="43">
        <v>0</v>
      </c>
      <c r="BH103" s="43">
        <v>0</v>
      </c>
      <c r="BI103" s="43">
        <v>0</v>
      </c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2"/>
      <c r="CY103" s="52"/>
      <c r="CZ103" s="52"/>
      <c r="DA103" s="52"/>
      <c r="DB103" s="52"/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  <c r="DR103" s="43">
        <v>1</v>
      </c>
      <c r="DS103" s="43">
        <v>1</v>
      </c>
      <c r="DT103" s="43">
        <v>1</v>
      </c>
      <c r="DU103" s="43">
        <v>1</v>
      </c>
      <c r="DV103" s="43">
        <v>1</v>
      </c>
      <c r="DW103" s="43">
        <v>1</v>
      </c>
      <c r="DX103" s="43">
        <v>1</v>
      </c>
      <c r="DY103" s="43">
        <v>1</v>
      </c>
      <c r="DZ103" s="43">
        <v>1</v>
      </c>
      <c r="EA103" s="43">
        <v>1</v>
      </c>
      <c r="EB103" s="43">
        <v>1</v>
      </c>
      <c r="EC103" s="43">
        <v>1</v>
      </c>
      <c r="ED103" s="43">
        <v>1</v>
      </c>
      <c r="EE103" s="43">
        <v>1</v>
      </c>
      <c r="EF103" s="43">
        <v>1</v>
      </c>
      <c r="EG103" s="43">
        <v>1</v>
      </c>
      <c r="EH103" s="43">
        <v>1</v>
      </c>
      <c r="EI103" s="43">
        <v>1</v>
      </c>
      <c r="EJ103" s="43">
        <v>1</v>
      </c>
      <c r="EK103" s="43">
        <v>1</v>
      </c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43">
        <v>0</v>
      </c>
      <c r="AQ104" s="43">
        <v>0</v>
      </c>
      <c r="AR104" s="43">
        <v>0</v>
      </c>
      <c r="AS104" s="43">
        <v>0</v>
      </c>
      <c r="AT104" s="43">
        <v>0</v>
      </c>
      <c r="AU104" s="43">
        <v>0</v>
      </c>
      <c r="AV104" s="43">
        <v>0</v>
      </c>
      <c r="AW104" s="43">
        <v>0</v>
      </c>
      <c r="AX104" s="43">
        <v>0</v>
      </c>
      <c r="AY104" s="43">
        <v>0</v>
      </c>
      <c r="AZ104" s="43">
        <v>0</v>
      </c>
      <c r="BA104" s="43">
        <v>0</v>
      </c>
      <c r="BB104" s="43">
        <v>0</v>
      </c>
      <c r="BC104" s="43">
        <v>0</v>
      </c>
      <c r="BD104" s="43">
        <v>0</v>
      </c>
      <c r="BE104" s="43">
        <v>0</v>
      </c>
      <c r="BF104" s="43">
        <v>0</v>
      </c>
      <c r="BG104" s="43">
        <v>0</v>
      </c>
      <c r="BH104" s="43">
        <v>0</v>
      </c>
      <c r="BI104" s="43">
        <v>0</v>
      </c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2"/>
      <c r="CY104" s="52"/>
      <c r="CZ104" s="52"/>
      <c r="DA104" s="52"/>
      <c r="DB104" s="52"/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  <c r="DR104" s="43">
        <v>1</v>
      </c>
      <c r="DS104" s="43">
        <v>1</v>
      </c>
      <c r="DT104" s="43">
        <v>1</v>
      </c>
      <c r="DU104" s="43">
        <v>1</v>
      </c>
      <c r="DV104" s="43">
        <v>1</v>
      </c>
      <c r="DW104" s="43">
        <v>1</v>
      </c>
      <c r="DX104" s="43">
        <v>1</v>
      </c>
      <c r="DY104" s="43">
        <v>1</v>
      </c>
      <c r="DZ104" s="43">
        <v>1</v>
      </c>
      <c r="EA104" s="43">
        <v>1</v>
      </c>
      <c r="EB104" s="43">
        <v>1</v>
      </c>
      <c r="EC104" s="43">
        <v>1</v>
      </c>
      <c r="ED104" s="43">
        <v>1</v>
      </c>
      <c r="EE104" s="43">
        <v>1</v>
      </c>
      <c r="EF104" s="43">
        <v>1</v>
      </c>
      <c r="EG104" s="43">
        <v>1</v>
      </c>
      <c r="EH104" s="43">
        <v>1</v>
      </c>
      <c r="EI104" s="43">
        <v>1</v>
      </c>
      <c r="EJ104" s="43">
        <v>1</v>
      </c>
      <c r="EK104" s="43">
        <v>1</v>
      </c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43">
        <v>0</v>
      </c>
      <c r="AQ105" s="43">
        <v>0</v>
      </c>
      <c r="AR105" s="43">
        <v>0</v>
      </c>
      <c r="AS105" s="43">
        <v>0</v>
      </c>
      <c r="AT105" s="43">
        <v>0</v>
      </c>
      <c r="AU105" s="43">
        <v>0</v>
      </c>
      <c r="AV105" s="43">
        <v>0</v>
      </c>
      <c r="AW105" s="43">
        <v>0</v>
      </c>
      <c r="AX105" s="43">
        <v>0</v>
      </c>
      <c r="AY105" s="43">
        <v>0</v>
      </c>
      <c r="AZ105" s="43">
        <v>0</v>
      </c>
      <c r="BA105" s="43">
        <v>0</v>
      </c>
      <c r="BB105" s="43">
        <v>0</v>
      </c>
      <c r="BC105" s="43">
        <v>0</v>
      </c>
      <c r="BD105" s="43">
        <v>0</v>
      </c>
      <c r="BE105" s="43">
        <v>0</v>
      </c>
      <c r="BF105" s="43">
        <v>0</v>
      </c>
      <c r="BG105" s="43">
        <v>0</v>
      </c>
      <c r="BH105" s="43">
        <v>0</v>
      </c>
      <c r="BI105" s="43">
        <v>0</v>
      </c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2"/>
      <c r="CY105" s="52"/>
      <c r="CZ105" s="52"/>
      <c r="DA105" s="52"/>
      <c r="DB105" s="52"/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  <c r="DR105" s="43">
        <v>1</v>
      </c>
      <c r="DS105" s="43">
        <v>1</v>
      </c>
      <c r="DT105" s="43">
        <v>1</v>
      </c>
      <c r="DU105" s="43">
        <v>1</v>
      </c>
      <c r="DV105" s="43">
        <v>1</v>
      </c>
      <c r="DW105" s="43">
        <v>1</v>
      </c>
      <c r="DX105" s="43">
        <v>1</v>
      </c>
      <c r="DY105" s="43">
        <v>1</v>
      </c>
      <c r="DZ105" s="43">
        <v>1</v>
      </c>
      <c r="EA105" s="43">
        <v>1</v>
      </c>
      <c r="EB105" s="43">
        <v>1</v>
      </c>
      <c r="EC105" s="43">
        <v>1</v>
      </c>
      <c r="ED105" s="43">
        <v>1</v>
      </c>
      <c r="EE105" s="43">
        <v>1</v>
      </c>
      <c r="EF105" s="43">
        <v>1</v>
      </c>
      <c r="EG105" s="43">
        <v>1</v>
      </c>
      <c r="EH105" s="43">
        <v>1</v>
      </c>
      <c r="EI105" s="43">
        <v>1</v>
      </c>
      <c r="EJ105" s="43">
        <v>1</v>
      </c>
      <c r="EK105" s="43">
        <v>1</v>
      </c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43">
        <v>0</v>
      </c>
      <c r="AQ106" s="43">
        <v>0</v>
      </c>
      <c r="AR106" s="43">
        <v>0</v>
      </c>
      <c r="AS106" s="43">
        <v>0</v>
      </c>
      <c r="AT106" s="43">
        <v>0</v>
      </c>
      <c r="AU106" s="43">
        <v>0</v>
      </c>
      <c r="AV106" s="43">
        <v>0</v>
      </c>
      <c r="AW106" s="43">
        <v>0</v>
      </c>
      <c r="AX106" s="43">
        <v>0</v>
      </c>
      <c r="AY106" s="43">
        <v>0</v>
      </c>
      <c r="AZ106" s="43">
        <v>0</v>
      </c>
      <c r="BA106" s="43">
        <v>0</v>
      </c>
      <c r="BB106" s="43">
        <v>0</v>
      </c>
      <c r="BC106" s="43">
        <v>0</v>
      </c>
      <c r="BD106" s="43">
        <v>0</v>
      </c>
      <c r="BE106" s="43">
        <v>0</v>
      </c>
      <c r="BF106" s="43">
        <v>0</v>
      </c>
      <c r="BG106" s="43">
        <v>0</v>
      </c>
      <c r="BH106" s="43">
        <v>0</v>
      </c>
      <c r="BI106" s="43">
        <v>0</v>
      </c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2"/>
      <c r="CY106" s="52"/>
      <c r="CZ106" s="52"/>
      <c r="DA106" s="52"/>
      <c r="DB106" s="52"/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  <c r="DR106" s="43">
        <v>1</v>
      </c>
      <c r="DS106" s="43">
        <v>1</v>
      </c>
      <c r="DT106" s="43">
        <v>1</v>
      </c>
      <c r="DU106" s="43">
        <v>1</v>
      </c>
      <c r="DV106" s="43">
        <v>1</v>
      </c>
      <c r="DW106" s="43">
        <v>1</v>
      </c>
      <c r="DX106" s="43">
        <v>1</v>
      </c>
      <c r="DY106" s="43">
        <v>1</v>
      </c>
      <c r="DZ106" s="43">
        <v>1</v>
      </c>
      <c r="EA106" s="43">
        <v>1</v>
      </c>
      <c r="EB106" s="43">
        <v>1</v>
      </c>
      <c r="EC106" s="43">
        <v>1</v>
      </c>
      <c r="ED106" s="43">
        <v>1</v>
      </c>
      <c r="EE106" s="43">
        <v>1</v>
      </c>
      <c r="EF106" s="43">
        <v>1</v>
      </c>
      <c r="EG106" s="43">
        <v>1</v>
      </c>
      <c r="EH106" s="43">
        <v>1</v>
      </c>
      <c r="EI106" s="43">
        <v>1</v>
      </c>
      <c r="EJ106" s="43">
        <v>1</v>
      </c>
      <c r="EK106" s="43">
        <v>1</v>
      </c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43">
        <v>0</v>
      </c>
      <c r="AQ107" s="43">
        <v>0</v>
      </c>
      <c r="AR107" s="43">
        <v>0</v>
      </c>
      <c r="AS107" s="43">
        <v>0</v>
      </c>
      <c r="AT107" s="43">
        <v>0</v>
      </c>
      <c r="AU107" s="43">
        <v>0</v>
      </c>
      <c r="AV107" s="43">
        <v>0</v>
      </c>
      <c r="AW107" s="43">
        <v>0</v>
      </c>
      <c r="AX107" s="43">
        <v>0</v>
      </c>
      <c r="AY107" s="43">
        <v>0</v>
      </c>
      <c r="AZ107" s="43">
        <v>0</v>
      </c>
      <c r="BA107" s="43">
        <v>0</v>
      </c>
      <c r="BB107" s="43">
        <v>0</v>
      </c>
      <c r="BC107" s="43">
        <v>0</v>
      </c>
      <c r="BD107" s="43">
        <v>0</v>
      </c>
      <c r="BE107" s="43">
        <v>0</v>
      </c>
      <c r="BF107" s="43">
        <v>0</v>
      </c>
      <c r="BG107" s="43">
        <v>0</v>
      </c>
      <c r="BH107" s="43">
        <v>0</v>
      </c>
      <c r="BI107" s="43">
        <v>0</v>
      </c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2"/>
      <c r="CY107" s="52"/>
      <c r="CZ107" s="52"/>
      <c r="DA107" s="52"/>
      <c r="DB107" s="52"/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  <c r="DR107" s="43">
        <v>1</v>
      </c>
      <c r="DS107" s="43">
        <v>1</v>
      </c>
      <c r="DT107" s="43">
        <v>1</v>
      </c>
      <c r="DU107" s="43">
        <v>1</v>
      </c>
      <c r="DV107" s="43">
        <v>1</v>
      </c>
      <c r="DW107" s="43">
        <v>1</v>
      </c>
      <c r="DX107" s="43">
        <v>1</v>
      </c>
      <c r="DY107" s="43">
        <v>1</v>
      </c>
      <c r="DZ107" s="43">
        <v>1</v>
      </c>
      <c r="EA107" s="43">
        <v>1</v>
      </c>
      <c r="EB107" s="43">
        <v>1</v>
      </c>
      <c r="EC107" s="43">
        <v>1</v>
      </c>
      <c r="ED107" s="43">
        <v>1</v>
      </c>
      <c r="EE107" s="43">
        <v>1</v>
      </c>
      <c r="EF107" s="43">
        <v>1</v>
      </c>
      <c r="EG107" s="43">
        <v>1</v>
      </c>
      <c r="EH107" s="43">
        <v>1</v>
      </c>
      <c r="EI107" s="43">
        <v>1</v>
      </c>
      <c r="EJ107" s="43">
        <v>1</v>
      </c>
      <c r="EK107" s="43">
        <v>1</v>
      </c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43">
        <v>0</v>
      </c>
      <c r="AQ108" s="43">
        <v>0</v>
      </c>
      <c r="AR108" s="43">
        <v>0</v>
      </c>
      <c r="AS108" s="43">
        <v>0</v>
      </c>
      <c r="AT108" s="43">
        <v>0</v>
      </c>
      <c r="AU108" s="43">
        <v>0</v>
      </c>
      <c r="AV108" s="43">
        <v>0</v>
      </c>
      <c r="AW108" s="43">
        <v>0</v>
      </c>
      <c r="AX108" s="43">
        <v>0</v>
      </c>
      <c r="AY108" s="43">
        <v>0</v>
      </c>
      <c r="AZ108" s="43">
        <v>0</v>
      </c>
      <c r="BA108" s="43">
        <v>0</v>
      </c>
      <c r="BB108" s="43">
        <v>0</v>
      </c>
      <c r="BC108" s="43">
        <v>0</v>
      </c>
      <c r="BD108" s="43">
        <v>0</v>
      </c>
      <c r="BE108" s="43">
        <v>0</v>
      </c>
      <c r="BF108" s="43">
        <v>0</v>
      </c>
      <c r="BG108" s="43">
        <v>0</v>
      </c>
      <c r="BH108" s="43">
        <v>0</v>
      </c>
      <c r="BI108" s="43">
        <v>0</v>
      </c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2"/>
      <c r="CY108" s="52"/>
      <c r="CZ108" s="52"/>
      <c r="DA108" s="52"/>
      <c r="DB108" s="52"/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  <c r="DR108" s="43">
        <v>1</v>
      </c>
      <c r="DS108" s="43">
        <v>1</v>
      </c>
      <c r="DT108" s="43">
        <v>1</v>
      </c>
      <c r="DU108" s="43">
        <v>1</v>
      </c>
      <c r="DV108" s="43">
        <v>1</v>
      </c>
      <c r="DW108" s="43">
        <v>1</v>
      </c>
      <c r="DX108" s="43">
        <v>1</v>
      </c>
      <c r="DY108" s="43">
        <v>1</v>
      </c>
      <c r="DZ108" s="43">
        <v>1</v>
      </c>
      <c r="EA108" s="43">
        <v>1</v>
      </c>
      <c r="EB108" s="43">
        <v>1</v>
      </c>
      <c r="EC108" s="43">
        <v>1</v>
      </c>
      <c r="ED108" s="43">
        <v>1</v>
      </c>
      <c r="EE108" s="43">
        <v>1</v>
      </c>
      <c r="EF108" s="43">
        <v>1</v>
      </c>
      <c r="EG108" s="43">
        <v>1</v>
      </c>
      <c r="EH108" s="43">
        <v>1</v>
      </c>
      <c r="EI108" s="43">
        <v>1</v>
      </c>
      <c r="EJ108" s="43">
        <v>1</v>
      </c>
      <c r="EK108" s="43">
        <v>1</v>
      </c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43">
        <v>0</v>
      </c>
      <c r="AQ109" s="43">
        <v>0</v>
      </c>
      <c r="AR109" s="43">
        <v>0</v>
      </c>
      <c r="AS109" s="43">
        <v>0</v>
      </c>
      <c r="AT109" s="43">
        <v>0</v>
      </c>
      <c r="AU109" s="43">
        <v>0</v>
      </c>
      <c r="AV109" s="43">
        <v>0</v>
      </c>
      <c r="AW109" s="43">
        <v>0</v>
      </c>
      <c r="AX109" s="43">
        <v>0</v>
      </c>
      <c r="AY109" s="43">
        <v>0</v>
      </c>
      <c r="AZ109" s="43">
        <v>0</v>
      </c>
      <c r="BA109" s="43">
        <v>0</v>
      </c>
      <c r="BB109" s="43">
        <v>0</v>
      </c>
      <c r="BC109" s="43">
        <v>0</v>
      </c>
      <c r="BD109" s="43">
        <v>0</v>
      </c>
      <c r="BE109" s="43">
        <v>0</v>
      </c>
      <c r="BF109" s="43">
        <v>0</v>
      </c>
      <c r="BG109" s="43">
        <v>0</v>
      </c>
      <c r="BH109" s="43">
        <v>0</v>
      </c>
      <c r="BI109" s="43">
        <v>0</v>
      </c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2"/>
      <c r="CY109" s="52"/>
      <c r="CZ109" s="52"/>
      <c r="DA109" s="52"/>
      <c r="DB109" s="52"/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  <c r="DR109" s="43">
        <v>1</v>
      </c>
      <c r="DS109" s="43">
        <v>1</v>
      </c>
      <c r="DT109" s="43">
        <v>1</v>
      </c>
      <c r="DU109" s="43">
        <v>1</v>
      </c>
      <c r="DV109" s="43">
        <v>1</v>
      </c>
      <c r="DW109" s="43">
        <v>1</v>
      </c>
      <c r="DX109" s="43">
        <v>1</v>
      </c>
      <c r="DY109" s="43">
        <v>1</v>
      </c>
      <c r="DZ109" s="43">
        <v>1</v>
      </c>
      <c r="EA109" s="43">
        <v>1</v>
      </c>
      <c r="EB109" s="43">
        <v>1</v>
      </c>
      <c r="EC109" s="43">
        <v>1</v>
      </c>
      <c r="ED109" s="43">
        <v>1</v>
      </c>
      <c r="EE109" s="43">
        <v>1</v>
      </c>
      <c r="EF109" s="43">
        <v>1</v>
      </c>
      <c r="EG109" s="43">
        <v>1</v>
      </c>
      <c r="EH109" s="43">
        <v>1</v>
      </c>
      <c r="EI109" s="43">
        <v>1</v>
      </c>
      <c r="EJ109" s="43">
        <v>1</v>
      </c>
      <c r="EK109" s="43">
        <v>1</v>
      </c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43">
        <v>0</v>
      </c>
      <c r="AQ110" s="43">
        <v>0</v>
      </c>
      <c r="AR110" s="43">
        <v>0</v>
      </c>
      <c r="AS110" s="43">
        <v>0</v>
      </c>
      <c r="AT110" s="43">
        <v>0</v>
      </c>
      <c r="AU110" s="43">
        <v>0</v>
      </c>
      <c r="AV110" s="43">
        <v>0</v>
      </c>
      <c r="AW110" s="43">
        <v>0</v>
      </c>
      <c r="AX110" s="43">
        <v>0</v>
      </c>
      <c r="AY110" s="43">
        <v>0</v>
      </c>
      <c r="AZ110" s="43">
        <v>0</v>
      </c>
      <c r="BA110" s="43">
        <v>0</v>
      </c>
      <c r="BB110" s="43">
        <v>0</v>
      </c>
      <c r="BC110" s="43">
        <v>0</v>
      </c>
      <c r="BD110" s="43">
        <v>0</v>
      </c>
      <c r="BE110" s="43">
        <v>0</v>
      </c>
      <c r="BF110" s="43">
        <v>0</v>
      </c>
      <c r="BG110" s="43">
        <v>0</v>
      </c>
      <c r="BH110" s="43">
        <v>0</v>
      </c>
      <c r="BI110" s="43">
        <v>0</v>
      </c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2"/>
      <c r="CY110" s="52"/>
      <c r="CZ110" s="52"/>
      <c r="DA110" s="52"/>
      <c r="DB110" s="52"/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  <c r="DR110" s="43">
        <v>1</v>
      </c>
      <c r="DS110" s="43">
        <v>1</v>
      </c>
      <c r="DT110" s="43">
        <v>1</v>
      </c>
      <c r="DU110" s="43">
        <v>1</v>
      </c>
      <c r="DV110" s="43">
        <v>1</v>
      </c>
      <c r="DW110" s="43">
        <v>1</v>
      </c>
      <c r="DX110" s="43">
        <v>1</v>
      </c>
      <c r="DY110" s="43">
        <v>1</v>
      </c>
      <c r="DZ110" s="43">
        <v>1</v>
      </c>
      <c r="EA110" s="43">
        <v>1</v>
      </c>
      <c r="EB110" s="43">
        <v>1</v>
      </c>
      <c r="EC110" s="43">
        <v>1</v>
      </c>
      <c r="ED110" s="43">
        <v>1</v>
      </c>
      <c r="EE110" s="43">
        <v>1</v>
      </c>
      <c r="EF110" s="43">
        <v>1</v>
      </c>
      <c r="EG110" s="43">
        <v>1</v>
      </c>
      <c r="EH110" s="43">
        <v>1</v>
      </c>
      <c r="EI110" s="43">
        <v>1</v>
      </c>
      <c r="EJ110" s="43">
        <v>1</v>
      </c>
      <c r="EK110" s="43">
        <v>1</v>
      </c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43">
        <v>0</v>
      </c>
      <c r="AQ111" s="43">
        <v>0</v>
      </c>
      <c r="AR111" s="43">
        <v>0</v>
      </c>
      <c r="AS111" s="43">
        <v>0</v>
      </c>
      <c r="AT111" s="43">
        <v>0</v>
      </c>
      <c r="AU111" s="43">
        <v>0</v>
      </c>
      <c r="AV111" s="43">
        <v>0</v>
      </c>
      <c r="AW111" s="43">
        <v>0</v>
      </c>
      <c r="AX111" s="43">
        <v>0</v>
      </c>
      <c r="AY111" s="43">
        <v>0</v>
      </c>
      <c r="AZ111" s="43">
        <v>0</v>
      </c>
      <c r="BA111" s="43">
        <v>0</v>
      </c>
      <c r="BB111" s="43">
        <v>0</v>
      </c>
      <c r="BC111" s="43">
        <v>0</v>
      </c>
      <c r="BD111" s="43">
        <v>0</v>
      </c>
      <c r="BE111" s="43">
        <v>0</v>
      </c>
      <c r="BF111" s="43">
        <v>0</v>
      </c>
      <c r="BG111" s="43">
        <v>0</v>
      </c>
      <c r="BH111" s="43">
        <v>0</v>
      </c>
      <c r="BI111" s="43">
        <v>0</v>
      </c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2"/>
      <c r="CY111" s="52"/>
      <c r="CZ111" s="52"/>
      <c r="DA111" s="52"/>
      <c r="DB111" s="52"/>
      <c r="DC111" s="52"/>
      <c r="DD111" s="52"/>
      <c r="DE111" s="52"/>
      <c r="DF111" s="52"/>
      <c r="DG111" s="52"/>
      <c r="DH111" s="52"/>
      <c r="DI111" s="52"/>
      <c r="DJ111" s="52"/>
      <c r="DK111" s="52"/>
      <c r="DL111" s="52"/>
      <c r="DM111" s="52"/>
      <c r="DN111" s="52"/>
      <c r="DO111" s="52"/>
      <c r="DP111" s="52"/>
      <c r="DQ111" s="52"/>
      <c r="DR111" s="45">
        <v>1</v>
      </c>
      <c r="DS111" s="45">
        <v>1</v>
      </c>
      <c r="DT111" s="45">
        <v>1</v>
      </c>
      <c r="DU111" s="45">
        <v>1</v>
      </c>
      <c r="DV111" s="45">
        <v>1</v>
      </c>
      <c r="DW111" s="45">
        <v>1</v>
      </c>
      <c r="DX111" s="45">
        <v>1</v>
      </c>
      <c r="DY111" s="45">
        <v>1</v>
      </c>
      <c r="DZ111" s="45">
        <v>1</v>
      </c>
      <c r="EA111" s="45">
        <v>1</v>
      </c>
      <c r="EB111" s="45">
        <v>1</v>
      </c>
      <c r="EC111" s="45">
        <v>1</v>
      </c>
      <c r="ED111" s="45">
        <v>1</v>
      </c>
      <c r="EE111" s="45">
        <v>1</v>
      </c>
      <c r="EF111" s="45">
        <v>1</v>
      </c>
      <c r="EG111" s="45">
        <v>1</v>
      </c>
      <c r="EH111" s="45">
        <v>1</v>
      </c>
      <c r="EI111" s="45">
        <v>1</v>
      </c>
      <c r="EJ111" s="45">
        <v>1</v>
      </c>
      <c r="EK111" s="45">
        <v>1</v>
      </c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43">
        <v>0</v>
      </c>
      <c r="BH112" s="43">
        <v>0</v>
      </c>
      <c r="BI112" s="43">
        <v>0</v>
      </c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2"/>
      <c r="CY112" s="52"/>
      <c r="CZ112" s="52"/>
      <c r="DA112" s="52"/>
      <c r="DB112" s="52"/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  <c r="DR112" s="43">
        <v>1</v>
      </c>
      <c r="DS112" s="43">
        <v>1</v>
      </c>
      <c r="DT112" s="43">
        <v>1</v>
      </c>
      <c r="DU112" s="43">
        <v>1</v>
      </c>
      <c r="DV112" s="43">
        <v>1</v>
      </c>
      <c r="DW112" s="43">
        <v>1</v>
      </c>
      <c r="DX112" s="43">
        <v>1</v>
      </c>
      <c r="DY112" s="43">
        <v>1</v>
      </c>
      <c r="DZ112" s="43">
        <v>1</v>
      </c>
      <c r="EA112" s="43">
        <v>1</v>
      </c>
      <c r="EB112" s="43">
        <v>1</v>
      </c>
      <c r="EC112" s="43">
        <v>1</v>
      </c>
      <c r="ED112" s="43">
        <v>1</v>
      </c>
      <c r="EE112" s="43">
        <v>1</v>
      </c>
      <c r="EF112" s="43">
        <v>1</v>
      </c>
      <c r="EG112" s="43">
        <v>1</v>
      </c>
      <c r="EH112" s="43">
        <v>1</v>
      </c>
      <c r="EI112" s="43">
        <v>1</v>
      </c>
      <c r="EJ112" s="43">
        <v>1</v>
      </c>
      <c r="EK112" s="43">
        <v>1</v>
      </c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43">
        <v>0</v>
      </c>
      <c r="AQ113" s="43">
        <v>0</v>
      </c>
      <c r="AR113" s="43">
        <v>0</v>
      </c>
      <c r="AS113" s="43">
        <v>0</v>
      </c>
      <c r="AT113" s="43">
        <v>0</v>
      </c>
      <c r="AU113" s="43">
        <v>0</v>
      </c>
      <c r="AV113" s="43">
        <v>0</v>
      </c>
      <c r="AW113" s="43">
        <v>0</v>
      </c>
      <c r="AX113" s="43">
        <v>0</v>
      </c>
      <c r="AY113" s="43">
        <v>0</v>
      </c>
      <c r="AZ113" s="43">
        <v>0</v>
      </c>
      <c r="BA113" s="43">
        <v>0</v>
      </c>
      <c r="BB113" s="43">
        <v>0</v>
      </c>
      <c r="BC113" s="43">
        <v>0</v>
      </c>
      <c r="BD113" s="43">
        <v>0</v>
      </c>
      <c r="BE113" s="43">
        <v>0</v>
      </c>
      <c r="BF113" s="43">
        <v>0</v>
      </c>
      <c r="BG113" s="43">
        <v>0</v>
      </c>
      <c r="BH113" s="43">
        <v>0</v>
      </c>
      <c r="BI113" s="43">
        <v>0</v>
      </c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2"/>
      <c r="CY113" s="52"/>
      <c r="CZ113" s="52"/>
      <c r="DA113" s="52"/>
      <c r="DB113" s="52"/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  <c r="DR113" s="43">
        <v>1</v>
      </c>
      <c r="DS113" s="43">
        <v>1</v>
      </c>
      <c r="DT113" s="43">
        <v>1</v>
      </c>
      <c r="DU113" s="43">
        <v>1</v>
      </c>
      <c r="DV113" s="43">
        <v>1</v>
      </c>
      <c r="DW113" s="43">
        <v>1</v>
      </c>
      <c r="DX113" s="43">
        <v>1</v>
      </c>
      <c r="DY113" s="43">
        <v>1</v>
      </c>
      <c r="DZ113" s="43">
        <v>1</v>
      </c>
      <c r="EA113" s="43">
        <v>1</v>
      </c>
      <c r="EB113" s="43">
        <v>1</v>
      </c>
      <c r="EC113" s="43">
        <v>1</v>
      </c>
      <c r="ED113" s="43">
        <v>1</v>
      </c>
      <c r="EE113" s="43">
        <v>1</v>
      </c>
      <c r="EF113" s="43">
        <v>1</v>
      </c>
      <c r="EG113" s="43">
        <v>1</v>
      </c>
      <c r="EH113" s="43">
        <v>1</v>
      </c>
      <c r="EI113" s="43">
        <v>1</v>
      </c>
      <c r="EJ113" s="43">
        <v>1</v>
      </c>
      <c r="EK113" s="43">
        <v>1</v>
      </c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43">
        <v>0</v>
      </c>
      <c r="AQ114" s="43">
        <v>0</v>
      </c>
      <c r="AR114" s="43">
        <v>0</v>
      </c>
      <c r="AS114" s="43">
        <v>0</v>
      </c>
      <c r="AT114" s="43">
        <v>0</v>
      </c>
      <c r="AU114" s="43">
        <v>0</v>
      </c>
      <c r="AV114" s="43">
        <v>0</v>
      </c>
      <c r="AW114" s="43">
        <v>0</v>
      </c>
      <c r="AX114" s="43">
        <v>0</v>
      </c>
      <c r="AY114" s="43">
        <v>0</v>
      </c>
      <c r="AZ114" s="43">
        <v>0</v>
      </c>
      <c r="BA114" s="43">
        <v>0</v>
      </c>
      <c r="BB114" s="43">
        <v>0</v>
      </c>
      <c r="BC114" s="43">
        <v>0</v>
      </c>
      <c r="BD114" s="43">
        <v>0</v>
      </c>
      <c r="BE114" s="43">
        <v>0</v>
      </c>
      <c r="BF114" s="43">
        <v>0</v>
      </c>
      <c r="BG114" s="43">
        <v>0</v>
      </c>
      <c r="BH114" s="43">
        <v>0</v>
      </c>
      <c r="BI114" s="43">
        <v>0</v>
      </c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2"/>
      <c r="CY114" s="52"/>
      <c r="CZ114" s="52"/>
      <c r="DA114" s="52"/>
      <c r="DB114" s="52"/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  <c r="DR114" s="43">
        <v>1</v>
      </c>
      <c r="DS114" s="43">
        <v>1</v>
      </c>
      <c r="DT114" s="43">
        <v>1</v>
      </c>
      <c r="DU114" s="43">
        <v>1</v>
      </c>
      <c r="DV114" s="43">
        <v>1</v>
      </c>
      <c r="DW114" s="43">
        <v>1</v>
      </c>
      <c r="DX114" s="43">
        <v>1</v>
      </c>
      <c r="DY114" s="43">
        <v>1</v>
      </c>
      <c r="DZ114" s="43">
        <v>1</v>
      </c>
      <c r="EA114" s="43">
        <v>1</v>
      </c>
      <c r="EB114" s="43">
        <v>1</v>
      </c>
      <c r="EC114" s="43">
        <v>1</v>
      </c>
      <c r="ED114" s="43">
        <v>1</v>
      </c>
      <c r="EE114" s="43">
        <v>1</v>
      </c>
      <c r="EF114" s="43">
        <v>1</v>
      </c>
      <c r="EG114" s="43">
        <v>1</v>
      </c>
      <c r="EH114" s="43">
        <v>1</v>
      </c>
      <c r="EI114" s="43">
        <v>1</v>
      </c>
      <c r="EJ114" s="43">
        <v>1</v>
      </c>
      <c r="EK114" s="43">
        <v>1</v>
      </c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43">
        <v>0</v>
      </c>
      <c r="AQ115" s="43">
        <v>0</v>
      </c>
      <c r="AR115" s="43">
        <v>0</v>
      </c>
      <c r="AS115" s="43">
        <v>0</v>
      </c>
      <c r="AT115" s="43">
        <v>0</v>
      </c>
      <c r="AU115" s="43">
        <v>0</v>
      </c>
      <c r="AV115" s="43">
        <v>0</v>
      </c>
      <c r="AW115" s="43">
        <v>0</v>
      </c>
      <c r="AX115" s="43">
        <v>0</v>
      </c>
      <c r="AY115" s="43">
        <v>0</v>
      </c>
      <c r="AZ115" s="43">
        <v>0</v>
      </c>
      <c r="BA115" s="43">
        <v>0</v>
      </c>
      <c r="BB115" s="43">
        <v>0</v>
      </c>
      <c r="BC115" s="43">
        <v>0</v>
      </c>
      <c r="BD115" s="43">
        <v>0</v>
      </c>
      <c r="BE115" s="43">
        <v>0</v>
      </c>
      <c r="BF115" s="43">
        <v>0</v>
      </c>
      <c r="BG115" s="43">
        <v>0</v>
      </c>
      <c r="BH115" s="43">
        <v>0</v>
      </c>
      <c r="BI115" s="43">
        <v>0</v>
      </c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2"/>
      <c r="CY115" s="52"/>
      <c r="CZ115" s="52"/>
      <c r="DA115" s="52"/>
      <c r="DB115" s="52"/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  <c r="DR115" s="43">
        <v>1</v>
      </c>
      <c r="DS115" s="43">
        <v>1</v>
      </c>
      <c r="DT115" s="43">
        <v>1</v>
      </c>
      <c r="DU115" s="43">
        <v>1</v>
      </c>
      <c r="DV115" s="43">
        <v>1</v>
      </c>
      <c r="DW115" s="43">
        <v>1</v>
      </c>
      <c r="DX115" s="43">
        <v>1</v>
      </c>
      <c r="DY115" s="43">
        <v>1</v>
      </c>
      <c r="DZ115" s="43">
        <v>1</v>
      </c>
      <c r="EA115" s="43">
        <v>1</v>
      </c>
      <c r="EB115" s="43">
        <v>1</v>
      </c>
      <c r="EC115" s="43">
        <v>1</v>
      </c>
      <c r="ED115" s="43">
        <v>1</v>
      </c>
      <c r="EE115" s="43">
        <v>1</v>
      </c>
      <c r="EF115" s="43">
        <v>1</v>
      </c>
      <c r="EG115" s="43">
        <v>1</v>
      </c>
      <c r="EH115" s="43">
        <v>1</v>
      </c>
      <c r="EI115" s="43">
        <v>1</v>
      </c>
      <c r="EJ115" s="43">
        <v>1</v>
      </c>
      <c r="EK115" s="43">
        <v>1</v>
      </c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43">
        <v>0</v>
      </c>
      <c r="AQ116" s="43">
        <v>0</v>
      </c>
      <c r="AR116" s="43">
        <v>0</v>
      </c>
      <c r="AS116" s="43">
        <v>0</v>
      </c>
      <c r="AT116" s="43">
        <v>0</v>
      </c>
      <c r="AU116" s="43">
        <v>0</v>
      </c>
      <c r="AV116" s="43">
        <v>0</v>
      </c>
      <c r="AW116" s="43">
        <v>0</v>
      </c>
      <c r="AX116" s="43">
        <v>0</v>
      </c>
      <c r="AY116" s="43">
        <v>0</v>
      </c>
      <c r="AZ116" s="43">
        <v>0</v>
      </c>
      <c r="BA116" s="43">
        <v>0</v>
      </c>
      <c r="BB116" s="43">
        <v>0</v>
      </c>
      <c r="BC116" s="43">
        <v>0</v>
      </c>
      <c r="BD116" s="43">
        <v>0</v>
      </c>
      <c r="BE116" s="43">
        <v>0</v>
      </c>
      <c r="BF116" s="43">
        <v>0</v>
      </c>
      <c r="BG116" s="43">
        <v>0</v>
      </c>
      <c r="BH116" s="43">
        <v>0</v>
      </c>
      <c r="BI116" s="43">
        <v>0</v>
      </c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2"/>
      <c r="CY116" s="52"/>
      <c r="CZ116" s="52"/>
      <c r="DA116" s="52"/>
      <c r="DB116" s="52"/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  <c r="DR116" s="43">
        <v>1</v>
      </c>
      <c r="DS116" s="43">
        <v>1</v>
      </c>
      <c r="DT116" s="43">
        <v>1</v>
      </c>
      <c r="DU116" s="43">
        <v>1</v>
      </c>
      <c r="DV116" s="43">
        <v>1</v>
      </c>
      <c r="DW116" s="43">
        <v>1</v>
      </c>
      <c r="DX116" s="43">
        <v>1</v>
      </c>
      <c r="DY116" s="43">
        <v>1</v>
      </c>
      <c r="DZ116" s="43">
        <v>1</v>
      </c>
      <c r="EA116" s="43">
        <v>1</v>
      </c>
      <c r="EB116" s="43">
        <v>1</v>
      </c>
      <c r="EC116" s="43">
        <v>1</v>
      </c>
      <c r="ED116" s="43">
        <v>1</v>
      </c>
      <c r="EE116" s="43">
        <v>1</v>
      </c>
      <c r="EF116" s="43">
        <v>1</v>
      </c>
      <c r="EG116" s="43">
        <v>1</v>
      </c>
      <c r="EH116" s="43">
        <v>1</v>
      </c>
      <c r="EI116" s="43">
        <v>1</v>
      </c>
      <c r="EJ116" s="43">
        <v>1</v>
      </c>
      <c r="EK116" s="43">
        <v>1</v>
      </c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43">
        <v>0</v>
      </c>
      <c r="AQ117" s="43">
        <v>0</v>
      </c>
      <c r="AR117" s="43">
        <v>0</v>
      </c>
      <c r="AS117" s="43">
        <v>0</v>
      </c>
      <c r="AT117" s="43">
        <v>0</v>
      </c>
      <c r="AU117" s="43">
        <v>0</v>
      </c>
      <c r="AV117" s="43">
        <v>0</v>
      </c>
      <c r="AW117" s="43">
        <v>0</v>
      </c>
      <c r="AX117" s="43">
        <v>0</v>
      </c>
      <c r="AY117" s="43">
        <v>0</v>
      </c>
      <c r="AZ117" s="43">
        <v>0</v>
      </c>
      <c r="BA117" s="43">
        <v>0</v>
      </c>
      <c r="BB117" s="43">
        <v>0</v>
      </c>
      <c r="BC117" s="43">
        <v>0</v>
      </c>
      <c r="BD117" s="43">
        <v>0</v>
      </c>
      <c r="BE117" s="43">
        <v>0</v>
      </c>
      <c r="BF117" s="43">
        <v>0</v>
      </c>
      <c r="BG117" s="43">
        <v>0</v>
      </c>
      <c r="BH117" s="43">
        <v>0</v>
      </c>
      <c r="BI117" s="43">
        <v>0</v>
      </c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2"/>
      <c r="CY117" s="52"/>
      <c r="CZ117" s="52"/>
      <c r="DA117" s="52"/>
      <c r="DB117" s="52"/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  <c r="DR117" s="43">
        <v>1</v>
      </c>
      <c r="DS117" s="43">
        <v>1</v>
      </c>
      <c r="DT117" s="43">
        <v>1</v>
      </c>
      <c r="DU117" s="43">
        <v>1</v>
      </c>
      <c r="DV117" s="43">
        <v>1</v>
      </c>
      <c r="DW117" s="43">
        <v>1</v>
      </c>
      <c r="DX117" s="43">
        <v>1</v>
      </c>
      <c r="DY117" s="43">
        <v>1</v>
      </c>
      <c r="DZ117" s="43">
        <v>1</v>
      </c>
      <c r="EA117" s="43">
        <v>1</v>
      </c>
      <c r="EB117" s="43">
        <v>1</v>
      </c>
      <c r="EC117" s="43">
        <v>1</v>
      </c>
      <c r="ED117" s="43">
        <v>1</v>
      </c>
      <c r="EE117" s="43">
        <v>1</v>
      </c>
      <c r="EF117" s="43">
        <v>1</v>
      </c>
      <c r="EG117" s="43">
        <v>1</v>
      </c>
      <c r="EH117" s="43">
        <v>1</v>
      </c>
      <c r="EI117" s="43">
        <v>1</v>
      </c>
      <c r="EJ117" s="43">
        <v>1</v>
      </c>
      <c r="EK117" s="43">
        <v>1</v>
      </c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43">
        <v>0</v>
      </c>
      <c r="AQ118" s="43">
        <v>0</v>
      </c>
      <c r="AR118" s="43">
        <v>0</v>
      </c>
      <c r="AS118" s="43">
        <v>0</v>
      </c>
      <c r="AT118" s="43">
        <v>0</v>
      </c>
      <c r="AU118" s="43">
        <v>0</v>
      </c>
      <c r="AV118" s="43">
        <v>0</v>
      </c>
      <c r="AW118" s="43">
        <v>0</v>
      </c>
      <c r="AX118" s="43">
        <v>0</v>
      </c>
      <c r="AY118" s="43">
        <v>0</v>
      </c>
      <c r="AZ118" s="43">
        <v>0</v>
      </c>
      <c r="BA118" s="43">
        <v>0</v>
      </c>
      <c r="BB118" s="43">
        <v>0</v>
      </c>
      <c r="BC118" s="43">
        <v>0</v>
      </c>
      <c r="BD118" s="43">
        <v>0</v>
      </c>
      <c r="BE118" s="43">
        <v>0</v>
      </c>
      <c r="BF118" s="43">
        <v>0</v>
      </c>
      <c r="BG118" s="43">
        <v>0</v>
      </c>
      <c r="BH118" s="43">
        <v>0</v>
      </c>
      <c r="BI118" s="43">
        <v>0</v>
      </c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2"/>
      <c r="CY118" s="52"/>
      <c r="CZ118" s="52"/>
      <c r="DA118" s="52"/>
      <c r="DB118" s="52"/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  <c r="DR118" s="43">
        <v>1</v>
      </c>
      <c r="DS118" s="43">
        <v>1</v>
      </c>
      <c r="DT118" s="43">
        <v>1</v>
      </c>
      <c r="DU118" s="43">
        <v>1</v>
      </c>
      <c r="DV118" s="43">
        <v>1</v>
      </c>
      <c r="DW118" s="43">
        <v>1</v>
      </c>
      <c r="DX118" s="43">
        <v>1</v>
      </c>
      <c r="DY118" s="43">
        <v>1</v>
      </c>
      <c r="DZ118" s="43">
        <v>1</v>
      </c>
      <c r="EA118" s="43">
        <v>1</v>
      </c>
      <c r="EB118" s="43">
        <v>1</v>
      </c>
      <c r="EC118" s="43">
        <v>1</v>
      </c>
      <c r="ED118" s="43">
        <v>1</v>
      </c>
      <c r="EE118" s="43">
        <v>1</v>
      </c>
      <c r="EF118" s="43">
        <v>1</v>
      </c>
      <c r="EG118" s="43">
        <v>1</v>
      </c>
      <c r="EH118" s="43">
        <v>1</v>
      </c>
      <c r="EI118" s="43">
        <v>1</v>
      </c>
      <c r="EJ118" s="43">
        <v>1</v>
      </c>
      <c r="EK118" s="43">
        <v>1</v>
      </c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43">
        <v>0</v>
      </c>
      <c r="AQ119" s="43">
        <v>0</v>
      </c>
      <c r="AR119" s="43">
        <v>0</v>
      </c>
      <c r="AS119" s="43">
        <v>0</v>
      </c>
      <c r="AT119" s="43">
        <v>0</v>
      </c>
      <c r="AU119" s="43">
        <v>0</v>
      </c>
      <c r="AV119" s="43">
        <v>0</v>
      </c>
      <c r="AW119" s="43">
        <v>0</v>
      </c>
      <c r="AX119" s="43">
        <v>0</v>
      </c>
      <c r="AY119" s="43">
        <v>0</v>
      </c>
      <c r="AZ119" s="43">
        <v>0</v>
      </c>
      <c r="BA119" s="43">
        <v>0</v>
      </c>
      <c r="BB119" s="43">
        <v>0</v>
      </c>
      <c r="BC119" s="43">
        <v>0</v>
      </c>
      <c r="BD119" s="43">
        <v>0</v>
      </c>
      <c r="BE119" s="43">
        <v>0</v>
      </c>
      <c r="BF119" s="43">
        <v>0</v>
      </c>
      <c r="BG119" s="43">
        <v>0</v>
      </c>
      <c r="BH119" s="43">
        <v>0</v>
      </c>
      <c r="BI119" s="43">
        <v>0</v>
      </c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43">
        <v>1</v>
      </c>
      <c r="DS119" s="43">
        <v>1</v>
      </c>
      <c r="DT119" s="43">
        <v>1</v>
      </c>
      <c r="DU119" s="43">
        <v>1</v>
      </c>
      <c r="DV119" s="43">
        <v>1</v>
      </c>
      <c r="DW119" s="43">
        <v>1</v>
      </c>
      <c r="DX119" s="43">
        <v>1</v>
      </c>
      <c r="DY119" s="43">
        <v>1</v>
      </c>
      <c r="DZ119" s="43">
        <v>1</v>
      </c>
      <c r="EA119" s="43">
        <v>1</v>
      </c>
      <c r="EB119" s="43">
        <v>1</v>
      </c>
      <c r="EC119" s="43">
        <v>1</v>
      </c>
      <c r="ED119" s="43">
        <v>1</v>
      </c>
      <c r="EE119" s="43">
        <v>1</v>
      </c>
      <c r="EF119" s="43">
        <v>1</v>
      </c>
      <c r="EG119" s="43">
        <v>1</v>
      </c>
      <c r="EH119" s="43">
        <v>1</v>
      </c>
      <c r="EI119" s="43">
        <v>1</v>
      </c>
      <c r="EJ119" s="43">
        <v>1</v>
      </c>
      <c r="EK119" s="43">
        <v>1</v>
      </c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43">
        <v>0</v>
      </c>
      <c r="AQ120" s="43">
        <v>0</v>
      </c>
      <c r="AR120" s="43">
        <v>0</v>
      </c>
      <c r="AS120" s="43">
        <v>0</v>
      </c>
      <c r="AT120" s="43">
        <v>0</v>
      </c>
      <c r="AU120" s="43">
        <v>0</v>
      </c>
      <c r="AV120" s="43">
        <v>0</v>
      </c>
      <c r="AW120" s="43">
        <v>0</v>
      </c>
      <c r="AX120" s="43">
        <v>0</v>
      </c>
      <c r="AY120" s="43">
        <v>0</v>
      </c>
      <c r="AZ120" s="43">
        <v>0</v>
      </c>
      <c r="BA120" s="43">
        <v>0</v>
      </c>
      <c r="BB120" s="43">
        <v>0</v>
      </c>
      <c r="BC120" s="43">
        <v>0</v>
      </c>
      <c r="BD120" s="43">
        <v>0</v>
      </c>
      <c r="BE120" s="43">
        <v>0</v>
      </c>
      <c r="BF120" s="43">
        <v>0</v>
      </c>
      <c r="BG120" s="43">
        <v>0</v>
      </c>
      <c r="BH120" s="43">
        <v>0</v>
      </c>
      <c r="BI120" s="43">
        <v>0</v>
      </c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2"/>
      <c r="CY120" s="52"/>
      <c r="CZ120" s="52"/>
      <c r="DA120" s="52"/>
      <c r="DB120" s="52"/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  <c r="DR120" s="43">
        <v>1</v>
      </c>
      <c r="DS120" s="43">
        <v>1</v>
      </c>
      <c r="DT120" s="43">
        <v>1</v>
      </c>
      <c r="DU120" s="43">
        <v>1</v>
      </c>
      <c r="DV120" s="43">
        <v>1</v>
      </c>
      <c r="DW120" s="43">
        <v>1</v>
      </c>
      <c r="DX120" s="43">
        <v>1</v>
      </c>
      <c r="DY120" s="43">
        <v>1</v>
      </c>
      <c r="DZ120" s="43">
        <v>1</v>
      </c>
      <c r="EA120" s="43">
        <v>1</v>
      </c>
      <c r="EB120" s="43">
        <v>1</v>
      </c>
      <c r="EC120" s="43">
        <v>1</v>
      </c>
      <c r="ED120" s="43">
        <v>1</v>
      </c>
      <c r="EE120" s="43">
        <v>1</v>
      </c>
      <c r="EF120" s="43">
        <v>1</v>
      </c>
      <c r="EG120" s="43">
        <v>1</v>
      </c>
      <c r="EH120" s="43">
        <v>1</v>
      </c>
      <c r="EI120" s="43">
        <v>1</v>
      </c>
      <c r="EJ120" s="43">
        <v>1</v>
      </c>
      <c r="EK120" s="43">
        <v>1</v>
      </c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43">
        <v>0</v>
      </c>
      <c r="AQ121" s="43">
        <v>0</v>
      </c>
      <c r="AR121" s="43">
        <v>0</v>
      </c>
      <c r="AS121" s="43">
        <v>0</v>
      </c>
      <c r="AT121" s="43">
        <v>0</v>
      </c>
      <c r="AU121" s="43">
        <v>0</v>
      </c>
      <c r="AV121" s="43">
        <v>0</v>
      </c>
      <c r="AW121" s="43">
        <v>0</v>
      </c>
      <c r="AX121" s="43">
        <v>0</v>
      </c>
      <c r="AY121" s="43">
        <v>0</v>
      </c>
      <c r="AZ121" s="43">
        <v>0</v>
      </c>
      <c r="BA121" s="43">
        <v>0</v>
      </c>
      <c r="BB121" s="43">
        <v>0</v>
      </c>
      <c r="BC121" s="43">
        <v>0</v>
      </c>
      <c r="BD121" s="43">
        <v>0</v>
      </c>
      <c r="BE121" s="43">
        <v>0</v>
      </c>
      <c r="BF121" s="43">
        <v>0</v>
      </c>
      <c r="BG121" s="43">
        <v>0</v>
      </c>
      <c r="BH121" s="43">
        <v>0</v>
      </c>
      <c r="BI121" s="43">
        <v>0</v>
      </c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2"/>
      <c r="CY121" s="52"/>
      <c r="CZ121" s="52"/>
      <c r="DA121" s="52"/>
      <c r="DB121" s="52"/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  <c r="DR121" s="43">
        <v>1</v>
      </c>
      <c r="DS121" s="43">
        <v>1</v>
      </c>
      <c r="DT121" s="43">
        <v>1</v>
      </c>
      <c r="DU121" s="43">
        <v>1</v>
      </c>
      <c r="DV121" s="43">
        <v>1</v>
      </c>
      <c r="DW121" s="43">
        <v>1</v>
      </c>
      <c r="DX121" s="43">
        <v>1</v>
      </c>
      <c r="DY121" s="43">
        <v>1</v>
      </c>
      <c r="DZ121" s="43">
        <v>1</v>
      </c>
      <c r="EA121" s="43">
        <v>1</v>
      </c>
      <c r="EB121" s="43">
        <v>1</v>
      </c>
      <c r="EC121" s="43">
        <v>1</v>
      </c>
      <c r="ED121" s="43">
        <v>1</v>
      </c>
      <c r="EE121" s="43">
        <v>1</v>
      </c>
      <c r="EF121" s="43">
        <v>1</v>
      </c>
      <c r="EG121" s="43">
        <v>1</v>
      </c>
      <c r="EH121" s="43">
        <v>1</v>
      </c>
      <c r="EI121" s="43">
        <v>1</v>
      </c>
      <c r="EJ121" s="43">
        <v>1</v>
      </c>
      <c r="EK121" s="43">
        <v>1</v>
      </c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43">
        <v>0</v>
      </c>
      <c r="AQ122" s="43">
        <v>0</v>
      </c>
      <c r="AR122" s="43">
        <v>0</v>
      </c>
      <c r="AS122" s="43">
        <v>0</v>
      </c>
      <c r="AT122" s="43">
        <v>0</v>
      </c>
      <c r="AU122" s="43">
        <v>0</v>
      </c>
      <c r="AV122" s="43">
        <v>0</v>
      </c>
      <c r="AW122" s="43">
        <v>0</v>
      </c>
      <c r="AX122" s="43">
        <v>0</v>
      </c>
      <c r="AY122" s="43">
        <v>0</v>
      </c>
      <c r="AZ122" s="43">
        <v>0</v>
      </c>
      <c r="BA122" s="43">
        <v>0</v>
      </c>
      <c r="BB122" s="43">
        <v>0</v>
      </c>
      <c r="BC122" s="43">
        <v>0</v>
      </c>
      <c r="BD122" s="43">
        <v>0</v>
      </c>
      <c r="BE122" s="43">
        <v>0</v>
      </c>
      <c r="BF122" s="43">
        <v>0</v>
      </c>
      <c r="BG122" s="43">
        <v>0</v>
      </c>
      <c r="BH122" s="43">
        <v>0</v>
      </c>
      <c r="BI122" s="43">
        <v>0</v>
      </c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43">
        <v>1</v>
      </c>
      <c r="DS122" s="43">
        <v>1</v>
      </c>
      <c r="DT122" s="43">
        <v>1</v>
      </c>
      <c r="DU122" s="43">
        <v>1</v>
      </c>
      <c r="DV122" s="43">
        <v>1</v>
      </c>
      <c r="DW122" s="43">
        <v>1</v>
      </c>
      <c r="DX122" s="43">
        <v>1</v>
      </c>
      <c r="DY122" s="43">
        <v>1</v>
      </c>
      <c r="DZ122" s="43">
        <v>1</v>
      </c>
      <c r="EA122" s="43">
        <v>1</v>
      </c>
      <c r="EB122" s="43">
        <v>1</v>
      </c>
      <c r="EC122" s="43">
        <v>1</v>
      </c>
      <c r="ED122" s="43">
        <v>1</v>
      </c>
      <c r="EE122" s="43">
        <v>1</v>
      </c>
      <c r="EF122" s="43">
        <v>1</v>
      </c>
      <c r="EG122" s="43">
        <v>1</v>
      </c>
      <c r="EH122" s="43">
        <v>1</v>
      </c>
      <c r="EI122" s="43">
        <v>1</v>
      </c>
      <c r="EJ122" s="43">
        <v>1</v>
      </c>
      <c r="EK122" s="43">
        <v>1</v>
      </c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43">
        <v>0</v>
      </c>
      <c r="AQ123" s="43">
        <v>0</v>
      </c>
      <c r="AR123" s="43">
        <v>0</v>
      </c>
      <c r="AS123" s="43">
        <v>0</v>
      </c>
      <c r="AT123" s="43">
        <v>0</v>
      </c>
      <c r="AU123" s="43">
        <v>0</v>
      </c>
      <c r="AV123" s="43">
        <v>0</v>
      </c>
      <c r="AW123" s="43">
        <v>0</v>
      </c>
      <c r="AX123" s="43">
        <v>0</v>
      </c>
      <c r="AY123" s="43">
        <v>0</v>
      </c>
      <c r="AZ123" s="43">
        <v>0</v>
      </c>
      <c r="BA123" s="43">
        <v>0</v>
      </c>
      <c r="BB123" s="43">
        <v>0</v>
      </c>
      <c r="BC123" s="43">
        <v>0</v>
      </c>
      <c r="BD123" s="43">
        <v>0</v>
      </c>
      <c r="BE123" s="43">
        <v>0</v>
      </c>
      <c r="BF123" s="43">
        <v>0</v>
      </c>
      <c r="BG123" s="43">
        <v>0</v>
      </c>
      <c r="BH123" s="43">
        <v>0</v>
      </c>
      <c r="BI123" s="43">
        <v>0</v>
      </c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45">
        <v>1</v>
      </c>
      <c r="DS123" s="45">
        <v>1</v>
      </c>
      <c r="DT123" s="45">
        <v>1</v>
      </c>
      <c r="DU123" s="45">
        <v>1</v>
      </c>
      <c r="DV123" s="45">
        <v>1</v>
      </c>
      <c r="DW123" s="45">
        <v>1</v>
      </c>
      <c r="DX123" s="45">
        <v>1</v>
      </c>
      <c r="DY123" s="45">
        <v>1</v>
      </c>
      <c r="DZ123" s="45">
        <v>1</v>
      </c>
      <c r="EA123" s="45">
        <v>1</v>
      </c>
      <c r="EB123" s="45">
        <v>1</v>
      </c>
      <c r="EC123" s="45">
        <v>1</v>
      </c>
      <c r="ED123" s="45">
        <v>1</v>
      </c>
      <c r="EE123" s="45">
        <v>1</v>
      </c>
      <c r="EF123" s="45">
        <v>1</v>
      </c>
      <c r="EG123" s="45">
        <v>1</v>
      </c>
      <c r="EH123" s="45">
        <v>1</v>
      </c>
      <c r="EI123" s="45">
        <v>1</v>
      </c>
      <c r="EJ123" s="45">
        <v>1</v>
      </c>
      <c r="EK123" s="45">
        <v>1</v>
      </c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43">
        <v>0</v>
      </c>
      <c r="AQ124" s="43">
        <v>0</v>
      </c>
      <c r="AR124" s="43">
        <v>0</v>
      </c>
      <c r="AS124" s="43">
        <v>0</v>
      </c>
      <c r="AT124" s="43">
        <v>0</v>
      </c>
      <c r="AU124" s="43">
        <v>0</v>
      </c>
      <c r="AV124" s="43">
        <v>0</v>
      </c>
      <c r="AW124" s="43">
        <v>0</v>
      </c>
      <c r="AX124" s="43">
        <v>0</v>
      </c>
      <c r="AY124" s="43">
        <v>0</v>
      </c>
      <c r="AZ124" s="43">
        <v>0</v>
      </c>
      <c r="BA124" s="43">
        <v>0</v>
      </c>
      <c r="BB124" s="43">
        <v>0</v>
      </c>
      <c r="BC124" s="43">
        <v>0</v>
      </c>
      <c r="BD124" s="43">
        <v>0</v>
      </c>
      <c r="BE124" s="43">
        <v>0</v>
      </c>
      <c r="BF124" s="43">
        <v>0</v>
      </c>
      <c r="BG124" s="43">
        <v>0</v>
      </c>
      <c r="BH124" s="43">
        <v>0</v>
      </c>
      <c r="BI124" s="43">
        <v>0</v>
      </c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2"/>
      <c r="CY124" s="52"/>
      <c r="CZ124" s="52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43">
        <v>1</v>
      </c>
      <c r="DS124" s="43">
        <v>1</v>
      </c>
      <c r="DT124" s="43">
        <v>1</v>
      </c>
      <c r="DU124" s="43">
        <v>1</v>
      </c>
      <c r="DV124" s="43">
        <v>1</v>
      </c>
      <c r="DW124" s="43">
        <v>1</v>
      </c>
      <c r="DX124" s="43">
        <v>1</v>
      </c>
      <c r="DY124" s="43">
        <v>1</v>
      </c>
      <c r="DZ124" s="43">
        <v>1</v>
      </c>
      <c r="EA124" s="43">
        <v>1</v>
      </c>
      <c r="EB124" s="43">
        <v>1</v>
      </c>
      <c r="EC124" s="43">
        <v>1</v>
      </c>
      <c r="ED124" s="43">
        <v>1</v>
      </c>
      <c r="EE124" s="43">
        <v>1</v>
      </c>
      <c r="EF124" s="43">
        <v>1</v>
      </c>
      <c r="EG124" s="43">
        <v>1</v>
      </c>
      <c r="EH124" s="43">
        <v>1</v>
      </c>
      <c r="EI124" s="43">
        <v>1</v>
      </c>
      <c r="EJ124" s="43">
        <v>1</v>
      </c>
      <c r="EK124" s="43">
        <v>1</v>
      </c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43">
        <v>0</v>
      </c>
      <c r="AQ125" s="43">
        <v>0</v>
      </c>
      <c r="AR125" s="43">
        <v>0</v>
      </c>
      <c r="AS125" s="43">
        <v>0</v>
      </c>
      <c r="AT125" s="43">
        <v>0</v>
      </c>
      <c r="AU125" s="43">
        <v>0</v>
      </c>
      <c r="AV125" s="43">
        <v>0</v>
      </c>
      <c r="AW125" s="43">
        <v>0</v>
      </c>
      <c r="AX125" s="43">
        <v>0</v>
      </c>
      <c r="AY125" s="43">
        <v>0</v>
      </c>
      <c r="AZ125" s="43">
        <v>0</v>
      </c>
      <c r="BA125" s="43">
        <v>0</v>
      </c>
      <c r="BB125" s="43">
        <v>0</v>
      </c>
      <c r="BC125" s="43">
        <v>0</v>
      </c>
      <c r="BD125" s="43">
        <v>0</v>
      </c>
      <c r="BE125" s="43">
        <v>0</v>
      </c>
      <c r="BF125" s="43">
        <v>0</v>
      </c>
      <c r="BG125" s="43">
        <v>0</v>
      </c>
      <c r="BH125" s="43">
        <v>0</v>
      </c>
      <c r="BI125" s="43">
        <v>0</v>
      </c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2"/>
      <c r="CY125" s="52"/>
      <c r="CZ125" s="52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43">
        <v>1</v>
      </c>
      <c r="DS125" s="43">
        <v>1</v>
      </c>
      <c r="DT125" s="43">
        <v>1</v>
      </c>
      <c r="DU125" s="43">
        <v>1</v>
      </c>
      <c r="DV125" s="43">
        <v>1</v>
      </c>
      <c r="DW125" s="43">
        <v>1</v>
      </c>
      <c r="DX125" s="43">
        <v>1</v>
      </c>
      <c r="DY125" s="43">
        <v>1</v>
      </c>
      <c r="DZ125" s="43">
        <v>1</v>
      </c>
      <c r="EA125" s="43">
        <v>1</v>
      </c>
      <c r="EB125" s="43">
        <v>1</v>
      </c>
      <c r="EC125" s="43">
        <v>1</v>
      </c>
      <c r="ED125" s="43">
        <v>1</v>
      </c>
      <c r="EE125" s="43">
        <v>1</v>
      </c>
      <c r="EF125" s="43">
        <v>1</v>
      </c>
      <c r="EG125" s="43">
        <v>1</v>
      </c>
      <c r="EH125" s="43">
        <v>1</v>
      </c>
      <c r="EI125" s="43">
        <v>1</v>
      </c>
      <c r="EJ125" s="43">
        <v>1</v>
      </c>
      <c r="EK125" s="43">
        <v>1</v>
      </c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43">
        <v>0</v>
      </c>
      <c r="AQ126" s="43">
        <v>0</v>
      </c>
      <c r="AR126" s="43">
        <v>0</v>
      </c>
      <c r="AS126" s="43">
        <v>0</v>
      </c>
      <c r="AT126" s="43">
        <v>0</v>
      </c>
      <c r="AU126" s="43">
        <v>0</v>
      </c>
      <c r="AV126" s="43">
        <v>0</v>
      </c>
      <c r="AW126" s="43">
        <v>0</v>
      </c>
      <c r="AX126" s="43">
        <v>0</v>
      </c>
      <c r="AY126" s="43">
        <v>0</v>
      </c>
      <c r="AZ126" s="43">
        <v>0</v>
      </c>
      <c r="BA126" s="43">
        <v>0</v>
      </c>
      <c r="BB126" s="43">
        <v>0</v>
      </c>
      <c r="BC126" s="43">
        <v>0</v>
      </c>
      <c r="BD126" s="43">
        <v>0</v>
      </c>
      <c r="BE126" s="43">
        <v>0</v>
      </c>
      <c r="BF126" s="43">
        <v>0</v>
      </c>
      <c r="BG126" s="43">
        <v>0</v>
      </c>
      <c r="BH126" s="43">
        <v>0</v>
      </c>
      <c r="BI126" s="43">
        <v>0</v>
      </c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2"/>
      <c r="CY126" s="52"/>
      <c r="CZ126" s="52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43">
        <v>1</v>
      </c>
      <c r="DS126" s="43">
        <v>1</v>
      </c>
      <c r="DT126" s="43">
        <v>1</v>
      </c>
      <c r="DU126" s="43">
        <v>1</v>
      </c>
      <c r="DV126" s="43">
        <v>1</v>
      </c>
      <c r="DW126" s="43">
        <v>1</v>
      </c>
      <c r="DX126" s="43">
        <v>1</v>
      </c>
      <c r="DY126" s="43">
        <v>1</v>
      </c>
      <c r="DZ126" s="43">
        <v>1</v>
      </c>
      <c r="EA126" s="43">
        <v>1</v>
      </c>
      <c r="EB126" s="43">
        <v>1</v>
      </c>
      <c r="EC126" s="43">
        <v>1</v>
      </c>
      <c r="ED126" s="43">
        <v>1</v>
      </c>
      <c r="EE126" s="43">
        <v>1</v>
      </c>
      <c r="EF126" s="43">
        <v>1</v>
      </c>
      <c r="EG126" s="43">
        <v>1</v>
      </c>
      <c r="EH126" s="43">
        <v>1</v>
      </c>
      <c r="EI126" s="43">
        <v>1</v>
      </c>
      <c r="EJ126" s="43">
        <v>1</v>
      </c>
      <c r="EK126" s="43">
        <v>1</v>
      </c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43">
        <v>0</v>
      </c>
      <c r="AQ127" s="43">
        <v>0</v>
      </c>
      <c r="AR127" s="43">
        <v>0</v>
      </c>
      <c r="AS127" s="43">
        <v>0</v>
      </c>
      <c r="AT127" s="43">
        <v>0</v>
      </c>
      <c r="AU127" s="43">
        <v>0</v>
      </c>
      <c r="AV127" s="43">
        <v>0</v>
      </c>
      <c r="AW127" s="43">
        <v>0</v>
      </c>
      <c r="AX127" s="43">
        <v>0</v>
      </c>
      <c r="AY127" s="43">
        <v>0</v>
      </c>
      <c r="AZ127" s="43">
        <v>0</v>
      </c>
      <c r="BA127" s="43">
        <v>0</v>
      </c>
      <c r="BB127" s="43">
        <v>0</v>
      </c>
      <c r="BC127" s="43">
        <v>0</v>
      </c>
      <c r="BD127" s="43">
        <v>0</v>
      </c>
      <c r="BE127" s="43">
        <v>0</v>
      </c>
      <c r="BF127" s="43">
        <v>0</v>
      </c>
      <c r="BG127" s="43">
        <v>0</v>
      </c>
      <c r="BH127" s="43">
        <v>0</v>
      </c>
      <c r="BI127" s="43">
        <v>0</v>
      </c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2"/>
      <c r="CY127" s="52"/>
      <c r="CZ127" s="52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43">
        <v>1</v>
      </c>
      <c r="DS127" s="43">
        <v>1</v>
      </c>
      <c r="DT127" s="43">
        <v>1</v>
      </c>
      <c r="DU127" s="43">
        <v>1</v>
      </c>
      <c r="DV127" s="43">
        <v>1</v>
      </c>
      <c r="DW127" s="43">
        <v>1</v>
      </c>
      <c r="DX127" s="43">
        <v>1</v>
      </c>
      <c r="DY127" s="43">
        <v>1</v>
      </c>
      <c r="DZ127" s="43">
        <v>1</v>
      </c>
      <c r="EA127" s="43">
        <v>1</v>
      </c>
      <c r="EB127" s="43">
        <v>1</v>
      </c>
      <c r="EC127" s="43">
        <v>1</v>
      </c>
      <c r="ED127" s="43">
        <v>1</v>
      </c>
      <c r="EE127" s="43">
        <v>1</v>
      </c>
      <c r="EF127" s="43">
        <v>1</v>
      </c>
      <c r="EG127" s="43">
        <v>1</v>
      </c>
      <c r="EH127" s="43">
        <v>1</v>
      </c>
      <c r="EI127" s="43">
        <v>1</v>
      </c>
      <c r="EJ127" s="43">
        <v>1</v>
      </c>
      <c r="EK127" s="43">
        <v>1</v>
      </c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43">
        <v>0</v>
      </c>
      <c r="AQ128" s="43">
        <v>0</v>
      </c>
      <c r="AR128" s="43">
        <v>0</v>
      </c>
      <c r="AS128" s="43">
        <v>0</v>
      </c>
      <c r="AT128" s="43">
        <v>0</v>
      </c>
      <c r="AU128" s="43">
        <v>0</v>
      </c>
      <c r="AV128" s="43">
        <v>0</v>
      </c>
      <c r="AW128" s="43">
        <v>0</v>
      </c>
      <c r="AX128" s="43">
        <v>0</v>
      </c>
      <c r="AY128" s="43">
        <v>0</v>
      </c>
      <c r="AZ128" s="43">
        <v>0</v>
      </c>
      <c r="BA128" s="43">
        <v>0</v>
      </c>
      <c r="BB128" s="43">
        <v>0</v>
      </c>
      <c r="BC128" s="43">
        <v>0</v>
      </c>
      <c r="BD128" s="43">
        <v>0</v>
      </c>
      <c r="BE128" s="43">
        <v>0</v>
      </c>
      <c r="BF128" s="43">
        <v>0</v>
      </c>
      <c r="BG128" s="43">
        <v>0</v>
      </c>
      <c r="BH128" s="43">
        <v>0</v>
      </c>
      <c r="BI128" s="43">
        <v>0</v>
      </c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2"/>
      <c r="CY128" s="52"/>
      <c r="CZ128" s="52"/>
      <c r="DA128" s="52"/>
      <c r="DB128" s="52"/>
      <c r="DC128" s="52"/>
      <c r="DD128" s="52"/>
      <c r="DE128" s="52"/>
      <c r="DF128" s="52"/>
      <c r="DG128" s="52"/>
      <c r="DH128" s="52"/>
      <c r="DI128" s="52"/>
      <c r="DJ128" s="52"/>
      <c r="DK128" s="52"/>
      <c r="DL128" s="52"/>
      <c r="DM128" s="52"/>
      <c r="DN128" s="52"/>
      <c r="DO128" s="52"/>
      <c r="DP128" s="52"/>
      <c r="DQ128" s="52"/>
      <c r="DR128" s="43">
        <v>1</v>
      </c>
      <c r="DS128" s="43">
        <v>1</v>
      </c>
      <c r="DT128" s="43">
        <v>1</v>
      </c>
      <c r="DU128" s="43">
        <v>1</v>
      </c>
      <c r="DV128" s="43">
        <v>1</v>
      </c>
      <c r="DW128" s="43">
        <v>1</v>
      </c>
      <c r="DX128" s="43">
        <v>1</v>
      </c>
      <c r="DY128" s="43">
        <v>1</v>
      </c>
      <c r="DZ128" s="43">
        <v>1</v>
      </c>
      <c r="EA128" s="43">
        <v>1</v>
      </c>
      <c r="EB128" s="43">
        <v>1</v>
      </c>
      <c r="EC128" s="43">
        <v>1</v>
      </c>
      <c r="ED128" s="43">
        <v>1</v>
      </c>
      <c r="EE128" s="43">
        <v>1</v>
      </c>
      <c r="EF128" s="43">
        <v>1</v>
      </c>
      <c r="EG128" s="43">
        <v>1</v>
      </c>
      <c r="EH128" s="43">
        <v>1</v>
      </c>
      <c r="EI128" s="43">
        <v>1</v>
      </c>
      <c r="EJ128" s="43">
        <v>1</v>
      </c>
      <c r="EK128" s="43">
        <v>1</v>
      </c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43">
        <v>0</v>
      </c>
      <c r="AY129" s="43">
        <v>0</v>
      </c>
      <c r="AZ129" s="43">
        <v>0</v>
      </c>
      <c r="BA129" s="43">
        <v>0</v>
      </c>
      <c r="BB129" s="43">
        <v>0</v>
      </c>
      <c r="BC129" s="43">
        <v>0</v>
      </c>
      <c r="BD129" s="43">
        <v>0</v>
      </c>
      <c r="BE129" s="43">
        <v>0</v>
      </c>
      <c r="BF129" s="43">
        <v>0</v>
      </c>
      <c r="BG129" s="43">
        <v>0</v>
      </c>
      <c r="BH129" s="43">
        <v>0</v>
      </c>
      <c r="BI129" s="43">
        <v>0</v>
      </c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2"/>
      <c r="CY129" s="52"/>
      <c r="CZ129" s="52"/>
      <c r="DA129" s="52"/>
      <c r="DB129" s="52"/>
      <c r="DC129" s="52"/>
      <c r="DD129" s="52"/>
      <c r="DE129" s="52"/>
      <c r="DF129" s="52"/>
      <c r="DG129" s="52"/>
      <c r="DH129" s="52"/>
      <c r="DI129" s="52"/>
      <c r="DJ129" s="52"/>
      <c r="DK129" s="52"/>
      <c r="DL129" s="52"/>
      <c r="DM129" s="52"/>
      <c r="DN129" s="52"/>
      <c r="DO129" s="52"/>
      <c r="DP129" s="52"/>
      <c r="DQ129" s="52"/>
      <c r="DR129" s="43">
        <v>1</v>
      </c>
      <c r="DS129" s="43">
        <v>1</v>
      </c>
      <c r="DT129" s="43">
        <v>1</v>
      </c>
      <c r="DU129" s="43">
        <v>1</v>
      </c>
      <c r="DV129" s="43">
        <v>1</v>
      </c>
      <c r="DW129" s="43">
        <v>1</v>
      </c>
      <c r="DX129" s="43">
        <v>1</v>
      </c>
      <c r="DY129" s="43">
        <v>1</v>
      </c>
      <c r="DZ129" s="43">
        <v>1</v>
      </c>
      <c r="EA129" s="43">
        <v>1</v>
      </c>
      <c r="EB129" s="43">
        <v>1</v>
      </c>
      <c r="EC129" s="43">
        <v>1</v>
      </c>
      <c r="ED129" s="43">
        <v>1</v>
      </c>
      <c r="EE129" s="43">
        <v>1</v>
      </c>
      <c r="EF129" s="43">
        <v>1</v>
      </c>
      <c r="EG129" s="43">
        <v>1</v>
      </c>
      <c r="EH129" s="43">
        <v>1</v>
      </c>
      <c r="EI129" s="43">
        <v>1</v>
      </c>
      <c r="EJ129" s="43">
        <v>1</v>
      </c>
      <c r="EK129" s="43">
        <v>1</v>
      </c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43">
        <v>0</v>
      </c>
      <c r="AQ130" s="43">
        <v>0</v>
      </c>
      <c r="AR130" s="43">
        <v>0</v>
      </c>
      <c r="AS130" s="43">
        <v>0</v>
      </c>
      <c r="AT130" s="43">
        <v>0</v>
      </c>
      <c r="AU130" s="43">
        <v>0</v>
      </c>
      <c r="AV130" s="43">
        <v>0</v>
      </c>
      <c r="AW130" s="43">
        <v>0</v>
      </c>
      <c r="AX130" s="43">
        <v>0</v>
      </c>
      <c r="AY130" s="43">
        <v>0</v>
      </c>
      <c r="AZ130" s="43">
        <v>0</v>
      </c>
      <c r="BA130" s="43">
        <v>0</v>
      </c>
      <c r="BB130" s="43">
        <v>0</v>
      </c>
      <c r="BC130" s="43">
        <v>0</v>
      </c>
      <c r="BD130" s="43">
        <v>0</v>
      </c>
      <c r="BE130" s="43">
        <v>0</v>
      </c>
      <c r="BF130" s="43">
        <v>0</v>
      </c>
      <c r="BG130" s="43">
        <v>0</v>
      </c>
      <c r="BH130" s="43">
        <v>0</v>
      </c>
      <c r="BI130" s="43">
        <v>0</v>
      </c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2"/>
      <c r="CY130" s="52"/>
      <c r="CZ130" s="52"/>
      <c r="DA130" s="52"/>
      <c r="DB130" s="52"/>
      <c r="DC130" s="52"/>
      <c r="DD130" s="52"/>
      <c r="DE130" s="52"/>
      <c r="DF130" s="52"/>
      <c r="DG130" s="52"/>
      <c r="DH130" s="52"/>
      <c r="DI130" s="52"/>
      <c r="DJ130" s="52"/>
      <c r="DK130" s="52"/>
      <c r="DL130" s="52"/>
      <c r="DM130" s="52"/>
      <c r="DN130" s="52"/>
      <c r="DO130" s="52"/>
      <c r="DP130" s="52"/>
      <c r="DQ130" s="52"/>
      <c r="DR130" s="43">
        <v>1</v>
      </c>
      <c r="DS130" s="43">
        <v>1</v>
      </c>
      <c r="DT130" s="43">
        <v>1</v>
      </c>
      <c r="DU130" s="43">
        <v>1</v>
      </c>
      <c r="DV130" s="43">
        <v>1</v>
      </c>
      <c r="DW130" s="43">
        <v>1</v>
      </c>
      <c r="DX130" s="43">
        <v>1</v>
      </c>
      <c r="DY130" s="43">
        <v>1</v>
      </c>
      <c r="DZ130" s="43">
        <v>1</v>
      </c>
      <c r="EA130" s="43">
        <v>1</v>
      </c>
      <c r="EB130" s="43">
        <v>1</v>
      </c>
      <c r="EC130" s="43">
        <v>1</v>
      </c>
      <c r="ED130" s="43">
        <v>1</v>
      </c>
      <c r="EE130" s="43">
        <v>1</v>
      </c>
      <c r="EF130" s="43">
        <v>1</v>
      </c>
      <c r="EG130" s="43">
        <v>1</v>
      </c>
      <c r="EH130" s="43">
        <v>1</v>
      </c>
      <c r="EI130" s="43">
        <v>1</v>
      </c>
      <c r="EJ130" s="43">
        <v>1</v>
      </c>
      <c r="EK130" s="43">
        <v>1</v>
      </c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43">
        <v>0</v>
      </c>
      <c r="AQ131" s="43">
        <v>0</v>
      </c>
      <c r="AR131" s="43">
        <v>0</v>
      </c>
      <c r="AS131" s="43">
        <v>0</v>
      </c>
      <c r="AT131" s="43">
        <v>0</v>
      </c>
      <c r="AU131" s="43">
        <v>0</v>
      </c>
      <c r="AV131" s="43">
        <v>0</v>
      </c>
      <c r="AW131" s="43">
        <v>0</v>
      </c>
      <c r="AX131" s="43">
        <v>0</v>
      </c>
      <c r="AY131" s="43">
        <v>0</v>
      </c>
      <c r="AZ131" s="43">
        <v>0</v>
      </c>
      <c r="BA131" s="43">
        <v>0</v>
      </c>
      <c r="BB131" s="43">
        <v>0</v>
      </c>
      <c r="BC131" s="43">
        <v>0</v>
      </c>
      <c r="BD131" s="43">
        <v>0</v>
      </c>
      <c r="BE131" s="43">
        <v>0</v>
      </c>
      <c r="BF131" s="43">
        <v>0</v>
      </c>
      <c r="BG131" s="43">
        <v>0</v>
      </c>
      <c r="BH131" s="43">
        <v>0</v>
      </c>
      <c r="BI131" s="43">
        <v>0</v>
      </c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2"/>
      <c r="CY131" s="52"/>
      <c r="CZ131" s="52"/>
      <c r="DA131" s="52"/>
      <c r="DB131" s="52"/>
      <c r="DC131" s="52"/>
      <c r="DD131" s="52"/>
      <c r="DE131" s="52"/>
      <c r="DF131" s="52"/>
      <c r="DG131" s="52"/>
      <c r="DH131" s="52"/>
      <c r="DI131" s="52"/>
      <c r="DJ131" s="52"/>
      <c r="DK131" s="52"/>
      <c r="DL131" s="52"/>
      <c r="DM131" s="52"/>
      <c r="DN131" s="52"/>
      <c r="DO131" s="52"/>
      <c r="DP131" s="52"/>
      <c r="DQ131" s="52"/>
      <c r="DR131" s="43">
        <v>1</v>
      </c>
      <c r="DS131" s="43">
        <v>1</v>
      </c>
      <c r="DT131" s="43">
        <v>1</v>
      </c>
      <c r="DU131" s="43">
        <v>1</v>
      </c>
      <c r="DV131" s="43">
        <v>1</v>
      </c>
      <c r="DW131" s="43">
        <v>1</v>
      </c>
      <c r="DX131" s="43">
        <v>1</v>
      </c>
      <c r="DY131" s="43">
        <v>1</v>
      </c>
      <c r="DZ131" s="43">
        <v>1</v>
      </c>
      <c r="EA131" s="43">
        <v>1</v>
      </c>
      <c r="EB131" s="43">
        <v>1</v>
      </c>
      <c r="EC131" s="43">
        <v>1</v>
      </c>
      <c r="ED131" s="43">
        <v>1</v>
      </c>
      <c r="EE131" s="43">
        <v>1</v>
      </c>
      <c r="EF131" s="43">
        <v>1</v>
      </c>
      <c r="EG131" s="43">
        <v>1</v>
      </c>
      <c r="EH131" s="43">
        <v>1</v>
      </c>
      <c r="EI131" s="43">
        <v>1</v>
      </c>
      <c r="EJ131" s="43">
        <v>1</v>
      </c>
      <c r="EK131" s="43">
        <v>1</v>
      </c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43">
        <v>0</v>
      </c>
      <c r="AQ132" s="43">
        <v>0</v>
      </c>
      <c r="AR132" s="43">
        <v>0</v>
      </c>
      <c r="AS132" s="43">
        <v>0</v>
      </c>
      <c r="AT132" s="43">
        <v>0</v>
      </c>
      <c r="AU132" s="43">
        <v>0</v>
      </c>
      <c r="AV132" s="43">
        <v>0</v>
      </c>
      <c r="AW132" s="43">
        <v>0</v>
      </c>
      <c r="AX132" s="43">
        <v>0</v>
      </c>
      <c r="AY132" s="43">
        <v>0</v>
      </c>
      <c r="AZ132" s="43">
        <v>0</v>
      </c>
      <c r="BA132" s="43">
        <v>0</v>
      </c>
      <c r="BB132" s="43">
        <v>0</v>
      </c>
      <c r="BC132" s="43">
        <v>0</v>
      </c>
      <c r="BD132" s="43">
        <v>0</v>
      </c>
      <c r="BE132" s="43">
        <v>0</v>
      </c>
      <c r="BF132" s="43">
        <v>0</v>
      </c>
      <c r="BG132" s="43">
        <v>0</v>
      </c>
      <c r="BH132" s="43">
        <v>0</v>
      </c>
      <c r="BI132" s="43">
        <v>0</v>
      </c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2"/>
      <c r="CY132" s="52"/>
      <c r="CZ132" s="52"/>
      <c r="DA132" s="52"/>
      <c r="DB132" s="52"/>
      <c r="DC132" s="52"/>
      <c r="DD132" s="52"/>
      <c r="DE132" s="52"/>
      <c r="DF132" s="52"/>
      <c r="DG132" s="52"/>
      <c r="DH132" s="52"/>
      <c r="DI132" s="52"/>
      <c r="DJ132" s="52"/>
      <c r="DK132" s="52"/>
      <c r="DL132" s="52"/>
      <c r="DM132" s="52"/>
      <c r="DN132" s="52"/>
      <c r="DO132" s="52"/>
      <c r="DP132" s="52"/>
      <c r="DQ132" s="52"/>
      <c r="DR132" s="43">
        <v>1</v>
      </c>
      <c r="DS132" s="43">
        <v>1</v>
      </c>
      <c r="DT132" s="43">
        <v>1</v>
      </c>
      <c r="DU132" s="43">
        <v>1</v>
      </c>
      <c r="DV132" s="43">
        <v>1</v>
      </c>
      <c r="DW132" s="43">
        <v>1</v>
      </c>
      <c r="DX132" s="43">
        <v>1</v>
      </c>
      <c r="DY132" s="43">
        <v>1</v>
      </c>
      <c r="DZ132" s="43">
        <v>1</v>
      </c>
      <c r="EA132" s="43">
        <v>1</v>
      </c>
      <c r="EB132" s="43">
        <v>1</v>
      </c>
      <c r="EC132" s="43">
        <v>1</v>
      </c>
      <c r="ED132" s="43">
        <v>1</v>
      </c>
      <c r="EE132" s="43">
        <v>1</v>
      </c>
      <c r="EF132" s="43">
        <v>1</v>
      </c>
      <c r="EG132" s="43">
        <v>1</v>
      </c>
      <c r="EH132" s="43">
        <v>1</v>
      </c>
      <c r="EI132" s="43">
        <v>1</v>
      </c>
      <c r="EJ132" s="43">
        <v>1</v>
      </c>
      <c r="EK132" s="43">
        <v>1</v>
      </c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43">
        <v>0</v>
      </c>
      <c r="AQ133" s="43">
        <v>0</v>
      </c>
      <c r="AR133" s="43">
        <v>0</v>
      </c>
      <c r="AS133" s="43">
        <v>0</v>
      </c>
      <c r="AT133" s="43">
        <v>0</v>
      </c>
      <c r="AU133" s="43">
        <v>0</v>
      </c>
      <c r="AV133" s="43">
        <v>0</v>
      </c>
      <c r="AW133" s="43">
        <v>0</v>
      </c>
      <c r="AX133" s="43">
        <v>0</v>
      </c>
      <c r="AY133" s="43">
        <v>0</v>
      </c>
      <c r="AZ133" s="43">
        <v>0</v>
      </c>
      <c r="BA133" s="43">
        <v>0</v>
      </c>
      <c r="BB133" s="43">
        <v>0</v>
      </c>
      <c r="BC133" s="43">
        <v>0</v>
      </c>
      <c r="BD133" s="43">
        <v>0</v>
      </c>
      <c r="BE133" s="43">
        <v>0</v>
      </c>
      <c r="BF133" s="43">
        <v>0</v>
      </c>
      <c r="BG133" s="43">
        <v>0</v>
      </c>
      <c r="BH133" s="43">
        <v>0</v>
      </c>
      <c r="BI133" s="43">
        <v>0</v>
      </c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2"/>
      <c r="CY133" s="52"/>
      <c r="CZ133" s="52"/>
      <c r="DA133" s="52"/>
      <c r="DB133" s="52"/>
      <c r="DC133" s="52"/>
      <c r="DD133" s="52"/>
      <c r="DE133" s="52"/>
      <c r="DF133" s="52"/>
      <c r="DG133" s="52"/>
      <c r="DH133" s="52"/>
      <c r="DI133" s="52"/>
      <c r="DJ133" s="52"/>
      <c r="DK133" s="52"/>
      <c r="DL133" s="52"/>
      <c r="DM133" s="52"/>
      <c r="DN133" s="52"/>
      <c r="DO133" s="52"/>
      <c r="DP133" s="52"/>
      <c r="DQ133" s="52"/>
      <c r="DR133" s="43">
        <v>1</v>
      </c>
      <c r="DS133" s="43">
        <v>1</v>
      </c>
      <c r="DT133" s="43">
        <v>1</v>
      </c>
      <c r="DU133" s="43">
        <v>1</v>
      </c>
      <c r="DV133" s="43">
        <v>1</v>
      </c>
      <c r="DW133" s="43">
        <v>1</v>
      </c>
      <c r="DX133" s="43">
        <v>1</v>
      </c>
      <c r="DY133" s="43">
        <v>1</v>
      </c>
      <c r="DZ133" s="43">
        <v>1</v>
      </c>
      <c r="EA133" s="43">
        <v>1</v>
      </c>
      <c r="EB133" s="43">
        <v>1</v>
      </c>
      <c r="EC133" s="43">
        <v>1</v>
      </c>
      <c r="ED133" s="43">
        <v>1</v>
      </c>
      <c r="EE133" s="43">
        <v>1</v>
      </c>
      <c r="EF133" s="43">
        <v>1</v>
      </c>
      <c r="EG133" s="43">
        <v>1</v>
      </c>
      <c r="EH133" s="43">
        <v>1</v>
      </c>
      <c r="EI133" s="43">
        <v>1</v>
      </c>
      <c r="EJ133" s="43">
        <v>1</v>
      </c>
      <c r="EK133" s="43">
        <v>1</v>
      </c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43">
        <v>0</v>
      </c>
      <c r="AQ134" s="43">
        <v>0</v>
      </c>
      <c r="AR134" s="43">
        <v>0</v>
      </c>
      <c r="AS134" s="43">
        <v>0</v>
      </c>
      <c r="AT134" s="43">
        <v>0</v>
      </c>
      <c r="AU134" s="43">
        <v>0</v>
      </c>
      <c r="AV134" s="43">
        <v>0</v>
      </c>
      <c r="AW134" s="43">
        <v>0</v>
      </c>
      <c r="AX134" s="43">
        <v>0</v>
      </c>
      <c r="AY134" s="43">
        <v>0</v>
      </c>
      <c r="AZ134" s="43">
        <v>0</v>
      </c>
      <c r="BA134" s="43">
        <v>0</v>
      </c>
      <c r="BB134" s="43">
        <v>0</v>
      </c>
      <c r="BC134" s="43">
        <v>0</v>
      </c>
      <c r="BD134" s="43">
        <v>0</v>
      </c>
      <c r="BE134" s="43">
        <v>0</v>
      </c>
      <c r="BF134" s="43">
        <v>0</v>
      </c>
      <c r="BG134" s="43">
        <v>0</v>
      </c>
      <c r="BH134" s="43">
        <v>0</v>
      </c>
      <c r="BI134" s="43">
        <v>0</v>
      </c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2"/>
      <c r="CY134" s="52"/>
      <c r="CZ134" s="52"/>
      <c r="DA134" s="52"/>
      <c r="DB134" s="52"/>
      <c r="DC134" s="52"/>
      <c r="DD134" s="52"/>
      <c r="DE134" s="52"/>
      <c r="DF134" s="52"/>
      <c r="DG134" s="52"/>
      <c r="DH134" s="52"/>
      <c r="DI134" s="52"/>
      <c r="DJ134" s="52"/>
      <c r="DK134" s="52"/>
      <c r="DL134" s="52"/>
      <c r="DM134" s="52"/>
      <c r="DN134" s="52"/>
      <c r="DO134" s="52"/>
      <c r="DP134" s="52"/>
      <c r="DQ134" s="52"/>
      <c r="DR134" s="43">
        <v>1</v>
      </c>
      <c r="DS134" s="43">
        <v>1</v>
      </c>
      <c r="DT134" s="43">
        <v>1</v>
      </c>
      <c r="DU134" s="43">
        <v>1</v>
      </c>
      <c r="DV134" s="43">
        <v>1</v>
      </c>
      <c r="DW134" s="43">
        <v>1</v>
      </c>
      <c r="DX134" s="43">
        <v>1</v>
      </c>
      <c r="DY134" s="43">
        <v>1</v>
      </c>
      <c r="DZ134" s="43">
        <v>1</v>
      </c>
      <c r="EA134" s="43">
        <v>1</v>
      </c>
      <c r="EB134" s="43">
        <v>1</v>
      </c>
      <c r="EC134" s="43">
        <v>1</v>
      </c>
      <c r="ED134" s="43">
        <v>1</v>
      </c>
      <c r="EE134" s="43">
        <v>1</v>
      </c>
      <c r="EF134" s="43">
        <v>1</v>
      </c>
      <c r="EG134" s="43">
        <v>1</v>
      </c>
      <c r="EH134" s="43">
        <v>1</v>
      </c>
      <c r="EI134" s="43">
        <v>1</v>
      </c>
      <c r="EJ134" s="43">
        <v>1</v>
      </c>
      <c r="EK134" s="43">
        <v>1</v>
      </c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43">
        <v>0</v>
      </c>
      <c r="AQ135" s="43">
        <v>0</v>
      </c>
      <c r="AR135" s="43">
        <v>0</v>
      </c>
      <c r="AS135" s="43">
        <v>0</v>
      </c>
      <c r="AT135" s="43">
        <v>0</v>
      </c>
      <c r="AU135" s="43">
        <v>0</v>
      </c>
      <c r="AV135" s="43">
        <v>0</v>
      </c>
      <c r="AW135" s="43">
        <v>0</v>
      </c>
      <c r="AX135" s="43">
        <v>0</v>
      </c>
      <c r="AY135" s="43">
        <v>0</v>
      </c>
      <c r="AZ135" s="43">
        <v>0</v>
      </c>
      <c r="BA135" s="43">
        <v>0</v>
      </c>
      <c r="BB135" s="43">
        <v>0</v>
      </c>
      <c r="BC135" s="43">
        <v>0</v>
      </c>
      <c r="BD135" s="43">
        <v>0</v>
      </c>
      <c r="BE135" s="43">
        <v>0</v>
      </c>
      <c r="BF135" s="43">
        <v>0</v>
      </c>
      <c r="BG135" s="43">
        <v>0</v>
      </c>
      <c r="BH135" s="43">
        <v>0</v>
      </c>
      <c r="BI135" s="43">
        <v>0</v>
      </c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2"/>
      <c r="CY135" s="52"/>
      <c r="CZ135" s="52"/>
      <c r="DA135" s="52"/>
      <c r="DB135" s="52"/>
      <c r="DC135" s="52"/>
      <c r="DD135" s="52"/>
      <c r="DE135" s="52"/>
      <c r="DF135" s="52"/>
      <c r="DG135" s="52"/>
      <c r="DH135" s="52"/>
      <c r="DI135" s="52"/>
      <c r="DJ135" s="52"/>
      <c r="DK135" s="52"/>
      <c r="DL135" s="52"/>
      <c r="DM135" s="52"/>
      <c r="DN135" s="52"/>
      <c r="DO135" s="52"/>
      <c r="DP135" s="52"/>
      <c r="DQ135" s="52"/>
      <c r="DR135" s="45">
        <v>1</v>
      </c>
      <c r="DS135" s="45">
        <v>1</v>
      </c>
      <c r="DT135" s="45">
        <v>1</v>
      </c>
      <c r="DU135" s="45">
        <v>1</v>
      </c>
      <c r="DV135" s="45">
        <v>1</v>
      </c>
      <c r="DW135" s="45">
        <v>1</v>
      </c>
      <c r="DX135" s="45">
        <v>1</v>
      </c>
      <c r="DY135" s="45">
        <v>1</v>
      </c>
      <c r="DZ135" s="45">
        <v>1</v>
      </c>
      <c r="EA135" s="45">
        <v>1</v>
      </c>
      <c r="EB135" s="45">
        <v>1</v>
      </c>
      <c r="EC135" s="45">
        <v>1</v>
      </c>
      <c r="ED135" s="45">
        <v>1</v>
      </c>
      <c r="EE135" s="45">
        <v>1</v>
      </c>
      <c r="EF135" s="45">
        <v>1</v>
      </c>
      <c r="EG135" s="45">
        <v>1</v>
      </c>
      <c r="EH135" s="45">
        <v>1</v>
      </c>
      <c r="EI135" s="45">
        <v>1</v>
      </c>
      <c r="EJ135" s="45">
        <v>1</v>
      </c>
      <c r="EK135" s="45">
        <v>1</v>
      </c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43">
        <v>0</v>
      </c>
      <c r="AQ136" s="43">
        <v>0</v>
      </c>
      <c r="AR136" s="43">
        <v>0</v>
      </c>
      <c r="AS136" s="43">
        <v>0</v>
      </c>
      <c r="AT136" s="43">
        <v>0</v>
      </c>
      <c r="AU136" s="43">
        <v>0</v>
      </c>
      <c r="AV136" s="43">
        <v>0</v>
      </c>
      <c r="AW136" s="43">
        <v>0</v>
      </c>
      <c r="AX136" s="43">
        <v>0</v>
      </c>
      <c r="AY136" s="43">
        <v>0</v>
      </c>
      <c r="AZ136" s="43">
        <v>0</v>
      </c>
      <c r="BA136" s="43">
        <v>0</v>
      </c>
      <c r="BB136" s="43">
        <v>0</v>
      </c>
      <c r="BC136" s="43">
        <v>0</v>
      </c>
      <c r="BD136" s="43">
        <v>0</v>
      </c>
      <c r="BE136" s="43">
        <v>0</v>
      </c>
      <c r="BF136" s="43">
        <v>0</v>
      </c>
      <c r="BG136" s="43">
        <v>0</v>
      </c>
      <c r="BH136" s="43">
        <v>0</v>
      </c>
      <c r="BI136" s="43">
        <v>0</v>
      </c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2"/>
      <c r="CY136" s="52"/>
      <c r="CZ136" s="52"/>
      <c r="DA136" s="52"/>
      <c r="DB136" s="52"/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  <c r="DR136" s="43">
        <v>1</v>
      </c>
      <c r="DS136" s="43">
        <v>1</v>
      </c>
      <c r="DT136" s="43">
        <v>1</v>
      </c>
      <c r="DU136" s="43">
        <v>1</v>
      </c>
      <c r="DV136" s="43">
        <v>1</v>
      </c>
      <c r="DW136" s="43">
        <v>1</v>
      </c>
      <c r="DX136" s="43">
        <v>1</v>
      </c>
      <c r="DY136" s="43">
        <v>1</v>
      </c>
      <c r="DZ136" s="43">
        <v>1</v>
      </c>
      <c r="EA136" s="43">
        <v>1</v>
      </c>
      <c r="EB136" s="43">
        <v>1</v>
      </c>
      <c r="EC136" s="43">
        <v>1</v>
      </c>
      <c r="ED136" s="43">
        <v>1</v>
      </c>
      <c r="EE136" s="43">
        <v>1</v>
      </c>
      <c r="EF136" s="43">
        <v>1</v>
      </c>
      <c r="EG136" s="43">
        <v>1</v>
      </c>
      <c r="EH136" s="43">
        <v>1</v>
      </c>
      <c r="EI136" s="43">
        <v>1</v>
      </c>
      <c r="EJ136" s="43">
        <v>1</v>
      </c>
      <c r="EK136" s="43">
        <v>1</v>
      </c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43">
        <v>0</v>
      </c>
      <c r="AQ137" s="43">
        <v>0</v>
      </c>
      <c r="AR137" s="43">
        <v>0</v>
      </c>
      <c r="AS137" s="43">
        <v>0</v>
      </c>
      <c r="AT137" s="43">
        <v>0</v>
      </c>
      <c r="AU137" s="43">
        <v>0</v>
      </c>
      <c r="AV137" s="43">
        <v>0</v>
      </c>
      <c r="AW137" s="43">
        <v>0</v>
      </c>
      <c r="AX137" s="43">
        <v>0</v>
      </c>
      <c r="AY137" s="43">
        <v>0</v>
      </c>
      <c r="AZ137" s="43">
        <v>0</v>
      </c>
      <c r="BA137" s="43">
        <v>0</v>
      </c>
      <c r="BB137" s="43">
        <v>0</v>
      </c>
      <c r="BC137" s="43">
        <v>0</v>
      </c>
      <c r="BD137" s="43">
        <v>0</v>
      </c>
      <c r="BE137" s="43">
        <v>0</v>
      </c>
      <c r="BF137" s="43">
        <v>0</v>
      </c>
      <c r="BG137" s="43">
        <v>0</v>
      </c>
      <c r="BH137" s="43">
        <v>0</v>
      </c>
      <c r="BI137" s="43">
        <v>0</v>
      </c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2"/>
      <c r="CY137" s="52"/>
      <c r="CZ137" s="52"/>
      <c r="DA137" s="52"/>
      <c r="DB137" s="52"/>
      <c r="DC137" s="52"/>
      <c r="DD137" s="52"/>
      <c r="DE137" s="52"/>
      <c r="DF137" s="52"/>
      <c r="DG137" s="52"/>
      <c r="DH137" s="52"/>
      <c r="DI137" s="52"/>
      <c r="DJ137" s="52"/>
      <c r="DK137" s="52"/>
      <c r="DL137" s="52"/>
      <c r="DM137" s="52"/>
      <c r="DN137" s="52"/>
      <c r="DO137" s="52"/>
      <c r="DP137" s="52"/>
      <c r="DQ137" s="52"/>
      <c r="DR137" s="43">
        <v>1</v>
      </c>
      <c r="DS137" s="43">
        <v>1</v>
      </c>
      <c r="DT137" s="43">
        <v>1</v>
      </c>
      <c r="DU137" s="43">
        <v>1</v>
      </c>
      <c r="DV137" s="43">
        <v>1</v>
      </c>
      <c r="DW137" s="43">
        <v>1</v>
      </c>
      <c r="DX137" s="43">
        <v>1</v>
      </c>
      <c r="DY137" s="43">
        <v>1</v>
      </c>
      <c r="DZ137" s="43">
        <v>1</v>
      </c>
      <c r="EA137" s="43">
        <v>1</v>
      </c>
      <c r="EB137" s="43">
        <v>1</v>
      </c>
      <c r="EC137" s="43">
        <v>1</v>
      </c>
      <c r="ED137" s="43">
        <v>1</v>
      </c>
      <c r="EE137" s="43">
        <v>1</v>
      </c>
      <c r="EF137" s="43">
        <v>1</v>
      </c>
      <c r="EG137" s="43">
        <v>1</v>
      </c>
      <c r="EH137" s="43">
        <v>1</v>
      </c>
      <c r="EI137" s="43">
        <v>1</v>
      </c>
      <c r="EJ137" s="43">
        <v>1</v>
      </c>
      <c r="EK137" s="43">
        <v>1</v>
      </c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43">
        <v>0</v>
      </c>
      <c r="AQ138" s="43">
        <v>0</v>
      </c>
      <c r="AR138" s="43">
        <v>0</v>
      </c>
      <c r="AS138" s="43">
        <v>0</v>
      </c>
      <c r="AT138" s="43">
        <v>0</v>
      </c>
      <c r="AU138" s="43">
        <v>0</v>
      </c>
      <c r="AV138" s="43">
        <v>0</v>
      </c>
      <c r="AW138" s="43">
        <v>0</v>
      </c>
      <c r="AX138" s="43">
        <v>0</v>
      </c>
      <c r="AY138" s="43">
        <v>0</v>
      </c>
      <c r="AZ138" s="43">
        <v>0</v>
      </c>
      <c r="BA138" s="43">
        <v>0</v>
      </c>
      <c r="BB138" s="43">
        <v>0</v>
      </c>
      <c r="BC138" s="43">
        <v>0</v>
      </c>
      <c r="BD138" s="43">
        <v>0</v>
      </c>
      <c r="BE138" s="43">
        <v>0</v>
      </c>
      <c r="BF138" s="43">
        <v>0</v>
      </c>
      <c r="BG138" s="43">
        <v>0</v>
      </c>
      <c r="BH138" s="43">
        <v>0</v>
      </c>
      <c r="BI138" s="43">
        <v>0</v>
      </c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2"/>
      <c r="CY138" s="52"/>
      <c r="CZ138" s="52"/>
      <c r="DA138" s="52"/>
      <c r="DB138" s="52"/>
      <c r="DC138" s="52"/>
      <c r="DD138" s="52"/>
      <c r="DE138" s="52"/>
      <c r="DF138" s="52"/>
      <c r="DG138" s="52"/>
      <c r="DH138" s="52"/>
      <c r="DI138" s="52"/>
      <c r="DJ138" s="52"/>
      <c r="DK138" s="52"/>
      <c r="DL138" s="52"/>
      <c r="DM138" s="52"/>
      <c r="DN138" s="52"/>
      <c r="DO138" s="52"/>
      <c r="DP138" s="52"/>
      <c r="DQ138" s="52"/>
      <c r="DR138" s="43">
        <v>1</v>
      </c>
      <c r="DS138" s="43">
        <v>1</v>
      </c>
      <c r="DT138" s="43">
        <v>1</v>
      </c>
      <c r="DU138" s="43">
        <v>1</v>
      </c>
      <c r="DV138" s="43">
        <v>1</v>
      </c>
      <c r="DW138" s="43">
        <v>1</v>
      </c>
      <c r="DX138" s="43">
        <v>1</v>
      </c>
      <c r="DY138" s="43">
        <v>1</v>
      </c>
      <c r="DZ138" s="43">
        <v>1</v>
      </c>
      <c r="EA138" s="43">
        <v>1</v>
      </c>
      <c r="EB138" s="43">
        <v>1</v>
      </c>
      <c r="EC138" s="43">
        <v>1</v>
      </c>
      <c r="ED138" s="43">
        <v>1</v>
      </c>
      <c r="EE138" s="43">
        <v>1</v>
      </c>
      <c r="EF138" s="43">
        <v>1</v>
      </c>
      <c r="EG138" s="43">
        <v>1</v>
      </c>
      <c r="EH138" s="43">
        <v>1</v>
      </c>
      <c r="EI138" s="43">
        <v>1</v>
      </c>
      <c r="EJ138" s="43">
        <v>1</v>
      </c>
      <c r="EK138" s="43">
        <v>1</v>
      </c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43">
        <v>0</v>
      </c>
      <c r="AQ139" s="43">
        <v>0</v>
      </c>
      <c r="AR139" s="43">
        <v>0</v>
      </c>
      <c r="AS139" s="43">
        <v>0</v>
      </c>
      <c r="AT139" s="43">
        <v>0</v>
      </c>
      <c r="AU139" s="43">
        <v>0</v>
      </c>
      <c r="AV139" s="43">
        <v>0</v>
      </c>
      <c r="AW139" s="43">
        <v>0</v>
      </c>
      <c r="AX139" s="43">
        <v>0</v>
      </c>
      <c r="AY139" s="43">
        <v>0</v>
      </c>
      <c r="AZ139" s="43">
        <v>0</v>
      </c>
      <c r="BA139" s="43">
        <v>0</v>
      </c>
      <c r="BB139" s="43">
        <v>0</v>
      </c>
      <c r="BC139" s="43">
        <v>0</v>
      </c>
      <c r="BD139" s="43">
        <v>0</v>
      </c>
      <c r="BE139" s="43">
        <v>0</v>
      </c>
      <c r="BF139" s="43">
        <v>0</v>
      </c>
      <c r="BG139" s="43">
        <v>0</v>
      </c>
      <c r="BH139" s="43">
        <v>0</v>
      </c>
      <c r="BI139" s="43">
        <v>0</v>
      </c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2"/>
      <c r="CY139" s="52"/>
      <c r="CZ139" s="52"/>
      <c r="DA139" s="52"/>
      <c r="DB139" s="52"/>
      <c r="DC139" s="52"/>
      <c r="DD139" s="52"/>
      <c r="DE139" s="52"/>
      <c r="DF139" s="52"/>
      <c r="DG139" s="52"/>
      <c r="DH139" s="52"/>
      <c r="DI139" s="52"/>
      <c r="DJ139" s="52"/>
      <c r="DK139" s="52"/>
      <c r="DL139" s="52"/>
      <c r="DM139" s="52"/>
      <c r="DN139" s="52"/>
      <c r="DO139" s="52"/>
      <c r="DP139" s="52"/>
      <c r="DQ139" s="52"/>
      <c r="DR139" s="43">
        <v>1</v>
      </c>
      <c r="DS139" s="43">
        <v>1</v>
      </c>
      <c r="DT139" s="43">
        <v>1</v>
      </c>
      <c r="DU139" s="43">
        <v>1</v>
      </c>
      <c r="DV139" s="43">
        <v>1</v>
      </c>
      <c r="DW139" s="43">
        <v>1</v>
      </c>
      <c r="DX139" s="43">
        <v>1</v>
      </c>
      <c r="DY139" s="43">
        <v>1</v>
      </c>
      <c r="DZ139" s="43">
        <v>1</v>
      </c>
      <c r="EA139" s="43">
        <v>1</v>
      </c>
      <c r="EB139" s="43">
        <v>1</v>
      </c>
      <c r="EC139" s="43">
        <v>1</v>
      </c>
      <c r="ED139" s="43">
        <v>1</v>
      </c>
      <c r="EE139" s="43">
        <v>1</v>
      </c>
      <c r="EF139" s="43">
        <v>1</v>
      </c>
      <c r="EG139" s="43">
        <v>1</v>
      </c>
      <c r="EH139" s="43">
        <v>1</v>
      </c>
      <c r="EI139" s="43">
        <v>1</v>
      </c>
      <c r="EJ139" s="43">
        <v>1</v>
      </c>
      <c r="EK139" s="43">
        <v>1</v>
      </c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43">
        <v>0</v>
      </c>
      <c r="AQ140" s="43">
        <v>0</v>
      </c>
      <c r="AR140" s="43">
        <v>0</v>
      </c>
      <c r="AS140" s="43">
        <v>0</v>
      </c>
      <c r="AT140" s="43">
        <v>0</v>
      </c>
      <c r="AU140" s="43">
        <v>0</v>
      </c>
      <c r="AV140" s="43">
        <v>0</v>
      </c>
      <c r="AW140" s="43">
        <v>0</v>
      </c>
      <c r="AX140" s="43">
        <v>0</v>
      </c>
      <c r="AY140" s="43">
        <v>0</v>
      </c>
      <c r="AZ140" s="43">
        <v>0</v>
      </c>
      <c r="BA140" s="43">
        <v>0</v>
      </c>
      <c r="BB140" s="43">
        <v>0</v>
      </c>
      <c r="BC140" s="43">
        <v>0</v>
      </c>
      <c r="BD140" s="43">
        <v>0</v>
      </c>
      <c r="BE140" s="43">
        <v>0</v>
      </c>
      <c r="BF140" s="43">
        <v>0</v>
      </c>
      <c r="BG140" s="43">
        <v>0</v>
      </c>
      <c r="BH140" s="43">
        <v>0</v>
      </c>
      <c r="BI140" s="43">
        <v>0</v>
      </c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2"/>
      <c r="CY140" s="52"/>
      <c r="CZ140" s="52"/>
      <c r="DA140" s="52"/>
      <c r="DB140" s="52"/>
      <c r="DC140" s="52"/>
      <c r="DD140" s="52"/>
      <c r="DE140" s="52"/>
      <c r="DF140" s="52"/>
      <c r="DG140" s="52"/>
      <c r="DH140" s="52"/>
      <c r="DI140" s="52"/>
      <c r="DJ140" s="52"/>
      <c r="DK140" s="52"/>
      <c r="DL140" s="52"/>
      <c r="DM140" s="52"/>
      <c r="DN140" s="52"/>
      <c r="DO140" s="52"/>
      <c r="DP140" s="52"/>
      <c r="DQ140" s="52"/>
      <c r="DR140" s="43">
        <v>1</v>
      </c>
      <c r="DS140" s="43">
        <v>1</v>
      </c>
      <c r="DT140" s="43">
        <v>1</v>
      </c>
      <c r="DU140" s="43">
        <v>1</v>
      </c>
      <c r="DV140" s="43">
        <v>1</v>
      </c>
      <c r="DW140" s="43">
        <v>1</v>
      </c>
      <c r="DX140" s="43">
        <v>1</v>
      </c>
      <c r="DY140" s="43">
        <v>1</v>
      </c>
      <c r="DZ140" s="43">
        <v>1</v>
      </c>
      <c r="EA140" s="43">
        <v>1</v>
      </c>
      <c r="EB140" s="43">
        <v>1</v>
      </c>
      <c r="EC140" s="43">
        <v>1</v>
      </c>
      <c r="ED140" s="43">
        <v>1</v>
      </c>
      <c r="EE140" s="43">
        <v>1</v>
      </c>
      <c r="EF140" s="43">
        <v>1</v>
      </c>
      <c r="EG140" s="43">
        <v>1</v>
      </c>
      <c r="EH140" s="43">
        <v>1</v>
      </c>
      <c r="EI140" s="43">
        <v>1</v>
      </c>
      <c r="EJ140" s="43">
        <v>1</v>
      </c>
      <c r="EK140" s="43">
        <v>1</v>
      </c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43">
        <v>0</v>
      </c>
      <c r="AQ141" s="43">
        <v>0</v>
      </c>
      <c r="AR141" s="43">
        <v>0</v>
      </c>
      <c r="AS141" s="43">
        <v>0</v>
      </c>
      <c r="AT141" s="43">
        <v>0</v>
      </c>
      <c r="AU141" s="43">
        <v>0</v>
      </c>
      <c r="AV141" s="43">
        <v>0</v>
      </c>
      <c r="AW141" s="43">
        <v>0</v>
      </c>
      <c r="AX141" s="43">
        <v>0</v>
      </c>
      <c r="AY141" s="43">
        <v>0</v>
      </c>
      <c r="AZ141" s="43">
        <v>0</v>
      </c>
      <c r="BA141" s="43">
        <v>0</v>
      </c>
      <c r="BB141" s="43">
        <v>0</v>
      </c>
      <c r="BC141" s="43">
        <v>0</v>
      </c>
      <c r="BD141" s="43">
        <v>0</v>
      </c>
      <c r="BE141" s="43">
        <v>0</v>
      </c>
      <c r="BF141" s="43">
        <v>0</v>
      </c>
      <c r="BG141" s="43">
        <v>0</v>
      </c>
      <c r="BH141" s="43">
        <v>0</v>
      </c>
      <c r="BI141" s="43">
        <v>0</v>
      </c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2"/>
      <c r="CY141" s="52"/>
      <c r="CZ141" s="52"/>
      <c r="DA141" s="52"/>
      <c r="DB141" s="52"/>
      <c r="DC141" s="52"/>
      <c r="DD141" s="52"/>
      <c r="DE141" s="52"/>
      <c r="DF141" s="52"/>
      <c r="DG141" s="52"/>
      <c r="DH141" s="52"/>
      <c r="DI141" s="52"/>
      <c r="DJ141" s="52"/>
      <c r="DK141" s="52"/>
      <c r="DL141" s="52"/>
      <c r="DM141" s="52"/>
      <c r="DN141" s="52"/>
      <c r="DO141" s="52"/>
      <c r="DP141" s="52"/>
      <c r="DQ141" s="52"/>
      <c r="DR141" s="43">
        <v>1</v>
      </c>
      <c r="DS141" s="43">
        <v>1</v>
      </c>
      <c r="DT141" s="43">
        <v>1</v>
      </c>
      <c r="DU141" s="43">
        <v>1</v>
      </c>
      <c r="DV141" s="43">
        <v>1</v>
      </c>
      <c r="DW141" s="43">
        <v>1</v>
      </c>
      <c r="DX141" s="43">
        <v>1</v>
      </c>
      <c r="DY141" s="43">
        <v>1</v>
      </c>
      <c r="DZ141" s="43">
        <v>1</v>
      </c>
      <c r="EA141" s="43">
        <v>1</v>
      </c>
      <c r="EB141" s="43">
        <v>1</v>
      </c>
      <c r="EC141" s="43">
        <v>1</v>
      </c>
      <c r="ED141" s="43">
        <v>1</v>
      </c>
      <c r="EE141" s="43">
        <v>1</v>
      </c>
      <c r="EF141" s="43">
        <v>1</v>
      </c>
      <c r="EG141" s="43">
        <v>1</v>
      </c>
      <c r="EH141" s="43">
        <v>1</v>
      </c>
      <c r="EI141" s="43">
        <v>1</v>
      </c>
      <c r="EJ141" s="43">
        <v>1</v>
      </c>
      <c r="EK141" s="43">
        <v>1</v>
      </c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43">
        <v>0</v>
      </c>
      <c r="AQ142" s="43">
        <v>0</v>
      </c>
      <c r="AR142" s="43">
        <v>0</v>
      </c>
      <c r="AS142" s="43">
        <v>0</v>
      </c>
      <c r="AT142" s="43">
        <v>0</v>
      </c>
      <c r="AU142" s="43">
        <v>0</v>
      </c>
      <c r="AV142" s="43">
        <v>0</v>
      </c>
      <c r="AW142" s="43">
        <v>0</v>
      </c>
      <c r="AX142" s="43">
        <v>0</v>
      </c>
      <c r="AY142" s="43">
        <v>0</v>
      </c>
      <c r="AZ142" s="43">
        <v>0</v>
      </c>
      <c r="BA142" s="43">
        <v>0</v>
      </c>
      <c r="BB142" s="43">
        <v>0</v>
      </c>
      <c r="BC142" s="43">
        <v>0</v>
      </c>
      <c r="BD142" s="43">
        <v>0</v>
      </c>
      <c r="BE142" s="43">
        <v>0</v>
      </c>
      <c r="BF142" s="43">
        <v>0</v>
      </c>
      <c r="BG142" s="43">
        <v>0</v>
      </c>
      <c r="BH142" s="43">
        <v>0</v>
      </c>
      <c r="BI142" s="43">
        <v>0</v>
      </c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2"/>
      <c r="CY142" s="52"/>
      <c r="CZ142" s="52"/>
      <c r="DA142" s="52"/>
      <c r="DB142" s="52"/>
      <c r="DC142" s="52"/>
      <c r="DD142" s="52"/>
      <c r="DE142" s="52"/>
      <c r="DF142" s="52"/>
      <c r="DG142" s="52"/>
      <c r="DH142" s="52"/>
      <c r="DI142" s="52"/>
      <c r="DJ142" s="52"/>
      <c r="DK142" s="52"/>
      <c r="DL142" s="52"/>
      <c r="DM142" s="52"/>
      <c r="DN142" s="52"/>
      <c r="DO142" s="52"/>
      <c r="DP142" s="52"/>
      <c r="DQ142" s="52"/>
      <c r="DR142" s="43">
        <v>1</v>
      </c>
      <c r="DS142" s="43">
        <v>1</v>
      </c>
      <c r="DT142" s="43">
        <v>1</v>
      </c>
      <c r="DU142" s="43">
        <v>1</v>
      </c>
      <c r="DV142" s="43">
        <v>1</v>
      </c>
      <c r="DW142" s="43">
        <v>1</v>
      </c>
      <c r="DX142" s="43">
        <v>1</v>
      </c>
      <c r="DY142" s="43">
        <v>1</v>
      </c>
      <c r="DZ142" s="43">
        <v>1</v>
      </c>
      <c r="EA142" s="43">
        <v>1</v>
      </c>
      <c r="EB142" s="43">
        <v>1</v>
      </c>
      <c r="EC142" s="43">
        <v>1</v>
      </c>
      <c r="ED142" s="43">
        <v>1</v>
      </c>
      <c r="EE142" s="43">
        <v>1</v>
      </c>
      <c r="EF142" s="43">
        <v>1</v>
      </c>
      <c r="EG142" s="43">
        <v>1</v>
      </c>
      <c r="EH142" s="43">
        <v>1</v>
      </c>
      <c r="EI142" s="43">
        <v>1</v>
      </c>
      <c r="EJ142" s="43">
        <v>1</v>
      </c>
      <c r="EK142" s="43">
        <v>1</v>
      </c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43">
        <v>0</v>
      </c>
      <c r="AQ143" s="43">
        <v>0</v>
      </c>
      <c r="AR143" s="43">
        <v>0</v>
      </c>
      <c r="AS143" s="43">
        <v>0</v>
      </c>
      <c r="AT143" s="43">
        <v>0</v>
      </c>
      <c r="AU143" s="43">
        <v>0</v>
      </c>
      <c r="AV143" s="43">
        <v>0</v>
      </c>
      <c r="AW143" s="43">
        <v>0</v>
      </c>
      <c r="AX143" s="43">
        <v>0</v>
      </c>
      <c r="AY143" s="43">
        <v>0</v>
      </c>
      <c r="AZ143" s="43">
        <v>0</v>
      </c>
      <c r="BA143" s="43">
        <v>0</v>
      </c>
      <c r="BB143" s="43">
        <v>0</v>
      </c>
      <c r="BC143" s="43">
        <v>0</v>
      </c>
      <c r="BD143" s="43">
        <v>0</v>
      </c>
      <c r="BE143" s="43">
        <v>0</v>
      </c>
      <c r="BF143" s="43">
        <v>0</v>
      </c>
      <c r="BG143" s="43">
        <v>0</v>
      </c>
      <c r="BH143" s="43">
        <v>0</v>
      </c>
      <c r="BI143" s="43">
        <v>0</v>
      </c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2"/>
      <c r="CY143" s="52"/>
      <c r="CZ143" s="52"/>
      <c r="DA143" s="52"/>
      <c r="DB143" s="52"/>
      <c r="DC143" s="52"/>
      <c r="DD143" s="52"/>
      <c r="DE143" s="52"/>
      <c r="DF143" s="52"/>
      <c r="DG143" s="52"/>
      <c r="DH143" s="52"/>
      <c r="DI143" s="52"/>
      <c r="DJ143" s="52"/>
      <c r="DK143" s="52"/>
      <c r="DL143" s="52"/>
      <c r="DM143" s="52"/>
      <c r="DN143" s="52"/>
      <c r="DO143" s="52"/>
      <c r="DP143" s="52"/>
      <c r="DQ143" s="52"/>
      <c r="DR143" s="43">
        <v>1</v>
      </c>
      <c r="DS143" s="43">
        <v>1</v>
      </c>
      <c r="DT143" s="43">
        <v>1</v>
      </c>
      <c r="DU143" s="43">
        <v>1</v>
      </c>
      <c r="DV143" s="43">
        <v>1</v>
      </c>
      <c r="DW143" s="43">
        <v>1</v>
      </c>
      <c r="DX143" s="43">
        <v>1</v>
      </c>
      <c r="DY143" s="43">
        <v>1</v>
      </c>
      <c r="DZ143" s="43">
        <v>1</v>
      </c>
      <c r="EA143" s="43">
        <v>1</v>
      </c>
      <c r="EB143" s="43">
        <v>1</v>
      </c>
      <c r="EC143" s="43">
        <v>1</v>
      </c>
      <c r="ED143" s="43">
        <v>1</v>
      </c>
      <c r="EE143" s="43">
        <v>1</v>
      </c>
      <c r="EF143" s="43">
        <v>1</v>
      </c>
      <c r="EG143" s="43">
        <v>1</v>
      </c>
      <c r="EH143" s="43">
        <v>1</v>
      </c>
      <c r="EI143" s="43">
        <v>1</v>
      </c>
      <c r="EJ143" s="43">
        <v>1</v>
      </c>
      <c r="EK143" s="43">
        <v>1</v>
      </c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43">
        <v>0</v>
      </c>
      <c r="AQ144" s="43">
        <v>0</v>
      </c>
      <c r="AR144" s="43">
        <v>0</v>
      </c>
      <c r="AS144" s="43">
        <v>0</v>
      </c>
      <c r="AT144" s="43">
        <v>0</v>
      </c>
      <c r="AU144" s="43">
        <v>0</v>
      </c>
      <c r="AV144" s="43">
        <v>0</v>
      </c>
      <c r="AW144" s="43">
        <v>0</v>
      </c>
      <c r="AX144" s="43">
        <v>0</v>
      </c>
      <c r="AY144" s="43">
        <v>0</v>
      </c>
      <c r="AZ144" s="43">
        <v>0</v>
      </c>
      <c r="BA144" s="43">
        <v>0</v>
      </c>
      <c r="BB144" s="43">
        <v>0</v>
      </c>
      <c r="BC144" s="43">
        <v>0</v>
      </c>
      <c r="BD144" s="43">
        <v>0</v>
      </c>
      <c r="BE144" s="43">
        <v>0</v>
      </c>
      <c r="BF144" s="43">
        <v>0</v>
      </c>
      <c r="BG144" s="43">
        <v>0</v>
      </c>
      <c r="BH144" s="43">
        <v>0</v>
      </c>
      <c r="BI144" s="43">
        <v>0</v>
      </c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52"/>
      <c r="DI144" s="52"/>
      <c r="DJ144" s="52"/>
      <c r="DK144" s="52"/>
      <c r="DL144" s="52"/>
      <c r="DM144" s="52"/>
      <c r="DN144" s="52"/>
      <c r="DO144" s="52"/>
      <c r="DP144" s="52"/>
      <c r="DQ144" s="52"/>
      <c r="DR144" s="43">
        <v>1</v>
      </c>
      <c r="DS144" s="43">
        <v>1</v>
      </c>
      <c r="DT144" s="43">
        <v>1</v>
      </c>
      <c r="DU144" s="43">
        <v>1</v>
      </c>
      <c r="DV144" s="43">
        <v>1</v>
      </c>
      <c r="DW144" s="43">
        <v>1</v>
      </c>
      <c r="DX144" s="43">
        <v>1</v>
      </c>
      <c r="DY144" s="43">
        <v>1</v>
      </c>
      <c r="DZ144" s="43">
        <v>1</v>
      </c>
      <c r="EA144" s="43">
        <v>1</v>
      </c>
      <c r="EB144" s="43">
        <v>1</v>
      </c>
      <c r="EC144" s="43">
        <v>1</v>
      </c>
      <c r="ED144" s="43">
        <v>1</v>
      </c>
      <c r="EE144" s="43">
        <v>1</v>
      </c>
      <c r="EF144" s="43">
        <v>1</v>
      </c>
      <c r="EG144" s="43">
        <v>1</v>
      </c>
      <c r="EH144" s="43">
        <v>1</v>
      </c>
      <c r="EI144" s="43">
        <v>1</v>
      </c>
      <c r="EJ144" s="43">
        <v>1</v>
      </c>
      <c r="EK144" s="43">
        <v>1</v>
      </c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43">
        <v>0</v>
      </c>
      <c r="AQ145" s="43">
        <v>0</v>
      </c>
      <c r="AR145" s="43">
        <v>0</v>
      </c>
      <c r="AS145" s="43">
        <v>0</v>
      </c>
      <c r="AT145" s="43">
        <v>0</v>
      </c>
      <c r="AU145" s="43">
        <v>0</v>
      </c>
      <c r="AV145" s="43">
        <v>0</v>
      </c>
      <c r="AW145" s="43">
        <v>0</v>
      </c>
      <c r="AX145" s="43">
        <v>0</v>
      </c>
      <c r="AY145" s="43">
        <v>0</v>
      </c>
      <c r="AZ145" s="43">
        <v>0</v>
      </c>
      <c r="BA145" s="43">
        <v>0</v>
      </c>
      <c r="BB145" s="43">
        <v>0</v>
      </c>
      <c r="BC145" s="43">
        <v>0</v>
      </c>
      <c r="BD145" s="43">
        <v>0</v>
      </c>
      <c r="BE145" s="43">
        <v>0</v>
      </c>
      <c r="BF145" s="43">
        <v>0</v>
      </c>
      <c r="BG145" s="43">
        <v>0</v>
      </c>
      <c r="BH145" s="43">
        <v>0</v>
      </c>
      <c r="BI145" s="43">
        <v>0</v>
      </c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2"/>
      <c r="CY145" s="52"/>
      <c r="CZ145" s="52"/>
      <c r="DA145" s="52"/>
      <c r="DB145" s="52"/>
      <c r="DC145" s="52"/>
      <c r="DD145" s="52"/>
      <c r="DE145" s="52"/>
      <c r="DF145" s="52"/>
      <c r="DG145" s="52"/>
      <c r="DH145" s="52"/>
      <c r="DI145" s="52"/>
      <c r="DJ145" s="52"/>
      <c r="DK145" s="52"/>
      <c r="DL145" s="52"/>
      <c r="DM145" s="52"/>
      <c r="DN145" s="52"/>
      <c r="DO145" s="52"/>
      <c r="DP145" s="52"/>
      <c r="DQ145" s="52"/>
      <c r="DR145" s="43">
        <v>1</v>
      </c>
      <c r="DS145" s="43">
        <v>1</v>
      </c>
      <c r="DT145" s="43">
        <v>1</v>
      </c>
      <c r="DU145" s="43">
        <v>1</v>
      </c>
      <c r="DV145" s="43">
        <v>1</v>
      </c>
      <c r="DW145" s="43">
        <v>1</v>
      </c>
      <c r="DX145" s="43">
        <v>1</v>
      </c>
      <c r="DY145" s="43">
        <v>1</v>
      </c>
      <c r="DZ145" s="43">
        <v>1</v>
      </c>
      <c r="EA145" s="43">
        <v>1</v>
      </c>
      <c r="EB145" s="43">
        <v>1</v>
      </c>
      <c r="EC145" s="43">
        <v>1</v>
      </c>
      <c r="ED145" s="43">
        <v>1</v>
      </c>
      <c r="EE145" s="43">
        <v>1</v>
      </c>
      <c r="EF145" s="43">
        <v>1</v>
      </c>
      <c r="EG145" s="43">
        <v>1</v>
      </c>
      <c r="EH145" s="43">
        <v>1</v>
      </c>
      <c r="EI145" s="43">
        <v>1</v>
      </c>
      <c r="EJ145" s="43">
        <v>1</v>
      </c>
      <c r="EK145" s="43">
        <v>1</v>
      </c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43">
        <v>0</v>
      </c>
      <c r="AQ146" s="43">
        <v>0</v>
      </c>
      <c r="AR146" s="43">
        <v>0</v>
      </c>
      <c r="AS146" s="43">
        <v>0</v>
      </c>
      <c r="AT146" s="43">
        <v>0</v>
      </c>
      <c r="AU146" s="43">
        <v>0</v>
      </c>
      <c r="AV146" s="43">
        <v>0</v>
      </c>
      <c r="AW146" s="43">
        <v>0</v>
      </c>
      <c r="AX146" s="43">
        <v>0</v>
      </c>
      <c r="AY146" s="43">
        <v>0</v>
      </c>
      <c r="AZ146" s="43">
        <v>0</v>
      </c>
      <c r="BA146" s="43">
        <v>0</v>
      </c>
      <c r="BB146" s="43">
        <v>0</v>
      </c>
      <c r="BC146" s="43">
        <v>0</v>
      </c>
      <c r="BD146" s="43">
        <v>0</v>
      </c>
      <c r="BE146" s="43">
        <v>0</v>
      </c>
      <c r="BF146" s="43">
        <v>0</v>
      </c>
      <c r="BG146" s="43">
        <v>0</v>
      </c>
      <c r="BH146" s="43">
        <v>0</v>
      </c>
      <c r="BI146" s="43">
        <v>0</v>
      </c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2"/>
      <c r="CY146" s="52"/>
      <c r="CZ146" s="52"/>
      <c r="DA146" s="52"/>
      <c r="DB146" s="52"/>
      <c r="DC146" s="52"/>
      <c r="DD146" s="52"/>
      <c r="DE146" s="52"/>
      <c r="DF146" s="52"/>
      <c r="DG146" s="52"/>
      <c r="DH146" s="52"/>
      <c r="DI146" s="52"/>
      <c r="DJ146" s="52"/>
      <c r="DK146" s="52"/>
      <c r="DL146" s="52"/>
      <c r="DM146" s="52"/>
      <c r="DN146" s="52"/>
      <c r="DO146" s="52"/>
      <c r="DP146" s="52"/>
      <c r="DQ146" s="52"/>
      <c r="DR146" s="43">
        <v>1</v>
      </c>
      <c r="DS146" s="43">
        <v>1</v>
      </c>
      <c r="DT146" s="43">
        <v>1</v>
      </c>
      <c r="DU146" s="43">
        <v>1</v>
      </c>
      <c r="DV146" s="43">
        <v>1</v>
      </c>
      <c r="DW146" s="43">
        <v>1</v>
      </c>
      <c r="DX146" s="43">
        <v>1</v>
      </c>
      <c r="DY146" s="43">
        <v>1</v>
      </c>
      <c r="DZ146" s="43">
        <v>1</v>
      </c>
      <c r="EA146" s="43">
        <v>1</v>
      </c>
      <c r="EB146" s="43">
        <v>1</v>
      </c>
      <c r="EC146" s="43">
        <v>1</v>
      </c>
      <c r="ED146" s="43">
        <v>1</v>
      </c>
      <c r="EE146" s="43">
        <v>1</v>
      </c>
      <c r="EF146" s="43">
        <v>1</v>
      </c>
      <c r="EG146" s="43">
        <v>1</v>
      </c>
      <c r="EH146" s="43">
        <v>1</v>
      </c>
      <c r="EI146" s="43">
        <v>1</v>
      </c>
      <c r="EJ146" s="43">
        <v>1</v>
      </c>
      <c r="EK146" s="43">
        <v>1</v>
      </c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43">
        <v>0</v>
      </c>
      <c r="AQ147" s="43">
        <v>0</v>
      </c>
      <c r="AR147" s="43">
        <v>0</v>
      </c>
      <c r="AS147" s="43">
        <v>0</v>
      </c>
      <c r="AT147" s="43">
        <v>0</v>
      </c>
      <c r="AU147" s="43">
        <v>0</v>
      </c>
      <c r="AV147" s="43">
        <v>0</v>
      </c>
      <c r="AW147" s="43">
        <v>0</v>
      </c>
      <c r="AX147" s="43">
        <v>0</v>
      </c>
      <c r="AY147" s="43">
        <v>0</v>
      </c>
      <c r="AZ147" s="43">
        <v>0</v>
      </c>
      <c r="BA147" s="43">
        <v>0</v>
      </c>
      <c r="BB147" s="43">
        <v>0</v>
      </c>
      <c r="BC147" s="43">
        <v>0</v>
      </c>
      <c r="BD147" s="43">
        <v>0</v>
      </c>
      <c r="BE147" s="43">
        <v>0</v>
      </c>
      <c r="BF147" s="43">
        <v>0</v>
      </c>
      <c r="BG147" s="43">
        <v>0</v>
      </c>
      <c r="BH147" s="43">
        <v>0</v>
      </c>
      <c r="BI147" s="43">
        <v>0</v>
      </c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2"/>
      <c r="CY147" s="52"/>
      <c r="CZ147" s="52"/>
      <c r="DA147" s="52"/>
      <c r="DB147" s="52"/>
      <c r="DC147" s="52"/>
      <c r="DD147" s="52"/>
      <c r="DE147" s="52"/>
      <c r="DF147" s="52"/>
      <c r="DG147" s="52"/>
      <c r="DH147" s="52"/>
      <c r="DI147" s="52"/>
      <c r="DJ147" s="52"/>
      <c r="DK147" s="52"/>
      <c r="DL147" s="52"/>
      <c r="DM147" s="52"/>
      <c r="DN147" s="52"/>
      <c r="DO147" s="52"/>
      <c r="DP147" s="52"/>
      <c r="DQ147" s="52"/>
      <c r="DR147" s="45">
        <v>1</v>
      </c>
      <c r="DS147" s="45">
        <v>1</v>
      </c>
      <c r="DT147" s="45">
        <v>1</v>
      </c>
      <c r="DU147" s="45">
        <v>1</v>
      </c>
      <c r="DV147" s="45">
        <v>1</v>
      </c>
      <c r="DW147" s="45">
        <v>1</v>
      </c>
      <c r="DX147" s="45">
        <v>1</v>
      </c>
      <c r="DY147" s="45">
        <v>1</v>
      </c>
      <c r="DZ147" s="45">
        <v>1</v>
      </c>
      <c r="EA147" s="45">
        <v>1</v>
      </c>
      <c r="EB147" s="45">
        <v>1</v>
      </c>
      <c r="EC147" s="45">
        <v>1</v>
      </c>
      <c r="ED147" s="45">
        <v>1</v>
      </c>
      <c r="EE147" s="45">
        <v>1</v>
      </c>
      <c r="EF147" s="45">
        <v>1</v>
      </c>
      <c r="EG147" s="45">
        <v>1</v>
      </c>
      <c r="EH147" s="45">
        <v>1</v>
      </c>
      <c r="EI147" s="45">
        <v>1</v>
      </c>
      <c r="EJ147" s="45">
        <v>1</v>
      </c>
      <c r="EK147" s="45">
        <v>1</v>
      </c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43">
        <v>0</v>
      </c>
      <c r="AQ148" s="43">
        <v>0</v>
      </c>
      <c r="AR148" s="43">
        <v>0</v>
      </c>
      <c r="AS148" s="43">
        <v>0</v>
      </c>
      <c r="AT148" s="43">
        <v>0</v>
      </c>
      <c r="AU148" s="43">
        <v>0</v>
      </c>
      <c r="AV148" s="43">
        <v>0</v>
      </c>
      <c r="AW148" s="43">
        <v>0</v>
      </c>
      <c r="AX148" s="43">
        <v>0</v>
      </c>
      <c r="AY148" s="43">
        <v>0</v>
      </c>
      <c r="AZ148" s="43">
        <v>0</v>
      </c>
      <c r="BA148" s="43">
        <v>0</v>
      </c>
      <c r="BB148" s="43">
        <v>0</v>
      </c>
      <c r="BC148" s="43">
        <v>0</v>
      </c>
      <c r="BD148" s="43">
        <v>0</v>
      </c>
      <c r="BE148" s="43">
        <v>0</v>
      </c>
      <c r="BF148" s="43">
        <v>0</v>
      </c>
      <c r="BG148" s="43">
        <v>0</v>
      </c>
      <c r="BH148" s="43">
        <v>0</v>
      </c>
      <c r="BI148" s="43">
        <v>0</v>
      </c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2"/>
      <c r="CY148" s="52"/>
      <c r="CZ148" s="52"/>
      <c r="DA148" s="52"/>
      <c r="DB148" s="52"/>
      <c r="DC148" s="52"/>
      <c r="DD148" s="52"/>
      <c r="DE148" s="52"/>
      <c r="DF148" s="52"/>
      <c r="DG148" s="52"/>
      <c r="DH148" s="52"/>
      <c r="DI148" s="52"/>
      <c r="DJ148" s="52"/>
      <c r="DK148" s="52"/>
      <c r="DL148" s="52"/>
      <c r="DM148" s="52"/>
      <c r="DN148" s="52"/>
      <c r="DO148" s="52"/>
      <c r="DP148" s="52"/>
      <c r="DQ148" s="52"/>
      <c r="DR148" s="43">
        <v>1</v>
      </c>
      <c r="DS148" s="43">
        <v>1</v>
      </c>
      <c r="DT148" s="43">
        <v>1</v>
      </c>
      <c r="DU148" s="43">
        <v>1</v>
      </c>
      <c r="DV148" s="43">
        <v>1</v>
      </c>
      <c r="DW148" s="43">
        <v>1</v>
      </c>
      <c r="DX148" s="43">
        <v>1</v>
      </c>
      <c r="DY148" s="43">
        <v>1</v>
      </c>
      <c r="DZ148" s="43">
        <v>1</v>
      </c>
      <c r="EA148" s="43">
        <v>1</v>
      </c>
      <c r="EB148" s="43">
        <v>1</v>
      </c>
      <c r="EC148" s="43">
        <v>1</v>
      </c>
      <c r="ED148" s="43">
        <v>1</v>
      </c>
      <c r="EE148" s="43">
        <v>1</v>
      </c>
      <c r="EF148" s="43">
        <v>1</v>
      </c>
      <c r="EG148" s="43">
        <v>1</v>
      </c>
      <c r="EH148" s="43">
        <v>1</v>
      </c>
      <c r="EI148" s="43">
        <v>1</v>
      </c>
      <c r="EJ148" s="43">
        <v>1</v>
      </c>
      <c r="EK148" s="43">
        <v>1</v>
      </c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43">
        <v>0</v>
      </c>
      <c r="AQ149" s="43">
        <v>0</v>
      </c>
      <c r="AR149" s="43">
        <v>0</v>
      </c>
      <c r="AS149" s="43">
        <v>0</v>
      </c>
      <c r="AT149" s="43">
        <v>0</v>
      </c>
      <c r="AU149" s="43">
        <v>0</v>
      </c>
      <c r="AV149" s="43">
        <v>0</v>
      </c>
      <c r="AW149" s="43">
        <v>0</v>
      </c>
      <c r="AX149" s="43">
        <v>0</v>
      </c>
      <c r="AY149" s="43">
        <v>0</v>
      </c>
      <c r="AZ149" s="43">
        <v>0</v>
      </c>
      <c r="BA149" s="43">
        <v>0</v>
      </c>
      <c r="BB149" s="43">
        <v>0</v>
      </c>
      <c r="BC149" s="43">
        <v>0</v>
      </c>
      <c r="BD149" s="43">
        <v>0</v>
      </c>
      <c r="BE149" s="43">
        <v>0</v>
      </c>
      <c r="BF149" s="43">
        <v>0</v>
      </c>
      <c r="BG149" s="43">
        <v>0</v>
      </c>
      <c r="BH149" s="43">
        <v>0</v>
      </c>
      <c r="BI149" s="43">
        <v>0</v>
      </c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2"/>
      <c r="CY149" s="52"/>
      <c r="CZ149" s="52"/>
      <c r="DA149" s="52"/>
      <c r="DB149" s="52"/>
      <c r="DC149" s="52"/>
      <c r="DD149" s="52"/>
      <c r="DE149" s="52"/>
      <c r="DF149" s="52"/>
      <c r="DG149" s="52"/>
      <c r="DH149" s="52"/>
      <c r="DI149" s="52"/>
      <c r="DJ149" s="52"/>
      <c r="DK149" s="52"/>
      <c r="DL149" s="52"/>
      <c r="DM149" s="52"/>
      <c r="DN149" s="52"/>
      <c r="DO149" s="52"/>
      <c r="DP149" s="52"/>
      <c r="DQ149" s="52"/>
      <c r="DR149" s="43">
        <v>1</v>
      </c>
      <c r="DS149" s="43">
        <v>1</v>
      </c>
      <c r="DT149" s="43">
        <v>1</v>
      </c>
      <c r="DU149" s="43">
        <v>1</v>
      </c>
      <c r="DV149" s="43">
        <v>1</v>
      </c>
      <c r="DW149" s="43">
        <v>1</v>
      </c>
      <c r="DX149" s="43">
        <v>1</v>
      </c>
      <c r="DY149" s="43">
        <v>1</v>
      </c>
      <c r="DZ149" s="43">
        <v>1</v>
      </c>
      <c r="EA149" s="43">
        <v>1</v>
      </c>
      <c r="EB149" s="43">
        <v>1</v>
      </c>
      <c r="EC149" s="43">
        <v>1</v>
      </c>
      <c r="ED149" s="43">
        <v>1</v>
      </c>
      <c r="EE149" s="43">
        <v>1</v>
      </c>
      <c r="EF149" s="43">
        <v>1</v>
      </c>
      <c r="EG149" s="43">
        <v>1</v>
      </c>
      <c r="EH149" s="43">
        <v>1</v>
      </c>
      <c r="EI149" s="43">
        <v>1</v>
      </c>
      <c r="EJ149" s="43">
        <v>1</v>
      </c>
      <c r="EK149" s="43">
        <v>1</v>
      </c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43">
        <v>0</v>
      </c>
      <c r="AQ150" s="43">
        <v>0</v>
      </c>
      <c r="AR150" s="43">
        <v>0</v>
      </c>
      <c r="AS150" s="43">
        <v>0</v>
      </c>
      <c r="AT150" s="43">
        <v>0</v>
      </c>
      <c r="AU150" s="43">
        <v>0</v>
      </c>
      <c r="AV150" s="43">
        <v>0</v>
      </c>
      <c r="AW150" s="43">
        <v>0</v>
      </c>
      <c r="AX150" s="43">
        <v>0</v>
      </c>
      <c r="AY150" s="43">
        <v>0</v>
      </c>
      <c r="AZ150" s="43">
        <v>0</v>
      </c>
      <c r="BA150" s="43">
        <v>0</v>
      </c>
      <c r="BB150" s="43">
        <v>0</v>
      </c>
      <c r="BC150" s="43">
        <v>0</v>
      </c>
      <c r="BD150" s="43">
        <v>0</v>
      </c>
      <c r="BE150" s="43">
        <v>0</v>
      </c>
      <c r="BF150" s="43">
        <v>0</v>
      </c>
      <c r="BG150" s="43">
        <v>0</v>
      </c>
      <c r="BH150" s="43">
        <v>0</v>
      </c>
      <c r="BI150" s="43">
        <v>0</v>
      </c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2"/>
      <c r="CY150" s="52"/>
      <c r="CZ150" s="52"/>
      <c r="DA150" s="52"/>
      <c r="DB150" s="52"/>
      <c r="DC150" s="52"/>
      <c r="DD150" s="52"/>
      <c r="DE150" s="52"/>
      <c r="DF150" s="52"/>
      <c r="DG150" s="52"/>
      <c r="DH150" s="52"/>
      <c r="DI150" s="52"/>
      <c r="DJ150" s="52"/>
      <c r="DK150" s="52"/>
      <c r="DL150" s="52"/>
      <c r="DM150" s="52"/>
      <c r="DN150" s="52"/>
      <c r="DO150" s="52"/>
      <c r="DP150" s="52"/>
      <c r="DQ150" s="52"/>
      <c r="DR150" s="43">
        <v>1</v>
      </c>
      <c r="DS150" s="43">
        <v>1</v>
      </c>
      <c r="DT150" s="43">
        <v>1</v>
      </c>
      <c r="DU150" s="43">
        <v>1</v>
      </c>
      <c r="DV150" s="43">
        <v>1</v>
      </c>
      <c r="DW150" s="43">
        <v>1</v>
      </c>
      <c r="DX150" s="43">
        <v>1</v>
      </c>
      <c r="DY150" s="43">
        <v>1</v>
      </c>
      <c r="DZ150" s="43">
        <v>1</v>
      </c>
      <c r="EA150" s="43">
        <v>1</v>
      </c>
      <c r="EB150" s="43">
        <v>1</v>
      </c>
      <c r="EC150" s="43">
        <v>1</v>
      </c>
      <c r="ED150" s="43">
        <v>1</v>
      </c>
      <c r="EE150" s="43">
        <v>1</v>
      </c>
      <c r="EF150" s="43">
        <v>1</v>
      </c>
      <c r="EG150" s="43">
        <v>1</v>
      </c>
      <c r="EH150" s="43">
        <v>1</v>
      </c>
      <c r="EI150" s="43">
        <v>1</v>
      </c>
      <c r="EJ150" s="43">
        <v>1</v>
      </c>
      <c r="EK150" s="43">
        <v>1</v>
      </c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43">
        <v>0</v>
      </c>
      <c r="AQ151" s="43">
        <v>0</v>
      </c>
      <c r="AR151" s="43">
        <v>0</v>
      </c>
      <c r="AS151" s="43">
        <v>0</v>
      </c>
      <c r="AT151" s="43">
        <v>0</v>
      </c>
      <c r="AU151" s="43">
        <v>0</v>
      </c>
      <c r="AV151" s="43">
        <v>0</v>
      </c>
      <c r="AW151" s="43">
        <v>0</v>
      </c>
      <c r="AX151" s="43">
        <v>0</v>
      </c>
      <c r="AY151" s="43">
        <v>0</v>
      </c>
      <c r="AZ151" s="43">
        <v>0</v>
      </c>
      <c r="BA151" s="43">
        <v>0</v>
      </c>
      <c r="BB151" s="43">
        <v>0</v>
      </c>
      <c r="BC151" s="43">
        <v>0</v>
      </c>
      <c r="BD151" s="43">
        <v>0</v>
      </c>
      <c r="BE151" s="43">
        <v>0</v>
      </c>
      <c r="BF151" s="43">
        <v>0</v>
      </c>
      <c r="BG151" s="43">
        <v>0</v>
      </c>
      <c r="BH151" s="43">
        <v>0</v>
      </c>
      <c r="BI151" s="43">
        <v>0</v>
      </c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2"/>
      <c r="CY151" s="52"/>
      <c r="CZ151" s="52"/>
      <c r="DA151" s="52"/>
      <c r="DB151" s="52"/>
      <c r="DC151" s="52"/>
      <c r="DD151" s="52"/>
      <c r="DE151" s="52"/>
      <c r="DF151" s="52"/>
      <c r="DG151" s="52"/>
      <c r="DH151" s="52"/>
      <c r="DI151" s="52"/>
      <c r="DJ151" s="52"/>
      <c r="DK151" s="52"/>
      <c r="DL151" s="52"/>
      <c r="DM151" s="52"/>
      <c r="DN151" s="52"/>
      <c r="DO151" s="52"/>
      <c r="DP151" s="52"/>
      <c r="DQ151" s="52"/>
      <c r="DR151" s="43">
        <v>1</v>
      </c>
      <c r="DS151" s="43">
        <v>1</v>
      </c>
      <c r="DT151" s="43">
        <v>1</v>
      </c>
      <c r="DU151" s="43">
        <v>1</v>
      </c>
      <c r="DV151" s="43">
        <v>1</v>
      </c>
      <c r="DW151" s="43">
        <v>1</v>
      </c>
      <c r="DX151" s="43">
        <v>1</v>
      </c>
      <c r="DY151" s="43">
        <v>1</v>
      </c>
      <c r="DZ151" s="43">
        <v>1</v>
      </c>
      <c r="EA151" s="43">
        <v>1</v>
      </c>
      <c r="EB151" s="43">
        <v>1</v>
      </c>
      <c r="EC151" s="43">
        <v>1</v>
      </c>
      <c r="ED151" s="43">
        <v>1</v>
      </c>
      <c r="EE151" s="43">
        <v>1</v>
      </c>
      <c r="EF151" s="43">
        <v>1</v>
      </c>
      <c r="EG151" s="43">
        <v>1</v>
      </c>
      <c r="EH151" s="43">
        <v>1</v>
      </c>
      <c r="EI151" s="43">
        <v>1</v>
      </c>
      <c r="EJ151" s="43">
        <v>1</v>
      </c>
      <c r="EK151" s="43">
        <v>1</v>
      </c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43">
        <v>0</v>
      </c>
      <c r="AQ152" s="43">
        <v>0</v>
      </c>
      <c r="AR152" s="43">
        <v>0</v>
      </c>
      <c r="AS152" s="43">
        <v>0</v>
      </c>
      <c r="AT152" s="43">
        <v>0</v>
      </c>
      <c r="AU152" s="43">
        <v>0</v>
      </c>
      <c r="AV152" s="43">
        <v>0</v>
      </c>
      <c r="AW152" s="43">
        <v>0</v>
      </c>
      <c r="AX152" s="43">
        <v>0</v>
      </c>
      <c r="AY152" s="43">
        <v>0</v>
      </c>
      <c r="AZ152" s="43">
        <v>0</v>
      </c>
      <c r="BA152" s="43">
        <v>0</v>
      </c>
      <c r="BB152" s="43">
        <v>0</v>
      </c>
      <c r="BC152" s="43">
        <v>0</v>
      </c>
      <c r="BD152" s="43">
        <v>0</v>
      </c>
      <c r="BE152" s="43">
        <v>0</v>
      </c>
      <c r="BF152" s="43">
        <v>0</v>
      </c>
      <c r="BG152" s="43">
        <v>0</v>
      </c>
      <c r="BH152" s="43">
        <v>0</v>
      </c>
      <c r="BI152" s="43">
        <v>0</v>
      </c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2"/>
      <c r="CY152" s="52"/>
      <c r="CZ152" s="52"/>
      <c r="DA152" s="52"/>
      <c r="DB152" s="52"/>
      <c r="DC152" s="52"/>
      <c r="DD152" s="52"/>
      <c r="DE152" s="52"/>
      <c r="DF152" s="52"/>
      <c r="DG152" s="52"/>
      <c r="DH152" s="52"/>
      <c r="DI152" s="52"/>
      <c r="DJ152" s="52"/>
      <c r="DK152" s="52"/>
      <c r="DL152" s="52"/>
      <c r="DM152" s="52"/>
      <c r="DN152" s="52"/>
      <c r="DO152" s="52"/>
      <c r="DP152" s="52"/>
      <c r="DQ152" s="52"/>
      <c r="DR152" s="43">
        <v>1</v>
      </c>
      <c r="DS152" s="43">
        <v>1</v>
      </c>
      <c r="DT152" s="43">
        <v>1</v>
      </c>
      <c r="DU152" s="43">
        <v>1</v>
      </c>
      <c r="DV152" s="43">
        <v>1</v>
      </c>
      <c r="DW152" s="43">
        <v>1</v>
      </c>
      <c r="DX152" s="43">
        <v>1</v>
      </c>
      <c r="DY152" s="43">
        <v>1</v>
      </c>
      <c r="DZ152" s="43">
        <v>1</v>
      </c>
      <c r="EA152" s="43">
        <v>1</v>
      </c>
      <c r="EB152" s="43">
        <v>1</v>
      </c>
      <c r="EC152" s="43">
        <v>1</v>
      </c>
      <c r="ED152" s="43">
        <v>1</v>
      </c>
      <c r="EE152" s="43">
        <v>1</v>
      </c>
      <c r="EF152" s="43">
        <v>1</v>
      </c>
      <c r="EG152" s="43">
        <v>1</v>
      </c>
      <c r="EH152" s="43">
        <v>1</v>
      </c>
      <c r="EI152" s="43">
        <v>1</v>
      </c>
      <c r="EJ152" s="43">
        <v>1</v>
      </c>
      <c r="EK152" s="43">
        <v>1</v>
      </c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43">
        <v>0</v>
      </c>
      <c r="AQ153" s="43">
        <v>0</v>
      </c>
      <c r="AR153" s="43">
        <v>0</v>
      </c>
      <c r="AS153" s="43">
        <v>0</v>
      </c>
      <c r="AT153" s="43">
        <v>0</v>
      </c>
      <c r="AU153" s="43">
        <v>0</v>
      </c>
      <c r="AV153" s="43">
        <v>0</v>
      </c>
      <c r="AW153" s="43">
        <v>0</v>
      </c>
      <c r="AX153" s="43">
        <v>0</v>
      </c>
      <c r="AY153" s="43">
        <v>0</v>
      </c>
      <c r="AZ153" s="43">
        <v>0</v>
      </c>
      <c r="BA153" s="43">
        <v>0</v>
      </c>
      <c r="BB153" s="43">
        <v>0</v>
      </c>
      <c r="BC153" s="43">
        <v>0</v>
      </c>
      <c r="BD153" s="43">
        <v>0</v>
      </c>
      <c r="BE153" s="43">
        <v>0</v>
      </c>
      <c r="BF153" s="43">
        <v>0</v>
      </c>
      <c r="BG153" s="43">
        <v>0</v>
      </c>
      <c r="BH153" s="43">
        <v>0</v>
      </c>
      <c r="BI153" s="43">
        <v>0</v>
      </c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2"/>
      <c r="CY153" s="52"/>
      <c r="CZ153" s="52"/>
      <c r="DA153" s="52"/>
      <c r="DB153" s="52"/>
      <c r="DC153" s="52"/>
      <c r="DD153" s="52"/>
      <c r="DE153" s="52"/>
      <c r="DF153" s="52"/>
      <c r="DG153" s="52"/>
      <c r="DH153" s="52"/>
      <c r="DI153" s="52"/>
      <c r="DJ153" s="52"/>
      <c r="DK153" s="52"/>
      <c r="DL153" s="52"/>
      <c r="DM153" s="52"/>
      <c r="DN153" s="52"/>
      <c r="DO153" s="52"/>
      <c r="DP153" s="52"/>
      <c r="DQ153" s="52"/>
      <c r="DR153" s="43">
        <v>1</v>
      </c>
      <c r="DS153" s="43">
        <v>1</v>
      </c>
      <c r="DT153" s="43">
        <v>1</v>
      </c>
      <c r="DU153" s="43">
        <v>1</v>
      </c>
      <c r="DV153" s="43">
        <v>1</v>
      </c>
      <c r="DW153" s="43">
        <v>1</v>
      </c>
      <c r="DX153" s="43">
        <v>1</v>
      </c>
      <c r="DY153" s="43">
        <v>1</v>
      </c>
      <c r="DZ153" s="43">
        <v>1</v>
      </c>
      <c r="EA153" s="43">
        <v>1</v>
      </c>
      <c r="EB153" s="43">
        <v>1</v>
      </c>
      <c r="EC153" s="43">
        <v>1</v>
      </c>
      <c r="ED153" s="43">
        <v>1</v>
      </c>
      <c r="EE153" s="43">
        <v>1</v>
      </c>
      <c r="EF153" s="43">
        <v>1</v>
      </c>
      <c r="EG153" s="43">
        <v>1</v>
      </c>
      <c r="EH153" s="43">
        <v>1</v>
      </c>
      <c r="EI153" s="43">
        <v>1</v>
      </c>
      <c r="EJ153" s="43">
        <v>1</v>
      </c>
      <c r="EK153" s="43">
        <v>1</v>
      </c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43">
        <v>0</v>
      </c>
      <c r="AQ154" s="43">
        <v>0</v>
      </c>
      <c r="AR154" s="43">
        <v>0</v>
      </c>
      <c r="AS154" s="43">
        <v>0</v>
      </c>
      <c r="AT154" s="43">
        <v>0</v>
      </c>
      <c r="AU154" s="43">
        <v>0</v>
      </c>
      <c r="AV154" s="43">
        <v>0</v>
      </c>
      <c r="AW154" s="43">
        <v>0</v>
      </c>
      <c r="AX154" s="43">
        <v>0</v>
      </c>
      <c r="AY154" s="43">
        <v>0</v>
      </c>
      <c r="AZ154" s="43">
        <v>0</v>
      </c>
      <c r="BA154" s="43">
        <v>0</v>
      </c>
      <c r="BB154" s="43">
        <v>0</v>
      </c>
      <c r="BC154" s="43">
        <v>0</v>
      </c>
      <c r="BD154" s="43">
        <v>0</v>
      </c>
      <c r="BE154" s="43">
        <v>0</v>
      </c>
      <c r="BF154" s="43">
        <v>0</v>
      </c>
      <c r="BG154" s="43">
        <v>0</v>
      </c>
      <c r="BH154" s="43">
        <v>0</v>
      </c>
      <c r="BI154" s="43">
        <v>0</v>
      </c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2"/>
      <c r="CY154" s="52"/>
      <c r="CZ154" s="52"/>
      <c r="DA154" s="52"/>
      <c r="DB154" s="52"/>
      <c r="DC154" s="52"/>
      <c r="DD154" s="52"/>
      <c r="DE154" s="52"/>
      <c r="DF154" s="52"/>
      <c r="DG154" s="52"/>
      <c r="DH154" s="52"/>
      <c r="DI154" s="52"/>
      <c r="DJ154" s="52"/>
      <c r="DK154" s="52"/>
      <c r="DL154" s="52"/>
      <c r="DM154" s="52"/>
      <c r="DN154" s="52"/>
      <c r="DO154" s="52"/>
      <c r="DP154" s="52"/>
      <c r="DQ154" s="52"/>
      <c r="DR154" s="43">
        <v>1</v>
      </c>
      <c r="DS154" s="43">
        <v>1</v>
      </c>
      <c r="DT154" s="43">
        <v>1</v>
      </c>
      <c r="DU154" s="43">
        <v>1</v>
      </c>
      <c r="DV154" s="43">
        <v>1</v>
      </c>
      <c r="DW154" s="43">
        <v>1</v>
      </c>
      <c r="DX154" s="43">
        <v>1</v>
      </c>
      <c r="DY154" s="43">
        <v>1</v>
      </c>
      <c r="DZ154" s="43">
        <v>1</v>
      </c>
      <c r="EA154" s="43">
        <v>1</v>
      </c>
      <c r="EB154" s="43">
        <v>1</v>
      </c>
      <c r="EC154" s="43">
        <v>1</v>
      </c>
      <c r="ED154" s="43">
        <v>1</v>
      </c>
      <c r="EE154" s="43">
        <v>1</v>
      </c>
      <c r="EF154" s="43">
        <v>1</v>
      </c>
      <c r="EG154" s="43">
        <v>1</v>
      </c>
      <c r="EH154" s="43">
        <v>1</v>
      </c>
      <c r="EI154" s="43">
        <v>1</v>
      </c>
      <c r="EJ154" s="43">
        <v>1</v>
      </c>
      <c r="EK154" s="43">
        <v>1</v>
      </c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43">
        <v>0</v>
      </c>
      <c r="AQ155" s="43">
        <v>0</v>
      </c>
      <c r="AR155" s="43">
        <v>0</v>
      </c>
      <c r="AS155" s="43">
        <v>0</v>
      </c>
      <c r="AT155" s="43">
        <v>0</v>
      </c>
      <c r="AU155" s="43">
        <v>0</v>
      </c>
      <c r="AV155" s="43">
        <v>0</v>
      </c>
      <c r="AW155" s="43">
        <v>0</v>
      </c>
      <c r="AX155" s="43">
        <v>0</v>
      </c>
      <c r="AY155" s="43">
        <v>0</v>
      </c>
      <c r="AZ155" s="43">
        <v>0</v>
      </c>
      <c r="BA155" s="43">
        <v>0</v>
      </c>
      <c r="BB155" s="43">
        <v>0</v>
      </c>
      <c r="BC155" s="43">
        <v>0</v>
      </c>
      <c r="BD155" s="43">
        <v>0</v>
      </c>
      <c r="BE155" s="43">
        <v>0</v>
      </c>
      <c r="BF155" s="43">
        <v>0</v>
      </c>
      <c r="BG155" s="43">
        <v>0</v>
      </c>
      <c r="BH155" s="43">
        <v>0</v>
      </c>
      <c r="BI155" s="43">
        <v>0</v>
      </c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2"/>
      <c r="CY155" s="52"/>
      <c r="CZ155" s="52"/>
      <c r="DA155" s="52"/>
      <c r="DB155" s="52"/>
      <c r="DC155" s="52"/>
      <c r="DD155" s="52"/>
      <c r="DE155" s="52"/>
      <c r="DF155" s="52"/>
      <c r="DG155" s="52"/>
      <c r="DH155" s="52"/>
      <c r="DI155" s="52"/>
      <c r="DJ155" s="52"/>
      <c r="DK155" s="52"/>
      <c r="DL155" s="52"/>
      <c r="DM155" s="52"/>
      <c r="DN155" s="52"/>
      <c r="DO155" s="52"/>
      <c r="DP155" s="52"/>
      <c r="DQ155" s="52"/>
      <c r="DR155" s="43">
        <v>1</v>
      </c>
      <c r="DS155" s="43">
        <v>1</v>
      </c>
      <c r="DT155" s="43">
        <v>1</v>
      </c>
      <c r="DU155" s="43">
        <v>1</v>
      </c>
      <c r="DV155" s="43">
        <v>1</v>
      </c>
      <c r="DW155" s="43">
        <v>1</v>
      </c>
      <c r="DX155" s="43">
        <v>1</v>
      </c>
      <c r="DY155" s="43">
        <v>1</v>
      </c>
      <c r="DZ155" s="43">
        <v>1</v>
      </c>
      <c r="EA155" s="43">
        <v>1</v>
      </c>
      <c r="EB155" s="43">
        <v>1</v>
      </c>
      <c r="EC155" s="43">
        <v>1</v>
      </c>
      <c r="ED155" s="43">
        <v>1</v>
      </c>
      <c r="EE155" s="43">
        <v>1</v>
      </c>
      <c r="EF155" s="43">
        <v>1</v>
      </c>
      <c r="EG155" s="43">
        <v>1</v>
      </c>
      <c r="EH155" s="43">
        <v>1</v>
      </c>
      <c r="EI155" s="43">
        <v>1</v>
      </c>
      <c r="EJ155" s="43">
        <v>1</v>
      </c>
      <c r="EK155" s="43">
        <v>1</v>
      </c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43">
        <v>0</v>
      </c>
      <c r="AQ156" s="43">
        <v>0</v>
      </c>
      <c r="AR156" s="43">
        <v>0</v>
      </c>
      <c r="AS156" s="43">
        <v>0</v>
      </c>
      <c r="AT156" s="43">
        <v>0</v>
      </c>
      <c r="AU156" s="43">
        <v>0</v>
      </c>
      <c r="AV156" s="43">
        <v>0</v>
      </c>
      <c r="AW156" s="43">
        <v>0</v>
      </c>
      <c r="AX156" s="43">
        <v>0</v>
      </c>
      <c r="AY156" s="43">
        <v>0</v>
      </c>
      <c r="AZ156" s="43">
        <v>0</v>
      </c>
      <c r="BA156" s="43">
        <v>0</v>
      </c>
      <c r="BB156" s="43">
        <v>0</v>
      </c>
      <c r="BC156" s="43">
        <v>0</v>
      </c>
      <c r="BD156" s="43">
        <v>0</v>
      </c>
      <c r="BE156" s="43">
        <v>0</v>
      </c>
      <c r="BF156" s="43">
        <v>0</v>
      </c>
      <c r="BG156" s="43">
        <v>0</v>
      </c>
      <c r="BH156" s="43">
        <v>0</v>
      </c>
      <c r="BI156" s="43">
        <v>0</v>
      </c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2"/>
      <c r="CY156" s="52"/>
      <c r="CZ156" s="52"/>
      <c r="DA156" s="52"/>
      <c r="DB156" s="52"/>
      <c r="DC156" s="52"/>
      <c r="DD156" s="52"/>
      <c r="DE156" s="52"/>
      <c r="DF156" s="52"/>
      <c r="DG156" s="52"/>
      <c r="DH156" s="52"/>
      <c r="DI156" s="52"/>
      <c r="DJ156" s="52"/>
      <c r="DK156" s="52"/>
      <c r="DL156" s="52"/>
      <c r="DM156" s="52"/>
      <c r="DN156" s="52"/>
      <c r="DO156" s="52"/>
      <c r="DP156" s="52"/>
      <c r="DQ156" s="52"/>
      <c r="DR156" s="43">
        <v>1</v>
      </c>
      <c r="DS156" s="43">
        <v>1</v>
      </c>
      <c r="DT156" s="43">
        <v>1</v>
      </c>
      <c r="DU156" s="43">
        <v>1</v>
      </c>
      <c r="DV156" s="43">
        <v>1</v>
      </c>
      <c r="DW156" s="43">
        <v>1</v>
      </c>
      <c r="DX156" s="43">
        <v>1</v>
      </c>
      <c r="DY156" s="43">
        <v>1</v>
      </c>
      <c r="DZ156" s="43">
        <v>1</v>
      </c>
      <c r="EA156" s="43">
        <v>1</v>
      </c>
      <c r="EB156" s="43">
        <v>1</v>
      </c>
      <c r="EC156" s="43">
        <v>1</v>
      </c>
      <c r="ED156" s="43">
        <v>1</v>
      </c>
      <c r="EE156" s="43">
        <v>1</v>
      </c>
      <c r="EF156" s="43">
        <v>1</v>
      </c>
      <c r="EG156" s="43">
        <v>1</v>
      </c>
      <c r="EH156" s="43">
        <v>1</v>
      </c>
      <c r="EI156" s="43">
        <v>1</v>
      </c>
      <c r="EJ156" s="43">
        <v>1</v>
      </c>
      <c r="EK156" s="43">
        <v>1</v>
      </c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43">
        <v>0</v>
      </c>
      <c r="AQ157" s="43">
        <v>0</v>
      </c>
      <c r="AR157" s="43">
        <v>0</v>
      </c>
      <c r="AS157" s="43">
        <v>0</v>
      </c>
      <c r="AT157" s="43">
        <v>0</v>
      </c>
      <c r="AU157" s="43">
        <v>0</v>
      </c>
      <c r="AV157" s="43">
        <v>0</v>
      </c>
      <c r="AW157" s="43">
        <v>0</v>
      </c>
      <c r="AX157" s="43">
        <v>0</v>
      </c>
      <c r="AY157" s="43">
        <v>0</v>
      </c>
      <c r="AZ157" s="43">
        <v>0</v>
      </c>
      <c r="BA157" s="43">
        <v>0</v>
      </c>
      <c r="BB157" s="43">
        <v>0</v>
      </c>
      <c r="BC157" s="43">
        <v>0</v>
      </c>
      <c r="BD157" s="43">
        <v>0</v>
      </c>
      <c r="BE157" s="43">
        <v>0</v>
      </c>
      <c r="BF157" s="43">
        <v>0</v>
      </c>
      <c r="BG157" s="43">
        <v>0</v>
      </c>
      <c r="BH157" s="43">
        <v>0</v>
      </c>
      <c r="BI157" s="43">
        <v>0</v>
      </c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52"/>
      <c r="DI157" s="52"/>
      <c r="DJ157" s="52"/>
      <c r="DK157" s="52"/>
      <c r="DL157" s="52"/>
      <c r="DM157" s="52"/>
      <c r="DN157" s="52"/>
      <c r="DO157" s="52"/>
      <c r="DP157" s="52"/>
      <c r="DQ157" s="52"/>
      <c r="DR157" s="43">
        <v>1</v>
      </c>
      <c r="DS157" s="43">
        <v>1</v>
      </c>
      <c r="DT157" s="43">
        <v>1</v>
      </c>
      <c r="DU157" s="43">
        <v>1</v>
      </c>
      <c r="DV157" s="43">
        <v>1</v>
      </c>
      <c r="DW157" s="43">
        <v>1</v>
      </c>
      <c r="DX157" s="43">
        <v>1</v>
      </c>
      <c r="DY157" s="43">
        <v>1</v>
      </c>
      <c r="DZ157" s="43">
        <v>1</v>
      </c>
      <c r="EA157" s="43">
        <v>1</v>
      </c>
      <c r="EB157" s="43">
        <v>1</v>
      </c>
      <c r="EC157" s="43">
        <v>1</v>
      </c>
      <c r="ED157" s="43">
        <v>1</v>
      </c>
      <c r="EE157" s="43">
        <v>1</v>
      </c>
      <c r="EF157" s="43">
        <v>1</v>
      </c>
      <c r="EG157" s="43">
        <v>1</v>
      </c>
      <c r="EH157" s="43">
        <v>1</v>
      </c>
      <c r="EI157" s="43">
        <v>1</v>
      </c>
      <c r="EJ157" s="43">
        <v>1</v>
      </c>
      <c r="EK157" s="43">
        <v>1</v>
      </c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2"/>
      <c r="CY158" s="52"/>
      <c r="CZ158" s="52"/>
      <c r="DA158" s="52"/>
      <c r="DB158" s="52"/>
      <c r="DC158" s="52"/>
      <c r="DD158" s="52"/>
      <c r="DE158" s="52"/>
      <c r="DF158" s="52"/>
      <c r="DG158" s="52"/>
      <c r="DH158" s="52"/>
      <c r="DI158" s="52"/>
      <c r="DJ158" s="52"/>
      <c r="DK158" s="52"/>
      <c r="DL158" s="52"/>
      <c r="DM158" s="52"/>
      <c r="DN158" s="52"/>
      <c r="DO158" s="52"/>
      <c r="DP158" s="52"/>
      <c r="DQ158" s="52"/>
      <c r="DR158" s="43">
        <v>1</v>
      </c>
      <c r="DS158" s="43">
        <v>1</v>
      </c>
      <c r="DT158" s="43">
        <v>1</v>
      </c>
      <c r="DU158" s="43">
        <v>1</v>
      </c>
      <c r="DV158" s="43">
        <v>1</v>
      </c>
      <c r="DW158" s="43">
        <v>1</v>
      </c>
      <c r="DX158" s="43">
        <v>1</v>
      </c>
      <c r="DY158" s="43">
        <v>1</v>
      </c>
      <c r="DZ158" s="43">
        <v>1</v>
      </c>
      <c r="EA158" s="43">
        <v>1</v>
      </c>
      <c r="EB158" s="43">
        <v>1</v>
      </c>
      <c r="EC158" s="43">
        <v>1</v>
      </c>
      <c r="ED158" s="43">
        <v>1</v>
      </c>
      <c r="EE158" s="43">
        <v>1</v>
      </c>
      <c r="EF158" s="43">
        <v>1</v>
      </c>
      <c r="EG158" s="43">
        <v>1</v>
      </c>
      <c r="EH158" s="43">
        <v>1</v>
      </c>
      <c r="EI158" s="43">
        <v>1</v>
      </c>
      <c r="EJ158" s="43">
        <v>1</v>
      </c>
      <c r="EK158" s="43">
        <v>1</v>
      </c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43">
        <v>0</v>
      </c>
      <c r="AQ159" s="43">
        <v>0</v>
      </c>
      <c r="AR159" s="43">
        <v>0</v>
      </c>
      <c r="AS159" s="43">
        <v>0</v>
      </c>
      <c r="AT159" s="43">
        <v>0</v>
      </c>
      <c r="AU159" s="43">
        <v>0</v>
      </c>
      <c r="AV159" s="43">
        <v>0</v>
      </c>
      <c r="AW159" s="43">
        <v>0</v>
      </c>
      <c r="AX159" s="43">
        <v>0</v>
      </c>
      <c r="AY159" s="43">
        <v>0</v>
      </c>
      <c r="AZ159" s="43">
        <v>0</v>
      </c>
      <c r="BA159" s="43">
        <v>0</v>
      </c>
      <c r="BB159" s="43">
        <v>0</v>
      </c>
      <c r="BC159" s="43">
        <v>0</v>
      </c>
      <c r="BD159" s="43">
        <v>0</v>
      </c>
      <c r="BE159" s="43">
        <v>0</v>
      </c>
      <c r="BF159" s="43">
        <v>0</v>
      </c>
      <c r="BG159" s="43">
        <v>0</v>
      </c>
      <c r="BH159" s="43">
        <v>0</v>
      </c>
      <c r="BI159" s="43">
        <v>0</v>
      </c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52"/>
      <c r="DI159" s="52"/>
      <c r="DJ159" s="52"/>
      <c r="DK159" s="52"/>
      <c r="DL159" s="52"/>
      <c r="DM159" s="52"/>
      <c r="DN159" s="52"/>
      <c r="DO159" s="52"/>
      <c r="DP159" s="52"/>
      <c r="DQ159" s="52"/>
      <c r="DR159" s="45">
        <v>1</v>
      </c>
      <c r="DS159" s="45">
        <v>1</v>
      </c>
      <c r="DT159" s="45">
        <v>1</v>
      </c>
      <c r="DU159" s="45">
        <v>1</v>
      </c>
      <c r="DV159" s="45">
        <v>1</v>
      </c>
      <c r="DW159" s="45">
        <v>1</v>
      </c>
      <c r="DX159" s="45">
        <v>1</v>
      </c>
      <c r="DY159" s="45">
        <v>1</v>
      </c>
      <c r="DZ159" s="45">
        <v>1</v>
      </c>
      <c r="EA159" s="45">
        <v>1</v>
      </c>
      <c r="EB159" s="45">
        <v>1</v>
      </c>
      <c r="EC159" s="45">
        <v>1</v>
      </c>
      <c r="ED159" s="45">
        <v>1</v>
      </c>
      <c r="EE159" s="45">
        <v>1</v>
      </c>
      <c r="EF159" s="45">
        <v>1</v>
      </c>
      <c r="EG159" s="45">
        <v>1</v>
      </c>
      <c r="EH159" s="45">
        <v>1</v>
      </c>
      <c r="EI159" s="45">
        <v>1</v>
      </c>
      <c r="EJ159" s="45">
        <v>1</v>
      </c>
      <c r="EK159" s="45">
        <v>1</v>
      </c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43">
        <v>0</v>
      </c>
      <c r="AQ160" s="43">
        <v>0</v>
      </c>
      <c r="AR160" s="43">
        <v>0</v>
      </c>
      <c r="AS160" s="43">
        <v>0</v>
      </c>
      <c r="AT160" s="43">
        <v>0</v>
      </c>
      <c r="AU160" s="43">
        <v>0</v>
      </c>
      <c r="AV160" s="43">
        <v>0</v>
      </c>
      <c r="AW160" s="43">
        <v>0</v>
      </c>
      <c r="AX160" s="43">
        <v>0</v>
      </c>
      <c r="AY160" s="43">
        <v>0</v>
      </c>
      <c r="AZ160" s="43">
        <v>0</v>
      </c>
      <c r="BA160" s="43">
        <v>0</v>
      </c>
      <c r="BB160" s="43">
        <v>0</v>
      </c>
      <c r="BC160" s="43">
        <v>0</v>
      </c>
      <c r="BD160" s="43">
        <v>0</v>
      </c>
      <c r="BE160" s="43">
        <v>0</v>
      </c>
      <c r="BF160" s="43">
        <v>0</v>
      </c>
      <c r="BG160" s="43">
        <v>0</v>
      </c>
      <c r="BH160" s="43">
        <v>0</v>
      </c>
      <c r="BI160" s="43">
        <v>0</v>
      </c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2"/>
      <c r="CY160" s="52"/>
      <c r="CZ160" s="52"/>
      <c r="DA160" s="52"/>
      <c r="DB160" s="52"/>
      <c r="DC160" s="52"/>
      <c r="DD160" s="52"/>
      <c r="DE160" s="52"/>
      <c r="DF160" s="52"/>
      <c r="DG160" s="52"/>
      <c r="DH160" s="52"/>
      <c r="DI160" s="52"/>
      <c r="DJ160" s="52"/>
      <c r="DK160" s="52"/>
      <c r="DL160" s="52"/>
      <c r="DM160" s="52"/>
      <c r="DN160" s="52"/>
      <c r="DO160" s="52"/>
      <c r="DP160" s="52"/>
      <c r="DQ160" s="52"/>
      <c r="DR160" s="43">
        <v>1</v>
      </c>
      <c r="DS160" s="43">
        <v>1</v>
      </c>
      <c r="DT160" s="43">
        <v>1</v>
      </c>
      <c r="DU160" s="43">
        <v>1</v>
      </c>
      <c r="DV160" s="43">
        <v>1</v>
      </c>
      <c r="DW160" s="43">
        <v>1</v>
      </c>
      <c r="DX160" s="43">
        <v>1</v>
      </c>
      <c r="DY160" s="43">
        <v>1</v>
      </c>
      <c r="DZ160" s="43">
        <v>1</v>
      </c>
      <c r="EA160" s="43">
        <v>1</v>
      </c>
      <c r="EB160" s="43">
        <v>1</v>
      </c>
      <c r="EC160" s="43">
        <v>1</v>
      </c>
      <c r="ED160" s="43">
        <v>1</v>
      </c>
      <c r="EE160" s="43">
        <v>1</v>
      </c>
      <c r="EF160" s="43">
        <v>1</v>
      </c>
      <c r="EG160" s="43">
        <v>1</v>
      </c>
      <c r="EH160" s="43">
        <v>1</v>
      </c>
      <c r="EI160" s="43">
        <v>1</v>
      </c>
      <c r="EJ160" s="43">
        <v>1</v>
      </c>
      <c r="EK160" s="43">
        <v>1</v>
      </c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43">
        <v>0</v>
      </c>
      <c r="AQ161" s="43">
        <v>0</v>
      </c>
      <c r="AR161" s="43">
        <v>0</v>
      </c>
      <c r="AS161" s="43">
        <v>0</v>
      </c>
      <c r="AT161" s="43">
        <v>0</v>
      </c>
      <c r="AU161" s="43">
        <v>0</v>
      </c>
      <c r="AV161" s="43">
        <v>0</v>
      </c>
      <c r="AW161" s="43">
        <v>0</v>
      </c>
      <c r="AX161" s="43">
        <v>0</v>
      </c>
      <c r="AY161" s="43">
        <v>0</v>
      </c>
      <c r="AZ161" s="43">
        <v>0</v>
      </c>
      <c r="BA161" s="43">
        <v>0</v>
      </c>
      <c r="BB161" s="43">
        <v>0</v>
      </c>
      <c r="BC161" s="43">
        <v>0</v>
      </c>
      <c r="BD161" s="43">
        <v>0</v>
      </c>
      <c r="BE161" s="43">
        <v>0</v>
      </c>
      <c r="BF161" s="43">
        <v>0</v>
      </c>
      <c r="BG161" s="43">
        <v>0</v>
      </c>
      <c r="BH161" s="43">
        <v>0</v>
      </c>
      <c r="BI161" s="43">
        <v>0</v>
      </c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2"/>
      <c r="CY161" s="52"/>
      <c r="CZ161" s="52"/>
      <c r="DA161" s="52"/>
      <c r="DB161" s="52"/>
      <c r="DC161" s="52"/>
      <c r="DD161" s="52"/>
      <c r="DE161" s="52"/>
      <c r="DF161" s="52"/>
      <c r="DG161" s="52"/>
      <c r="DH161" s="52"/>
      <c r="DI161" s="52"/>
      <c r="DJ161" s="52"/>
      <c r="DK161" s="52"/>
      <c r="DL161" s="52"/>
      <c r="DM161" s="52"/>
      <c r="DN161" s="52"/>
      <c r="DO161" s="52"/>
      <c r="DP161" s="52"/>
      <c r="DQ161" s="52"/>
      <c r="DR161" s="43">
        <v>1</v>
      </c>
      <c r="DS161" s="43">
        <v>1</v>
      </c>
      <c r="DT161" s="43">
        <v>1</v>
      </c>
      <c r="DU161" s="43">
        <v>1</v>
      </c>
      <c r="DV161" s="43">
        <v>1</v>
      </c>
      <c r="DW161" s="43">
        <v>1</v>
      </c>
      <c r="DX161" s="43">
        <v>1</v>
      </c>
      <c r="DY161" s="43">
        <v>1</v>
      </c>
      <c r="DZ161" s="43">
        <v>1</v>
      </c>
      <c r="EA161" s="43">
        <v>1</v>
      </c>
      <c r="EB161" s="43">
        <v>1</v>
      </c>
      <c r="EC161" s="43">
        <v>1</v>
      </c>
      <c r="ED161" s="43">
        <v>1</v>
      </c>
      <c r="EE161" s="43">
        <v>1</v>
      </c>
      <c r="EF161" s="43">
        <v>1</v>
      </c>
      <c r="EG161" s="43">
        <v>1</v>
      </c>
      <c r="EH161" s="43">
        <v>1</v>
      </c>
      <c r="EI161" s="43">
        <v>1</v>
      </c>
      <c r="EJ161" s="43">
        <v>1</v>
      </c>
      <c r="EK161" s="43">
        <v>1</v>
      </c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43">
        <v>0</v>
      </c>
      <c r="AQ162" s="43">
        <v>0</v>
      </c>
      <c r="AR162" s="43">
        <v>0</v>
      </c>
      <c r="AS162" s="43">
        <v>0</v>
      </c>
      <c r="AT162" s="43">
        <v>0</v>
      </c>
      <c r="AU162" s="43">
        <v>0</v>
      </c>
      <c r="AV162" s="43">
        <v>0</v>
      </c>
      <c r="AW162" s="43">
        <v>0</v>
      </c>
      <c r="AX162" s="43">
        <v>0</v>
      </c>
      <c r="AY162" s="43">
        <v>0</v>
      </c>
      <c r="AZ162" s="43">
        <v>0</v>
      </c>
      <c r="BA162" s="43">
        <v>0</v>
      </c>
      <c r="BB162" s="43">
        <v>0</v>
      </c>
      <c r="BC162" s="43">
        <v>0</v>
      </c>
      <c r="BD162" s="43">
        <v>0</v>
      </c>
      <c r="BE162" s="43">
        <v>0</v>
      </c>
      <c r="BF162" s="43">
        <v>0</v>
      </c>
      <c r="BG162" s="43">
        <v>0</v>
      </c>
      <c r="BH162" s="43">
        <v>0</v>
      </c>
      <c r="BI162" s="43">
        <v>0</v>
      </c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2"/>
      <c r="CY162" s="52"/>
      <c r="CZ162" s="52"/>
      <c r="DA162" s="52"/>
      <c r="DB162" s="52"/>
      <c r="DC162" s="52"/>
      <c r="DD162" s="52"/>
      <c r="DE162" s="52"/>
      <c r="DF162" s="52"/>
      <c r="DG162" s="52"/>
      <c r="DH162" s="52"/>
      <c r="DI162" s="52"/>
      <c r="DJ162" s="52"/>
      <c r="DK162" s="52"/>
      <c r="DL162" s="52"/>
      <c r="DM162" s="52"/>
      <c r="DN162" s="52"/>
      <c r="DO162" s="52"/>
      <c r="DP162" s="52"/>
      <c r="DQ162" s="52"/>
      <c r="DR162" s="43">
        <v>1</v>
      </c>
      <c r="DS162" s="43">
        <v>1</v>
      </c>
      <c r="DT162" s="43">
        <v>1</v>
      </c>
      <c r="DU162" s="43">
        <v>1</v>
      </c>
      <c r="DV162" s="43">
        <v>1</v>
      </c>
      <c r="DW162" s="43">
        <v>1</v>
      </c>
      <c r="DX162" s="43">
        <v>1</v>
      </c>
      <c r="DY162" s="43">
        <v>1</v>
      </c>
      <c r="DZ162" s="43">
        <v>1</v>
      </c>
      <c r="EA162" s="43">
        <v>1</v>
      </c>
      <c r="EB162" s="43">
        <v>1</v>
      </c>
      <c r="EC162" s="43">
        <v>1</v>
      </c>
      <c r="ED162" s="43">
        <v>1</v>
      </c>
      <c r="EE162" s="43">
        <v>1</v>
      </c>
      <c r="EF162" s="43">
        <v>1</v>
      </c>
      <c r="EG162" s="43">
        <v>1</v>
      </c>
      <c r="EH162" s="43">
        <v>1</v>
      </c>
      <c r="EI162" s="43">
        <v>1</v>
      </c>
      <c r="EJ162" s="43">
        <v>1</v>
      </c>
      <c r="EK162" s="43">
        <v>1</v>
      </c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43">
        <v>0</v>
      </c>
      <c r="AQ163" s="43">
        <v>0</v>
      </c>
      <c r="AR163" s="43">
        <v>0</v>
      </c>
      <c r="AS163" s="43">
        <v>0</v>
      </c>
      <c r="AT163" s="43">
        <v>0</v>
      </c>
      <c r="AU163" s="43">
        <v>0</v>
      </c>
      <c r="AV163" s="43">
        <v>0</v>
      </c>
      <c r="AW163" s="43">
        <v>0</v>
      </c>
      <c r="AX163" s="43">
        <v>0</v>
      </c>
      <c r="AY163" s="43">
        <v>0</v>
      </c>
      <c r="AZ163" s="43">
        <v>0</v>
      </c>
      <c r="BA163" s="43">
        <v>0</v>
      </c>
      <c r="BB163" s="43">
        <v>0</v>
      </c>
      <c r="BC163" s="43">
        <v>0</v>
      </c>
      <c r="BD163" s="43">
        <v>0</v>
      </c>
      <c r="BE163" s="43">
        <v>0</v>
      </c>
      <c r="BF163" s="43">
        <v>0</v>
      </c>
      <c r="BG163" s="43">
        <v>0</v>
      </c>
      <c r="BH163" s="43">
        <v>0</v>
      </c>
      <c r="BI163" s="43">
        <v>0</v>
      </c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2"/>
      <c r="CY163" s="52"/>
      <c r="CZ163" s="52"/>
      <c r="DA163" s="52"/>
      <c r="DB163" s="52"/>
      <c r="DC163" s="52"/>
      <c r="DD163" s="52"/>
      <c r="DE163" s="52"/>
      <c r="DF163" s="52"/>
      <c r="DG163" s="52"/>
      <c r="DH163" s="52"/>
      <c r="DI163" s="52"/>
      <c r="DJ163" s="52"/>
      <c r="DK163" s="52"/>
      <c r="DL163" s="52"/>
      <c r="DM163" s="52"/>
      <c r="DN163" s="52"/>
      <c r="DO163" s="52"/>
      <c r="DP163" s="52"/>
      <c r="DQ163" s="52"/>
      <c r="DR163" s="43">
        <v>1</v>
      </c>
      <c r="DS163" s="43">
        <v>1</v>
      </c>
      <c r="DT163" s="43">
        <v>1</v>
      </c>
      <c r="DU163" s="43">
        <v>1</v>
      </c>
      <c r="DV163" s="43">
        <v>1</v>
      </c>
      <c r="DW163" s="43">
        <v>1</v>
      </c>
      <c r="DX163" s="43">
        <v>1</v>
      </c>
      <c r="DY163" s="43">
        <v>1</v>
      </c>
      <c r="DZ163" s="43">
        <v>1</v>
      </c>
      <c r="EA163" s="43">
        <v>1</v>
      </c>
      <c r="EB163" s="43">
        <v>1</v>
      </c>
      <c r="EC163" s="43">
        <v>1</v>
      </c>
      <c r="ED163" s="43">
        <v>1</v>
      </c>
      <c r="EE163" s="43">
        <v>1</v>
      </c>
      <c r="EF163" s="43">
        <v>1</v>
      </c>
      <c r="EG163" s="43">
        <v>1</v>
      </c>
      <c r="EH163" s="43">
        <v>1</v>
      </c>
      <c r="EI163" s="43">
        <v>1</v>
      </c>
      <c r="EJ163" s="43">
        <v>1</v>
      </c>
      <c r="EK163" s="43">
        <v>1</v>
      </c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43">
        <v>0</v>
      </c>
      <c r="AQ164" s="43">
        <v>0</v>
      </c>
      <c r="AR164" s="43">
        <v>0</v>
      </c>
      <c r="AS164" s="43">
        <v>0</v>
      </c>
      <c r="AT164" s="43">
        <v>0</v>
      </c>
      <c r="AU164" s="43">
        <v>0</v>
      </c>
      <c r="AV164" s="43">
        <v>0</v>
      </c>
      <c r="AW164" s="43">
        <v>0</v>
      </c>
      <c r="AX164" s="43">
        <v>0</v>
      </c>
      <c r="AY164" s="43">
        <v>0</v>
      </c>
      <c r="AZ164" s="43">
        <v>0</v>
      </c>
      <c r="BA164" s="43">
        <v>0</v>
      </c>
      <c r="BB164" s="43">
        <v>0</v>
      </c>
      <c r="BC164" s="43">
        <v>0</v>
      </c>
      <c r="BD164" s="43">
        <v>0</v>
      </c>
      <c r="BE164" s="43">
        <v>0</v>
      </c>
      <c r="BF164" s="43">
        <v>0</v>
      </c>
      <c r="BG164" s="43">
        <v>0</v>
      </c>
      <c r="BH164" s="43">
        <v>0</v>
      </c>
      <c r="BI164" s="43">
        <v>0</v>
      </c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2"/>
      <c r="CY164" s="52"/>
      <c r="CZ164" s="52"/>
      <c r="DA164" s="52"/>
      <c r="DB164" s="52"/>
      <c r="DC164" s="52"/>
      <c r="DD164" s="52"/>
      <c r="DE164" s="52"/>
      <c r="DF164" s="52"/>
      <c r="DG164" s="52"/>
      <c r="DH164" s="52"/>
      <c r="DI164" s="52"/>
      <c r="DJ164" s="52"/>
      <c r="DK164" s="52"/>
      <c r="DL164" s="52"/>
      <c r="DM164" s="52"/>
      <c r="DN164" s="52"/>
      <c r="DO164" s="52"/>
      <c r="DP164" s="52"/>
      <c r="DQ164" s="52"/>
      <c r="DR164" s="43">
        <v>1</v>
      </c>
      <c r="DS164" s="43">
        <v>1</v>
      </c>
      <c r="DT164" s="43">
        <v>1</v>
      </c>
      <c r="DU164" s="43">
        <v>1</v>
      </c>
      <c r="DV164" s="43">
        <v>1</v>
      </c>
      <c r="DW164" s="43">
        <v>1</v>
      </c>
      <c r="DX164" s="43">
        <v>1</v>
      </c>
      <c r="DY164" s="43">
        <v>1</v>
      </c>
      <c r="DZ164" s="43">
        <v>1</v>
      </c>
      <c r="EA164" s="43">
        <v>1</v>
      </c>
      <c r="EB164" s="43">
        <v>1</v>
      </c>
      <c r="EC164" s="43">
        <v>1</v>
      </c>
      <c r="ED164" s="43">
        <v>1</v>
      </c>
      <c r="EE164" s="43">
        <v>1</v>
      </c>
      <c r="EF164" s="43">
        <v>1</v>
      </c>
      <c r="EG164" s="43">
        <v>1</v>
      </c>
      <c r="EH164" s="43">
        <v>1</v>
      </c>
      <c r="EI164" s="43">
        <v>1</v>
      </c>
      <c r="EJ164" s="43">
        <v>1</v>
      </c>
      <c r="EK164" s="43">
        <v>1</v>
      </c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43">
        <v>0</v>
      </c>
      <c r="BH165" s="43">
        <v>0</v>
      </c>
      <c r="BI165" s="43">
        <v>0</v>
      </c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2"/>
      <c r="CY165" s="52"/>
      <c r="CZ165" s="52"/>
      <c r="DA165" s="52"/>
      <c r="DB165" s="52"/>
      <c r="DC165" s="52"/>
      <c r="DD165" s="52"/>
      <c r="DE165" s="52"/>
      <c r="DF165" s="52"/>
      <c r="DG165" s="52"/>
      <c r="DH165" s="52"/>
      <c r="DI165" s="52"/>
      <c r="DJ165" s="52"/>
      <c r="DK165" s="52"/>
      <c r="DL165" s="52"/>
      <c r="DM165" s="52"/>
      <c r="DN165" s="52"/>
      <c r="DO165" s="52"/>
      <c r="DP165" s="52"/>
      <c r="DQ165" s="52"/>
      <c r="DR165" s="43">
        <v>1</v>
      </c>
      <c r="DS165" s="43">
        <v>1</v>
      </c>
      <c r="DT165" s="43">
        <v>1</v>
      </c>
      <c r="DU165" s="43">
        <v>1</v>
      </c>
      <c r="DV165" s="43">
        <v>1</v>
      </c>
      <c r="DW165" s="43">
        <v>1</v>
      </c>
      <c r="DX165" s="43">
        <v>1</v>
      </c>
      <c r="DY165" s="43">
        <v>1</v>
      </c>
      <c r="DZ165" s="43">
        <v>1</v>
      </c>
      <c r="EA165" s="43">
        <v>1</v>
      </c>
      <c r="EB165" s="43">
        <v>1</v>
      </c>
      <c r="EC165" s="43">
        <v>1</v>
      </c>
      <c r="ED165" s="43">
        <v>1</v>
      </c>
      <c r="EE165" s="43">
        <v>1</v>
      </c>
      <c r="EF165" s="43">
        <v>1</v>
      </c>
      <c r="EG165" s="43">
        <v>1</v>
      </c>
      <c r="EH165" s="43">
        <v>1</v>
      </c>
      <c r="EI165" s="43">
        <v>1</v>
      </c>
      <c r="EJ165" s="43">
        <v>1</v>
      </c>
      <c r="EK165" s="43">
        <v>1</v>
      </c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43">
        <v>0</v>
      </c>
      <c r="AQ166" s="43">
        <v>0</v>
      </c>
      <c r="AR166" s="43">
        <v>0</v>
      </c>
      <c r="AS166" s="43">
        <v>0</v>
      </c>
      <c r="AT166" s="43">
        <v>0</v>
      </c>
      <c r="AU166" s="43">
        <v>0</v>
      </c>
      <c r="AV166" s="43">
        <v>0</v>
      </c>
      <c r="AW166" s="43">
        <v>0</v>
      </c>
      <c r="AX166" s="43">
        <v>0</v>
      </c>
      <c r="AY166" s="43">
        <v>0</v>
      </c>
      <c r="AZ166" s="43">
        <v>0</v>
      </c>
      <c r="BA166" s="43">
        <v>0</v>
      </c>
      <c r="BB166" s="43">
        <v>0</v>
      </c>
      <c r="BC166" s="43">
        <v>0</v>
      </c>
      <c r="BD166" s="43">
        <v>0</v>
      </c>
      <c r="BE166" s="43">
        <v>0</v>
      </c>
      <c r="BF166" s="43">
        <v>0</v>
      </c>
      <c r="BG166" s="43">
        <v>0</v>
      </c>
      <c r="BH166" s="43">
        <v>0</v>
      </c>
      <c r="BI166" s="43">
        <v>0</v>
      </c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2"/>
      <c r="CY166" s="52"/>
      <c r="CZ166" s="52"/>
      <c r="DA166" s="52"/>
      <c r="DB166" s="52"/>
      <c r="DC166" s="52"/>
      <c r="DD166" s="52"/>
      <c r="DE166" s="52"/>
      <c r="DF166" s="52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  <c r="DR166" s="43">
        <v>1</v>
      </c>
      <c r="DS166" s="43">
        <v>1</v>
      </c>
      <c r="DT166" s="43">
        <v>1</v>
      </c>
      <c r="DU166" s="43">
        <v>1</v>
      </c>
      <c r="DV166" s="43">
        <v>1</v>
      </c>
      <c r="DW166" s="43">
        <v>1</v>
      </c>
      <c r="DX166" s="43">
        <v>1</v>
      </c>
      <c r="DY166" s="43">
        <v>1</v>
      </c>
      <c r="DZ166" s="43">
        <v>1</v>
      </c>
      <c r="EA166" s="43">
        <v>1</v>
      </c>
      <c r="EB166" s="43">
        <v>1</v>
      </c>
      <c r="EC166" s="43">
        <v>1</v>
      </c>
      <c r="ED166" s="43">
        <v>1</v>
      </c>
      <c r="EE166" s="43">
        <v>1</v>
      </c>
      <c r="EF166" s="43">
        <v>1</v>
      </c>
      <c r="EG166" s="43">
        <v>1</v>
      </c>
      <c r="EH166" s="43">
        <v>1</v>
      </c>
      <c r="EI166" s="43">
        <v>1</v>
      </c>
      <c r="EJ166" s="43">
        <v>1</v>
      </c>
      <c r="EK166" s="43">
        <v>1</v>
      </c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43">
        <v>0</v>
      </c>
      <c r="AQ167" s="43">
        <v>0</v>
      </c>
      <c r="AR167" s="43">
        <v>0</v>
      </c>
      <c r="AS167" s="43">
        <v>0</v>
      </c>
      <c r="AT167" s="43">
        <v>0</v>
      </c>
      <c r="AU167" s="43">
        <v>0</v>
      </c>
      <c r="AV167" s="43">
        <v>0</v>
      </c>
      <c r="AW167" s="43">
        <v>0</v>
      </c>
      <c r="AX167" s="43">
        <v>0</v>
      </c>
      <c r="AY167" s="43">
        <v>0</v>
      </c>
      <c r="AZ167" s="43">
        <v>0</v>
      </c>
      <c r="BA167" s="43">
        <v>0</v>
      </c>
      <c r="BB167" s="43">
        <v>0</v>
      </c>
      <c r="BC167" s="43">
        <v>0</v>
      </c>
      <c r="BD167" s="43">
        <v>0</v>
      </c>
      <c r="BE167" s="43">
        <v>0</v>
      </c>
      <c r="BF167" s="43">
        <v>0</v>
      </c>
      <c r="BG167" s="43">
        <v>0</v>
      </c>
      <c r="BH167" s="43">
        <v>0</v>
      </c>
      <c r="BI167" s="43">
        <v>0</v>
      </c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2"/>
      <c r="CY167" s="52"/>
      <c r="CZ167" s="52"/>
      <c r="DA167" s="52"/>
      <c r="DB167" s="52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43">
        <v>1</v>
      </c>
      <c r="DS167" s="43">
        <v>1</v>
      </c>
      <c r="DT167" s="43">
        <v>1</v>
      </c>
      <c r="DU167" s="43">
        <v>1</v>
      </c>
      <c r="DV167" s="43">
        <v>1</v>
      </c>
      <c r="DW167" s="43">
        <v>1</v>
      </c>
      <c r="DX167" s="43">
        <v>1</v>
      </c>
      <c r="DY167" s="43">
        <v>1</v>
      </c>
      <c r="DZ167" s="43">
        <v>1</v>
      </c>
      <c r="EA167" s="43">
        <v>1</v>
      </c>
      <c r="EB167" s="43">
        <v>1</v>
      </c>
      <c r="EC167" s="43">
        <v>1</v>
      </c>
      <c r="ED167" s="43">
        <v>1</v>
      </c>
      <c r="EE167" s="43">
        <v>1</v>
      </c>
      <c r="EF167" s="43">
        <v>1</v>
      </c>
      <c r="EG167" s="43">
        <v>1</v>
      </c>
      <c r="EH167" s="43">
        <v>1</v>
      </c>
      <c r="EI167" s="43">
        <v>1</v>
      </c>
      <c r="EJ167" s="43">
        <v>1</v>
      </c>
      <c r="EK167" s="43">
        <v>1</v>
      </c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43">
        <v>0</v>
      </c>
      <c r="AQ168" s="43">
        <v>0</v>
      </c>
      <c r="AR168" s="43">
        <v>0</v>
      </c>
      <c r="AS168" s="43">
        <v>0</v>
      </c>
      <c r="AT168" s="43">
        <v>0</v>
      </c>
      <c r="AU168" s="43">
        <v>0</v>
      </c>
      <c r="AV168" s="43">
        <v>0</v>
      </c>
      <c r="AW168" s="43">
        <v>0</v>
      </c>
      <c r="AX168" s="43">
        <v>0</v>
      </c>
      <c r="AY168" s="43">
        <v>0</v>
      </c>
      <c r="AZ168" s="43">
        <v>0</v>
      </c>
      <c r="BA168" s="43">
        <v>0</v>
      </c>
      <c r="BB168" s="43">
        <v>0</v>
      </c>
      <c r="BC168" s="43">
        <v>0</v>
      </c>
      <c r="BD168" s="43">
        <v>0</v>
      </c>
      <c r="BE168" s="43">
        <v>0</v>
      </c>
      <c r="BF168" s="43">
        <v>0</v>
      </c>
      <c r="BG168" s="43">
        <v>0</v>
      </c>
      <c r="BH168" s="43">
        <v>0</v>
      </c>
      <c r="BI168" s="43">
        <v>0</v>
      </c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2"/>
      <c r="CY168" s="52"/>
      <c r="CZ168" s="52"/>
      <c r="DA168" s="52"/>
      <c r="DB168" s="52"/>
      <c r="DC168" s="52"/>
      <c r="DD168" s="52"/>
      <c r="DE168" s="52"/>
      <c r="DF168" s="52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  <c r="DR168" s="43">
        <v>1</v>
      </c>
      <c r="DS168" s="43">
        <v>1</v>
      </c>
      <c r="DT168" s="43">
        <v>1</v>
      </c>
      <c r="DU168" s="43">
        <v>1</v>
      </c>
      <c r="DV168" s="43">
        <v>1</v>
      </c>
      <c r="DW168" s="43">
        <v>1</v>
      </c>
      <c r="DX168" s="43">
        <v>1</v>
      </c>
      <c r="DY168" s="43">
        <v>1</v>
      </c>
      <c r="DZ168" s="43">
        <v>1</v>
      </c>
      <c r="EA168" s="43">
        <v>1</v>
      </c>
      <c r="EB168" s="43">
        <v>1</v>
      </c>
      <c r="EC168" s="43">
        <v>1</v>
      </c>
      <c r="ED168" s="43">
        <v>1</v>
      </c>
      <c r="EE168" s="43">
        <v>1</v>
      </c>
      <c r="EF168" s="43">
        <v>1</v>
      </c>
      <c r="EG168" s="43">
        <v>1</v>
      </c>
      <c r="EH168" s="43">
        <v>1</v>
      </c>
      <c r="EI168" s="43">
        <v>1</v>
      </c>
      <c r="EJ168" s="43">
        <v>1</v>
      </c>
      <c r="EK168" s="43">
        <v>1</v>
      </c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43">
        <v>0</v>
      </c>
      <c r="AQ169" s="43">
        <v>0</v>
      </c>
      <c r="AR169" s="43">
        <v>0</v>
      </c>
      <c r="AS169" s="43">
        <v>0</v>
      </c>
      <c r="AT169" s="43">
        <v>0</v>
      </c>
      <c r="AU169" s="43">
        <v>0</v>
      </c>
      <c r="AV169" s="43">
        <v>0</v>
      </c>
      <c r="AW169" s="43">
        <v>0</v>
      </c>
      <c r="AX169" s="43">
        <v>0</v>
      </c>
      <c r="AY169" s="43">
        <v>0</v>
      </c>
      <c r="AZ169" s="43">
        <v>0</v>
      </c>
      <c r="BA169" s="43">
        <v>0</v>
      </c>
      <c r="BB169" s="43">
        <v>0</v>
      </c>
      <c r="BC169" s="43">
        <v>0</v>
      </c>
      <c r="BD169" s="43">
        <v>0</v>
      </c>
      <c r="BE169" s="43">
        <v>0</v>
      </c>
      <c r="BF169" s="43">
        <v>0</v>
      </c>
      <c r="BG169" s="43">
        <v>0</v>
      </c>
      <c r="BH169" s="43">
        <v>0</v>
      </c>
      <c r="BI169" s="43">
        <v>0</v>
      </c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2"/>
      <c r="CY169" s="52"/>
      <c r="CZ169" s="52"/>
      <c r="DA169" s="52"/>
      <c r="DB169" s="52"/>
      <c r="DC169" s="52"/>
      <c r="DD169" s="52"/>
      <c r="DE169" s="52"/>
      <c r="DF169" s="52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  <c r="DR169" s="43">
        <v>1</v>
      </c>
      <c r="DS169" s="43">
        <v>1</v>
      </c>
      <c r="DT169" s="43">
        <v>1</v>
      </c>
      <c r="DU169" s="43">
        <v>1</v>
      </c>
      <c r="DV169" s="43">
        <v>1</v>
      </c>
      <c r="DW169" s="43">
        <v>1</v>
      </c>
      <c r="DX169" s="43">
        <v>1</v>
      </c>
      <c r="DY169" s="43">
        <v>1</v>
      </c>
      <c r="DZ169" s="43">
        <v>1</v>
      </c>
      <c r="EA169" s="43">
        <v>1</v>
      </c>
      <c r="EB169" s="43">
        <v>1</v>
      </c>
      <c r="EC169" s="43">
        <v>1</v>
      </c>
      <c r="ED169" s="43">
        <v>1</v>
      </c>
      <c r="EE169" s="43">
        <v>1</v>
      </c>
      <c r="EF169" s="43">
        <v>1</v>
      </c>
      <c r="EG169" s="43">
        <v>1</v>
      </c>
      <c r="EH169" s="43">
        <v>1</v>
      </c>
      <c r="EI169" s="43">
        <v>1</v>
      </c>
      <c r="EJ169" s="43">
        <v>1</v>
      </c>
      <c r="EK169" s="43">
        <v>1</v>
      </c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43">
        <v>0</v>
      </c>
      <c r="AY170" s="43">
        <v>0</v>
      </c>
      <c r="AZ170" s="43">
        <v>0</v>
      </c>
      <c r="BA170" s="43">
        <v>0</v>
      </c>
      <c r="BB170" s="43">
        <v>0</v>
      </c>
      <c r="BC170" s="43">
        <v>0</v>
      </c>
      <c r="BD170" s="43">
        <v>0</v>
      </c>
      <c r="BE170" s="43">
        <v>0</v>
      </c>
      <c r="BF170" s="43">
        <v>0</v>
      </c>
      <c r="BG170" s="43">
        <v>0</v>
      </c>
      <c r="BH170" s="43">
        <v>0</v>
      </c>
      <c r="BI170" s="43">
        <v>0</v>
      </c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2"/>
      <c r="CY170" s="52"/>
      <c r="CZ170" s="52"/>
      <c r="DA170" s="52"/>
      <c r="DB170" s="52"/>
      <c r="DC170" s="52"/>
      <c r="DD170" s="52"/>
      <c r="DE170" s="52"/>
      <c r="DF170" s="52"/>
      <c r="DG170" s="52"/>
      <c r="DH170" s="52"/>
      <c r="DI170" s="52"/>
      <c r="DJ170" s="52"/>
      <c r="DK170" s="52"/>
      <c r="DL170" s="52"/>
      <c r="DM170" s="52"/>
      <c r="DN170" s="52"/>
      <c r="DO170" s="52"/>
      <c r="DP170" s="52"/>
      <c r="DQ170" s="52"/>
      <c r="DR170" s="43">
        <v>1</v>
      </c>
      <c r="DS170" s="43">
        <v>1</v>
      </c>
      <c r="DT170" s="43">
        <v>1</v>
      </c>
      <c r="DU170" s="43">
        <v>1</v>
      </c>
      <c r="DV170" s="43">
        <v>1</v>
      </c>
      <c r="DW170" s="43">
        <v>1</v>
      </c>
      <c r="DX170" s="43">
        <v>1</v>
      </c>
      <c r="DY170" s="43">
        <v>1</v>
      </c>
      <c r="DZ170" s="43">
        <v>1</v>
      </c>
      <c r="EA170" s="43">
        <v>1</v>
      </c>
      <c r="EB170" s="43">
        <v>1</v>
      </c>
      <c r="EC170" s="43">
        <v>1</v>
      </c>
      <c r="ED170" s="43">
        <v>1</v>
      </c>
      <c r="EE170" s="43">
        <v>1</v>
      </c>
      <c r="EF170" s="43">
        <v>1</v>
      </c>
      <c r="EG170" s="43">
        <v>1</v>
      </c>
      <c r="EH170" s="43">
        <v>1</v>
      </c>
      <c r="EI170" s="43">
        <v>1</v>
      </c>
      <c r="EJ170" s="43">
        <v>1</v>
      </c>
      <c r="EK170" s="43">
        <v>1</v>
      </c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43">
        <v>0</v>
      </c>
      <c r="AQ171" s="43">
        <v>0</v>
      </c>
      <c r="AR171" s="43">
        <v>0</v>
      </c>
      <c r="AS171" s="43">
        <v>0</v>
      </c>
      <c r="AT171" s="43">
        <v>0</v>
      </c>
      <c r="AU171" s="43">
        <v>0</v>
      </c>
      <c r="AV171" s="43">
        <v>0</v>
      </c>
      <c r="AW171" s="43">
        <v>0</v>
      </c>
      <c r="AX171" s="43">
        <v>0</v>
      </c>
      <c r="AY171" s="43">
        <v>0</v>
      </c>
      <c r="AZ171" s="43">
        <v>0</v>
      </c>
      <c r="BA171" s="43">
        <v>0</v>
      </c>
      <c r="BB171" s="43">
        <v>0</v>
      </c>
      <c r="BC171" s="43">
        <v>0</v>
      </c>
      <c r="BD171" s="43">
        <v>0</v>
      </c>
      <c r="BE171" s="43">
        <v>0</v>
      </c>
      <c r="BF171" s="43">
        <v>0</v>
      </c>
      <c r="BG171" s="43">
        <v>0</v>
      </c>
      <c r="BH171" s="43">
        <v>0</v>
      </c>
      <c r="BI171" s="43">
        <v>0</v>
      </c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2"/>
      <c r="CY171" s="52"/>
      <c r="CZ171" s="52"/>
      <c r="DA171" s="52"/>
      <c r="DB171" s="52"/>
      <c r="DC171" s="52"/>
      <c r="DD171" s="52"/>
      <c r="DE171" s="52"/>
      <c r="DF171" s="52"/>
      <c r="DG171" s="52"/>
      <c r="DH171" s="52"/>
      <c r="DI171" s="52"/>
      <c r="DJ171" s="52"/>
      <c r="DK171" s="52"/>
      <c r="DL171" s="52"/>
      <c r="DM171" s="52"/>
      <c r="DN171" s="52"/>
      <c r="DO171" s="52"/>
      <c r="DP171" s="52"/>
      <c r="DQ171" s="52"/>
      <c r="DR171" s="45">
        <v>1</v>
      </c>
      <c r="DS171" s="45">
        <v>1</v>
      </c>
      <c r="DT171" s="45">
        <v>1</v>
      </c>
      <c r="DU171" s="45">
        <v>1</v>
      </c>
      <c r="DV171" s="45">
        <v>1</v>
      </c>
      <c r="DW171" s="45">
        <v>1</v>
      </c>
      <c r="DX171" s="45">
        <v>1</v>
      </c>
      <c r="DY171" s="45">
        <v>1</v>
      </c>
      <c r="DZ171" s="45">
        <v>1</v>
      </c>
      <c r="EA171" s="45">
        <v>1</v>
      </c>
      <c r="EB171" s="45">
        <v>1</v>
      </c>
      <c r="EC171" s="45">
        <v>1</v>
      </c>
      <c r="ED171" s="45">
        <v>1</v>
      </c>
      <c r="EE171" s="45">
        <v>1</v>
      </c>
      <c r="EF171" s="45">
        <v>1</v>
      </c>
      <c r="EG171" s="45">
        <v>1</v>
      </c>
      <c r="EH171" s="45">
        <v>1</v>
      </c>
      <c r="EI171" s="45">
        <v>1</v>
      </c>
      <c r="EJ171" s="45">
        <v>1</v>
      </c>
      <c r="EK171" s="45">
        <v>1</v>
      </c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43">
        <v>0</v>
      </c>
      <c r="AQ172" s="43">
        <v>0</v>
      </c>
      <c r="AR172" s="43">
        <v>0</v>
      </c>
      <c r="AS172" s="43">
        <v>0</v>
      </c>
      <c r="AT172" s="43">
        <v>0</v>
      </c>
      <c r="AU172" s="43">
        <v>0</v>
      </c>
      <c r="AV172" s="43">
        <v>0</v>
      </c>
      <c r="AW172" s="43">
        <v>0</v>
      </c>
      <c r="AX172" s="43">
        <v>0</v>
      </c>
      <c r="AY172" s="43">
        <v>0</v>
      </c>
      <c r="AZ172" s="43">
        <v>0</v>
      </c>
      <c r="BA172" s="43">
        <v>0</v>
      </c>
      <c r="BB172" s="43">
        <v>0</v>
      </c>
      <c r="BC172" s="43">
        <v>0</v>
      </c>
      <c r="BD172" s="43">
        <v>0</v>
      </c>
      <c r="BE172" s="43">
        <v>0</v>
      </c>
      <c r="BF172" s="43">
        <v>0</v>
      </c>
      <c r="BG172" s="43">
        <v>0</v>
      </c>
      <c r="BH172" s="43">
        <v>0</v>
      </c>
      <c r="BI172" s="43">
        <v>0</v>
      </c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2"/>
      <c r="CY172" s="52"/>
      <c r="CZ172" s="52"/>
      <c r="DA172" s="52"/>
      <c r="DB172" s="52"/>
      <c r="DC172" s="52"/>
      <c r="DD172" s="52"/>
      <c r="DE172" s="52"/>
      <c r="DF172" s="52"/>
      <c r="DG172" s="52"/>
      <c r="DH172" s="52"/>
      <c r="DI172" s="52"/>
      <c r="DJ172" s="52"/>
      <c r="DK172" s="52"/>
      <c r="DL172" s="52"/>
      <c r="DM172" s="52"/>
      <c r="DN172" s="52"/>
      <c r="DO172" s="52"/>
      <c r="DP172" s="52"/>
      <c r="DQ172" s="52"/>
      <c r="DR172" s="43">
        <v>1</v>
      </c>
      <c r="DS172" s="43">
        <v>1</v>
      </c>
      <c r="DT172" s="43">
        <v>1</v>
      </c>
      <c r="DU172" s="43">
        <v>1</v>
      </c>
      <c r="DV172" s="43">
        <v>1</v>
      </c>
      <c r="DW172" s="43">
        <v>1</v>
      </c>
      <c r="DX172" s="43">
        <v>1</v>
      </c>
      <c r="DY172" s="43">
        <v>1</v>
      </c>
      <c r="DZ172" s="43">
        <v>1</v>
      </c>
      <c r="EA172" s="43">
        <v>1</v>
      </c>
      <c r="EB172" s="43">
        <v>1</v>
      </c>
      <c r="EC172" s="43">
        <v>1</v>
      </c>
      <c r="ED172" s="43">
        <v>1</v>
      </c>
      <c r="EE172" s="43">
        <v>1</v>
      </c>
      <c r="EF172" s="43">
        <v>1</v>
      </c>
      <c r="EG172" s="43">
        <v>1</v>
      </c>
      <c r="EH172" s="43">
        <v>1</v>
      </c>
      <c r="EI172" s="43">
        <v>1</v>
      </c>
      <c r="EJ172" s="43">
        <v>1</v>
      </c>
      <c r="EK172" s="43">
        <v>1</v>
      </c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43">
        <v>0</v>
      </c>
      <c r="AQ173" s="43">
        <v>0</v>
      </c>
      <c r="AR173" s="43">
        <v>0</v>
      </c>
      <c r="AS173" s="43">
        <v>0</v>
      </c>
      <c r="AT173" s="43">
        <v>0</v>
      </c>
      <c r="AU173" s="43">
        <v>0</v>
      </c>
      <c r="AV173" s="43">
        <v>0</v>
      </c>
      <c r="AW173" s="43">
        <v>0</v>
      </c>
      <c r="AX173" s="43">
        <v>0</v>
      </c>
      <c r="AY173" s="43">
        <v>0</v>
      </c>
      <c r="AZ173" s="43">
        <v>0</v>
      </c>
      <c r="BA173" s="43">
        <v>0</v>
      </c>
      <c r="BB173" s="43">
        <v>0</v>
      </c>
      <c r="BC173" s="43">
        <v>0</v>
      </c>
      <c r="BD173" s="43">
        <v>0</v>
      </c>
      <c r="BE173" s="43">
        <v>0</v>
      </c>
      <c r="BF173" s="43">
        <v>0</v>
      </c>
      <c r="BG173" s="43">
        <v>0</v>
      </c>
      <c r="BH173" s="43">
        <v>0</v>
      </c>
      <c r="BI173" s="43">
        <v>0</v>
      </c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2"/>
      <c r="CY173" s="52"/>
      <c r="CZ173" s="52"/>
      <c r="DA173" s="52"/>
      <c r="DB173" s="52"/>
      <c r="DC173" s="52"/>
      <c r="DD173" s="52"/>
      <c r="DE173" s="52"/>
      <c r="DF173" s="52"/>
      <c r="DG173" s="52"/>
      <c r="DH173" s="52"/>
      <c r="DI173" s="52"/>
      <c r="DJ173" s="52"/>
      <c r="DK173" s="52"/>
      <c r="DL173" s="52"/>
      <c r="DM173" s="52"/>
      <c r="DN173" s="52"/>
      <c r="DO173" s="52"/>
      <c r="DP173" s="52"/>
      <c r="DQ173" s="52"/>
      <c r="DR173" s="43">
        <v>1</v>
      </c>
      <c r="DS173" s="43">
        <v>1</v>
      </c>
      <c r="DT173" s="43">
        <v>1</v>
      </c>
      <c r="DU173" s="43">
        <v>1</v>
      </c>
      <c r="DV173" s="43">
        <v>1</v>
      </c>
      <c r="DW173" s="43">
        <v>1</v>
      </c>
      <c r="DX173" s="43">
        <v>1</v>
      </c>
      <c r="DY173" s="43">
        <v>1</v>
      </c>
      <c r="DZ173" s="43">
        <v>1</v>
      </c>
      <c r="EA173" s="43">
        <v>1</v>
      </c>
      <c r="EB173" s="43">
        <v>1</v>
      </c>
      <c r="EC173" s="43">
        <v>1</v>
      </c>
      <c r="ED173" s="43">
        <v>1</v>
      </c>
      <c r="EE173" s="43">
        <v>1</v>
      </c>
      <c r="EF173" s="43">
        <v>1</v>
      </c>
      <c r="EG173" s="43">
        <v>1</v>
      </c>
      <c r="EH173" s="43">
        <v>1</v>
      </c>
      <c r="EI173" s="43">
        <v>1</v>
      </c>
      <c r="EJ173" s="43">
        <v>1</v>
      </c>
      <c r="EK173" s="43">
        <v>1</v>
      </c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43">
        <v>0</v>
      </c>
      <c r="AQ174" s="43">
        <v>0</v>
      </c>
      <c r="AR174" s="43">
        <v>0</v>
      </c>
      <c r="AS174" s="43">
        <v>0</v>
      </c>
      <c r="AT174" s="43">
        <v>0</v>
      </c>
      <c r="AU174" s="43">
        <v>0</v>
      </c>
      <c r="AV174" s="43">
        <v>0</v>
      </c>
      <c r="AW174" s="43">
        <v>0</v>
      </c>
      <c r="AX174" s="43">
        <v>0</v>
      </c>
      <c r="AY174" s="43">
        <v>0</v>
      </c>
      <c r="AZ174" s="43">
        <v>0</v>
      </c>
      <c r="BA174" s="43">
        <v>0</v>
      </c>
      <c r="BB174" s="43">
        <v>0</v>
      </c>
      <c r="BC174" s="43">
        <v>0</v>
      </c>
      <c r="BD174" s="43">
        <v>0</v>
      </c>
      <c r="BE174" s="43">
        <v>0</v>
      </c>
      <c r="BF174" s="43">
        <v>0</v>
      </c>
      <c r="BG174" s="43">
        <v>0</v>
      </c>
      <c r="BH174" s="43">
        <v>0</v>
      </c>
      <c r="BI174" s="43">
        <v>0</v>
      </c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2"/>
      <c r="CY174" s="52"/>
      <c r="CZ174" s="52"/>
      <c r="DA174" s="52"/>
      <c r="DB174" s="52"/>
      <c r="DC174" s="52"/>
      <c r="DD174" s="52"/>
      <c r="DE174" s="52"/>
      <c r="DF174" s="52"/>
      <c r="DG174" s="52"/>
      <c r="DH174" s="52"/>
      <c r="DI174" s="52"/>
      <c r="DJ174" s="52"/>
      <c r="DK174" s="52"/>
      <c r="DL174" s="52"/>
      <c r="DM174" s="52"/>
      <c r="DN174" s="52"/>
      <c r="DO174" s="52"/>
      <c r="DP174" s="52"/>
      <c r="DQ174" s="52"/>
      <c r="DR174" s="43">
        <v>1</v>
      </c>
      <c r="DS174" s="43">
        <v>1</v>
      </c>
      <c r="DT174" s="43">
        <v>1</v>
      </c>
      <c r="DU174" s="43">
        <v>1</v>
      </c>
      <c r="DV174" s="43">
        <v>1</v>
      </c>
      <c r="DW174" s="43">
        <v>1</v>
      </c>
      <c r="DX174" s="43">
        <v>1</v>
      </c>
      <c r="DY174" s="43">
        <v>1</v>
      </c>
      <c r="DZ174" s="43">
        <v>1</v>
      </c>
      <c r="EA174" s="43">
        <v>1</v>
      </c>
      <c r="EB174" s="43">
        <v>1</v>
      </c>
      <c r="EC174" s="43">
        <v>1</v>
      </c>
      <c r="ED174" s="43">
        <v>1</v>
      </c>
      <c r="EE174" s="43">
        <v>1</v>
      </c>
      <c r="EF174" s="43">
        <v>1</v>
      </c>
      <c r="EG174" s="43">
        <v>1</v>
      </c>
      <c r="EH174" s="43">
        <v>1</v>
      </c>
      <c r="EI174" s="43">
        <v>1</v>
      </c>
      <c r="EJ174" s="43">
        <v>1</v>
      </c>
      <c r="EK174" s="43">
        <v>1</v>
      </c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43">
        <v>0</v>
      </c>
      <c r="AQ175" s="43">
        <v>0</v>
      </c>
      <c r="AR175" s="43">
        <v>0</v>
      </c>
      <c r="AS175" s="43">
        <v>0</v>
      </c>
      <c r="AT175" s="43">
        <v>0</v>
      </c>
      <c r="AU175" s="43">
        <v>0</v>
      </c>
      <c r="AV175" s="43">
        <v>0</v>
      </c>
      <c r="AW175" s="43">
        <v>0</v>
      </c>
      <c r="AX175" s="43">
        <v>0</v>
      </c>
      <c r="AY175" s="43">
        <v>0</v>
      </c>
      <c r="AZ175" s="43">
        <v>0</v>
      </c>
      <c r="BA175" s="43">
        <v>0</v>
      </c>
      <c r="BB175" s="43">
        <v>0</v>
      </c>
      <c r="BC175" s="43">
        <v>0</v>
      </c>
      <c r="BD175" s="43">
        <v>0</v>
      </c>
      <c r="BE175" s="43">
        <v>0</v>
      </c>
      <c r="BF175" s="43">
        <v>0</v>
      </c>
      <c r="BG175" s="43">
        <v>0</v>
      </c>
      <c r="BH175" s="43">
        <v>0</v>
      </c>
      <c r="BI175" s="43">
        <v>0</v>
      </c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2"/>
      <c r="CY175" s="52"/>
      <c r="CZ175" s="52"/>
      <c r="DA175" s="52"/>
      <c r="DB175" s="52"/>
      <c r="DC175" s="52"/>
      <c r="DD175" s="52"/>
      <c r="DE175" s="52"/>
      <c r="DF175" s="52"/>
      <c r="DG175" s="52"/>
      <c r="DH175" s="52"/>
      <c r="DI175" s="52"/>
      <c r="DJ175" s="52"/>
      <c r="DK175" s="52"/>
      <c r="DL175" s="52"/>
      <c r="DM175" s="52"/>
      <c r="DN175" s="52"/>
      <c r="DO175" s="52"/>
      <c r="DP175" s="52"/>
      <c r="DQ175" s="52"/>
      <c r="DR175" s="43">
        <v>1</v>
      </c>
      <c r="DS175" s="43">
        <v>1</v>
      </c>
      <c r="DT175" s="43">
        <v>1</v>
      </c>
      <c r="DU175" s="43">
        <v>1</v>
      </c>
      <c r="DV175" s="43">
        <v>1</v>
      </c>
      <c r="DW175" s="43">
        <v>1</v>
      </c>
      <c r="DX175" s="43">
        <v>1</v>
      </c>
      <c r="DY175" s="43">
        <v>1</v>
      </c>
      <c r="DZ175" s="43">
        <v>1</v>
      </c>
      <c r="EA175" s="43">
        <v>1</v>
      </c>
      <c r="EB175" s="43">
        <v>1</v>
      </c>
      <c r="EC175" s="43">
        <v>1</v>
      </c>
      <c r="ED175" s="43">
        <v>1</v>
      </c>
      <c r="EE175" s="43">
        <v>1</v>
      </c>
      <c r="EF175" s="43">
        <v>1</v>
      </c>
      <c r="EG175" s="43">
        <v>1</v>
      </c>
      <c r="EH175" s="43">
        <v>1</v>
      </c>
      <c r="EI175" s="43">
        <v>1</v>
      </c>
      <c r="EJ175" s="43">
        <v>1</v>
      </c>
      <c r="EK175" s="43">
        <v>1</v>
      </c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43">
        <v>0</v>
      </c>
      <c r="AQ176" s="43">
        <v>0</v>
      </c>
      <c r="AR176" s="43">
        <v>0</v>
      </c>
      <c r="AS176" s="43">
        <v>0</v>
      </c>
      <c r="AT176" s="43">
        <v>0</v>
      </c>
      <c r="AU176" s="43">
        <v>0</v>
      </c>
      <c r="AV176" s="43">
        <v>0</v>
      </c>
      <c r="AW176" s="43">
        <v>0</v>
      </c>
      <c r="AX176" s="43">
        <v>0</v>
      </c>
      <c r="AY176" s="43">
        <v>0</v>
      </c>
      <c r="AZ176" s="43">
        <v>0</v>
      </c>
      <c r="BA176" s="43">
        <v>0</v>
      </c>
      <c r="BB176" s="43">
        <v>0</v>
      </c>
      <c r="BC176" s="43">
        <v>0</v>
      </c>
      <c r="BD176" s="43">
        <v>0</v>
      </c>
      <c r="BE176" s="43">
        <v>0</v>
      </c>
      <c r="BF176" s="43">
        <v>0</v>
      </c>
      <c r="BG176" s="43">
        <v>0</v>
      </c>
      <c r="BH176" s="43">
        <v>0</v>
      </c>
      <c r="BI176" s="43">
        <v>0</v>
      </c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2"/>
      <c r="CY176" s="52"/>
      <c r="CZ176" s="52"/>
      <c r="DA176" s="52"/>
      <c r="DB176" s="52"/>
      <c r="DC176" s="52"/>
      <c r="DD176" s="52"/>
      <c r="DE176" s="52"/>
      <c r="DF176" s="52"/>
      <c r="DG176" s="52"/>
      <c r="DH176" s="52"/>
      <c r="DI176" s="52"/>
      <c r="DJ176" s="52"/>
      <c r="DK176" s="52"/>
      <c r="DL176" s="52"/>
      <c r="DM176" s="52"/>
      <c r="DN176" s="52"/>
      <c r="DO176" s="52"/>
      <c r="DP176" s="52"/>
      <c r="DQ176" s="52"/>
      <c r="DR176" s="43">
        <v>1</v>
      </c>
      <c r="DS176" s="43">
        <v>1</v>
      </c>
      <c r="DT176" s="43">
        <v>1</v>
      </c>
      <c r="DU176" s="43">
        <v>1</v>
      </c>
      <c r="DV176" s="43">
        <v>1</v>
      </c>
      <c r="DW176" s="43">
        <v>1</v>
      </c>
      <c r="DX176" s="43">
        <v>1</v>
      </c>
      <c r="DY176" s="43">
        <v>1</v>
      </c>
      <c r="DZ176" s="43">
        <v>1</v>
      </c>
      <c r="EA176" s="43">
        <v>1</v>
      </c>
      <c r="EB176" s="43">
        <v>1</v>
      </c>
      <c r="EC176" s="43">
        <v>1</v>
      </c>
      <c r="ED176" s="43">
        <v>1</v>
      </c>
      <c r="EE176" s="43">
        <v>1</v>
      </c>
      <c r="EF176" s="43">
        <v>1</v>
      </c>
      <c r="EG176" s="43">
        <v>1</v>
      </c>
      <c r="EH176" s="43">
        <v>1</v>
      </c>
      <c r="EI176" s="43">
        <v>1</v>
      </c>
      <c r="EJ176" s="43">
        <v>1</v>
      </c>
      <c r="EK176" s="43">
        <v>1</v>
      </c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43">
        <v>0</v>
      </c>
      <c r="AQ177" s="43">
        <v>0</v>
      </c>
      <c r="AR177" s="43">
        <v>0</v>
      </c>
      <c r="AS177" s="43">
        <v>0</v>
      </c>
      <c r="AT177" s="43">
        <v>0</v>
      </c>
      <c r="AU177" s="43">
        <v>0</v>
      </c>
      <c r="AV177" s="43">
        <v>0</v>
      </c>
      <c r="AW177" s="43">
        <v>0</v>
      </c>
      <c r="AX177" s="43">
        <v>0</v>
      </c>
      <c r="AY177" s="43">
        <v>0</v>
      </c>
      <c r="AZ177" s="43">
        <v>0</v>
      </c>
      <c r="BA177" s="43">
        <v>0</v>
      </c>
      <c r="BB177" s="43">
        <v>0</v>
      </c>
      <c r="BC177" s="43">
        <v>0</v>
      </c>
      <c r="BD177" s="43">
        <v>0</v>
      </c>
      <c r="BE177" s="43">
        <v>0</v>
      </c>
      <c r="BF177" s="43">
        <v>0</v>
      </c>
      <c r="BG177" s="43">
        <v>0</v>
      </c>
      <c r="BH177" s="43">
        <v>0</v>
      </c>
      <c r="BI177" s="43">
        <v>0</v>
      </c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2"/>
      <c r="CY177" s="52"/>
      <c r="CZ177" s="52"/>
      <c r="DA177" s="52"/>
      <c r="DB177" s="52"/>
      <c r="DC177" s="52"/>
      <c r="DD177" s="52"/>
      <c r="DE177" s="52"/>
      <c r="DF177" s="52"/>
      <c r="DG177" s="52"/>
      <c r="DH177" s="52"/>
      <c r="DI177" s="52"/>
      <c r="DJ177" s="52"/>
      <c r="DK177" s="52"/>
      <c r="DL177" s="52"/>
      <c r="DM177" s="52"/>
      <c r="DN177" s="52"/>
      <c r="DO177" s="52"/>
      <c r="DP177" s="52"/>
      <c r="DQ177" s="52"/>
      <c r="DR177" s="43">
        <v>1</v>
      </c>
      <c r="DS177" s="43">
        <v>1</v>
      </c>
      <c r="DT177" s="43">
        <v>1</v>
      </c>
      <c r="DU177" s="43">
        <v>1</v>
      </c>
      <c r="DV177" s="43">
        <v>1</v>
      </c>
      <c r="DW177" s="43">
        <v>1</v>
      </c>
      <c r="DX177" s="43">
        <v>1</v>
      </c>
      <c r="DY177" s="43">
        <v>1</v>
      </c>
      <c r="DZ177" s="43">
        <v>1</v>
      </c>
      <c r="EA177" s="43">
        <v>1</v>
      </c>
      <c r="EB177" s="43">
        <v>1</v>
      </c>
      <c r="EC177" s="43">
        <v>1</v>
      </c>
      <c r="ED177" s="43">
        <v>1</v>
      </c>
      <c r="EE177" s="43">
        <v>1</v>
      </c>
      <c r="EF177" s="43">
        <v>1</v>
      </c>
      <c r="EG177" s="43">
        <v>1</v>
      </c>
      <c r="EH177" s="43">
        <v>1</v>
      </c>
      <c r="EI177" s="43">
        <v>1</v>
      </c>
      <c r="EJ177" s="43">
        <v>1</v>
      </c>
      <c r="EK177" s="43">
        <v>1</v>
      </c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43">
        <v>0</v>
      </c>
      <c r="AQ178" s="43">
        <v>0</v>
      </c>
      <c r="AR178" s="43">
        <v>0</v>
      </c>
      <c r="AS178" s="43">
        <v>0</v>
      </c>
      <c r="AT178" s="43">
        <v>0</v>
      </c>
      <c r="AU178" s="43">
        <v>0</v>
      </c>
      <c r="AV178" s="43">
        <v>0</v>
      </c>
      <c r="AW178" s="43">
        <v>0</v>
      </c>
      <c r="AX178" s="43">
        <v>0</v>
      </c>
      <c r="AY178" s="43">
        <v>0</v>
      </c>
      <c r="AZ178" s="43">
        <v>0</v>
      </c>
      <c r="BA178" s="43">
        <v>0</v>
      </c>
      <c r="BB178" s="43">
        <v>0</v>
      </c>
      <c r="BC178" s="43">
        <v>0</v>
      </c>
      <c r="BD178" s="43">
        <v>0</v>
      </c>
      <c r="BE178" s="43">
        <v>0</v>
      </c>
      <c r="BF178" s="43">
        <v>0</v>
      </c>
      <c r="BG178" s="43">
        <v>0</v>
      </c>
      <c r="BH178" s="43">
        <v>0</v>
      </c>
      <c r="BI178" s="43">
        <v>0</v>
      </c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2"/>
      <c r="CY178" s="52"/>
      <c r="CZ178" s="52"/>
      <c r="DA178" s="52"/>
      <c r="DB178" s="52"/>
      <c r="DC178" s="52"/>
      <c r="DD178" s="52"/>
      <c r="DE178" s="52"/>
      <c r="DF178" s="52"/>
      <c r="DG178" s="52"/>
      <c r="DH178" s="52"/>
      <c r="DI178" s="52"/>
      <c r="DJ178" s="52"/>
      <c r="DK178" s="52"/>
      <c r="DL178" s="52"/>
      <c r="DM178" s="52"/>
      <c r="DN178" s="52"/>
      <c r="DO178" s="52"/>
      <c r="DP178" s="52"/>
      <c r="DQ178" s="52"/>
      <c r="DR178" s="43">
        <v>1</v>
      </c>
      <c r="DS178" s="43">
        <v>1</v>
      </c>
      <c r="DT178" s="43">
        <v>1</v>
      </c>
      <c r="DU178" s="43">
        <v>1</v>
      </c>
      <c r="DV178" s="43">
        <v>1</v>
      </c>
      <c r="DW178" s="43">
        <v>1</v>
      </c>
      <c r="DX178" s="43">
        <v>1</v>
      </c>
      <c r="DY178" s="43">
        <v>1</v>
      </c>
      <c r="DZ178" s="43">
        <v>1</v>
      </c>
      <c r="EA178" s="43">
        <v>1</v>
      </c>
      <c r="EB178" s="43">
        <v>1</v>
      </c>
      <c r="EC178" s="43">
        <v>1</v>
      </c>
      <c r="ED178" s="43">
        <v>1</v>
      </c>
      <c r="EE178" s="43">
        <v>1</v>
      </c>
      <c r="EF178" s="43">
        <v>1</v>
      </c>
      <c r="EG178" s="43">
        <v>1</v>
      </c>
      <c r="EH178" s="43">
        <v>1</v>
      </c>
      <c r="EI178" s="43">
        <v>1</v>
      </c>
      <c r="EJ178" s="43">
        <v>1</v>
      </c>
      <c r="EK178" s="43">
        <v>1</v>
      </c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43">
        <v>0</v>
      </c>
      <c r="AQ179" s="43">
        <v>0</v>
      </c>
      <c r="AR179" s="43">
        <v>0</v>
      </c>
      <c r="AS179" s="43">
        <v>0</v>
      </c>
      <c r="AT179" s="43">
        <v>0</v>
      </c>
      <c r="AU179" s="43">
        <v>0</v>
      </c>
      <c r="AV179" s="43">
        <v>0</v>
      </c>
      <c r="AW179" s="43">
        <v>0</v>
      </c>
      <c r="AX179" s="43">
        <v>0</v>
      </c>
      <c r="AY179" s="43">
        <v>0</v>
      </c>
      <c r="AZ179" s="43">
        <v>0</v>
      </c>
      <c r="BA179" s="43">
        <v>0</v>
      </c>
      <c r="BB179" s="43">
        <v>0</v>
      </c>
      <c r="BC179" s="43">
        <v>0</v>
      </c>
      <c r="BD179" s="43">
        <v>0</v>
      </c>
      <c r="BE179" s="43">
        <v>0</v>
      </c>
      <c r="BF179" s="43">
        <v>0</v>
      </c>
      <c r="BG179" s="43">
        <v>0</v>
      </c>
      <c r="BH179" s="43">
        <v>0</v>
      </c>
      <c r="BI179" s="43">
        <v>0</v>
      </c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2"/>
      <c r="CY179" s="52"/>
      <c r="CZ179" s="52"/>
      <c r="DA179" s="52"/>
      <c r="DB179" s="52"/>
      <c r="DC179" s="52"/>
      <c r="DD179" s="52"/>
      <c r="DE179" s="52"/>
      <c r="DF179" s="52"/>
      <c r="DG179" s="52"/>
      <c r="DH179" s="52"/>
      <c r="DI179" s="52"/>
      <c r="DJ179" s="52"/>
      <c r="DK179" s="52"/>
      <c r="DL179" s="52"/>
      <c r="DM179" s="52"/>
      <c r="DN179" s="52"/>
      <c r="DO179" s="52"/>
      <c r="DP179" s="52"/>
      <c r="DQ179" s="52"/>
      <c r="DR179" s="43">
        <v>1</v>
      </c>
      <c r="DS179" s="43">
        <v>1</v>
      </c>
      <c r="DT179" s="43">
        <v>1</v>
      </c>
      <c r="DU179" s="43">
        <v>1</v>
      </c>
      <c r="DV179" s="43">
        <v>1</v>
      </c>
      <c r="DW179" s="43">
        <v>1</v>
      </c>
      <c r="DX179" s="43">
        <v>1</v>
      </c>
      <c r="DY179" s="43">
        <v>1</v>
      </c>
      <c r="DZ179" s="43">
        <v>1</v>
      </c>
      <c r="EA179" s="43">
        <v>1</v>
      </c>
      <c r="EB179" s="43">
        <v>1</v>
      </c>
      <c r="EC179" s="43">
        <v>1</v>
      </c>
      <c r="ED179" s="43">
        <v>1</v>
      </c>
      <c r="EE179" s="43">
        <v>1</v>
      </c>
      <c r="EF179" s="43">
        <v>1</v>
      </c>
      <c r="EG179" s="43">
        <v>1</v>
      </c>
      <c r="EH179" s="43">
        <v>1</v>
      </c>
      <c r="EI179" s="43">
        <v>1</v>
      </c>
      <c r="EJ179" s="43">
        <v>1</v>
      </c>
      <c r="EK179" s="43">
        <v>1</v>
      </c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43">
        <v>0</v>
      </c>
      <c r="AQ180" s="43">
        <v>0</v>
      </c>
      <c r="AR180" s="43">
        <v>0</v>
      </c>
      <c r="AS180" s="43">
        <v>0</v>
      </c>
      <c r="AT180" s="43">
        <v>0</v>
      </c>
      <c r="AU180" s="43">
        <v>0</v>
      </c>
      <c r="AV180" s="43">
        <v>0</v>
      </c>
      <c r="AW180" s="43">
        <v>0</v>
      </c>
      <c r="AX180" s="43">
        <v>0</v>
      </c>
      <c r="AY180" s="43">
        <v>0</v>
      </c>
      <c r="AZ180" s="43">
        <v>0</v>
      </c>
      <c r="BA180" s="43">
        <v>0</v>
      </c>
      <c r="BB180" s="43">
        <v>0</v>
      </c>
      <c r="BC180" s="43">
        <v>0</v>
      </c>
      <c r="BD180" s="43">
        <v>0</v>
      </c>
      <c r="BE180" s="43">
        <v>0</v>
      </c>
      <c r="BF180" s="43">
        <v>0</v>
      </c>
      <c r="BG180" s="43">
        <v>0</v>
      </c>
      <c r="BH180" s="43">
        <v>0</v>
      </c>
      <c r="BI180" s="43">
        <v>0</v>
      </c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2"/>
      <c r="CY180" s="52"/>
      <c r="CZ180" s="52"/>
      <c r="DA180" s="52"/>
      <c r="DB180" s="52"/>
      <c r="DC180" s="52"/>
      <c r="DD180" s="52"/>
      <c r="DE180" s="52"/>
      <c r="DF180" s="52"/>
      <c r="DG180" s="52"/>
      <c r="DH180" s="52"/>
      <c r="DI180" s="52"/>
      <c r="DJ180" s="52"/>
      <c r="DK180" s="52"/>
      <c r="DL180" s="52"/>
      <c r="DM180" s="52"/>
      <c r="DN180" s="52"/>
      <c r="DO180" s="52"/>
      <c r="DP180" s="52"/>
      <c r="DQ180" s="52"/>
      <c r="DR180" s="43">
        <v>1</v>
      </c>
      <c r="DS180" s="43">
        <v>1</v>
      </c>
      <c r="DT180" s="43">
        <v>1</v>
      </c>
      <c r="DU180" s="43">
        <v>1</v>
      </c>
      <c r="DV180" s="43">
        <v>1</v>
      </c>
      <c r="DW180" s="43">
        <v>1</v>
      </c>
      <c r="DX180" s="43">
        <v>1</v>
      </c>
      <c r="DY180" s="43">
        <v>1</v>
      </c>
      <c r="DZ180" s="43">
        <v>1</v>
      </c>
      <c r="EA180" s="43">
        <v>1</v>
      </c>
      <c r="EB180" s="43">
        <v>1</v>
      </c>
      <c r="EC180" s="43">
        <v>1</v>
      </c>
      <c r="ED180" s="43">
        <v>1</v>
      </c>
      <c r="EE180" s="43">
        <v>1</v>
      </c>
      <c r="EF180" s="43">
        <v>1</v>
      </c>
      <c r="EG180" s="43">
        <v>1</v>
      </c>
      <c r="EH180" s="43">
        <v>1</v>
      </c>
      <c r="EI180" s="43">
        <v>1</v>
      </c>
      <c r="EJ180" s="43">
        <v>1</v>
      </c>
      <c r="EK180" s="43">
        <v>1</v>
      </c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43">
        <v>0</v>
      </c>
      <c r="AQ181" s="43">
        <v>0</v>
      </c>
      <c r="AR181" s="43">
        <v>0</v>
      </c>
      <c r="AS181" s="43">
        <v>0</v>
      </c>
      <c r="AT181" s="43">
        <v>0</v>
      </c>
      <c r="AU181" s="43">
        <v>0</v>
      </c>
      <c r="AV181" s="43">
        <v>0</v>
      </c>
      <c r="AW181" s="43">
        <v>0</v>
      </c>
      <c r="AX181" s="43">
        <v>0</v>
      </c>
      <c r="AY181" s="43">
        <v>0</v>
      </c>
      <c r="AZ181" s="43">
        <v>0</v>
      </c>
      <c r="BA181" s="43">
        <v>0</v>
      </c>
      <c r="BB181" s="43">
        <v>0</v>
      </c>
      <c r="BC181" s="43">
        <v>0</v>
      </c>
      <c r="BD181" s="43">
        <v>0</v>
      </c>
      <c r="BE181" s="43">
        <v>0</v>
      </c>
      <c r="BF181" s="43">
        <v>0</v>
      </c>
      <c r="BG181" s="43">
        <v>0</v>
      </c>
      <c r="BH181" s="43">
        <v>0</v>
      </c>
      <c r="BI181" s="43">
        <v>0</v>
      </c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2"/>
      <c r="CY181" s="52"/>
      <c r="CZ181" s="52"/>
      <c r="DA181" s="52"/>
      <c r="DB181" s="52"/>
      <c r="DC181" s="52"/>
      <c r="DD181" s="52"/>
      <c r="DE181" s="52"/>
      <c r="DF181" s="52"/>
      <c r="DG181" s="52"/>
      <c r="DH181" s="52"/>
      <c r="DI181" s="52"/>
      <c r="DJ181" s="52"/>
      <c r="DK181" s="52"/>
      <c r="DL181" s="52"/>
      <c r="DM181" s="52"/>
      <c r="DN181" s="52"/>
      <c r="DO181" s="52"/>
      <c r="DP181" s="52"/>
      <c r="DQ181" s="52"/>
      <c r="DR181" s="43">
        <v>1</v>
      </c>
      <c r="DS181" s="43">
        <v>1</v>
      </c>
      <c r="DT181" s="43">
        <v>1</v>
      </c>
      <c r="DU181" s="43">
        <v>1</v>
      </c>
      <c r="DV181" s="43">
        <v>1</v>
      </c>
      <c r="DW181" s="43">
        <v>1</v>
      </c>
      <c r="DX181" s="43">
        <v>1</v>
      </c>
      <c r="DY181" s="43">
        <v>1</v>
      </c>
      <c r="DZ181" s="43">
        <v>1</v>
      </c>
      <c r="EA181" s="43">
        <v>1</v>
      </c>
      <c r="EB181" s="43">
        <v>1</v>
      </c>
      <c r="EC181" s="43">
        <v>1</v>
      </c>
      <c r="ED181" s="43">
        <v>1</v>
      </c>
      <c r="EE181" s="43">
        <v>1</v>
      </c>
      <c r="EF181" s="43">
        <v>1</v>
      </c>
      <c r="EG181" s="43">
        <v>1</v>
      </c>
      <c r="EH181" s="43">
        <v>1</v>
      </c>
      <c r="EI181" s="43">
        <v>1</v>
      </c>
      <c r="EJ181" s="43">
        <v>1</v>
      </c>
      <c r="EK181" s="43">
        <v>1</v>
      </c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43">
        <v>0</v>
      </c>
      <c r="AQ182" s="43">
        <v>0</v>
      </c>
      <c r="AR182" s="43">
        <v>0</v>
      </c>
      <c r="AS182" s="43">
        <v>0</v>
      </c>
      <c r="AT182" s="43">
        <v>0</v>
      </c>
      <c r="AU182" s="43">
        <v>0</v>
      </c>
      <c r="AV182" s="43">
        <v>0</v>
      </c>
      <c r="AW182" s="43">
        <v>0</v>
      </c>
      <c r="AX182" s="43">
        <v>0</v>
      </c>
      <c r="AY182" s="43">
        <v>0</v>
      </c>
      <c r="AZ182" s="43">
        <v>0</v>
      </c>
      <c r="BA182" s="43">
        <v>0</v>
      </c>
      <c r="BB182" s="43">
        <v>0</v>
      </c>
      <c r="BC182" s="43">
        <v>0</v>
      </c>
      <c r="BD182" s="43">
        <v>0</v>
      </c>
      <c r="BE182" s="43">
        <v>0</v>
      </c>
      <c r="BF182" s="43">
        <v>0</v>
      </c>
      <c r="BG182" s="43">
        <v>0</v>
      </c>
      <c r="BH182" s="43">
        <v>0</v>
      </c>
      <c r="BI182" s="43">
        <v>0</v>
      </c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2"/>
      <c r="CY182" s="52"/>
      <c r="CZ182" s="52"/>
      <c r="DA182" s="52"/>
      <c r="DB182" s="52"/>
      <c r="DC182" s="52"/>
      <c r="DD182" s="52"/>
      <c r="DE182" s="52"/>
      <c r="DF182" s="52"/>
      <c r="DG182" s="52"/>
      <c r="DH182" s="52"/>
      <c r="DI182" s="52"/>
      <c r="DJ182" s="52"/>
      <c r="DK182" s="52"/>
      <c r="DL182" s="52"/>
      <c r="DM182" s="52"/>
      <c r="DN182" s="52"/>
      <c r="DO182" s="52"/>
      <c r="DP182" s="52"/>
      <c r="DQ182" s="52"/>
      <c r="DR182" s="43">
        <v>1</v>
      </c>
      <c r="DS182" s="43">
        <v>1</v>
      </c>
      <c r="DT182" s="43">
        <v>1</v>
      </c>
      <c r="DU182" s="43">
        <v>1</v>
      </c>
      <c r="DV182" s="43">
        <v>1</v>
      </c>
      <c r="DW182" s="43">
        <v>1</v>
      </c>
      <c r="DX182" s="43">
        <v>1</v>
      </c>
      <c r="DY182" s="43">
        <v>1</v>
      </c>
      <c r="DZ182" s="43">
        <v>1</v>
      </c>
      <c r="EA182" s="43">
        <v>1</v>
      </c>
      <c r="EB182" s="43">
        <v>1</v>
      </c>
      <c r="EC182" s="43">
        <v>1</v>
      </c>
      <c r="ED182" s="43">
        <v>1</v>
      </c>
      <c r="EE182" s="43">
        <v>1</v>
      </c>
      <c r="EF182" s="43">
        <v>1</v>
      </c>
      <c r="EG182" s="43">
        <v>1</v>
      </c>
      <c r="EH182" s="43">
        <v>1</v>
      </c>
      <c r="EI182" s="43">
        <v>1</v>
      </c>
      <c r="EJ182" s="43">
        <v>1</v>
      </c>
      <c r="EK182" s="43">
        <v>1</v>
      </c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30" t="s">
        <v>185</v>
      </c>
      <c r="B189" s="127" t="s">
        <v>260</v>
      </c>
      <c r="C189" s="128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9"/>
      <c r="V189" s="127" t="s">
        <v>261</v>
      </c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28"/>
      <c r="AH189" s="128"/>
      <c r="AI189" s="128"/>
      <c r="AJ189" s="128"/>
      <c r="AK189" s="128"/>
      <c r="AL189" s="128"/>
      <c r="AM189" s="128"/>
      <c r="AN189" s="128"/>
      <c r="AO189" s="129"/>
    </row>
    <row r="190" spans="1:161" x14ac:dyDescent="0.15">
      <c r="A190" s="131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317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316</v>
      </c>
      <c r="AQ192" s="65" t="s">
        <v>315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226</v>
      </c>
    </row>
    <row r="194" spans="1:42" x14ac:dyDescent="0.15">
      <c r="U194" s="65" t="s">
        <v>454</v>
      </c>
      <c r="V194" s="100">
        <f>(V193-V192)/1000</f>
        <v>2.222645</v>
      </c>
      <c r="W194" s="100">
        <f t="shared" ref="W194:AO194" si="3">(W193-W192)/1000</f>
        <v>0.88192399999999993</v>
      </c>
      <c r="X194" s="100">
        <f t="shared" si="3"/>
        <v>0.83789899999999984</v>
      </c>
      <c r="Y194" s="100">
        <f t="shared" si="3"/>
        <v>2.2671959999999998</v>
      </c>
      <c r="Z194" s="100">
        <f t="shared" si="3"/>
        <v>3.0948520000000008</v>
      </c>
      <c r="AA194" s="157">
        <f>SUM($AA195:$AC195)</f>
        <v>6.9896580000000004</v>
      </c>
      <c r="AB194" s="157">
        <f t="shared" ref="AB194:AC194" si="4">SUM($AA195:$AC195)</f>
        <v>6.9896580000000004</v>
      </c>
      <c r="AC194" s="157">
        <f t="shared" si="4"/>
        <v>6.9896580000000004</v>
      </c>
      <c r="AD194" s="100">
        <f t="shared" si="3"/>
        <v>4.4625079999999988</v>
      </c>
      <c r="AE194" s="100">
        <f t="shared" si="3"/>
        <v>6.3181420000000017</v>
      </c>
      <c r="AF194" s="100">
        <f t="shared" si="3"/>
        <v>2.1411089999999997</v>
      </c>
      <c r="AG194" s="100">
        <f t="shared" si="3"/>
        <v>4.382422</v>
      </c>
      <c r="AH194" s="157">
        <f>SUM($AH195:$AJ195)</f>
        <v>7.7833179999999995</v>
      </c>
      <c r="AI194" s="157">
        <f t="shared" ref="AI194:AJ194" si="5">SUM($AH195:$AJ195)</f>
        <v>7.7833179999999995</v>
      </c>
      <c r="AJ194" s="157">
        <f t="shared" si="5"/>
        <v>7.7833179999999995</v>
      </c>
      <c r="AK194" s="100">
        <f t="shared" si="3"/>
        <v>2.9301089999999999</v>
      </c>
      <c r="AL194" s="100">
        <f t="shared" si="3"/>
        <v>2.2659370000000005</v>
      </c>
      <c r="AM194" s="100">
        <f t="shared" si="3"/>
        <v>0.27049799999999957</v>
      </c>
      <c r="AN194" s="157">
        <f>SUM($AN195:$AO195)</f>
        <v>4.4058200000000003</v>
      </c>
      <c r="AO194" s="157">
        <f>SUM($AN195:$AO195)</f>
        <v>4.4058200000000003</v>
      </c>
    </row>
    <row r="195" spans="1:42" x14ac:dyDescent="0.15">
      <c r="U195" s="65" t="s">
        <v>455</v>
      </c>
      <c r="V195" s="34">
        <f>(V193-V192)/1000</f>
        <v>2.222645</v>
      </c>
      <c r="W195" s="34">
        <f t="shared" ref="W195:AO195" si="6">(W193-W192)/1000</f>
        <v>0.88192399999999993</v>
      </c>
      <c r="X195" s="34">
        <f t="shared" si="6"/>
        <v>0.83789899999999984</v>
      </c>
      <c r="Y195" s="34">
        <f t="shared" si="6"/>
        <v>2.2671959999999998</v>
      </c>
      <c r="Z195" s="34">
        <f t="shared" si="6"/>
        <v>3.0948520000000008</v>
      </c>
      <c r="AA195" s="34">
        <f t="shared" si="6"/>
        <v>2.4515630000000002</v>
      </c>
      <c r="AB195" s="34">
        <f t="shared" si="6"/>
        <v>2.7807539999999999</v>
      </c>
      <c r="AC195" s="34">
        <f t="shared" si="6"/>
        <v>1.7573410000000003</v>
      </c>
      <c r="AD195" s="34">
        <f t="shared" si="6"/>
        <v>4.4625079999999988</v>
      </c>
      <c r="AE195" s="34">
        <f t="shared" si="6"/>
        <v>6.3181420000000017</v>
      </c>
      <c r="AF195" s="34">
        <f t="shared" si="6"/>
        <v>2.1411089999999997</v>
      </c>
      <c r="AG195" s="34">
        <f t="shared" si="6"/>
        <v>4.382422</v>
      </c>
      <c r="AH195" s="34">
        <f t="shared" si="6"/>
        <v>2.5497670000000006</v>
      </c>
      <c r="AI195" s="34">
        <f t="shared" si="6"/>
        <v>2.774</v>
      </c>
      <c r="AJ195" s="34">
        <f t="shared" si="6"/>
        <v>2.4595509999999994</v>
      </c>
      <c r="AK195" s="34">
        <f t="shared" si="6"/>
        <v>2.9301089999999999</v>
      </c>
      <c r="AL195" s="34">
        <f t="shared" si="6"/>
        <v>2.2659370000000005</v>
      </c>
      <c r="AM195" s="34">
        <f t="shared" si="6"/>
        <v>0.27049799999999957</v>
      </c>
      <c r="AN195" s="34">
        <f t="shared" si="6"/>
        <v>2.357504</v>
      </c>
      <c r="AO195" s="34">
        <f t="shared" si="6"/>
        <v>2.0483159999999998</v>
      </c>
    </row>
    <row r="197" spans="1:42" x14ac:dyDescent="0.15">
      <c r="A197" s="46" t="s">
        <v>92</v>
      </c>
      <c r="B197" s="127" t="s">
        <v>204</v>
      </c>
      <c r="C197" s="128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9"/>
    </row>
    <row r="198" spans="1:42" ht="13.5" customHeight="1" x14ac:dyDescent="0.15">
      <c r="A198" s="53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</row>
    <row r="201" spans="1:42" x14ac:dyDescent="0.15">
      <c r="A201" s="130" t="s">
        <v>185</v>
      </c>
      <c r="B201" s="127" t="s">
        <v>224</v>
      </c>
      <c r="C201" s="128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9"/>
    </row>
    <row r="202" spans="1:42" x14ac:dyDescent="0.15">
      <c r="A202" s="131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225</v>
      </c>
      <c r="B203" s="42">
        <v>31</v>
      </c>
      <c r="C203" s="42">
        <v>31</v>
      </c>
      <c r="D203" s="42">
        <v>37</v>
      </c>
      <c r="E203" s="42">
        <v>27</v>
      </c>
      <c r="F203" s="42">
        <v>35</v>
      </c>
      <c r="G203" s="42">
        <v>26</v>
      </c>
      <c r="H203" s="48">
        <f>G204</f>
        <v>28</v>
      </c>
      <c r="I203" s="48">
        <f>H204</f>
        <v>28</v>
      </c>
      <c r="J203" s="42">
        <v>18</v>
      </c>
      <c r="K203" s="42">
        <v>24</v>
      </c>
      <c r="L203" s="42">
        <v>24</v>
      </c>
      <c r="M203" s="42">
        <v>45</v>
      </c>
      <c r="N203" s="42">
        <v>32</v>
      </c>
      <c r="O203" s="48">
        <f>N204</f>
        <v>24</v>
      </c>
      <c r="P203" s="48">
        <f>O204</f>
        <v>23</v>
      </c>
      <c r="Q203" s="42">
        <v>20</v>
      </c>
      <c r="R203" s="42">
        <v>15</v>
      </c>
      <c r="S203" s="42">
        <v>11</v>
      </c>
      <c r="T203" s="42">
        <v>10</v>
      </c>
      <c r="U203" s="48">
        <f>T204</f>
        <v>8</v>
      </c>
    </row>
    <row r="204" spans="1:42" x14ac:dyDescent="0.15">
      <c r="A204" s="46" t="s">
        <v>226</v>
      </c>
      <c r="B204" s="42">
        <v>31</v>
      </c>
      <c r="C204" s="42">
        <v>30</v>
      </c>
      <c r="D204" s="42">
        <v>32</v>
      </c>
      <c r="E204" s="42">
        <v>28</v>
      </c>
      <c r="F204" s="42">
        <v>26</v>
      </c>
      <c r="G204" s="42">
        <v>28</v>
      </c>
      <c r="H204" s="42">
        <v>28</v>
      </c>
      <c r="I204" s="42">
        <v>22</v>
      </c>
      <c r="J204" s="42">
        <v>22</v>
      </c>
      <c r="K204" s="42">
        <v>23</v>
      </c>
      <c r="L204" s="42">
        <v>23</v>
      </c>
      <c r="M204" s="42">
        <v>37</v>
      </c>
      <c r="N204" s="42">
        <v>24</v>
      </c>
      <c r="O204" s="42">
        <v>23</v>
      </c>
      <c r="P204" s="42">
        <v>21</v>
      </c>
      <c r="Q204" s="42">
        <v>20</v>
      </c>
      <c r="R204" s="42">
        <v>12</v>
      </c>
      <c r="S204" s="42">
        <v>11</v>
      </c>
      <c r="T204" s="42">
        <v>8</v>
      </c>
      <c r="U204" s="42">
        <v>5</v>
      </c>
    </row>
    <row r="205" spans="1:42" x14ac:dyDescent="0.15">
      <c r="A205" s="46">
        <v>0</v>
      </c>
      <c r="B205" s="43">
        <v>23</v>
      </c>
      <c r="C205" s="43">
        <v>6</v>
      </c>
      <c r="D205" s="43">
        <v>7</v>
      </c>
      <c r="E205" s="43">
        <v>20</v>
      </c>
      <c r="F205" s="43">
        <v>59</v>
      </c>
      <c r="G205" s="43">
        <v>18</v>
      </c>
      <c r="H205" s="43">
        <v>22</v>
      </c>
      <c r="I205" s="43">
        <v>12</v>
      </c>
      <c r="J205" s="43">
        <v>23</v>
      </c>
      <c r="K205" s="43">
        <v>18</v>
      </c>
      <c r="L205" s="43">
        <v>15</v>
      </c>
      <c r="M205" s="43">
        <v>23</v>
      </c>
      <c r="N205" s="43">
        <v>11</v>
      </c>
      <c r="O205" s="43">
        <v>19</v>
      </c>
      <c r="P205" s="43">
        <v>28</v>
      </c>
      <c r="Q205" s="43">
        <v>12</v>
      </c>
      <c r="R205" s="43">
        <v>8</v>
      </c>
      <c r="S205" s="43">
        <v>1</v>
      </c>
      <c r="T205" s="43">
        <v>5</v>
      </c>
      <c r="U205" s="43">
        <v>3</v>
      </c>
    </row>
  </sheetData>
  <mergeCells count="15">
    <mergeCell ref="DR1:EK1"/>
    <mergeCell ref="EL1:FE1"/>
    <mergeCell ref="AP1:BI1"/>
    <mergeCell ref="BJ1:CC1"/>
    <mergeCell ref="CD1:CW1"/>
    <mergeCell ref="CX1:DQ1"/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P23" sqref="P23"/>
    </sheetView>
  </sheetViews>
  <sheetFormatPr defaultRowHeight="13.5" x14ac:dyDescent="0.15"/>
  <sheetData>
    <row r="1" spans="1:79" x14ac:dyDescent="0.15">
      <c r="A1" s="140" t="s">
        <v>166</v>
      </c>
      <c r="B1" s="137" t="s">
        <v>189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9"/>
      <c r="O1" s="137" t="s">
        <v>190</v>
      </c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9"/>
      <c r="AB1" s="137" t="s">
        <v>191</v>
      </c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9"/>
      <c r="AO1" s="137" t="s">
        <v>192</v>
      </c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9"/>
      <c r="BB1" s="135" t="s">
        <v>193</v>
      </c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5" t="s">
        <v>194</v>
      </c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</row>
    <row r="2" spans="1:79" x14ac:dyDescent="0.15">
      <c r="A2" s="140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6"/>
      <c r="AC3" s="60"/>
      <c r="AD3" s="56"/>
      <c r="AE3" s="60"/>
      <c r="AF3" s="56"/>
      <c r="AG3" s="56"/>
      <c r="AH3" s="56"/>
      <c r="AI3" s="56"/>
      <c r="AJ3" s="56"/>
      <c r="AK3" s="56"/>
      <c r="AL3" s="56"/>
      <c r="AM3" s="60"/>
      <c r="AN3" s="56"/>
      <c r="AO3" s="58"/>
      <c r="AP3" s="60"/>
      <c r="AQ3" s="58"/>
      <c r="AR3" s="60"/>
      <c r="AS3" s="58"/>
      <c r="AT3" s="58"/>
      <c r="AU3" s="58"/>
      <c r="AV3" s="58"/>
      <c r="AW3" s="58"/>
      <c r="AX3" s="58"/>
      <c r="AY3" s="58"/>
      <c r="AZ3" s="60"/>
      <c r="BA3" s="58"/>
      <c r="BB3" s="60"/>
      <c r="BC3" s="56"/>
      <c r="BD3" s="60"/>
      <c r="BE3" s="56"/>
      <c r="BF3" s="56"/>
      <c r="BG3" s="56"/>
      <c r="BH3" s="56"/>
      <c r="BI3" s="56"/>
      <c r="BJ3" s="56"/>
      <c r="BK3" s="56"/>
      <c r="BL3" s="60"/>
      <c r="BM3" s="56"/>
      <c r="BN3" s="60"/>
      <c r="BO3" s="57"/>
      <c r="BP3" s="60"/>
      <c r="BQ3" s="57"/>
      <c r="BR3" s="60"/>
      <c r="BS3" s="57"/>
      <c r="BT3" s="57"/>
      <c r="BU3" s="57"/>
      <c r="BV3" s="57"/>
      <c r="BW3" s="57"/>
      <c r="BX3" s="57"/>
      <c r="BY3" s="57"/>
      <c r="BZ3" s="60"/>
      <c r="CA3" s="57"/>
    </row>
    <row r="4" spans="1:79" x14ac:dyDescent="0.15">
      <c r="A4" s="55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6"/>
      <c r="AC4" s="60"/>
      <c r="AD4" s="56"/>
      <c r="AE4" s="60"/>
      <c r="AF4" s="56"/>
      <c r="AG4" s="56"/>
      <c r="AH4" s="56"/>
      <c r="AI4" s="56"/>
      <c r="AJ4" s="56"/>
      <c r="AK4" s="56"/>
      <c r="AL4" s="56"/>
      <c r="AM4" s="60"/>
      <c r="AN4" s="56"/>
      <c r="AO4" s="57"/>
      <c r="AP4" s="60"/>
      <c r="AQ4" s="57"/>
      <c r="AR4" s="60"/>
      <c r="AS4" s="57"/>
      <c r="AT4" s="57"/>
      <c r="AU4" s="57"/>
      <c r="AV4" s="57"/>
      <c r="AW4" s="57"/>
      <c r="AX4" s="57"/>
      <c r="AY4" s="57"/>
      <c r="AZ4" s="60"/>
      <c r="BA4" s="57"/>
      <c r="BB4" s="60"/>
      <c r="BC4" s="56"/>
      <c r="BD4" s="60"/>
      <c r="BE4" s="56"/>
      <c r="BF4" s="56"/>
      <c r="BG4" s="56"/>
      <c r="BH4" s="56"/>
      <c r="BI4" s="56"/>
      <c r="BJ4" s="56"/>
      <c r="BK4" s="56"/>
      <c r="BL4" s="60"/>
      <c r="BM4" s="56"/>
      <c r="BN4" s="60"/>
      <c r="BO4" s="57"/>
      <c r="BP4" s="60"/>
      <c r="BQ4" s="57"/>
      <c r="BR4" s="60"/>
      <c r="BS4" s="57"/>
      <c r="BT4" s="57"/>
      <c r="BU4" s="57"/>
      <c r="BV4" s="57"/>
      <c r="BW4" s="57"/>
      <c r="BX4" s="57"/>
      <c r="BY4" s="57"/>
      <c r="BZ4" s="60"/>
      <c r="CA4" s="57"/>
    </row>
    <row r="5" spans="1:79" x14ac:dyDescent="0.15">
      <c r="A5" s="55">
        <v>3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6"/>
      <c r="AC5" s="60"/>
      <c r="AD5" s="56"/>
      <c r="AE5" s="60"/>
      <c r="AF5" s="56"/>
      <c r="AG5" s="56"/>
      <c r="AH5" s="56"/>
      <c r="AI5" s="56"/>
      <c r="AJ5" s="56"/>
      <c r="AK5" s="56"/>
      <c r="AL5" s="56"/>
      <c r="AM5" s="60"/>
      <c r="AN5" s="56"/>
      <c r="AO5" s="57"/>
      <c r="AP5" s="60"/>
      <c r="AQ5" s="57"/>
      <c r="AR5" s="60"/>
      <c r="AS5" s="57"/>
      <c r="AT5" s="57"/>
      <c r="AU5" s="57"/>
      <c r="AV5" s="57"/>
      <c r="AW5" s="57"/>
      <c r="AX5" s="57"/>
      <c r="AY5" s="57"/>
      <c r="AZ5" s="60"/>
      <c r="BA5" s="57"/>
      <c r="BB5" s="60"/>
      <c r="BC5" s="56"/>
      <c r="BD5" s="60"/>
      <c r="BE5" s="56"/>
      <c r="BF5" s="56"/>
      <c r="BG5" s="56"/>
      <c r="BH5" s="56"/>
      <c r="BI5" s="56"/>
      <c r="BJ5" s="56"/>
      <c r="BK5" s="56"/>
      <c r="BL5" s="60"/>
      <c r="BM5" s="56"/>
      <c r="BN5" s="60"/>
      <c r="BO5" s="57"/>
      <c r="BP5" s="60"/>
      <c r="BQ5" s="57"/>
      <c r="BR5" s="60"/>
      <c r="BS5" s="57"/>
      <c r="BT5" s="57"/>
      <c r="BU5" s="57"/>
      <c r="BV5" s="57"/>
      <c r="BW5" s="57"/>
      <c r="BX5" s="57"/>
      <c r="BY5" s="57"/>
      <c r="BZ5" s="60"/>
      <c r="CA5" s="57"/>
    </row>
    <row r="6" spans="1:79" x14ac:dyDescent="0.15">
      <c r="A6" s="55">
        <v>4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6"/>
      <c r="AC6" s="60"/>
      <c r="AD6" s="56"/>
      <c r="AE6" s="60"/>
      <c r="AF6" s="56"/>
      <c r="AG6" s="56"/>
      <c r="AH6" s="56"/>
      <c r="AI6" s="56"/>
      <c r="AJ6" s="56"/>
      <c r="AK6" s="56"/>
      <c r="AL6" s="56"/>
      <c r="AM6" s="60"/>
      <c r="AN6" s="56"/>
      <c r="AO6" s="57"/>
      <c r="AP6" s="60"/>
      <c r="AQ6" s="57"/>
      <c r="AR6" s="60"/>
      <c r="AS6" s="57"/>
      <c r="AT6" s="57"/>
      <c r="AU6" s="57"/>
      <c r="AV6" s="57"/>
      <c r="AW6" s="57"/>
      <c r="AX6" s="57"/>
      <c r="AY6" s="57"/>
      <c r="AZ6" s="60"/>
      <c r="BA6" s="57"/>
      <c r="BB6" s="60"/>
      <c r="BC6" s="56"/>
      <c r="BD6" s="60"/>
      <c r="BE6" s="56"/>
      <c r="BF6" s="56"/>
      <c r="BG6" s="56"/>
      <c r="BH6" s="56"/>
      <c r="BI6" s="56"/>
      <c r="BJ6" s="56"/>
      <c r="BK6" s="56"/>
      <c r="BL6" s="60"/>
      <c r="BM6" s="56"/>
      <c r="BN6" s="60"/>
      <c r="BO6" s="57"/>
      <c r="BP6" s="60"/>
      <c r="BQ6" s="57"/>
      <c r="BR6" s="60"/>
      <c r="BS6" s="57"/>
      <c r="BT6" s="57"/>
      <c r="BU6" s="57"/>
      <c r="BV6" s="57"/>
      <c r="BW6" s="57"/>
      <c r="BX6" s="57"/>
      <c r="BY6" s="57"/>
      <c r="BZ6" s="60"/>
      <c r="CA6" s="57"/>
    </row>
    <row r="7" spans="1:79" x14ac:dyDescent="0.15">
      <c r="A7" s="55">
        <v>5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6"/>
      <c r="AC7" s="60"/>
      <c r="AD7" s="56"/>
      <c r="AE7" s="60"/>
      <c r="AF7" s="56"/>
      <c r="AG7" s="56"/>
      <c r="AH7" s="56"/>
      <c r="AI7" s="56"/>
      <c r="AJ7" s="56"/>
      <c r="AK7" s="56"/>
      <c r="AL7" s="56"/>
      <c r="AM7" s="60"/>
      <c r="AN7" s="56"/>
      <c r="AO7" s="57"/>
      <c r="AP7" s="60"/>
      <c r="AQ7" s="57"/>
      <c r="AR7" s="60"/>
      <c r="AS7" s="57"/>
      <c r="AT7" s="57"/>
      <c r="AU7" s="57"/>
      <c r="AV7" s="57"/>
      <c r="AW7" s="57"/>
      <c r="AX7" s="57"/>
      <c r="AY7" s="57"/>
      <c r="AZ7" s="60"/>
      <c r="BA7" s="57"/>
      <c r="BB7" s="60"/>
      <c r="BC7" s="56"/>
      <c r="BD7" s="60"/>
      <c r="BE7" s="56"/>
      <c r="BF7" s="56"/>
      <c r="BG7" s="56"/>
      <c r="BH7" s="56"/>
      <c r="BI7" s="56"/>
      <c r="BJ7" s="56"/>
      <c r="BK7" s="56"/>
      <c r="BL7" s="60"/>
      <c r="BM7" s="56"/>
      <c r="BN7" s="60"/>
      <c r="BO7" s="57"/>
      <c r="BP7" s="60"/>
      <c r="BQ7" s="57"/>
      <c r="BR7" s="60"/>
      <c r="BS7" s="57"/>
      <c r="BT7" s="57"/>
      <c r="BU7" s="57"/>
      <c r="BV7" s="57"/>
      <c r="BW7" s="57"/>
      <c r="BX7" s="57"/>
      <c r="BY7" s="57"/>
      <c r="BZ7" s="60"/>
      <c r="CA7" s="57"/>
    </row>
    <row r="8" spans="1:79" x14ac:dyDescent="0.15">
      <c r="A8" s="55">
        <v>6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6"/>
      <c r="AC8" s="60"/>
      <c r="AD8" s="56"/>
      <c r="AE8" s="60"/>
      <c r="AF8" s="56"/>
      <c r="AG8" s="56"/>
      <c r="AH8" s="56"/>
      <c r="AI8" s="56"/>
      <c r="AJ8" s="56"/>
      <c r="AK8" s="56"/>
      <c r="AL8" s="56"/>
      <c r="AM8" s="60"/>
      <c r="AN8" s="56"/>
      <c r="AO8" s="57"/>
      <c r="AP8" s="60"/>
      <c r="AQ8" s="57"/>
      <c r="AR8" s="60"/>
      <c r="AS8" s="57"/>
      <c r="AT8" s="57"/>
      <c r="AU8" s="57"/>
      <c r="AV8" s="57"/>
      <c r="AW8" s="57"/>
      <c r="AX8" s="57"/>
      <c r="AY8" s="57"/>
      <c r="AZ8" s="60"/>
      <c r="BA8" s="57"/>
      <c r="BB8" s="60"/>
      <c r="BC8" s="56"/>
      <c r="BD8" s="60"/>
      <c r="BE8" s="56"/>
      <c r="BF8" s="56"/>
      <c r="BG8" s="56"/>
      <c r="BH8" s="56"/>
      <c r="BI8" s="56"/>
      <c r="BJ8" s="56"/>
      <c r="BK8" s="56"/>
      <c r="BL8" s="60"/>
      <c r="BM8" s="56"/>
      <c r="BN8" s="60"/>
      <c r="BO8" s="57"/>
      <c r="BP8" s="60"/>
      <c r="BQ8" s="57"/>
      <c r="BR8" s="60"/>
      <c r="BS8" s="57"/>
      <c r="BT8" s="57"/>
      <c r="BU8" s="57"/>
      <c r="BV8" s="57"/>
      <c r="BW8" s="57"/>
      <c r="BX8" s="57"/>
      <c r="BY8" s="57"/>
      <c r="BZ8" s="60"/>
      <c r="CA8" s="57"/>
    </row>
    <row r="9" spans="1:79" x14ac:dyDescent="0.15">
      <c r="A9" s="55">
        <v>7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6"/>
      <c r="AC9" s="60"/>
      <c r="AD9" s="56"/>
      <c r="AE9" s="60"/>
      <c r="AF9" s="56"/>
      <c r="AG9" s="56"/>
      <c r="AH9" s="56"/>
      <c r="AI9" s="56"/>
      <c r="AJ9" s="56"/>
      <c r="AK9" s="56"/>
      <c r="AL9" s="56"/>
      <c r="AM9" s="60"/>
      <c r="AN9" s="56"/>
      <c r="AO9" s="57"/>
      <c r="AP9" s="60"/>
      <c r="AQ9" s="57"/>
      <c r="AR9" s="60"/>
      <c r="AS9" s="57"/>
      <c r="AT9" s="57"/>
      <c r="AU9" s="57"/>
      <c r="AV9" s="57"/>
      <c r="AW9" s="57"/>
      <c r="AX9" s="57"/>
      <c r="AY9" s="57"/>
      <c r="AZ9" s="60"/>
      <c r="BA9" s="57"/>
      <c r="BB9" s="60"/>
      <c r="BC9" s="56"/>
      <c r="BD9" s="60"/>
      <c r="BE9" s="56"/>
      <c r="BF9" s="56"/>
      <c r="BG9" s="56"/>
      <c r="BH9" s="56"/>
      <c r="BI9" s="56"/>
      <c r="BJ9" s="56"/>
      <c r="BK9" s="56"/>
      <c r="BL9" s="60"/>
      <c r="BM9" s="56"/>
      <c r="BN9" s="60"/>
      <c r="BO9" s="57"/>
      <c r="BP9" s="60"/>
      <c r="BQ9" s="57"/>
      <c r="BR9" s="60"/>
      <c r="BS9" s="57"/>
      <c r="BT9" s="57"/>
      <c r="BU9" s="57"/>
      <c r="BV9" s="57"/>
      <c r="BW9" s="57"/>
      <c r="BX9" s="57"/>
      <c r="BY9" s="57"/>
      <c r="BZ9" s="60"/>
      <c r="CA9" s="57"/>
    </row>
    <row r="10" spans="1:79" x14ac:dyDescent="0.15">
      <c r="A10" s="55">
        <v>8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6"/>
      <c r="AC10" s="60"/>
      <c r="AD10" s="56"/>
      <c r="AE10" s="60"/>
      <c r="AF10" s="56"/>
      <c r="AG10" s="56"/>
      <c r="AH10" s="56"/>
      <c r="AI10" s="56"/>
      <c r="AJ10" s="56"/>
      <c r="AK10" s="56"/>
      <c r="AL10" s="56"/>
      <c r="AM10" s="60"/>
      <c r="AN10" s="56"/>
      <c r="AO10" s="57"/>
      <c r="AP10" s="60"/>
      <c r="AQ10" s="57"/>
      <c r="AR10" s="60"/>
      <c r="AS10" s="57"/>
      <c r="AT10" s="57"/>
      <c r="AU10" s="57"/>
      <c r="AV10" s="57"/>
      <c r="AW10" s="57"/>
      <c r="AX10" s="57"/>
      <c r="AY10" s="57"/>
      <c r="AZ10" s="60"/>
      <c r="BA10" s="57"/>
      <c r="BB10" s="60"/>
      <c r="BC10" s="56"/>
      <c r="BD10" s="60"/>
      <c r="BE10" s="56"/>
      <c r="BF10" s="56"/>
      <c r="BG10" s="56"/>
      <c r="BH10" s="56"/>
      <c r="BI10" s="56"/>
      <c r="BJ10" s="56"/>
      <c r="BK10" s="56"/>
      <c r="BL10" s="60"/>
      <c r="BM10" s="56"/>
      <c r="BN10" s="60"/>
      <c r="BO10" s="57"/>
      <c r="BP10" s="60"/>
      <c r="BQ10" s="57"/>
      <c r="BR10" s="60"/>
      <c r="BS10" s="57"/>
      <c r="BT10" s="57"/>
      <c r="BU10" s="57"/>
      <c r="BV10" s="57"/>
      <c r="BW10" s="57"/>
      <c r="BX10" s="57"/>
      <c r="BY10" s="57"/>
      <c r="BZ10" s="60"/>
      <c r="CA10" s="57"/>
    </row>
    <row r="11" spans="1:79" x14ac:dyDescent="0.15">
      <c r="A11" s="55">
        <v>9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6"/>
      <c r="AC11" s="60"/>
      <c r="AD11" s="56"/>
      <c r="AE11" s="60"/>
      <c r="AF11" s="56"/>
      <c r="AG11" s="56"/>
      <c r="AH11" s="56"/>
      <c r="AI11" s="56"/>
      <c r="AJ11" s="56"/>
      <c r="AK11" s="56"/>
      <c r="AL11" s="56"/>
      <c r="AM11" s="60"/>
      <c r="AN11" s="56"/>
      <c r="AO11" s="57"/>
      <c r="AP11" s="60"/>
      <c r="AQ11" s="57"/>
      <c r="AR11" s="60"/>
      <c r="AS11" s="57"/>
      <c r="AT11" s="57"/>
      <c r="AU11" s="57"/>
      <c r="AV11" s="57"/>
      <c r="AW11" s="57"/>
      <c r="AX11" s="57"/>
      <c r="AY11" s="57"/>
      <c r="AZ11" s="60"/>
      <c r="BA11" s="57"/>
      <c r="BB11" s="60"/>
      <c r="BC11" s="56"/>
      <c r="BD11" s="60"/>
      <c r="BE11" s="56"/>
      <c r="BF11" s="56"/>
      <c r="BG11" s="56"/>
      <c r="BH11" s="56"/>
      <c r="BI11" s="56"/>
      <c r="BJ11" s="56"/>
      <c r="BK11" s="56"/>
      <c r="BL11" s="60"/>
      <c r="BM11" s="56"/>
      <c r="BN11" s="60"/>
      <c r="BO11" s="57"/>
      <c r="BP11" s="60"/>
      <c r="BQ11" s="57"/>
      <c r="BR11" s="60"/>
      <c r="BS11" s="57"/>
      <c r="BT11" s="57"/>
      <c r="BU11" s="57"/>
      <c r="BV11" s="57"/>
      <c r="BW11" s="57"/>
      <c r="BX11" s="57"/>
      <c r="BY11" s="57"/>
      <c r="BZ11" s="60"/>
      <c r="CA11" s="57"/>
    </row>
    <row r="12" spans="1:79" x14ac:dyDescent="0.15">
      <c r="A12" s="55">
        <v>10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6"/>
      <c r="AC12" s="60"/>
      <c r="AD12" s="56"/>
      <c r="AE12" s="60"/>
      <c r="AF12" s="56"/>
      <c r="AG12" s="56"/>
      <c r="AH12" s="56"/>
      <c r="AI12" s="56"/>
      <c r="AJ12" s="56"/>
      <c r="AK12" s="56"/>
      <c r="AL12" s="56"/>
      <c r="AM12" s="60"/>
      <c r="AN12" s="56"/>
      <c r="AO12" s="57"/>
      <c r="AP12" s="60"/>
      <c r="AQ12" s="57"/>
      <c r="AR12" s="60"/>
      <c r="AS12" s="57"/>
      <c r="AT12" s="57"/>
      <c r="AU12" s="57"/>
      <c r="AV12" s="57"/>
      <c r="AW12" s="57"/>
      <c r="AX12" s="57"/>
      <c r="AY12" s="57"/>
      <c r="AZ12" s="60"/>
      <c r="BA12" s="57"/>
      <c r="BB12" s="60"/>
      <c r="BC12" s="56"/>
      <c r="BD12" s="60"/>
      <c r="BE12" s="56"/>
      <c r="BF12" s="56"/>
      <c r="BG12" s="56"/>
      <c r="BH12" s="56"/>
      <c r="BI12" s="56"/>
      <c r="BJ12" s="56"/>
      <c r="BK12" s="56"/>
      <c r="BL12" s="60"/>
      <c r="BM12" s="56"/>
      <c r="BN12" s="60"/>
      <c r="BO12" s="57"/>
      <c r="BP12" s="60"/>
      <c r="BQ12" s="57"/>
      <c r="BR12" s="60"/>
      <c r="BS12" s="57"/>
      <c r="BT12" s="57"/>
      <c r="BU12" s="57"/>
      <c r="BV12" s="57"/>
      <c r="BW12" s="57"/>
      <c r="BX12" s="57"/>
      <c r="BY12" s="57"/>
      <c r="BZ12" s="60"/>
      <c r="CA12" s="57"/>
    </row>
    <row r="13" spans="1:79" x14ac:dyDescent="0.15">
      <c r="A13" s="55">
        <v>11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6"/>
      <c r="AC13" s="60"/>
      <c r="AD13" s="56"/>
      <c r="AE13" s="60"/>
      <c r="AF13" s="56"/>
      <c r="AG13" s="56"/>
      <c r="AH13" s="56"/>
      <c r="AI13" s="56"/>
      <c r="AJ13" s="56"/>
      <c r="AK13" s="56"/>
      <c r="AL13" s="56"/>
      <c r="AM13" s="60"/>
      <c r="AN13" s="56"/>
      <c r="AO13" s="57"/>
      <c r="AP13" s="60"/>
      <c r="AQ13" s="57"/>
      <c r="AR13" s="60"/>
      <c r="AS13" s="57"/>
      <c r="AT13" s="57"/>
      <c r="AU13" s="57"/>
      <c r="AV13" s="57"/>
      <c r="AW13" s="57"/>
      <c r="AX13" s="57"/>
      <c r="AY13" s="57"/>
      <c r="AZ13" s="60"/>
      <c r="BA13" s="57"/>
      <c r="BB13" s="60"/>
      <c r="BC13" s="56"/>
      <c r="BD13" s="60"/>
      <c r="BE13" s="56"/>
      <c r="BF13" s="56"/>
      <c r="BG13" s="56"/>
      <c r="BH13" s="56"/>
      <c r="BI13" s="56"/>
      <c r="BJ13" s="56"/>
      <c r="BK13" s="56"/>
      <c r="BL13" s="60"/>
      <c r="BM13" s="56"/>
      <c r="BN13" s="60"/>
      <c r="BO13" s="57"/>
      <c r="BP13" s="60"/>
      <c r="BQ13" s="57"/>
      <c r="BR13" s="60"/>
      <c r="BS13" s="57"/>
      <c r="BT13" s="57"/>
      <c r="BU13" s="57"/>
      <c r="BV13" s="57"/>
      <c r="BW13" s="57"/>
      <c r="BX13" s="57"/>
      <c r="BY13" s="57"/>
      <c r="BZ13" s="60"/>
      <c r="CA13" s="57"/>
    </row>
    <row r="14" spans="1:79" x14ac:dyDescent="0.15">
      <c r="A14" s="55">
        <v>12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6"/>
      <c r="AC14" s="60"/>
      <c r="AD14" s="56"/>
      <c r="AE14" s="60"/>
      <c r="AF14" s="56"/>
      <c r="AG14" s="56"/>
      <c r="AH14" s="56"/>
      <c r="AI14" s="56"/>
      <c r="AJ14" s="56"/>
      <c r="AK14" s="56"/>
      <c r="AL14" s="56"/>
      <c r="AM14" s="60"/>
      <c r="AN14" s="56"/>
      <c r="AO14" s="57"/>
      <c r="AP14" s="60"/>
      <c r="AQ14" s="57"/>
      <c r="AR14" s="60"/>
      <c r="AS14" s="57"/>
      <c r="AT14" s="57"/>
      <c r="AU14" s="57"/>
      <c r="AV14" s="57"/>
      <c r="AW14" s="57"/>
      <c r="AX14" s="57"/>
      <c r="AY14" s="57"/>
      <c r="AZ14" s="60"/>
      <c r="BA14" s="57"/>
      <c r="BB14" s="60"/>
      <c r="BC14" s="56"/>
      <c r="BD14" s="60"/>
      <c r="BE14" s="56"/>
      <c r="BF14" s="56"/>
      <c r="BG14" s="56"/>
      <c r="BH14" s="56"/>
      <c r="BI14" s="56"/>
      <c r="BJ14" s="56"/>
      <c r="BK14" s="56"/>
      <c r="BL14" s="60"/>
      <c r="BM14" s="56"/>
      <c r="BN14" s="60"/>
      <c r="BO14" s="57"/>
      <c r="BP14" s="60"/>
      <c r="BQ14" s="57"/>
      <c r="BR14" s="60"/>
      <c r="BS14" s="57"/>
      <c r="BT14" s="57"/>
      <c r="BU14" s="57"/>
      <c r="BV14" s="57"/>
      <c r="BW14" s="57"/>
      <c r="BX14" s="57"/>
      <c r="BY14" s="57"/>
      <c r="BZ14" s="60"/>
      <c r="CA14" s="57"/>
    </row>
    <row r="15" spans="1:79" x14ac:dyDescent="0.15">
      <c r="A15" s="55">
        <v>13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6"/>
      <c r="AC15" s="60"/>
      <c r="AD15" s="56"/>
      <c r="AE15" s="60"/>
      <c r="AF15" s="56"/>
      <c r="AG15" s="56"/>
      <c r="AH15" s="56"/>
      <c r="AI15" s="56"/>
      <c r="AJ15" s="56"/>
      <c r="AK15" s="56"/>
      <c r="AL15" s="56"/>
      <c r="AM15" s="60"/>
      <c r="AN15" s="56"/>
      <c r="AO15" s="57"/>
      <c r="AP15" s="60"/>
      <c r="AQ15" s="57"/>
      <c r="AR15" s="60"/>
      <c r="AS15" s="57"/>
      <c r="AT15" s="57"/>
      <c r="AU15" s="57"/>
      <c r="AV15" s="57"/>
      <c r="AW15" s="57"/>
      <c r="AX15" s="57"/>
      <c r="AY15" s="57"/>
      <c r="AZ15" s="60"/>
      <c r="BA15" s="57"/>
      <c r="BB15" s="60"/>
      <c r="BC15" s="56"/>
      <c r="BD15" s="60"/>
      <c r="BE15" s="56"/>
      <c r="BF15" s="56"/>
      <c r="BG15" s="56"/>
      <c r="BH15" s="56"/>
      <c r="BI15" s="56"/>
      <c r="BJ15" s="56"/>
      <c r="BK15" s="56"/>
      <c r="BL15" s="60"/>
      <c r="BM15" s="56"/>
      <c r="BN15" s="60"/>
      <c r="BO15" s="57"/>
      <c r="BP15" s="60"/>
      <c r="BQ15" s="57"/>
      <c r="BR15" s="60"/>
      <c r="BS15" s="57"/>
      <c r="BT15" s="57"/>
      <c r="BU15" s="57"/>
      <c r="BV15" s="57"/>
      <c r="BW15" s="57"/>
      <c r="BX15" s="57"/>
      <c r="BY15" s="57"/>
      <c r="BZ15" s="60"/>
      <c r="CA15" s="57"/>
    </row>
    <row r="16" spans="1:79" x14ac:dyDescent="0.15">
      <c r="A16" s="55">
        <v>14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6"/>
      <c r="AC16" s="60"/>
      <c r="AD16" s="56"/>
      <c r="AE16" s="60"/>
      <c r="AF16" s="56"/>
      <c r="AG16" s="56"/>
      <c r="AH16" s="56"/>
      <c r="AI16" s="56"/>
      <c r="AJ16" s="56"/>
      <c r="AK16" s="56"/>
      <c r="AL16" s="56"/>
      <c r="AM16" s="60"/>
      <c r="AN16" s="56"/>
      <c r="AO16" s="57"/>
      <c r="AP16" s="60"/>
      <c r="AQ16" s="57"/>
      <c r="AR16" s="60"/>
      <c r="AS16" s="57"/>
      <c r="AT16" s="57"/>
      <c r="AU16" s="57"/>
      <c r="AV16" s="57"/>
      <c r="AW16" s="57"/>
      <c r="AX16" s="57"/>
      <c r="AY16" s="57"/>
      <c r="AZ16" s="60"/>
      <c r="BA16" s="57"/>
      <c r="BB16" s="60"/>
      <c r="BC16" s="56"/>
      <c r="BD16" s="60"/>
      <c r="BE16" s="56"/>
      <c r="BF16" s="56"/>
      <c r="BG16" s="56"/>
      <c r="BH16" s="56"/>
      <c r="BI16" s="56"/>
      <c r="BJ16" s="56"/>
      <c r="BK16" s="56"/>
      <c r="BL16" s="60"/>
      <c r="BM16" s="56"/>
      <c r="BN16" s="60"/>
      <c r="BO16" s="57"/>
      <c r="BP16" s="60"/>
      <c r="BQ16" s="57"/>
      <c r="BR16" s="60"/>
      <c r="BS16" s="57"/>
      <c r="BT16" s="57"/>
      <c r="BU16" s="57"/>
      <c r="BV16" s="57"/>
      <c r="BW16" s="57"/>
      <c r="BX16" s="57"/>
      <c r="BY16" s="57"/>
      <c r="BZ16" s="60"/>
      <c r="CA16" s="57"/>
    </row>
    <row r="17" spans="1:79" x14ac:dyDescent="0.15">
      <c r="A17" s="55">
        <v>15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6"/>
      <c r="AC17" s="60"/>
      <c r="AD17" s="56"/>
      <c r="AE17" s="60"/>
      <c r="AF17" s="56"/>
      <c r="AG17" s="56"/>
      <c r="AH17" s="56"/>
      <c r="AI17" s="56"/>
      <c r="AJ17" s="56"/>
      <c r="AK17" s="56"/>
      <c r="AL17" s="56"/>
      <c r="AM17" s="60"/>
      <c r="AN17" s="56"/>
      <c r="AO17" s="57"/>
      <c r="AP17" s="60"/>
      <c r="AQ17" s="57"/>
      <c r="AR17" s="60"/>
      <c r="AS17" s="57"/>
      <c r="AT17" s="57"/>
      <c r="AU17" s="57"/>
      <c r="AV17" s="57"/>
      <c r="AW17" s="57"/>
      <c r="AX17" s="57"/>
      <c r="AY17" s="57"/>
      <c r="AZ17" s="60"/>
      <c r="BA17" s="57"/>
      <c r="BB17" s="60"/>
      <c r="BC17" s="56"/>
      <c r="BD17" s="60"/>
      <c r="BE17" s="56"/>
      <c r="BF17" s="56"/>
      <c r="BG17" s="56"/>
      <c r="BH17" s="56"/>
      <c r="BI17" s="56"/>
      <c r="BJ17" s="56"/>
      <c r="BK17" s="56"/>
      <c r="BL17" s="60"/>
      <c r="BM17" s="56"/>
      <c r="BN17" s="60"/>
      <c r="BO17" s="57"/>
      <c r="BP17" s="60"/>
      <c r="BQ17" s="57"/>
      <c r="BR17" s="60"/>
      <c r="BS17" s="57"/>
      <c r="BT17" s="57"/>
      <c r="BU17" s="57"/>
      <c r="BV17" s="57"/>
      <c r="BW17" s="57"/>
      <c r="BX17" s="57"/>
      <c r="BY17" s="57"/>
      <c r="BZ17" s="60"/>
      <c r="CA17" s="57"/>
    </row>
    <row r="18" spans="1:79" x14ac:dyDescent="0.15">
      <c r="A18" s="55">
        <v>16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6"/>
      <c r="AC18" s="60"/>
      <c r="AD18" s="56"/>
      <c r="AE18" s="60"/>
      <c r="AF18" s="56"/>
      <c r="AG18" s="56"/>
      <c r="AH18" s="56"/>
      <c r="AI18" s="56"/>
      <c r="AJ18" s="56"/>
      <c r="AK18" s="56"/>
      <c r="AL18" s="56"/>
      <c r="AM18" s="60"/>
      <c r="AN18" s="56"/>
      <c r="AO18" s="57"/>
      <c r="AP18" s="60"/>
      <c r="AQ18" s="57"/>
      <c r="AR18" s="60"/>
      <c r="AS18" s="57"/>
      <c r="AT18" s="57"/>
      <c r="AU18" s="57"/>
      <c r="AV18" s="57"/>
      <c r="AW18" s="57"/>
      <c r="AX18" s="57"/>
      <c r="AY18" s="57"/>
      <c r="AZ18" s="60"/>
      <c r="BA18" s="57"/>
      <c r="BB18" s="60"/>
      <c r="BC18" s="56"/>
      <c r="BD18" s="60"/>
      <c r="BE18" s="56"/>
      <c r="BF18" s="56"/>
      <c r="BG18" s="56"/>
      <c r="BH18" s="56"/>
      <c r="BI18" s="56"/>
      <c r="BJ18" s="56"/>
      <c r="BK18" s="56"/>
      <c r="BL18" s="60"/>
      <c r="BM18" s="56"/>
      <c r="BN18" s="60"/>
      <c r="BO18" s="57"/>
      <c r="BP18" s="60"/>
      <c r="BQ18" s="57"/>
      <c r="BR18" s="60"/>
      <c r="BS18" s="57"/>
      <c r="BT18" s="57"/>
      <c r="BU18" s="57"/>
      <c r="BV18" s="57"/>
      <c r="BW18" s="57"/>
      <c r="BX18" s="57"/>
      <c r="BY18" s="57"/>
      <c r="BZ18" s="60"/>
      <c r="CA18" s="57"/>
    </row>
    <row r="19" spans="1:79" x14ac:dyDescent="0.15">
      <c r="A19" s="55">
        <v>17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6"/>
      <c r="AC19" s="60"/>
      <c r="AD19" s="56"/>
      <c r="AE19" s="60"/>
      <c r="AF19" s="56"/>
      <c r="AG19" s="56"/>
      <c r="AH19" s="56"/>
      <c r="AI19" s="56"/>
      <c r="AJ19" s="56"/>
      <c r="AK19" s="56"/>
      <c r="AL19" s="56"/>
      <c r="AM19" s="60"/>
      <c r="AN19" s="56"/>
      <c r="AO19" s="57"/>
      <c r="AP19" s="60"/>
      <c r="AQ19" s="57"/>
      <c r="AR19" s="60"/>
      <c r="AS19" s="57"/>
      <c r="AT19" s="57"/>
      <c r="AU19" s="57"/>
      <c r="AV19" s="57"/>
      <c r="AW19" s="57"/>
      <c r="AX19" s="57"/>
      <c r="AY19" s="57"/>
      <c r="AZ19" s="60"/>
      <c r="BA19" s="57"/>
      <c r="BB19" s="60"/>
      <c r="BC19" s="56"/>
      <c r="BD19" s="60"/>
      <c r="BE19" s="56"/>
      <c r="BF19" s="56"/>
      <c r="BG19" s="56"/>
      <c r="BH19" s="56"/>
      <c r="BI19" s="56"/>
      <c r="BJ19" s="56"/>
      <c r="BK19" s="56"/>
      <c r="BL19" s="60"/>
      <c r="BM19" s="56"/>
      <c r="BN19" s="60"/>
      <c r="BO19" s="57"/>
      <c r="BP19" s="60"/>
      <c r="BQ19" s="57"/>
      <c r="BR19" s="60"/>
      <c r="BS19" s="57"/>
      <c r="BT19" s="57"/>
      <c r="BU19" s="57"/>
      <c r="BV19" s="57"/>
      <c r="BW19" s="57"/>
      <c r="BX19" s="57"/>
      <c r="BY19" s="57"/>
      <c r="BZ19" s="60"/>
      <c r="CA19" s="57"/>
    </row>
    <row r="20" spans="1:79" x14ac:dyDescent="0.15">
      <c r="A20" s="55">
        <v>18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6"/>
      <c r="AC20" s="60"/>
      <c r="AD20" s="56"/>
      <c r="AE20" s="60"/>
      <c r="AF20" s="56"/>
      <c r="AG20" s="56"/>
      <c r="AH20" s="56"/>
      <c r="AI20" s="56"/>
      <c r="AJ20" s="56"/>
      <c r="AK20" s="56"/>
      <c r="AL20" s="56"/>
      <c r="AM20" s="60"/>
      <c r="AN20" s="56"/>
      <c r="AO20" s="57"/>
      <c r="AP20" s="60"/>
      <c r="AQ20" s="57"/>
      <c r="AR20" s="60"/>
      <c r="AS20" s="57"/>
      <c r="AT20" s="57"/>
      <c r="AU20" s="57"/>
      <c r="AV20" s="57"/>
      <c r="AW20" s="57"/>
      <c r="AX20" s="57"/>
      <c r="AY20" s="57"/>
      <c r="AZ20" s="60"/>
      <c r="BA20" s="57"/>
      <c r="BB20" s="60"/>
      <c r="BC20" s="56"/>
      <c r="BD20" s="60"/>
      <c r="BE20" s="56"/>
      <c r="BF20" s="56"/>
      <c r="BG20" s="56"/>
      <c r="BH20" s="56"/>
      <c r="BI20" s="56"/>
      <c r="BJ20" s="56"/>
      <c r="BK20" s="56"/>
      <c r="BL20" s="60"/>
      <c r="BM20" s="56"/>
      <c r="BN20" s="60"/>
      <c r="BO20" s="57"/>
      <c r="BP20" s="60"/>
      <c r="BQ20" s="57"/>
      <c r="BR20" s="60"/>
      <c r="BS20" s="57"/>
      <c r="BT20" s="57"/>
      <c r="BU20" s="57"/>
      <c r="BV20" s="57"/>
      <c r="BW20" s="57"/>
      <c r="BX20" s="57"/>
      <c r="BY20" s="57"/>
      <c r="BZ20" s="60"/>
      <c r="CA20" s="57"/>
    </row>
    <row r="21" spans="1:79" x14ac:dyDescent="0.15">
      <c r="A21" s="55">
        <v>19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6"/>
      <c r="AC21" s="60"/>
      <c r="AD21" s="56"/>
      <c r="AE21" s="60"/>
      <c r="AF21" s="56"/>
      <c r="AG21" s="56"/>
      <c r="AH21" s="56"/>
      <c r="AI21" s="56"/>
      <c r="AJ21" s="56"/>
      <c r="AK21" s="56"/>
      <c r="AL21" s="56"/>
      <c r="AM21" s="60"/>
      <c r="AN21" s="56"/>
      <c r="AO21" s="57"/>
      <c r="AP21" s="60"/>
      <c r="AQ21" s="57"/>
      <c r="AR21" s="60"/>
      <c r="AS21" s="57"/>
      <c r="AT21" s="57"/>
      <c r="AU21" s="57"/>
      <c r="AV21" s="57"/>
      <c r="AW21" s="57"/>
      <c r="AX21" s="57"/>
      <c r="AY21" s="57"/>
      <c r="AZ21" s="60"/>
      <c r="BA21" s="57"/>
      <c r="BB21" s="60"/>
      <c r="BC21" s="56"/>
      <c r="BD21" s="60"/>
      <c r="BE21" s="56"/>
      <c r="BF21" s="56"/>
      <c r="BG21" s="56"/>
      <c r="BH21" s="56"/>
      <c r="BI21" s="56"/>
      <c r="BJ21" s="56"/>
      <c r="BK21" s="56"/>
      <c r="BL21" s="60"/>
      <c r="BM21" s="56"/>
      <c r="BN21" s="60"/>
      <c r="BO21" s="57"/>
      <c r="BP21" s="60"/>
      <c r="BQ21" s="57"/>
      <c r="BR21" s="60"/>
      <c r="BS21" s="57"/>
      <c r="BT21" s="57"/>
      <c r="BU21" s="57"/>
      <c r="BV21" s="57"/>
      <c r="BW21" s="57"/>
      <c r="BX21" s="57"/>
      <c r="BY21" s="57"/>
      <c r="BZ21" s="60"/>
      <c r="CA21" s="57"/>
    </row>
    <row r="22" spans="1:79" x14ac:dyDescent="0.15">
      <c r="A22" s="55">
        <v>20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6"/>
      <c r="AC22" s="60"/>
      <c r="AD22" s="56"/>
      <c r="AE22" s="60"/>
      <c r="AF22" s="56"/>
      <c r="AG22" s="56"/>
      <c r="AH22" s="56"/>
      <c r="AI22" s="56"/>
      <c r="AJ22" s="56"/>
      <c r="AK22" s="56"/>
      <c r="AL22" s="56"/>
      <c r="AM22" s="60"/>
      <c r="AN22" s="56"/>
      <c r="AO22" s="57"/>
      <c r="AP22" s="60"/>
      <c r="AQ22" s="57"/>
      <c r="AR22" s="60"/>
      <c r="AS22" s="57"/>
      <c r="AT22" s="57"/>
      <c r="AU22" s="57"/>
      <c r="AV22" s="57"/>
      <c r="AW22" s="57"/>
      <c r="AX22" s="57"/>
      <c r="AY22" s="57"/>
      <c r="AZ22" s="60"/>
      <c r="BA22" s="57"/>
      <c r="BB22" s="60"/>
      <c r="BC22" s="56"/>
      <c r="BD22" s="60"/>
      <c r="BE22" s="56"/>
      <c r="BF22" s="56"/>
      <c r="BG22" s="56"/>
      <c r="BH22" s="56"/>
      <c r="BI22" s="56"/>
      <c r="BJ22" s="56"/>
      <c r="BK22" s="56"/>
      <c r="BL22" s="60"/>
      <c r="BM22" s="56"/>
      <c r="BN22" s="60"/>
      <c r="BO22" s="57"/>
      <c r="BP22" s="60"/>
      <c r="BQ22" s="57"/>
      <c r="BR22" s="60"/>
      <c r="BS22" s="57"/>
      <c r="BT22" s="57"/>
      <c r="BU22" s="57"/>
      <c r="BV22" s="57"/>
      <c r="BW22" s="57"/>
      <c r="BX22" s="57"/>
      <c r="BY22" s="57"/>
      <c r="BZ22" s="60"/>
      <c r="CA22" s="57"/>
    </row>
    <row r="23" spans="1:79" x14ac:dyDescent="0.15">
      <c r="A23" s="55">
        <v>21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6"/>
      <c r="AC23" s="60"/>
      <c r="AD23" s="56"/>
      <c r="AE23" s="60"/>
      <c r="AF23" s="56"/>
      <c r="AG23" s="56"/>
      <c r="AH23" s="56"/>
      <c r="AI23" s="56"/>
      <c r="AJ23" s="56"/>
      <c r="AK23" s="56"/>
      <c r="AL23" s="56"/>
      <c r="AM23" s="60"/>
      <c r="AN23" s="56"/>
      <c r="AO23" s="57"/>
      <c r="AP23" s="60"/>
      <c r="AQ23" s="57"/>
      <c r="AR23" s="60"/>
      <c r="AS23" s="57"/>
      <c r="AT23" s="57"/>
      <c r="AU23" s="57"/>
      <c r="AV23" s="57"/>
      <c r="AW23" s="57"/>
      <c r="AX23" s="57"/>
      <c r="AY23" s="57"/>
      <c r="AZ23" s="60"/>
      <c r="BA23" s="57"/>
      <c r="BB23" s="60"/>
      <c r="BC23" s="56"/>
      <c r="BD23" s="60"/>
      <c r="BE23" s="56"/>
      <c r="BF23" s="56"/>
      <c r="BG23" s="56"/>
      <c r="BH23" s="56"/>
      <c r="BI23" s="56"/>
      <c r="BJ23" s="56"/>
      <c r="BK23" s="56"/>
      <c r="BL23" s="60"/>
      <c r="BM23" s="56"/>
      <c r="BN23" s="60"/>
      <c r="BO23" s="57"/>
      <c r="BP23" s="60"/>
      <c r="BQ23" s="57"/>
      <c r="BR23" s="60"/>
      <c r="BS23" s="57"/>
      <c r="BT23" s="57"/>
      <c r="BU23" s="57"/>
      <c r="BV23" s="57"/>
      <c r="BW23" s="57"/>
      <c r="BX23" s="57"/>
      <c r="BY23" s="57"/>
      <c r="BZ23" s="60"/>
      <c r="CA23" s="57"/>
    </row>
    <row r="24" spans="1:79" x14ac:dyDescent="0.15">
      <c r="A24" s="55">
        <v>22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6"/>
      <c r="AC24" s="60"/>
      <c r="AD24" s="56"/>
      <c r="AE24" s="60"/>
      <c r="AF24" s="56"/>
      <c r="AG24" s="56"/>
      <c r="AH24" s="56"/>
      <c r="AI24" s="56"/>
      <c r="AJ24" s="56"/>
      <c r="AK24" s="56"/>
      <c r="AL24" s="56"/>
      <c r="AM24" s="60"/>
      <c r="AN24" s="56"/>
      <c r="AO24" s="57"/>
      <c r="AP24" s="60"/>
      <c r="AQ24" s="57"/>
      <c r="AR24" s="60"/>
      <c r="AS24" s="57"/>
      <c r="AT24" s="57"/>
      <c r="AU24" s="57"/>
      <c r="AV24" s="57"/>
      <c r="AW24" s="57"/>
      <c r="AX24" s="57"/>
      <c r="AY24" s="57"/>
      <c r="AZ24" s="60"/>
      <c r="BA24" s="57"/>
      <c r="BB24" s="60"/>
      <c r="BC24" s="56"/>
      <c r="BD24" s="60"/>
      <c r="BE24" s="56"/>
      <c r="BF24" s="56"/>
      <c r="BG24" s="56"/>
      <c r="BH24" s="56"/>
      <c r="BI24" s="56"/>
      <c r="BJ24" s="56"/>
      <c r="BK24" s="56"/>
      <c r="BL24" s="60"/>
      <c r="BM24" s="56"/>
      <c r="BN24" s="60"/>
      <c r="BO24" s="57"/>
      <c r="BP24" s="60"/>
      <c r="BQ24" s="57"/>
      <c r="BR24" s="60"/>
      <c r="BS24" s="57"/>
      <c r="BT24" s="57"/>
      <c r="BU24" s="57"/>
      <c r="BV24" s="57"/>
      <c r="BW24" s="57"/>
      <c r="BX24" s="57"/>
      <c r="BY24" s="57"/>
      <c r="BZ24" s="60"/>
      <c r="CA24" s="57"/>
    </row>
    <row r="25" spans="1:79" x14ac:dyDescent="0.15">
      <c r="A25" s="55">
        <v>23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6"/>
      <c r="AC25" s="60"/>
      <c r="AD25" s="56"/>
      <c r="AE25" s="60"/>
      <c r="AF25" s="56"/>
      <c r="AG25" s="56"/>
      <c r="AH25" s="56"/>
      <c r="AI25" s="56"/>
      <c r="AJ25" s="56"/>
      <c r="AK25" s="56"/>
      <c r="AL25" s="56"/>
      <c r="AM25" s="60"/>
      <c r="AN25" s="56"/>
      <c r="AO25" s="57"/>
      <c r="AP25" s="60"/>
      <c r="AQ25" s="57"/>
      <c r="AR25" s="60"/>
      <c r="AS25" s="57"/>
      <c r="AT25" s="57"/>
      <c r="AU25" s="57"/>
      <c r="AV25" s="57"/>
      <c r="AW25" s="57"/>
      <c r="AX25" s="57"/>
      <c r="AY25" s="57"/>
      <c r="AZ25" s="60"/>
      <c r="BA25" s="57"/>
      <c r="BB25" s="60"/>
      <c r="BC25" s="56"/>
      <c r="BD25" s="60"/>
      <c r="BE25" s="56"/>
      <c r="BF25" s="56"/>
      <c r="BG25" s="56"/>
      <c r="BH25" s="56"/>
      <c r="BI25" s="56"/>
      <c r="BJ25" s="56"/>
      <c r="BK25" s="56"/>
      <c r="BL25" s="60"/>
      <c r="BM25" s="56"/>
      <c r="BN25" s="60"/>
      <c r="BO25" s="57"/>
      <c r="BP25" s="60"/>
      <c r="BQ25" s="57"/>
      <c r="BR25" s="60"/>
      <c r="BS25" s="57"/>
      <c r="BT25" s="57"/>
      <c r="BU25" s="57"/>
      <c r="BV25" s="57"/>
      <c r="BW25" s="57"/>
      <c r="BX25" s="57"/>
      <c r="BY25" s="57"/>
      <c r="BZ25" s="60"/>
      <c r="CA25" s="57"/>
    </row>
    <row r="26" spans="1:79" x14ac:dyDescent="0.15">
      <c r="A26" s="55">
        <v>24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6"/>
      <c r="AC26" s="60"/>
      <c r="AD26" s="56"/>
      <c r="AE26" s="60"/>
      <c r="AF26" s="56"/>
      <c r="AG26" s="56"/>
      <c r="AH26" s="56"/>
      <c r="AI26" s="56"/>
      <c r="AJ26" s="56"/>
      <c r="AK26" s="56"/>
      <c r="AL26" s="56"/>
      <c r="AM26" s="60"/>
      <c r="AN26" s="56"/>
      <c r="AO26" s="57"/>
      <c r="AP26" s="60"/>
      <c r="AQ26" s="57"/>
      <c r="AR26" s="60"/>
      <c r="AS26" s="57"/>
      <c r="AT26" s="57"/>
      <c r="AU26" s="57"/>
      <c r="AV26" s="57"/>
      <c r="AW26" s="57"/>
      <c r="AX26" s="57"/>
      <c r="AY26" s="57"/>
      <c r="AZ26" s="60"/>
      <c r="BA26" s="57"/>
      <c r="BB26" s="60"/>
      <c r="BC26" s="56"/>
      <c r="BD26" s="60"/>
      <c r="BE26" s="56"/>
      <c r="BF26" s="56"/>
      <c r="BG26" s="56"/>
      <c r="BH26" s="56"/>
      <c r="BI26" s="56"/>
      <c r="BJ26" s="56"/>
      <c r="BK26" s="56"/>
      <c r="BL26" s="60"/>
      <c r="BM26" s="56"/>
      <c r="BN26" s="60"/>
      <c r="BO26" s="57"/>
      <c r="BP26" s="60"/>
      <c r="BQ26" s="57"/>
      <c r="BR26" s="60"/>
      <c r="BS26" s="57"/>
      <c r="BT26" s="57"/>
      <c r="BU26" s="57"/>
      <c r="BV26" s="57"/>
      <c r="BW26" s="57"/>
      <c r="BX26" s="57"/>
      <c r="BY26" s="57"/>
      <c r="BZ26" s="60"/>
      <c r="CA26" s="57"/>
    </row>
    <row r="27" spans="1:79" x14ac:dyDescent="0.15">
      <c r="A27" s="55">
        <v>25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6"/>
      <c r="AC27" s="60"/>
      <c r="AD27" s="56"/>
      <c r="AE27" s="60"/>
      <c r="AF27" s="56"/>
      <c r="AG27" s="56"/>
      <c r="AH27" s="56"/>
      <c r="AI27" s="56"/>
      <c r="AJ27" s="56"/>
      <c r="AK27" s="56"/>
      <c r="AL27" s="56"/>
      <c r="AM27" s="60"/>
      <c r="AN27" s="56"/>
      <c r="AO27" s="57"/>
      <c r="AP27" s="60"/>
      <c r="AQ27" s="57"/>
      <c r="AR27" s="60"/>
      <c r="AS27" s="57"/>
      <c r="AT27" s="57"/>
      <c r="AU27" s="57"/>
      <c r="AV27" s="57"/>
      <c r="AW27" s="57"/>
      <c r="AX27" s="57"/>
      <c r="AY27" s="57"/>
      <c r="AZ27" s="60"/>
      <c r="BA27" s="57"/>
      <c r="BB27" s="60"/>
      <c r="BC27" s="56"/>
      <c r="BD27" s="60"/>
      <c r="BE27" s="56"/>
      <c r="BF27" s="56"/>
      <c r="BG27" s="56"/>
      <c r="BH27" s="56"/>
      <c r="BI27" s="56"/>
      <c r="BJ27" s="56"/>
      <c r="BK27" s="56"/>
      <c r="BL27" s="60"/>
      <c r="BM27" s="56"/>
      <c r="BN27" s="60"/>
      <c r="BO27" s="57"/>
      <c r="BP27" s="60"/>
      <c r="BQ27" s="57"/>
      <c r="BR27" s="60"/>
      <c r="BS27" s="57"/>
      <c r="BT27" s="57"/>
      <c r="BU27" s="57"/>
      <c r="BV27" s="57"/>
      <c r="BW27" s="57"/>
      <c r="BX27" s="57"/>
      <c r="BY27" s="57"/>
      <c r="BZ27" s="60"/>
      <c r="CA27" s="57"/>
    </row>
    <row r="28" spans="1:79" x14ac:dyDescent="0.15">
      <c r="A28" s="55">
        <v>26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6"/>
      <c r="AC28" s="60"/>
      <c r="AD28" s="56"/>
      <c r="AE28" s="60"/>
      <c r="AF28" s="56"/>
      <c r="AG28" s="56"/>
      <c r="AH28" s="56"/>
      <c r="AI28" s="56"/>
      <c r="AJ28" s="56"/>
      <c r="AK28" s="56"/>
      <c r="AL28" s="56"/>
      <c r="AM28" s="60"/>
      <c r="AN28" s="56"/>
      <c r="AO28" s="57"/>
      <c r="AP28" s="60"/>
      <c r="AQ28" s="57"/>
      <c r="AR28" s="60"/>
      <c r="AS28" s="57"/>
      <c r="AT28" s="57"/>
      <c r="AU28" s="57"/>
      <c r="AV28" s="57"/>
      <c r="AW28" s="57"/>
      <c r="AX28" s="57"/>
      <c r="AY28" s="57"/>
      <c r="AZ28" s="60"/>
      <c r="BA28" s="57"/>
      <c r="BB28" s="60"/>
      <c r="BC28" s="56"/>
      <c r="BD28" s="60"/>
      <c r="BE28" s="56"/>
      <c r="BF28" s="56"/>
      <c r="BG28" s="56"/>
      <c r="BH28" s="56"/>
      <c r="BI28" s="56"/>
      <c r="BJ28" s="56"/>
      <c r="BK28" s="56"/>
      <c r="BL28" s="60"/>
      <c r="BM28" s="56"/>
      <c r="BN28" s="60"/>
      <c r="BO28" s="57"/>
      <c r="BP28" s="60"/>
      <c r="BQ28" s="57"/>
      <c r="BR28" s="60"/>
      <c r="BS28" s="57"/>
      <c r="BT28" s="57"/>
      <c r="BU28" s="57"/>
      <c r="BV28" s="57"/>
      <c r="BW28" s="57"/>
      <c r="BX28" s="57"/>
      <c r="BY28" s="57"/>
      <c r="BZ28" s="60"/>
      <c r="CA28" s="57"/>
    </row>
    <row r="29" spans="1:79" x14ac:dyDescent="0.15">
      <c r="A29" s="55">
        <v>27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6"/>
      <c r="AC29" s="60"/>
      <c r="AD29" s="56"/>
      <c r="AE29" s="60"/>
      <c r="AF29" s="56"/>
      <c r="AG29" s="56"/>
      <c r="AH29" s="56"/>
      <c r="AI29" s="56"/>
      <c r="AJ29" s="56"/>
      <c r="AK29" s="56"/>
      <c r="AL29" s="56"/>
      <c r="AM29" s="60"/>
      <c r="AN29" s="56"/>
      <c r="AO29" s="57"/>
      <c r="AP29" s="60"/>
      <c r="AQ29" s="57"/>
      <c r="AR29" s="60"/>
      <c r="AS29" s="57"/>
      <c r="AT29" s="57"/>
      <c r="AU29" s="57"/>
      <c r="AV29" s="57"/>
      <c r="AW29" s="57"/>
      <c r="AX29" s="57"/>
      <c r="AY29" s="57"/>
      <c r="AZ29" s="60"/>
      <c r="BA29" s="57"/>
      <c r="BB29" s="60"/>
      <c r="BC29" s="56"/>
      <c r="BD29" s="60"/>
      <c r="BE29" s="56"/>
      <c r="BF29" s="56"/>
      <c r="BG29" s="56"/>
      <c r="BH29" s="56"/>
      <c r="BI29" s="56"/>
      <c r="BJ29" s="56"/>
      <c r="BK29" s="56"/>
      <c r="BL29" s="60"/>
      <c r="BM29" s="56"/>
      <c r="BN29" s="60"/>
      <c r="BO29" s="57"/>
      <c r="BP29" s="60"/>
      <c r="BQ29" s="57"/>
      <c r="BR29" s="60"/>
      <c r="BS29" s="57"/>
      <c r="BT29" s="57"/>
      <c r="BU29" s="57"/>
      <c r="BV29" s="57"/>
      <c r="BW29" s="57"/>
      <c r="BX29" s="57"/>
      <c r="BY29" s="57"/>
      <c r="BZ29" s="60"/>
      <c r="CA29" s="57"/>
    </row>
    <row r="30" spans="1:79" x14ac:dyDescent="0.15">
      <c r="A30" s="55">
        <v>28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6"/>
      <c r="AC30" s="60"/>
      <c r="AD30" s="56"/>
      <c r="AE30" s="60"/>
      <c r="AF30" s="56"/>
      <c r="AG30" s="56"/>
      <c r="AH30" s="56"/>
      <c r="AI30" s="56"/>
      <c r="AJ30" s="56"/>
      <c r="AK30" s="56"/>
      <c r="AL30" s="56"/>
      <c r="AM30" s="60"/>
      <c r="AN30" s="56"/>
      <c r="AO30" s="57"/>
      <c r="AP30" s="60"/>
      <c r="AQ30" s="57"/>
      <c r="AR30" s="60"/>
      <c r="AS30" s="57"/>
      <c r="AT30" s="57"/>
      <c r="AU30" s="57"/>
      <c r="AV30" s="57"/>
      <c r="AW30" s="57"/>
      <c r="AX30" s="57"/>
      <c r="AY30" s="57"/>
      <c r="AZ30" s="60"/>
      <c r="BA30" s="57"/>
      <c r="BB30" s="60"/>
      <c r="BC30" s="56"/>
      <c r="BD30" s="60"/>
      <c r="BE30" s="56"/>
      <c r="BF30" s="56"/>
      <c r="BG30" s="56"/>
      <c r="BH30" s="56"/>
      <c r="BI30" s="56"/>
      <c r="BJ30" s="56"/>
      <c r="BK30" s="56"/>
      <c r="BL30" s="60"/>
      <c r="BM30" s="56"/>
      <c r="BN30" s="60"/>
      <c r="BO30" s="57"/>
      <c r="BP30" s="60"/>
      <c r="BQ30" s="57"/>
      <c r="BR30" s="60"/>
      <c r="BS30" s="57"/>
      <c r="BT30" s="57"/>
      <c r="BU30" s="57"/>
      <c r="BV30" s="57"/>
      <c r="BW30" s="57"/>
      <c r="BX30" s="57"/>
      <c r="BY30" s="57"/>
      <c r="BZ30" s="60"/>
      <c r="CA30" s="57"/>
    </row>
    <row r="31" spans="1:79" x14ac:dyDescent="0.15">
      <c r="A31" s="55">
        <v>29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6"/>
      <c r="AC31" s="60"/>
      <c r="AD31" s="56"/>
      <c r="AE31" s="60"/>
      <c r="AF31" s="56"/>
      <c r="AG31" s="56"/>
      <c r="AH31" s="56"/>
      <c r="AI31" s="56"/>
      <c r="AJ31" s="56"/>
      <c r="AK31" s="56"/>
      <c r="AL31" s="56"/>
      <c r="AM31" s="60"/>
      <c r="AN31" s="56"/>
      <c r="AO31" s="57"/>
      <c r="AP31" s="60"/>
      <c r="AQ31" s="57"/>
      <c r="AR31" s="60"/>
      <c r="AS31" s="57"/>
      <c r="AT31" s="57"/>
      <c r="AU31" s="57"/>
      <c r="AV31" s="57"/>
      <c r="AW31" s="57"/>
      <c r="AX31" s="57"/>
      <c r="AY31" s="57"/>
      <c r="AZ31" s="60"/>
      <c r="BA31" s="57"/>
      <c r="BB31" s="60"/>
      <c r="BC31" s="56"/>
      <c r="BD31" s="60"/>
      <c r="BE31" s="56"/>
      <c r="BF31" s="56"/>
      <c r="BG31" s="56"/>
      <c r="BH31" s="56"/>
      <c r="BI31" s="56"/>
      <c r="BJ31" s="56"/>
      <c r="BK31" s="56"/>
      <c r="BL31" s="60"/>
      <c r="BM31" s="56"/>
      <c r="BN31" s="60"/>
      <c r="BO31" s="57"/>
      <c r="BP31" s="60"/>
      <c r="BQ31" s="57"/>
      <c r="BR31" s="60"/>
      <c r="BS31" s="57"/>
      <c r="BT31" s="57"/>
      <c r="BU31" s="57"/>
      <c r="BV31" s="57"/>
      <c r="BW31" s="57"/>
      <c r="BX31" s="57"/>
      <c r="BY31" s="57"/>
      <c r="BZ31" s="60"/>
      <c r="CA31" s="57"/>
    </row>
    <row r="32" spans="1:79" x14ac:dyDescent="0.15">
      <c r="A32" s="55">
        <v>30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6"/>
      <c r="AC32" s="60"/>
      <c r="AD32" s="56"/>
      <c r="AE32" s="60"/>
      <c r="AF32" s="56"/>
      <c r="AG32" s="56"/>
      <c r="AH32" s="56"/>
      <c r="AI32" s="56"/>
      <c r="AJ32" s="56"/>
      <c r="AK32" s="56"/>
      <c r="AL32" s="56"/>
      <c r="AM32" s="60"/>
      <c r="AN32" s="56"/>
      <c r="AO32" s="57"/>
      <c r="AP32" s="60"/>
      <c r="AQ32" s="57"/>
      <c r="AR32" s="60"/>
      <c r="AS32" s="57"/>
      <c r="AT32" s="57"/>
      <c r="AU32" s="57"/>
      <c r="AV32" s="57"/>
      <c r="AW32" s="57"/>
      <c r="AX32" s="57"/>
      <c r="AY32" s="57"/>
      <c r="AZ32" s="60"/>
      <c r="BA32" s="57"/>
      <c r="BB32" s="60"/>
      <c r="BC32" s="56"/>
      <c r="BD32" s="60"/>
      <c r="BE32" s="56"/>
      <c r="BF32" s="56"/>
      <c r="BG32" s="56"/>
      <c r="BH32" s="56"/>
      <c r="BI32" s="56"/>
      <c r="BJ32" s="56"/>
      <c r="BK32" s="56"/>
      <c r="BL32" s="60"/>
      <c r="BM32" s="56"/>
      <c r="BN32" s="60"/>
      <c r="BO32" s="57"/>
      <c r="BP32" s="60"/>
      <c r="BQ32" s="57"/>
      <c r="BR32" s="60"/>
      <c r="BS32" s="57"/>
      <c r="BT32" s="57"/>
      <c r="BU32" s="57"/>
      <c r="BV32" s="57"/>
      <c r="BW32" s="57"/>
      <c r="BX32" s="57"/>
      <c r="BY32" s="57"/>
      <c r="BZ32" s="60"/>
      <c r="CA32" s="57"/>
    </row>
    <row r="33" spans="1:79" x14ac:dyDescent="0.15">
      <c r="A33" s="55">
        <v>31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6"/>
      <c r="AC33" s="60"/>
      <c r="AD33" s="56"/>
      <c r="AE33" s="60"/>
      <c r="AF33" s="56"/>
      <c r="AG33" s="56"/>
      <c r="AH33" s="56"/>
      <c r="AI33" s="56"/>
      <c r="AJ33" s="56"/>
      <c r="AK33" s="56"/>
      <c r="AL33" s="56"/>
      <c r="AM33" s="60"/>
      <c r="AN33" s="56"/>
      <c r="AO33" s="57"/>
      <c r="AP33" s="60"/>
      <c r="AQ33" s="57"/>
      <c r="AR33" s="60"/>
      <c r="AS33" s="57"/>
      <c r="AT33" s="57"/>
      <c r="AU33" s="57"/>
      <c r="AV33" s="57"/>
      <c r="AW33" s="57"/>
      <c r="AX33" s="57"/>
      <c r="AY33" s="57"/>
      <c r="AZ33" s="60"/>
      <c r="BA33" s="57"/>
      <c r="BB33" s="60"/>
      <c r="BC33" s="56"/>
      <c r="BD33" s="60"/>
      <c r="BE33" s="56"/>
      <c r="BF33" s="56"/>
      <c r="BG33" s="56"/>
      <c r="BH33" s="56"/>
      <c r="BI33" s="56"/>
      <c r="BJ33" s="56"/>
      <c r="BK33" s="56"/>
      <c r="BL33" s="60"/>
      <c r="BM33" s="56"/>
      <c r="BN33" s="60"/>
      <c r="BO33" s="57"/>
      <c r="BP33" s="60"/>
      <c r="BQ33" s="57"/>
      <c r="BR33" s="60"/>
      <c r="BS33" s="57"/>
      <c r="BT33" s="57"/>
      <c r="BU33" s="57"/>
      <c r="BV33" s="57"/>
      <c r="BW33" s="57"/>
      <c r="BX33" s="57"/>
      <c r="BY33" s="57"/>
      <c r="BZ33" s="60"/>
      <c r="CA33" s="57"/>
    </row>
    <row r="34" spans="1:79" x14ac:dyDescent="0.15">
      <c r="A34" s="55">
        <v>32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6"/>
      <c r="AC34" s="60"/>
      <c r="AD34" s="56"/>
      <c r="AE34" s="60"/>
      <c r="AF34" s="56"/>
      <c r="AG34" s="56"/>
      <c r="AH34" s="56"/>
      <c r="AI34" s="56"/>
      <c r="AJ34" s="56"/>
      <c r="AK34" s="56"/>
      <c r="AL34" s="56"/>
      <c r="AM34" s="60"/>
      <c r="AN34" s="56"/>
      <c r="AO34" s="57"/>
      <c r="AP34" s="60"/>
      <c r="AQ34" s="57"/>
      <c r="AR34" s="60"/>
      <c r="AS34" s="57"/>
      <c r="AT34" s="57"/>
      <c r="AU34" s="57"/>
      <c r="AV34" s="57"/>
      <c r="AW34" s="57"/>
      <c r="AX34" s="57"/>
      <c r="AY34" s="57"/>
      <c r="AZ34" s="60"/>
      <c r="BA34" s="57"/>
      <c r="BB34" s="60"/>
      <c r="BC34" s="56"/>
      <c r="BD34" s="60"/>
      <c r="BE34" s="56"/>
      <c r="BF34" s="56"/>
      <c r="BG34" s="56"/>
      <c r="BH34" s="56"/>
      <c r="BI34" s="56"/>
      <c r="BJ34" s="56"/>
      <c r="BK34" s="56"/>
      <c r="BL34" s="60"/>
      <c r="BM34" s="56"/>
      <c r="BN34" s="60"/>
      <c r="BO34" s="57"/>
      <c r="BP34" s="60"/>
      <c r="BQ34" s="57"/>
      <c r="BR34" s="60"/>
      <c r="BS34" s="57"/>
      <c r="BT34" s="57"/>
      <c r="BU34" s="57"/>
      <c r="BV34" s="57"/>
      <c r="BW34" s="57"/>
      <c r="BX34" s="57"/>
      <c r="BY34" s="57"/>
      <c r="BZ34" s="60"/>
      <c r="CA34" s="57"/>
    </row>
    <row r="35" spans="1:79" x14ac:dyDescent="0.15">
      <c r="A35" s="55">
        <v>33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6"/>
      <c r="AC35" s="60"/>
      <c r="AD35" s="56"/>
      <c r="AE35" s="60"/>
      <c r="AF35" s="56"/>
      <c r="AG35" s="56"/>
      <c r="AH35" s="56"/>
      <c r="AI35" s="56"/>
      <c r="AJ35" s="56"/>
      <c r="AK35" s="56"/>
      <c r="AL35" s="56"/>
      <c r="AM35" s="60"/>
      <c r="AN35" s="56"/>
      <c r="AO35" s="57"/>
      <c r="AP35" s="60"/>
      <c r="AQ35" s="57"/>
      <c r="AR35" s="60"/>
      <c r="AS35" s="57"/>
      <c r="AT35" s="57"/>
      <c r="AU35" s="57"/>
      <c r="AV35" s="57"/>
      <c r="AW35" s="57"/>
      <c r="AX35" s="57"/>
      <c r="AY35" s="57"/>
      <c r="AZ35" s="60"/>
      <c r="BA35" s="57"/>
      <c r="BB35" s="60"/>
      <c r="BC35" s="56"/>
      <c r="BD35" s="60"/>
      <c r="BE35" s="56"/>
      <c r="BF35" s="56"/>
      <c r="BG35" s="56"/>
      <c r="BH35" s="56"/>
      <c r="BI35" s="56"/>
      <c r="BJ35" s="56"/>
      <c r="BK35" s="56"/>
      <c r="BL35" s="60"/>
      <c r="BM35" s="56"/>
      <c r="BN35" s="60"/>
      <c r="BO35" s="57"/>
      <c r="BP35" s="60"/>
      <c r="BQ35" s="57"/>
      <c r="BR35" s="60"/>
      <c r="BS35" s="57"/>
      <c r="BT35" s="57"/>
      <c r="BU35" s="57"/>
      <c r="BV35" s="57"/>
      <c r="BW35" s="57"/>
      <c r="BX35" s="57"/>
      <c r="BY35" s="57"/>
      <c r="BZ35" s="60"/>
      <c r="CA35" s="57"/>
    </row>
    <row r="36" spans="1:79" x14ac:dyDescent="0.15">
      <c r="A36" s="55">
        <v>34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6"/>
      <c r="AC36" s="60"/>
      <c r="AD36" s="56"/>
      <c r="AE36" s="60"/>
      <c r="AF36" s="56"/>
      <c r="AG36" s="56"/>
      <c r="AH36" s="56"/>
      <c r="AI36" s="56"/>
      <c r="AJ36" s="56"/>
      <c r="AK36" s="56"/>
      <c r="AL36" s="56"/>
      <c r="AM36" s="60"/>
      <c r="AN36" s="56"/>
      <c r="AO36" s="57"/>
      <c r="AP36" s="60"/>
      <c r="AQ36" s="57"/>
      <c r="AR36" s="60"/>
      <c r="AS36" s="57"/>
      <c r="AT36" s="57"/>
      <c r="AU36" s="57"/>
      <c r="AV36" s="57"/>
      <c r="AW36" s="57"/>
      <c r="AX36" s="57"/>
      <c r="AY36" s="57"/>
      <c r="AZ36" s="60"/>
      <c r="BA36" s="57"/>
      <c r="BB36" s="60"/>
      <c r="BC36" s="56"/>
      <c r="BD36" s="60"/>
      <c r="BE36" s="56"/>
      <c r="BF36" s="56"/>
      <c r="BG36" s="56"/>
      <c r="BH36" s="56"/>
      <c r="BI36" s="56"/>
      <c r="BJ36" s="56"/>
      <c r="BK36" s="56"/>
      <c r="BL36" s="60"/>
      <c r="BM36" s="56"/>
      <c r="BN36" s="60"/>
      <c r="BO36" s="57"/>
      <c r="BP36" s="60"/>
      <c r="BQ36" s="57"/>
      <c r="BR36" s="60"/>
      <c r="BS36" s="57"/>
      <c r="BT36" s="57"/>
      <c r="BU36" s="57"/>
      <c r="BV36" s="57"/>
      <c r="BW36" s="57"/>
      <c r="BX36" s="57"/>
      <c r="BY36" s="57"/>
      <c r="BZ36" s="60"/>
      <c r="CA36" s="57"/>
    </row>
    <row r="37" spans="1:79" x14ac:dyDescent="0.15">
      <c r="A37" s="55">
        <v>35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6"/>
      <c r="AC37" s="60"/>
      <c r="AD37" s="56"/>
      <c r="AE37" s="60"/>
      <c r="AF37" s="56"/>
      <c r="AG37" s="56"/>
      <c r="AH37" s="56"/>
      <c r="AI37" s="56"/>
      <c r="AJ37" s="56"/>
      <c r="AK37" s="56"/>
      <c r="AL37" s="56"/>
      <c r="AM37" s="60"/>
      <c r="AN37" s="56"/>
      <c r="AO37" s="57"/>
      <c r="AP37" s="60"/>
      <c r="AQ37" s="57"/>
      <c r="AR37" s="60"/>
      <c r="AS37" s="57"/>
      <c r="AT37" s="57"/>
      <c r="AU37" s="57"/>
      <c r="AV37" s="57"/>
      <c r="AW37" s="57"/>
      <c r="AX37" s="57"/>
      <c r="AY37" s="57"/>
      <c r="AZ37" s="60"/>
      <c r="BA37" s="57"/>
      <c r="BB37" s="60"/>
      <c r="BC37" s="56"/>
      <c r="BD37" s="60"/>
      <c r="BE37" s="56"/>
      <c r="BF37" s="56"/>
      <c r="BG37" s="56"/>
      <c r="BH37" s="56"/>
      <c r="BI37" s="56"/>
      <c r="BJ37" s="56"/>
      <c r="BK37" s="56"/>
      <c r="BL37" s="60"/>
      <c r="BM37" s="56"/>
      <c r="BN37" s="60"/>
      <c r="BO37" s="57"/>
      <c r="BP37" s="60"/>
      <c r="BQ37" s="57"/>
      <c r="BR37" s="60"/>
      <c r="BS37" s="57"/>
      <c r="BT37" s="57"/>
      <c r="BU37" s="57"/>
      <c r="BV37" s="57"/>
      <c r="BW37" s="57"/>
      <c r="BX37" s="57"/>
      <c r="BY37" s="57"/>
      <c r="BZ37" s="60"/>
      <c r="CA37" s="57"/>
    </row>
    <row r="38" spans="1:79" x14ac:dyDescent="0.15">
      <c r="A38" s="55">
        <v>36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6"/>
      <c r="AC38" s="60"/>
      <c r="AD38" s="56"/>
      <c r="AE38" s="60"/>
      <c r="AF38" s="56"/>
      <c r="AG38" s="56"/>
      <c r="AH38" s="56"/>
      <c r="AI38" s="56"/>
      <c r="AJ38" s="56"/>
      <c r="AK38" s="56"/>
      <c r="AL38" s="56"/>
      <c r="AM38" s="60"/>
      <c r="AN38" s="56"/>
      <c r="AO38" s="57"/>
      <c r="AP38" s="60"/>
      <c r="AQ38" s="57"/>
      <c r="AR38" s="60"/>
      <c r="AS38" s="57"/>
      <c r="AT38" s="57"/>
      <c r="AU38" s="57"/>
      <c r="AV38" s="57"/>
      <c r="AW38" s="57"/>
      <c r="AX38" s="57"/>
      <c r="AY38" s="57"/>
      <c r="AZ38" s="60"/>
      <c r="BA38" s="57"/>
      <c r="BB38" s="60"/>
      <c r="BC38" s="56"/>
      <c r="BD38" s="60"/>
      <c r="BE38" s="56"/>
      <c r="BF38" s="56"/>
      <c r="BG38" s="56"/>
      <c r="BH38" s="56"/>
      <c r="BI38" s="56"/>
      <c r="BJ38" s="56"/>
      <c r="BK38" s="56"/>
      <c r="BL38" s="60"/>
      <c r="BM38" s="56"/>
      <c r="BN38" s="60"/>
      <c r="BO38" s="57"/>
      <c r="BP38" s="60"/>
      <c r="BQ38" s="57"/>
      <c r="BR38" s="60"/>
      <c r="BS38" s="57"/>
      <c r="BT38" s="57"/>
      <c r="BU38" s="57"/>
      <c r="BV38" s="57"/>
      <c r="BW38" s="57"/>
      <c r="BX38" s="57"/>
      <c r="BY38" s="57"/>
      <c r="BZ38" s="60"/>
      <c r="CA38" s="57"/>
    </row>
    <row r="39" spans="1:79" x14ac:dyDescent="0.15">
      <c r="A39" s="55">
        <v>37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6"/>
      <c r="AC39" s="60"/>
      <c r="AD39" s="56"/>
      <c r="AE39" s="60"/>
      <c r="AF39" s="56"/>
      <c r="AG39" s="56"/>
      <c r="AH39" s="56"/>
      <c r="AI39" s="56"/>
      <c r="AJ39" s="56"/>
      <c r="AK39" s="56"/>
      <c r="AL39" s="56"/>
      <c r="AM39" s="60"/>
      <c r="AN39" s="56"/>
      <c r="AO39" s="57"/>
      <c r="AP39" s="60"/>
      <c r="AQ39" s="57"/>
      <c r="AR39" s="60"/>
      <c r="AS39" s="57"/>
      <c r="AT39" s="57"/>
      <c r="AU39" s="57"/>
      <c r="AV39" s="57"/>
      <c r="AW39" s="57"/>
      <c r="AX39" s="57"/>
      <c r="AY39" s="57"/>
      <c r="AZ39" s="60"/>
      <c r="BA39" s="57"/>
      <c r="BB39" s="60"/>
      <c r="BC39" s="56"/>
      <c r="BD39" s="60"/>
      <c r="BE39" s="56"/>
      <c r="BF39" s="56"/>
      <c r="BG39" s="56"/>
      <c r="BH39" s="56"/>
      <c r="BI39" s="56"/>
      <c r="BJ39" s="56"/>
      <c r="BK39" s="56"/>
      <c r="BL39" s="60"/>
      <c r="BM39" s="56"/>
      <c r="BN39" s="60"/>
      <c r="BO39" s="57"/>
      <c r="BP39" s="60"/>
      <c r="BQ39" s="57"/>
      <c r="BR39" s="60"/>
      <c r="BS39" s="57"/>
      <c r="BT39" s="57"/>
      <c r="BU39" s="57"/>
      <c r="BV39" s="57"/>
      <c r="BW39" s="57"/>
      <c r="BX39" s="57"/>
      <c r="BY39" s="57"/>
      <c r="BZ39" s="60"/>
      <c r="CA39" s="57"/>
    </row>
    <row r="40" spans="1:79" x14ac:dyDescent="0.15">
      <c r="A40" s="55">
        <v>38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6"/>
      <c r="AC40" s="60"/>
      <c r="AD40" s="56"/>
      <c r="AE40" s="60"/>
      <c r="AF40" s="56"/>
      <c r="AG40" s="56"/>
      <c r="AH40" s="56"/>
      <c r="AI40" s="56"/>
      <c r="AJ40" s="56"/>
      <c r="AK40" s="56"/>
      <c r="AL40" s="56"/>
      <c r="AM40" s="60"/>
      <c r="AN40" s="56"/>
      <c r="AO40" s="57"/>
      <c r="AP40" s="60"/>
      <c r="AQ40" s="57"/>
      <c r="AR40" s="60"/>
      <c r="AS40" s="57"/>
      <c r="AT40" s="57"/>
      <c r="AU40" s="57"/>
      <c r="AV40" s="57"/>
      <c r="AW40" s="57"/>
      <c r="AX40" s="57"/>
      <c r="AY40" s="57"/>
      <c r="AZ40" s="60"/>
      <c r="BA40" s="57"/>
      <c r="BB40" s="60"/>
      <c r="BC40" s="56"/>
      <c r="BD40" s="60"/>
      <c r="BE40" s="56"/>
      <c r="BF40" s="56"/>
      <c r="BG40" s="56"/>
      <c r="BH40" s="56"/>
      <c r="BI40" s="56"/>
      <c r="BJ40" s="56"/>
      <c r="BK40" s="56"/>
      <c r="BL40" s="60"/>
      <c r="BM40" s="56"/>
      <c r="BN40" s="60"/>
      <c r="BO40" s="57"/>
      <c r="BP40" s="60"/>
      <c r="BQ40" s="57"/>
      <c r="BR40" s="60"/>
      <c r="BS40" s="57"/>
      <c r="BT40" s="57"/>
      <c r="BU40" s="57"/>
      <c r="BV40" s="57"/>
      <c r="BW40" s="57"/>
      <c r="BX40" s="57"/>
      <c r="BY40" s="57"/>
      <c r="BZ40" s="60"/>
      <c r="CA40" s="57"/>
    </row>
    <row r="41" spans="1:79" x14ac:dyDescent="0.15">
      <c r="A41" s="55">
        <v>39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6"/>
      <c r="AC41" s="60"/>
      <c r="AD41" s="56"/>
      <c r="AE41" s="60"/>
      <c r="AF41" s="56"/>
      <c r="AG41" s="56"/>
      <c r="AH41" s="56"/>
      <c r="AI41" s="56"/>
      <c r="AJ41" s="56"/>
      <c r="AK41" s="56"/>
      <c r="AL41" s="56"/>
      <c r="AM41" s="60"/>
      <c r="AN41" s="56"/>
      <c r="AO41" s="57"/>
      <c r="AP41" s="60"/>
      <c r="AQ41" s="57"/>
      <c r="AR41" s="60"/>
      <c r="AS41" s="57"/>
      <c r="AT41" s="57"/>
      <c r="AU41" s="57"/>
      <c r="AV41" s="57"/>
      <c r="AW41" s="57"/>
      <c r="AX41" s="57"/>
      <c r="AY41" s="57"/>
      <c r="AZ41" s="60"/>
      <c r="BA41" s="57"/>
      <c r="BB41" s="60"/>
      <c r="BC41" s="56"/>
      <c r="BD41" s="60"/>
      <c r="BE41" s="56"/>
      <c r="BF41" s="56"/>
      <c r="BG41" s="56"/>
      <c r="BH41" s="56"/>
      <c r="BI41" s="56"/>
      <c r="BJ41" s="56"/>
      <c r="BK41" s="56"/>
      <c r="BL41" s="60"/>
      <c r="BM41" s="56"/>
      <c r="BN41" s="60"/>
      <c r="BO41" s="57"/>
      <c r="BP41" s="60"/>
      <c r="BQ41" s="57"/>
      <c r="BR41" s="60"/>
      <c r="BS41" s="57"/>
      <c r="BT41" s="57"/>
      <c r="BU41" s="57"/>
      <c r="BV41" s="57"/>
      <c r="BW41" s="57"/>
      <c r="BX41" s="57"/>
      <c r="BY41" s="57"/>
      <c r="BZ41" s="60"/>
      <c r="CA41" s="57"/>
    </row>
    <row r="42" spans="1:79" x14ac:dyDescent="0.15">
      <c r="A42" s="55">
        <v>40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6"/>
      <c r="AC42" s="60"/>
      <c r="AD42" s="56"/>
      <c r="AE42" s="60"/>
      <c r="AF42" s="56"/>
      <c r="AG42" s="56"/>
      <c r="AH42" s="56"/>
      <c r="AI42" s="56"/>
      <c r="AJ42" s="56"/>
      <c r="AK42" s="56"/>
      <c r="AL42" s="56"/>
      <c r="AM42" s="60"/>
      <c r="AN42" s="56"/>
      <c r="AO42" s="57"/>
      <c r="AP42" s="60"/>
      <c r="AQ42" s="57"/>
      <c r="AR42" s="60"/>
      <c r="AS42" s="57"/>
      <c r="AT42" s="57"/>
      <c r="AU42" s="57"/>
      <c r="AV42" s="57"/>
      <c r="AW42" s="57"/>
      <c r="AX42" s="57"/>
      <c r="AY42" s="57"/>
      <c r="AZ42" s="60"/>
      <c r="BA42" s="57"/>
      <c r="BB42" s="60"/>
      <c r="BC42" s="56"/>
      <c r="BD42" s="60"/>
      <c r="BE42" s="56"/>
      <c r="BF42" s="56"/>
      <c r="BG42" s="56"/>
      <c r="BH42" s="56"/>
      <c r="BI42" s="56"/>
      <c r="BJ42" s="56"/>
      <c r="BK42" s="56"/>
      <c r="BL42" s="60"/>
      <c r="BM42" s="56"/>
      <c r="BN42" s="60"/>
      <c r="BO42" s="57"/>
      <c r="BP42" s="60"/>
      <c r="BQ42" s="57"/>
      <c r="BR42" s="60"/>
      <c r="BS42" s="57"/>
      <c r="BT42" s="57"/>
      <c r="BU42" s="57"/>
      <c r="BV42" s="57"/>
      <c r="BW42" s="57"/>
      <c r="BX42" s="57"/>
      <c r="BY42" s="57"/>
      <c r="BZ42" s="60"/>
      <c r="CA42" s="57"/>
    </row>
    <row r="43" spans="1:79" x14ac:dyDescent="0.15">
      <c r="A43" s="55">
        <v>41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6"/>
      <c r="AC43" s="60"/>
      <c r="AD43" s="56"/>
      <c r="AE43" s="60"/>
      <c r="AF43" s="56"/>
      <c r="AG43" s="56"/>
      <c r="AH43" s="56"/>
      <c r="AI43" s="56"/>
      <c r="AJ43" s="56"/>
      <c r="AK43" s="56"/>
      <c r="AL43" s="56"/>
      <c r="AM43" s="60"/>
      <c r="AN43" s="56"/>
      <c r="AO43" s="57"/>
      <c r="AP43" s="60"/>
      <c r="AQ43" s="57"/>
      <c r="AR43" s="60"/>
      <c r="AS43" s="57"/>
      <c r="AT43" s="57"/>
      <c r="AU43" s="57"/>
      <c r="AV43" s="57"/>
      <c r="AW43" s="57"/>
      <c r="AX43" s="57"/>
      <c r="AY43" s="57"/>
      <c r="AZ43" s="60"/>
      <c r="BA43" s="57"/>
      <c r="BB43" s="60"/>
      <c r="BC43" s="56"/>
      <c r="BD43" s="60"/>
      <c r="BE43" s="56"/>
      <c r="BF43" s="56"/>
      <c r="BG43" s="56"/>
      <c r="BH43" s="56"/>
      <c r="BI43" s="56"/>
      <c r="BJ43" s="56"/>
      <c r="BK43" s="56"/>
      <c r="BL43" s="60"/>
      <c r="BM43" s="56"/>
      <c r="BN43" s="60"/>
      <c r="BO43" s="57"/>
      <c r="BP43" s="60"/>
      <c r="BQ43" s="57"/>
      <c r="BR43" s="60"/>
      <c r="BS43" s="57"/>
      <c r="BT43" s="57"/>
      <c r="BU43" s="57"/>
      <c r="BV43" s="57"/>
      <c r="BW43" s="57"/>
      <c r="BX43" s="57"/>
      <c r="BY43" s="57"/>
      <c r="BZ43" s="60"/>
      <c r="CA43" s="57"/>
    </row>
    <row r="44" spans="1:79" x14ac:dyDescent="0.15">
      <c r="A44" s="55">
        <v>42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6"/>
      <c r="AC44" s="60"/>
      <c r="AD44" s="56"/>
      <c r="AE44" s="60"/>
      <c r="AF44" s="56"/>
      <c r="AG44" s="56"/>
      <c r="AH44" s="56"/>
      <c r="AI44" s="56"/>
      <c r="AJ44" s="56"/>
      <c r="AK44" s="56"/>
      <c r="AL44" s="56"/>
      <c r="AM44" s="60"/>
      <c r="AN44" s="56"/>
      <c r="AO44" s="57"/>
      <c r="AP44" s="60"/>
      <c r="AQ44" s="57"/>
      <c r="AR44" s="60"/>
      <c r="AS44" s="57"/>
      <c r="AT44" s="57"/>
      <c r="AU44" s="57"/>
      <c r="AV44" s="57"/>
      <c r="AW44" s="57"/>
      <c r="AX44" s="57"/>
      <c r="AY44" s="57"/>
      <c r="AZ44" s="60"/>
      <c r="BA44" s="57"/>
      <c r="BB44" s="60"/>
      <c r="BC44" s="56"/>
      <c r="BD44" s="60"/>
      <c r="BE44" s="56"/>
      <c r="BF44" s="56"/>
      <c r="BG44" s="56"/>
      <c r="BH44" s="56"/>
      <c r="BI44" s="56"/>
      <c r="BJ44" s="56"/>
      <c r="BK44" s="56"/>
      <c r="BL44" s="60"/>
      <c r="BM44" s="56"/>
      <c r="BN44" s="60"/>
      <c r="BO44" s="57"/>
      <c r="BP44" s="60"/>
      <c r="BQ44" s="57"/>
      <c r="BR44" s="60"/>
      <c r="BS44" s="57"/>
      <c r="BT44" s="57"/>
      <c r="BU44" s="57"/>
      <c r="BV44" s="57"/>
      <c r="BW44" s="57"/>
      <c r="BX44" s="57"/>
      <c r="BY44" s="57"/>
      <c r="BZ44" s="60"/>
      <c r="CA44" s="57"/>
    </row>
    <row r="45" spans="1:79" x14ac:dyDescent="0.15">
      <c r="A45" s="55">
        <v>43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6"/>
      <c r="AC45" s="60"/>
      <c r="AD45" s="56"/>
      <c r="AE45" s="60"/>
      <c r="AF45" s="56"/>
      <c r="AG45" s="56"/>
      <c r="AH45" s="56"/>
      <c r="AI45" s="56"/>
      <c r="AJ45" s="56"/>
      <c r="AK45" s="56"/>
      <c r="AL45" s="56"/>
      <c r="AM45" s="60"/>
      <c r="AN45" s="56"/>
      <c r="AO45" s="57"/>
      <c r="AP45" s="60"/>
      <c r="AQ45" s="57"/>
      <c r="AR45" s="60"/>
      <c r="AS45" s="57"/>
      <c r="AT45" s="57"/>
      <c r="AU45" s="57"/>
      <c r="AV45" s="57"/>
      <c r="AW45" s="57"/>
      <c r="AX45" s="57"/>
      <c r="AY45" s="57"/>
      <c r="AZ45" s="60"/>
      <c r="BA45" s="57"/>
      <c r="BB45" s="60"/>
      <c r="BC45" s="56"/>
      <c r="BD45" s="60"/>
      <c r="BE45" s="56"/>
      <c r="BF45" s="56"/>
      <c r="BG45" s="56"/>
      <c r="BH45" s="56"/>
      <c r="BI45" s="56"/>
      <c r="BJ45" s="56"/>
      <c r="BK45" s="56"/>
      <c r="BL45" s="60"/>
      <c r="BM45" s="56"/>
      <c r="BN45" s="60"/>
      <c r="BO45" s="57"/>
      <c r="BP45" s="60"/>
      <c r="BQ45" s="57"/>
      <c r="BR45" s="60"/>
      <c r="BS45" s="57"/>
      <c r="BT45" s="57"/>
      <c r="BU45" s="57"/>
      <c r="BV45" s="57"/>
      <c r="BW45" s="57"/>
      <c r="BX45" s="57"/>
      <c r="BY45" s="57"/>
      <c r="BZ45" s="60"/>
      <c r="CA45" s="57"/>
    </row>
    <row r="46" spans="1:79" x14ac:dyDescent="0.15">
      <c r="A46" s="55">
        <v>44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6"/>
      <c r="AC46" s="60"/>
      <c r="AD46" s="56"/>
      <c r="AE46" s="60"/>
      <c r="AF46" s="56"/>
      <c r="AG46" s="56"/>
      <c r="AH46" s="56"/>
      <c r="AI46" s="56"/>
      <c r="AJ46" s="56"/>
      <c r="AK46" s="56"/>
      <c r="AL46" s="56"/>
      <c r="AM46" s="60"/>
      <c r="AN46" s="56"/>
      <c r="AO46" s="57"/>
      <c r="AP46" s="60"/>
      <c r="AQ46" s="57"/>
      <c r="AR46" s="60"/>
      <c r="AS46" s="57"/>
      <c r="AT46" s="57"/>
      <c r="AU46" s="57"/>
      <c r="AV46" s="57"/>
      <c r="AW46" s="57"/>
      <c r="AX46" s="57"/>
      <c r="AY46" s="57"/>
      <c r="AZ46" s="60"/>
      <c r="BA46" s="57"/>
      <c r="BB46" s="60"/>
      <c r="BC46" s="56"/>
      <c r="BD46" s="60"/>
      <c r="BE46" s="56"/>
      <c r="BF46" s="56"/>
      <c r="BG46" s="56"/>
      <c r="BH46" s="56"/>
      <c r="BI46" s="56"/>
      <c r="BJ46" s="56"/>
      <c r="BK46" s="56"/>
      <c r="BL46" s="60"/>
      <c r="BM46" s="56"/>
      <c r="BN46" s="60"/>
      <c r="BO46" s="57"/>
      <c r="BP46" s="60"/>
      <c r="BQ46" s="57"/>
      <c r="BR46" s="60"/>
      <c r="BS46" s="57"/>
      <c r="BT46" s="57"/>
      <c r="BU46" s="57"/>
      <c r="BV46" s="57"/>
      <c r="BW46" s="57"/>
      <c r="BX46" s="57"/>
      <c r="BY46" s="57"/>
      <c r="BZ46" s="60"/>
      <c r="CA46" s="57"/>
    </row>
    <row r="47" spans="1:79" x14ac:dyDescent="0.15">
      <c r="A47" s="55">
        <v>45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6"/>
      <c r="AC47" s="60"/>
      <c r="AD47" s="56"/>
      <c r="AE47" s="60"/>
      <c r="AF47" s="56"/>
      <c r="AG47" s="56"/>
      <c r="AH47" s="56"/>
      <c r="AI47" s="56"/>
      <c r="AJ47" s="56"/>
      <c r="AK47" s="56"/>
      <c r="AL47" s="56"/>
      <c r="AM47" s="60"/>
      <c r="AN47" s="56"/>
      <c r="AO47" s="57"/>
      <c r="AP47" s="60"/>
      <c r="AQ47" s="57"/>
      <c r="AR47" s="60"/>
      <c r="AS47" s="57"/>
      <c r="AT47" s="57"/>
      <c r="AU47" s="57"/>
      <c r="AV47" s="57"/>
      <c r="AW47" s="57"/>
      <c r="AX47" s="57"/>
      <c r="AY47" s="57"/>
      <c r="AZ47" s="60"/>
      <c r="BA47" s="57"/>
      <c r="BB47" s="60"/>
      <c r="BC47" s="56"/>
      <c r="BD47" s="60"/>
      <c r="BE47" s="56"/>
      <c r="BF47" s="56"/>
      <c r="BG47" s="56"/>
      <c r="BH47" s="56"/>
      <c r="BI47" s="56"/>
      <c r="BJ47" s="56"/>
      <c r="BK47" s="56"/>
      <c r="BL47" s="60"/>
      <c r="BM47" s="56"/>
      <c r="BN47" s="60"/>
      <c r="BO47" s="57"/>
      <c r="BP47" s="60"/>
      <c r="BQ47" s="57"/>
      <c r="BR47" s="60"/>
      <c r="BS47" s="57"/>
      <c r="BT47" s="57"/>
      <c r="BU47" s="57"/>
      <c r="BV47" s="57"/>
      <c r="BW47" s="57"/>
      <c r="BX47" s="57"/>
      <c r="BY47" s="57"/>
      <c r="BZ47" s="60"/>
      <c r="CA47" s="57"/>
    </row>
    <row r="48" spans="1:79" x14ac:dyDescent="0.15">
      <c r="A48" s="55">
        <v>46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6"/>
      <c r="AC48" s="60"/>
      <c r="AD48" s="56"/>
      <c r="AE48" s="60"/>
      <c r="AF48" s="56"/>
      <c r="AG48" s="56"/>
      <c r="AH48" s="56"/>
      <c r="AI48" s="56"/>
      <c r="AJ48" s="56"/>
      <c r="AK48" s="56"/>
      <c r="AL48" s="56"/>
      <c r="AM48" s="60"/>
      <c r="AN48" s="56"/>
      <c r="AO48" s="57"/>
      <c r="AP48" s="60"/>
      <c r="AQ48" s="57"/>
      <c r="AR48" s="60"/>
      <c r="AS48" s="57"/>
      <c r="AT48" s="57"/>
      <c r="AU48" s="57"/>
      <c r="AV48" s="57"/>
      <c r="AW48" s="57"/>
      <c r="AX48" s="57"/>
      <c r="AY48" s="57"/>
      <c r="AZ48" s="60"/>
      <c r="BA48" s="57"/>
      <c r="BB48" s="60"/>
      <c r="BC48" s="56"/>
      <c r="BD48" s="60"/>
      <c r="BE48" s="56"/>
      <c r="BF48" s="56"/>
      <c r="BG48" s="56"/>
      <c r="BH48" s="56"/>
      <c r="BI48" s="56"/>
      <c r="BJ48" s="56"/>
      <c r="BK48" s="56"/>
      <c r="BL48" s="60"/>
      <c r="BM48" s="56"/>
      <c r="BN48" s="60"/>
      <c r="BO48" s="57"/>
      <c r="BP48" s="60"/>
      <c r="BQ48" s="57"/>
      <c r="BR48" s="60"/>
      <c r="BS48" s="57"/>
      <c r="BT48" s="57"/>
      <c r="BU48" s="57"/>
      <c r="BV48" s="57"/>
      <c r="BW48" s="57"/>
      <c r="BX48" s="57"/>
      <c r="BY48" s="57"/>
      <c r="BZ48" s="60"/>
      <c r="CA48" s="57"/>
    </row>
    <row r="49" spans="1:79" x14ac:dyDescent="0.15">
      <c r="A49" s="55">
        <v>47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6"/>
      <c r="AC49" s="60"/>
      <c r="AD49" s="56"/>
      <c r="AE49" s="60"/>
      <c r="AF49" s="56"/>
      <c r="AG49" s="56"/>
      <c r="AH49" s="56"/>
      <c r="AI49" s="56"/>
      <c r="AJ49" s="56"/>
      <c r="AK49" s="56"/>
      <c r="AL49" s="56"/>
      <c r="AM49" s="60"/>
      <c r="AN49" s="56"/>
      <c r="AO49" s="57"/>
      <c r="AP49" s="60"/>
      <c r="AQ49" s="57"/>
      <c r="AR49" s="60"/>
      <c r="AS49" s="57"/>
      <c r="AT49" s="57"/>
      <c r="AU49" s="57"/>
      <c r="AV49" s="57"/>
      <c r="AW49" s="57"/>
      <c r="AX49" s="57"/>
      <c r="AY49" s="57"/>
      <c r="AZ49" s="60"/>
      <c r="BA49" s="57"/>
      <c r="BB49" s="60"/>
      <c r="BC49" s="56"/>
      <c r="BD49" s="60"/>
      <c r="BE49" s="56"/>
      <c r="BF49" s="56"/>
      <c r="BG49" s="56"/>
      <c r="BH49" s="56"/>
      <c r="BI49" s="56"/>
      <c r="BJ49" s="56"/>
      <c r="BK49" s="56"/>
      <c r="BL49" s="60"/>
      <c r="BM49" s="56"/>
      <c r="BN49" s="60"/>
      <c r="BO49" s="57"/>
      <c r="BP49" s="60"/>
      <c r="BQ49" s="57"/>
      <c r="BR49" s="60"/>
      <c r="BS49" s="57"/>
      <c r="BT49" s="57"/>
      <c r="BU49" s="57"/>
      <c r="BV49" s="57"/>
      <c r="BW49" s="57"/>
      <c r="BX49" s="57"/>
      <c r="BY49" s="57"/>
      <c r="BZ49" s="60"/>
      <c r="CA49" s="57"/>
    </row>
    <row r="50" spans="1:79" x14ac:dyDescent="0.15">
      <c r="A50" s="55">
        <v>48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6"/>
      <c r="AC50" s="60"/>
      <c r="AD50" s="56"/>
      <c r="AE50" s="60"/>
      <c r="AF50" s="56"/>
      <c r="AG50" s="56"/>
      <c r="AH50" s="56"/>
      <c r="AI50" s="56"/>
      <c r="AJ50" s="56"/>
      <c r="AK50" s="56"/>
      <c r="AL50" s="56"/>
      <c r="AM50" s="60"/>
      <c r="AN50" s="56"/>
      <c r="AO50" s="57"/>
      <c r="AP50" s="60"/>
      <c r="AQ50" s="57"/>
      <c r="AR50" s="60"/>
      <c r="AS50" s="57"/>
      <c r="AT50" s="57"/>
      <c r="AU50" s="57"/>
      <c r="AV50" s="57"/>
      <c r="AW50" s="57"/>
      <c r="AX50" s="57"/>
      <c r="AY50" s="57"/>
      <c r="AZ50" s="60"/>
      <c r="BA50" s="57"/>
      <c r="BB50" s="60"/>
      <c r="BC50" s="56"/>
      <c r="BD50" s="60"/>
      <c r="BE50" s="56"/>
      <c r="BF50" s="56"/>
      <c r="BG50" s="56"/>
      <c r="BH50" s="56"/>
      <c r="BI50" s="56"/>
      <c r="BJ50" s="56"/>
      <c r="BK50" s="56"/>
      <c r="BL50" s="60"/>
      <c r="BM50" s="56"/>
      <c r="BN50" s="60"/>
      <c r="BO50" s="57"/>
      <c r="BP50" s="60"/>
      <c r="BQ50" s="57"/>
      <c r="BR50" s="60"/>
      <c r="BS50" s="57"/>
      <c r="BT50" s="57"/>
      <c r="BU50" s="57"/>
      <c r="BV50" s="57"/>
      <c r="BW50" s="57"/>
      <c r="BX50" s="57"/>
      <c r="BY50" s="57"/>
      <c r="BZ50" s="60"/>
      <c r="CA50" s="57"/>
    </row>
    <row r="51" spans="1:79" x14ac:dyDescent="0.15">
      <c r="A51" s="55">
        <v>49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6"/>
      <c r="AC51" s="60"/>
      <c r="AD51" s="56"/>
      <c r="AE51" s="60"/>
      <c r="AF51" s="56"/>
      <c r="AG51" s="56"/>
      <c r="AH51" s="56"/>
      <c r="AI51" s="56"/>
      <c r="AJ51" s="56"/>
      <c r="AK51" s="56"/>
      <c r="AL51" s="56"/>
      <c r="AM51" s="60"/>
      <c r="AN51" s="56"/>
      <c r="AO51" s="57"/>
      <c r="AP51" s="60"/>
      <c r="AQ51" s="57"/>
      <c r="AR51" s="60"/>
      <c r="AS51" s="57"/>
      <c r="AT51" s="57"/>
      <c r="AU51" s="57"/>
      <c r="AV51" s="57"/>
      <c r="AW51" s="57"/>
      <c r="AX51" s="57"/>
      <c r="AY51" s="57"/>
      <c r="AZ51" s="60"/>
      <c r="BA51" s="57"/>
      <c r="BB51" s="60"/>
      <c r="BC51" s="56"/>
      <c r="BD51" s="60"/>
      <c r="BE51" s="56"/>
      <c r="BF51" s="56"/>
      <c r="BG51" s="56"/>
      <c r="BH51" s="56"/>
      <c r="BI51" s="56"/>
      <c r="BJ51" s="56"/>
      <c r="BK51" s="56"/>
      <c r="BL51" s="60"/>
      <c r="BM51" s="56"/>
      <c r="BN51" s="60"/>
      <c r="BO51" s="57"/>
      <c r="BP51" s="60"/>
      <c r="BQ51" s="57"/>
      <c r="BR51" s="60"/>
      <c r="BS51" s="57"/>
      <c r="BT51" s="57"/>
      <c r="BU51" s="57"/>
      <c r="BV51" s="57"/>
      <c r="BW51" s="57"/>
      <c r="BX51" s="57"/>
      <c r="BY51" s="57"/>
      <c r="BZ51" s="60"/>
      <c r="CA51" s="57"/>
    </row>
    <row r="52" spans="1:79" x14ac:dyDescent="0.15">
      <c r="A52" s="55">
        <v>50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6"/>
      <c r="AC52" s="60"/>
      <c r="AD52" s="56"/>
      <c r="AE52" s="60"/>
      <c r="AF52" s="56"/>
      <c r="AG52" s="56"/>
      <c r="AH52" s="56"/>
      <c r="AI52" s="56"/>
      <c r="AJ52" s="56"/>
      <c r="AK52" s="56"/>
      <c r="AL52" s="56"/>
      <c r="AM52" s="60"/>
      <c r="AN52" s="56"/>
      <c r="AO52" s="57"/>
      <c r="AP52" s="60"/>
      <c r="AQ52" s="57"/>
      <c r="AR52" s="60"/>
      <c r="AS52" s="57"/>
      <c r="AT52" s="57"/>
      <c r="AU52" s="57"/>
      <c r="AV52" s="57"/>
      <c r="AW52" s="57"/>
      <c r="AX52" s="57"/>
      <c r="AY52" s="57"/>
      <c r="AZ52" s="60"/>
      <c r="BA52" s="57"/>
      <c r="BB52" s="60"/>
      <c r="BC52" s="56"/>
      <c r="BD52" s="60"/>
      <c r="BE52" s="56"/>
      <c r="BF52" s="56"/>
      <c r="BG52" s="56"/>
      <c r="BH52" s="56"/>
      <c r="BI52" s="56"/>
      <c r="BJ52" s="56"/>
      <c r="BK52" s="56"/>
      <c r="BL52" s="60"/>
      <c r="BM52" s="56"/>
      <c r="BN52" s="60"/>
      <c r="BO52" s="57"/>
      <c r="BP52" s="60"/>
      <c r="BQ52" s="57"/>
      <c r="BR52" s="60"/>
      <c r="BS52" s="57"/>
      <c r="BT52" s="57"/>
      <c r="BU52" s="57"/>
      <c r="BV52" s="57"/>
      <c r="BW52" s="57"/>
      <c r="BX52" s="57"/>
      <c r="BY52" s="57"/>
      <c r="BZ52" s="60"/>
      <c r="CA52" s="57"/>
    </row>
    <row r="53" spans="1:79" x14ac:dyDescent="0.15">
      <c r="A53" s="55">
        <v>51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6"/>
      <c r="AC53" s="60"/>
      <c r="AD53" s="56"/>
      <c r="AE53" s="60"/>
      <c r="AF53" s="56"/>
      <c r="AG53" s="56"/>
      <c r="AH53" s="56"/>
      <c r="AI53" s="56"/>
      <c r="AJ53" s="56"/>
      <c r="AK53" s="56"/>
      <c r="AL53" s="56"/>
      <c r="AM53" s="60"/>
      <c r="AN53" s="56"/>
      <c r="AO53" s="57"/>
      <c r="AP53" s="60"/>
      <c r="AQ53" s="57"/>
      <c r="AR53" s="60"/>
      <c r="AS53" s="57"/>
      <c r="AT53" s="57"/>
      <c r="AU53" s="57"/>
      <c r="AV53" s="57"/>
      <c r="AW53" s="57"/>
      <c r="AX53" s="57"/>
      <c r="AY53" s="57"/>
      <c r="AZ53" s="60"/>
      <c r="BA53" s="57"/>
      <c r="BB53" s="60"/>
      <c r="BC53" s="56"/>
      <c r="BD53" s="60"/>
      <c r="BE53" s="56"/>
      <c r="BF53" s="56"/>
      <c r="BG53" s="56"/>
      <c r="BH53" s="56"/>
      <c r="BI53" s="56"/>
      <c r="BJ53" s="56"/>
      <c r="BK53" s="56"/>
      <c r="BL53" s="60"/>
      <c r="BM53" s="56"/>
      <c r="BN53" s="60"/>
      <c r="BO53" s="57"/>
      <c r="BP53" s="60"/>
      <c r="BQ53" s="57"/>
      <c r="BR53" s="60"/>
      <c r="BS53" s="57"/>
      <c r="BT53" s="57"/>
      <c r="BU53" s="57"/>
      <c r="BV53" s="57"/>
      <c r="BW53" s="57"/>
      <c r="BX53" s="57"/>
      <c r="BY53" s="57"/>
      <c r="BZ53" s="60"/>
      <c r="CA53" s="57"/>
    </row>
    <row r="54" spans="1:79" x14ac:dyDescent="0.15">
      <c r="A54" s="55">
        <v>52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6"/>
      <c r="AC54" s="60"/>
      <c r="AD54" s="56"/>
      <c r="AE54" s="60"/>
      <c r="AF54" s="56"/>
      <c r="AG54" s="56"/>
      <c r="AH54" s="56"/>
      <c r="AI54" s="56"/>
      <c r="AJ54" s="56"/>
      <c r="AK54" s="56"/>
      <c r="AL54" s="56"/>
      <c r="AM54" s="60"/>
      <c r="AN54" s="56"/>
      <c r="AO54" s="57"/>
      <c r="AP54" s="60"/>
      <c r="AQ54" s="57"/>
      <c r="AR54" s="60"/>
      <c r="AS54" s="57"/>
      <c r="AT54" s="57"/>
      <c r="AU54" s="57"/>
      <c r="AV54" s="57"/>
      <c r="AW54" s="57"/>
      <c r="AX54" s="57"/>
      <c r="AY54" s="57"/>
      <c r="AZ54" s="60"/>
      <c r="BA54" s="57"/>
      <c r="BB54" s="60"/>
      <c r="BC54" s="56"/>
      <c r="BD54" s="60"/>
      <c r="BE54" s="56"/>
      <c r="BF54" s="56"/>
      <c r="BG54" s="56"/>
      <c r="BH54" s="56"/>
      <c r="BI54" s="56"/>
      <c r="BJ54" s="56"/>
      <c r="BK54" s="56"/>
      <c r="BL54" s="60"/>
      <c r="BM54" s="56"/>
      <c r="BN54" s="60"/>
      <c r="BO54" s="57"/>
      <c r="BP54" s="60"/>
      <c r="BQ54" s="57"/>
      <c r="BR54" s="60"/>
      <c r="BS54" s="57"/>
      <c r="BT54" s="57"/>
      <c r="BU54" s="57"/>
      <c r="BV54" s="57"/>
      <c r="BW54" s="57"/>
      <c r="BX54" s="57"/>
      <c r="BY54" s="57"/>
      <c r="BZ54" s="60"/>
      <c r="CA54" s="57"/>
    </row>
    <row r="55" spans="1:79" x14ac:dyDescent="0.15">
      <c r="A55" s="55">
        <v>53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6"/>
      <c r="AC55" s="60"/>
      <c r="AD55" s="56"/>
      <c r="AE55" s="60"/>
      <c r="AF55" s="56"/>
      <c r="AG55" s="56"/>
      <c r="AH55" s="56"/>
      <c r="AI55" s="56"/>
      <c r="AJ55" s="56"/>
      <c r="AK55" s="56"/>
      <c r="AL55" s="56"/>
      <c r="AM55" s="60"/>
      <c r="AN55" s="56"/>
      <c r="AO55" s="57"/>
      <c r="AP55" s="60"/>
      <c r="AQ55" s="57"/>
      <c r="AR55" s="60"/>
      <c r="AS55" s="57"/>
      <c r="AT55" s="57"/>
      <c r="AU55" s="57"/>
      <c r="AV55" s="57"/>
      <c r="AW55" s="57"/>
      <c r="AX55" s="57"/>
      <c r="AY55" s="57"/>
      <c r="AZ55" s="60"/>
      <c r="BA55" s="57"/>
      <c r="BB55" s="60"/>
      <c r="BC55" s="56"/>
      <c r="BD55" s="60"/>
      <c r="BE55" s="56"/>
      <c r="BF55" s="56"/>
      <c r="BG55" s="56"/>
      <c r="BH55" s="56"/>
      <c r="BI55" s="56"/>
      <c r="BJ55" s="56"/>
      <c r="BK55" s="56"/>
      <c r="BL55" s="60"/>
      <c r="BM55" s="56"/>
      <c r="BN55" s="60"/>
      <c r="BO55" s="57"/>
      <c r="BP55" s="60"/>
      <c r="BQ55" s="57"/>
      <c r="BR55" s="60"/>
      <c r="BS55" s="57"/>
      <c r="BT55" s="57"/>
      <c r="BU55" s="57"/>
      <c r="BV55" s="57"/>
      <c r="BW55" s="57"/>
      <c r="BX55" s="57"/>
      <c r="BY55" s="57"/>
      <c r="BZ55" s="60"/>
      <c r="CA55" s="57"/>
    </row>
    <row r="56" spans="1:79" x14ac:dyDescent="0.15">
      <c r="A56" s="55">
        <v>54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6"/>
      <c r="AC56" s="60"/>
      <c r="AD56" s="56"/>
      <c r="AE56" s="60"/>
      <c r="AF56" s="56"/>
      <c r="AG56" s="56"/>
      <c r="AH56" s="56"/>
      <c r="AI56" s="56"/>
      <c r="AJ56" s="56"/>
      <c r="AK56" s="56"/>
      <c r="AL56" s="56"/>
      <c r="AM56" s="60"/>
      <c r="AN56" s="56"/>
      <c r="AO56" s="57"/>
      <c r="AP56" s="60"/>
      <c r="AQ56" s="57"/>
      <c r="AR56" s="60"/>
      <c r="AS56" s="57"/>
      <c r="AT56" s="57"/>
      <c r="AU56" s="57"/>
      <c r="AV56" s="57"/>
      <c r="AW56" s="57"/>
      <c r="AX56" s="57"/>
      <c r="AY56" s="57"/>
      <c r="AZ56" s="60"/>
      <c r="BA56" s="57"/>
      <c r="BB56" s="60"/>
      <c r="BC56" s="56"/>
      <c r="BD56" s="60"/>
      <c r="BE56" s="56"/>
      <c r="BF56" s="56"/>
      <c r="BG56" s="56"/>
      <c r="BH56" s="56"/>
      <c r="BI56" s="56"/>
      <c r="BJ56" s="56"/>
      <c r="BK56" s="56"/>
      <c r="BL56" s="60"/>
      <c r="BM56" s="56"/>
      <c r="BN56" s="60"/>
      <c r="BO56" s="57"/>
      <c r="BP56" s="60"/>
      <c r="BQ56" s="57"/>
      <c r="BR56" s="60"/>
      <c r="BS56" s="57"/>
      <c r="BT56" s="57"/>
      <c r="BU56" s="57"/>
      <c r="BV56" s="57"/>
      <c r="BW56" s="57"/>
      <c r="BX56" s="57"/>
      <c r="BY56" s="57"/>
      <c r="BZ56" s="60"/>
      <c r="CA56" s="57"/>
    </row>
    <row r="57" spans="1:79" x14ac:dyDescent="0.15">
      <c r="A57" s="55">
        <v>55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6"/>
      <c r="AC57" s="60"/>
      <c r="AD57" s="56"/>
      <c r="AE57" s="60"/>
      <c r="AF57" s="56"/>
      <c r="AG57" s="56"/>
      <c r="AH57" s="56"/>
      <c r="AI57" s="56"/>
      <c r="AJ57" s="56"/>
      <c r="AK57" s="56"/>
      <c r="AL57" s="56"/>
      <c r="AM57" s="60"/>
      <c r="AN57" s="56"/>
      <c r="AO57" s="57"/>
      <c r="AP57" s="60"/>
      <c r="AQ57" s="57"/>
      <c r="AR57" s="60"/>
      <c r="AS57" s="57"/>
      <c r="AT57" s="57"/>
      <c r="AU57" s="57"/>
      <c r="AV57" s="57"/>
      <c r="AW57" s="57"/>
      <c r="AX57" s="57"/>
      <c r="AY57" s="57"/>
      <c r="AZ57" s="60"/>
      <c r="BA57" s="57"/>
      <c r="BB57" s="60"/>
      <c r="BC57" s="56"/>
      <c r="BD57" s="60"/>
      <c r="BE57" s="56"/>
      <c r="BF57" s="56"/>
      <c r="BG57" s="56"/>
      <c r="BH57" s="56"/>
      <c r="BI57" s="56"/>
      <c r="BJ57" s="56"/>
      <c r="BK57" s="56"/>
      <c r="BL57" s="60"/>
      <c r="BM57" s="56"/>
      <c r="BN57" s="60"/>
      <c r="BO57" s="57"/>
      <c r="BP57" s="60"/>
      <c r="BQ57" s="57"/>
      <c r="BR57" s="60"/>
      <c r="BS57" s="57"/>
      <c r="BT57" s="57"/>
      <c r="BU57" s="57"/>
      <c r="BV57" s="57"/>
      <c r="BW57" s="57"/>
      <c r="BX57" s="57"/>
      <c r="BY57" s="57"/>
      <c r="BZ57" s="60"/>
      <c r="CA57" s="57"/>
    </row>
    <row r="58" spans="1:79" x14ac:dyDescent="0.15">
      <c r="A58" s="55">
        <v>56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6"/>
      <c r="AC58" s="60"/>
      <c r="AD58" s="56"/>
      <c r="AE58" s="60"/>
      <c r="AF58" s="56"/>
      <c r="AG58" s="56"/>
      <c r="AH58" s="56"/>
      <c r="AI58" s="56"/>
      <c r="AJ58" s="56"/>
      <c r="AK58" s="56"/>
      <c r="AL58" s="56"/>
      <c r="AM58" s="60"/>
      <c r="AN58" s="56"/>
      <c r="AO58" s="57"/>
      <c r="AP58" s="60"/>
      <c r="AQ58" s="57"/>
      <c r="AR58" s="60"/>
      <c r="AS58" s="57"/>
      <c r="AT58" s="57"/>
      <c r="AU58" s="57"/>
      <c r="AV58" s="57"/>
      <c r="AW58" s="57"/>
      <c r="AX58" s="57"/>
      <c r="AY58" s="57"/>
      <c r="AZ58" s="60"/>
      <c r="BA58" s="57"/>
      <c r="BB58" s="60"/>
      <c r="BC58" s="56"/>
      <c r="BD58" s="60"/>
      <c r="BE58" s="56"/>
      <c r="BF58" s="56"/>
      <c r="BG58" s="56"/>
      <c r="BH58" s="56"/>
      <c r="BI58" s="56"/>
      <c r="BJ58" s="56"/>
      <c r="BK58" s="56"/>
      <c r="BL58" s="60"/>
      <c r="BM58" s="56"/>
      <c r="BN58" s="60"/>
      <c r="BO58" s="57"/>
      <c r="BP58" s="60"/>
      <c r="BQ58" s="57"/>
      <c r="BR58" s="60"/>
      <c r="BS58" s="57"/>
      <c r="BT58" s="57"/>
      <c r="BU58" s="57"/>
      <c r="BV58" s="57"/>
      <c r="BW58" s="57"/>
      <c r="BX58" s="57"/>
      <c r="BY58" s="57"/>
      <c r="BZ58" s="60"/>
      <c r="CA58" s="57"/>
    </row>
    <row r="59" spans="1:79" x14ac:dyDescent="0.15">
      <c r="A59" s="55">
        <v>57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6"/>
      <c r="AC59" s="60"/>
      <c r="AD59" s="56"/>
      <c r="AE59" s="60"/>
      <c r="AF59" s="56"/>
      <c r="AG59" s="56"/>
      <c r="AH59" s="56"/>
      <c r="AI59" s="56"/>
      <c r="AJ59" s="56"/>
      <c r="AK59" s="56"/>
      <c r="AL59" s="56"/>
      <c r="AM59" s="60"/>
      <c r="AN59" s="56"/>
      <c r="AO59" s="57"/>
      <c r="AP59" s="60"/>
      <c r="AQ59" s="57"/>
      <c r="AR59" s="60"/>
      <c r="AS59" s="57"/>
      <c r="AT59" s="57"/>
      <c r="AU59" s="57"/>
      <c r="AV59" s="57"/>
      <c r="AW59" s="57"/>
      <c r="AX59" s="57"/>
      <c r="AY59" s="57"/>
      <c r="AZ59" s="60"/>
      <c r="BA59" s="57"/>
      <c r="BB59" s="60"/>
      <c r="BC59" s="56"/>
      <c r="BD59" s="60"/>
      <c r="BE59" s="56"/>
      <c r="BF59" s="56"/>
      <c r="BG59" s="56"/>
      <c r="BH59" s="56"/>
      <c r="BI59" s="56"/>
      <c r="BJ59" s="56"/>
      <c r="BK59" s="56"/>
      <c r="BL59" s="60"/>
      <c r="BM59" s="56"/>
      <c r="BN59" s="60"/>
      <c r="BO59" s="57"/>
      <c r="BP59" s="60"/>
      <c r="BQ59" s="57"/>
      <c r="BR59" s="60"/>
      <c r="BS59" s="57"/>
      <c r="BT59" s="57"/>
      <c r="BU59" s="57"/>
      <c r="BV59" s="57"/>
      <c r="BW59" s="57"/>
      <c r="BX59" s="57"/>
      <c r="BY59" s="57"/>
      <c r="BZ59" s="60"/>
      <c r="CA59" s="57"/>
    </row>
    <row r="60" spans="1:79" x14ac:dyDescent="0.15">
      <c r="A60" s="55">
        <v>58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6"/>
      <c r="AC60" s="60"/>
      <c r="AD60" s="56"/>
      <c r="AE60" s="60"/>
      <c r="AF60" s="56"/>
      <c r="AG60" s="56"/>
      <c r="AH60" s="56"/>
      <c r="AI60" s="56"/>
      <c r="AJ60" s="56"/>
      <c r="AK60" s="56"/>
      <c r="AL60" s="56"/>
      <c r="AM60" s="60"/>
      <c r="AN60" s="56"/>
      <c r="AO60" s="57"/>
      <c r="AP60" s="60"/>
      <c r="AQ60" s="57"/>
      <c r="AR60" s="60"/>
      <c r="AS60" s="57"/>
      <c r="AT60" s="57"/>
      <c r="AU60" s="57"/>
      <c r="AV60" s="57"/>
      <c r="AW60" s="57"/>
      <c r="AX60" s="57"/>
      <c r="AY60" s="57"/>
      <c r="AZ60" s="60"/>
      <c r="BA60" s="57"/>
      <c r="BB60" s="60"/>
      <c r="BC60" s="56"/>
      <c r="BD60" s="60"/>
      <c r="BE60" s="56"/>
      <c r="BF60" s="56"/>
      <c r="BG60" s="56"/>
      <c r="BH60" s="56"/>
      <c r="BI60" s="56"/>
      <c r="BJ60" s="56"/>
      <c r="BK60" s="56"/>
      <c r="BL60" s="60"/>
      <c r="BM60" s="56"/>
      <c r="BN60" s="60"/>
      <c r="BO60" s="57"/>
      <c r="BP60" s="60"/>
      <c r="BQ60" s="57"/>
      <c r="BR60" s="60"/>
      <c r="BS60" s="57"/>
      <c r="BT60" s="57"/>
      <c r="BU60" s="57"/>
      <c r="BV60" s="57"/>
      <c r="BW60" s="57"/>
      <c r="BX60" s="57"/>
      <c r="BY60" s="57"/>
      <c r="BZ60" s="60"/>
      <c r="CA60" s="57"/>
    </row>
    <row r="61" spans="1:79" x14ac:dyDescent="0.15">
      <c r="A61" s="55">
        <v>59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6"/>
      <c r="AC61" s="60"/>
      <c r="AD61" s="56"/>
      <c r="AE61" s="60"/>
      <c r="AF61" s="56"/>
      <c r="AG61" s="56"/>
      <c r="AH61" s="56"/>
      <c r="AI61" s="56"/>
      <c r="AJ61" s="56"/>
      <c r="AK61" s="56"/>
      <c r="AL61" s="56"/>
      <c r="AM61" s="60"/>
      <c r="AN61" s="56"/>
      <c r="AO61" s="57"/>
      <c r="AP61" s="60"/>
      <c r="AQ61" s="57"/>
      <c r="AR61" s="60"/>
      <c r="AS61" s="57"/>
      <c r="AT61" s="57"/>
      <c r="AU61" s="57"/>
      <c r="AV61" s="57"/>
      <c r="AW61" s="57"/>
      <c r="AX61" s="57"/>
      <c r="AY61" s="57"/>
      <c r="AZ61" s="60"/>
      <c r="BA61" s="57"/>
      <c r="BB61" s="60"/>
      <c r="BC61" s="56"/>
      <c r="BD61" s="60"/>
      <c r="BE61" s="56"/>
      <c r="BF61" s="56"/>
      <c r="BG61" s="56"/>
      <c r="BH61" s="56"/>
      <c r="BI61" s="56"/>
      <c r="BJ61" s="56"/>
      <c r="BK61" s="56"/>
      <c r="BL61" s="60"/>
      <c r="BM61" s="56"/>
      <c r="BN61" s="60"/>
      <c r="BO61" s="57"/>
      <c r="BP61" s="60"/>
      <c r="BQ61" s="57"/>
      <c r="BR61" s="60"/>
      <c r="BS61" s="57"/>
      <c r="BT61" s="57"/>
      <c r="BU61" s="57"/>
      <c r="BV61" s="57"/>
      <c r="BW61" s="57"/>
      <c r="BX61" s="57"/>
      <c r="BY61" s="57"/>
      <c r="BZ61" s="60"/>
      <c r="CA61" s="57"/>
    </row>
    <row r="62" spans="1:79" x14ac:dyDescent="0.15">
      <c r="A62" s="55">
        <v>60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6"/>
      <c r="AC62" s="60"/>
      <c r="AD62" s="56"/>
      <c r="AE62" s="60"/>
      <c r="AF62" s="56"/>
      <c r="AG62" s="56"/>
      <c r="AH62" s="56"/>
      <c r="AI62" s="56"/>
      <c r="AJ62" s="56"/>
      <c r="AK62" s="56"/>
      <c r="AL62" s="56"/>
      <c r="AM62" s="60"/>
      <c r="AN62" s="56"/>
      <c r="AO62" s="57"/>
      <c r="AP62" s="60"/>
      <c r="AQ62" s="57"/>
      <c r="AR62" s="60"/>
      <c r="AS62" s="57"/>
      <c r="AT62" s="57"/>
      <c r="AU62" s="57"/>
      <c r="AV62" s="57"/>
      <c r="AW62" s="57"/>
      <c r="AX62" s="57"/>
      <c r="AY62" s="57"/>
      <c r="AZ62" s="60"/>
      <c r="BA62" s="57"/>
      <c r="BB62" s="60"/>
      <c r="BC62" s="56"/>
      <c r="BD62" s="60"/>
      <c r="BE62" s="56"/>
      <c r="BF62" s="56"/>
      <c r="BG62" s="56"/>
      <c r="BH62" s="56"/>
      <c r="BI62" s="56"/>
      <c r="BJ62" s="56"/>
      <c r="BK62" s="56"/>
      <c r="BL62" s="60"/>
      <c r="BM62" s="56"/>
      <c r="BN62" s="60"/>
      <c r="BO62" s="57"/>
      <c r="BP62" s="60"/>
      <c r="BQ62" s="57"/>
      <c r="BR62" s="60"/>
      <c r="BS62" s="57"/>
      <c r="BT62" s="57"/>
      <c r="BU62" s="57"/>
      <c r="BV62" s="57"/>
      <c r="BW62" s="57"/>
      <c r="BX62" s="57"/>
      <c r="BY62" s="57"/>
      <c r="BZ62" s="60"/>
      <c r="CA62" s="57"/>
    </row>
    <row r="63" spans="1:79" x14ac:dyDescent="0.15">
      <c r="A63" s="55">
        <v>61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6"/>
      <c r="AC63" s="60"/>
      <c r="AD63" s="56"/>
      <c r="AE63" s="60"/>
      <c r="AF63" s="56"/>
      <c r="AG63" s="56"/>
      <c r="AH63" s="56"/>
      <c r="AI63" s="56"/>
      <c r="AJ63" s="56"/>
      <c r="AK63" s="56"/>
      <c r="AL63" s="56"/>
      <c r="AM63" s="60"/>
      <c r="AN63" s="56"/>
      <c r="AO63" s="57"/>
      <c r="AP63" s="60"/>
      <c r="AQ63" s="57"/>
      <c r="AR63" s="60"/>
      <c r="AS63" s="57"/>
      <c r="AT63" s="57"/>
      <c r="AU63" s="57"/>
      <c r="AV63" s="57"/>
      <c r="AW63" s="57"/>
      <c r="AX63" s="57"/>
      <c r="AY63" s="57"/>
      <c r="AZ63" s="60"/>
      <c r="BA63" s="57"/>
      <c r="BB63" s="60"/>
      <c r="BC63" s="56"/>
      <c r="BD63" s="60"/>
      <c r="BE63" s="56"/>
      <c r="BF63" s="56"/>
      <c r="BG63" s="56"/>
      <c r="BH63" s="56"/>
      <c r="BI63" s="56"/>
      <c r="BJ63" s="56"/>
      <c r="BK63" s="56"/>
      <c r="BL63" s="60"/>
      <c r="BM63" s="56"/>
      <c r="BN63" s="60"/>
      <c r="BO63" s="57"/>
      <c r="BP63" s="60"/>
      <c r="BQ63" s="57"/>
      <c r="BR63" s="60"/>
      <c r="BS63" s="57"/>
      <c r="BT63" s="57"/>
      <c r="BU63" s="57"/>
      <c r="BV63" s="57"/>
      <c r="BW63" s="57"/>
      <c r="BX63" s="57"/>
      <c r="BY63" s="57"/>
      <c r="BZ63" s="60"/>
      <c r="CA63" s="57"/>
    </row>
    <row r="64" spans="1:79" x14ac:dyDescent="0.15">
      <c r="A64" s="55">
        <v>62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6"/>
      <c r="AC64" s="60"/>
      <c r="AD64" s="56"/>
      <c r="AE64" s="60"/>
      <c r="AF64" s="56"/>
      <c r="AG64" s="56"/>
      <c r="AH64" s="56"/>
      <c r="AI64" s="56"/>
      <c r="AJ64" s="56"/>
      <c r="AK64" s="56"/>
      <c r="AL64" s="56"/>
      <c r="AM64" s="60"/>
      <c r="AN64" s="56"/>
      <c r="AO64" s="57"/>
      <c r="AP64" s="60"/>
      <c r="AQ64" s="57"/>
      <c r="AR64" s="60"/>
      <c r="AS64" s="57"/>
      <c r="AT64" s="57"/>
      <c r="AU64" s="57"/>
      <c r="AV64" s="57"/>
      <c r="AW64" s="57"/>
      <c r="AX64" s="57"/>
      <c r="AY64" s="57"/>
      <c r="AZ64" s="60"/>
      <c r="BA64" s="57"/>
      <c r="BB64" s="60"/>
      <c r="BC64" s="56"/>
      <c r="BD64" s="60"/>
      <c r="BE64" s="56"/>
      <c r="BF64" s="56"/>
      <c r="BG64" s="56"/>
      <c r="BH64" s="56"/>
      <c r="BI64" s="56"/>
      <c r="BJ64" s="56"/>
      <c r="BK64" s="56"/>
      <c r="BL64" s="60"/>
      <c r="BM64" s="56"/>
      <c r="BN64" s="60"/>
      <c r="BO64" s="57"/>
      <c r="BP64" s="60"/>
      <c r="BQ64" s="57"/>
      <c r="BR64" s="60"/>
      <c r="BS64" s="57"/>
      <c r="BT64" s="57"/>
      <c r="BU64" s="57"/>
      <c r="BV64" s="57"/>
      <c r="BW64" s="57"/>
      <c r="BX64" s="57"/>
      <c r="BY64" s="57"/>
      <c r="BZ64" s="60"/>
      <c r="CA64" s="57"/>
    </row>
    <row r="65" spans="1:79" x14ac:dyDescent="0.15">
      <c r="A65" s="55">
        <v>63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6"/>
      <c r="AC65" s="60"/>
      <c r="AD65" s="56"/>
      <c r="AE65" s="60"/>
      <c r="AF65" s="56"/>
      <c r="AG65" s="56"/>
      <c r="AH65" s="56"/>
      <c r="AI65" s="56"/>
      <c r="AJ65" s="56"/>
      <c r="AK65" s="56"/>
      <c r="AL65" s="56"/>
      <c r="AM65" s="60"/>
      <c r="AN65" s="56"/>
      <c r="AO65" s="57"/>
      <c r="AP65" s="60"/>
      <c r="AQ65" s="57"/>
      <c r="AR65" s="60"/>
      <c r="AS65" s="57"/>
      <c r="AT65" s="57"/>
      <c r="AU65" s="57"/>
      <c r="AV65" s="57"/>
      <c r="AW65" s="57"/>
      <c r="AX65" s="57"/>
      <c r="AY65" s="57"/>
      <c r="AZ65" s="60"/>
      <c r="BA65" s="57"/>
      <c r="BB65" s="60"/>
      <c r="BC65" s="56"/>
      <c r="BD65" s="60"/>
      <c r="BE65" s="56"/>
      <c r="BF65" s="56"/>
      <c r="BG65" s="56"/>
      <c r="BH65" s="56"/>
      <c r="BI65" s="56"/>
      <c r="BJ65" s="56"/>
      <c r="BK65" s="56"/>
      <c r="BL65" s="60"/>
      <c r="BM65" s="56"/>
      <c r="BN65" s="60"/>
      <c r="BO65" s="57"/>
      <c r="BP65" s="60"/>
      <c r="BQ65" s="57"/>
      <c r="BR65" s="60"/>
      <c r="BS65" s="57"/>
      <c r="BT65" s="57"/>
      <c r="BU65" s="57"/>
      <c r="BV65" s="57"/>
      <c r="BW65" s="57"/>
      <c r="BX65" s="57"/>
      <c r="BY65" s="57"/>
      <c r="BZ65" s="60"/>
      <c r="CA65" s="57"/>
    </row>
    <row r="66" spans="1:79" x14ac:dyDescent="0.15">
      <c r="A66" s="55">
        <v>64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6"/>
      <c r="AC66" s="60"/>
      <c r="AD66" s="56"/>
      <c r="AE66" s="60"/>
      <c r="AF66" s="56"/>
      <c r="AG66" s="56"/>
      <c r="AH66" s="56"/>
      <c r="AI66" s="56"/>
      <c r="AJ66" s="56"/>
      <c r="AK66" s="56"/>
      <c r="AL66" s="56"/>
      <c r="AM66" s="60"/>
      <c r="AN66" s="56"/>
      <c r="AO66" s="57"/>
      <c r="AP66" s="60"/>
      <c r="AQ66" s="57"/>
      <c r="AR66" s="60"/>
      <c r="AS66" s="57"/>
      <c r="AT66" s="57"/>
      <c r="AU66" s="57"/>
      <c r="AV66" s="57"/>
      <c r="AW66" s="57"/>
      <c r="AX66" s="57"/>
      <c r="AY66" s="57"/>
      <c r="AZ66" s="60"/>
      <c r="BA66" s="57"/>
      <c r="BB66" s="60"/>
      <c r="BC66" s="56"/>
      <c r="BD66" s="60"/>
      <c r="BE66" s="56"/>
      <c r="BF66" s="56"/>
      <c r="BG66" s="56"/>
      <c r="BH66" s="56"/>
      <c r="BI66" s="56"/>
      <c r="BJ66" s="56"/>
      <c r="BK66" s="56"/>
      <c r="BL66" s="60"/>
      <c r="BM66" s="56"/>
      <c r="BN66" s="60"/>
      <c r="BO66" s="57"/>
      <c r="BP66" s="60"/>
      <c r="BQ66" s="57"/>
      <c r="BR66" s="60"/>
      <c r="BS66" s="57"/>
      <c r="BT66" s="57"/>
      <c r="BU66" s="57"/>
      <c r="BV66" s="57"/>
      <c r="BW66" s="57"/>
      <c r="BX66" s="57"/>
      <c r="BY66" s="57"/>
      <c r="BZ66" s="60"/>
      <c r="CA66" s="57"/>
    </row>
    <row r="67" spans="1:79" x14ac:dyDescent="0.15">
      <c r="A67" s="55">
        <v>65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6"/>
      <c r="AC67" s="60"/>
      <c r="AD67" s="56"/>
      <c r="AE67" s="60"/>
      <c r="AF67" s="56"/>
      <c r="AG67" s="56"/>
      <c r="AH67" s="56"/>
      <c r="AI67" s="56"/>
      <c r="AJ67" s="56"/>
      <c r="AK67" s="56"/>
      <c r="AL67" s="56"/>
      <c r="AM67" s="60"/>
      <c r="AN67" s="56"/>
      <c r="AO67" s="57"/>
      <c r="AP67" s="60"/>
      <c r="AQ67" s="57"/>
      <c r="AR67" s="60"/>
      <c r="AS67" s="57"/>
      <c r="AT67" s="57"/>
      <c r="AU67" s="57"/>
      <c r="AV67" s="57"/>
      <c r="AW67" s="57"/>
      <c r="AX67" s="57"/>
      <c r="AY67" s="57"/>
      <c r="AZ67" s="60"/>
      <c r="BA67" s="57"/>
      <c r="BB67" s="60"/>
      <c r="BC67" s="56"/>
      <c r="BD67" s="60"/>
      <c r="BE67" s="56"/>
      <c r="BF67" s="56"/>
      <c r="BG67" s="56"/>
      <c r="BH67" s="56"/>
      <c r="BI67" s="56"/>
      <c r="BJ67" s="56"/>
      <c r="BK67" s="56"/>
      <c r="BL67" s="60"/>
      <c r="BM67" s="56"/>
      <c r="BN67" s="60"/>
      <c r="BO67" s="57"/>
      <c r="BP67" s="60"/>
      <c r="BQ67" s="57"/>
      <c r="BR67" s="60"/>
      <c r="BS67" s="57"/>
      <c r="BT67" s="57"/>
      <c r="BU67" s="57"/>
      <c r="BV67" s="57"/>
      <c r="BW67" s="57"/>
      <c r="BX67" s="57"/>
      <c r="BY67" s="57"/>
      <c r="BZ67" s="60"/>
      <c r="CA67" s="57"/>
    </row>
    <row r="68" spans="1:79" x14ac:dyDescent="0.15">
      <c r="A68" s="55">
        <v>66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6"/>
      <c r="AC68" s="60"/>
      <c r="AD68" s="56"/>
      <c r="AE68" s="60"/>
      <c r="AF68" s="56"/>
      <c r="AG68" s="56"/>
      <c r="AH68" s="56"/>
      <c r="AI68" s="56"/>
      <c r="AJ68" s="56"/>
      <c r="AK68" s="56"/>
      <c r="AL68" s="56"/>
      <c r="AM68" s="60"/>
      <c r="AN68" s="56"/>
      <c r="AO68" s="57"/>
      <c r="AP68" s="60"/>
      <c r="AQ68" s="57"/>
      <c r="AR68" s="60"/>
      <c r="AS68" s="57"/>
      <c r="AT68" s="57"/>
      <c r="AU68" s="57"/>
      <c r="AV68" s="57"/>
      <c r="AW68" s="57"/>
      <c r="AX68" s="57"/>
      <c r="AY68" s="57"/>
      <c r="AZ68" s="60"/>
      <c r="BA68" s="57"/>
      <c r="BB68" s="60"/>
      <c r="BC68" s="56"/>
      <c r="BD68" s="60"/>
      <c r="BE68" s="56"/>
      <c r="BF68" s="56"/>
      <c r="BG68" s="56"/>
      <c r="BH68" s="56"/>
      <c r="BI68" s="56"/>
      <c r="BJ68" s="56"/>
      <c r="BK68" s="56"/>
      <c r="BL68" s="60"/>
      <c r="BM68" s="56"/>
      <c r="BN68" s="60"/>
      <c r="BO68" s="57"/>
      <c r="BP68" s="60"/>
      <c r="BQ68" s="57"/>
      <c r="BR68" s="60"/>
      <c r="BS68" s="57"/>
      <c r="BT68" s="57"/>
      <c r="BU68" s="57"/>
      <c r="BV68" s="57"/>
      <c r="BW68" s="57"/>
      <c r="BX68" s="57"/>
      <c r="BY68" s="57"/>
      <c r="BZ68" s="60"/>
      <c r="CA68" s="57"/>
    </row>
    <row r="69" spans="1:79" x14ac:dyDescent="0.15">
      <c r="A69" s="55">
        <v>67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6"/>
      <c r="AC69" s="60"/>
      <c r="AD69" s="56"/>
      <c r="AE69" s="60"/>
      <c r="AF69" s="56"/>
      <c r="AG69" s="56"/>
      <c r="AH69" s="56"/>
      <c r="AI69" s="56"/>
      <c r="AJ69" s="56"/>
      <c r="AK69" s="56"/>
      <c r="AL69" s="56"/>
      <c r="AM69" s="60"/>
      <c r="AN69" s="56"/>
      <c r="AO69" s="57"/>
      <c r="AP69" s="60"/>
      <c r="AQ69" s="57"/>
      <c r="AR69" s="60"/>
      <c r="AS69" s="57"/>
      <c r="AT69" s="57"/>
      <c r="AU69" s="57"/>
      <c r="AV69" s="57"/>
      <c r="AW69" s="57"/>
      <c r="AX69" s="57"/>
      <c r="AY69" s="57"/>
      <c r="AZ69" s="60"/>
      <c r="BA69" s="57"/>
      <c r="BB69" s="60"/>
      <c r="BC69" s="56"/>
      <c r="BD69" s="60"/>
      <c r="BE69" s="56"/>
      <c r="BF69" s="56"/>
      <c r="BG69" s="56"/>
      <c r="BH69" s="56"/>
      <c r="BI69" s="56"/>
      <c r="BJ69" s="56"/>
      <c r="BK69" s="56"/>
      <c r="BL69" s="60"/>
      <c r="BM69" s="56"/>
      <c r="BN69" s="60"/>
      <c r="BO69" s="57"/>
      <c r="BP69" s="60"/>
      <c r="BQ69" s="57"/>
      <c r="BR69" s="60"/>
      <c r="BS69" s="57"/>
      <c r="BT69" s="57"/>
      <c r="BU69" s="57"/>
      <c r="BV69" s="57"/>
      <c r="BW69" s="57"/>
      <c r="BX69" s="57"/>
      <c r="BY69" s="57"/>
      <c r="BZ69" s="60"/>
      <c r="CA69" s="57"/>
    </row>
    <row r="70" spans="1:79" x14ac:dyDescent="0.15">
      <c r="A70" s="55">
        <v>68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6"/>
      <c r="AC70" s="60"/>
      <c r="AD70" s="56"/>
      <c r="AE70" s="60"/>
      <c r="AF70" s="56"/>
      <c r="AG70" s="56"/>
      <c r="AH70" s="56"/>
      <c r="AI70" s="56"/>
      <c r="AJ70" s="56"/>
      <c r="AK70" s="56"/>
      <c r="AL70" s="56"/>
      <c r="AM70" s="60"/>
      <c r="AN70" s="56"/>
      <c r="AO70" s="57"/>
      <c r="AP70" s="60"/>
      <c r="AQ70" s="57"/>
      <c r="AR70" s="60"/>
      <c r="AS70" s="57"/>
      <c r="AT70" s="57"/>
      <c r="AU70" s="57"/>
      <c r="AV70" s="57"/>
      <c r="AW70" s="57"/>
      <c r="AX70" s="57"/>
      <c r="AY70" s="57"/>
      <c r="AZ70" s="60"/>
      <c r="BA70" s="57"/>
      <c r="BB70" s="60"/>
      <c r="BC70" s="56"/>
      <c r="BD70" s="60"/>
      <c r="BE70" s="56"/>
      <c r="BF70" s="56"/>
      <c r="BG70" s="56"/>
      <c r="BH70" s="56"/>
      <c r="BI70" s="56"/>
      <c r="BJ70" s="56"/>
      <c r="BK70" s="56"/>
      <c r="BL70" s="60"/>
      <c r="BM70" s="56"/>
      <c r="BN70" s="60"/>
      <c r="BO70" s="57"/>
      <c r="BP70" s="60"/>
      <c r="BQ70" s="57"/>
      <c r="BR70" s="60"/>
      <c r="BS70" s="57"/>
      <c r="BT70" s="57"/>
      <c r="BU70" s="57"/>
      <c r="BV70" s="57"/>
      <c r="BW70" s="57"/>
      <c r="BX70" s="57"/>
      <c r="BY70" s="57"/>
      <c r="BZ70" s="60"/>
      <c r="CA70" s="57"/>
    </row>
    <row r="71" spans="1:79" x14ac:dyDescent="0.15">
      <c r="A71" s="55">
        <v>69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6"/>
      <c r="AC71" s="60"/>
      <c r="AD71" s="56"/>
      <c r="AE71" s="60"/>
      <c r="AF71" s="56"/>
      <c r="AG71" s="56"/>
      <c r="AH71" s="56"/>
      <c r="AI71" s="56"/>
      <c r="AJ71" s="56"/>
      <c r="AK71" s="56"/>
      <c r="AL71" s="56"/>
      <c r="AM71" s="60"/>
      <c r="AN71" s="56"/>
      <c r="AO71" s="57"/>
      <c r="AP71" s="60"/>
      <c r="AQ71" s="57"/>
      <c r="AR71" s="60"/>
      <c r="AS71" s="57"/>
      <c r="AT71" s="57"/>
      <c r="AU71" s="57"/>
      <c r="AV71" s="57"/>
      <c r="AW71" s="57"/>
      <c r="AX71" s="57"/>
      <c r="AY71" s="57"/>
      <c r="AZ71" s="60"/>
      <c r="BA71" s="57"/>
      <c r="BB71" s="60"/>
      <c r="BC71" s="56"/>
      <c r="BD71" s="60"/>
      <c r="BE71" s="56"/>
      <c r="BF71" s="56"/>
      <c r="BG71" s="56"/>
      <c r="BH71" s="56"/>
      <c r="BI71" s="56"/>
      <c r="BJ71" s="56"/>
      <c r="BK71" s="56"/>
      <c r="BL71" s="60"/>
      <c r="BM71" s="56"/>
      <c r="BN71" s="60"/>
      <c r="BO71" s="57"/>
      <c r="BP71" s="60"/>
      <c r="BQ71" s="57"/>
      <c r="BR71" s="60"/>
      <c r="BS71" s="57"/>
      <c r="BT71" s="57"/>
      <c r="BU71" s="57"/>
      <c r="BV71" s="57"/>
      <c r="BW71" s="57"/>
      <c r="BX71" s="57"/>
      <c r="BY71" s="57"/>
      <c r="BZ71" s="60"/>
      <c r="CA71" s="57"/>
    </row>
    <row r="72" spans="1:79" x14ac:dyDescent="0.15">
      <c r="A72" s="55">
        <v>70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6"/>
      <c r="AC72" s="60"/>
      <c r="AD72" s="56"/>
      <c r="AE72" s="60"/>
      <c r="AF72" s="56"/>
      <c r="AG72" s="56"/>
      <c r="AH72" s="56"/>
      <c r="AI72" s="56"/>
      <c r="AJ72" s="56"/>
      <c r="AK72" s="56"/>
      <c r="AL72" s="56"/>
      <c r="AM72" s="60"/>
      <c r="AN72" s="56"/>
      <c r="AO72" s="57"/>
      <c r="AP72" s="60"/>
      <c r="AQ72" s="57"/>
      <c r="AR72" s="60"/>
      <c r="AS72" s="57"/>
      <c r="AT72" s="57"/>
      <c r="AU72" s="57"/>
      <c r="AV72" s="57"/>
      <c r="AW72" s="57"/>
      <c r="AX72" s="57"/>
      <c r="AY72" s="57"/>
      <c r="AZ72" s="60"/>
      <c r="BA72" s="57"/>
      <c r="BB72" s="60"/>
      <c r="BC72" s="56"/>
      <c r="BD72" s="60"/>
      <c r="BE72" s="56"/>
      <c r="BF72" s="56"/>
      <c r="BG72" s="56"/>
      <c r="BH72" s="56"/>
      <c r="BI72" s="56"/>
      <c r="BJ72" s="56"/>
      <c r="BK72" s="56"/>
      <c r="BL72" s="60"/>
      <c r="BM72" s="56"/>
      <c r="BN72" s="60"/>
      <c r="BO72" s="57"/>
      <c r="BP72" s="60"/>
      <c r="BQ72" s="57"/>
      <c r="BR72" s="60"/>
      <c r="BS72" s="57"/>
      <c r="BT72" s="57"/>
      <c r="BU72" s="57"/>
      <c r="BV72" s="57"/>
      <c r="BW72" s="57"/>
      <c r="BX72" s="57"/>
      <c r="BY72" s="57"/>
      <c r="BZ72" s="60"/>
      <c r="CA72" s="57"/>
    </row>
    <row r="73" spans="1:79" x14ac:dyDescent="0.15">
      <c r="A73" s="55">
        <v>71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6"/>
      <c r="AC73" s="60"/>
      <c r="AD73" s="56"/>
      <c r="AE73" s="60"/>
      <c r="AF73" s="56"/>
      <c r="AG73" s="56"/>
      <c r="AH73" s="56"/>
      <c r="AI73" s="56"/>
      <c r="AJ73" s="56"/>
      <c r="AK73" s="56"/>
      <c r="AL73" s="56"/>
      <c r="AM73" s="60"/>
      <c r="AN73" s="56"/>
      <c r="AO73" s="57"/>
      <c r="AP73" s="60"/>
      <c r="AQ73" s="57"/>
      <c r="AR73" s="60"/>
      <c r="AS73" s="57"/>
      <c r="AT73" s="57"/>
      <c r="AU73" s="57"/>
      <c r="AV73" s="57"/>
      <c r="AW73" s="57"/>
      <c r="AX73" s="57"/>
      <c r="AY73" s="57"/>
      <c r="AZ73" s="60"/>
      <c r="BA73" s="57"/>
      <c r="BB73" s="60"/>
      <c r="BC73" s="56"/>
      <c r="BD73" s="60"/>
      <c r="BE73" s="56"/>
      <c r="BF73" s="56"/>
      <c r="BG73" s="56"/>
      <c r="BH73" s="56"/>
      <c r="BI73" s="56"/>
      <c r="BJ73" s="56"/>
      <c r="BK73" s="56"/>
      <c r="BL73" s="60"/>
      <c r="BM73" s="56"/>
      <c r="BN73" s="60"/>
      <c r="BO73" s="57"/>
      <c r="BP73" s="60"/>
      <c r="BQ73" s="57"/>
      <c r="BR73" s="60"/>
      <c r="BS73" s="57"/>
      <c r="BT73" s="57"/>
      <c r="BU73" s="57"/>
      <c r="BV73" s="57"/>
      <c r="BW73" s="57"/>
      <c r="BX73" s="57"/>
      <c r="BY73" s="57"/>
      <c r="BZ73" s="60"/>
      <c r="CA73" s="57"/>
    </row>
    <row r="74" spans="1:79" x14ac:dyDescent="0.15">
      <c r="A74" s="55">
        <v>72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6"/>
      <c r="AC74" s="60"/>
      <c r="AD74" s="56"/>
      <c r="AE74" s="60"/>
      <c r="AF74" s="56"/>
      <c r="AG74" s="56"/>
      <c r="AH74" s="56"/>
      <c r="AI74" s="56"/>
      <c r="AJ74" s="56"/>
      <c r="AK74" s="56"/>
      <c r="AL74" s="56"/>
      <c r="AM74" s="60"/>
      <c r="AN74" s="56"/>
      <c r="AO74" s="57"/>
      <c r="AP74" s="60"/>
      <c r="AQ74" s="57"/>
      <c r="AR74" s="60"/>
      <c r="AS74" s="57"/>
      <c r="AT74" s="57"/>
      <c r="AU74" s="57"/>
      <c r="AV74" s="57"/>
      <c r="AW74" s="57"/>
      <c r="AX74" s="57"/>
      <c r="AY74" s="57"/>
      <c r="AZ74" s="60"/>
      <c r="BA74" s="57"/>
      <c r="BB74" s="60"/>
      <c r="BC74" s="56"/>
      <c r="BD74" s="60"/>
      <c r="BE74" s="56"/>
      <c r="BF74" s="56"/>
      <c r="BG74" s="56"/>
      <c r="BH74" s="56"/>
      <c r="BI74" s="56"/>
      <c r="BJ74" s="56"/>
      <c r="BK74" s="56"/>
      <c r="BL74" s="60"/>
      <c r="BM74" s="56"/>
      <c r="BN74" s="60"/>
      <c r="BO74" s="57"/>
      <c r="BP74" s="60"/>
      <c r="BQ74" s="57"/>
      <c r="BR74" s="60"/>
      <c r="BS74" s="57"/>
      <c r="BT74" s="57"/>
      <c r="BU74" s="57"/>
      <c r="BV74" s="57"/>
      <c r="BW74" s="57"/>
      <c r="BX74" s="57"/>
      <c r="BY74" s="57"/>
      <c r="BZ74" s="60"/>
      <c r="CA74" s="57"/>
    </row>
    <row r="75" spans="1:79" x14ac:dyDescent="0.15">
      <c r="A75" s="55">
        <v>73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6"/>
      <c r="AC75" s="60"/>
      <c r="AD75" s="56"/>
      <c r="AE75" s="60"/>
      <c r="AF75" s="56"/>
      <c r="AG75" s="56"/>
      <c r="AH75" s="56"/>
      <c r="AI75" s="56"/>
      <c r="AJ75" s="56"/>
      <c r="AK75" s="56"/>
      <c r="AL75" s="56"/>
      <c r="AM75" s="60"/>
      <c r="AN75" s="56"/>
      <c r="AO75" s="57"/>
      <c r="AP75" s="60"/>
      <c r="AQ75" s="57"/>
      <c r="AR75" s="60"/>
      <c r="AS75" s="57"/>
      <c r="AT75" s="57"/>
      <c r="AU75" s="57"/>
      <c r="AV75" s="57"/>
      <c r="AW75" s="57"/>
      <c r="AX75" s="57"/>
      <c r="AY75" s="57"/>
      <c r="AZ75" s="60"/>
      <c r="BA75" s="57"/>
      <c r="BB75" s="60"/>
      <c r="BC75" s="56"/>
      <c r="BD75" s="60"/>
      <c r="BE75" s="56"/>
      <c r="BF75" s="56"/>
      <c r="BG75" s="56"/>
      <c r="BH75" s="56"/>
      <c r="BI75" s="56"/>
      <c r="BJ75" s="56"/>
      <c r="BK75" s="56"/>
      <c r="BL75" s="60"/>
      <c r="BM75" s="56"/>
      <c r="BN75" s="60"/>
      <c r="BO75" s="57"/>
      <c r="BP75" s="60"/>
      <c r="BQ75" s="57"/>
      <c r="BR75" s="60"/>
      <c r="BS75" s="57"/>
      <c r="BT75" s="57"/>
      <c r="BU75" s="57"/>
      <c r="BV75" s="57"/>
      <c r="BW75" s="57"/>
      <c r="BX75" s="57"/>
      <c r="BY75" s="57"/>
      <c r="BZ75" s="60"/>
      <c r="CA75" s="57"/>
    </row>
    <row r="76" spans="1:79" x14ac:dyDescent="0.15">
      <c r="A76" s="55">
        <v>74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6"/>
      <c r="AC76" s="60"/>
      <c r="AD76" s="56"/>
      <c r="AE76" s="60"/>
      <c r="AF76" s="56"/>
      <c r="AG76" s="56"/>
      <c r="AH76" s="56"/>
      <c r="AI76" s="56"/>
      <c r="AJ76" s="56"/>
      <c r="AK76" s="56"/>
      <c r="AL76" s="56"/>
      <c r="AM76" s="60"/>
      <c r="AN76" s="56"/>
      <c r="AO76" s="57"/>
      <c r="AP76" s="60"/>
      <c r="AQ76" s="57"/>
      <c r="AR76" s="60"/>
      <c r="AS76" s="57"/>
      <c r="AT76" s="57"/>
      <c r="AU76" s="57"/>
      <c r="AV76" s="57"/>
      <c r="AW76" s="57"/>
      <c r="AX76" s="57"/>
      <c r="AY76" s="57"/>
      <c r="AZ76" s="60"/>
      <c r="BA76" s="57"/>
      <c r="BB76" s="60"/>
      <c r="BC76" s="56"/>
      <c r="BD76" s="60"/>
      <c r="BE76" s="56"/>
      <c r="BF76" s="56"/>
      <c r="BG76" s="56"/>
      <c r="BH76" s="56"/>
      <c r="BI76" s="56"/>
      <c r="BJ76" s="56"/>
      <c r="BK76" s="56"/>
      <c r="BL76" s="60"/>
      <c r="BM76" s="56"/>
      <c r="BN76" s="60"/>
      <c r="BO76" s="57"/>
      <c r="BP76" s="60"/>
      <c r="BQ76" s="57"/>
      <c r="BR76" s="60"/>
      <c r="BS76" s="57"/>
      <c r="BT76" s="57"/>
      <c r="BU76" s="57"/>
      <c r="BV76" s="57"/>
      <c r="BW76" s="57"/>
      <c r="BX76" s="57"/>
      <c r="BY76" s="57"/>
      <c r="BZ76" s="60"/>
      <c r="CA76" s="57"/>
    </row>
    <row r="77" spans="1:79" x14ac:dyDescent="0.15">
      <c r="A77" s="55">
        <v>75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6"/>
      <c r="AC77" s="60"/>
      <c r="AD77" s="56"/>
      <c r="AE77" s="60"/>
      <c r="AF77" s="56"/>
      <c r="AG77" s="56"/>
      <c r="AH77" s="56"/>
      <c r="AI77" s="56"/>
      <c r="AJ77" s="56"/>
      <c r="AK77" s="56"/>
      <c r="AL77" s="56"/>
      <c r="AM77" s="60"/>
      <c r="AN77" s="56"/>
      <c r="AO77" s="57"/>
      <c r="AP77" s="60"/>
      <c r="AQ77" s="57"/>
      <c r="AR77" s="60"/>
      <c r="AS77" s="57"/>
      <c r="AT77" s="57"/>
      <c r="AU77" s="57"/>
      <c r="AV77" s="57"/>
      <c r="AW77" s="57"/>
      <c r="AX77" s="57"/>
      <c r="AY77" s="57"/>
      <c r="AZ77" s="60"/>
      <c r="BA77" s="57"/>
      <c r="BB77" s="60"/>
      <c r="BC77" s="56"/>
      <c r="BD77" s="60"/>
      <c r="BE77" s="56"/>
      <c r="BF77" s="56"/>
      <c r="BG77" s="56"/>
      <c r="BH77" s="56"/>
      <c r="BI77" s="56"/>
      <c r="BJ77" s="56"/>
      <c r="BK77" s="56"/>
      <c r="BL77" s="60"/>
      <c r="BM77" s="56"/>
      <c r="BN77" s="60"/>
      <c r="BO77" s="57"/>
      <c r="BP77" s="60"/>
      <c r="BQ77" s="57"/>
      <c r="BR77" s="60"/>
      <c r="BS77" s="57"/>
      <c r="BT77" s="57"/>
      <c r="BU77" s="57"/>
      <c r="BV77" s="57"/>
      <c r="BW77" s="57"/>
      <c r="BX77" s="57"/>
      <c r="BY77" s="57"/>
      <c r="BZ77" s="60"/>
      <c r="CA77" s="57"/>
    </row>
    <row r="78" spans="1:79" x14ac:dyDescent="0.15">
      <c r="A78" s="55">
        <v>76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6"/>
      <c r="AC78" s="60"/>
      <c r="AD78" s="56"/>
      <c r="AE78" s="60"/>
      <c r="AF78" s="56"/>
      <c r="AG78" s="56"/>
      <c r="AH78" s="56"/>
      <c r="AI78" s="56"/>
      <c r="AJ78" s="56"/>
      <c r="AK78" s="56"/>
      <c r="AL78" s="56"/>
      <c r="AM78" s="60"/>
      <c r="AN78" s="56"/>
      <c r="AO78" s="57"/>
      <c r="AP78" s="60"/>
      <c r="AQ78" s="57"/>
      <c r="AR78" s="60"/>
      <c r="AS78" s="57"/>
      <c r="AT78" s="57"/>
      <c r="AU78" s="57"/>
      <c r="AV78" s="57"/>
      <c r="AW78" s="57"/>
      <c r="AX78" s="57"/>
      <c r="AY78" s="57"/>
      <c r="AZ78" s="60"/>
      <c r="BA78" s="57"/>
      <c r="BB78" s="60"/>
      <c r="BC78" s="56"/>
      <c r="BD78" s="60"/>
      <c r="BE78" s="56"/>
      <c r="BF78" s="56"/>
      <c r="BG78" s="56"/>
      <c r="BH78" s="56"/>
      <c r="BI78" s="56"/>
      <c r="BJ78" s="56"/>
      <c r="BK78" s="56"/>
      <c r="BL78" s="60"/>
      <c r="BM78" s="56"/>
      <c r="BN78" s="60"/>
      <c r="BO78" s="57"/>
      <c r="BP78" s="60"/>
      <c r="BQ78" s="57"/>
      <c r="BR78" s="60"/>
      <c r="BS78" s="57"/>
      <c r="BT78" s="57"/>
      <c r="BU78" s="57"/>
      <c r="BV78" s="57"/>
      <c r="BW78" s="57"/>
      <c r="BX78" s="57"/>
      <c r="BY78" s="57"/>
      <c r="BZ78" s="60"/>
      <c r="CA78" s="57"/>
    </row>
    <row r="79" spans="1:79" x14ac:dyDescent="0.15">
      <c r="A79" s="55">
        <v>77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6"/>
      <c r="AC79" s="60"/>
      <c r="AD79" s="56"/>
      <c r="AE79" s="60"/>
      <c r="AF79" s="56"/>
      <c r="AG79" s="56"/>
      <c r="AH79" s="56"/>
      <c r="AI79" s="56"/>
      <c r="AJ79" s="56"/>
      <c r="AK79" s="56"/>
      <c r="AL79" s="56"/>
      <c r="AM79" s="60"/>
      <c r="AN79" s="56"/>
      <c r="AO79" s="57"/>
      <c r="AP79" s="60"/>
      <c r="AQ79" s="57"/>
      <c r="AR79" s="60"/>
      <c r="AS79" s="57"/>
      <c r="AT79" s="57"/>
      <c r="AU79" s="57"/>
      <c r="AV79" s="57"/>
      <c r="AW79" s="57"/>
      <c r="AX79" s="57"/>
      <c r="AY79" s="57"/>
      <c r="AZ79" s="60"/>
      <c r="BA79" s="57"/>
      <c r="BB79" s="60"/>
      <c r="BC79" s="56"/>
      <c r="BD79" s="60"/>
      <c r="BE79" s="56"/>
      <c r="BF79" s="56"/>
      <c r="BG79" s="56"/>
      <c r="BH79" s="56"/>
      <c r="BI79" s="56"/>
      <c r="BJ79" s="56"/>
      <c r="BK79" s="56"/>
      <c r="BL79" s="60"/>
      <c r="BM79" s="56"/>
      <c r="BN79" s="60"/>
      <c r="BO79" s="57"/>
      <c r="BP79" s="60"/>
      <c r="BQ79" s="57"/>
      <c r="BR79" s="60"/>
      <c r="BS79" s="57"/>
      <c r="BT79" s="57"/>
      <c r="BU79" s="57"/>
      <c r="BV79" s="57"/>
      <c r="BW79" s="57"/>
      <c r="BX79" s="57"/>
      <c r="BY79" s="57"/>
      <c r="BZ79" s="60"/>
      <c r="CA79" s="57"/>
    </row>
    <row r="80" spans="1:79" x14ac:dyDescent="0.15">
      <c r="A80" s="55">
        <v>78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6"/>
      <c r="AC80" s="60"/>
      <c r="AD80" s="56"/>
      <c r="AE80" s="60"/>
      <c r="AF80" s="56"/>
      <c r="AG80" s="56"/>
      <c r="AH80" s="56"/>
      <c r="AI80" s="56"/>
      <c r="AJ80" s="56"/>
      <c r="AK80" s="56"/>
      <c r="AL80" s="56"/>
      <c r="AM80" s="60"/>
      <c r="AN80" s="56"/>
      <c r="AO80" s="57"/>
      <c r="AP80" s="60"/>
      <c r="AQ80" s="57"/>
      <c r="AR80" s="60"/>
      <c r="AS80" s="57"/>
      <c r="AT80" s="57"/>
      <c r="AU80" s="57"/>
      <c r="AV80" s="57"/>
      <c r="AW80" s="57"/>
      <c r="AX80" s="57"/>
      <c r="AY80" s="57"/>
      <c r="AZ80" s="60"/>
      <c r="BA80" s="57"/>
      <c r="BB80" s="60"/>
      <c r="BC80" s="56"/>
      <c r="BD80" s="60"/>
      <c r="BE80" s="56"/>
      <c r="BF80" s="56"/>
      <c r="BG80" s="56"/>
      <c r="BH80" s="56"/>
      <c r="BI80" s="56"/>
      <c r="BJ80" s="56"/>
      <c r="BK80" s="56"/>
      <c r="BL80" s="60"/>
      <c r="BM80" s="56"/>
      <c r="BN80" s="60"/>
      <c r="BO80" s="57"/>
      <c r="BP80" s="60"/>
      <c r="BQ80" s="57"/>
      <c r="BR80" s="60"/>
      <c r="BS80" s="57"/>
      <c r="BT80" s="57"/>
      <c r="BU80" s="57"/>
      <c r="BV80" s="57"/>
      <c r="BW80" s="57"/>
      <c r="BX80" s="57"/>
      <c r="BY80" s="57"/>
      <c r="BZ80" s="60"/>
      <c r="CA80" s="57"/>
    </row>
    <row r="81" spans="1:79" x14ac:dyDescent="0.15">
      <c r="A81" s="55">
        <v>79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6"/>
      <c r="AC81" s="60"/>
      <c r="AD81" s="56"/>
      <c r="AE81" s="60"/>
      <c r="AF81" s="56"/>
      <c r="AG81" s="56"/>
      <c r="AH81" s="56"/>
      <c r="AI81" s="56"/>
      <c r="AJ81" s="56"/>
      <c r="AK81" s="56"/>
      <c r="AL81" s="56"/>
      <c r="AM81" s="60"/>
      <c r="AN81" s="56"/>
      <c r="AO81" s="57"/>
      <c r="AP81" s="60"/>
      <c r="AQ81" s="57"/>
      <c r="AR81" s="60"/>
      <c r="AS81" s="57"/>
      <c r="AT81" s="57"/>
      <c r="AU81" s="57"/>
      <c r="AV81" s="57"/>
      <c r="AW81" s="57"/>
      <c r="AX81" s="57"/>
      <c r="AY81" s="57"/>
      <c r="AZ81" s="60"/>
      <c r="BA81" s="57"/>
      <c r="BB81" s="60"/>
      <c r="BC81" s="56"/>
      <c r="BD81" s="60"/>
      <c r="BE81" s="56"/>
      <c r="BF81" s="56"/>
      <c r="BG81" s="56"/>
      <c r="BH81" s="56"/>
      <c r="BI81" s="56"/>
      <c r="BJ81" s="56"/>
      <c r="BK81" s="56"/>
      <c r="BL81" s="60"/>
      <c r="BM81" s="56"/>
      <c r="BN81" s="60"/>
      <c r="BO81" s="57"/>
      <c r="BP81" s="60"/>
      <c r="BQ81" s="57"/>
      <c r="BR81" s="60"/>
      <c r="BS81" s="57"/>
      <c r="BT81" s="57"/>
      <c r="BU81" s="57"/>
      <c r="BV81" s="57"/>
      <c r="BW81" s="57"/>
      <c r="BX81" s="57"/>
      <c r="BY81" s="57"/>
      <c r="BZ81" s="60"/>
      <c r="CA81" s="57"/>
    </row>
    <row r="82" spans="1:79" x14ac:dyDescent="0.15">
      <c r="A82" s="55">
        <v>80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6"/>
      <c r="AC82" s="60"/>
      <c r="AD82" s="56"/>
      <c r="AE82" s="60"/>
      <c r="AF82" s="56"/>
      <c r="AG82" s="56"/>
      <c r="AH82" s="56"/>
      <c r="AI82" s="56"/>
      <c r="AJ82" s="56"/>
      <c r="AK82" s="56"/>
      <c r="AL82" s="56"/>
      <c r="AM82" s="60"/>
      <c r="AN82" s="56"/>
      <c r="AO82" s="57"/>
      <c r="AP82" s="60"/>
      <c r="AQ82" s="57"/>
      <c r="AR82" s="60"/>
      <c r="AS82" s="57"/>
      <c r="AT82" s="57"/>
      <c r="AU82" s="57"/>
      <c r="AV82" s="57"/>
      <c r="AW82" s="57"/>
      <c r="AX82" s="57"/>
      <c r="AY82" s="57"/>
      <c r="AZ82" s="60"/>
      <c r="BA82" s="57"/>
      <c r="BB82" s="60"/>
      <c r="BC82" s="56"/>
      <c r="BD82" s="60"/>
      <c r="BE82" s="56"/>
      <c r="BF82" s="56"/>
      <c r="BG82" s="56"/>
      <c r="BH82" s="56"/>
      <c r="BI82" s="56"/>
      <c r="BJ82" s="56"/>
      <c r="BK82" s="56"/>
      <c r="BL82" s="60"/>
      <c r="BM82" s="56"/>
      <c r="BN82" s="60"/>
      <c r="BO82" s="57"/>
      <c r="BP82" s="60"/>
      <c r="BQ82" s="57"/>
      <c r="BR82" s="60"/>
      <c r="BS82" s="57"/>
      <c r="BT82" s="57"/>
      <c r="BU82" s="57"/>
      <c r="BV82" s="57"/>
      <c r="BW82" s="57"/>
      <c r="BX82" s="57"/>
      <c r="BY82" s="57"/>
      <c r="BZ82" s="60"/>
      <c r="CA82" s="57"/>
    </row>
    <row r="83" spans="1:79" x14ac:dyDescent="0.15">
      <c r="A83" s="55">
        <v>81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6"/>
      <c r="AC83" s="60"/>
      <c r="AD83" s="56"/>
      <c r="AE83" s="60"/>
      <c r="AF83" s="56"/>
      <c r="AG83" s="56"/>
      <c r="AH83" s="56"/>
      <c r="AI83" s="56"/>
      <c r="AJ83" s="56"/>
      <c r="AK83" s="56"/>
      <c r="AL83" s="56"/>
      <c r="AM83" s="60"/>
      <c r="AN83" s="56"/>
      <c r="AO83" s="57"/>
      <c r="AP83" s="60"/>
      <c r="AQ83" s="57"/>
      <c r="AR83" s="60"/>
      <c r="AS83" s="57"/>
      <c r="AT83" s="57"/>
      <c r="AU83" s="57"/>
      <c r="AV83" s="57"/>
      <c r="AW83" s="57"/>
      <c r="AX83" s="57"/>
      <c r="AY83" s="57"/>
      <c r="AZ83" s="60"/>
      <c r="BA83" s="57"/>
      <c r="BB83" s="60"/>
      <c r="BC83" s="56"/>
      <c r="BD83" s="60"/>
      <c r="BE83" s="56"/>
      <c r="BF83" s="56"/>
      <c r="BG83" s="56"/>
      <c r="BH83" s="56"/>
      <c r="BI83" s="56"/>
      <c r="BJ83" s="56"/>
      <c r="BK83" s="56"/>
      <c r="BL83" s="60"/>
      <c r="BM83" s="56"/>
      <c r="BN83" s="60"/>
      <c r="BO83" s="57"/>
      <c r="BP83" s="60"/>
      <c r="BQ83" s="57"/>
      <c r="BR83" s="60"/>
      <c r="BS83" s="57"/>
      <c r="BT83" s="57"/>
      <c r="BU83" s="57"/>
      <c r="BV83" s="57"/>
      <c r="BW83" s="57"/>
      <c r="BX83" s="57"/>
      <c r="BY83" s="57"/>
      <c r="BZ83" s="60"/>
      <c r="CA83" s="57"/>
    </row>
    <row r="84" spans="1:79" x14ac:dyDescent="0.15">
      <c r="A84" s="55">
        <v>82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6"/>
      <c r="AC84" s="60"/>
      <c r="AD84" s="56"/>
      <c r="AE84" s="60"/>
      <c r="AF84" s="56"/>
      <c r="AG84" s="56"/>
      <c r="AH84" s="56"/>
      <c r="AI84" s="56"/>
      <c r="AJ84" s="56"/>
      <c r="AK84" s="56"/>
      <c r="AL84" s="56"/>
      <c r="AM84" s="60"/>
      <c r="AN84" s="56"/>
      <c r="AO84" s="57"/>
      <c r="AP84" s="60"/>
      <c r="AQ84" s="57"/>
      <c r="AR84" s="60"/>
      <c r="AS84" s="57"/>
      <c r="AT84" s="57"/>
      <c r="AU84" s="57"/>
      <c r="AV84" s="57"/>
      <c r="AW84" s="57"/>
      <c r="AX84" s="57"/>
      <c r="AY84" s="57"/>
      <c r="AZ84" s="60"/>
      <c r="BA84" s="57"/>
      <c r="BB84" s="60"/>
      <c r="BC84" s="56"/>
      <c r="BD84" s="60"/>
      <c r="BE84" s="56"/>
      <c r="BF84" s="56"/>
      <c r="BG84" s="56"/>
      <c r="BH84" s="56"/>
      <c r="BI84" s="56"/>
      <c r="BJ84" s="56"/>
      <c r="BK84" s="56"/>
      <c r="BL84" s="60"/>
      <c r="BM84" s="56"/>
      <c r="BN84" s="60"/>
      <c r="BO84" s="57"/>
      <c r="BP84" s="60"/>
      <c r="BQ84" s="57"/>
      <c r="BR84" s="60"/>
      <c r="BS84" s="57"/>
      <c r="BT84" s="57"/>
      <c r="BU84" s="57"/>
      <c r="BV84" s="57"/>
      <c r="BW84" s="57"/>
      <c r="BX84" s="57"/>
      <c r="BY84" s="57"/>
      <c r="BZ84" s="60"/>
      <c r="CA84" s="57"/>
    </row>
    <row r="85" spans="1:79" x14ac:dyDescent="0.15">
      <c r="A85" s="55">
        <v>83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6"/>
      <c r="AC85" s="60"/>
      <c r="AD85" s="56"/>
      <c r="AE85" s="60"/>
      <c r="AF85" s="56"/>
      <c r="AG85" s="56"/>
      <c r="AH85" s="56"/>
      <c r="AI85" s="56"/>
      <c r="AJ85" s="56"/>
      <c r="AK85" s="56"/>
      <c r="AL85" s="56"/>
      <c r="AM85" s="60"/>
      <c r="AN85" s="56"/>
      <c r="AO85" s="57"/>
      <c r="AP85" s="60"/>
      <c r="AQ85" s="57"/>
      <c r="AR85" s="60"/>
      <c r="AS85" s="57"/>
      <c r="AT85" s="57"/>
      <c r="AU85" s="57"/>
      <c r="AV85" s="57"/>
      <c r="AW85" s="57"/>
      <c r="AX85" s="57"/>
      <c r="AY85" s="57"/>
      <c r="AZ85" s="60"/>
      <c r="BA85" s="57"/>
      <c r="BB85" s="60"/>
      <c r="BC85" s="56"/>
      <c r="BD85" s="60"/>
      <c r="BE85" s="56"/>
      <c r="BF85" s="56"/>
      <c r="BG85" s="56"/>
      <c r="BH85" s="56"/>
      <c r="BI85" s="56"/>
      <c r="BJ85" s="56"/>
      <c r="BK85" s="56"/>
      <c r="BL85" s="60"/>
      <c r="BM85" s="56"/>
      <c r="BN85" s="60"/>
      <c r="BO85" s="57"/>
      <c r="BP85" s="60"/>
      <c r="BQ85" s="57"/>
      <c r="BR85" s="60"/>
      <c r="BS85" s="57"/>
      <c r="BT85" s="57"/>
      <c r="BU85" s="57"/>
      <c r="BV85" s="57"/>
      <c r="BW85" s="57"/>
      <c r="BX85" s="57"/>
      <c r="BY85" s="57"/>
      <c r="BZ85" s="60"/>
      <c r="CA85" s="57"/>
    </row>
    <row r="86" spans="1:79" x14ac:dyDescent="0.15">
      <c r="A86" s="55">
        <v>84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6"/>
      <c r="AC86" s="60"/>
      <c r="AD86" s="56"/>
      <c r="AE86" s="60"/>
      <c r="AF86" s="56"/>
      <c r="AG86" s="56"/>
      <c r="AH86" s="56"/>
      <c r="AI86" s="56"/>
      <c r="AJ86" s="56"/>
      <c r="AK86" s="56"/>
      <c r="AL86" s="56"/>
      <c r="AM86" s="60"/>
      <c r="AN86" s="56"/>
      <c r="AO86" s="57"/>
      <c r="AP86" s="60"/>
      <c r="AQ86" s="57"/>
      <c r="AR86" s="60"/>
      <c r="AS86" s="57"/>
      <c r="AT86" s="57"/>
      <c r="AU86" s="57"/>
      <c r="AV86" s="57"/>
      <c r="AW86" s="57"/>
      <c r="AX86" s="57"/>
      <c r="AY86" s="57"/>
      <c r="AZ86" s="60"/>
      <c r="BA86" s="57"/>
      <c r="BB86" s="60"/>
      <c r="BC86" s="56"/>
      <c r="BD86" s="60"/>
      <c r="BE86" s="56"/>
      <c r="BF86" s="56"/>
      <c r="BG86" s="56"/>
      <c r="BH86" s="56"/>
      <c r="BI86" s="56"/>
      <c r="BJ86" s="56"/>
      <c r="BK86" s="56"/>
      <c r="BL86" s="60"/>
      <c r="BM86" s="56"/>
      <c r="BN86" s="60"/>
      <c r="BO86" s="57"/>
      <c r="BP86" s="60"/>
      <c r="BQ86" s="57"/>
      <c r="BR86" s="60"/>
      <c r="BS86" s="57"/>
      <c r="BT86" s="57"/>
      <c r="BU86" s="57"/>
      <c r="BV86" s="57"/>
      <c r="BW86" s="57"/>
      <c r="BX86" s="57"/>
      <c r="BY86" s="57"/>
      <c r="BZ86" s="60"/>
      <c r="CA86" s="57"/>
    </row>
    <row r="87" spans="1:79" x14ac:dyDescent="0.15">
      <c r="A87" s="55">
        <v>85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6"/>
      <c r="AC87" s="60"/>
      <c r="AD87" s="56"/>
      <c r="AE87" s="60"/>
      <c r="AF87" s="56"/>
      <c r="AG87" s="56"/>
      <c r="AH87" s="56"/>
      <c r="AI87" s="56"/>
      <c r="AJ87" s="56"/>
      <c r="AK87" s="56"/>
      <c r="AL87" s="56"/>
      <c r="AM87" s="60"/>
      <c r="AN87" s="56"/>
      <c r="AO87" s="57"/>
      <c r="AP87" s="60"/>
      <c r="AQ87" s="57"/>
      <c r="AR87" s="60"/>
      <c r="AS87" s="57"/>
      <c r="AT87" s="57"/>
      <c r="AU87" s="57"/>
      <c r="AV87" s="57"/>
      <c r="AW87" s="57"/>
      <c r="AX87" s="57"/>
      <c r="AY87" s="57"/>
      <c r="AZ87" s="60"/>
      <c r="BA87" s="57"/>
      <c r="BB87" s="60"/>
      <c r="BC87" s="56"/>
      <c r="BD87" s="60"/>
      <c r="BE87" s="56"/>
      <c r="BF87" s="56"/>
      <c r="BG87" s="56"/>
      <c r="BH87" s="56"/>
      <c r="BI87" s="56"/>
      <c r="BJ87" s="56"/>
      <c r="BK87" s="56"/>
      <c r="BL87" s="60"/>
      <c r="BM87" s="56"/>
      <c r="BN87" s="60"/>
      <c r="BO87" s="57"/>
      <c r="BP87" s="60"/>
      <c r="BQ87" s="57"/>
      <c r="BR87" s="60"/>
      <c r="BS87" s="57"/>
      <c r="BT87" s="57"/>
      <c r="BU87" s="57"/>
      <c r="BV87" s="57"/>
      <c r="BW87" s="57"/>
      <c r="BX87" s="57"/>
      <c r="BY87" s="57"/>
      <c r="BZ87" s="60"/>
      <c r="CA87" s="57"/>
    </row>
    <row r="88" spans="1:79" x14ac:dyDescent="0.15">
      <c r="A88" s="55">
        <v>86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6"/>
      <c r="AC88" s="60"/>
      <c r="AD88" s="56"/>
      <c r="AE88" s="60"/>
      <c r="AF88" s="56"/>
      <c r="AG88" s="56"/>
      <c r="AH88" s="56"/>
      <c r="AI88" s="56"/>
      <c r="AJ88" s="56"/>
      <c r="AK88" s="56"/>
      <c r="AL88" s="56"/>
      <c r="AM88" s="60"/>
      <c r="AN88" s="56"/>
      <c r="AO88" s="57"/>
      <c r="AP88" s="60"/>
      <c r="AQ88" s="57"/>
      <c r="AR88" s="60"/>
      <c r="AS88" s="57"/>
      <c r="AT88" s="57"/>
      <c r="AU88" s="57"/>
      <c r="AV88" s="57"/>
      <c r="AW88" s="57"/>
      <c r="AX88" s="57"/>
      <c r="AY88" s="57"/>
      <c r="AZ88" s="60"/>
      <c r="BA88" s="57"/>
      <c r="BB88" s="60"/>
      <c r="BC88" s="56"/>
      <c r="BD88" s="60"/>
      <c r="BE88" s="56"/>
      <c r="BF88" s="56"/>
      <c r="BG88" s="56"/>
      <c r="BH88" s="56"/>
      <c r="BI88" s="56"/>
      <c r="BJ88" s="56"/>
      <c r="BK88" s="56"/>
      <c r="BL88" s="60"/>
      <c r="BM88" s="56"/>
      <c r="BN88" s="60"/>
      <c r="BO88" s="57"/>
      <c r="BP88" s="60"/>
      <c r="BQ88" s="57"/>
      <c r="BR88" s="60"/>
      <c r="BS88" s="57"/>
      <c r="BT88" s="57"/>
      <c r="BU88" s="57"/>
      <c r="BV88" s="57"/>
      <c r="BW88" s="57"/>
      <c r="BX88" s="57"/>
      <c r="BY88" s="57"/>
      <c r="BZ88" s="60"/>
      <c r="CA88" s="57"/>
    </row>
    <row r="89" spans="1:79" x14ac:dyDescent="0.15">
      <c r="A89" s="55">
        <v>87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6"/>
      <c r="AC89" s="60"/>
      <c r="AD89" s="56"/>
      <c r="AE89" s="60"/>
      <c r="AF89" s="56"/>
      <c r="AG89" s="56"/>
      <c r="AH89" s="56"/>
      <c r="AI89" s="56"/>
      <c r="AJ89" s="56"/>
      <c r="AK89" s="56"/>
      <c r="AL89" s="56"/>
      <c r="AM89" s="60"/>
      <c r="AN89" s="56"/>
      <c r="AO89" s="57"/>
      <c r="AP89" s="60"/>
      <c r="AQ89" s="57"/>
      <c r="AR89" s="60"/>
      <c r="AS89" s="57"/>
      <c r="AT89" s="57"/>
      <c r="AU89" s="57"/>
      <c r="AV89" s="57"/>
      <c r="AW89" s="57"/>
      <c r="AX89" s="57"/>
      <c r="AY89" s="57"/>
      <c r="AZ89" s="60"/>
      <c r="BA89" s="57"/>
      <c r="BB89" s="60"/>
      <c r="BC89" s="56"/>
      <c r="BD89" s="60"/>
      <c r="BE89" s="56"/>
      <c r="BF89" s="56"/>
      <c r="BG89" s="56"/>
      <c r="BH89" s="56"/>
      <c r="BI89" s="56"/>
      <c r="BJ89" s="56"/>
      <c r="BK89" s="56"/>
      <c r="BL89" s="60"/>
      <c r="BM89" s="56"/>
      <c r="BN89" s="60"/>
      <c r="BO89" s="57"/>
      <c r="BP89" s="60"/>
      <c r="BQ89" s="57"/>
      <c r="BR89" s="60"/>
      <c r="BS89" s="57"/>
      <c r="BT89" s="57"/>
      <c r="BU89" s="57"/>
      <c r="BV89" s="57"/>
      <c r="BW89" s="57"/>
      <c r="BX89" s="57"/>
      <c r="BY89" s="57"/>
      <c r="BZ89" s="60"/>
      <c r="CA89" s="57"/>
    </row>
    <row r="90" spans="1:79" x14ac:dyDescent="0.15">
      <c r="A90" s="55">
        <v>88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6"/>
      <c r="AC90" s="60"/>
      <c r="AD90" s="56"/>
      <c r="AE90" s="60"/>
      <c r="AF90" s="56"/>
      <c r="AG90" s="56"/>
      <c r="AH90" s="56"/>
      <c r="AI90" s="56"/>
      <c r="AJ90" s="56"/>
      <c r="AK90" s="56"/>
      <c r="AL90" s="56"/>
      <c r="AM90" s="60"/>
      <c r="AN90" s="56"/>
      <c r="AO90" s="57"/>
      <c r="AP90" s="60"/>
      <c r="AQ90" s="57"/>
      <c r="AR90" s="60"/>
      <c r="AS90" s="57"/>
      <c r="AT90" s="57"/>
      <c r="AU90" s="57"/>
      <c r="AV90" s="57"/>
      <c r="AW90" s="57"/>
      <c r="AX90" s="57"/>
      <c r="AY90" s="57"/>
      <c r="AZ90" s="60"/>
      <c r="BA90" s="57"/>
      <c r="BB90" s="60"/>
      <c r="BC90" s="56"/>
      <c r="BD90" s="60"/>
      <c r="BE90" s="56"/>
      <c r="BF90" s="56"/>
      <c r="BG90" s="56"/>
      <c r="BH90" s="56"/>
      <c r="BI90" s="56"/>
      <c r="BJ90" s="56"/>
      <c r="BK90" s="56"/>
      <c r="BL90" s="60"/>
      <c r="BM90" s="56"/>
      <c r="BN90" s="60"/>
      <c r="BO90" s="57"/>
      <c r="BP90" s="60"/>
      <c r="BQ90" s="57"/>
      <c r="BR90" s="60"/>
      <c r="BS90" s="57"/>
      <c r="BT90" s="57"/>
      <c r="BU90" s="57"/>
      <c r="BV90" s="57"/>
      <c r="BW90" s="57"/>
      <c r="BX90" s="57"/>
      <c r="BY90" s="57"/>
      <c r="BZ90" s="60"/>
      <c r="CA90" s="57"/>
    </row>
    <row r="91" spans="1:79" x14ac:dyDescent="0.15">
      <c r="A91" s="55">
        <v>89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6"/>
      <c r="AC91" s="60"/>
      <c r="AD91" s="56"/>
      <c r="AE91" s="60"/>
      <c r="AF91" s="56"/>
      <c r="AG91" s="56"/>
      <c r="AH91" s="56"/>
      <c r="AI91" s="56"/>
      <c r="AJ91" s="56"/>
      <c r="AK91" s="56"/>
      <c r="AL91" s="56"/>
      <c r="AM91" s="60"/>
      <c r="AN91" s="56"/>
      <c r="AO91" s="57"/>
      <c r="AP91" s="60"/>
      <c r="AQ91" s="57"/>
      <c r="AR91" s="60"/>
      <c r="AS91" s="57"/>
      <c r="AT91" s="57"/>
      <c r="AU91" s="57"/>
      <c r="AV91" s="57"/>
      <c r="AW91" s="57"/>
      <c r="AX91" s="57"/>
      <c r="AY91" s="57"/>
      <c r="AZ91" s="60"/>
      <c r="BA91" s="57"/>
      <c r="BB91" s="60"/>
      <c r="BC91" s="56"/>
      <c r="BD91" s="60"/>
      <c r="BE91" s="56"/>
      <c r="BF91" s="56"/>
      <c r="BG91" s="56"/>
      <c r="BH91" s="56"/>
      <c r="BI91" s="56"/>
      <c r="BJ91" s="56"/>
      <c r="BK91" s="56"/>
      <c r="BL91" s="60"/>
      <c r="BM91" s="56"/>
      <c r="BN91" s="60"/>
      <c r="BO91" s="57"/>
      <c r="BP91" s="60"/>
      <c r="BQ91" s="57"/>
      <c r="BR91" s="60"/>
      <c r="BS91" s="57"/>
      <c r="BT91" s="57"/>
      <c r="BU91" s="57"/>
      <c r="BV91" s="57"/>
      <c r="BW91" s="57"/>
      <c r="BX91" s="57"/>
      <c r="BY91" s="57"/>
      <c r="BZ91" s="60"/>
      <c r="CA91" s="57"/>
    </row>
    <row r="92" spans="1:79" x14ac:dyDescent="0.15">
      <c r="A92" s="55">
        <v>90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6"/>
      <c r="AC92" s="60"/>
      <c r="AD92" s="56"/>
      <c r="AE92" s="60"/>
      <c r="AF92" s="56"/>
      <c r="AG92" s="56"/>
      <c r="AH92" s="56"/>
      <c r="AI92" s="56"/>
      <c r="AJ92" s="56"/>
      <c r="AK92" s="56"/>
      <c r="AL92" s="56"/>
      <c r="AM92" s="60"/>
      <c r="AN92" s="56"/>
      <c r="AO92" s="57"/>
      <c r="AP92" s="60"/>
      <c r="AQ92" s="57"/>
      <c r="AR92" s="60"/>
      <c r="AS92" s="57"/>
      <c r="AT92" s="57"/>
      <c r="AU92" s="57"/>
      <c r="AV92" s="57"/>
      <c r="AW92" s="57"/>
      <c r="AX92" s="57"/>
      <c r="AY92" s="57"/>
      <c r="AZ92" s="60"/>
      <c r="BA92" s="57"/>
      <c r="BB92" s="60"/>
      <c r="BC92" s="56"/>
      <c r="BD92" s="60"/>
      <c r="BE92" s="56"/>
      <c r="BF92" s="56"/>
      <c r="BG92" s="56"/>
      <c r="BH92" s="56"/>
      <c r="BI92" s="56"/>
      <c r="BJ92" s="56"/>
      <c r="BK92" s="56"/>
      <c r="BL92" s="60"/>
      <c r="BM92" s="56"/>
      <c r="BN92" s="60"/>
      <c r="BO92" s="57"/>
      <c r="BP92" s="60"/>
      <c r="BQ92" s="57"/>
      <c r="BR92" s="60"/>
      <c r="BS92" s="57"/>
      <c r="BT92" s="57"/>
      <c r="BU92" s="57"/>
      <c r="BV92" s="57"/>
      <c r="BW92" s="57"/>
      <c r="BX92" s="57"/>
      <c r="BY92" s="57"/>
      <c r="BZ92" s="60"/>
      <c r="CA92" s="57"/>
    </row>
    <row r="93" spans="1:79" x14ac:dyDescent="0.15">
      <c r="A93" s="55">
        <v>91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6"/>
      <c r="AC93" s="60"/>
      <c r="AD93" s="56"/>
      <c r="AE93" s="60"/>
      <c r="AF93" s="56"/>
      <c r="AG93" s="56"/>
      <c r="AH93" s="56"/>
      <c r="AI93" s="56"/>
      <c r="AJ93" s="56"/>
      <c r="AK93" s="56"/>
      <c r="AL93" s="56"/>
      <c r="AM93" s="60"/>
      <c r="AN93" s="56"/>
      <c r="AO93" s="57"/>
      <c r="AP93" s="60"/>
      <c r="AQ93" s="57"/>
      <c r="AR93" s="60"/>
      <c r="AS93" s="57"/>
      <c r="AT93" s="57"/>
      <c r="AU93" s="57"/>
      <c r="AV93" s="57"/>
      <c r="AW93" s="57"/>
      <c r="AX93" s="57"/>
      <c r="AY93" s="57"/>
      <c r="AZ93" s="60"/>
      <c r="BA93" s="57"/>
      <c r="BB93" s="60"/>
      <c r="BC93" s="56"/>
      <c r="BD93" s="60"/>
      <c r="BE93" s="56"/>
      <c r="BF93" s="56"/>
      <c r="BG93" s="56"/>
      <c r="BH93" s="56"/>
      <c r="BI93" s="56"/>
      <c r="BJ93" s="56"/>
      <c r="BK93" s="56"/>
      <c r="BL93" s="60"/>
      <c r="BM93" s="56"/>
      <c r="BN93" s="60"/>
      <c r="BO93" s="57"/>
      <c r="BP93" s="60"/>
      <c r="BQ93" s="57"/>
      <c r="BR93" s="60"/>
      <c r="BS93" s="57"/>
      <c r="BT93" s="57"/>
      <c r="BU93" s="57"/>
      <c r="BV93" s="57"/>
      <c r="BW93" s="57"/>
      <c r="BX93" s="57"/>
      <c r="BY93" s="57"/>
      <c r="BZ93" s="60"/>
      <c r="CA93" s="57"/>
    </row>
    <row r="94" spans="1:79" x14ac:dyDescent="0.15">
      <c r="A94" s="55">
        <v>92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6"/>
      <c r="AC94" s="60"/>
      <c r="AD94" s="56"/>
      <c r="AE94" s="60"/>
      <c r="AF94" s="56"/>
      <c r="AG94" s="56"/>
      <c r="AH94" s="56"/>
      <c r="AI94" s="56"/>
      <c r="AJ94" s="56"/>
      <c r="AK94" s="56"/>
      <c r="AL94" s="56"/>
      <c r="AM94" s="60"/>
      <c r="AN94" s="56"/>
      <c r="AO94" s="57"/>
      <c r="AP94" s="60"/>
      <c r="AQ94" s="57"/>
      <c r="AR94" s="60"/>
      <c r="AS94" s="57"/>
      <c r="AT94" s="57"/>
      <c r="AU94" s="57"/>
      <c r="AV94" s="57"/>
      <c r="AW94" s="57"/>
      <c r="AX94" s="57"/>
      <c r="AY94" s="57"/>
      <c r="AZ94" s="60"/>
      <c r="BA94" s="57"/>
      <c r="BB94" s="60"/>
      <c r="BC94" s="56"/>
      <c r="BD94" s="60"/>
      <c r="BE94" s="56"/>
      <c r="BF94" s="56"/>
      <c r="BG94" s="56"/>
      <c r="BH94" s="56"/>
      <c r="BI94" s="56"/>
      <c r="BJ94" s="56"/>
      <c r="BK94" s="56"/>
      <c r="BL94" s="60"/>
      <c r="BM94" s="56"/>
      <c r="BN94" s="60"/>
      <c r="BO94" s="57"/>
      <c r="BP94" s="60"/>
      <c r="BQ94" s="57"/>
      <c r="BR94" s="60"/>
      <c r="BS94" s="57"/>
      <c r="BT94" s="57"/>
      <c r="BU94" s="57"/>
      <c r="BV94" s="57"/>
      <c r="BW94" s="57"/>
      <c r="BX94" s="57"/>
      <c r="BY94" s="57"/>
      <c r="BZ94" s="60"/>
      <c r="CA94" s="57"/>
    </row>
    <row r="95" spans="1:79" x14ac:dyDescent="0.15">
      <c r="A95" s="55">
        <v>93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6"/>
      <c r="AC95" s="60"/>
      <c r="AD95" s="56"/>
      <c r="AE95" s="60"/>
      <c r="AF95" s="56"/>
      <c r="AG95" s="56"/>
      <c r="AH95" s="56"/>
      <c r="AI95" s="56"/>
      <c r="AJ95" s="56"/>
      <c r="AK95" s="56"/>
      <c r="AL95" s="56"/>
      <c r="AM95" s="60"/>
      <c r="AN95" s="56"/>
      <c r="AO95" s="57"/>
      <c r="AP95" s="60"/>
      <c r="AQ95" s="57"/>
      <c r="AR95" s="60"/>
      <c r="AS95" s="57"/>
      <c r="AT95" s="57"/>
      <c r="AU95" s="57"/>
      <c r="AV95" s="57"/>
      <c r="AW95" s="57"/>
      <c r="AX95" s="57"/>
      <c r="AY95" s="57"/>
      <c r="AZ95" s="60"/>
      <c r="BA95" s="57"/>
      <c r="BB95" s="60"/>
      <c r="BC95" s="56"/>
      <c r="BD95" s="60"/>
      <c r="BE95" s="56"/>
      <c r="BF95" s="56"/>
      <c r="BG95" s="56"/>
      <c r="BH95" s="56"/>
      <c r="BI95" s="56"/>
      <c r="BJ95" s="56"/>
      <c r="BK95" s="56"/>
      <c r="BL95" s="60"/>
      <c r="BM95" s="56"/>
      <c r="BN95" s="60"/>
      <c r="BO95" s="57"/>
      <c r="BP95" s="60"/>
      <c r="BQ95" s="57"/>
      <c r="BR95" s="60"/>
      <c r="BS95" s="57"/>
      <c r="BT95" s="57"/>
      <c r="BU95" s="57"/>
      <c r="BV95" s="57"/>
      <c r="BW95" s="57"/>
      <c r="BX95" s="57"/>
      <c r="BY95" s="57"/>
      <c r="BZ95" s="60"/>
      <c r="CA95" s="57"/>
    </row>
    <row r="96" spans="1:79" x14ac:dyDescent="0.15">
      <c r="A96" s="55">
        <v>94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6"/>
      <c r="AC96" s="60"/>
      <c r="AD96" s="56"/>
      <c r="AE96" s="60"/>
      <c r="AF96" s="56"/>
      <c r="AG96" s="56"/>
      <c r="AH96" s="56"/>
      <c r="AI96" s="56"/>
      <c r="AJ96" s="56"/>
      <c r="AK96" s="56"/>
      <c r="AL96" s="56"/>
      <c r="AM96" s="60"/>
      <c r="AN96" s="56"/>
      <c r="AO96" s="57"/>
      <c r="AP96" s="60"/>
      <c r="AQ96" s="57"/>
      <c r="AR96" s="60"/>
      <c r="AS96" s="57"/>
      <c r="AT96" s="57"/>
      <c r="AU96" s="57"/>
      <c r="AV96" s="57"/>
      <c r="AW96" s="57"/>
      <c r="AX96" s="57"/>
      <c r="AY96" s="57"/>
      <c r="AZ96" s="60"/>
      <c r="BA96" s="57"/>
      <c r="BB96" s="60"/>
      <c r="BC96" s="56"/>
      <c r="BD96" s="60"/>
      <c r="BE96" s="56"/>
      <c r="BF96" s="56"/>
      <c r="BG96" s="56"/>
      <c r="BH96" s="56"/>
      <c r="BI96" s="56"/>
      <c r="BJ96" s="56"/>
      <c r="BK96" s="56"/>
      <c r="BL96" s="60"/>
      <c r="BM96" s="56"/>
      <c r="BN96" s="60"/>
      <c r="BO96" s="57"/>
      <c r="BP96" s="60"/>
      <c r="BQ96" s="57"/>
      <c r="BR96" s="60"/>
      <c r="BS96" s="57"/>
      <c r="BT96" s="57"/>
      <c r="BU96" s="57"/>
      <c r="BV96" s="57"/>
      <c r="BW96" s="57"/>
      <c r="BX96" s="57"/>
      <c r="BY96" s="57"/>
      <c r="BZ96" s="60"/>
      <c r="CA96" s="57"/>
    </row>
    <row r="97" spans="1:79" x14ac:dyDescent="0.15">
      <c r="A97" s="55">
        <v>95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6"/>
      <c r="AC97" s="60"/>
      <c r="AD97" s="56"/>
      <c r="AE97" s="60"/>
      <c r="AF97" s="56"/>
      <c r="AG97" s="56"/>
      <c r="AH97" s="56"/>
      <c r="AI97" s="56"/>
      <c r="AJ97" s="56"/>
      <c r="AK97" s="56"/>
      <c r="AL97" s="56"/>
      <c r="AM97" s="60"/>
      <c r="AN97" s="56"/>
      <c r="AO97" s="57"/>
      <c r="AP97" s="60"/>
      <c r="AQ97" s="57"/>
      <c r="AR97" s="60"/>
      <c r="AS97" s="57"/>
      <c r="AT97" s="57"/>
      <c r="AU97" s="57"/>
      <c r="AV97" s="57"/>
      <c r="AW97" s="57"/>
      <c r="AX97" s="57"/>
      <c r="AY97" s="57"/>
      <c r="AZ97" s="60"/>
      <c r="BA97" s="57"/>
      <c r="BB97" s="60"/>
      <c r="BC97" s="56"/>
      <c r="BD97" s="60"/>
      <c r="BE97" s="56"/>
      <c r="BF97" s="56"/>
      <c r="BG97" s="56"/>
      <c r="BH97" s="56"/>
      <c r="BI97" s="56"/>
      <c r="BJ97" s="56"/>
      <c r="BK97" s="56"/>
      <c r="BL97" s="60"/>
      <c r="BM97" s="56"/>
      <c r="BN97" s="60"/>
      <c r="BO97" s="57"/>
      <c r="BP97" s="60"/>
      <c r="BQ97" s="57"/>
      <c r="BR97" s="60"/>
      <c r="BS97" s="57"/>
      <c r="BT97" s="57"/>
      <c r="BU97" s="57"/>
      <c r="BV97" s="57"/>
      <c r="BW97" s="57"/>
      <c r="BX97" s="57"/>
      <c r="BY97" s="57"/>
      <c r="BZ97" s="60"/>
      <c r="CA97" s="57"/>
    </row>
    <row r="98" spans="1:79" x14ac:dyDescent="0.15">
      <c r="A98" s="55">
        <v>96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6"/>
      <c r="AC98" s="60"/>
      <c r="AD98" s="56"/>
      <c r="AE98" s="60"/>
      <c r="AF98" s="56"/>
      <c r="AG98" s="56"/>
      <c r="AH98" s="56"/>
      <c r="AI98" s="56"/>
      <c r="AJ98" s="56"/>
      <c r="AK98" s="56"/>
      <c r="AL98" s="56"/>
      <c r="AM98" s="60"/>
      <c r="AN98" s="56"/>
      <c r="AO98" s="57"/>
      <c r="AP98" s="60"/>
      <c r="AQ98" s="57"/>
      <c r="AR98" s="60"/>
      <c r="AS98" s="57"/>
      <c r="AT98" s="57"/>
      <c r="AU98" s="57"/>
      <c r="AV98" s="57"/>
      <c r="AW98" s="57"/>
      <c r="AX98" s="57"/>
      <c r="AY98" s="57"/>
      <c r="AZ98" s="60"/>
      <c r="BA98" s="57"/>
      <c r="BB98" s="60"/>
      <c r="BC98" s="56"/>
      <c r="BD98" s="60"/>
      <c r="BE98" s="56"/>
      <c r="BF98" s="56"/>
      <c r="BG98" s="56"/>
      <c r="BH98" s="56"/>
      <c r="BI98" s="56"/>
      <c r="BJ98" s="56"/>
      <c r="BK98" s="56"/>
      <c r="BL98" s="60"/>
      <c r="BM98" s="56"/>
      <c r="BN98" s="60"/>
      <c r="BO98" s="57"/>
      <c r="BP98" s="60"/>
      <c r="BQ98" s="57"/>
      <c r="BR98" s="60"/>
      <c r="BS98" s="57"/>
      <c r="BT98" s="57"/>
      <c r="BU98" s="57"/>
      <c r="BV98" s="57"/>
      <c r="BW98" s="57"/>
      <c r="BX98" s="57"/>
      <c r="BY98" s="57"/>
      <c r="BZ98" s="60"/>
      <c r="CA98" s="57"/>
    </row>
    <row r="99" spans="1:79" x14ac:dyDescent="0.15">
      <c r="A99" s="55">
        <v>97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6"/>
      <c r="AC99" s="60"/>
      <c r="AD99" s="56"/>
      <c r="AE99" s="60"/>
      <c r="AF99" s="56"/>
      <c r="AG99" s="56"/>
      <c r="AH99" s="56"/>
      <c r="AI99" s="56"/>
      <c r="AJ99" s="56"/>
      <c r="AK99" s="56"/>
      <c r="AL99" s="56"/>
      <c r="AM99" s="60"/>
      <c r="AN99" s="56"/>
      <c r="AO99" s="57"/>
      <c r="AP99" s="60"/>
      <c r="AQ99" s="57"/>
      <c r="AR99" s="60"/>
      <c r="AS99" s="57"/>
      <c r="AT99" s="57"/>
      <c r="AU99" s="57"/>
      <c r="AV99" s="57"/>
      <c r="AW99" s="57"/>
      <c r="AX99" s="57"/>
      <c r="AY99" s="57"/>
      <c r="AZ99" s="60"/>
      <c r="BA99" s="57"/>
      <c r="BB99" s="60"/>
      <c r="BC99" s="56"/>
      <c r="BD99" s="60"/>
      <c r="BE99" s="56"/>
      <c r="BF99" s="56"/>
      <c r="BG99" s="56"/>
      <c r="BH99" s="56"/>
      <c r="BI99" s="56"/>
      <c r="BJ99" s="56"/>
      <c r="BK99" s="56"/>
      <c r="BL99" s="60"/>
      <c r="BM99" s="56"/>
      <c r="BN99" s="60"/>
      <c r="BO99" s="57"/>
      <c r="BP99" s="60"/>
      <c r="BQ99" s="57"/>
      <c r="BR99" s="60"/>
      <c r="BS99" s="57"/>
      <c r="BT99" s="57"/>
      <c r="BU99" s="57"/>
      <c r="BV99" s="57"/>
      <c r="BW99" s="57"/>
      <c r="BX99" s="57"/>
      <c r="BY99" s="57"/>
      <c r="BZ99" s="60"/>
      <c r="CA99" s="57"/>
    </row>
    <row r="100" spans="1:79" x14ac:dyDescent="0.15">
      <c r="A100" s="55">
        <v>98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6"/>
      <c r="AC100" s="60"/>
      <c r="AD100" s="56"/>
      <c r="AE100" s="60"/>
      <c r="AF100" s="56"/>
      <c r="AG100" s="56"/>
      <c r="AH100" s="56"/>
      <c r="AI100" s="56"/>
      <c r="AJ100" s="56"/>
      <c r="AK100" s="56"/>
      <c r="AL100" s="56"/>
      <c r="AM100" s="60"/>
      <c r="AN100" s="56"/>
      <c r="AO100" s="57"/>
      <c r="AP100" s="60"/>
      <c r="AQ100" s="57"/>
      <c r="AR100" s="60"/>
      <c r="AS100" s="57"/>
      <c r="AT100" s="57"/>
      <c r="AU100" s="57"/>
      <c r="AV100" s="57"/>
      <c r="AW100" s="57"/>
      <c r="AX100" s="57"/>
      <c r="AY100" s="57"/>
      <c r="AZ100" s="60"/>
      <c r="BA100" s="57"/>
      <c r="BB100" s="60"/>
      <c r="BC100" s="56"/>
      <c r="BD100" s="60"/>
      <c r="BE100" s="56"/>
      <c r="BF100" s="56"/>
      <c r="BG100" s="56"/>
      <c r="BH100" s="56"/>
      <c r="BI100" s="56"/>
      <c r="BJ100" s="56"/>
      <c r="BK100" s="56"/>
      <c r="BL100" s="60"/>
      <c r="BM100" s="56"/>
      <c r="BN100" s="60"/>
      <c r="BO100" s="57"/>
      <c r="BP100" s="60"/>
      <c r="BQ100" s="57"/>
      <c r="BR100" s="60"/>
      <c r="BS100" s="57"/>
      <c r="BT100" s="57"/>
      <c r="BU100" s="57"/>
      <c r="BV100" s="57"/>
      <c r="BW100" s="57"/>
      <c r="BX100" s="57"/>
      <c r="BY100" s="57"/>
      <c r="BZ100" s="60"/>
      <c r="CA100" s="57"/>
    </row>
    <row r="101" spans="1:79" x14ac:dyDescent="0.15">
      <c r="A101" s="55">
        <v>99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6"/>
      <c r="AC101" s="60"/>
      <c r="AD101" s="56"/>
      <c r="AE101" s="60"/>
      <c r="AF101" s="56"/>
      <c r="AG101" s="56"/>
      <c r="AH101" s="56"/>
      <c r="AI101" s="56"/>
      <c r="AJ101" s="56"/>
      <c r="AK101" s="56"/>
      <c r="AL101" s="56"/>
      <c r="AM101" s="60"/>
      <c r="AN101" s="56"/>
      <c r="AO101" s="57"/>
      <c r="AP101" s="60"/>
      <c r="AQ101" s="57"/>
      <c r="AR101" s="60"/>
      <c r="AS101" s="57"/>
      <c r="AT101" s="57"/>
      <c r="AU101" s="57"/>
      <c r="AV101" s="57"/>
      <c r="AW101" s="57"/>
      <c r="AX101" s="57"/>
      <c r="AY101" s="57"/>
      <c r="AZ101" s="60"/>
      <c r="BA101" s="57"/>
      <c r="BB101" s="60"/>
      <c r="BC101" s="56"/>
      <c r="BD101" s="60"/>
      <c r="BE101" s="56"/>
      <c r="BF101" s="56"/>
      <c r="BG101" s="56"/>
      <c r="BH101" s="56"/>
      <c r="BI101" s="56"/>
      <c r="BJ101" s="56"/>
      <c r="BK101" s="56"/>
      <c r="BL101" s="60"/>
      <c r="BM101" s="56"/>
      <c r="BN101" s="60"/>
      <c r="BO101" s="57"/>
      <c r="BP101" s="60"/>
      <c r="BQ101" s="57"/>
      <c r="BR101" s="60"/>
      <c r="BS101" s="57"/>
      <c r="BT101" s="57"/>
      <c r="BU101" s="57"/>
      <c r="BV101" s="57"/>
      <c r="BW101" s="57"/>
      <c r="BX101" s="57"/>
      <c r="BY101" s="57"/>
      <c r="BZ101" s="60"/>
      <c r="CA101" s="57"/>
    </row>
    <row r="102" spans="1:79" x14ac:dyDescent="0.15">
      <c r="A102" s="55">
        <v>100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6"/>
      <c r="AC102" s="60"/>
      <c r="AD102" s="56"/>
      <c r="AE102" s="60"/>
      <c r="AF102" s="56"/>
      <c r="AG102" s="56"/>
      <c r="AH102" s="56"/>
      <c r="AI102" s="56"/>
      <c r="AJ102" s="56"/>
      <c r="AK102" s="56"/>
      <c r="AL102" s="56"/>
      <c r="AM102" s="60"/>
      <c r="AN102" s="56"/>
      <c r="AO102" s="57"/>
      <c r="AP102" s="60"/>
      <c r="AQ102" s="57"/>
      <c r="AR102" s="60"/>
      <c r="AS102" s="57"/>
      <c r="AT102" s="57"/>
      <c r="AU102" s="57"/>
      <c r="AV102" s="57"/>
      <c r="AW102" s="57"/>
      <c r="AX102" s="57"/>
      <c r="AY102" s="57"/>
      <c r="AZ102" s="60"/>
      <c r="BA102" s="57"/>
      <c r="BB102" s="60"/>
      <c r="BC102" s="56"/>
      <c r="BD102" s="60"/>
      <c r="BE102" s="56"/>
      <c r="BF102" s="56"/>
      <c r="BG102" s="56"/>
      <c r="BH102" s="56"/>
      <c r="BI102" s="56"/>
      <c r="BJ102" s="56"/>
      <c r="BK102" s="56"/>
      <c r="BL102" s="60"/>
      <c r="BM102" s="56"/>
      <c r="BN102" s="60"/>
      <c r="BO102" s="57"/>
      <c r="BP102" s="60"/>
      <c r="BQ102" s="57"/>
      <c r="BR102" s="60"/>
      <c r="BS102" s="57"/>
      <c r="BT102" s="57"/>
      <c r="BU102" s="57"/>
      <c r="BV102" s="57"/>
      <c r="BW102" s="57"/>
      <c r="BX102" s="57"/>
      <c r="BY102" s="57"/>
      <c r="BZ102" s="60"/>
      <c r="CA102" s="57"/>
    </row>
    <row r="103" spans="1:79" x14ac:dyDescent="0.15">
      <c r="A103" s="55">
        <v>101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6"/>
      <c r="AC103" s="60"/>
      <c r="AD103" s="56"/>
      <c r="AE103" s="60"/>
      <c r="AF103" s="56"/>
      <c r="AG103" s="56"/>
      <c r="AH103" s="56"/>
      <c r="AI103" s="56"/>
      <c r="AJ103" s="56"/>
      <c r="AK103" s="56"/>
      <c r="AL103" s="56"/>
      <c r="AM103" s="60"/>
      <c r="AN103" s="56"/>
      <c r="AO103" s="57"/>
      <c r="AP103" s="60"/>
      <c r="AQ103" s="57"/>
      <c r="AR103" s="60"/>
      <c r="AS103" s="57"/>
      <c r="AT103" s="57"/>
      <c r="AU103" s="57"/>
      <c r="AV103" s="57"/>
      <c r="AW103" s="57"/>
      <c r="AX103" s="57"/>
      <c r="AY103" s="57"/>
      <c r="AZ103" s="60"/>
      <c r="BA103" s="57"/>
      <c r="BB103" s="60"/>
      <c r="BC103" s="56"/>
      <c r="BD103" s="60"/>
      <c r="BE103" s="56"/>
      <c r="BF103" s="56"/>
      <c r="BG103" s="56"/>
      <c r="BH103" s="56"/>
      <c r="BI103" s="56"/>
      <c r="BJ103" s="56"/>
      <c r="BK103" s="56"/>
      <c r="BL103" s="60"/>
      <c r="BM103" s="56"/>
      <c r="BN103" s="60"/>
      <c r="BO103" s="57"/>
      <c r="BP103" s="60"/>
      <c r="BQ103" s="57"/>
      <c r="BR103" s="60"/>
      <c r="BS103" s="57"/>
      <c r="BT103" s="57"/>
      <c r="BU103" s="57"/>
      <c r="BV103" s="57"/>
      <c r="BW103" s="57"/>
      <c r="BX103" s="57"/>
      <c r="BY103" s="57"/>
      <c r="BZ103" s="60"/>
      <c r="CA103" s="57"/>
    </row>
    <row r="104" spans="1:79" x14ac:dyDescent="0.15">
      <c r="A104" s="55">
        <v>102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6"/>
      <c r="AC104" s="60"/>
      <c r="AD104" s="56"/>
      <c r="AE104" s="60"/>
      <c r="AF104" s="56"/>
      <c r="AG104" s="56"/>
      <c r="AH104" s="56"/>
      <c r="AI104" s="56"/>
      <c r="AJ104" s="56"/>
      <c r="AK104" s="56"/>
      <c r="AL104" s="56"/>
      <c r="AM104" s="60"/>
      <c r="AN104" s="56"/>
      <c r="AO104" s="57"/>
      <c r="AP104" s="60"/>
      <c r="AQ104" s="57"/>
      <c r="AR104" s="60"/>
      <c r="AS104" s="57"/>
      <c r="AT104" s="57"/>
      <c r="AU104" s="57"/>
      <c r="AV104" s="57"/>
      <c r="AW104" s="57"/>
      <c r="AX104" s="57"/>
      <c r="AY104" s="57"/>
      <c r="AZ104" s="60"/>
      <c r="BA104" s="57"/>
      <c r="BB104" s="60"/>
      <c r="BC104" s="56"/>
      <c r="BD104" s="60"/>
      <c r="BE104" s="56"/>
      <c r="BF104" s="56"/>
      <c r="BG104" s="56"/>
      <c r="BH104" s="56"/>
      <c r="BI104" s="56"/>
      <c r="BJ104" s="56"/>
      <c r="BK104" s="56"/>
      <c r="BL104" s="60"/>
      <c r="BM104" s="56"/>
      <c r="BN104" s="60"/>
      <c r="BO104" s="57"/>
      <c r="BP104" s="60"/>
      <c r="BQ104" s="57"/>
      <c r="BR104" s="60"/>
      <c r="BS104" s="57"/>
      <c r="BT104" s="57"/>
      <c r="BU104" s="57"/>
      <c r="BV104" s="57"/>
      <c r="BW104" s="57"/>
      <c r="BX104" s="57"/>
      <c r="BY104" s="57"/>
      <c r="BZ104" s="60"/>
      <c r="CA104" s="57"/>
    </row>
    <row r="105" spans="1:79" x14ac:dyDescent="0.15">
      <c r="A105" s="55">
        <v>103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6"/>
      <c r="AC105" s="60"/>
      <c r="AD105" s="56"/>
      <c r="AE105" s="60"/>
      <c r="AF105" s="56"/>
      <c r="AG105" s="56"/>
      <c r="AH105" s="56"/>
      <c r="AI105" s="56"/>
      <c r="AJ105" s="56"/>
      <c r="AK105" s="56"/>
      <c r="AL105" s="56"/>
      <c r="AM105" s="60"/>
      <c r="AN105" s="56"/>
      <c r="AO105" s="57"/>
      <c r="AP105" s="60"/>
      <c r="AQ105" s="57"/>
      <c r="AR105" s="60"/>
      <c r="AS105" s="57"/>
      <c r="AT105" s="57"/>
      <c r="AU105" s="57"/>
      <c r="AV105" s="57"/>
      <c r="AW105" s="57"/>
      <c r="AX105" s="57"/>
      <c r="AY105" s="57"/>
      <c r="AZ105" s="60"/>
      <c r="BA105" s="57"/>
      <c r="BB105" s="60"/>
      <c r="BC105" s="56"/>
      <c r="BD105" s="60"/>
      <c r="BE105" s="56"/>
      <c r="BF105" s="56"/>
      <c r="BG105" s="56"/>
      <c r="BH105" s="56"/>
      <c r="BI105" s="56"/>
      <c r="BJ105" s="56"/>
      <c r="BK105" s="56"/>
      <c r="BL105" s="60"/>
      <c r="BM105" s="56"/>
      <c r="BN105" s="60"/>
      <c r="BO105" s="57"/>
      <c r="BP105" s="60"/>
      <c r="BQ105" s="57"/>
      <c r="BR105" s="60"/>
      <c r="BS105" s="57"/>
      <c r="BT105" s="57"/>
      <c r="BU105" s="57"/>
      <c r="BV105" s="57"/>
      <c r="BW105" s="57"/>
      <c r="BX105" s="57"/>
      <c r="BY105" s="57"/>
      <c r="BZ105" s="60"/>
      <c r="CA105" s="57"/>
    </row>
    <row r="106" spans="1:79" x14ac:dyDescent="0.15">
      <c r="A106" s="55">
        <v>104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6"/>
      <c r="AC106" s="60"/>
      <c r="AD106" s="56"/>
      <c r="AE106" s="60"/>
      <c r="AF106" s="56"/>
      <c r="AG106" s="56"/>
      <c r="AH106" s="56"/>
      <c r="AI106" s="56"/>
      <c r="AJ106" s="56"/>
      <c r="AK106" s="56"/>
      <c r="AL106" s="56"/>
      <c r="AM106" s="60"/>
      <c r="AN106" s="56"/>
      <c r="AO106" s="57"/>
      <c r="AP106" s="60"/>
      <c r="AQ106" s="57"/>
      <c r="AR106" s="60"/>
      <c r="AS106" s="57"/>
      <c r="AT106" s="57"/>
      <c r="AU106" s="57"/>
      <c r="AV106" s="57"/>
      <c r="AW106" s="57"/>
      <c r="AX106" s="57"/>
      <c r="AY106" s="57"/>
      <c r="AZ106" s="60"/>
      <c r="BA106" s="57"/>
      <c r="BB106" s="60"/>
      <c r="BC106" s="56"/>
      <c r="BD106" s="60"/>
      <c r="BE106" s="56"/>
      <c r="BF106" s="56"/>
      <c r="BG106" s="56"/>
      <c r="BH106" s="56"/>
      <c r="BI106" s="56"/>
      <c r="BJ106" s="56"/>
      <c r="BK106" s="56"/>
      <c r="BL106" s="60"/>
      <c r="BM106" s="56"/>
      <c r="BN106" s="60"/>
      <c r="BO106" s="57"/>
      <c r="BP106" s="60"/>
      <c r="BQ106" s="57"/>
      <c r="BR106" s="60"/>
      <c r="BS106" s="57"/>
      <c r="BT106" s="57"/>
      <c r="BU106" s="57"/>
      <c r="BV106" s="57"/>
      <c r="BW106" s="57"/>
      <c r="BX106" s="57"/>
      <c r="BY106" s="57"/>
      <c r="BZ106" s="60"/>
      <c r="CA106" s="57"/>
    </row>
    <row r="107" spans="1:79" x14ac:dyDescent="0.15">
      <c r="A107" s="55">
        <v>105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6"/>
      <c r="AC107" s="60"/>
      <c r="AD107" s="56"/>
      <c r="AE107" s="60"/>
      <c r="AF107" s="56"/>
      <c r="AG107" s="56"/>
      <c r="AH107" s="56"/>
      <c r="AI107" s="56"/>
      <c r="AJ107" s="56"/>
      <c r="AK107" s="56"/>
      <c r="AL107" s="56"/>
      <c r="AM107" s="60"/>
      <c r="AN107" s="56"/>
      <c r="AO107" s="57"/>
      <c r="AP107" s="60"/>
      <c r="AQ107" s="57"/>
      <c r="AR107" s="60"/>
      <c r="AS107" s="57"/>
      <c r="AT107" s="57"/>
      <c r="AU107" s="57"/>
      <c r="AV107" s="57"/>
      <c r="AW107" s="57"/>
      <c r="AX107" s="57"/>
      <c r="AY107" s="57"/>
      <c r="AZ107" s="60"/>
      <c r="BA107" s="57"/>
      <c r="BB107" s="60"/>
      <c r="BC107" s="56"/>
      <c r="BD107" s="60"/>
      <c r="BE107" s="56"/>
      <c r="BF107" s="56"/>
      <c r="BG107" s="56"/>
      <c r="BH107" s="56"/>
      <c r="BI107" s="56"/>
      <c r="BJ107" s="56"/>
      <c r="BK107" s="56"/>
      <c r="BL107" s="60"/>
      <c r="BM107" s="56"/>
      <c r="BN107" s="60"/>
      <c r="BO107" s="57"/>
      <c r="BP107" s="60"/>
      <c r="BQ107" s="57"/>
      <c r="BR107" s="60"/>
      <c r="BS107" s="57"/>
      <c r="BT107" s="57"/>
      <c r="BU107" s="57"/>
      <c r="BV107" s="57"/>
      <c r="BW107" s="57"/>
      <c r="BX107" s="57"/>
      <c r="BY107" s="57"/>
      <c r="BZ107" s="60"/>
      <c r="CA107" s="57"/>
    </row>
    <row r="108" spans="1:79" x14ac:dyDescent="0.15">
      <c r="A108" s="55">
        <v>106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6"/>
      <c r="AC108" s="60"/>
      <c r="AD108" s="56"/>
      <c r="AE108" s="60"/>
      <c r="AF108" s="56"/>
      <c r="AG108" s="56"/>
      <c r="AH108" s="56"/>
      <c r="AI108" s="56"/>
      <c r="AJ108" s="56"/>
      <c r="AK108" s="56"/>
      <c r="AL108" s="56"/>
      <c r="AM108" s="60"/>
      <c r="AN108" s="56"/>
      <c r="AO108" s="57"/>
      <c r="AP108" s="60"/>
      <c r="AQ108" s="57"/>
      <c r="AR108" s="60"/>
      <c r="AS108" s="57"/>
      <c r="AT108" s="57"/>
      <c r="AU108" s="57"/>
      <c r="AV108" s="57"/>
      <c r="AW108" s="57"/>
      <c r="AX108" s="57"/>
      <c r="AY108" s="57"/>
      <c r="AZ108" s="60"/>
      <c r="BA108" s="57"/>
      <c r="BB108" s="60"/>
      <c r="BC108" s="56"/>
      <c r="BD108" s="60"/>
      <c r="BE108" s="56"/>
      <c r="BF108" s="56"/>
      <c r="BG108" s="56"/>
      <c r="BH108" s="56"/>
      <c r="BI108" s="56"/>
      <c r="BJ108" s="56"/>
      <c r="BK108" s="56"/>
      <c r="BL108" s="60"/>
      <c r="BM108" s="56"/>
      <c r="BN108" s="60"/>
      <c r="BO108" s="57"/>
      <c r="BP108" s="60"/>
      <c r="BQ108" s="57"/>
      <c r="BR108" s="60"/>
      <c r="BS108" s="57"/>
      <c r="BT108" s="57"/>
      <c r="BU108" s="57"/>
      <c r="BV108" s="57"/>
      <c r="BW108" s="57"/>
      <c r="BX108" s="57"/>
      <c r="BY108" s="57"/>
      <c r="BZ108" s="60"/>
      <c r="CA108" s="57"/>
    </row>
    <row r="109" spans="1:79" x14ac:dyDescent="0.15">
      <c r="A109" s="55">
        <v>107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6"/>
      <c r="AC109" s="60"/>
      <c r="AD109" s="56"/>
      <c r="AE109" s="60"/>
      <c r="AF109" s="56"/>
      <c r="AG109" s="56"/>
      <c r="AH109" s="56"/>
      <c r="AI109" s="56"/>
      <c r="AJ109" s="56"/>
      <c r="AK109" s="56"/>
      <c r="AL109" s="56"/>
      <c r="AM109" s="60"/>
      <c r="AN109" s="56"/>
      <c r="AO109" s="57"/>
      <c r="AP109" s="60"/>
      <c r="AQ109" s="57"/>
      <c r="AR109" s="60"/>
      <c r="AS109" s="57"/>
      <c r="AT109" s="57"/>
      <c r="AU109" s="57"/>
      <c r="AV109" s="57"/>
      <c r="AW109" s="57"/>
      <c r="AX109" s="57"/>
      <c r="AY109" s="57"/>
      <c r="AZ109" s="60"/>
      <c r="BA109" s="57"/>
      <c r="BB109" s="60"/>
      <c r="BC109" s="56"/>
      <c r="BD109" s="60"/>
      <c r="BE109" s="56"/>
      <c r="BF109" s="56"/>
      <c r="BG109" s="56"/>
      <c r="BH109" s="56"/>
      <c r="BI109" s="56"/>
      <c r="BJ109" s="56"/>
      <c r="BK109" s="56"/>
      <c r="BL109" s="60"/>
      <c r="BM109" s="56"/>
      <c r="BN109" s="60"/>
      <c r="BO109" s="57"/>
      <c r="BP109" s="60"/>
      <c r="BQ109" s="57"/>
      <c r="BR109" s="60"/>
      <c r="BS109" s="57"/>
      <c r="BT109" s="57"/>
      <c r="BU109" s="57"/>
      <c r="BV109" s="57"/>
      <c r="BW109" s="57"/>
      <c r="BX109" s="57"/>
      <c r="BY109" s="57"/>
      <c r="BZ109" s="60"/>
      <c r="CA109" s="57"/>
    </row>
    <row r="110" spans="1:79" x14ac:dyDescent="0.15">
      <c r="A110" s="55">
        <v>108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6"/>
      <c r="AC110" s="60"/>
      <c r="AD110" s="56"/>
      <c r="AE110" s="60"/>
      <c r="AF110" s="56"/>
      <c r="AG110" s="56"/>
      <c r="AH110" s="56"/>
      <c r="AI110" s="56"/>
      <c r="AJ110" s="56"/>
      <c r="AK110" s="56"/>
      <c r="AL110" s="56"/>
      <c r="AM110" s="60"/>
      <c r="AN110" s="56"/>
      <c r="AO110" s="57"/>
      <c r="AP110" s="60"/>
      <c r="AQ110" s="57"/>
      <c r="AR110" s="60"/>
      <c r="AS110" s="57"/>
      <c r="AT110" s="57"/>
      <c r="AU110" s="57"/>
      <c r="AV110" s="57"/>
      <c r="AW110" s="57"/>
      <c r="AX110" s="57"/>
      <c r="AY110" s="57"/>
      <c r="AZ110" s="60"/>
      <c r="BA110" s="57"/>
      <c r="BB110" s="60"/>
      <c r="BC110" s="56"/>
      <c r="BD110" s="60"/>
      <c r="BE110" s="56"/>
      <c r="BF110" s="56"/>
      <c r="BG110" s="56"/>
      <c r="BH110" s="56"/>
      <c r="BI110" s="56"/>
      <c r="BJ110" s="56"/>
      <c r="BK110" s="56"/>
      <c r="BL110" s="60"/>
      <c r="BM110" s="56"/>
      <c r="BN110" s="60"/>
      <c r="BO110" s="57"/>
      <c r="BP110" s="60"/>
      <c r="BQ110" s="57"/>
      <c r="BR110" s="60"/>
      <c r="BS110" s="57"/>
      <c r="BT110" s="57"/>
      <c r="BU110" s="57"/>
      <c r="BV110" s="57"/>
      <c r="BW110" s="57"/>
      <c r="BX110" s="57"/>
      <c r="BY110" s="57"/>
      <c r="BZ110" s="60"/>
      <c r="CA110" s="57"/>
    </row>
    <row r="111" spans="1:79" x14ac:dyDescent="0.15">
      <c r="A111" s="55">
        <v>109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6"/>
      <c r="AC111" s="60"/>
      <c r="AD111" s="56"/>
      <c r="AE111" s="60"/>
      <c r="AF111" s="56"/>
      <c r="AG111" s="56"/>
      <c r="AH111" s="56"/>
      <c r="AI111" s="56"/>
      <c r="AJ111" s="56"/>
      <c r="AK111" s="56"/>
      <c r="AL111" s="56"/>
      <c r="AM111" s="60"/>
      <c r="AN111" s="56"/>
      <c r="AO111" s="57"/>
      <c r="AP111" s="60"/>
      <c r="AQ111" s="57"/>
      <c r="AR111" s="60"/>
      <c r="AS111" s="57"/>
      <c r="AT111" s="57"/>
      <c r="AU111" s="57"/>
      <c r="AV111" s="57"/>
      <c r="AW111" s="57"/>
      <c r="AX111" s="57"/>
      <c r="AY111" s="57"/>
      <c r="AZ111" s="60"/>
      <c r="BA111" s="57"/>
      <c r="BB111" s="60"/>
      <c r="BC111" s="56"/>
      <c r="BD111" s="60"/>
      <c r="BE111" s="56"/>
      <c r="BF111" s="56"/>
      <c r="BG111" s="56"/>
      <c r="BH111" s="56"/>
      <c r="BI111" s="56"/>
      <c r="BJ111" s="56"/>
      <c r="BK111" s="56"/>
      <c r="BL111" s="60"/>
      <c r="BM111" s="56"/>
      <c r="BN111" s="60"/>
      <c r="BO111" s="57"/>
      <c r="BP111" s="60"/>
      <c r="BQ111" s="57"/>
      <c r="BR111" s="60"/>
      <c r="BS111" s="57"/>
      <c r="BT111" s="57"/>
      <c r="BU111" s="57"/>
      <c r="BV111" s="57"/>
      <c r="BW111" s="57"/>
      <c r="BX111" s="57"/>
      <c r="BY111" s="57"/>
      <c r="BZ111" s="60"/>
      <c r="CA111" s="57"/>
    </row>
    <row r="112" spans="1:79" x14ac:dyDescent="0.15">
      <c r="A112" s="55">
        <v>110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6"/>
      <c r="AC112" s="60"/>
      <c r="AD112" s="56"/>
      <c r="AE112" s="60"/>
      <c r="AF112" s="56"/>
      <c r="AG112" s="56"/>
      <c r="AH112" s="56"/>
      <c r="AI112" s="56"/>
      <c r="AJ112" s="56"/>
      <c r="AK112" s="56"/>
      <c r="AL112" s="56"/>
      <c r="AM112" s="60"/>
      <c r="AN112" s="56"/>
      <c r="AO112" s="57"/>
      <c r="AP112" s="60"/>
      <c r="AQ112" s="57"/>
      <c r="AR112" s="60"/>
      <c r="AS112" s="57"/>
      <c r="AT112" s="57"/>
      <c r="AU112" s="57"/>
      <c r="AV112" s="57"/>
      <c r="AW112" s="57"/>
      <c r="AX112" s="57"/>
      <c r="AY112" s="57"/>
      <c r="AZ112" s="60"/>
      <c r="BA112" s="57"/>
      <c r="BB112" s="60"/>
      <c r="BC112" s="56"/>
      <c r="BD112" s="60"/>
      <c r="BE112" s="56"/>
      <c r="BF112" s="56"/>
      <c r="BG112" s="56"/>
      <c r="BH112" s="56"/>
      <c r="BI112" s="56"/>
      <c r="BJ112" s="56"/>
      <c r="BK112" s="56"/>
      <c r="BL112" s="60"/>
      <c r="BM112" s="56"/>
      <c r="BN112" s="60"/>
      <c r="BO112" s="57"/>
      <c r="BP112" s="60"/>
      <c r="BQ112" s="57"/>
      <c r="BR112" s="60"/>
      <c r="BS112" s="57"/>
      <c r="BT112" s="57"/>
      <c r="BU112" s="57"/>
      <c r="BV112" s="57"/>
      <c r="BW112" s="57"/>
      <c r="BX112" s="57"/>
      <c r="BY112" s="57"/>
      <c r="BZ112" s="60"/>
      <c r="CA112" s="57"/>
    </row>
    <row r="113" spans="1:79" x14ac:dyDescent="0.15">
      <c r="A113" s="55">
        <v>111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6"/>
      <c r="AC113" s="60"/>
      <c r="AD113" s="56"/>
      <c r="AE113" s="60"/>
      <c r="AF113" s="56"/>
      <c r="AG113" s="56"/>
      <c r="AH113" s="56"/>
      <c r="AI113" s="56"/>
      <c r="AJ113" s="56"/>
      <c r="AK113" s="56"/>
      <c r="AL113" s="56"/>
      <c r="AM113" s="60"/>
      <c r="AN113" s="56"/>
      <c r="AO113" s="57"/>
      <c r="AP113" s="60"/>
      <c r="AQ113" s="57"/>
      <c r="AR113" s="60"/>
      <c r="AS113" s="57"/>
      <c r="AT113" s="57"/>
      <c r="AU113" s="57"/>
      <c r="AV113" s="57"/>
      <c r="AW113" s="57"/>
      <c r="AX113" s="57"/>
      <c r="AY113" s="57"/>
      <c r="AZ113" s="60"/>
      <c r="BA113" s="57"/>
      <c r="BB113" s="60"/>
      <c r="BC113" s="56"/>
      <c r="BD113" s="60"/>
      <c r="BE113" s="56"/>
      <c r="BF113" s="56"/>
      <c r="BG113" s="56"/>
      <c r="BH113" s="56"/>
      <c r="BI113" s="56"/>
      <c r="BJ113" s="56"/>
      <c r="BK113" s="56"/>
      <c r="BL113" s="60"/>
      <c r="BM113" s="56"/>
      <c r="BN113" s="60"/>
      <c r="BO113" s="57"/>
      <c r="BP113" s="60"/>
      <c r="BQ113" s="57"/>
      <c r="BR113" s="60"/>
      <c r="BS113" s="57"/>
      <c r="BT113" s="57"/>
      <c r="BU113" s="57"/>
      <c r="BV113" s="57"/>
      <c r="BW113" s="57"/>
      <c r="BX113" s="57"/>
      <c r="BY113" s="57"/>
      <c r="BZ113" s="60"/>
      <c r="CA113" s="57"/>
    </row>
    <row r="114" spans="1:79" x14ac:dyDescent="0.15">
      <c r="A114" s="55">
        <v>112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6"/>
      <c r="AC114" s="60"/>
      <c r="AD114" s="56"/>
      <c r="AE114" s="60"/>
      <c r="AF114" s="56"/>
      <c r="AG114" s="56"/>
      <c r="AH114" s="56"/>
      <c r="AI114" s="56"/>
      <c r="AJ114" s="56"/>
      <c r="AK114" s="56"/>
      <c r="AL114" s="56"/>
      <c r="AM114" s="60"/>
      <c r="AN114" s="56"/>
      <c r="AO114" s="57"/>
      <c r="AP114" s="60"/>
      <c r="AQ114" s="57"/>
      <c r="AR114" s="60"/>
      <c r="AS114" s="57"/>
      <c r="AT114" s="57"/>
      <c r="AU114" s="57"/>
      <c r="AV114" s="57"/>
      <c r="AW114" s="57"/>
      <c r="AX114" s="57"/>
      <c r="AY114" s="57"/>
      <c r="AZ114" s="60"/>
      <c r="BA114" s="57"/>
      <c r="BB114" s="60"/>
      <c r="BC114" s="56"/>
      <c r="BD114" s="60"/>
      <c r="BE114" s="56"/>
      <c r="BF114" s="56"/>
      <c r="BG114" s="56"/>
      <c r="BH114" s="56"/>
      <c r="BI114" s="56"/>
      <c r="BJ114" s="56"/>
      <c r="BK114" s="56"/>
      <c r="BL114" s="60"/>
      <c r="BM114" s="56"/>
      <c r="BN114" s="60"/>
      <c r="BO114" s="57"/>
      <c r="BP114" s="60"/>
      <c r="BQ114" s="57"/>
      <c r="BR114" s="60"/>
      <c r="BS114" s="57"/>
      <c r="BT114" s="57"/>
      <c r="BU114" s="57"/>
      <c r="BV114" s="57"/>
      <c r="BW114" s="57"/>
      <c r="BX114" s="57"/>
      <c r="BY114" s="57"/>
      <c r="BZ114" s="60"/>
      <c r="CA114" s="57"/>
    </row>
    <row r="115" spans="1:79" x14ac:dyDescent="0.15">
      <c r="A115" s="55">
        <v>113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6"/>
      <c r="AC115" s="60"/>
      <c r="AD115" s="56"/>
      <c r="AE115" s="60"/>
      <c r="AF115" s="56"/>
      <c r="AG115" s="56"/>
      <c r="AH115" s="56"/>
      <c r="AI115" s="56"/>
      <c r="AJ115" s="56"/>
      <c r="AK115" s="56"/>
      <c r="AL115" s="56"/>
      <c r="AM115" s="60"/>
      <c r="AN115" s="56"/>
      <c r="AO115" s="57"/>
      <c r="AP115" s="60"/>
      <c r="AQ115" s="57"/>
      <c r="AR115" s="60"/>
      <c r="AS115" s="57"/>
      <c r="AT115" s="57"/>
      <c r="AU115" s="57"/>
      <c r="AV115" s="57"/>
      <c r="AW115" s="57"/>
      <c r="AX115" s="57"/>
      <c r="AY115" s="57"/>
      <c r="AZ115" s="60"/>
      <c r="BA115" s="57"/>
      <c r="BB115" s="60"/>
      <c r="BC115" s="56"/>
      <c r="BD115" s="60"/>
      <c r="BE115" s="56"/>
      <c r="BF115" s="56"/>
      <c r="BG115" s="56"/>
      <c r="BH115" s="56"/>
      <c r="BI115" s="56"/>
      <c r="BJ115" s="56"/>
      <c r="BK115" s="56"/>
      <c r="BL115" s="60"/>
      <c r="BM115" s="56"/>
      <c r="BN115" s="60"/>
      <c r="BO115" s="57"/>
      <c r="BP115" s="60"/>
      <c r="BQ115" s="57"/>
      <c r="BR115" s="60"/>
      <c r="BS115" s="57"/>
      <c r="BT115" s="57"/>
      <c r="BU115" s="57"/>
      <c r="BV115" s="57"/>
      <c r="BW115" s="57"/>
      <c r="BX115" s="57"/>
      <c r="BY115" s="57"/>
      <c r="BZ115" s="60"/>
      <c r="CA115" s="57"/>
    </row>
    <row r="116" spans="1:79" x14ac:dyDescent="0.15">
      <c r="A116" s="55">
        <v>114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6"/>
      <c r="AC116" s="60"/>
      <c r="AD116" s="56"/>
      <c r="AE116" s="60"/>
      <c r="AF116" s="56"/>
      <c r="AG116" s="56"/>
      <c r="AH116" s="56"/>
      <c r="AI116" s="56"/>
      <c r="AJ116" s="56"/>
      <c r="AK116" s="56"/>
      <c r="AL116" s="56"/>
      <c r="AM116" s="60"/>
      <c r="AN116" s="56"/>
      <c r="AO116" s="57"/>
      <c r="AP116" s="60"/>
      <c r="AQ116" s="57"/>
      <c r="AR116" s="60"/>
      <c r="AS116" s="57"/>
      <c r="AT116" s="57"/>
      <c r="AU116" s="57"/>
      <c r="AV116" s="57"/>
      <c r="AW116" s="57"/>
      <c r="AX116" s="57"/>
      <c r="AY116" s="57"/>
      <c r="AZ116" s="60"/>
      <c r="BA116" s="57"/>
      <c r="BB116" s="60"/>
      <c r="BC116" s="56"/>
      <c r="BD116" s="60"/>
      <c r="BE116" s="56"/>
      <c r="BF116" s="56"/>
      <c r="BG116" s="56"/>
      <c r="BH116" s="56"/>
      <c r="BI116" s="56"/>
      <c r="BJ116" s="56"/>
      <c r="BK116" s="56"/>
      <c r="BL116" s="60"/>
      <c r="BM116" s="56"/>
      <c r="BN116" s="60"/>
      <c r="BO116" s="57"/>
      <c r="BP116" s="60"/>
      <c r="BQ116" s="57"/>
      <c r="BR116" s="60"/>
      <c r="BS116" s="57"/>
      <c r="BT116" s="57"/>
      <c r="BU116" s="57"/>
      <c r="BV116" s="57"/>
      <c r="BW116" s="57"/>
      <c r="BX116" s="57"/>
      <c r="BY116" s="57"/>
      <c r="BZ116" s="60"/>
      <c r="CA116" s="57"/>
    </row>
    <row r="117" spans="1:79" x14ac:dyDescent="0.15">
      <c r="A117" s="55">
        <v>115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6"/>
      <c r="AC117" s="60"/>
      <c r="AD117" s="56"/>
      <c r="AE117" s="60"/>
      <c r="AF117" s="56"/>
      <c r="AG117" s="56"/>
      <c r="AH117" s="56"/>
      <c r="AI117" s="56"/>
      <c r="AJ117" s="56"/>
      <c r="AK117" s="56"/>
      <c r="AL117" s="56"/>
      <c r="AM117" s="60"/>
      <c r="AN117" s="56"/>
      <c r="AO117" s="57"/>
      <c r="AP117" s="60"/>
      <c r="AQ117" s="57"/>
      <c r="AR117" s="60"/>
      <c r="AS117" s="57"/>
      <c r="AT117" s="57"/>
      <c r="AU117" s="57"/>
      <c r="AV117" s="57"/>
      <c r="AW117" s="57"/>
      <c r="AX117" s="57"/>
      <c r="AY117" s="57"/>
      <c r="AZ117" s="60"/>
      <c r="BA117" s="57"/>
      <c r="BB117" s="60"/>
      <c r="BC117" s="56"/>
      <c r="BD117" s="60"/>
      <c r="BE117" s="56"/>
      <c r="BF117" s="56"/>
      <c r="BG117" s="56"/>
      <c r="BH117" s="56"/>
      <c r="BI117" s="56"/>
      <c r="BJ117" s="56"/>
      <c r="BK117" s="56"/>
      <c r="BL117" s="60"/>
      <c r="BM117" s="56"/>
      <c r="BN117" s="60"/>
      <c r="BO117" s="57"/>
      <c r="BP117" s="60"/>
      <c r="BQ117" s="57"/>
      <c r="BR117" s="60"/>
      <c r="BS117" s="57"/>
      <c r="BT117" s="57"/>
      <c r="BU117" s="57"/>
      <c r="BV117" s="57"/>
      <c r="BW117" s="57"/>
      <c r="BX117" s="57"/>
      <c r="BY117" s="57"/>
      <c r="BZ117" s="60"/>
      <c r="CA117" s="57"/>
    </row>
    <row r="118" spans="1:79" x14ac:dyDescent="0.15">
      <c r="A118" s="55">
        <v>116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6"/>
      <c r="AC118" s="60"/>
      <c r="AD118" s="56"/>
      <c r="AE118" s="60"/>
      <c r="AF118" s="56"/>
      <c r="AG118" s="56"/>
      <c r="AH118" s="56"/>
      <c r="AI118" s="56"/>
      <c r="AJ118" s="56"/>
      <c r="AK118" s="56"/>
      <c r="AL118" s="56"/>
      <c r="AM118" s="60"/>
      <c r="AN118" s="56"/>
      <c r="AO118" s="57"/>
      <c r="AP118" s="60"/>
      <c r="AQ118" s="57"/>
      <c r="AR118" s="60"/>
      <c r="AS118" s="57"/>
      <c r="AT118" s="57"/>
      <c r="AU118" s="57"/>
      <c r="AV118" s="57"/>
      <c r="AW118" s="57"/>
      <c r="AX118" s="57"/>
      <c r="AY118" s="57"/>
      <c r="AZ118" s="60"/>
      <c r="BA118" s="57"/>
      <c r="BB118" s="60"/>
      <c r="BC118" s="56"/>
      <c r="BD118" s="60"/>
      <c r="BE118" s="56"/>
      <c r="BF118" s="56"/>
      <c r="BG118" s="56"/>
      <c r="BH118" s="56"/>
      <c r="BI118" s="56"/>
      <c r="BJ118" s="56"/>
      <c r="BK118" s="56"/>
      <c r="BL118" s="60"/>
      <c r="BM118" s="56"/>
      <c r="BN118" s="60"/>
      <c r="BO118" s="57"/>
      <c r="BP118" s="60"/>
      <c r="BQ118" s="57"/>
      <c r="BR118" s="60"/>
      <c r="BS118" s="57"/>
      <c r="BT118" s="57"/>
      <c r="BU118" s="57"/>
      <c r="BV118" s="57"/>
      <c r="BW118" s="57"/>
      <c r="BX118" s="57"/>
      <c r="BY118" s="57"/>
      <c r="BZ118" s="60"/>
      <c r="CA118" s="57"/>
    </row>
    <row r="119" spans="1:79" x14ac:dyDescent="0.15">
      <c r="A119" s="55">
        <v>117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6"/>
      <c r="AC119" s="60"/>
      <c r="AD119" s="56"/>
      <c r="AE119" s="60"/>
      <c r="AF119" s="56"/>
      <c r="AG119" s="56"/>
      <c r="AH119" s="56"/>
      <c r="AI119" s="56"/>
      <c r="AJ119" s="56"/>
      <c r="AK119" s="56"/>
      <c r="AL119" s="56"/>
      <c r="AM119" s="60"/>
      <c r="AN119" s="56"/>
      <c r="AO119" s="57"/>
      <c r="AP119" s="60"/>
      <c r="AQ119" s="57"/>
      <c r="AR119" s="60"/>
      <c r="AS119" s="57"/>
      <c r="AT119" s="57"/>
      <c r="AU119" s="57"/>
      <c r="AV119" s="57"/>
      <c r="AW119" s="57"/>
      <c r="AX119" s="57"/>
      <c r="AY119" s="57"/>
      <c r="AZ119" s="60"/>
      <c r="BA119" s="57"/>
      <c r="BB119" s="60"/>
      <c r="BC119" s="56"/>
      <c r="BD119" s="60"/>
      <c r="BE119" s="56"/>
      <c r="BF119" s="56"/>
      <c r="BG119" s="56"/>
      <c r="BH119" s="56"/>
      <c r="BI119" s="56"/>
      <c r="BJ119" s="56"/>
      <c r="BK119" s="56"/>
      <c r="BL119" s="60"/>
      <c r="BM119" s="56"/>
      <c r="BN119" s="60"/>
      <c r="BO119" s="57"/>
      <c r="BP119" s="60"/>
      <c r="BQ119" s="57"/>
      <c r="BR119" s="60"/>
      <c r="BS119" s="57"/>
      <c r="BT119" s="57"/>
      <c r="BU119" s="57"/>
      <c r="BV119" s="57"/>
      <c r="BW119" s="57"/>
      <c r="BX119" s="57"/>
      <c r="BY119" s="57"/>
      <c r="BZ119" s="60"/>
      <c r="CA119" s="57"/>
    </row>
    <row r="120" spans="1:79" x14ac:dyDescent="0.15">
      <c r="A120" s="55">
        <v>118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6"/>
      <c r="AC120" s="60"/>
      <c r="AD120" s="56"/>
      <c r="AE120" s="60"/>
      <c r="AF120" s="56"/>
      <c r="AG120" s="56"/>
      <c r="AH120" s="56"/>
      <c r="AI120" s="56"/>
      <c r="AJ120" s="56"/>
      <c r="AK120" s="56"/>
      <c r="AL120" s="56"/>
      <c r="AM120" s="60"/>
      <c r="AN120" s="56"/>
      <c r="AO120" s="57"/>
      <c r="AP120" s="60"/>
      <c r="AQ120" s="57"/>
      <c r="AR120" s="60"/>
      <c r="AS120" s="57"/>
      <c r="AT120" s="57"/>
      <c r="AU120" s="57"/>
      <c r="AV120" s="57"/>
      <c r="AW120" s="57"/>
      <c r="AX120" s="57"/>
      <c r="AY120" s="57"/>
      <c r="AZ120" s="60"/>
      <c r="BA120" s="57"/>
      <c r="BB120" s="60"/>
      <c r="BC120" s="56"/>
      <c r="BD120" s="60"/>
      <c r="BE120" s="56"/>
      <c r="BF120" s="56"/>
      <c r="BG120" s="56"/>
      <c r="BH120" s="56"/>
      <c r="BI120" s="56"/>
      <c r="BJ120" s="56"/>
      <c r="BK120" s="56"/>
      <c r="BL120" s="60"/>
      <c r="BM120" s="56"/>
      <c r="BN120" s="60"/>
      <c r="BO120" s="57"/>
      <c r="BP120" s="60"/>
      <c r="BQ120" s="57"/>
      <c r="BR120" s="60"/>
      <c r="BS120" s="57"/>
      <c r="BT120" s="57"/>
      <c r="BU120" s="57"/>
      <c r="BV120" s="57"/>
      <c r="BW120" s="57"/>
      <c r="BX120" s="57"/>
      <c r="BY120" s="57"/>
      <c r="BZ120" s="60"/>
      <c r="CA120" s="57"/>
    </row>
    <row r="121" spans="1:79" x14ac:dyDescent="0.15">
      <c r="A121" s="55">
        <v>119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6"/>
      <c r="AC121" s="60"/>
      <c r="AD121" s="56"/>
      <c r="AE121" s="60"/>
      <c r="AF121" s="56"/>
      <c r="AG121" s="56"/>
      <c r="AH121" s="56"/>
      <c r="AI121" s="56"/>
      <c r="AJ121" s="56"/>
      <c r="AK121" s="56"/>
      <c r="AL121" s="56"/>
      <c r="AM121" s="60"/>
      <c r="AN121" s="56"/>
      <c r="AO121" s="57"/>
      <c r="AP121" s="60"/>
      <c r="AQ121" s="57"/>
      <c r="AR121" s="60"/>
      <c r="AS121" s="57"/>
      <c r="AT121" s="57"/>
      <c r="AU121" s="57"/>
      <c r="AV121" s="57"/>
      <c r="AW121" s="57"/>
      <c r="AX121" s="57"/>
      <c r="AY121" s="57"/>
      <c r="AZ121" s="60"/>
      <c r="BA121" s="57"/>
      <c r="BB121" s="60"/>
      <c r="BC121" s="56"/>
      <c r="BD121" s="60"/>
      <c r="BE121" s="56"/>
      <c r="BF121" s="56"/>
      <c r="BG121" s="56"/>
      <c r="BH121" s="56"/>
      <c r="BI121" s="56"/>
      <c r="BJ121" s="56"/>
      <c r="BK121" s="56"/>
      <c r="BL121" s="60"/>
      <c r="BM121" s="56"/>
      <c r="BN121" s="60"/>
      <c r="BO121" s="57"/>
      <c r="BP121" s="60"/>
      <c r="BQ121" s="57"/>
      <c r="BR121" s="60"/>
      <c r="BS121" s="57"/>
      <c r="BT121" s="57"/>
      <c r="BU121" s="57"/>
      <c r="BV121" s="57"/>
      <c r="BW121" s="57"/>
      <c r="BX121" s="57"/>
      <c r="BY121" s="57"/>
      <c r="BZ121" s="60"/>
      <c r="CA121" s="57"/>
    </row>
    <row r="122" spans="1:79" x14ac:dyDescent="0.15">
      <c r="A122" s="55">
        <v>120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6"/>
      <c r="AC122" s="60"/>
      <c r="AD122" s="56"/>
      <c r="AE122" s="60"/>
      <c r="AF122" s="56"/>
      <c r="AG122" s="56"/>
      <c r="AH122" s="56"/>
      <c r="AI122" s="56"/>
      <c r="AJ122" s="56"/>
      <c r="AK122" s="56"/>
      <c r="AL122" s="56"/>
      <c r="AM122" s="60"/>
      <c r="AN122" s="56"/>
      <c r="AO122" s="57"/>
      <c r="AP122" s="60"/>
      <c r="AQ122" s="57"/>
      <c r="AR122" s="60"/>
      <c r="AS122" s="57"/>
      <c r="AT122" s="57"/>
      <c r="AU122" s="57"/>
      <c r="AV122" s="57"/>
      <c r="AW122" s="57"/>
      <c r="AX122" s="57"/>
      <c r="AY122" s="57"/>
      <c r="AZ122" s="60"/>
      <c r="BA122" s="57"/>
      <c r="BB122" s="60"/>
      <c r="BC122" s="56"/>
      <c r="BD122" s="60"/>
      <c r="BE122" s="56"/>
      <c r="BF122" s="56"/>
      <c r="BG122" s="56"/>
      <c r="BH122" s="56"/>
      <c r="BI122" s="56"/>
      <c r="BJ122" s="56"/>
      <c r="BK122" s="56"/>
      <c r="BL122" s="60"/>
      <c r="BM122" s="56"/>
      <c r="BN122" s="60"/>
      <c r="BO122" s="57"/>
      <c r="BP122" s="60"/>
      <c r="BQ122" s="57"/>
      <c r="BR122" s="60"/>
      <c r="BS122" s="57"/>
      <c r="BT122" s="57"/>
      <c r="BU122" s="57"/>
      <c r="BV122" s="57"/>
      <c r="BW122" s="57"/>
      <c r="BX122" s="57"/>
      <c r="BY122" s="57"/>
      <c r="BZ122" s="60"/>
      <c r="CA122" s="57"/>
    </row>
    <row r="123" spans="1:79" x14ac:dyDescent="0.15">
      <c r="A123" s="55">
        <v>121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6"/>
      <c r="AC123" s="60"/>
      <c r="AD123" s="56"/>
      <c r="AE123" s="60"/>
      <c r="AF123" s="56"/>
      <c r="AG123" s="56"/>
      <c r="AH123" s="56"/>
      <c r="AI123" s="56"/>
      <c r="AJ123" s="56"/>
      <c r="AK123" s="56"/>
      <c r="AL123" s="56"/>
      <c r="AM123" s="60"/>
      <c r="AN123" s="56"/>
      <c r="AO123" s="57"/>
      <c r="AP123" s="60"/>
      <c r="AQ123" s="57"/>
      <c r="AR123" s="60"/>
      <c r="AS123" s="57"/>
      <c r="AT123" s="57"/>
      <c r="AU123" s="57"/>
      <c r="AV123" s="57"/>
      <c r="AW123" s="57"/>
      <c r="AX123" s="57"/>
      <c r="AY123" s="57"/>
      <c r="AZ123" s="60"/>
      <c r="BA123" s="57"/>
      <c r="BB123" s="60"/>
      <c r="BC123" s="56"/>
      <c r="BD123" s="60"/>
      <c r="BE123" s="56"/>
      <c r="BF123" s="56"/>
      <c r="BG123" s="56"/>
      <c r="BH123" s="56"/>
      <c r="BI123" s="56"/>
      <c r="BJ123" s="56"/>
      <c r="BK123" s="56"/>
      <c r="BL123" s="60"/>
      <c r="BM123" s="56"/>
      <c r="BN123" s="60"/>
      <c r="BO123" s="57"/>
      <c r="BP123" s="60"/>
      <c r="BQ123" s="57"/>
      <c r="BR123" s="60"/>
      <c r="BS123" s="57"/>
      <c r="BT123" s="57"/>
      <c r="BU123" s="57"/>
      <c r="BV123" s="57"/>
      <c r="BW123" s="57"/>
      <c r="BX123" s="57"/>
      <c r="BY123" s="57"/>
      <c r="BZ123" s="60"/>
      <c r="CA123" s="57"/>
    </row>
    <row r="124" spans="1:79" x14ac:dyDescent="0.15">
      <c r="A124" s="55">
        <v>122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6"/>
      <c r="AC124" s="60"/>
      <c r="AD124" s="56"/>
      <c r="AE124" s="60"/>
      <c r="AF124" s="56"/>
      <c r="AG124" s="56"/>
      <c r="AH124" s="56"/>
      <c r="AI124" s="56"/>
      <c r="AJ124" s="56"/>
      <c r="AK124" s="56"/>
      <c r="AL124" s="56"/>
      <c r="AM124" s="60"/>
      <c r="AN124" s="56"/>
      <c r="AO124" s="57"/>
      <c r="AP124" s="60"/>
      <c r="AQ124" s="57"/>
      <c r="AR124" s="60"/>
      <c r="AS124" s="57"/>
      <c r="AT124" s="57"/>
      <c r="AU124" s="57"/>
      <c r="AV124" s="57"/>
      <c r="AW124" s="57"/>
      <c r="AX124" s="57"/>
      <c r="AY124" s="57"/>
      <c r="AZ124" s="60"/>
      <c r="BA124" s="57"/>
      <c r="BB124" s="60"/>
      <c r="BC124" s="56"/>
      <c r="BD124" s="60"/>
      <c r="BE124" s="56"/>
      <c r="BF124" s="56"/>
      <c r="BG124" s="56"/>
      <c r="BH124" s="56"/>
      <c r="BI124" s="56"/>
      <c r="BJ124" s="56"/>
      <c r="BK124" s="56"/>
      <c r="BL124" s="60"/>
      <c r="BM124" s="56"/>
      <c r="BN124" s="60"/>
      <c r="BO124" s="57"/>
      <c r="BP124" s="60"/>
      <c r="BQ124" s="57"/>
      <c r="BR124" s="60"/>
      <c r="BS124" s="57"/>
      <c r="BT124" s="57"/>
      <c r="BU124" s="57"/>
      <c r="BV124" s="57"/>
      <c r="BW124" s="57"/>
      <c r="BX124" s="57"/>
      <c r="BY124" s="57"/>
      <c r="BZ124" s="60"/>
      <c r="CA124" s="57"/>
    </row>
    <row r="125" spans="1:79" x14ac:dyDescent="0.15">
      <c r="A125" s="55">
        <v>123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6"/>
      <c r="AC125" s="60"/>
      <c r="AD125" s="56"/>
      <c r="AE125" s="60"/>
      <c r="AF125" s="56"/>
      <c r="AG125" s="56"/>
      <c r="AH125" s="56"/>
      <c r="AI125" s="56"/>
      <c r="AJ125" s="56"/>
      <c r="AK125" s="56"/>
      <c r="AL125" s="56"/>
      <c r="AM125" s="60"/>
      <c r="AN125" s="56"/>
      <c r="AO125" s="57"/>
      <c r="AP125" s="60"/>
      <c r="AQ125" s="57"/>
      <c r="AR125" s="60"/>
      <c r="AS125" s="57"/>
      <c r="AT125" s="57"/>
      <c r="AU125" s="57"/>
      <c r="AV125" s="57"/>
      <c r="AW125" s="57"/>
      <c r="AX125" s="57"/>
      <c r="AY125" s="57"/>
      <c r="AZ125" s="60"/>
      <c r="BA125" s="57"/>
      <c r="BB125" s="60"/>
      <c r="BC125" s="56"/>
      <c r="BD125" s="60"/>
      <c r="BE125" s="56"/>
      <c r="BF125" s="56"/>
      <c r="BG125" s="56"/>
      <c r="BH125" s="56"/>
      <c r="BI125" s="56"/>
      <c r="BJ125" s="56"/>
      <c r="BK125" s="56"/>
      <c r="BL125" s="60"/>
      <c r="BM125" s="56"/>
      <c r="BN125" s="60"/>
      <c r="BO125" s="57"/>
      <c r="BP125" s="60"/>
      <c r="BQ125" s="57"/>
      <c r="BR125" s="60"/>
      <c r="BS125" s="57"/>
      <c r="BT125" s="57"/>
      <c r="BU125" s="57"/>
      <c r="BV125" s="57"/>
      <c r="BW125" s="57"/>
      <c r="BX125" s="57"/>
      <c r="BY125" s="57"/>
      <c r="BZ125" s="60"/>
      <c r="CA125" s="57"/>
    </row>
    <row r="126" spans="1:79" x14ac:dyDescent="0.15">
      <c r="A126" s="55">
        <v>124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6"/>
      <c r="AC126" s="60"/>
      <c r="AD126" s="56"/>
      <c r="AE126" s="60"/>
      <c r="AF126" s="56"/>
      <c r="AG126" s="56"/>
      <c r="AH126" s="56"/>
      <c r="AI126" s="56"/>
      <c r="AJ126" s="56"/>
      <c r="AK126" s="56"/>
      <c r="AL126" s="56"/>
      <c r="AM126" s="60"/>
      <c r="AN126" s="56"/>
      <c r="AO126" s="57"/>
      <c r="AP126" s="60"/>
      <c r="AQ126" s="57"/>
      <c r="AR126" s="60"/>
      <c r="AS126" s="57"/>
      <c r="AT126" s="57"/>
      <c r="AU126" s="57"/>
      <c r="AV126" s="57"/>
      <c r="AW126" s="57"/>
      <c r="AX126" s="57"/>
      <c r="AY126" s="57"/>
      <c r="AZ126" s="60"/>
      <c r="BA126" s="57"/>
      <c r="BB126" s="60"/>
      <c r="BC126" s="56"/>
      <c r="BD126" s="60"/>
      <c r="BE126" s="56"/>
      <c r="BF126" s="56"/>
      <c r="BG126" s="56"/>
      <c r="BH126" s="56"/>
      <c r="BI126" s="56"/>
      <c r="BJ126" s="56"/>
      <c r="BK126" s="56"/>
      <c r="BL126" s="60"/>
      <c r="BM126" s="56"/>
      <c r="BN126" s="60"/>
      <c r="BO126" s="57"/>
      <c r="BP126" s="60"/>
      <c r="BQ126" s="57"/>
      <c r="BR126" s="60"/>
      <c r="BS126" s="57"/>
      <c r="BT126" s="57"/>
      <c r="BU126" s="57"/>
      <c r="BV126" s="57"/>
      <c r="BW126" s="57"/>
      <c r="BX126" s="57"/>
      <c r="BY126" s="57"/>
      <c r="BZ126" s="60"/>
      <c r="CA126" s="57"/>
    </row>
    <row r="127" spans="1:79" x14ac:dyDescent="0.15">
      <c r="A127" s="55">
        <v>125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6"/>
      <c r="AC127" s="60"/>
      <c r="AD127" s="56"/>
      <c r="AE127" s="60"/>
      <c r="AF127" s="56"/>
      <c r="AG127" s="56"/>
      <c r="AH127" s="56"/>
      <c r="AI127" s="56"/>
      <c r="AJ127" s="56"/>
      <c r="AK127" s="56"/>
      <c r="AL127" s="56"/>
      <c r="AM127" s="60"/>
      <c r="AN127" s="56"/>
      <c r="AO127" s="57"/>
      <c r="AP127" s="60"/>
      <c r="AQ127" s="57"/>
      <c r="AR127" s="60"/>
      <c r="AS127" s="57"/>
      <c r="AT127" s="57"/>
      <c r="AU127" s="57"/>
      <c r="AV127" s="57"/>
      <c r="AW127" s="57"/>
      <c r="AX127" s="57"/>
      <c r="AY127" s="57"/>
      <c r="AZ127" s="60"/>
      <c r="BA127" s="57"/>
      <c r="BB127" s="60"/>
      <c r="BC127" s="56"/>
      <c r="BD127" s="60"/>
      <c r="BE127" s="56"/>
      <c r="BF127" s="56"/>
      <c r="BG127" s="56"/>
      <c r="BH127" s="56"/>
      <c r="BI127" s="56"/>
      <c r="BJ127" s="56"/>
      <c r="BK127" s="56"/>
      <c r="BL127" s="60"/>
      <c r="BM127" s="56"/>
      <c r="BN127" s="60"/>
      <c r="BO127" s="57"/>
      <c r="BP127" s="60"/>
      <c r="BQ127" s="57"/>
      <c r="BR127" s="60"/>
      <c r="BS127" s="57"/>
      <c r="BT127" s="57"/>
      <c r="BU127" s="57"/>
      <c r="BV127" s="57"/>
      <c r="BW127" s="57"/>
      <c r="BX127" s="57"/>
      <c r="BY127" s="57"/>
      <c r="BZ127" s="60"/>
      <c r="CA127" s="57"/>
    </row>
    <row r="128" spans="1:79" x14ac:dyDescent="0.15">
      <c r="A128" s="55">
        <v>126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6"/>
      <c r="AC128" s="60"/>
      <c r="AD128" s="56"/>
      <c r="AE128" s="60"/>
      <c r="AF128" s="56"/>
      <c r="AG128" s="56"/>
      <c r="AH128" s="56"/>
      <c r="AI128" s="56"/>
      <c r="AJ128" s="56"/>
      <c r="AK128" s="56"/>
      <c r="AL128" s="56"/>
      <c r="AM128" s="60"/>
      <c r="AN128" s="56"/>
      <c r="AO128" s="57"/>
      <c r="AP128" s="60"/>
      <c r="AQ128" s="57"/>
      <c r="AR128" s="60"/>
      <c r="AS128" s="57"/>
      <c r="AT128" s="57"/>
      <c r="AU128" s="57"/>
      <c r="AV128" s="57"/>
      <c r="AW128" s="57"/>
      <c r="AX128" s="57"/>
      <c r="AY128" s="57"/>
      <c r="AZ128" s="60"/>
      <c r="BA128" s="57"/>
      <c r="BB128" s="60"/>
      <c r="BC128" s="56"/>
      <c r="BD128" s="60"/>
      <c r="BE128" s="56"/>
      <c r="BF128" s="56"/>
      <c r="BG128" s="56"/>
      <c r="BH128" s="56"/>
      <c r="BI128" s="56"/>
      <c r="BJ128" s="56"/>
      <c r="BK128" s="56"/>
      <c r="BL128" s="60"/>
      <c r="BM128" s="56"/>
      <c r="BN128" s="60"/>
      <c r="BO128" s="57"/>
      <c r="BP128" s="60"/>
      <c r="BQ128" s="57"/>
      <c r="BR128" s="60"/>
      <c r="BS128" s="57"/>
      <c r="BT128" s="57"/>
      <c r="BU128" s="57"/>
      <c r="BV128" s="57"/>
      <c r="BW128" s="57"/>
      <c r="BX128" s="57"/>
      <c r="BY128" s="57"/>
      <c r="BZ128" s="60"/>
      <c r="CA128" s="57"/>
    </row>
    <row r="129" spans="1:79" x14ac:dyDescent="0.15">
      <c r="A129" s="55">
        <v>127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6"/>
      <c r="AC129" s="60"/>
      <c r="AD129" s="56"/>
      <c r="AE129" s="60"/>
      <c r="AF129" s="56"/>
      <c r="AG129" s="56"/>
      <c r="AH129" s="56"/>
      <c r="AI129" s="56"/>
      <c r="AJ129" s="56"/>
      <c r="AK129" s="56"/>
      <c r="AL129" s="56"/>
      <c r="AM129" s="60"/>
      <c r="AN129" s="56"/>
      <c r="AO129" s="57"/>
      <c r="AP129" s="60"/>
      <c r="AQ129" s="57"/>
      <c r="AR129" s="60"/>
      <c r="AS129" s="57"/>
      <c r="AT129" s="57"/>
      <c r="AU129" s="57"/>
      <c r="AV129" s="57"/>
      <c r="AW129" s="57"/>
      <c r="AX129" s="57"/>
      <c r="AY129" s="57"/>
      <c r="AZ129" s="60"/>
      <c r="BA129" s="57"/>
      <c r="BB129" s="60"/>
      <c r="BC129" s="56"/>
      <c r="BD129" s="60"/>
      <c r="BE129" s="56"/>
      <c r="BF129" s="56"/>
      <c r="BG129" s="56"/>
      <c r="BH129" s="56"/>
      <c r="BI129" s="56"/>
      <c r="BJ129" s="56"/>
      <c r="BK129" s="56"/>
      <c r="BL129" s="60"/>
      <c r="BM129" s="56"/>
      <c r="BN129" s="60"/>
      <c r="BO129" s="57"/>
      <c r="BP129" s="60"/>
      <c r="BQ129" s="57"/>
      <c r="BR129" s="60"/>
      <c r="BS129" s="57"/>
      <c r="BT129" s="57"/>
      <c r="BU129" s="57"/>
      <c r="BV129" s="57"/>
      <c r="BW129" s="57"/>
      <c r="BX129" s="57"/>
      <c r="BY129" s="57"/>
      <c r="BZ129" s="60"/>
      <c r="CA129" s="57"/>
    </row>
    <row r="130" spans="1:79" x14ac:dyDescent="0.15">
      <c r="A130" s="55">
        <v>128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6"/>
      <c r="AC130" s="60"/>
      <c r="AD130" s="56"/>
      <c r="AE130" s="60"/>
      <c r="AF130" s="56"/>
      <c r="AG130" s="56"/>
      <c r="AH130" s="56"/>
      <c r="AI130" s="56"/>
      <c r="AJ130" s="56"/>
      <c r="AK130" s="56"/>
      <c r="AL130" s="56"/>
      <c r="AM130" s="60"/>
      <c r="AN130" s="56"/>
      <c r="AO130" s="57"/>
      <c r="AP130" s="60"/>
      <c r="AQ130" s="57"/>
      <c r="AR130" s="60"/>
      <c r="AS130" s="57"/>
      <c r="AT130" s="57"/>
      <c r="AU130" s="57"/>
      <c r="AV130" s="57"/>
      <c r="AW130" s="57"/>
      <c r="AX130" s="57"/>
      <c r="AY130" s="57"/>
      <c r="AZ130" s="60"/>
      <c r="BA130" s="57"/>
      <c r="BB130" s="60"/>
      <c r="BC130" s="56"/>
      <c r="BD130" s="60"/>
      <c r="BE130" s="56"/>
      <c r="BF130" s="56"/>
      <c r="BG130" s="56"/>
      <c r="BH130" s="56"/>
      <c r="BI130" s="56"/>
      <c r="BJ130" s="56"/>
      <c r="BK130" s="56"/>
      <c r="BL130" s="60"/>
      <c r="BM130" s="56"/>
      <c r="BN130" s="60"/>
      <c r="BO130" s="57"/>
      <c r="BP130" s="60"/>
      <c r="BQ130" s="57"/>
      <c r="BR130" s="60"/>
      <c r="BS130" s="57"/>
      <c r="BT130" s="57"/>
      <c r="BU130" s="57"/>
      <c r="BV130" s="57"/>
      <c r="BW130" s="57"/>
      <c r="BX130" s="57"/>
      <c r="BY130" s="57"/>
      <c r="BZ130" s="60"/>
      <c r="CA130" s="57"/>
    </row>
    <row r="131" spans="1:79" x14ac:dyDescent="0.15">
      <c r="A131" s="55">
        <v>129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6"/>
      <c r="AC131" s="60"/>
      <c r="AD131" s="56"/>
      <c r="AE131" s="60"/>
      <c r="AF131" s="56"/>
      <c r="AG131" s="56"/>
      <c r="AH131" s="56"/>
      <c r="AI131" s="56"/>
      <c r="AJ131" s="56"/>
      <c r="AK131" s="56"/>
      <c r="AL131" s="56"/>
      <c r="AM131" s="60"/>
      <c r="AN131" s="56"/>
      <c r="AO131" s="57"/>
      <c r="AP131" s="60"/>
      <c r="AQ131" s="57"/>
      <c r="AR131" s="60"/>
      <c r="AS131" s="57"/>
      <c r="AT131" s="57"/>
      <c r="AU131" s="57"/>
      <c r="AV131" s="57"/>
      <c r="AW131" s="57"/>
      <c r="AX131" s="57"/>
      <c r="AY131" s="57"/>
      <c r="AZ131" s="60"/>
      <c r="BA131" s="57"/>
      <c r="BB131" s="60"/>
      <c r="BC131" s="56"/>
      <c r="BD131" s="60"/>
      <c r="BE131" s="56"/>
      <c r="BF131" s="56"/>
      <c r="BG131" s="56"/>
      <c r="BH131" s="56"/>
      <c r="BI131" s="56"/>
      <c r="BJ131" s="56"/>
      <c r="BK131" s="56"/>
      <c r="BL131" s="60"/>
      <c r="BM131" s="56"/>
      <c r="BN131" s="60"/>
      <c r="BO131" s="57"/>
      <c r="BP131" s="60"/>
      <c r="BQ131" s="57"/>
      <c r="BR131" s="60"/>
      <c r="BS131" s="57"/>
      <c r="BT131" s="57"/>
      <c r="BU131" s="57"/>
      <c r="BV131" s="57"/>
      <c r="BW131" s="57"/>
      <c r="BX131" s="57"/>
      <c r="BY131" s="57"/>
      <c r="BZ131" s="60"/>
      <c r="CA131" s="57"/>
    </row>
    <row r="132" spans="1:79" x14ac:dyDescent="0.15">
      <c r="A132" s="55">
        <v>130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6"/>
      <c r="AC132" s="60"/>
      <c r="AD132" s="56"/>
      <c r="AE132" s="60"/>
      <c r="AF132" s="56"/>
      <c r="AG132" s="56"/>
      <c r="AH132" s="56"/>
      <c r="AI132" s="56"/>
      <c r="AJ132" s="56"/>
      <c r="AK132" s="56"/>
      <c r="AL132" s="56"/>
      <c r="AM132" s="60"/>
      <c r="AN132" s="56"/>
      <c r="AO132" s="57"/>
      <c r="AP132" s="60"/>
      <c r="AQ132" s="57"/>
      <c r="AR132" s="60"/>
      <c r="AS132" s="57"/>
      <c r="AT132" s="57"/>
      <c r="AU132" s="57"/>
      <c r="AV132" s="57"/>
      <c r="AW132" s="57"/>
      <c r="AX132" s="57"/>
      <c r="AY132" s="57"/>
      <c r="AZ132" s="60"/>
      <c r="BA132" s="57"/>
      <c r="BB132" s="60"/>
      <c r="BC132" s="56"/>
      <c r="BD132" s="60"/>
      <c r="BE132" s="56"/>
      <c r="BF132" s="56"/>
      <c r="BG132" s="56"/>
      <c r="BH132" s="56"/>
      <c r="BI132" s="56"/>
      <c r="BJ132" s="56"/>
      <c r="BK132" s="56"/>
      <c r="BL132" s="60"/>
      <c r="BM132" s="56"/>
      <c r="BN132" s="60"/>
      <c r="BO132" s="57"/>
      <c r="BP132" s="60"/>
      <c r="BQ132" s="57"/>
      <c r="BR132" s="60"/>
      <c r="BS132" s="57"/>
      <c r="BT132" s="57"/>
      <c r="BU132" s="57"/>
      <c r="BV132" s="57"/>
      <c r="BW132" s="57"/>
      <c r="BX132" s="57"/>
      <c r="BY132" s="57"/>
      <c r="BZ132" s="60"/>
      <c r="CA132" s="57"/>
    </row>
    <row r="133" spans="1:79" x14ac:dyDescent="0.15">
      <c r="A133" s="55">
        <v>131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6"/>
      <c r="AC133" s="60"/>
      <c r="AD133" s="56"/>
      <c r="AE133" s="60"/>
      <c r="AF133" s="56"/>
      <c r="AG133" s="56"/>
      <c r="AH133" s="56"/>
      <c r="AI133" s="56"/>
      <c r="AJ133" s="56"/>
      <c r="AK133" s="56"/>
      <c r="AL133" s="56"/>
      <c r="AM133" s="60"/>
      <c r="AN133" s="56"/>
      <c r="AO133" s="57"/>
      <c r="AP133" s="60"/>
      <c r="AQ133" s="57"/>
      <c r="AR133" s="60"/>
      <c r="AS133" s="57"/>
      <c r="AT133" s="57"/>
      <c r="AU133" s="57"/>
      <c r="AV133" s="57"/>
      <c r="AW133" s="57"/>
      <c r="AX133" s="57"/>
      <c r="AY133" s="57"/>
      <c r="AZ133" s="60"/>
      <c r="BA133" s="57"/>
      <c r="BB133" s="60"/>
      <c r="BC133" s="56"/>
      <c r="BD133" s="60"/>
      <c r="BE133" s="56"/>
      <c r="BF133" s="56"/>
      <c r="BG133" s="56"/>
      <c r="BH133" s="56"/>
      <c r="BI133" s="56"/>
      <c r="BJ133" s="56"/>
      <c r="BK133" s="56"/>
      <c r="BL133" s="60"/>
      <c r="BM133" s="56"/>
      <c r="BN133" s="60"/>
      <c r="BO133" s="57"/>
      <c r="BP133" s="60"/>
      <c r="BQ133" s="57"/>
      <c r="BR133" s="60"/>
      <c r="BS133" s="57"/>
      <c r="BT133" s="57"/>
      <c r="BU133" s="57"/>
      <c r="BV133" s="57"/>
      <c r="BW133" s="57"/>
      <c r="BX133" s="57"/>
      <c r="BY133" s="57"/>
      <c r="BZ133" s="60"/>
      <c r="CA133" s="57"/>
    </row>
    <row r="134" spans="1:79" x14ac:dyDescent="0.15">
      <c r="A134" s="55">
        <v>132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6"/>
      <c r="AC134" s="60"/>
      <c r="AD134" s="56"/>
      <c r="AE134" s="60"/>
      <c r="AF134" s="56"/>
      <c r="AG134" s="56"/>
      <c r="AH134" s="56"/>
      <c r="AI134" s="56"/>
      <c r="AJ134" s="56"/>
      <c r="AK134" s="56"/>
      <c r="AL134" s="56"/>
      <c r="AM134" s="60"/>
      <c r="AN134" s="56"/>
      <c r="AO134" s="57"/>
      <c r="AP134" s="60"/>
      <c r="AQ134" s="57"/>
      <c r="AR134" s="60"/>
      <c r="AS134" s="57"/>
      <c r="AT134" s="57"/>
      <c r="AU134" s="57"/>
      <c r="AV134" s="57"/>
      <c r="AW134" s="57"/>
      <c r="AX134" s="57"/>
      <c r="AY134" s="57"/>
      <c r="AZ134" s="60"/>
      <c r="BA134" s="57"/>
      <c r="BB134" s="60"/>
      <c r="BC134" s="56"/>
      <c r="BD134" s="60"/>
      <c r="BE134" s="56"/>
      <c r="BF134" s="56"/>
      <c r="BG134" s="56"/>
      <c r="BH134" s="56"/>
      <c r="BI134" s="56"/>
      <c r="BJ134" s="56"/>
      <c r="BK134" s="56"/>
      <c r="BL134" s="60"/>
      <c r="BM134" s="56"/>
      <c r="BN134" s="60"/>
      <c r="BO134" s="57"/>
      <c r="BP134" s="60"/>
      <c r="BQ134" s="57"/>
      <c r="BR134" s="60"/>
      <c r="BS134" s="57"/>
      <c r="BT134" s="57"/>
      <c r="BU134" s="57"/>
      <c r="BV134" s="57"/>
      <c r="BW134" s="57"/>
      <c r="BX134" s="57"/>
      <c r="BY134" s="57"/>
      <c r="BZ134" s="60"/>
      <c r="CA134" s="57"/>
    </row>
    <row r="135" spans="1:79" x14ac:dyDescent="0.15">
      <c r="A135" s="55">
        <v>133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6"/>
      <c r="AC135" s="60"/>
      <c r="AD135" s="56"/>
      <c r="AE135" s="60"/>
      <c r="AF135" s="56"/>
      <c r="AG135" s="56"/>
      <c r="AH135" s="56"/>
      <c r="AI135" s="56"/>
      <c r="AJ135" s="56"/>
      <c r="AK135" s="56"/>
      <c r="AL135" s="56"/>
      <c r="AM135" s="60"/>
      <c r="AN135" s="56"/>
      <c r="AO135" s="57"/>
      <c r="AP135" s="60"/>
      <c r="AQ135" s="57"/>
      <c r="AR135" s="60"/>
      <c r="AS135" s="57"/>
      <c r="AT135" s="57"/>
      <c r="AU135" s="57"/>
      <c r="AV135" s="57"/>
      <c r="AW135" s="57"/>
      <c r="AX135" s="57"/>
      <c r="AY135" s="57"/>
      <c r="AZ135" s="60"/>
      <c r="BA135" s="57"/>
      <c r="BB135" s="60"/>
      <c r="BC135" s="56"/>
      <c r="BD135" s="60"/>
      <c r="BE135" s="56"/>
      <c r="BF135" s="56"/>
      <c r="BG135" s="56"/>
      <c r="BH135" s="56"/>
      <c r="BI135" s="56"/>
      <c r="BJ135" s="56"/>
      <c r="BK135" s="56"/>
      <c r="BL135" s="60"/>
      <c r="BM135" s="56"/>
      <c r="BN135" s="60"/>
      <c r="BO135" s="57"/>
      <c r="BP135" s="60"/>
      <c r="BQ135" s="57"/>
      <c r="BR135" s="60"/>
      <c r="BS135" s="57"/>
      <c r="BT135" s="57"/>
      <c r="BU135" s="57"/>
      <c r="BV135" s="57"/>
      <c r="BW135" s="57"/>
      <c r="BX135" s="57"/>
      <c r="BY135" s="57"/>
      <c r="BZ135" s="60"/>
      <c r="CA135" s="57"/>
    </row>
    <row r="136" spans="1:79" x14ac:dyDescent="0.15">
      <c r="A136" s="55">
        <v>134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6"/>
      <c r="AC136" s="60"/>
      <c r="AD136" s="56"/>
      <c r="AE136" s="60"/>
      <c r="AF136" s="56"/>
      <c r="AG136" s="56"/>
      <c r="AH136" s="56"/>
      <c r="AI136" s="56"/>
      <c r="AJ136" s="56"/>
      <c r="AK136" s="56"/>
      <c r="AL136" s="56"/>
      <c r="AM136" s="60"/>
      <c r="AN136" s="56"/>
      <c r="AO136" s="57"/>
      <c r="AP136" s="60"/>
      <c r="AQ136" s="57"/>
      <c r="AR136" s="60"/>
      <c r="AS136" s="57"/>
      <c r="AT136" s="57"/>
      <c r="AU136" s="57"/>
      <c r="AV136" s="57"/>
      <c r="AW136" s="57"/>
      <c r="AX136" s="57"/>
      <c r="AY136" s="57"/>
      <c r="AZ136" s="60"/>
      <c r="BA136" s="57"/>
      <c r="BB136" s="60"/>
      <c r="BC136" s="56"/>
      <c r="BD136" s="60"/>
      <c r="BE136" s="56"/>
      <c r="BF136" s="56"/>
      <c r="BG136" s="56"/>
      <c r="BH136" s="56"/>
      <c r="BI136" s="56"/>
      <c r="BJ136" s="56"/>
      <c r="BK136" s="56"/>
      <c r="BL136" s="60"/>
      <c r="BM136" s="56"/>
      <c r="BN136" s="60"/>
      <c r="BO136" s="57"/>
      <c r="BP136" s="60"/>
      <c r="BQ136" s="57"/>
      <c r="BR136" s="60"/>
      <c r="BS136" s="57"/>
      <c r="BT136" s="57"/>
      <c r="BU136" s="57"/>
      <c r="BV136" s="57"/>
      <c r="BW136" s="57"/>
      <c r="BX136" s="57"/>
      <c r="BY136" s="57"/>
      <c r="BZ136" s="60"/>
      <c r="CA136" s="57"/>
    </row>
    <row r="137" spans="1:79" x14ac:dyDescent="0.15">
      <c r="A137" s="55">
        <v>135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6"/>
      <c r="AC137" s="60"/>
      <c r="AD137" s="56"/>
      <c r="AE137" s="60"/>
      <c r="AF137" s="56"/>
      <c r="AG137" s="56"/>
      <c r="AH137" s="56"/>
      <c r="AI137" s="56"/>
      <c r="AJ137" s="56"/>
      <c r="AK137" s="56"/>
      <c r="AL137" s="56"/>
      <c r="AM137" s="60"/>
      <c r="AN137" s="56"/>
      <c r="AO137" s="57"/>
      <c r="AP137" s="60"/>
      <c r="AQ137" s="57"/>
      <c r="AR137" s="60"/>
      <c r="AS137" s="57"/>
      <c r="AT137" s="57"/>
      <c r="AU137" s="57"/>
      <c r="AV137" s="57"/>
      <c r="AW137" s="57"/>
      <c r="AX137" s="57"/>
      <c r="AY137" s="57"/>
      <c r="AZ137" s="60"/>
      <c r="BA137" s="57"/>
      <c r="BB137" s="60"/>
      <c r="BC137" s="56"/>
      <c r="BD137" s="60"/>
      <c r="BE137" s="56"/>
      <c r="BF137" s="56"/>
      <c r="BG137" s="56"/>
      <c r="BH137" s="56"/>
      <c r="BI137" s="56"/>
      <c r="BJ137" s="56"/>
      <c r="BK137" s="56"/>
      <c r="BL137" s="60"/>
      <c r="BM137" s="56"/>
      <c r="BN137" s="60"/>
      <c r="BO137" s="57"/>
      <c r="BP137" s="60"/>
      <c r="BQ137" s="57"/>
      <c r="BR137" s="60"/>
      <c r="BS137" s="57"/>
      <c r="BT137" s="57"/>
      <c r="BU137" s="57"/>
      <c r="BV137" s="57"/>
      <c r="BW137" s="57"/>
      <c r="BX137" s="57"/>
      <c r="BY137" s="57"/>
      <c r="BZ137" s="60"/>
      <c r="CA137" s="57"/>
    </row>
    <row r="138" spans="1:79" x14ac:dyDescent="0.15">
      <c r="A138" s="55">
        <v>136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6"/>
      <c r="AC138" s="60"/>
      <c r="AD138" s="56"/>
      <c r="AE138" s="60"/>
      <c r="AF138" s="56"/>
      <c r="AG138" s="56"/>
      <c r="AH138" s="56"/>
      <c r="AI138" s="56"/>
      <c r="AJ138" s="56"/>
      <c r="AK138" s="56"/>
      <c r="AL138" s="56"/>
      <c r="AM138" s="60"/>
      <c r="AN138" s="56"/>
      <c r="AO138" s="57"/>
      <c r="AP138" s="60"/>
      <c r="AQ138" s="57"/>
      <c r="AR138" s="60"/>
      <c r="AS138" s="57"/>
      <c r="AT138" s="57"/>
      <c r="AU138" s="57"/>
      <c r="AV138" s="57"/>
      <c r="AW138" s="57"/>
      <c r="AX138" s="57"/>
      <c r="AY138" s="57"/>
      <c r="AZ138" s="60"/>
      <c r="BA138" s="57"/>
      <c r="BB138" s="60"/>
      <c r="BC138" s="56"/>
      <c r="BD138" s="60"/>
      <c r="BE138" s="56"/>
      <c r="BF138" s="56"/>
      <c r="BG138" s="56"/>
      <c r="BH138" s="56"/>
      <c r="BI138" s="56"/>
      <c r="BJ138" s="56"/>
      <c r="BK138" s="56"/>
      <c r="BL138" s="60"/>
      <c r="BM138" s="56"/>
      <c r="BN138" s="60"/>
      <c r="BO138" s="57"/>
      <c r="BP138" s="60"/>
      <c r="BQ138" s="57"/>
      <c r="BR138" s="60"/>
      <c r="BS138" s="57"/>
      <c r="BT138" s="57"/>
      <c r="BU138" s="57"/>
      <c r="BV138" s="57"/>
      <c r="BW138" s="57"/>
      <c r="BX138" s="57"/>
      <c r="BY138" s="57"/>
      <c r="BZ138" s="60"/>
      <c r="CA138" s="57"/>
    </row>
    <row r="139" spans="1:79" x14ac:dyDescent="0.15">
      <c r="A139" s="55">
        <v>137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6"/>
      <c r="AC139" s="60"/>
      <c r="AD139" s="56"/>
      <c r="AE139" s="60"/>
      <c r="AF139" s="56"/>
      <c r="AG139" s="56"/>
      <c r="AH139" s="56"/>
      <c r="AI139" s="56"/>
      <c r="AJ139" s="56"/>
      <c r="AK139" s="56"/>
      <c r="AL139" s="56"/>
      <c r="AM139" s="60"/>
      <c r="AN139" s="56"/>
      <c r="AO139" s="57"/>
      <c r="AP139" s="60"/>
      <c r="AQ139" s="57"/>
      <c r="AR139" s="60"/>
      <c r="AS139" s="57"/>
      <c r="AT139" s="57"/>
      <c r="AU139" s="57"/>
      <c r="AV139" s="57"/>
      <c r="AW139" s="57"/>
      <c r="AX139" s="57"/>
      <c r="AY139" s="57"/>
      <c r="AZ139" s="60"/>
      <c r="BA139" s="57"/>
      <c r="BB139" s="60"/>
      <c r="BC139" s="56"/>
      <c r="BD139" s="60"/>
      <c r="BE139" s="56"/>
      <c r="BF139" s="56"/>
      <c r="BG139" s="56"/>
      <c r="BH139" s="56"/>
      <c r="BI139" s="56"/>
      <c r="BJ139" s="56"/>
      <c r="BK139" s="56"/>
      <c r="BL139" s="60"/>
      <c r="BM139" s="56"/>
      <c r="BN139" s="60"/>
      <c r="BO139" s="57"/>
      <c r="BP139" s="60"/>
      <c r="BQ139" s="57"/>
      <c r="BR139" s="60"/>
      <c r="BS139" s="57"/>
      <c r="BT139" s="57"/>
      <c r="BU139" s="57"/>
      <c r="BV139" s="57"/>
      <c r="BW139" s="57"/>
      <c r="BX139" s="57"/>
      <c r="BY139" s="57"/>
      <c r="BZ139" s="60"/>
      <c r="CA139" s="57"/>
    </row>
    <row r="140" spans="1:79" x14ac:dyDescent="0.15">
      <c r="A140" s="55">
        <v>138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6"/>
      <c r="AC140" s="60"/>
      <c r="AD140" s="56"/>
      <c r="AE140" s="60"/>
      <c r="AF140" s="56"/>
      <c r="AG140" s="56"/>
      <c r="AH140" s="56"/>
      <c r="AI140" s="56"/>
      <c r="AJ140" s="56"/>
      <c r="AK140" s="56"/>
      <c r="AL140" s="56"/>
      <c r="AM140" s="60"/>
      <c r="AN140" s="56"/>
      <c r="AO140" s="57"/>
      <c r="AP140" s="60"/>
      <c r="AQ140" s="57"/>
      <c r="AR140" s="60"/>
      <c r="AS140" s="57"/>
      <c r="AT140" s="57"/>
      <c r="AU140" s="57"/>
      <c r="AV140" s="57"/>
      <c r="AW140" s="57"/>
      <c r="AX140" s="57"/>
      <c r="AY140" s="57"/>
      <c r="AZ140" s="60"/>
      <c r="BA140" s="57"/>
      <c r="BB140" s="60"/>
      <c r="BC140" s="56"/>
      <c r="BD140" s="60"/>
      <c r="BE140" s="56"/>
      <c r="BF140" s="56"/>
      <c r="BG140" s="56"/>
      <c r="BH140" s="56"/>
      <c r="BI140" s="56"/>
      <c r="BJ140" s="56"/>
      <c r="BK140" s="56"/>
      <c r="BL140" s="60"/>
      <c r="BM140" s="56"/>
      <c r="BN140" s="60"/>
      <c r="BO140" s="57"/>
      <c r="BP140" s="60"/>
      <c r="BQ140" s="57"/>
      <c r="BR140" s="60"/>
      <c r="BS140" s="57"/>
      <c r="BT140" s="57"/>
      <c r="BU140" s="57"/>
      <c r="BV140" s="57"/>
      <c r="BW140" s="57"/>
      <c r="BX140" s="57"/>
      <c r="BY140" s="57"/>
      <c r="BZ140" s="60"/>
      <c r="CA140" s="57"/>
    </row>
    <row r="141" spans="1:79" x14ac:dyDescent="0.15">
      <c r="A141" s="55">
        <v>139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6"/>
      <c r="AC141" s="60"/>
      <c r="AD141" s="56"/>
      <c r="AE141" s="60"/>
      <c r="AF141" s="56"/>
      <c r="AG141" s="56"/>
      <c r="AH141" s="56"/>
      <c r="AI141" s="56"/>
      <c r="AJ141" s="56"/>
      <c r="AK141" s="56"/>
      <c r="AL141" s="56"/>
      <c r="AM141" s="60"/>
      <c r="AN141" s="56"/>
      <c r="AO141" s="57"/>
      <c r="AP141" s="60"/>
      <c r="AQ141" s="57"/>
      <c r="AR141" s="60"/>
      <c r="AS141" s="57"/>
      <c r="AT141" s="57"/>
      <c r="AU141" s="57"/>
      <c r="AV141" s="57"/>
      <c r="AW141" s="57"/>
      <c r="AX141" s="57"/>
      <c r="AY141" s="57"/>
      <c r="AZ141" s="60"/>
      <c r="BA141" s="57"/>
      <c r="BB141" s="60"/>
      <c r="BC141" s="56"/>
      <c r="BD141" s="60"/>
      <c r="BE141" s="56"/>
      <c r="BF141" s="56"/>
      <c r="BG141" s="56"/>
      <c r="BH141" s="56"/>
      <c r="BI141" s="56"/>
      <c r="BJ141" s="56"/>
      <c r="BK141" s="56"/>
      <c r="BL141" s="60"/>
      <c r="BM141" s="56"/>
      <c r="BN141" s="60"/>
      <c r="BO141" s="57"/>
      <c r="BP141" s="60"/>
      <c r="BQ141" s="57"/>
      <c r="BR141" s="60"/>
      <c r="BS141" s="57"/>
      <c r="BT141" s="57"/>
      <c r="BU141" s="57"/>
      <c r="BV141" s="57"/>
      <c r="BW141" s="57"/>
      <c r="BX141" s="57"/>
      <c r="BY141" s="57"/>
      <c r="BZ141" s="60"/>
      <c r="CA141" s="57"/>
    </row>
    <row r="142" spans="1:79" x14ac:dyDescent="0.15">
      <c r="A142" s="55">
        <v>140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6"/>
      <c r="AC142" s="60"/>
      <c r="AD142" s="56"/>
      <c r="AE142" s="60"/>
      <c r="AF142" s="56"/>
      <c r="AG142" s="56"/>
      <c r="AH142" s="56"/>
      <c r="AI142" s="56"/>
      <c r="AJ142" s="56"/>
      <c r="AK142" s="56"/>
      <c r="AL142" s="56"/>
      <c r="AM142" s="60"/>
      <c r="AN142" s="56"/>
      <c r="AO142" s="57"/>
      <c r="AP142" s="60"/>
      <c r="AQ142" s="57"/>
      <c r="AR142" s="60"/>
      <c r="AS142" s="57"/>
      <c r="AT142" s="57"/>
      <c r="AU142" s="57"/>
      <c r="AV142" s="57"/>
      <c r="AW142" s="57"/>
      <c r="AX142" s="57"/>
      <c r="AY142" s="57"/>
      <c r="AZ142" s="60"/>
      <c r="BA142" s="57"/>
      <c r="BB142" s="60"/>
      <c r="BC142" s="56"/>
      <c r="BD142" s="60"/>
      <c r="BE142" s="56"/>
      <c r="BF142" s="56"/>
      <c r="BG142" s="56"/>
      <c r="BH142" s="56"/>
      <c r="BI142" s="56"/>
      <c r="BJ142" s="56"/>
      <c r="BK142" s="56"/>
      <c r="BL142" s="60"/>
      <c r="BM142" s="56"/>
      <c r="BN142" s="60"/>
      <c r="BO142" s="57"/>
      <c r="BP142" s="60"/>
      <c r="BQ142" s="57"/>
      <c r="BR142" s="60"/>
      <c r="BS142" s="57"/>
      <c r="BT142" s="57"/>
      <c r="BU142" s="57"/>
      <c r="BV142" s="57"/>
      <c r="BW142" s="57"/>
      <c r="BX142" s="57"/>
      <c r="BY142" s="57"/>
      <c r="BZ142" s="60"/>
      <c r="CA142" s="57"/>
    </row>
    <row r="143" spans="1:79" x14ac:dyDescent="0.15">
      <c r="A143" s="55">
        <v>141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6"/>
      <c r="AC143" s="60"/>
      <c r="AD143" s="56"/>
      <c r="AE143" s="60"/>
      <c r="AF143" s="56"/>
      <c r="AG143" s="56"/>
      <c r="AH143" s="56"/>
      <c r="AI143" s="56"/>
      <c r="AJ143" s="56"/>
      <c r="AK143" s="56"/>
      <c r="AL143" s="56"/>
      <c r="AM143" s="60"/>
      <c r="AN143" s="56"/>
      <c r="AO143" s="57"/>
      <c r="AP143" s="60"/>
      <c r="AQ143" s="57"/>
      <c r="AR143" s="60"/>
      <c r="AS143" s="57"/>
      <c r="AT143" s="57"/>
      <c r="AU143" s="57"/>
      <c r="AV143" s="57"/>
      <c r="AW143" s="57"/>
      <c r="AX143" s="57"/>
      <c r="AY143" s="57"/>
      <c r="AZ143" s="60"/>
      <c r="BA143" s="57"/>
      <c r="BB143" s="60"/>
      <c r="BC143" s="56"/>
      <c r="BD143" s="60"/>
      <c r="BE143" s="56"/>
      <c r="BF143" s="56"/>
      <c r="BG143" s="56"/>
      <c r="BH143" s="56"/>
      <c r="BI143" s="56"/>
      <c r="BJ143" s="56"/>
      <c r="BK143" s="56"/>
      <c r="BL143" s="60"/>
      <c r="BM143" s="56"/>
      <c r="BN143" s="60"/>
      <c r="BO143" s="57"/>
      <c r="BP143" s="60"/>
      <c r="BQ143" s="57"/>
      <c r="BR143" s="60"/>
      <c r="BS143" s="57"/>
      <c r="BT143" s="57"/>
      <c r="BU143" s="57"/>
      <c r="BV143" s="57"/>
      <c r="BW143" s="57"/>
      <c r="BX143" s="57"/>
      <c r="BY143" s="57"/>
      <c r="BZ143" s="60"/>
      <c r="CA143" s="57"/>
    </row>
    <row r="144" spans="1:79" x14ac:dyDescent="0.15">
      <c r="A144" s="55">
        <v>142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6"/>
      <c r="AC144" s="60"/>
      <c r="AD144" s="56"/>
      <c r="AE144" s="60"/>
      <c r="AF144" s="56"/>
      <c r="AG144" s="56"/>
      <c r="AH144" s="56"/>
      <c r="AI144" s="56"/>
      <c r="AJ144" s="56"/>
      <c r="AK144" s="56"/>
      <c r="AL144" s="56"/>
      <c r="AM144" s="60"/>
      <c r="AN144" s="56"/>
      <c r="AO144" s="57"/>
      <c r="AP144" s="60"/>
      <c r="AQ144" s="57"/>
      <c r="AR144" s="60"/>
      <c r="AS144" s="57"/>
      <c r="AT144" s="57"/>
      <c r="AU144" s="57"/>
      <c r="AV144" s="57"/>
      <c r="AW144" s="57"/>
      <c r="AX144" s="57"/>
      <c r="AY144" s="57"/>
      <c r="AZ144" s="60"/>
      <c r="BA144" s="57"/>
      <c r="BB144" s="60"/>
      <c r="BC144" s="56"/>
      <c r="BD144" s="60"/>
      <c r="BE144" s="56"/>
      <c r="BF144" s="56"/>
      <c r="BG144" s="56"/>
      <c r="BH144" s="56"/>
      <c r="BI144" s="56"/>
      <c r="BJ144" s="56"/>
      <c r="BK144" s="56"/>
      <c r="BL144" s="60"/>
      <c r="BM144" s="56"/>
      <c r="BN144" s="60"/>
      <c r="BO144" s="57"/>
      <c r="BP144" s="60"/>
      <c r="BQ144" s="57"/>
      <c r="BR144" s="60"/>
      <c r="BS144" s="57"/>
      <c r="BT144" s="57"/>
      <c r="BU144" s="57"/>
      <c r="BV144" s="57"/>
      <c r="BW144" s="57"/>
      <c r="BX144" s="57"/>
      <c r="BY144" s="57"/>
      <c r="BZ144" s="60"/>
      <c r="CA144" s="57"/>
    </row>
    <row r="145" spans="1:79" x14ac:dyDescent="0.15">
      <c r="A145" s="55">
        <v>143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6"/>
      <c r="AC145" s="60"/>
      <c r="AD145" s="56"/>
      <c r="AE145" s="60"/>
      <c r="AF145" s="56"/>
      <c r="AG145" s="56"/>
      <c r="AH145" s="56"/>
      <c r="AI145" s="56"/>
      <c r="AJ145" s="56"/>
      <c r="AK145" s="56"/>
      <c r="AL145" s="56"/>
      <c r="AM145" s="60"/>
      <c r="AN145" s="56"/>
      <c r="AO145" s="57"/>
      <c r="AP145" s="60"/>
      <c r="AQ145" s="57"/>
      <c r="AR145" s="60"/>
      <c r="AS145" s="57"/>
      <c r="AT145" s="57"/>
      <c r="AU145" s="57"/>
      <c r="AV145" s="57"/>
      <c r="AW145" s="57"/>
      <c r="AX145" s="57"/>
      <c r="AY145" s="57"/>
      <c r="AZ145" s="60"/>
      <c r="BA145" s="57"/>
      <c r="BB145" s="60"/>
      <c r="BC145" s="56"/>
      <c r="BD145" s="60"/>
      <c r="BE145" s="56"/>
      <c r="BF145" s="56"/>
      <c r="BG145" s="56"/>
      <c r="BH145" s="56"/>
      <c r="BI145" s="56"/>
      <c r="BJ145" s="56"/>
      <c r="BK145" s="56"/>
      <c r="BL145" s="60"/>
      <c r="BM145" s="56"/>
      <c r="BN145" s="60"/>
      <c r="BO145" s="57"/>
      <c r="BP145" s="60"/>
      <c r="BQ145" s="57"/>
      <c r="BR145" s="60"/>
      <c r="BS145" s="57"/>
      <c r="BT145" s="57"/>
      <c r="BU145" s="57"/>
      <c r="BV145" s="57"/>
      <c r="BW145" s="57"/>
      <c r="BX145" s="57"/>
      <c r="BY145" s="57"/>
      <c r="BZ145" s="60"/>
      <c r="CA145" s="57"/>
    </row>
    <row r="146" spans="1:79" x14ac:dyDescent="0.15">
      <c r="A146" s="55">
        <v>144</v>
      </c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6"/>
      <c r="AC146" s="60"/>
      <c r="AD146" s="56"/>
      <c r="AE146" s="60"/>
      <c r="AF146" s="56"/>
      <c r="AG146" s="56"/>
      <c r="AH146" s="56"/>
      <c r="AI146" s="56"/>
      <c r="AJ146" s="56"/>
      <c r="AK146" s="56"/>
      <c r="AL146" s="56"/>
      <c r="AM146" s="60"/>
      <c r="AN146" s="56"/>
      <c r="AO146" s="57"/>
      <c r="AP146" s="60"/>
      <c r="AQ146" s="57"/>
      <c r="AR146" s="60"/>
      <c r="AS146" s="57"/>
      <c r="AT146" s="57"/>
      <c r="AU146" s="57"/>
      <c r="AV146" s="57"/>
      <c r="AW146" s="57"/>
      <c r="AX146" s="57"/>
      <c r="AY146" s="57"/>
      <c r="AZ146" s="60"/>
      <c r="BA146" s="57"/>
      <c r="BB146" s="60"/>
      <c r="BC146" s="56"/>
      <c r="BD146" s="60"/>
      <c r="BE146" s="56"/>
      <c r="BF146" s="56"/>
      <c r="BG146" s="56"/>
      <c r="BH146" s="56"/>
      <c r="BI146" s="56"/>
      <c r="BJ146" s="56"/>
      <c r="BK146" s="56"/>
      <c r="BL146" s="60"/>
      <c r="BM146" s="56"/>
      <c r="BN146" s="60"/>
      <c r="BO146" s="57"/>
      <c r="BP146" s="60"/>
      <c r="BQ146" s="57"/>
      <c r="BR146" s="60"/>
      <c r="BS146" s="57"/>
      <c r="BT146" s="57"/>
      <c r="BU146" s="57"/>
      <c r="BV146" s="57"/>
      <c r="BW146" s="57"/>
      <c r="BX146" s="57"/>
      <c r="BY146" s="57"/>
      <c r="BZ146" s="60"/>
      <c r="CA146" s="57"/>
    </row>
    <row r="147" spans="1:79" x14ac:dyDescent="0.15">
      <c r="A147" s="55">
        <v>145</v>
      </c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6"/>
      <c r="AC147" s="60"/>
      <c r="AD147" s="56"/>
      <c r="AE147" s="60"/>
      <c r="AF147" s="56"/>
      <c r="AG147" s="56"/>
      <c r="AH147" s="56"/>
      <c r="AI147" s="56"/>
      <c r="AJ147" s="56"/>
      <c r="AK147" s="56"/>
      <c r="AL147" s="56"/>
      <c r="AM147" s="60"/>
      <c r="AN147" s="56"/>
      <c r="AO147" s="57"/>
      <c r="AP147" s="60"/>
      <c r="AQ147" s="57"/>
      <c r="AR147" s="60"/>
      <c r="AS147" s="57"/>
      <c r="AT147" s="57"/>
      <c r="AU147" s="57"/>
      <c r="AV147" s="57"/>
      <c r="AW147" s="57"/>
      <c r="AX147" s="57"/>
      <c r="AY147" s="57"/>
      <c r="AZ147" s="60"/>
      <c r="BA147" s="57"/>
      <c r="BB147" s="60"/>
      <c r="BC147" s="56"/>
      <c r="BD147" s="60"/>
      <c r="BE147" s="56"/>
      <c r="BF147" s="56"/>
      <c r="BG147" s="56"/>
      <c r="BH147" s="56"/>
      <c r="BI147" s="56"/>
      <c r="BJ147" s="56"/>
      <c r="BK147" s="56"/>
      <c r="BL147" s="60"/>
      <c r="BM147" s="56"/>
      <c r="BN147" s="60"/>
      <c r="BO147" s="57"/>
      <c r="BP147" s="60"/>
      <c r="BQ147" s="57"/>
      <c r="BR147" s="60"/>
      <c r="BS147" s="57"/>
      <c r="BT147" s="57"/>
      <c r="BU147" s="57"/>
      <c r="BV147" s="57"/>
      <c r="BW147" s="57"/>
      <c r="BX147" s="57"/>
      <c r="BY147" s="57"/>
      <c r="BZ147" s="60"/>
      <c r="CA147" s="57"/>
    </row>
    <row r="148" spans="1:79" x14ac:dyDescent="0.15">
      <c r="A148" s="55">
        <v>146</v>
      </c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6"/>
      <c r="AC148" s="60"/>
      <c r="AD148" s="56"/>
      <c r="AE148" s="60"/>
      <c r="AF148" s="56"/>
      <c r="AG148" s="56"/>
      <c r="AH148" s="56"/>
      <c r="AI148" s="56"/>
      <c r="AJ148" s="56"/>
      <c r="AK148" s="56"/>
      <c r="AL148" s="56"/>
      <c r="AM148" s="60"/>
      <c r="AN148" s="56"/>
      <c r="AO148" s="57"/>
      <c r="AP148" s="60"/>
      <c r="AQ148" s="57"/>
      <c r="AR148" s="60"/>
      <c r="AS148" s="57"/>
      <c r="AT148" s="57"/>
      <c r="AU148" s="57"/>
      <c r="AV148" s="57"/>
      <c r="AW148" s="57"/>
      <c r="AX148" s="57"/>
      <c r="AY148" s="57"/>
      <c r="AZ148" s="60"/>
      <c r="BA148" s="57"/>
      <c r="BB148" s="60"/>
      <c r="BC148" s="56"/>
      <c r="BD148" s="60"/>
      <c r="BE148" s="56"/>
      <c r="BF148" s="56"/>
      <c r="BG148" s="56"/>
      <c r="BH148" s="56"/>
      <c r="BI148" s="56"/>
      <c r="BJ148" s="56"/>
      <c r="BK148" s="56"/>
      <c r="BL148" s="60"/>
      <c r="BM148" s="56"/>
      <c r="BN148" s="60"/>
      <c r="BO148" s="57"/>
      <c r="BP148" s="60"/>
      <c r="BQ148" s="57"/>
      <c r="BR148" s="60"/>
      <c r="BS148" s="57"/>
      <c r="BT148" s="57"/>
      <c r="BU148" s="57"/>
      <c r="BV148" s="57"/>
      <c r="BW148" s="57"/>
      <c r="BX148" s="57"/>
      <c r="BY148" s="57"/>
      <c r="BZ148" s="60"/>
      <c r="CA148" s="57"/>
    </row>
    <row r="149" spans="1:79" x14ac:dyDescent="0.15">
      <c r="A149" s="55">
        <v>147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6"/>
      <c r="AC149" s="60"/>
      <c r="AD149" s="56"/>
      <c r="AE149" s="60"/>
      <c r="AF149" s="56"/>
      <c r="AG149" s="56"/>
      <c r="AH149" s="56"/>
      <c r="AI149" s="56"/>
      <c r="AJ149" s="56"/>
      <c r="AK149" s="56"/>
      <c r="AL149" s="56"/>
      <c r="AM149" s="60"/>
      <c r="AN149" s="56"/>
      <c r="AO149" s="57"/>
      <c r="AP149" s="60"/>
      <c r="AQ149" s="57"/>
      <c r="AR149" s="60"/>
      <c r="AS149" s="57"/>
      <c r="AT149" s="57"/>
      <c r="AU149" s="57"/>
      <c r="AV149" s="57"/>
      <c r="AW149" s="57"/>
      <c r="AX149" s="57"/>
      <c r="AY149" s="57"/>
      <c r="AZ149" s="60"/>
      <c r="BA149" s="57"/>
      <c r="BB149" s="60"/>
      <c r="BC149" s="56"/>
      <c r="BD149" s="60"/>
      <c r="BE149" s="56"/>
      <c r="BF149" s="56"/>
      <c r="BG149" s="56"/>
      <c r="BH149" s="56"/>
      <c r="BI149" s="56"/>
      <c r="BJ149" s="56"/>
      <c r="BK149" s="56"/>
      <c r="BL149" s="60"/>
      <c r="BM149" s="56"/>
      <c r="BN149" s="60"/>
      <c r="BO149" s="57"/>
      <c r="BP149" s="60"/>
      <c r="BQ149" s="57"/>
      <c r="BR149" s="60"/>
      <c r="BS149" s="57"/>
      <c r="BT149" s="57"/>
      <c r="BU149" s="57"/>
      <c r="BV149" s="57"/>
      <c r="BW149" s="57"/>
      <c r="BX149" s="57"/>
      <c r="BY149" s="57"/>
      <c r="BZ149" s="60"/>
      <c r="CA149" s="57"/>
    </row>
    <row r="150" spans="1:79" x14ac:dyDescent="0.15">
      <c r="A150" s="55">
        <v>148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6"/>
      <c r="AC150" s="60"/>
      <c r="AD150" s="56"/>
      <c r="AE150" s="60"/>
      <c r="AF150" s="56"/>
      <c r="AG150" s="56"/>
      <c r="AH150" s="56"/>
      <c r="AI150" s="56"/>
      <c r="AJ150" s="56"/>
      <c r="AK150" s="56"/>
      <c r="AL150" s="56"/>
      <c r="AM150" s="60"/>
      <c r="AN150" s="56"/>
      <c r="AO150" s="57"/>
      <c r="AP150" s="60"/>
      <c r="AQ150" s="57"/>
      <c r="AR150" s="60"/>
      <c r="AS150" s="57"/>
      <c r="AT150" s="57"/>
      <c r="AU150" s="57"/>
      <c r="AV150" s="57"/>
      <c r="AW150" s="57"/>
      <c r="AX150" s="57"/>
      <c r="AY150" s="57"/>
      <c r="AZ150" s="60"/>
      <c r="BA150" s="57"/>
      <c r="BB150" s="60"/>
      <c r="BC150" s="56"/>
      <c r="BD150" s="60"/>
      <c r="BE150" s="56"/>
      <c r="BF150" s="56"/>
      <c r="BG150" s="56"/>
      <c r="BH150" s="56"/>
      <c r="BI150" s="56"/>
      <c r="BJ150" s="56"/>
      <c r="BK150" s="56"/>
      <c r="BL150" s="60"/>
      <c r="BM150" s="56"/>
      <c r="BN150" s="60"/>
      <c r="BO150" s="57"/>
      <c r="BP150" s="60"/>
      <c r="BQ150" s="57"/>
      <c r="BR150" s="60"/>
      <c r="BS150" s="57"/>
      <c r="BT150" s="57"/>
      <c r="BU150" s="57"/>
      <c r="BV150" s="57"/>
      <c r="BW150" s="57"/>
      <c r="BX150" s="57"/>
      <c r="BY150" s="57"/>
      <c r="BZ150" s="60"/>
      <c r="CA150" s="57"/>
    </row>
    <row r="151" spans="1:79" x14ac:dyDescent="0.15">
      <c r="A151" s="55">
        <v>149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6"/>
      <c r="AC151" s="60"/>
      <c r="AD151" s="56"/>
      <c r="AE151" s="60"/>
      <c r="AF151" s="56"/>
      <c r="AG151" s="56"/>
      <c r="AH151" s="56"/>
      <c r="AI151" s="56"/>
      <c r="AJ151" s="56"/>
      <c r="AK151" s="56"/>
      <c r="AL151" s="56"/>
      <c r="AM151" s="60"/>
      <c r="AN151" s="56"/>
      <c r="AO151" s="57"/>
      <c r="AP151" s="60"/>
      <c r="AQ151" s="57"/>
      <c r="AR151" s="60"/>
      <c r="AS151" s="57"/>
      <c r="AT151" s="57"/>
      <c r="AU151" s="57"/>
      <c r="AV151" s="57"/>
      <c r="AW151" s="57"/>
      <c r="AX151" s="57"/>
      <c r="AY151" s="57"/>
      <c r="AZ151" s="60"/>
      <c r="BA151" s="57"/>
      <c r="BB151" s="60"/>
      <c r="BC151" s="56"/>
      <c r="BD151" s="60"/>
      <c r="BE151" s="56"/>
      <c r="BF151" s="56"/>
      <c r="BG151" s="56"/>
      <c r="BH151" s="56"/>
      <c r="BI151" s="56"/>
      <c r="BJ151" s="56"/>
      <c r="BK151" s="56"/>
      <c r="BL151" s="60"/>
      <c r="BM151" s="56"/>
      <c r="BN151" s="60"/>
      <c r="BO151" s="57"/>
      <c r="BP151" s="60"/>
      <c r="BQ151" s="57"/>
      <c r="BR151" s="60"/>
      <c r="BS151" s="57"/>
      <c r="BT151" s="57"/>
      <c r="BU151" s="57"/>
      <c r="BV151" s="57"/>
      <c r="BW151" s="57"/>
      <c r="BX151" s="57"/>
      <c r="BY151" s="57"/>
      <c r="BZ151" s="60"/>
      <c r="CA151" s="57"/>
    </row>
    <row r="152" spans="1:79" x14ac:dyDescent="0.15">
      <c r="A152" s="55">
        <v>150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6"/>
      <c r="AC152" s="60"/>
      <c r="AD152" s="56"/>
      <c r="AE152" s="60"/>
      <c r="AF152" s="56"/>
      <c r="AG152" s="56"/>
      <c r="AH152" s="56"/>
      <c r="AI152" s="56"/>
      <c r="AJ152" s="56"/>
      <c r="AK152" s="56"/>
      <c r="AL152" s="56"/>
      <c r="AM152" s="60"/>
      <c r="AN152" s="56"/>
      <c r="AO152" s="57"/>
      <c r="AP152" s="60"/>
      <c r="AQ152" s="57"/>
      <c r="AR152" s="60"/>
      <c r="AS152" s="57"/>
      <c r="AT152" s="57"/>
      <c r="AU152" s="57"/>
      <c r="AV152" s="57"/>
      <c r="AW152" s="57"/>
      <c r="AX152" s="57"/>
      <c r="AY152" s="57"/>
      <c r="AZ152" s="60"/>
      <c r="BA152" s="57"/>
      <c r="BB152" s="60"/>
      <c r="BC152" s="56"/>
      <c r="BD152" s="60"/>
      <c r="BE152" s="56"/>
      <c r="BF152" s="56"/>
      <c r="BG152" s="56"/>
      <c r="BH152" s="56"/>
      <c r="BI152" s="56"/>
      <c r="BJ152" s="56"/>
      <c r="BK152" s="56"/>
      <c r="BL152" s="60"/>
      <c r="BM152" s="56"/>
      <c r="BN152" s="60"/>
      <c r="BO152" s="57"/>
      <c r="BP152" s="60"/>
      <c r="BQ152" s="57"/>
      <c r="BR152" s="60"/>
      <c r="BS152" s="57"/>
      <c r="BT152" s="57"/>
      <c r="BU152" s="57"/>
      <c r="BV152" s="57"/>
      <c r="BW152" s="57"/>
      <c r="BX152" s="57"/>
      <c r="BY152" s="57"/>
      <c r="BZ152" s="60"/>
      <c r="CA152" s="57"/>
    </row>
    <row r="153" spans="1:79" x14ac:dyDescent="0.15">
      <c r="A153" s="55">
        <v>151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6"/>
      <c r="AC153" s="60"/>
      <c r="AD153" s="56"/>
      <c r="AE153" s="60"/>
      <c r="AF153" s="56"/>
      <c r="AG153" s="56"/>
      <c r="AH153" s="56"/>
      <c r="AI153" s="56"/>
      <c r="AJ153" s="56"/>
      <c r="AK153" s="56"/>
      <c r="AL153" s="56"/>
      <c r="AM153" s="60"/>
      <c r="AN153" s="56"/>
      <c r="AO153" s="57"/>
      <c r="AP153" s="60"/>
      <c r="AQ153" s="57"/>
      <c r="AR153" s="60"/>
      <c r="AS153" s="57"/>
      <c r="AT153" s="57"/>
      <c r="AU153" s="57"/>
      <c r="AV153" s="57"/>
      <c r="AW153" s="57"/>
      <c r="AX153" s="57"/>
      <c r="AY153" s="57"/>
      <c r="AZ153" s="60"/>
      <c r="BA153" s="57"/>
      <c r="BB153" s="60"/>
      <c r="BC153" s="56"/>
      <c r="BD153" s="60"/>
      <c r="BE153" s="56"/>
      <c r="BF153" s="56"/>
      <c r="BG153" s="56"/>
      <c r="BH153" s="56"/>
      <c r="BI153" s="56"/>
      <c r="BJ153" s="56"/>
      <c r="BK153" s="56"/>
      <c r="BL153" s="60"/>
      <c r="BM153" s="56"/>
      <c r="BN153" s="60"/>
      <c r="BO153" s="57"/>
      <c r="BP153" s="60"/>
      <c r="BQ153" s="57"/>
      <c r="BR153" s="60"/>
      <c r="BS153" s="57"/>
      <c r="BT153" s="57"/>
      <c r="BU153" s="57"/>
      <c r="BV153" s="57"/>
      <c r="BW153" s="57"/>
      <c r="BX153" s="57"/>
      <c r="BY153" s="57"/>
      <c r="BZ153" s="60"/>
      <c r="CA153" s="57"/>
    </row>
    <row r="154" spans="1:79" x14ac:dyDescent="0.15">
      <c r="A154" s="55">
        <v>152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6"/>
      <c r="AC154" s="60"/>
      <c r="AD154" s="56"/>
      <c r="AE154" s="60"/>
      <c r="AF154" s="56"/>
      <c r="AG154" s="56"/>
      <c r="AH154" s="56"/>
      <c r="AI154" s="56"/>
      <c r="AJ154" s="56"/>
      <c r="AK154" s="56"/>
      <c r="AL154" s="56"/>
      <c r="AM154" s="60"/>
      <c r="AN154" s="56"/>
      <c r="AO154" s="57"/>
      <c r="AP154" s="60"/>
      <c r="AQ154" s="57"/>
      <c r="AR154" s="60"/>
      <c r="AS154" s="57"/>
      <c r="AT154" s="57"/>
      <c r="AU154" s="57"/>
      <c r="AV154" s="57"/>
      <c r="AW154" s="57"/>
      <c r="AX154" s="57"/>
      <c r="AY154" s="57"/>
      <c r="AZ154" s="60"/>
      <c r="BA154" s="57"/>
      <c r="BB154" s="60"/>
      <c r="BC154" s="56"/>
      <c r="BD154" s="60"/>
      <c r="BE154" s="56"/>
      <c r="BF154" s="56"/>
      <c r="BG154" s="56"/>
      <c r="BH154" s="56"/>
      <c r="BI154" s="56"/>
      <c r="BJ154" s="56"/>
      <c r="BK154" s="56"/>
      <c r="BL154" s="60"/>
      <c r="BM154" s="56"/>
      <c r="BN154" s="60"/>
      <c r="BO154" s="57"/>
      <c r="BP154" s="60"/>
      <c r="BQ154" s="57"/>
      <c r="BR154" s="60"/>
      <c r="BS154" s="57"/>
      <c r="BT154" s="57"/>
      <c r="BU154" s="57"/>
      <c r="BV154" s="57"/>
      <c r="BW154" s="57"/>
      <c r="BX154" s="57"/>
      <c r="BY154" s="57"/>
      <c r="BZ154" s="60"/>
      <c r="CA154" s="57"/>
    </row>
    <row r="155" spans="1:79" x14ac:dyDescent="0.15">
      <c r="A155" s="55">
        <v>153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6"/>
      <c r="AC155" s="60"/>
      <c r="AD155" s="56"/>
      <c r="AE155" s="60"/>
      <c r="AF155" s="56"/>
      <c r="AG155" s="56"/>
      <c r="AH155" s="56"/>
      <c r="AI155" s="56"/>
      <c r="AJ155" s="56"/>
      <c r="AK155" s="56"/>
      <c r="AL155" s="56"/>
      <c r="AM155" s="60"/>
      <c r="AN155" s="56"/>
      <c r="AO155" s="57"/>
      <c r="AP155" s="60"/>
      <c r="AQ155" s="57"/>
      <c r="AR155" s="60"/>
      <c r="AS155" s="57"/>
      <c r="AT155" s="57"/>
      <c r="AU155" s="57"/>
      <c r="AV155" s="57"/>
      <c r="AW155" s="57"/>
      <c r="AX155" s="57"/>
      <c r="AY155" s="57"/>
      <c r="AZ155" s="60"/>
      <c r="BA155" s="57"/>
      <c r="BB155" s="60"/>
      <c r="BC155" s="56"/>
      <c r="BD155" s="60"/>
      <c r="BE155" s="56"/>
      <c r="BF155" s="56"/>
      <c r="BG155" s="56"/>
      <c r="BH155" s="56"/>
      <c r="BI155" s="56"/>
      <c r="BJ155" s="56"/>
      <c r="BK155" s="56"/>
      <c r="BL155" s="60"/>
      <c r="BM155" s="56"/>
      <c r="BN155" s="60"/>
      <c r="BO155" s="57"/>
      <c r="BP155" s="60"/>
      <c r="BQ155" s="57"/>
      <c r="BR155" s="60"/>
      <c r="BS155" s="57"/>
      <c r="BT155" s="57"/>
      <c r="BU155" s="57"/>
      <c r="BV155" s="57"/>
      <c r="BW155" s="57"/>
      <c r="BX155" s="57"/>
      <c r="BY155" s="57"/>
      <c r="BZ155" s="60"/>
      <c r="CA155" s="57"/>
    </row>
    <row r="156" spans="1:79" x14ac:dyDescent="0.15">
      <c r="A156" s="55">
        <v>154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6"/>
      <c r="AC156" s="60"/>
      <c r="AD156" s="56"/>
      <c r="AE156" s="60"/>
      <c r="AF156" s="56"/>
      <c r="AG156" s="56"/>
      <c r="AH156" s="56"/>
      <c r="AI156" s="56"/>
      <c r="AJ156" s="56"/>
      <c r="AK156" s="56"/>
      <c r="AL156" s="56"/>
      <c r="AM156" s="60"/>
      <c r="AN156" s="56"/>
      <c r="AO156" s="57"/>
      <c r="AP156" s="60"/>
      <c r="AQ156" s="57"/>
      <c r="AR156" s="60"/>
      <c r="AS156" s="57"/>
      <c r="AT156" s="57"/>
      <c r="AU156" s="57"/>
      <c r="AV156" s="57"/>
      <c r="AW156" s="57"/>
      <c r="AX156" s="57"/>
      <c r="AY156" s="57"/>
      <c r="AZ156" s="60"/>
      <c r="BA156" s="57"/>
      <c r="BB156" s="60"/>
      <c r="BC156" s="56"/>
      <c r="BD156" s="60"/>
      <c r="BE156" s="56"/>
      <c r="BF156" s="56"/>
      <c r="BG156" s="56"/>
      <c r="BH156" s="56"/>
      <c r="BI156" s="56"/>
      <c r="BJ156" s="56"/>
      <c r="BK156" s="56"/>
      <c r="BL156" s="60"/>
      <c r="BM156" s="56"/>
      <c r="BN156" s="60"/>
      <c r="BO156" s="57"/>
      <c r="BP156" s="60"/>
      <c r="BQ156" s="57"/>
      <c r="BR156" s="60"/>
      <c r="BS156" s="57"/>
      <c r="BT156" s="57"/>
      <c r="BU156" s="57"/>
      <c r="BV156" s="57"/>
      <c r="BW156" s="57"/>
      <c r="BX156" s="57"/>
      <c r="BY156" s="57"/>
      <c r="BZ156" s="60"/>
      <c r="CA156" s="57"/>
    </row>
    <row r="157" spans="1:79" x14ac:dyDescent="0.15">
      <c r="A157" s="55">
        <v>155</v>
      </c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6"/>
      <c r="AC157" s="60"/>
      <c r="AD157" s="56"/>
      <c r="AE157" s="60"/>
      <c r="AF157" s="56"/>
      <c r="AG157" s="56"/>
      <c r="AH157" s="56"/>
      <c r="AI157" s="56"/>
      <c r="AJ157" s="56"/>
      <c r="AK157" s="56"/>
      <c r="AL157" s="56"/>
      <c r="AM157" s="60"/>
      <c r="AN157" s="56"/>
      <c r="AO157" s="57"/>
      <c r="AP157" s="60"/>
      <c r="AQ157" s="57"/>
      <c r="AR157" s="60"/>
      <c r="AS157" s="57"/>
      <c r="AT157" s="57"/>
      <c r="AU157" s="57"/>
      <c r="AV157" s="57"/>
      <c r="AW157" s="57"/>
      <c r="AX157" s="57"/>
      <c r="AY157" s="57"/>
      <c r="AZ157" s="60"/>
      <c r="BA157" s="57"/>
      <c r="BB157" s="60"/>
      <c r="BC157" s="56"/>
      <c r="BD157" s="60"/>
      <c r="BE157" s="56"/>
      <c r="BF157" s="56"/>
      <c r="BG157" s="56"/>
      <c r="BH157" s="56"/>
      <c r="BI157" s="56"/>
      <c r="BJ157" s="56"/>
      <c r="BK157" s="56"/>
      <c r="BL157" s="60"/>
      <c r="BM157" s="56"/>
      <c r="BN157" s="60"/>
      <c r="BO157" s="57"/>
      <c r="BP157" s="60"/>
      <c r="BQ157" s="57"/>
      <c r="BR157" s="60"/>
      <c r="BS157" s="57"/>
      <c r="BT157" s="57"/>
      <c r="BU157" s="57"/>
      <c r="BV157" s="57"/>
      <c r="BW157" s="57"/>
      <c r="BX157" s="57"/>
      <c r="BY157" s="57"/>
      <c r="BZ157" s="60"/>
      <c r="CA157" s="57"/>
    </row>
    <row r="158" spans="1:79" x14ac:dyDescent="0.15">
      <c r="A158" s="55">
        <v>156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6"/>
      <c r="AC158" s="60"/>
      <c r="AD158" s="56"/>
      <c r="AE158" s="60"/>
      <c r="AF158" s="56"/>
      <c r="AG158" s="56"/>
      <c r="AH158" s="56"/>
      <c r="AI158" s="56"/>
      <c r="AJ158" s="56"/>
      <c r="AK158" s="56"/>
      <c r="AL158" s="56"/>
      <c r="AM158" s="60"/>
      <c r="AN158" s="56"/>
      <c r="AO158" s="57"/>
      <c r="AP158" s="60"/>
      <c r="AQ158" s="57"/>
      <c r="AR158" s="60"/>
      <c r="AS158" s="57"/>
      <c r="AT158" s="57"/>
      <c r="AU158" s="57"/>
      <c r="AV158" s="57"/>
      <c r="AW158" s="57"/>
      <c r="AX158" s="57"/>
      <c r="AY158" s="57"/>
      <c r="AZ158" s="60"/>
      <c r="BA158" s="57"/>
      <c r="BB158" s="60"/>
      <c r="BC158" s="56"/>
      <c r="BD158" s="60"/>
      <c r="BE158" s="56"/>
      <c r="BF158" s="56"/>
      <c r="BG158" s="56"/>
      <c r="BH158" s="56"/>
      <c r="BI158" s="56"/>
      <c r="BJ158" s="56"/>
      <c r="BK158" s="56"/>
      <c r="BL158" s="60"/>
      <c r="BM158" s="56"/>
      <c r="BN158" s="60"/>
      <c r="BO158" s="57"/>
      <c r="BP158" s="60"/>
      <c r="BQ158" s="57"/>
      <c r="BR158" s="60"/>
      <c r="BS158" s="57"/>
      <c r="BT158" s="57"/>
      <c r="BU158" s="57"/>
      <c r="BV158" s="57"/>
      <c r="BW158" s="57"/>
      <c r="BX158" s="57"/>
      <c r="BY158" s="57"/>
      <c r="BZ158" s="60"/>
      <c r="CA158" s="57"/>
    </row>
    <row r="159" spans="1:79" x14ac:dyDescent="0.15">
      <c r="A159" s="55">
        <v>157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6"/>
      <c r="AC159" s="60"/>
      <c r="AD159" s="56"/>
      <c r="AE159" s="60"/>
      <c r="AF159" s="56"/>
      <c r="AG159" s="56"/>
      <c r="AH159" s="56"/>
      <c r="AI159" s="56"/>
      <c r="AJ159" s="56"/>
      <c r="AK159" s="56"/>
      <c r="AL159" s="56"/>
      <c r="AM159" s="60"/>
      <c r="AN159" s="56"/>
      <c r="AO159" s="57"/>
      <c r="AP159" s="60"/>
      <c r="AQ159" s="57"/>
      <c r="AR159" s="60"/>
      <c r="AS159" s="57"/>
      <c r="AT159" s="57"/>
      <c r="AU159" s="57"/>
      <c r="AV159" s="57"/>
      <c r="AW159" s="57"/>
      <c r="AX159" s="57"/>
      <c r="AY159" s="57"/>
      <c r="AZ159" s="60"/>
      <c r="BA159" s="57"/>
      <c r="BB159" s="60"/>
      <c r="BC159" s="56"/>
      <c r="BD159" s="60"/>
      <c r="BE159" s="56"/>
      <c r="BF159" s="56"/>
      <c r="BG159" s="56"/>
      <c r="BH159" s="56"/>
      <c r="BI159" s="56"/>
      <c r="BJ159" s="56"/>
      <c r="BK159" s="56"/>
      <c r="BL159" s="60"/>
      <c r="BM159" s="56"/>
      <c r="BN159" s="60"/>
      <c r="BO159" s="57"/>
      <c r="BP159" s="60"/>
      <c r="BQ159" s="57"/>
      <c r="BR159" s="60"/>
      <c r="BS159" s="57"/>
      <c r="BT159" s="57"/>
      <c r="BU159" s="57"/>
      <c r="BV159" s="57"/>
      <c r="BW159" s="57"/>
      <c r="BX159" s="57"/>
      <c r="BY159" s="57"/>
      <c r="BZ159" s="60"/>
      <c r="CA159" s="57"/>
    </row>
    <row r="160" spans="1:79" x14ac:dyDescent="0.15">
      <c r="A160" s="55">
        <v>158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6"/>
      <c r="AC160" s="60"/>
      <c r="AD160" s="56"/>
      <c r="AE160" s="60"/>
      <c r="AF160" s="56"/>
      <c r="AG160" s="56"/>
      <c r="AH160" s="56"/>
      <c r="AI160" s="56"/>
      <c r="AJ160" s="56"/>
      <c r="AK160" s="56"/>
      <c r="AL160" s="56"/>
      <c r="AM160" s="60"/>
      <c r="AN160" s="56"/>
      <c r="AO160" s="57"/>
      <c r="AP160" s="60"/>
      <c r="AQ160" s="57"/>
      <c r="AR160" s="60"/>
      <c r="AS160" s="57"/>
      <c r="AT160" s="57"/>
      <c r="AU160" s="57"/>
      <c r="AV160" s="57"/>
      <c r="AW160" s="57"/>
      <c r="AX160" s="57"/>
      <c r="AY160" s="57"/>
      <c r="AZ160" s="60"/>
      <c r="BA160" s="57"/>
      <c r="BB160" s="60"/>
      <c r="BC160" s="56"/>
      <c r="BD160" s="60"/>
      <c r="BE160" s="56"/>
      <c r="BF160" s="56"/>
      <c r="BG160" s="56"/>
      <c r="BH160" s="56"/>
      <c r="BI160" s="56"/>
      <c r="BJ160" s="56"/>
      <c r="BK160" s="56"/>
      <c r="BL160" s="60"/>
      <c r="BM160" s="56"/>
      <c r="BN160" s="60"/>
      <c r="BO160" s="57"/>
      <c r="BP160" s="60"/>
      <c r="BQ160" s="57"/>
      <c r="BR160" s="60"/>
      <c r="BS160" s="57"/>
      <c r="BT160" s="57"/>
      <c r="BU160" s="57"/>
      <c r="BV160" s="57"/>
      <c r="BW160" s="57"/>
      <c r="BX160" s="57"/>
      <c r="BY160" s="57"/>
      <c r="BZ160" s="60"/>
      <c r="CA160" s="57"/>
    </row>
    <row r="161" spans="1:79" x14ac:dyDescent="0.15">
      <c r="A161" s="55">
        <v>159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6"/>
      <c r="AC161" s="60"/>
      <c r="AD161" s="56"/>
      <c r="AE161" s="60"/>
      <c r="AF161" s="56"/>
      <c r="AG161" s="56"/>
      <c r="AH161" s="56"/>
      <c r="AI161" s="56"/>
      <c r="AJ161" s="56"/>
      <c r="AK161" s="56"/>
      <c r="AL161" s="56"/>
      <c r="AM161" s="60"/>
      <c r="AN161" s="56"/>
      <c r="AO161" s="57"/>
      <c r="AP161" s="60"/>
      <c r="AQ161" s="57"/>
      <c r="AR161" s="60"/>
      <c r="AS161" s="57"/>
      <c r="AT161" s="57"/>
      <c r="AU161" s="57"/>
      <c r="AV161" s="57"/>
      <c r="AW161" s="57"/>
      <c r="AX161" s="57"/>
      <c r="AY161" s="57"/>
      <c r="AZ161" s="60"/>
      <c r="BA161" s="57"/>
      <c r="BB161" s="60"/>
      <c r="BC161" s="56"/>
      <c r="BD161" s="60"/>
      <c r="BE161" s="56"/>
      <c r="BF161" s="56"/>
      <c r="BG161" s="56"/>
      <c r="BH161" s="56"/>
      <c r="BI161" s="56"/>
      <c r="BJ161" s="56"/>
      <c r="BK161" s="56"/>
      <c r="BL161" s="60"/>
      <c r="BM161" s="56"/>
      <c r="BN161" s="60"/>
      <c r="BO161" s="57"/>
      <c r="BP161" s="60"/>
      <c r="BQ161" s="57"/>
      <c r="BR161" s="60"/>
      <c r="BS161" s="57"/>
      <c r="BT161" s="57"/>
      <c r="BU161" s="57"/>
      <c r="BV161" s="57"/>
      <c r="BW161" s="57"/>
      <c r="BX161" s="57"/>
      <c r="BY161" s="57"/>
      <c r="BZ161" s="60"/>
      <c r="CA161" s="57"/>
    </row>
    <row r="162" spans="1:79" x14ac:dyDescent="0.15">
      <c r="A162" s="55">
        <v>160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6"/>
      <c r="AC162" s="60"/>
      <c r="AD162" s="56"/>
      <c r="AE162" s="60"/>
      <c r="AF162" s="56"/>
      <c r="AG162" s="56"/>
      <c r="AH162" s="56"/>
      <c r="AI162" s="56"/>
      <c r="AJ162" s="56"/>
      <c r="AK162" s="56"/>
      <c r="AL162" s="56"/>
      <c r="AM162" s="60"/>
      <c r="AN162" s="56"/>
      <c r="AO162" s="57"/>
      <c r="AP162" s="60"/>
      <c r="AQ162" s="57"/>
      <c r="AR162" s="60"/>
      <c r="AS162" s="57"/>
      <c r="AT162" s="57"/>
      <c r="AU162" s="57"/>
      <c r="AV162" s="57"/>
      <c r="AW162" s="57"/>
      <c r="AX162" s="57"/>
      <c r="AY162" s="57"/>
      <c r="AZ162" s="60"/>
      <c r="BA162" s="57"/>
      <c r="BB162" s="60"/>
      <c r="BC162" s="56"/>
      <c r="BD162" s="60"/>
      <c r="BE162" s="56"/>
      <c r="BF162" s="56"/>
      <c r="BG162" s="56"/>
      <c r="BH162" s="56"/>
      <c r="BI162" s="56"/>
      <c r="BJ162" s="56"/>
      <c r="BK162" s="56"/>
      <c r="BL162" s="60"/>
      <c r="BM162" s="56"/>
      <c r="BN162" s="60"/>
      <c r="BO162" s="57"/>
      <c r="BP162" s="60"/>
      <c r="BQ162" s="57"/>
      <c r="BR162" s="60"/>
      <c r="BS162" s="57"/>
      <c r="BT162" s="57"/>
      <c r="BU162" s="57"/>
      <c r="BV162" s="57"/>
      <c r="BW162" s="57"/>
      <c r="BX162" s="57"/>
      <c r="BY162" s="57"/>
      <c r="BZ162" s="60"/>
      <c r="CA162" s="57"/>
    </row>
    <row r="163" spans="1:79" x14ac:dyDescent="0.15">
      <c r="A163" s="55">
        <v>161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6"/>
      <c r="AC163" s="60"/>
      <c r="AD163" s="56"/>
      <c r="AE163" s="60"/>
      <c r="AF163" s="56"/>
      <c r="AG163" s="56"/>
      <c r="AH163" s="56"/>
      <c r="AI163" s="56"/>
      <c r="AJ163" s="56"/>
      <c r="AK163" s="56"/>
      <c r="AL163" s="56"/>
      <c r="AM163" s="60"/>
      <c r="AN163" s="56"/>
      <c r="AO163" s="57"/>
      <c r="AP163" s="60"/>
      <c r="AQ163" s="57"/>
      <c r="AR163" s="60"/>
      <c r="AS163" s="57"/>
      <c r="AT163" s="57"/>
      <c r="AU163" s="57"/>
      <c r="AV163" s="57"/>
      <c r="AW163" s="57"/>
      <c r="AX163" s="57"/>
      <c r="AY163" s="57"/>
      <c r="AZ163" s="60"/>
      <c r="BA163" s="57"/>
      <c r="BB163" s="60"/>
      <c r="BC163" s="56"/>
      <c r="BD163" s="60"/>
      <c r="BE163" s="56"/>
      <c r="BF163" s="56"/>
      <c r="BG163" s="56"/>
      <c r="BH163" s="56"/>
      <c r="BI163" s="56"/>
      <c r="BJ163" s="56"/>
      <c r="BK163" s="56"/>
      <c r="BL163" s="60"/>
      <c r="BM163" s="56"/>
      <c r="BN163" s="60"/>
      <c r="BO163" s="57"/>
      <c r="BP163" s="60"/>
      <c r="BQ163" s="57"/>
      <c r="BR163" s="60"/>
      <c r="BS163" s="57"/>
      <c r="BT163" s="57"/>
      <c r="BU163" s="57"/>
      <c r="BV163" s="57"/>
      <c r="BW163" s="57"/>
      <c r="BX163" s="57"/>
      <c r="BY163" s="57"/>
      <c r="BZ163" s="60"/>
      <c r="CA163" s="57"/>
    </row>
    <row r="164" spans="1:79" x14ac:dyDescent="0.15">
      <c r="A164" s="55">
        <v>162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6"/>
      <c r="AC164" s="60"/>
      <c r="AD164" s="56"/>
      <c r="AE164" s="60"/>
      <c r="AF164" s="56"/>
      <c r="AG164" s="56"/>
      <c r="AH164" s="56"/>
      <c r="AI164" s="56"/>
      <c r="AJ164" s="56"/>
      <c r="AK164" s="56"/>
      <c r="AL164" s="56"/>
      <c r="AM164" s="60"/>
      <c r="AN164" s="56"/>
      <c r="AO164" s="57"/>
      <c r="AP164" s="60"/>
      <c r="AQ164" s="57"/>
      <c r="AR164" s="60"/>
      <c r="AS164" s="57"/>
      <c r="AT164" s="57"/>
      <c r="AU164" s="57"/>
      <c r="AV164" s="57"/>
      <c r="AW164" s="57"/>
      <c r="AX164" s="57"/>
      <c r="AY164" s="57"/>
      <c r="AZ164" s="60"/>
      <c r="BA164" s="57"/>
      <c r="BB164" s="60"/>
      <c r="BC164" s="56"/>
      <c r="BD164" s="60"/>
      <c r="BE164" s="56"/>
      <c r="BF164" s="56"/>
      <c r="BG164" s="56"/>
      <c r="BH164" s="56"/>
      <c r="BI164" s="56"/>
      <c r="BJ164" s="56"/>
      <c r="BK164" s="56"/>
      <c r="BL164" s="60"/>
      <c r="BM164" s="56"/>
      <c r="BN164" s="60"/>
      <c r="BO164" s="57"/>
      <c r="BP164" s="60"/>
      <c r="BQ164" s="57"/>
      <c r="BR164" s="60"/>
      <c r="BS164" s="57"/>
      <c r="BT164" s="57"/>
      <c r="BU164" s="57"/>
      <c r="BV164" s="57"/>
      <c r="BW164" s="57"/>
      <c r="BX164" s="57"/>
      <c r="BY164" s="57"/>
      <c r="BZ164" s="60"/>
      <c r="CA164" s="57"/>
    </row>
    <row r="165" spans="1:79" x14ac:dyDescent="0.15">
      <c r="A165" s="55">
        <v>163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6"/>
      <c r="AC165" s="60"/>
      <c r="AD165" s="56"/>
      <c r="AE165" s="60"/>
      <c r="AF165" s="56"/>
      <c r="AG165" s="56"/>
      <c r="AH165" s="56"/>
      <c r="AI165" s="56"/>
      <c r="AJ165" s="56"/>
      <c r="AK165" s="56"/>
      <c r="AL165" s="56"/>
      <c r="AM165" s="60"/>
      <c r="AN165" s="56"/>
      <c r="AO165" s="57"/>
      <c r="AP165" s="60"/>
      <c r="AQ165" s="57"/>
      <c r="AR165" s="60"/>
      <c r="AS165" s="57"/>
      <c r="AT165" s="57"/>
      <c r="AU165" s="57"/>
      <c r="AV165" s="57"/>
      <c r="AW165" s="57"/>
      <c r="AX165" s="57"/>
      <c r="AY165" s="57"/>
      <c r="AZ165" s="60"/>
      <c r="BA165" s="57"/>
      <c r="BB165" s="60"/>
      <c r="BC165" s="56"/>
      <c r="BD165" s="60"/>
      <c r="BE165" s="56"/>
      <c r="BF165" s="56"/>
      <c r="BG165" s="56"/>
      <c r="BH165" s="56"/>
      <c r="BI165" s="56"/>
      <c r="BJ165" s="56"/>
      <c r="BK165" s="56"/>
      <c r="BL165" s="60"/>
      <c r="BM165" s="56"/>
      <c r="BN165" s="60"/>
      <c r="BO165" s="57"/>
      <c r="BP165" s="60"/>
      <c r="BQ165" s="57"/>
      <c r="BR165" s="60"/>
      <c r="BS165" s="57"/>
      <c r="BT165" s="57"/>
      <c r="BU165" s="57"/>
      <c r="BV165" s="57"/>
      <c r="BW165" s="57"/>
      <c r="BX165" s="57"/>
      <c r="BY165" s="57"/>
      <c r="BZ165" s="60"/>
      <c r="CA165" s="57"/>
    </row>
    <row r="166" spans="1:79" x14ac:dyDescent="0.15">
      <c r="A166" s="55">
        <v>164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6"/>
      <c r="AC166" s="60"/>
      <c r="AD166" s="56"/>
      <c r="AE166" s="60"/>
      <c r="AF166" s="56"/>
      <c r="AG166" s="56"/>
      <c r="AH166" s="56"/>
      <c r="AI166" s="56"/>
      <c r="AJ166" s="56"/>
      <c r="AK166" s="56"/>
      <c r="AL166" s="56"/>
      <c r="AM166" s="60"/>
      <c r="AN166" s="56"/>
      <c r="AO166" s="57"/>
      <c r="AP166" s="60"/>
      <c r="AQ166" s="57"/>
      <c r="AR166" s="60"/>
      <c r="AS166" s="57"/>
      <c r="AT166" s="57"/>
      <c r="AU166" s="57"/>
      <c r="AV166" s="57"/>
      <c r="AW166" s="57"/>
      <c r="AX166" s="57"/>
      <c r="AY166" s="57"/>
      <c r="AZ166" s="60"/>
      <c r="BA166" s="57"/>
      <c r="BB166" s="60"/>
      <c r="BC166" s="56"/>
      <c r="BD166" s="60"/>
      <c r="BE166" s="56"/>
      <c r="BF166" s="56"/>
      <c r="BG166" s="56"/>
      <c r="BH166" s="56"/>
      <c r="BI166" s="56"/>
      <c r="BJ166" s="56"/>
      <c r="BK166" s="56"/>
      <c r="BL166" s="60"/>
      <c r="BM166" s="56"/>
      <c r="BN166" s="60"/>
      <c r="BO166" s="57"/>
      <c r="BP166" s="60"/>
      <c r="BQ166" s="57"/>
      <c r="BR166" s="60"/>
      <c r="BS166" s="57"/>
      <c r="BT166" s="57"/>
      <c r="BU166" s="57"/>
      <c r="BV166" s="57"/>
      <c r="BW166" s="57"/>
      <c r="BX166" s="57"/>
      <c r="BY166" s="57"/>
      <c r="BZ166" s="60"/>
      <c r="CA166" s="57"/>
    </row>
    <row r="167" spans="1:79" x14ac:dyDescent="0.15">
      <c r="A167" s="55">
        <v>165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6"/>
      <c r="AC167" s="60"/>
      <c r="AD167" s="56"/>
      <c r="AE167" s="60"/>
      <c r="AF167" s="56"/>
      <c r="AG167" s="56"/>
      <c r="AH167" s="56"/>
      <c r="AI167" s="56"/>
      <c r="AJ167" s="56"/>
      <c r="AK167" s="56"/>
      <c r="AL167" s="56"/>
      <c r="AM167" s="60"/>
      <c r="AN167" s="56"/>
      <c r="AO167" s="57"/>
      <c r="AP167" s="60"/>
      <c r="AQ167" s="57"/>
      <c r="AR167" s="60"/>
      <c r="AS167" s="57"/>
      <c r="AT167" s="57"/>
      <c r="AU167" s="57"/>
      <c r="AV167" s="57"/>
      <c r="AW167" s="57"/>
      <c r="AX167" s="57"/>
      <c r="AY167" s="57"/>
      <c r="AZ167" s="60"/>
      <c r="BA167" s="57"/>
      <c r="BB167" s="60"/>
      <c r="BC167" s="56"/>
      <c r="BD167" s="60"/>
      <c r="BE167" s="56"/>
      <c r="BF167" s="56"/>
      <c r="BG167" s="56"/>
      <c r="BH167" s="56"/>
      <c r="BI167" s="56"/>
      <c r="BJ167" s="56"/>
      <c r="BK167" s="56"/>
      <c r="BL167" s="60"/>
      <c r="BM167" s="56"/>
      <c r="BN167" s="60"/>
      <c r="BO167" s="57"/>
      <c r="BP167" s="60"/>
      <c r="BQ167" s="57"/>
      <c r="BR167" s="60"/>
      <c r="BS167" s="57"/>
      <c r="BT167" s="57"/>
      <c r="BU167" s="57"/>
      <c r="BV167" s="57"/>
      <c r="BW167" s="57"/>
      <c r="BX167" s="57"/>
      <c r="BY167" s="57"/>
      <c r="BZ167" s="60"/>
      <c r="CA167" s="57"/>
    </row>
    <row r="168" spans="1:79" x14ac:dyDescent="0.15">
      <c r="A168" s="55">
        <v>166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6"/>
      <c r="AC168" s="60"/>
      <c r="AD168" s="56"/>
      <c r="AE168" s="60"/>
      <c r="AF168" s="56"/>
      <c r="AG168" s="56"/>
      <c r="AH168" s="56"/>
      <c r="AI168" s="56"/>
      <c r="AJ168" s="56"/>
      <c r="AK168" s="56"/>
      <c r="AL168" s="56"/>
      <c r="AM168" s="60"/>
      <c r="AN168" s="56"/>
      <c r="AO168" s="57"/>
      <c r="AP168" s="60"/>
      <c r="AQ168" s="57"/>
      <c r="AR168" s="60"/>
      <c r="AS168" s="57"/>
      <c r="AT168" s="57"/>
      <c r="AU168" s="57"/>
      <c r="AV168" s="57"/>
      <c r="AW168" s="57"/>
      <c r="AX168" s="57"/>
      <c r="AY168" s="57"/>
      <c r="AZ168" s="60"/>
      <c r="BA168" s="57"/>
      <c r="BB168" s="60"/>
      <c r="BC168" s="56"/>
      <c r="BD168" s="60"/>
      <c r="BE168" s="56"/>
      <c r="BF168" s="56"/>
      <c r="BG168" s="56"/>
      <c r="BH168" s="56"/>
      <c r="BI168" s="56"/>
      <c r="BJ168" s="56"/>
      <c r="BK168" s="56"/>
      <c r="BL168" s="60"/>
      <c r="BM168" s="56"/>
      <c r="BN168" s="60"/>
      <c r="BO168" s="57"/>
      <c r="BP168" s="60"/>
      <c r="BQ168" s="57"/>
      <c r="BR168" s="60"/>
      <c r="BS168" s="57"/>
      <c r="BT168" s="57"/>
      <c r="BU168" s="57"/>
      <c r="BV168" s="57"/>
      <c r="BW168" s="57"/>
      <c r="BX168" s="57"/>
      <c r="BY168" s="57"/>
      <c r="BZ168" s="60"/>
      <c r="CA168" s="57"/>
    </row>
    <row r="169" spans="1:79" x14ac:dyDescent="0.15">
      <c r="A169" s="55">
        <v>167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6"/>
      <c r="AC169" s="60"/>
      <c r="AD169" s="56"/>
      <c r="AE169" s="60"/>
      <c r="AF169" s="56"/>
      <c r="AG169" s="56"/>
      <c r="AH169" s="56"/>
      <c r="AI169" s="56"/>
      <c r="AJ169" s="56"/>
      <c r="AK169" s="56"/>
      <c r="AL169" s="56"/>
      <c r="AM169" s="60"/>
      <c r="AN169" s="56"/>
      <c r="AO169" s="57"/>
      <c r="AP169" s="60"/>
      <c r="AQ169" s="57"/>
      <c r="AR169" s="60"/>
      <c r="AS169" s="57"/>
      <c r="AT169" s="57"/>
      <c r="AU169" s="57"/>
      <c r="AV169" s="57"/>
      <c r="AW169" s="57"/>
      <c r="AX169" s="57"/>
      <c r="AY169" s="57"/>
      <c r="AZ169" s="60"/>
      <c r="BA169" s="57"/>
      <c r="BB169" s="60"/>
      <c r="BC169" s="56"/>
      <c r="BD169" s="60"/>
      <c r="BE169" s="56"/>
      <c r="BF169" s="56"/>
      <c r="BG169" s="56"/>
      <c r="BH169" s="56"/>
      <c r="BI169" s="56"/>
      <c r="BJ169" s="56"/>
      <c r="BK169" s="56"/>
      <c r="BL169" s="60"/>
      <c r="BM169" s="56"/>
      <c r="BN169" s="60"/>
      <c r="BO169" s="57"/>
      <c r="BP169" s="60"/>
      <c r="BQ169" s="57"/>
      <c r="BR169" s="60"/>
      <c r="BS169" s="57"/>
      <c r="BT169" s="57"/>
      <c r="BU169" s="57"/>
      <c r="BV169" s="57"/>
      <c r="BW169" s="57"/>
      <c r="BX169" s="57"/>
      <c r="BY169" s="57"/>
      <c r="BZ169" s="60"/>
      <c r="CA169" s="57"/>
    </row>
    <row r="170" spans="1:79" x14ac:dyDescent="0.15">
      <c r="A170" s="55">
        <v>168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6"/>
      <c r="AC170" s="60"/>
      <c r="AD170" s="56"/>
      <c r="AE170" s="60"/>
      <c r="AF170" s="56"/>
      <c r="AG170" s="56"/>
      <c r="AH170" s="56"/>
      <c r="AI170" s="56"/>
      <c r="AJ170" s="56"/>
      <c r="AK170" s="56"/>
      <c r="AL170" s="56"/>
      <c r="AM170" s="60"/>
      <c r="AN170" s="56"/>
      <c r="AO170" s="57"/>
      <c r="AP170" s="60"/>
      <c r="AQ170" s="57"/>
      <c r="AR170" s="60"/>
      <c r="AS170" s="57"/>
      <c r="AT170" s="57"/>
      <c r="AU170" s="57"/>
      <c r="AV170" s="57"/>
      <c r="AW170" s="57"/>
      <c r="AX170" s="57"/>
      <c r="AY170" s="57"/>
      <c r="AZ170" s="60"/>
      <c r="BA170" s="57"/>
      <c r="BB170" s="60"/>
      <c r="BC170" s="56"/>
      <c r="BD170" s="60"/>
      <c r="BE170" s="56"/>
      <c r="BF170" s="56"/>
      <c r="BG170" s="56"/>
      <c r="BH170" s="56"/>
      <c r="BI170" s="56"/>
      <c r="BJ170" s="56"/>
      <c r="BK170" s="56"/>
      <c r="BL170" s="60"/>
      <c r="BM170" s="56"/>
      <c r="BN170" s="60"/>
      <c r="BO170" s="57"/>
      <c r="BP170" s="60"/>
      <c r="BQ170" s="57"/>
      <c r="BR170" s="60"/>
      <c r="BS170" s="57"/>
      <c r="BT170" s="57"/>
      <c r="BU170" s="57"/>
      <c r="BV170" s="57"/>
      <c r="BW170" s="57"/>
      <c r="BX170" s="57"/>
      <c r="BY170" s="57"/>
      <c r="BZ170" s="60"/>
      <c r="CA170" s="57"/>
    </row>
    <row r="171" spans="1:79" x14ac:dyDescent="0.15">
      <c r="A171" s="55">
        <v>169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6"/>
      <c r="AC171" s="60"/>
      <c r="AD171" s="56"/>
      <c r="AE171" s="60"/>
      <c r="AF171" s="56"/>
      <c r="AG171" s="56"/>
      <c r="AH171" s="56"/>
      <c r="AI171" s="56"/>
      <c r="AJ171" s="56"/>
      <c r="AK171" s="56"/>
      <c r="AL171" s="56"/>
      <c r="AM171" s="60"/>
      <c r="AN171" s="56"/>
      <c r="AO171" s="57"/>
      <c r="AP171" s="60"/>
      <c r="AQ171" s="57"/>
      <c r="AR171" s="60"/>
      <c r="AS171" s="57"/>
      <c r="AT171" s="57"/>
      <c r="AU171" s="57"/>
      <c r="AV171" s="57"/>
      <c r="AW171" s="57"/>
      <c r="AX171" s="57"/>
      <c r="AY171" s="57"/>
      <c r="AZ171" s="60"/>
      <c r="BA171" s="57"/>
      <c r="BB171" s="60"/>
      <c r="BC171" s="56"/>
      <c r="BD171" s="60"/>
      <c r="BE171" s="56"/>
      <c r="BF171" s="56"/>
      <c r="BG171" s="56"/>
      <c r="BH171" s="56"/>
      <c r="BI171" s="56"/>
      <c r="BJ171" s="56"/>
      <c r="BK171" s="56"/>
      <c r="BL171" s="60"/>
      <c r="BM171" s="56"/>
      <c r="BN171" s="60"/>
      <c r="BO171" s="57"/>
      <c r="BP171" s="60"/>
      <c r="BQ171" s="57"/>
      <c r="BR171" s="60"/>
      <c r="BS171" s="57"/>
      <c r="BT171" s="57"/>
      <c r="BU171" s="57"/>
      <c r="BV171" s="57"/>
      <c r="BW171" s="57"/>
      <c r="BX171" s="57"/>
      <c r="BY171" s="57"/>
      <c r="BZ171" s="60"/>
      <c r="CA171" s="57"/>
    </row>
    <row r="172" spans="1:79" x14ac:dyDescent="0.15">
      <c r="A172" s="55">
        <v>170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6"/>
      <c r="AC172" s="60"/>
      <c r="AD172" s="56"/>
      <c r="AE172" s="60"/>
      <c r="AF172" s="56"/>
      <c r="AG172" s="56"/>
      <c r="AH172" s="56"/>
      <c r="AI172" s="56"/>
      <c r="AJ172" s="56"/>
      <c r="AK172" s="56"/>
      <c r="AL172" s="56"/>
      <c r="AM172" s="60"/>
      <c r="AN172" s="56"/>
      <c r="AO172" s="57"/>
      <c r="AP172" s="60"/>
      <c r="AQ172" s="57"/>
      <c r="AR172" s="60"/>
      <c r="AS172" s="57"/>
      <c r="AT172" s="57"/>
      <c r="AU172" s="57"/>
      <c r="AV172" s="57"/>
      <c r="AW172" s="57"/>
      <c r="AX172" s="57"/>
      <c r="AY172" s="57"/>
      <c r="AZ172" s="60"/>
      <c r="BA172" s="57"/>
      <c r="BB172" s="60"/>
      <c r="BC172" s="56"/>
      <c r="BD172" s="60"/>
      <c r="BE172" s="56"/>
      <c r="BF172" s="56"/>
      <c r="BG172" s="56"/>
      <c r="BH172" s="56"/>
      <c r="BI172" s="56"/>
      <c r="BJ172" s="56"/>
      <c r="BK172" s="56"/>
      <c r="BL172" s="60"/>
      <c r="BM172" s="56"/>
      <c r="BN172" s="60"/>
      <c r="BO172" s="57"/>
      <c r="BP172" s="60"/>
      <c r="BQ172" s="57"/>
      <c r="BR172" s="60"/>
      <c r="BS172" s="57"/>
      <c r="BT172" s="57"/>
      <c r="BU172" s="57"/>
      <c r="BV172" s="57"/>
      <c r="BW172" s="57"/>
      <c r="BX172" s="57"/>
      <c r="BY172" s="57"/>
      <c r="BZ172" s="60"/>
      <c r="CA172" s="57"/>
    </row>
    <row r="173" spans="1:79" x14ac:dyDescent="0.15">
      <c r="A173" s="55">
        <v>171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6"/>
      <c r="AC173" s="60"/>
      <c r="AD173" s="56"/>
      <c r="AE173" s="60"/>
      <c r="AF173" s="56"/>
      <c r="AG173" s="56"/>
      <c r="AH173" s="56"/>
      <c r="AI173" s="56"/>
      <c r="AJ173" s="56"/>
      <c r="AK173" s="56"/>
      <c r="AL173" s="56"/>
      <c r="AM173" s="60"/>
      <c r="AN173" s="56"/>
      <c r="AO173" s="57"/>
      <c r="AP173" s="60"/>
      <c r="AQ173" s="57"/>
      <c r="AR173" s="60"/>
      <c r="AS173" s="57"/>
      <c r="AT173" s="57"/>
      <c r="AU173" s="57"/>
      <c r="AV173" s="57"/>
      <c r="AW173" s="57"/>
      <c r="AX173" s="57"/>
      <c r="AY173" s="57"/>
      <c r="AZ173" s="60"/>
      <c r="BA173" s="57"/>
      <c r="BB173" s="60"/>
      <c r="BC173" s="56"/>
      <c r="BD173" s="60"/>
      <c r="BE173" s="56"/>
      <c r="BF173" s="56"/>
      <c r="BG173" s="56"/>
      <c r="BH173" s="56"/>
      <c r="BI173" s="56"/>
      <c r="BJ173" s="56"/>
      <c r="BK173" s="56"/>
      <c r="BL173" s="60"/>
      <c r="BM173" s="56"/>
      <c r="BN173" s="60"/>
      <c r="BO173" s="57"/>
      <c r="BP173" s="60"/>
      <c r="BQ173" s="57"/>
      <c r="BR173" s="60"/>
      <c r="BS173" s="57"/>
      <c r="BT173" s="57"/>
      <c r="BU173" s="57"/>
      <c r="BV173" s="57"/>
      <c r="BW173" s="57"/>
      <c r="BX173" s="57"/>
      <c r="BY173" s="57"/>
      <c r="BZ173" s="60"/>
      <c r="CA173" s="57"/>
    </row>
    <row r="174" spans="1:79" x14ac:dyDescent="0.15">
      <c r="A174" s="55">
        <v>172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6"/>
      <c r="AC174" s="60"/>
      <c r="AD174" s="56"/>
      <c r="AE174" s="60"/>
      <c r="AF174" s="56"/>
      <c r="AG174" s="56"/>
      <c r="AH174" s="56"/>
      <c r="AI174" s="56"/>
      <c r="AJ174" s="56"/>
      <c r="AK174" s="56"/>
      <c r="AL174" s="56"/>
      <c r="AM174" s="60"/>
      <c r="AN174" s="56"/>
      <c r="AO174" s="57"/>
      <c r="AP174" s="60"/>
      <c r="AQ174" s="57"/>
      <c r="AR174" s="60"/>
      <c r="AS174" s="57"/>
      <c r="AT174" s="57"/>
      <c r="AU174" s="57"/>
      <c r="AV174" s="57"/>
      <c r="AW174" s="57"/>
      <c r="AX174" s="57"/>
      <c r="AY174" s="57"/>
      <c r="AZ174" s="60"/>
      <c r="BA174" s="57"/>
      <c r="BB174" s="60"/>
      <c r="BC174" s="56"/>
      <c r="BD174" s="60"/>
      <c r="BE174" s="56"/>
      <c r="BF174" s="56"/>
      <c r="BG174" s="56"/>
      <c r="BH174" s="56"/>
      <c r="BI174" s="56"/>
      <c r="BJ174" s="56"/>
      <c r="BK174" s="56"/>
      <c r="BL174" s="60"/>
      <c r="BM174" s="56"/>
      <c r="BN174" s="60"/>
      <c r="BO174" s="57"/>
      <c r="BP174" s="60"/>
      <c r="BQ174" s="57"/>
      <c r="BR174" s="60"/>
      <c r="BS174" s="57"/>
      <c r="BT174" s="57"/>
      <c r="BU174" s="57"/>
      <c r="BV174" s="57"/>
      <c r="BW174" s="57"/>
      <c r="BX174" s="57"/>
      <c r="BY174" s="57"/>
      <c r="BZ174" s="60"/>
      <c r="CA174" s="57"/>
    </row>
    <row r="175" spans="1:79" x14ac:dyDescent="0.15">
      <c r="A175" s="55">
        <v>173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6"/>
      <c r="AC175" s="60"/>
      <c r="AD175" s="56"/>
      <c r="AE175" s="60"/>
      <c r="AF175" s="56"/>
      <c r="AG175" s="56"/>
      <c r="AH175" s="56"/>
      <c r="AI175" s="56"/>
      <c r="AJ175" s="56"/>
      <c r="AK175" s="56"/>
      <c r="AL175" s="56"/>
      <c r="AM175" s="60"/>
      <c r="AN175" s="56"/>
      <c r="AO175" s="57"/>
      <c r="AP175" s="60"/>
      <c r="AQ175" s="57"/>
      <c r="AR175" s="60"/>
      <c r="AS175" s="57"/>
      <c r="AT175" s="57"/>
      <c r="AU175" s="57"/>
      <c r="AV175" s="57"/>
      <c r="AW175" s="57"/>
      <c r="AX175" s="57"/>
      <c r="AY175" s="57"/>
      <c r="AZ175" s="60"/>
      <c r="BA175" s="57"/>
      <c r="BB175" s="60"/>
      <c r="BC175" s="56"/>
      <c r="BD175" s="60"/>
      <c r="BE175" s="56"/>
      <c r="BF175" s="56"/>
      <c r="BG175" s="56"/>
      <c r="BH175" s="56"/>
      <c r="BI175" s="56"/>
      <c r="BJ175" s="56"/>
      <c r="BK175" s="56"/>
      <c r="BL175" s="60"/>
      <c r="BM175" s="56"/>
      <c r="BN175" s="60"/>
      <c r="BO175" s="57"/>
      <c r="BP175" s="60"/>
      <c r="BQ175" s="57"/>
      <c r="BR175" s="60"/>
      <c r="BS175" s="57"/>
      <c r="BT175" s="57"/>
      <c r="BU175" s="57"/>
      <c r="BV175" s="57"/>
      <c r="BW175" s="57"/>
      <c r="BX175" s="57"/>
      <c r="BY175" s="57"/>
      <c r="BZ175" s="60"/>
      <c r="CA175" s="57"/>
    </row>
    <row r="176" spans="1:79" x14ac:dyDescent="0.15">
      <c r="A176" s="55">
        <v>174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6"/>
      <c r="AC176" s="60"/>
      <c r="AD176" s="56"/>
      <c r="AE176" s="60"/>
      <c r="AF176" s="56"/>
      <c r="AG176" s="56"/>
      <c r="AH176" s="56"/>
      <c r="AI176" s="56"/>
      <c r="AJ176" s="56"/>
      <c r="AK176" s="56"/>
      <c r="AL176" s="56"/>
      <c r="AM176" s="60"/>
      <c r="AN176" s="56"/>
      <c r="AO176" s="57"/>
      <c r="AP176" s="60"/>
      <c r="AQ176" s="57"/>
      <c r="AR176" s="60"/>
      <c r="AS176" s="57"/>
      <c r="AT176" s="57"/>
      <c r="AU176" s="57"/>
      <c r="AV176" s="57"/>
      <c r="AW176" s="57"/>
      <c r="AX176" s="57"/>
      <c r="AY176" s="57"/>
      <c r="AZ176" s="60"/>
      <c r="BA176" s="57"/>
      <c r="BB176" s="60"/>
      <c r="BC176" s="56"/>
      <c r="BD176" s="60"/>
      <c r="BE176" s="56"/>
      <c r="BF176" s="56"/>
      <c r="BG176" s="56"/>
      <c r="BH176" s="56"/>
      <c r="BI176" s="56"/>
      <c r="BJ176" s="56"/>
      <c r="BK176" s="56"/>
      <c r="BL176" s="60"/>
      <c r="BM176" s="56"/>
      <c r="BN176" s="60"/>
      <c r="BO176" s="57"/>
      <c r="BP176" s="60"/>
      <c r="BQ176" s="57"/>
      <c r="BR176" s="60"/>
      <c r="BS176" s="57"/>
      <c r="BT176" s="57"/>
      <c r="BU176" s="57"/>
      <c r="BV176" s="57"/>
      <c r="BW176" s="57"/>
      <c r="BX176" s="57"/>
      <c r="BY176" s="57"/>
      <c r="BZ176" s="60"/>
      <c r="CA176" s="57"/>
    </row>
    <row r="177" spans="1:79" x14ac:dyDescent="0.15">
      <c r="A177" s="55">
        <v>175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6"/>
      <c r="AC177" s="60"/>
      <c r="AD177" s="56"/>
      <c r="AE177" s="60"/>
      <c r="AF177" s="56"/>
      <c r="AG177" s="56"/>
      <c r="AH177" s="56"/>
      <c r="AI177" s="56"/>
      <c r="AJ177" s="56"/>
      <c r="AK177" s="56"/>
      <c r="AL177" s="56"/>
      <c r="AM177" s="60"/>
      <c r="AN177" s="56"/>
      <c r="AO177" s="57"/>
      <c r="AP177" s="60"/>
      <c r="AQ177" s="57"/>
      <c r="AR177" s="60"/>
      <c r="AS177" s="57"/>
      <c r="AT177" s="57"/>
      <c r="AU177" s="57"/>
      <c r="AV177" s="57"/>
      <c r="AW177" s="57"/>
      <c r="AX177" s="57"/>
      <c r="AY177" s="57"/>
      <c r="AZ177" s="60"/>
      <c r="BA177" s="57"/>
      <c r="BB177" s="60"/>
      <c r="BC177" s="56"/>
      <c r="BD177" s="60"/>
      <c r="BE177" s="56"/>
      <c r="BF177" s="56"/>
      <c r="BG177" s="56"/>
      <c r="BH177" s="56"/>
      <c r="BI177" s="56"/>
      <c r="BJ177" s="56"/>
      <c r="BK177" s="56"/>
      <c r="BL177" s="60"/>
      <c r="BM177" s="56"/>
      <c r="BN177" s="60"/>
      <c r="BO177" s="57"/>
      <c r="BP177" s="60"/>
      <c r="BQ177" s="57"/>
      <c r="BR177" s="60"/>
      <c r="BS177" s="57"/>
      <c r="BT177" s="57"/>
      <c r="BU177" s="57"/>
      <c r="BV177" s="57"/>
      <c r="BW177" s="57"/>
      <c r="BX177" s="57"/>
      <c r="BY177" s="57"/>
      <c r="BZ177" s="60"/>
      <c r="CA177" s="57"/>
    </row>
    <row r="178" spans="1:79" x14ac:dyDescent="0.15">
      <c r="A178" s="55">
        <v>176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6"/>
      <c r="AC178" s="60"/>
      <c r="AD178" s="56"/>
      <c r="AE178" s="60"/>
      <c r="AF178" s="56"/>
      <c r="AG178" s="56"/>
      <c r="AH178" s="56"/>
      <c r="AI178" s="56"/>
      <c r="AJ178" s="56"/>
      <c r="AK178" s="56"/>
      <c r="AL178" s="56"/>
      <c r="AM178" s="60"/>
      <c r="AN178" s="56"/>
      <c r="AO178" s="57"/>
      <c r="AP178" s="60"/>
      <c r="AQ178" s="57"/>
      <c r="AR178" s="60"/>
      <c r="AS178" s="57"/>
      <c r="AT178" s="57"/>
      <c r="AU178" s="57"/>
      <c r="AV178" s="57"/>
      <c r="AW178" s="57"/>
      <c r="AX178" s="57"/>
      <c r="AY178" s="57"/>
      <c r="AZ178" s="60"/>
      <c r="BA178" s="57"/>
      <c r="BB178" s="60"/>
      <c r="BC178" s="56"/>
      <c r="BD178" s="60"/>
      <c r="BE178" s="56"/>
      <c r="BF178" s="56"/>
      <c r="BG178" s="56"/>
      <c r="BH178" s="56"/>
      <c r="BI178" s="56"/>
      <c r="BJ178" s="56"/>
      <c r="BK178" s="56"/>
      <c r="BL178" s="60"/>
      <c r="BM178" s="56"/>
      <c r="BN178" s="60"/>
      <c r="BO178" s="57"/>
      <c r="BP178" s="60"/>
      <c r="BQ178" s="57"/>
      <c r="BR178" s="60"/>
      <c r="BS178" s="57"/>
      <c r="BT178" s="57"/>
      <c r="BU178" s="57"/>
      <c r="BV178" s="57"/>
      <c r="BW178" s="57"/>
      <c r="BX178" s="57"/>
      <c r="BY178" s="57"/>
      <c r="BZ178" s="60"/>
      <c r="CA178" s="57"/>
    </row>
    <row r="179" spans="1:79" x14ac:dyDescent="0.15">
      <c r="A179" s="55">
        <v>177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6"/>
      <c r="AC179" s="60"/>
      <c r="AD179" s="56"/>
      <c r="AE179" s="60"/>
      <c r="AF179" s="56"/>
      <c r="AG179" s="56"/>
      <c r="AH179" s="56"/>
      <c r="AI179" s="56"/>
      <c r="AJ179" s="56"/>
      <c r="AK179" s="56"/>
      <c r="AL179" s="56"/>
      <c r="AM179" s="60"/>
      <c r="AN179" s="56"/>
      <c r="AO179" s="57"/>
      <c r="AP179" s="60"/>
      <c r="AQ179" s="57"/>
      <c r="AR179" s="60"/>
      <c r="AS179" s="57"/>
      <c r="AT179" s="57"/>
      <c r="AU179" s="57"/>
      <c r="AV179" s="57"/>
      <c r="AW179" s="57"/>
      <c r="AX179" s="57"/>
      <c r="AY179" s="57"/>
      <c r="AZ179" s="60"/>
      <c r="BA179" s="57"/>
      <c r="BB179" s="60"/>
      <c r="BC179" s="56"/>
      <c r="BD179" s="60"/>
      <c r="BE179" s="56"/>
      <c r="BF179" s="56"/>
      <c r="BG179" s="56"/>
      <c r="BH179" s="56"/>
      <c r="BI179" s="56"/>
      <c r="BJ179" s="56"/>
      <c r="BK179" s="56"/>
      <c r="BL179" s="60"/>
      <c r="BM179" s="56"/>
      <c r="BN179" s="60"/>
      <c r="BO179" s="57"/>
      <c r="BP179" s="60"/>
      <c r="BQ179" s="57"/>
      <c r="BR179" s="60"/>
      <c r="BS179" s="57"/>
      <c r="BT179" s="57"/>
      <c r="BU179" s="57"/>
      <c r="BV179" s="57"/>
      <c r="BW179" s="57"/>
      <c r="BX179" s="57"/>
      <c r="BY179" s="57"/>
      <c r="BZ179" s="60"/>
      <c r="CA179" s="57"/>
    </row>
    <row r="180" spans="1:79" x14ac:dyDescent="0.15">
      <c r="A180" s="55">
        <v>178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6"/>
      <c r="AC180" s="60"/>
      <c r="AD180" s="56"/>
      <c r="AE180" s="60"/>
      <c r="AF180" s="56"/>
      <c r="AG180" s="56"/>
      <c r="AH180" s="56"/>
      <c r="AI180" s="56"/>
      <c r="AJ180" s="56"/>
      <c r="AK180" s="56"/>
      <c r="AL180" s="56"/>
      <c r="AM180" s="60"/>
      <c r="AN180" s="56"/>
      <c r="AO180" s="57"/>
      <c r="AP180" s="60"/>
      <c r="AQ180" s="57"/>
      <c r="AR180" s="60"/>
      <c r="AS180" s="57"/>
      <c r="AT180" s="57"/>
      <c r="AU180" s="57"/>
      <c r="AV180" s="57"/>
      <c r="AW180" s="57"/>
      <c r="AX180" s="57"/>
      <c r="AY180" s="57"/>
      <c r="AZ180" s="60"/>
      <c r="BA180" s="57"/>
      <c r="BB180" s="60"/>
      <c r="BC180" s="56"/>
      <c r="BD180" s="60"/>
      <c r="BE180" s="56"/>
      <c r="BF180" s="56"/>
      <c r="BG180" s="56"/>
      <c r="BH180" s="56"/>
      <c r="BI180" s="56"/>
      <c r="BJ180" s="56"/>
      <c r="BK180" s="56"/>
      <c r="BL180" s="60"/>
      <c r="BM180" s="56"/>
      <c r="BN180" s="60"/>
      <c r="BO180" s="57"/>
      <c r="BP180" s="60"/>
      <c r="BQ180" s="57"/>
      <c r="BR180" s="60"/>
      <c r="BS180" s="57"/>
      <c r="BT180" s="57"/>
      <c r="BU180" s="57"/>
      <c r="BV180" s="57"/>
      <c r="BW180" s="57"/>
      <c r="BX180" s="57"/>
      <c r="BY180" s="57"/>
      <c r="BZ180" s="60"/>
      <c r="CA180" s="57"/>
    </row>
    <row r="181" spans="1:79" x14ac:dyDescent="0.15">
      <c r="A181" s="55">
        <v>179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6"/>
      <c r="AC181" s="60"/>
      <c r="AD181" s="56"/>
      <c r="AE181" s="60"/>
      <c r="AF181" s="56"/>
      <c r="AG181" s="56"/>
      <c r="AH181" s="56"/>
      <c r="AI181" s="56"/>
      <c r="AJ181" s="56"/>
      <c r="AK181" s="56"/>
      <c r="AL181" s="56"/>
      <c r="AM181" s="60"/>
      <c r="AN181" s="56"/>
      <c r="AO181" s="57"/>
      <c r="AP181" s="60"/>
      <c r="AQ181" s="57"/>
      <c r="AR181" s="60"/>
      <c r="AS181" s="57"/>
      <c r="AT181" s="57"/>
      <c r="AU181" s="57"/>
      <c r="AV181" s="57"/>
      <c r="AW181" s="57"/>
      <c r="AX181" s="57"/>
      <c r="AY181" s="57"/>
      <c r="AZ181" s="60"/>
      <c r="BA181" s="57"/>
      <c r="BB181" s="60"/>
      <c r="BC181" s="56"/>
      <c r="BD181" s="60"/>
      <c r="BE181" s="56"/>
      <c r="BF181" s="56"/>
      <c r="BG181" s="56"/>
      <c r="BH181" s="56"/>
      <c r="BI181" s="56"/>
      <c r="BJ181" s="56"/>
      <c r="BK181" s="56"/>
      <c r="BL181" s="60"/>
      <c r="BM181" s="56"/>
      <c r="BN181" s="60"/>
      <c r="BO181" s="57"/>
      <c r="BP181" s="60"/>
      <c r="BQ181" s="57"/>
      <c r="BR181" s="60"/>
      <c r="BS181" s="57"/>
      <c r="BT181" s="57"/>
      <c r="BU181" s="57"/>
      <c r="BV181" s="57"/>
      <c r="BW181" s="57"/>
      <c r="BX181" s="57"/>
      <c r="BY181" s="57"/>
      <c r="BZ181" s="60"/>
      <c r="CA181" s="57"/>
    </row>
    <row r="182" spans="1:79" x14ac:dyDescent="0.15">
      <c r="A182" s="55">
        <v>180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6"/>
      <c r="AC182" s="60"/>
      <c r="AD182" s="56"/>
      <c r="AE182" s="60"/>
      <c r="AF182" s="56"/>
      <c r="AG182" s="56"/>
      <c r="AH182" s="56"/>
      <c r="AI182" s="56"/>
      <c r="AJ182" s="56"/>
      <c r="AK182" s="56"/>
      <c r="AL182" s="56"/>
      <c r="AM182" s="60"/>
      <c r="AN182" s="56"/>
      <c r="AO182" s="57"/>
      <c r="AP182" s="60"/>
      <c r="AQ182" s="57"/>
      <c r="AR182" s="60"/>
      <c r="AS182" s="57"/>
      <c r="AT182" s="57"/>
      <c r="AU182" s="57"/>
      <c r="AV182" s="57"/>
      <c r="AW182" s="57"/>
      <c r="AX182" s="57"/>
      <c r="AY182" s="57"/>
      <c r="AZ182" s="60"/>
      <c r="BA182" s="57"/>
      <c r="BB182" s="60"/>
      <c r="BC182" s="56"/>
      <c r="BD182" s="60"/>
      <c r="BE182" s="56"/>
      <c r="BF182" s="56"/>
      <c r="BG182" s="56"/>
      <c r="BH182" s="56"/>
      <c r="BI182" s="56"/>
      <c r="BJ182" s="56"/>
      <c r="BK182" s="56"/>
      <c r="BL182" s="60"/>
      <c r="BM182" s="56"/>
      <c r="BN182" s="60"/>
      <c r="BO182" s="57"/>
      <c r="BP182" s="60"/>
      <c r="BQ182" s="57"/>
      <c r="BR182" s="60"/>
      <c r="BS182" s="57"/>
      <c r="BT182" s="57"/>
      <c r="BU182" s="57"/>
      <c r="BV182" s="57"/>
      <c r="BW182" s="57"/>
      <c r="BX182" s="57"/>
      <c r="BY182" s="57"/>
      <c r="BZ182" s="60"/>
      <c r="CA182" s="57"/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202"/>
  <sheetViews>
    <sheetView zoomScale="55" zoomScaleNormal="55" workbookViewId="0">
      <selection activeCell="K3" sqref="K3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41" t="s">
        <v>166</v>
      </c>
      <c r="B1" s="144" t="s">
        <v>167</v>
      </c>
      <c r="C1" s="144"/>
      <c r="D1" s="144"/>
      <c r="E1" s="144"/>
      <c r="F1" s="144"/>
      <c r="G1" s="144"/>
      <c r="H1" s="144"/>
      <c r="I1" s="144"/>
      <c r="J1" s="144"/>
      <c r="K1" s="144" t="s">
        <v>168</v>
      </c>
      <c r="L1" s="144"/>
      <c r="M1" s="144"/>
      <c r="N1" s="144"/>
      <c r="O1" s="144"/>
      <c r="P1" s="144"/>
      <c r="Q1" s="144"/>
      <c r="R1" s="144"/>
      <c r="S1" s="144"/>
      <c r="T1" s="144" t="s">
        <v>169</v>
      </c>
      <c r="U1" s="144"/>
      <c r="V1" s="144"/>
      <c r="W1" s="144"/>
      <c r="X1" s="144"/>
      <c r="Y1" s="144"/>
      <c r="Z1" s="144"/>
      <c r="AA1" s="144"/>
      <c r="AB1" s="144"/>
      <c r="AC1" s="144" t="s">
        <v>165</v>
      </c>
      <c r="AD1" s="144"/>
      <c r="AE1" s="144"/>
      <c r="AF1" s="144"/>
      <c r="AG1" s="144"/>
      <c r="AH1" s="144"/>
      <c r="AI1" s="144"/>
      <c r="AJ1" s="144"/>
      <c r="AK1" s="144"/>
      <c r="AL1" s="144" t="s">
        <v>170</v>
      </c>
      <c r="AM1" s="144"/>
      <c r="AN1" s="144"/>
      <c r="AO1" s="144"/>
      <c r="AP1" s="144"/>
      <c r="AQ1" s="144"/>
      <c r="AR1" s="144"/>
      <c r="AS1" s="144"/>
      <c r="AT1" s="144"/>
      <c r="AU1" s="144" t="s">
        <v>171</v>
      </c>
      <c r="AV1" s="144"/>
      <c r="AW1" s="144"/>
      <c r="AX1" s="144"/>
      <c r="AY1" s="144"/>
      <c r="AZ1" s="144"/>
      <c r="BA1" s="144"/>
      <c r="BB1" s="144"/>
      <c r="BC1" s="144"/>
      <c r="BD1" s="144" t="s">
        <v>195</v>
      </c>
      <c r="BE1" s="144"/>
      <c r="BF1" s="144"/>
      <c r="BG1" s="144"/>
      <c r="BH1" s="144"/>
      <c r="BI1" s="144"/>
      <c r="BJ1" s="144"/>
      <c r="BK1" s="144"/>
      <c r="BL1" s="144"/>
      <c r="BM1" s="143" t="s">
        <v>186</v>
      </c>
      <c r="BN1" s="143"/>
      <c r="BO1" s="143"/>
      <c r="BP1" s="143"/>
      <c r="BQ1" s="143"/>
      <c r="BR1" s="143"/>
      <c r="BS1" s="143"/>
      <c r="BT1" s="143"/>
      <c r="BU1" s="143"/>
      <c r="BV1" s="143" t="s">
        <v>205</v>
      </c>
      <c r="BW1" s="143"/>
      <c r="BX1" s="143"/>
      <c r="BY1" s="143"/>
      <c r="BZ1" s="143"/>
      <c r="CA1" s="143"/>
      <c r="CB1" s="143"/>
      <c r="CC1" s="143"/>
      <c r="CD1" s="143"/>
      <c r="CE1" s="144" t="s">
        <v>196</v>
      </c>
      <c r="CF1" s="144"/>
      <c r="CG1" s="144"/>
      <c r="CH1" s="144"/>
      <c r="CI1" s="144"/>
      <c r="CJ1" s="144"/>
      <c r="CK1" s="144"/>
      <c r="CL1" s="144"/>
      <c r="CM1" s="144"/>
    </row>
    <row r="2" spans="1:91" s="49" customFormat="1" x14ac:dyDescent="0.15">
      <c r="A2" s="142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  <c r="P3" s="42">
        <v>0</v>
      </c>
      <c r="Q3" s="42">
        <v>0</v>
      </c>
      <c r="R3" s="42">
        <v>0</v>
      </c>
      <c r="S3" s="42">
        <v>0</v>
      </c>
      <c r="T3" s="88"/>
      <c r="U3" s="88"/>
      <c r="V3" s="88"/>
      <c r="W3" s="88"/>
      <c r="X3" s="88"/>
      <c r="Y3" s="88"/>
      <c r="Z3" s="88"/>
      <c r="AA3" s="88"/>
      <c r="AB3" s="88"/>
      <c r="AC3" s="43">
        <f>D200</f>
        <v>100</v>
      </c>
      <c r="AD3" s="43">
        <f>F200</f>
        <v>164</v>
      </c>
      <c r="AE3" s="43">
        <f>G200</f>
        <v>20</v>
      </c>
      <c r="AF3" s="43">
        <f t="shared" ref="AF3:AJ3" si="0">H200</f>
        <v>28</v>
      </c>
      <c r="AG3" s="43">
        <f t="shared" si="0"/>
        <v>124</v>
      </c>
      <c r="AH3" s="43">
        <f t="shared" si="0"/>
        <v>564</v>
      </c>
      <c r="AI3" s="43">
        <f t="shared" si="0"/>
        <v>36</v>
      </c>
      <c r="AJ3" s="43">
        <f t="shared" si="0"/>
        <v>32</v>
      </c>
      <c r="AK3" s="43">
        <f>N200</f>
        <v>0</v>
      </c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4"/>
      <c r="BE3" s="44"/>
      <c r="BF3" s="44"/>
      <c r="BG3" s="44"/>
      <c r="BH3" s="44"/>
      <c r="BI3" s="44"/>
      <c r="BJ3" s="44"/>
      <c r="BK3" s="44"/>
      <c r="BL3" s="44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42">
        <v>99.31980106403789</v>
      </c>
      <c r="CF3" s="42">
        <v>101.17882420919283</v>
      </c>
      <c r="CG3" s="42">
        <v>106.48717531205544</v>
      </c>
      <c r="CH3" s="42">
        <v>106.75613394040609</v>
      </c>
      <c r="CI3" s="42">
        <v>101.94505815697181</v>
      </c>
      <c r="CJ3" s="42">
        <v>100.04347064972229</v>
      </c>
      <c r="CK3" s="42">
        <v>105.95741563623623</v>
      </c>
      <c r="CL3" s="42">
        <v>120.9669283702805</v>
      </c>
      <c r="CM3" s="42">
        <v>0</v>
      </c>
    </row>
    <row r="4" spans="1:91" x14ac:dyDescent="0.15">
      <c r="A4" s="41">
        <v>2</v>
      </c>
      <c r="B4" s="43">
        <v>1</v>
      </c>
      <c r="C4" s="43">
        <v>1</v>
      </c>
      <c r="D4" s="43">
        <v>1</v>
      </c>
      <c r="E4" s="43">
        <v>1</v>
      </c>
      <c r="F4" s="43">
        <v>1</v>
      </c>
      <c r="G4" s="43">
        <v>1</v>
      </c>
      <c r="H4" s="43">
        <v>1</v>
      </c>
      <c r="I4" s="43">
        <v>1</v>
      </c>
      <c r="J4" s="43">
        <v>1</v>
      </c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2"/>
      <c r="CF4" s="52"/>
      <c r="CG4" s="52"/>
      <c r="CH4" s="52"/>
      <c r="CI4" s="52"/>
      <c r="CJ4" s="52"/>
      <c r="CK4" s="52"/>
      <c r="CL4" s="52"/>
      <c r="CM4" s="52"/>
    </row>
    <row r="5" spans="1:91" x14ac:dyDescent="0.15">
      <c r="A5" s="41">
        <v>3</v>
      </c>
      <c r="B5" s="43">
        <v>1</v>
      </c>
      <c r="C5" s="43">
        <v>1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2"/>
      <c r="CF5" s="52"/>
      <c r="CG5" s="52"/>
      <c r="CH5" s="52"/>
      <c r="CI5" s="52"/>
      <c r="CJ5" s="52"/>
      <c r="CK5" s="52"/>
      <c r="CL5" s="52"/>
      <c r="CM5" s="52"/>
    </row>
    <row r="6" spans="1:91" x14ac:dyDescent="0.15">
      <c r="A6" s="41">
        <v>4</v>
      </c>
      <c r="B6" s="43">
        <v>1</v>
      </c>
      <c r="C6" s="43">
        <v>1</v>
      </c>
      <c r="D6" s="43">
        <v>1</v>
      </c>
      <c r="E6" s="43">
        <v>1</v>
      </c>
      <c r="F6" s="43">
        <v>1</v>
      </c>
      <c r="G6" s="43">
        <v>1</v>
      </c>
      <c r="H6" s="43">
        <v>1</v>
      </c>
      <c r="I6" s="43">
        <v>1</v>
      </c>
      <c r="J6" s="43">
        <v>1</v>
      </c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2"/>
      <c r="CF6" s="52"/>
      <c r="CG6" s="52"/>
      <c r="CH6" s="52"/>
      <c r="CI6" s="52"/>
      <c r="CJ6" s="52"/>
      <c r="CK6" s="52"/>
      <c r="CL6" s="52"/>
      <c r="CM6" s="52"/>
    </row>
    <row r="7" spans="1:91" x14ac:dyDescent="0.15">
      <c r="A7" s="41">
        <v>5</v>
      </c>
      <c r="B7" s="43">
        <v>1</v>
      </c>
      <c r="C7" s="43">
        <v>1</v>
      </c>
      <c r="D7" s="43">
        <v>1</v>
      </c>
      <c r="E7" s="43">
        <v>1</v>
      </c>
      <c r="F7" s="43">
        <v>1</v>
      </c>
      <c r="G7" s="43">
        <v>1</v>
      </c>
      <c r="H7" s="43">
        <v>1</v>
      </c>
      <c r="I7" s="43">
        <v>1</v>
      </c>
      <c r="J7" s="43">
        <v>1</v>
      </c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2"/>
      <c r="CF7" s="52"/>
      <c r="CG7" s="52"/>
      <c r="CH7" s="52"/>
      <c r="CI7" s="52"/>
      <c r="CJ7" s="52"/>
      <c r="CK7" s="52"/>
      <c r="CL7" s="52"/>
      <c r="CM7" s="52"/>
    </row>
    <row r="8" spans="1:91" x14ac:dyDescent="0.15">
      <c r="A8" s="41">
        <v>6</v>
      </c>
      <c r="B8" s="43">
        <v>1</v>
      </c>
      <c r="C8" s="43">
        <v>1</v>
      </c>
      <c r="D8" s="43">
        <v>1</v>
      </c>
      <c r="E8" s="43">
        <v>1</v>
      </c>
      <c r="F8" s="43">
        <v>1</v>
      </c>
      <c r="G8" s="43">
        <v>1</v>
      </c>
      <c r="H8" s="43">
        <v>1</v>
      </c>
      <c r="I8" s="43">
        <v>1</v>
      </c>
      <c r="J8" s="43">
        <v>1</v>
      </c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2"/>
      <c r="CF8" s="52"/>
      <c r="CG8" s="52"/>
      <c r="CH8" s="52"/>
      <c r="CI8" s="52"/>
      <c r="CJ8" s="52"/>
      <c r="CK8" s="52"/>
      <c r="CL8" s="52"/>
      <c r="CM8" s="52"/>
    </row>
    <row r="9" spans="1:91" x14ac:dyDescent="0.15">
      <c r="A9" s="41">
        <v>7</v>
      </c>
      <c r="B9" s="43">
        <v>1</v>
      </c>
      <c r="C9" s="43">
        <v>1</v>
      </c>
      <c r="D9" s="43">
        <v>1</v>
      </c>
      <c r="E9" s="43">
        <v>1</v>
      </c>
      <c r="F9" s="43">
        <v>1</v>
      </c>
      <c r="G9" s="43">
        <v>1</v>
      </c>
      <c r="H9" s="43">
        <v>1</v>
      </c>
      <c r="I9" s="43">
        <v>1</v>
      </c>
      <c r="J9" s="43">
        <v>1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2"/>
      <c r="CF9" s="52"/>
      <c r="CG9" s="52"/>
      <c r="CH9" s="52"/>
      <c r="CI9" s="52"/>
      <c r="CJ9" s="52"/>
      <c r="CK9" s="52"/>
      <c r="CL9" s="52"/>
      <c r="CM9" s="52"/>
    </row>
    <row r="10" spans="1:91" x14ac:dyDescent="0.15">
      <c r="A10" s="41">
        <v>8</v>
      </c>
      <c r="B10" s="43">
        <v>1</v>
      </c>
      <c r="C10" s="43">
        <v>1</v>
      </c>
      <c r="D10" s="43">
        <v>1</v>
      </c>
      <c r="E10" s="43">
        <v>1</v>
      </c>
      <c r="F10" s="43">
        <v>1</v>
      </c>
      <c r="G10" s="43">
        <v>1</v>
      </c>
      <c r="H10" s="43">
        <v>1</v>
      </c>
      <c r="I10" s="43">
        <v>1</v>
      </c>
      <c r="J10" s="43">
        <v>1</v>
      </c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2"/>
      <c r="CF10" s="52"/>
      <c r="CG10" s="52"/>
      <c r="CH10" s="52"/>
      <c r="CI10" s="52"/>
      <c r="CJ10" s="52"/>
      <c r="CK10" s="52"/>
      <c r="CL10" s="52"/>
      <c r="CM10" s="52"/>
    </row>
    <row r="11" spans="1:91" x14ac:dyDescent="0.15">
      <c r="A11" s="41">
        <v>9</v>
      </c>
      <c r="B11" s="43">
        <v>1</v>
      </c>
      <c r="C11" s="43">
        <v>1</v>
      </c>
      <c r="D11" s="43">
        <v>1</v>
      </c>
      <c r="E11" s="43">
        <v>1</v>
      </c>
      <c r="F11" s="43">
        <v>1</v>
      </c>
      <c r="G11" s="43">
        <v>1</v>
      </c>
      <c r="H11" s="43">
        <v>1</v>
      </c>
      <c r="I11" s="43">
        <v>1</v>
      </c>
      <c r="J11" s="43">
        <v>1</v>
      </c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2"/>
      <c r="CF11" s="52"/>
      <c r="CG11" s="52"/>
      <c r="CH11" s="52"/>
      <c r="CI11" s="52"/>
      <c r="CJ11" s="52"/>
      <c r="CK11" s="52"/>
      <c r="CL11" s="52"/>
      <c r="CM11" s="52"/>
    </row>
    <row r="12" spans="1:91" x14ac:dyDescent="0.15">
      <c r="A12" s="41">
        <v>10</v>
      </c>
      <c r="B12" s="43">
        <v>1</v>
      </c>
      <c r="C12" s="43">
        <v>1</v>
      </c>
      <c r="D12" s="43">
        <v>1</v>
      </c>
      <c r="E12" s="43">
        <v>1</v>
      </c>
      <c r="F12" s="43">
        <v>1</v>
      </c>
      <c r="G12" s="43">
        <v>1</v>
      </c>
      <c r="H12" s="43">
        <v>1</v>
      </c>
      <c r="I12" s="43">
        <v>1</v>
      </c>
      <c r="J12" s="43">
        <v>1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2"/>
      <c r="CF12" s="52"/>
      <c r="CG12" s="52"/>
      <c r="CH12" s="52"/>
      <c r="CI12" s="52"/>
      <c r="CJ12" s="52"/>
      <c r="CK12" s="52"/>
      <c r="CL12" s="52"/>
      <c r="CM12" s="52"/>
    </row>
    <row r="13" spans="1:91" x14ac:dyDescent="0.15">
      <c r="A13" s="41">
        <v>11</v>
      </c>
      <c r="B13" s="43">
        <v>1</v>
      </c>
      <c r="C13" s="43">
        <v>1</v>
      </c>
      <c r="D13" s="43">
        <v>1</v>
      </c>
      <c r="E13" s="43">
        <v>1</v>
      </c>
      <c r="F13" s="43">
        <v>1</v>
      </c>
      <c r="G13" s="43">
        <v>1</v>
      </c>
      <c r="H13" s="43">
        <v>1</v>
      </c>
      <c r="I13" s="43">
        <v>1</v>
      </c>
      <c r="J13" s="43">
        <v>1</v>
      </c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2"/>
      <c r="CF13" s="52"/>
      <c r="CG13" s="52"/>
      <c r="CH13" s="52"/>
      <c r="CI13" s="52"/>
      <c r="CJ13" s="52"/>
      <c r="CK13" s="52"/>
      <c r="CL13" s="52"/>
      <c r="CM13" s="52"/>
    </row>
    <row r="14" spans="1:91" x14ac:dyDescent="0.15">
      <c r="A14" s="41">
        <v>12</v>
      </c>
      <c r="B14" s="43">
        <v>1</v>
      </c>
      <c r="C14" s="43">
        <v>1</v>
      </c>
      <c r="D14" s="43">
        <v>1</v>
      </c>
      <c r="E14" s="43">
        <v>1</v>
      </c>
      <c r="F14" s="43">
        <v>1</v>
      </c>
      <c r="G14" s="43">
        <v>1</v>
      </c>
      <c r="H14" s="43">
        <v>1</v>
      </c>
      <c r="I14" s="43">
        <v>1</v>
      </c>
      <c r="J14" s="43">
        <v>1</v>
      </c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2"/>
      <c r="CF14" s="52"/>
      <c r="CG14" s="52"/>
      <c r="CH14" s="52"/>
      <c r="CI14" s="52"/>
      <c r="CJ14" s="52"/>
      <c r="CK14" s="52"/>
      <c r="CL14" s="52"/>
      <c r="CM14" s="52"/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2"/>
      <c r="CF15" s="52"/>
      <c r="CG15" s="52"/>
      <c r="CH15" s="52"/>
      <c r="CI15" s="52"/>
      <c r="CJ15" s="52"/>
      <c r="CK15" s="52"/>
      <c r="CL15" s="52"/>
      <c r="CM15" s="52"/>
    </row>
    <row r="16" spans="1:91" x14ac:dyDescent="0.15">
      <c r="A16" s="41">
        <v>14</v>
      </c>
      <c r="B16" s="43">
        <v>1</v>
      </c>
      <c r="C16" s="43">
        <v>1</v>
      </c>
      <c r="D16" s="43">
        <v>1</v>
      </c>
      <c r="E16" s="43">
        <v>1</v>
      </c>
      <c r="F16" s="43">
        <v>1</v>
      </c>
      <c r="G16" s="43">
        <v>1</v>
      </c>
      <c r="H16" s="43">
        <v>1</v>
      </c>
      <c r="I16" s="43">
        <v>1</v>
      </c>
      <c r="J16" s="43">
        <v>1</v>
      </c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2"/>
      <c r="CF16" s="52"/>
      <c r="CG16" s="52"/>
      <c r="CH16" s="52"/>
      <c r="CI16" s="52"/>
      <c r="CJ16" s="52"/>
      <c r="CK16" s="52"/>
      <c r="CL16" s="52"/>
      <c r="CM16" s="52"/>
    </row>
    <row r="17" spans="1:91" x14ac:dyDescent="0.15">
      <c r="A17" s="41">
        <v>15</v>
      </c>
      <c r="B17" s="43">
        <v>1</v>
      </c>
      <c r="C17" s="43">
        <v>1</v>
      </c>
      <c r="D17" s="43">
        <v>1</v>
      </c>
      <c r="E17" s="43">
        <v>1</v>
      </c>
      <c r="F17" s="43">
        <v>1</v>
      </c>
      <c r="G17" s="43">
        <v>1</v>
      </c>
      <c r="H17" s="43">
        <v>1</v>
      </c>
      <c r="I17" s="43">
        <v>1</v>
      </c>
      <c r="J17" s="43">
        <v>1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2"/>
      <c r="CF17" s="52"/>
      <c r="CG17" s="52"/>
      <c r="CH17" s="52"/>
      <c r="CI17" s="52"/>
      <c r="CJ17" s="52"/>
      <c r="CK17" s="52"/>
      <c r="CL17" s="52"/>
      <c r="CM17" s="52"/>
    </row>
    <row r="18" spans="1:91" x14ac:dyDescent="0.15">
      <c r="A18" s="41">
        <v>16</v>
      </c>
      <c r="B18" s="43">
        <v>1</v>
      </c>
      <c r="C18" s="43">
        <v>1</v>
      </c>
      <c r="D18" s="43">
        <v>1</v>
      </c>
      <c r="E18" s="43">
        <v>1</v>
      </c>
      <c r="F18" s="43">
        <v>1</v>
      </c>
      <c r="G18" s="43">
        <v>1</v>
      </c>
      <c r="H18" s="43">
        <v>1</v>
      </c>
      <c r="I18" s="43">
        <v>1</v>
      </c>
      <c r="J18" s="43">
        <v>1</v>
      </c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2"/>
      <c r="CF18" s="52"/>
      <c r="CG18" s="52"/>
      <c r="CH18" s="52"/>
      <c r="CI18" s="52"/>
      <c r="CJ18" s="52"/>
      <c r="CK18" s="52"/>
      <c r="CL18" s="52"/>
      <c r="CM18" s="52"/>
    </row>
    <row r="19" spans="1:91" x14ac:dyDescent="0.15">
      <c r="A19" s="41">
        <v>17</v>
      </c>
      <c r="B19" s="43">
        <v>1</v>
      </c>
      <c r="C19" s="43">
        <v>1</v>
      </c>
      <c r="D19" s="43">
        <v>1</v>
      </c>
      <c r="E19" s="43">
        <v>1</v>
      </c>
      <c r="F19" s="43">
        <v>1</v>
      </c>
      <c r="G19" s="43">
        <v>1</v>
      </c>
      <c r="H19" s="43">
        <v>1</v>
      </c>
      <c r="I19" s="43">
        <v>1</v>
      </c>
      <c r="J19" s="43">
        <v>1</v>
      </c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2"/>
      <c r="CF19" s="52"/>
      <c r="CG19" s="52"/>
      <c r="CH19" s="52"/>
      <c r="CI19" s="52"/>
      <c r="CJ19" s="52"/>
      <c r="CK19" s="52"/>
      <c r="CL19" s="52"/>
      <c r="CM19" s="52"/>
    </row>
    <row r="20" spans="1:91" x14ac:dyDescent="0.15">
      <c r="A20" s="41">
        <v>18</v>
      </c>
      <c r="B20" s="43">
        <v>1</v>
      </c>
      <c r="C20" s="43">
        <v>1</v>
      </c>
      <c r="D20" s="43">
        <v>1</v>
      </c>
      <c r="E20" s="43">
        <v>1</v>
      </c>
      <c r="F20" s="43">
        <v>1</v>
      </c>
      <c r="G20" s="43">
        <v>1</v>
      </c>
      <c r="H20" s="43">
        <v>1</v>
      </c>
      <c r="I20" s="43">
        <v>1</v>
      </c>
      <c r="J20" s="43">
        <v>1</v>
      </c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2"/>
      <c r="CF20" s="52"/>
      <c r="CG20" s="52"/>
      <c r="CH20" s="52"/>
      <c r="CI20" s="52"/>
      <c r="CJ20" s="52"/>
      <c r="CK20" s="52"/>
      <c r="CL20" s="52"/>
      <c r="CM20" s="52"/>
    </row>
    <row r="21" spans="1:91" x14ac:dyDescent="0.15">
      <c r="A21" s="41">
        <v>19</v>
      </c>
      <c r="B21" s="43">
        <v>1</v>
      </c>
      <c r="C21" s="43">
        <v>1</v>
      </c>
      <c r="D21" s="43">
        <v>1</v>
      </c>
      <c r="E21" s="43">
        <v>1</v>
      </c>
      <c r="F21" s="43">
        <v>1</v>
      </c>
      <c r="G21" s="43">
        <v>1</v>
      </c>
      <c r="H21" s="43">
        <v>1</v>
      </c>
      <c r="I21" s="43">
        <v>1</v>
      </c>
      <c r="J21" s="43">
        <v>1</v>
      </c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2"/>
      <c r="CF21" s="52"/>
      <c r="CG21" s="52"/>
      <c r="CH21" s="52"/>
      <c r="CI21" s="52"/>
      <c r="CJ21" s="52"/>
      <c r="CK21" s="52"/>
      <c r="CL21" s="52"/>
      <c r="CM21" s="52"/>
    </row>
    <row r="22" spans="1:91" x14ac:dyDescent="0.15">
      <c r="A22" s="41">
        <v>20</v>
      </c>
      <c r="B22" s="43">
        <v>1</v>
      </c>
      <c r="C22" s="43">
        <v>1</v>
      </c>
      <c r="D22" s="43">
        <v>1</v>
      </c>
      <c r="E22" s="43">
        <v>1</v>
      </c>
      <c r="F22" s="43">
        <v>1</v>
      </c>
      <c r="G22" s="43">
        <v>1</v>
      </c>
      <c r="H22" s="43">
        <v>1</v>
      </c>
      <c r="I22" s="43">
        <v>1</v>
      </c>
      <c r="J22" s="43">
        <v>1</v>
      </c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2"/>
      <c r="CF22" s="52"/>
      <c r="CG22" s="52"/>
      <c r="CH22" s="52"/>
      <c r="CI22" s="52"/>
      <c r="CJ22" s="52"/>
      <c r="CK22" s="52"/>
      <c r="CL22" s="52"/>
      <c r="CM22" s="52"/>
    </row>
    <row r="23" spans="1:91" x14ac:dyDescent="0.15">
      <c r="A23" s="41">
        <v>21</v>
      </c>
      <c r="B23" s="43">
        <v>1</v>
      </c>
      <c r="C23" s="43">
        <v>1</v>
      </c>
      <c r="D23" s="43">
        <v>1</v>
      </c>
      <c r="E23" s="43">
        <v>1</v>
      </c>
      <c r="F23" s="43">
        <v>1</v>
      </c>
      <c r="G23" s="43">
        <v>1</v>
      </c>
      <c r="H23" s="43">
        <v>1</v>
      </c>
      <c r="I23" s="43">
        <v>1</v>
      </c>
      <c r="J23" s="43">
        <v>1</v>
      </c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2"/>
      <c r="CF23" s="52"/>
      <c r="CG23" s="52"/>
      <c r="CH23" s="52"/>
      <c r="CI23" s="52"/>
      <c r="CJ23" s="52"/>
      <c r="CK23" s="52"/>
      <c r="CL23" s="52"/>
      <c r="CM23" s="52"/>
    </row>
    <row r="24" spans="1:91" x14ac:dyDescent="0.15">
      <c r="A24" s="41">
        <v>22</v>
      </c>
      <c r="B24" s="43">
        <v>1</v>
      </c>
      <c r="C24" s="43">
        <v>1</v>
      </c>
      <c r="D24" s="43">
        <v>1</v>
      </c>
      <c r="E24" s="43">
        <v>1</v>
      </c>
      <c r="F24" s="43">
        <v>1</v>
      </c>
      <c r="G24" s="43">
        <v>1</v>
      </c>
      <c r="H24" s="43">
        <v>1</v>
      </c>
      <c r="I24" s="43">
        <v>1</v>
      </c>
      <c r="J24" s="43">
        <v>1</v>
      </c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2"/>
      <c r="CF24" s="52"/>
      <c r="CG24" s="52"/>
      <c r="CH24" s="52"/>
      <c r="CI24" s="52"/>
      <c r="CJ24" s="52"/>
      <c r="CK24" s="52"/>
      <c r="CL24" s="52"/>
      <c r="CM24" s="52"/>
    </row>
    <row r="25" spans="1:91" x14ac:dyDescent="0.15">
      <c r="A25" s="41">
        <v>23</v>
      </c>
      <c r="B25" s="43">
        <v>1</v>
      </c>
      <c r="C25" s="43">
        <v>1</v>
      </c>
      <c r="D25" s="43">
        <v>1</v>
      </c>
      <c r="E25" s="43">
        <v>1</v>
      </c>
      <c r="F25" s="43">
        <v>1</v>
      </c>
      <c r="G25" s="43">
        <v>1</v>
      </c>
      <c r="H25" s="43">
        <v>1</v>
      </c>
      <c r="I25" s="43">
        <v>1</v>
      </c>
      <c r="J25" s="43">
        <v>1</v>
      </c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2"/>
      <c r="CF25" s="52"/>
      <c r="CG25" s="52"/>
      <c r="CH25" s="52"/>
      <c r="CI25" s="52"/>
      <c r="CJ25" s="52"/>
      <c r="CK25" s="52"/>
      <c r="CL25" s="52"/>
      <c r="CM25" s="52"/>
    </row>
    <row r="26" spans="1:91" x14ac:dyDescent="0.15">
      <c r="A26" s="41">
        <v>24</v>
      </c>
      <c r="B26" s="43">
        <v>1</v>
      </c>
      <c r="C26" s="43">
        <v>1</v>
      </c>
      <c r="D26" s="43">
        <v>1</v>
      </c>
      <c r="E26" s="43">
        <v>1</v>
      </c>
      <c r="F26" s="43">
        <v>1</v>
      </c>
      <c r="G26" s="43">
        <v>1</v>
      </c>
      <c r="H26" s="43">
        <v>1</v>
      </c>
      <c r="I26" s="43">
        <v>1</v>
      </c>
      <c r="J26" s="43">
        <v>1</v>
      </c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2"/>
      <c r="CF26" s="52"/>
      <c r="CG26" s="52"/>
      <c r="CH26" s="52"/>
      <c r="CI26" s="52"/>
      <c r="CJ26" s="52"/>
      <c r="CK26" s="52"/>
      <c r="CL26" s="52"/>
      <c r="CM26" s="52"/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2"/>
      <c r="CF27" s="52"/>
      <c r="CG27" s="52"/>
      <c r="CH27" s="52"/>
      <c r="CI27" s="52"/>
      <c r="CJ27" s="52"/>
      <c r="CK27" s="52"/>
      <c r="CL27" s="52"/>
      <c r="CM27" s="52"/>
    </row>
    <row r="28" spans="1:91" x14ac:dyDescent="0.15">
      <c r="A28" s="41">
        <v>26</v>
      </c>
      <c r="B28" s="43">
        <v>1</v>
      </c>
      <c r="C28" s="43">
        <v>1</v>
      </c>
      <c r="D28" s="43">
        <v>1</v>
      </c>
      <c r="E28" s="43">
        <v>1</v>
      </c>
      <c r="F28" s="43">
        <v>1</v>
      </c>
      <c r="G28" s="43">
        <v>1</v>
      </c>
      <c r="H28" s="43">
        <v>1</v>
      </c>
      <c r="I28" s="43">
        <v>1</v>
      </c>
      <c r="J28" s="43">
        <v>1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2"/>
      <c r="CF28" s="52"/>
      <c r="CG28" s="52"/>
      <c r="CH28" s="52"/>
      <c r="CI28" s="52"/>
      <c r="CJ28" s="52"/>
      <c r="CK28" s="52"/>
      <c r="CL28" s="52"/>
      <c r="CM28" s="52"/>
    </row>
    <row r="29" spans="1:91" x14ac:dyDescent="0.15">
      <c r="A29" s="41">
        <v>27</v>
      </c>
      <c r="B29" s="43">
        <v>1</v>
      </c>
      <c r="C29" s="43">
        <v>1</v>
      </c>
      <c r="D29" s="43">
        <v>1</v>
      </c>
      <c r="E29" s="43">
        <v>1</v>
      </c>
      <c r="F29" s="43">
        <v>1</v>
      </c>
      <c r="G29" s="43">
        <v>1</v>
      </c>
      <c r="H29" s="43">
        <v>1</v>
      </c>
      <c r="I29" s="43">
        <v>1</v>
      </c>
      <c r="J29" s="43">
        <v>1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2"/>
      <c r="CF29" s="52"/>
      <c r="CG29" s="52"/>
      <c r="CH29" s="52"/>
      <c r="CI29" s="52"/>
      <c r="CJ29" s="52"/>
      <c r="CK29" s="52"/>
      <c r="CL29" s="52"/>
      <c r="CM29" s="52"/>
    </row>
    <row r="30" spans="1:91" x14ac:dyDescent="0.15">
      <c r="A30" s="41">
        <v>28</v>
      </c>
      <c r="B30" s="43">
        <v>1</v>
      </c>
      <c r="C30" s="43">
        <v>1</v>
      </c>
      <c r="D30" s="43">
        <v>1</v>
      </c>
      <c r="E30" s="43">
        <v>1</v>
      </c>
      <c r="F30" s="43">
        <v>1</v>
      </c>
      <c r="G30" s="43">
        <v>1</v>
      </c>
      <c r="H30" s="43">
        <v>1</v>
      </c>
      <c r="I30" s="43">
        <v>1</v>
      </c>
      <c r="J30" s="43">
        <v>1</v>
      </c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2"/>
      <c r="CF30" s="52"/>
      <c r="CG30" s="52"/>
      <c r="CH30" s="52"/>
      <c r="CI30" s="52"/>
      <c r="CJ30" s="52"/>
      <c r="CK30" s="52"/>
      <c r="CL30" s="52"/>
      <c r="CM30" s="52"/>
    </row>
    <row r="31" spans="1:91" x14ac:dyDescent="0.15">
      <c r="A31" s="41">
        <v>29</v>
      </c>
      <c r="B31" s="43">
        <v>1</v>
      </c>
      <c r="C31" s="43">
        <v>1</v>
      </c>
      <c r="D31" s="43">
        <v>1</v>
      </c>
      <c r="E31" s="43">
        <v>1</v>
      </c>
      <c r="F31" s="43">
        <v>1</v>
      </c>
      <c r="G31" s="43">
        <v>1</v>
      </c>
      <c r="H31" s="43">
        <v>1</v>
      </c>
      <c r="I31" s="43">
        <v>1</v>
      </c>
      <c r="J31" s="43">
        <v>1</v>
      </c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2"/>
      <c r="CF31" s="52"/>
      <c r="CG31" s="52"/>
      <c r="CH31" s="52"/>
      <c r="CI31" s="52"/>
      <c r="CJ31" s="52"/>
      <c r="CK31" s="52"/>
      <c r="CL31" s="52"/>
      <c r="CM31" s="52"/>
    </row>
    <row r="32" spans="1:91" x14ac:dyDescent="0.15">
      <c r="A32" s="41">
        <v>30</v>
      </c>
      <c r="B32" s="43">
        <v>1</v>
      </c>
      <c r="C32" s="43">
        <v>1</v>
      </c>
      <c r="D32" s="43">
        <v>1</v>
      </c>
      <c r="E32" s="43">
        <v>1</v>
      </c>
      <c r="F32" s="43">
        <v>1</v>
      </c>
      <c r="G32" s="43">
        <v>1</v>
      </c>
      <c r="H32" s="43">
        <v>1</v>
      </c>
      <c r="I32" s="43">
        <v>1</v>
      </c>
      <c r="J32" s="43">
        <v>1</v>
      </c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2"/>
      <c r="CF32" s="52"/>
      <c r="CG32" s="52"/>
      <c r="CH32" s="52"/>
      <c r="CI32" s="52"/>
      <c r="CJ32" s="52"/>
      <c r="CK32" s="52"/>
      <c r="CL32" s="52"/>
      <c r="CM32" s="52"/>
    </row>
    <row r="33" spans="1:91" x14ac:dyDescent="0.15">
      <c r="A33" s="41">
        <v>31</v>
      </c>
      <c r="B33" s="43">
        <v>1</v>
      </c>
      <c r="C33" s="43">
        <v>1</v>
      </c>
      <c r="D33" s="43">
        <v>1</v>
      </c>
      <c r="E33" s="43">
        <v>1</v>
      </c>
      <c r="F33" s="43">
        <v>1</v>
      </c>
      <c r="G33" s="43">
        <v>1</v>
      </c>
      <c r="H33" s="43">
        <v>1</v>
      </c>
      <c r="I33" s="43">
        <v>1</v>
      </c>
      <c r="J33" s="43">
        <v>1</v>
      </c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2"/>
      <c r="CF33" s="52"/>
      <c r="CG33" s="52"/>
      <c r="CH33" s="52"/>
      <c r="CI33" s="52"/>
      <c r="CJ33" s="52"/>
      <c r="CK33" s="52"/>
      <c r="CL33" s="52"/>
      <c r="CM33" s="52"/>
    </row>
    <row r="34" spans="1:91" x14ac:dyDescent="0.15">
      <c r="A34" s="41">
        <v>32</v>
      </c>
      <c r="B34" s="43">
        <v>1</v>
      </c>
      <c r="C34" s="43">
        <v>1</v>
      </c>
      <c r="D34" s="43">
        <v>1</v>
      </c>
      <c r="E34" s="43">
        <v>1</v>
      </c>
      <c r="F34" s="43">
        <v>1</v>
      </c>
      <c r="G34" s="43">
        <v>1</v>
      </c>
      <c r="H34" s="43">
        <v>1</v>
      </c>
      <c r="I34" s="43">
        <v>1</v>
      </c>
      <c r="J34" s="43">
        <v>1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2"/>
      <c r="CF34" s="52"/>
      <c r="CG34" s="52"/>
      <c r="CH34" s="52"/>
      <c r="CI34" s="52"/>
      <c r="CJ34" s="52"/>
      <c r="CK34" s="52"/>
      <c r="CL34" s="52"/>
      <c r="CM34" s="52"/>
    </row>
    <row r="35" spans="1:91" x14ac:dyDescent="0.15">
      <c r="A35" s="41">
        <v>33</v>
      </c>
      <c r="B35" s="43">
        <v>1</v>
      </c>
      <c r="C35" s="43">
        <v>1</v>
      </c>
      <c r="D35" s="43">
        <v>1</v>
      </c>
      <c r="E35" s="43">
        <v>1</v>
      </c>
      <c r="F35" s="43">
        <v>1</v>
      </c>
      <c r="G35" s="43">
        <v>1</v>
      </c>
      <c r="H35" s="43">
        <v>1</v>
      </c>
      <c r="I35" s="43">
        <v>1</v>
      </c>
      <c r="J35" s="43">
        <v>1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2"/>
      <c r="CF35" s="52"/>
      <c r="CG35" s="52"/>
      <c r="CH35" s="52"/>
      <c r="CI35" s="52"/>
      <c r="CJ35" s="52"/>
      <c r="CK35" s="52"/>
      <c r="CL35" s="52"/>
      <c r="CM35" s="52"/>
    </row>
    <row r="36" spans="1:91" x14ac:dyDescent="0.15">
      <c r="A36" s="41">
        <v>34</v>
      </c>
      <c r="B36" s="43">
        <v>1</v>
      </c>
      <c r="C36" s="43">
        <v>1</v>
      </c>
      <c r="D36" s="43">
        <v>1</v>
      </c>
      <c r="E36" s="43">
        <v>1</v>
      </c>
      <c r="F36" s="43">
        <v>1</v>
      </c>
      <c r="G36" s="43">
        <v>1</v>
      </c>
      <c r="H36" s="43">
        <v>1</v>
      </c>
      <c r="I36" s="43">
        <v>1</v>
      </c>
      <c r="J36" s="43">
        <v>1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2"/>
      <c r="CF36" s="52"/>
      <c r="CG36" s="52"/>
      <c r="CH36" s="52"/>
      <c r="CI36" s="52"/>
      <c r="CJ36" s="52"/>
      <c r="CK36" s="52"/>
      <c r="CL36" s="52"/>
      <c r="CM36" s="52"/>
    </row>
    <row r="37" spans="1:91" x14ac:dyDescent="0.15">
      <c r="A37" s="41">
        <v>35</v>
      </c>
      <c r="B37" s="43">
        <v>1</v>
      </c>
      <c r="C37" s="43">
        <v>1</v>
      </c>
      <c r="D37" s="43">
        <v>1</v>
      </c>
      <c r="E37" s="43">
        <v>1</v>
      </c>
      <c r="F37" s="43">
        <v>1</v>
      </c>
      <c r="G37" s="43">
        <v>1</v>
      </c>
      <c r="H37" s="43">
        <v>1</v>
      </c>
      <c r="I37" s="43">
        <v>1</v>
      </c>
      <c r="J37" s="43">
        <v>1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2"/>
      <c r="CF37" s="52"/>
      <c r="CG37" s="52"/>
      <c r="CH37" s="52"/>
      <c r="CI37" s="52"/>
      <c r="CJ37" s="52"/>
      <c r="CK37" s="52"/>
      <c r="CL37" s="52"/>
      <c r="CM37" s="52"/>
    </row>
    <row r="38" spans="1:91" x14ac:dyDescent="0.15">
      <c r="A38" s="41">
        <v>36</v>
      </c>
      <c r="B38" s="43">
        <v>1</v>
      </c>
      <c r="C38" s="43">
        <v>1</v>
      </c>
      <c r="D38" s="43">
        <v>1</v>
      </c>
      <c r="E38" s="43">
        <v>1</v>
      </c>
      <c r="F38" s="43">
        <v>1</v>
      </c>
      <c r="G38" s="43">
        <v>1</v>
      </c>
      <c r="H38" s="43">
        <v>1</v>
      </c>
      <c r="I38" s="43">
        <v>1</v>
      </c>
      <c r="J38" s="43">
        <v>1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2"/>
      <c r="CF38" s="52"/>
      <c r="CG38" s="52"/>
      <c r="CH38" s="52"/>
      <c r="CI38" s="52"/>
      <c r="CJ38" s="52"/>
      <c r="CK38" s="52"/>
      <c r="CL38" s="52"/>
      <c r="CM38" s="52"/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2"/>
      <c r="CF39" s="52"/>
      <c r="CG39" s="52"/>
      <c r="CH39" s="52"/>
      <c r="CI39" s="52"/>
      <c r="CJ39" s="52"/>
      <c r="CK39" s="52"/>
      <c r="CL39" s="52"/>
      <c r="CM39" s="52"/>
    </row>
    <row r="40" spans="1:91" x14ac:dyDescent="0.15">
      <c r="A40" s="41">
        <v>38</v>
      </c>
      <c r="B40" s="43">
        <v>1</v>
      </c>
      <c r="C40" s="43">
        <v>1</v>
      </c>
      <c r="D40" s="43">
        <v>1</v>
      </c>
      <c r="E40" s="43">
        <v>1</v>
      </c>
      <c r="F40" s="43">
        <v>1</v>
      </c>
      <c r="G40" s="43">
        <v>1</v>
      </c>
      <c r="H40" s="43">
        <v>1</v>
      </c>
      <c r="I40" s="43">
        <v>1</v>
      </c>
      <c r="J40" s="43">
        <v>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2"/>
      <c r="CF40" s="52"/>
      <c r="CG40" s="52"/>
      <c r="CH40" s="52"/>
      <c r="CI40" s="52"/>
      <c r="CJ40" s="52"/>
      <c r="CK40" s="52"/>
      <c r="CL40" s="52"/>
      <c r="CM40" s="52"/>
    </row>
    <row r="41" spans="1:91" x14ac:dyDescent="0.15">
      <c r="A41" s="41">
        <v>39</v>
      </c>
      <c r="B41" s="43">
        <v>1</v>
      </c>
      <c r="C41" s="43">
        <v>1</v>
      </c>
      <c r="D41" s="43">
        <v>1</v>
      </c>
      <c r="E41" s="43">
        <v>1</v>
      </c>
      <c r="F41" s="43">
        <v>1</v>
      </c>
      <c r="G41" s="43">
        <v>1</v>
      </c>
      <c r="H41" s="43">
        <v>1</v>
      </c>
      <c r="I41" s="43">
        <v>1</v>
      </c>
      <c r="J41" s="43">
        <v>1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2"/>
      <c r="CF41" s="52"/>
      <c r="CG41" s="52"/>
      <c r="CH41" s="52"/>
      <c r="CI41" s="52"/>
      <c r="CJ41" s="52"/>
      <c r="CK41" s="52"/>
      <c r="CL41" s="52"/>
      <c r="CM41" s="52"/>
    </row>
    <row r="42" spans="1:91" x14ac:dyDescent="0.15">
      <c r="A42" s="41">
        <v>40</v>
      </c>
      <c r="B42" s="43">
        <v>1</v>
      </c>
      <c r="C42" s="43">
        <v>1</v>
      </c>
      <c r="D42" s="43">
        <v>1</v>
      </c>
      <c r="E42" s="43">
        <v>1</v>
      </c>
      <c r="F42" s="43">
        <v>1</v>
      </c>
      <c r="G42" s="43">
        <v>1</v>
      </c>
      <c r="H42" s="43">
        <v>1</v>
      </c>
      <c r="I42" s="43">
        <v>1</v>
      </c>
      <c r="J42" s="43">
        <v>1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2"/>
      <c r="CF42" s="52"/>
      <c r="CG42" s="52"/>
      <c r="CH42" s="52"/>
      <c r="CI42" s="52"/>
      <c r="CJ42" s="52"/>
      <c r="CK42" s="52"/>
      <c r="CL42" s="52"/>
      <c r="CM42" s="52"/>
    </row>
    <row r="43" spans="1:91" x14ac:dyDescent="0.15">
      <c r="A43" s="41">
        <v>41</v>
      </c>
      <c r="B43" s="43">
        <v>1</v>
      </c>
      <c r="C43" s="43">
        <v>1</v>
      </c>
      <c r="D43" s="43">
        <v>1</v>
      </c>
      <c r="E43" s="43">
        <v>1</v>
      </c>
      <c r="F43" s="43">
        <v>1</v>
      </c>
      <c r="G43" s="43">
        <v>1</v>
      </c>
      <c r="H43" s="43">
        <v>1</v>
      </c>
      <c r="I43" s="43">
        <v>1</v>
      </c>
      <c r="J43" s="43">
        <v>1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2"/>
      <c r="CF43" s="52"/>
      <c r="CG43" s="52"/>
      <c r="CH43" s="52"/>
      <c r="CI43" s="52"/>
      <c r="CJ43" s="52"/>
      <c r="CK43" s="52"/>
      <c r="CL43" s="52"/>
      <c r="CM43" s="52"/>
    </row>
    <row r="44" spans="1:91" x14ac:dyDescent="0.15">
      <c r="A44" s="41">
        <v>42</v>
      </c>
      <c r="B44" s="43">
        <v>1</v>
      </c>
      <c r="C44" s="43">
        <v>1</v>
      </c>
      <c r="D44" s="43">
        <v>1</v>
      </c>
      <c r="E44" s="43">
        <v>1</v>
      </c>
      <c r="F44" s="43">
        <v>1</v>
      </c>
      <c r="G44" s="43">
        <v>1</v>
      </c>
      <c r="H44" s="43">
        <v>1</v>
      </c>
      <c r="I44" s="43">
        <v>1</v>
      </c>
      <c r="J44" s="43">
        <v>1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2"/>
      <c r="CF44" s="52"/>
      <c r="CG44" s="52"/>
      <c r="CH44" s="52"/>
      <c r="CI44" s="52"/>
      <c r="CJ44" s="52"/>
      <c r="CK44" s="52"/>
      <c r="CL44" s="52"/>
      <c r="CM44" s="52"/>
    </row>
    <row r="45" spans="1:91" x14ac:dyDescent="0.15">
      <c r="A45" s="41">
        <v>43</v>
      </c>
      <c r="B45" s="43">
        <v>1</v>
      </c>
      <c r="C45" s="43">
        <v>1</v>
      </c>
      <c r="D45" s="43">
        <v>1</v>
      </c>
      <c r="E45" s="43">
        <v>1</v>
      </c>
      <c r="F45" s="43">
        <v>1</v>
      </c>
      <c r="G45" s="43">
        <v>1</v>
      </c>
      <c r="H45" s="43">
        <v>1</v>
      </c>
      <c r="I45" s="43">
        <v>1</v>
      </c>
      <c r="J45" s="43">
        <v>1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2"/>
      <c r="CF45" s="52"/>
      <c r="CG45" s="52"/>
      <c r="CH45" s="52"/>
      <c r="CI45" s="52"/>
      <c r="CJ45" s="52"/>
      <c r="CK45" s="52"/>
      <c r="CL45" s="52"/>
      <c r="CM45" s="52"/>
    </row>
    <row r="46" spans="1:91" x14ac:dyDescent="0.15">
      <c r="A46" s="41">
        <v>44</v>
      </c>
      <c r="B46" s="43">
        <v>1</v>
      </c>
      <c r="C46" s="43">
        <v>1</v>
      </c>
      <c r="D46" s="43">
        <v>1</v>
      </c>
      <c r="E46" s="43">
        <v>1</v>
      </c>
      <c r="F46" s="43">
        <v>1</v>
      </c>
      <c r="G46" s="43">
        <v>1</v>
      </c>
      <c r="H46" s="43">
        <v>1</v>
      </c>
      <c r="I46" s="43">
        <v>1</v>
      </c>
      <c r="J46" s="43">
        <v>1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2"/>
      <c r="CF46" s="52"/>
      <c r="CG46" s="52"/>
      <c r="CH46" s="52"/>
      <c r="CI46" s="52"/>
      <c r="CJ46" s="52"/>
      <c r="CK46" s="52"/>
      <c r="CL46" s="52"/>
      <c r="CM46" s="52"/>
    </row>
    <row r="47" spans="1:91" x14ac:dyDescent="0.15">
      <c r="A47" s="41">
        <v>45</v>
      </c>
      <c r="B47" s="43">
        <v>1</v>
      </c>
      <c r="C47" s="43">
        <v>1</v>
      </c>
      <c r="D47" s="43">
        <v>1</v>
      </c>
      <c r="E47" s="43">
        <v>1</v>
      </c>
      <c r="F47" s="43">
        <v>1</v>
      </c>
      <c r="G47" s="43">
        <v>1</v>
      </c>
      <c r="H47" s="43">
        <v>1</v>
      </c>
      <c r="I47" s="43">
        <v>1</v>
      </c>
      <c r="J47" s="43">
        <v>1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2"/>
      <c r="CF47" s="52"/>
      <c r="CG47" s="52"/>
      <c r="CH47" s="52"/>
      <c r="CI47" s="52"/>
      <c r="CJ47" s="52"/>
      <c r="CK47" s="52"/>
      <c r="CL47" s="52"/>
      <c r="CM47" s="52"/>
    </row>
    <row r="48" spans="1:91" x14ac:dyDescent="0.15">
      <c r="A48" s="41">
        <v>46</v>
      </c>
      <c r="B48" s="43">
        <v>1</v>
      </c>
      <c r="C48" s="43">
        <v>1</v>
      </c>
      <c r="D48" s="43">
        <v>1</v>
      </c>
      <c r="E48" s="43">
        <v>1</v>
      </c>
      <c r="F48" s="43">
        <v>1</v>
      </c>
      <c r="G48" s="43">
        <v>1</v>
      </c>
      <c r="H48" s="43">
        <v>1</v>
      </c>
      <c r="I48" s="43">
        <v>1</v>
      </c>
      <c r="J48" s="43">
        <v>1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2"/>
      <c r="CF48" s="52"/>
      <c r="CG48" s="52"/>
      <c r="CH48" s="52"/>
      <c r="CI48" s="52"/>
      <c r="CJ48" s="52"/>
      <c r="CK48" s="52"/>
      <c r="CL48" s="52"/>
      <c r="CM48" s="52"/>
    </row>
    <row r="49" spans="1:91" x14ac:dyDescent="0.15">
      <c r="A49" s="41">
        <v>47</v>
      </c>
      <c r="B49" s="43">
        <v>1</v>
      </c>
      <c r="C49" s="43">
        <v>1</v>
      </c>
      <c r="D49" s="43">
        <v>1</v>
      </c>
      <c r="E49" s="43">
        <v>1</v>
      </c>
      <c r="F49" s="43">
        <v>1</v>
      </c>
      <c r="G49" s="43">
        <v>1</v>
      </c>
      <c r="H49" s="43">
        <v>1</v>
      </c>
      <c r="I49" s="43">
        <v>1</v>
      </c>
      <c r="J49" s="43">
        <v>1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2"/>
      <c r="CF49" s="52"/>
      <c r="CG49" s="52"/>
      <c r="CH49" s="52"/>
      <c r="CI49" s="52"/>
      <c r="CJ49" s="52"/>
      <c r="CK49" s="52"/>
      <c r="CL49" s="52"/>
      <c r="CM49" s="52"/>
    </row>
    <row r="50" spans="1:91" x14ac:dyDescent="0.15">
      <c r="A50" s="41">
        <v>48</v>
      </c>
      <c r="B50" s="43">
        <v>1</v>
      </c>
      <c r="C50" s="43">
        <v>1</v>
      </c>
      <c r="D50" s="43">
        <v>1</v>
      </c>
      <c r="E50" s="43">
        <v>1</v>
      </c>
      <c r="F50" s="43">
        <v>1</v>
      </c>
      <c r="G50" s="43">
        <v>1</v>
      </c>
      <c r="H50" s="43">
        <v>1</v>
      </c>
      <c r="I50" s="43">
        <v>1</v>
      </c>
      <c r="J50" s="43">
        <v>1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2"/>
      <c r="CF50" s="52"/>
      <c r="CG50" s="52"/>
      <c r="CH50" s="52"/>
      <c r="CI50" s="52"/>
      <c r="CJ50" s="52"/>
      <c r="CK50" s="52"/>
      <c r="CL50" s="52"/>
      <c r="CM50" s="52"/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2"/>
      <c r="CF51" s="52"/>
      <c r="CG51" s="52"/>
      <c r="CH51" s="52"/>
      <c r="CI51" s="52"/>
      <c r="CJ51" s="52"/>
      <c r="CK51" s="52"/>
      <c r="CL51" s="52"/>
      <c r="CM51" s="52"/>
    </row>
    <row r="52" spans="1:91" x14ac:dyDescent="0.15">
      <c r="A52" s="41">
        <v>50</v>
      </c>
      <c r="B52" s="43">
        <v>1</v>
      </c>
      <c r="C52" s="43">
        <v>1</v>
      </c>
      <c r="D52" s="43">
        <v>1</v>
      </c>
      <c r="E52" s="43">
        <v>1</v>
      </c>
      <c r="F52" s="43">
        <v>1</v>
      </c>
      <c r="G52" s="43">
        <v>1</v>
      </c>
      <c r="H52" s="43">
        <v>1</v>
      </c>
      <c r="I52" s="43">
        <v>1</v>
      </c>
      <c r="J52" s="43">
        <v>1</v>
      </c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2"/>
      <c r="CF52" s="52"/>
      <c r="CG52" s="52"/>
      <c r="CH52" s="52"/>
      <c r="CI52" s="52"/>
      <c r="CJ52" s="52"/>
      <c r="CK52" s="52"/>
      <c r="CL52" s="52"/>
      <c r="CM52" s="52"/>
    </row>
    <row r="53" spans="1:91" x14ac:dyDescent="0.15">
      <c r="A53" s="41">
        <v>51</v>
      </c>
      <c r="B53" s="43">
        <v>1</v>
      </c>
      <c r="C53" s="43">
        <v>1</v>
      </c>
      <c r="D53" s="43">
        <v>1</v>
      </c>
      <c r="E53" s="43">
        <v>1</v>
      </c>
      <c r="F53" s="43">
        <v>1</v>
      </c>
      <c r="G53" s="43">
        <v>1</v>
      </c>
      <c r="H53" s="43">
        <v>1</v>
      </c>
      <c r="I53" s="43">
        <v>1</v>
      </c>
      <c r="J53" s="43">
        <v>1</v>
      </c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2"/>
      <c r="CF53" s="52"/>
      <c r="CG53" s="52"/>
      <c r="CH53" s="52"/>
      <c r="CI53" s="52"/>
      <c r="CJ53" s="52"/>
      <c r="CK53" s="52"/>
      <c r="CL53" s="52"/>
      <c r="CM53" s="52"/>
    </row>
    <row r="54" spans="1:91" x14ac:dyDescent="0.15">
      <c r="A54" s="41">
        <v>52</v>
      </c>
      <c r="B54" s="43">
        <v>1</v>
      </c>
      <c r="C54" s="43">
        <v>1</v>
      </c>
      <c r="D54" s="43">
        <v>1</v>
      </c>
      <c r="E54" s="43">
        <v>1</v>
      </c>
      <c r="F54" s="43">
        <v>1</v>
      </c>
      <c r="G54" s="43">
        <v>1</v>
      </c>
      <c r="H54" s="43">
        <v>1</v>
      </c>
      <c r="I54" s="43">
        <v>1</v>
      </c>
      <c r="J54" s="43">
        <v>1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2"/>
      <c r="CF54" s="52"/>
      <c r="CG54" s="52"/>
      <c r="CH54" s="52"/>
      <c r="CI54" s="52"/>
      <c r="CJ54" s="52"/>
      <c r="CK54" s="52"/>
      <c r="CL54" s="52"/>
      <c r="CM54" s="52"/>
    </row>
    <row r="55" spans="1:91" x14ac:dyDescent="0.15">
      <c r="A55" s="41">
        <v>53</v>
      </c>
      <c r="B55" s="43">
        <v>1</v>
      </c>
      <c r="C55" s="43">
        <v>1</v>
      </c>
      <c r="D55" s="43">
        <v>1</v>
      </c>
      <c r="E55" s="43">
        <v>1</v>
      </c>
      <c r="F55" s="43">
        <v>1</v>
      </c>
      <c r="G55" s="43">
        <v>1</v>
      </c>
      <c r="H55" s="43">
        <v>1</v>
      </c>
      <c r="I55" s="43">
        <v>1</v>
      </c>
      <c r="J55" s="43">
        <v>1</v>
      </c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2"/>
      <c r="CF55" s="52"/>
      <c r="CG55" s="52"/>
      <c r="CH55" s="52"/>
      <c r="CI55" s="52"/>
      <c r="CJ55" s="52"/>
      <c r="CK55" s="52"/>
      <c r="CL55" s="52"/>
      <c r="CM55" s="52"/>
    </row>
    <row r="56" spans="1:91" x14ac:dyDescent="0.15">
      <c r="A56" s="41">
        <v>54</v>
      </c>
      <c r="B56" s="43">
        <v>1</v>
      </c>
      <c r="C56" s="43">
        <v>1</v>
      </c>
      <c r="D56" s="43">
        <v>1</v>
      </c>
      <c r="E56" s="43">
        <v>1</v>
      </c>
      <c r="F56" s="43">
        <v>1</v>
      </c>
      <c r="G56" s="43">
        <v>1</v>
      </c>
      <c r="H56" s="43">
        <v>1</v>
      </c>
      <c r="I56" s="43">
        <v>1</v>
      </c>
      <c r="J56" s="43">
        <v>1</v>
      </c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2"/>
      <c r="CF56" s="52"/>
      <c r="CG56" s="52"/>
      <c r="CH56" s="52"/>
      <c r="CI56" s="52"/>
      <c r="CJ56" s="52"/>
      <c r="CK56" s="52"/>
      <c r="CL56" s="52"/>
      <c r="CM56" s="52"/>
    </row>
    <row r="57" spans="1:91" x14ac:dyDescent="0.15">
      <c r="A57" s="41">
        <v>55</v>
      </c>
      <c r="B57" s="43">
        <v>1</v>
      </c>
      <c r="C57" s="43">
        <v>1</v>
      </c>
      <c r="D57" s="43">
        <v>1</v>
      </c>
      <c r="E57" s="43">
        <v>1</v>
      </c>
      <c r="F57" s="43">
        <v>1</v>
      </c>
      <c r="G57" s="43">
        <v>1</v>
      </c>
      <c r="H57" s="43">
        <v>1</v>
      </c>
      <c r="I57" s="43">
        <v>1</v>
      </c>
      <c r="J57" s="43">
        <v>1</v>
      </c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2"/>
      <c r="CF57" s="52"/>
      <c r="CG57" s="52"/>
      <c r="CH57" s="52"/>
      <c r="CI57" s="52"/>
      <c r="CJ57" s="52"/>
      <c r="CK57" s="52"/>
      <c r="CL57" s="52"/>
      <c r="CM57" s="52"/>
    </row>
    <row r="58" spans="1:91" x14ac:dyDescent="0.15">
      <c r="A58" s="41">
        <v>56</v>
      </c>
      <c r="B58" s="43">
        <v>1</v>
      </c>
      <c r="C58" s="43">
        <v>1</v>
      </c>
      <c r="D58" s="43">
        <v>1</v>
      </c>
      <c r="E58" s="43">
        <v>1</v>
      </c>
      <c r="F58" s="43">
        <v>1</v>
      </c>
      <c r="G58" s="43">
        <v>1</v>
      </c>
      <c r="H58" s="43">
        <v>1</v>
      </c>
      <c r="I58" s="43">
        <v>1</v>
      </c>
      <c r="J58" s="43">
        <v>1</v>
      </c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2"/>
      <c r="CF58" s="52"/>
      <c r="CG58" s="52"/>
      <c r="CH58" s="52"/>
      <c r="CI58" s="52"/>
      <c r="CJ58" s="52"/>
      <c r="CK58" s="52"/>
      <c r="CL58" s="52"/>
      <c r="CM58" s="52"/>
    </row>
    <row r="59" spans="1:91" x14ac:dyDescent="0.15">
      <c r="A59" s="41">
        <v>57</v>
      </c>
      <c r="B59" s="43">
        <v>1</v>
      </c>
      <c r="C59" s="43">
        <v>1</v>
      </c>
      <c r="D59" s="43">
        <v>1</v>
      </c>
      <c r="E59" s="43">
        <v>1</v>
      </c>
      <c r="F59" s="43">
        <v>1</v>
      </c>
      <c r="G59" s="43">
        <v>1</v>
      </c>
      <c r="H59" s="43">
        <v>1</v>
      </c>
      <c r="I59" s="43">
        <v>1</v>
      </c>
      <c r="J59" s="43">
        <v>1</v>
      </c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2"/>
      <c r="CF59" s="52"/>
      <c r="CG59" s="52"/>
      <c r="CH59" s="52"/>
      <c r="CI59" s="52"/>
      <c r="CJ59" s="52"/>
      <c r="CK59" s="52"/>
      <c r="CL59" s="52"/>
      <c r="CM59" s="52"/>
    </row>
    <row r="60" spans="1:91" x14ac:dyDescent="0.15">
      <c r="A60" s="41">
        <v>58</v>
      </c>
      <c r="B60" s="43">
        <v>1</v>
      </c>
      <c r="C60" s="43">
        <v>1</v>
      </c>
      <c r="D60" s="43">
        <v>1</v>
      </c>
      <c r="E60" s="43">
        <v>1</v>
      </c>
      <c r="F60" s="43">
        <v>1</v>
      </c>
      <c r="G60" s="43">
        <v>1</v>
      </c>
      <c r="H60" s="43">
        <v>1</v>
      </c>
      <c r="I60" s="43">
        <v>1</v>
      </c>
      <c r="J60" s="43">
        <v>1</v>
      </c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2"/>
      <c r="CF60" s="52"/>
      <c r="CG60" s="52"/>
      <c r="CH60" s="52"/>
      <c r="CI60" s="52"/>
      <c r="CJ60" s="52"/>
      <c r="CK60" s="52"/>
      <c r="CL60" s="52"/>
      <c r="CM60" s="52"/>
    </row>
    <row r="61" spans="1:91" x14ac:dyDescent="0.15">
      <c r="A61" s="41">
        <v>59</v>
      </c>
      <c r="B61" s="43">
        <v>1</v>
      </c>
      <c r="C61" s="43">
        <v>1</v>
      </c>
      <c r="D61" s="43">
        <v>1</v>
      </c>
      <c r="E61" s="43">
        <v>1</v>
      </c>
      <c r="F61" s="43">
        <v>1</v>
      </c>
      <c r="G61" s="43">
        <v>1</v>
      </c>
      <c r="H61" s="43">
        <v>1</v>
      </c>
      <c r="I61" s="43">
        <v>1</v>
      </c>
      <c r="J61" s="43">
        <v>1</v>
      </c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2"/>
      <c r="CF61" s="52"/>
      <c r="CG61" s="52"/>
      <c r="CH61" s="52"/>
      <c r="CI61" s="52"/>
      <c r="CJ61" s="52"/>
      <c r="CK61" s="52"/>
      <c r="CL61" s="52"/>
      <c r="CM61" s="52"/>
    </row>
    <row r="62" spans="1:91" x14ac:dyDescent="0.15">
      <c r="A62" s="41">
        <v>60</v>
      </c>
      <c r="B62" s="43">
        <v>1</v>
      </c>
      <c r="C62" s="43">
        <v>1</v>
      </c>
      <c r="D62" s="43">
        <v>1</v>
      </c>
      <c r="E62" s="43">
        <v>1</v>
      </c>
      <c r="F62" s="43">
        <v>1</v>
      </c>
      <c r="G62" s="43">
        <v>1</v>
      </c>
      <c r="H62" s="43">
        <v>1</v>
      </c>
      <c r="I62" s="43">
        <v>1</v>
      </c>
      <c r="J62" s="43">
        <v>1</v>
      </c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2"/>
      <c r="CF62" s="52"/>
      <c r="CG62" s="52"/>
      <c r="CH62" s="52"/>
      <c r="CI62" s="52"/>
      <c r="CJ62" s="52"/>
      <c r="CK62" s="52"/>
      <c r="CL62" s="52"/>
      <c r="CM62" s="52"/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2"/>
      <c r="CF63" s="52"/>
      <c r="CG63" s="52"/>
      <c r="CH63" s="52"/>
      <c r="CI63" s="52"/>
      <c r="CJ63" s="52"/>
      <c r="CK63" s="52"/>
      <c r="CL63" s="52"/>
      <c r="CM63" s="52"/>
    </row>
    <row r="64" spans="1:91" x14ac:dyDescent="0.15">
      <c r="A64" s="41">
        <v>62</v>
      </c>
      <c r="B64" s="43">
        <v>1</v>
      </c>
      <c r="C64" s="43">
        <v>1</v>
      </c>
      <c r="D64" s="43">
        <v>1</v>
      </c>
      <c r="E64" s="43">
        <v>1</v>
      </c>
      <c r="F64" s="43">
        <v>1</v>
      </c>
      <c r="G64" s="43">
        <v>1</v>
      </c>
      <c r="H64" s="43">
        <v>1</v>
      </c>
      <c r="I64" s="43">
        <v>1</v>
      </c>
      <c r="J64" s="43">
        <v>1</v>
      </c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2"/>
      <c r="CF64" s="52"/>
      <c r="CG64" s="52"/>
      <c r="CH64" s="52"/>
      <c r="CI64" s="52"/>
      <c r="CJ64" s="52"/>
      <c r="CK64" s="52"/>
      <c r="CL64" s="52"/>
      <c r="CM64" s="52"/>
    </row>
    <row r="65" spans="1:91" x14ac:dyDescent="0.15">
      <c r="A65" s="41">
        <v>63</v>
      </c>
      <c r="B65" s="43">
        <v>1</v>
      </c>
      <c r="C65" s="43">
        <v>1</v>
      </c>
      <c r="D65" s="43">
        <v>1</v>
      </c>
      <c r="E65" s="43">
        <v>1</v>
      </c>
      <c r="F65" s="43">
        <v>1</v>
      </c>
      <c r="G65" s="43">
        <v>1</v>
      </c>
      <c r="H65" s="43">
        <v>1</v>
      </c>
      <c r="I65" s="43">
        <v>1</v>
      </c>
      <c r="J65" s="43">
        <v>1</v>
      </c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2"/>
      <c r="CF65" s="52"/>
      <c r="CG65" s="52"/>
      <c r="CH65" s="52"/>
      <c r="CI65" s="52"/>
      <c r="CJ65" s="52"/>
      <c r="CK65" s="52"/>
      <c r="CL65" s="52"/>
      <c r="CM65" s="52"/>
    </row>
    <row r="66" spans="1:91" x14ac:dyDescent="0.15">
      <c r="A66" s="41">
        <v>64</v>
      </c>
      <c r="B66" s="43">
        <v>1</v>
      </c>
      <c r="C66" s="43">
        <v>1</v>
      </c>
      <c r="D66" s="43">
        <v>1</v>
      </c>
      <c r="E66" s="43">
        <v>1</v>
      </c>
      <c r="F66" s="43">
        <v>1</v>
      </c>
      <c r="G66" s="43">
        <v>1</v>
      </c>
      <c r="H66" s="43">
        <v>1</v>
      </c>
      <c r="I66" s="43">
        <v>1</v>
      </c>
      <c r="J66" s="43">
        <v>1</v>
      </c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2"/>
      <c r="CF66" s="52"/>
      <c r="CG66" s="52"/>
      <c r="CH66" s="52"/>
      <c r="CI66" s="52"/>
      <c r="CJ66" s="52"/>
      <c r="CK66" s="52"/>
      <c r="CL66" s="52"/>
      <c r="CM66" s="52"/>
    </row>
    <row r="67" spans="1:91" x14ac:dyDescent="0.15">
      <c r="A67" s="41">
        <v>65</v>
      </c>
      <c r="B67" s="43">
        <v>1</v>
      </c>
      <c r="C67" s="43">
        <v>1</v>
      </c>
      <c r="D67" s="43">
        <v>1</v>
      </c>
      <c r="E67" s="43">
        <v>1</v>
      </c>
      <c r="F67" s="43">
        <v>1</v>
      </c>
      <c r="G67" s="43">
        <v>1</v>
      </c>
      <c r="H67" s="43">
        <v>1</v>
      </c>
      <c r="I67" s="43">
        <v>1</v>
      </c>
      <c r="J67" s="43">
        <v>1</v>
      </c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2"/>
      <c r="CF67" s="52"/>
      <c r="CG67" s="52"/>
      <c r="CH67" s="52"/>
      <c r="CI67" s="52"/>
      <c r="CJ67" s="52"/>
      <c r="CK67" s="52"/>
      <c r="CL67" s="52"/>
      <c r="CM67" s="52"/>
    </row>
    <row r="68" spans="1:91" x14ac:dyDescent="0.15">
      <c r="A68" s="41">
        <v>66</v>
      </c>
      <c r="B68" s="43">
        <v>1</v>
      </c>
      <c r="C68" s="43">
        <v>1</v>
      </c>
      <c r="D68" s="43">
        <v>1</v>
      </c>
      <c r="E68" s="43">
        <v>1</v>
      </c>
      <c r="F68" s="43">
        <v>1</v>
      </c>
      <c r="G68" s="43">
        <v>1</v>
      </c>
      <c r="H68" s="43">
        <v>1</v>
      </c>
      <c r="I68" s="43">
        <v>1</v>
      </c>
      <c r="J68" s="43">
        <v>1</v>
      </c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2"/>
      <c r="CF68" s="52"/>
      <c r="CG68" s="52"/>
      <c r="CH68" s="52"/>
      <c r="CI68" s="52"/>
      <c r="CJ68" s="52"/>
      <c r="CK68" s="52"/>
      <c r="CL68" s="52"/>
      <c r="CM68" s="52"/>
    </row>
    <row r="69" spans="1:91" x14ac:dyDescent="0.15">
      <c r="A69" s="41">
        <v>67</v>
      </c>
      <c r="B69" s="43">
        <v>1</v>
      </c>
      <c r="C69" s="43">
        <v>1</v>
      </c>
      <c r="D69" s="43">
        <v>1</v>
      </c>
      <c r="E69" s="43">
        <v>1</v>
      </c>
      <c r="F69" s="43">
        <v>1</v>
      </c>
      <c r="G69" s="43">
        <v>1</v>
      </c>
      <c r="H69" s="43">
        <v>1</v>
      </c>
      <c r="I69" s="43">
        <v>1</v>
      </c>
      <c r="J69" s="43">
        <v>1</v>
      </c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2"/>
      <c r="CF69" s="52"/>
      <c r="CG69" s="52"/>
      <c r="CH69" s="52"/>
      <c r="CI69" s="52"/>
      <c r="CJ69" s="52"/>
      <c r="CK69" s="52"/>
      <c r="CL69" s="52"/>
      <c r="CM69" s="52"/>
    </row>
    <row r="70" spans="1:91" x14ac:dyDescent="0.15">
      <c r="A70" s="41">
        <v>68</v>
      </c>
      <c r="B70" s="43">
        <v>1</v>
      </c>
      <c r="C70" s="43">
        <v>1</v>
      </c>
      <c r="D70" s="43">
        <v>1</v>
      </c>
      <c r="E70" s="43">
        <v>1</v>
      </c>
      <c r="F70" s="43">
        <v>1</v>
      </c>
      <c r="G70" s="43">
        <v>1</v>
      </c>
      <c r="H70" s="43">
        <v>1</v>
      </c>
      <c r="I70" s="43">
        <v>1</v>
      </c>
      <c r="J70" s="43">
        <v>1</v>
      </c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2"/>
      <c r="CF70" s="52"/>
      <c r="CG70" s="52"/>
      <c r="CH70" s="52"/>
      <c r="CI70" s="52"/>
      <c r="CJ70" s="52"/>
      <c r="CK70" s="52"/>
      <c r="CL70" s="52"/>
      <c r="CM70" s="52"/>
    </row>
    <row r="71" spans="1:91" x14ac:dyDescent="0.15">
      <c r="A71" s="41">
        <v>69</v>
      </c>
      <c r="B71" s="43">
        <v>1</v>
      </c>
      <c r="C71" s="43">
        <v>1</v>
      </c>
      <c r="D71" s="43">
        <v>1</v>
      </c>
      <c r="E71" s="43">
        <v>1</v>
      </c>
      <c r="F71" s="43">
        <v>1</v>
      </c>
      <c r="G71" s="43">
        <v>1</v>
      </c>
      <c r="H71" s="43">
        <v>1</v>
      </c>
      <c r="I71" s="43">
        <v>1</v>
      </c>
      <c r="J71" s="43">
        <v>1</v>
      </c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2"/>
      <c r="CF71" s="52"/>
      <c r="CG71" s="52"/>
      <c r="CH71" s="52"/>
      <c r="CI71" s="52"/>
      <c r="CJ71" s="52"/>
      <c r="CK71" s="52"/>
      <c r="CL71" s="52"/>
      <c r="CM71" s="52"/>
    </row>
    <row r="72" spans="1:91" x14ac:dyDescent="0.15">
      <c r="A72" s="41">
        <v>70</v>
      </c>
      <c r="B72" s="43">
        <v>1</v>
      </c>
      <c r="C72" s="43">
        <v>1</v>
      </c>
      <c r="D72" s="43">
        <v>1</v>
      </c>
      <c r="E72" s="43">
        <v>1</v>
      </c>
      <c r="F72" s="43">
        <v>1</v>
      </c>
      <c r="G72" s="43">
        <v>1</v>
      </c>
      <c r="H72" s="43">
        <v>1</v>
      </c>
      <c r="I72" s="43">
        <v>1</v>
      </c>
      <c r="J72" s="43">
        <v>1</v>
      </c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2"/>
      <c r="CF72" s="52"/>
      <c r="CG72" s="52"/>
      <c r="CH72" s="52"/>
      <c r="CI72" s="52"/>
      <c r="CJ72" s="52"/>
      <c r="CK72" s="52"/>
      <c r="CL72" s="52"/>
      <c r="CM72" s="52"/>
    </row>
    <row r="73" spans="1:91" x14ac:dyDescent="0.15">
      <c r="A73" s="41">
        <v>71</v>
      </c>
      <c r="B73" s="43">
        <v>1</v>
      </c>
      <c r="C73" s="43">
        <v>1</v>
      </c>
      <c r="D73" s="43">
        <v>1</v>
      </c>
      <c r="E73" s="43">
        <v>1</v>
      </c>
      <c r="F73" s="43">
        <v>1</v>
      </c>
      <c r="G73" s="43">
        <v>1</v>
      </c>
      <c r="H73" s="43">
        <v>1</v>
      </c>
      <c r="I73" s="43">
        <v>1</v>
      </c>
      <c r="J73" s="43">
        <v>1</v>
      </c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2"/>
      <c r="CF73" s="52"/>
      <c r="CG73" s="52"/>
      <c r="CH73" s="52"/>
      <c r="CI73" s="52"/>
      <c r="CJ73" s="52"/>
      <c r="CK73" s="52"/>
      <c r="CL73" s="52"/>
      <c r="CM73" s="52"/>
    </row>
    <row r="74" spans="1:91" x14ac:dyDescent="0.15">
      <c r="A74" s="41">
        <v>72</v>
      </c>
      <c r="B74" s="43">
        <v>1</v>
      </c>
      <c r="C74" s="43">
        <v>1</v>
      </c>
      <c r="D74" s="43">
        <v>1</v>
      </c>
      <c r="E74" s="43">
        <v>1</v>
      </c>
      <c r="F74" s="43">
        <v>1</v>
      </c>
      <c r="G74" s="43">
        <v>1</v>
      </c>
      <c r="H74" s="43">
        <v>1</v>
      </c>
      <c r="I74" s="43">
        <v>1</v>
      </c>
      <c r="J74" s="43">
        <v>1</v>
      </c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2"/>
      <c r="CF74" s="52"/>
      <c r="CG74" s="52"/>
      <c r="CH74" s="52"/>
      <c r="CI74" s="52"/>
      <c r="CJ74" s="52"/>
      <c r="CK74" s="52"/>
      <c r="CL74" s="52"/>
      <c r="CM74" s="52"/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2"/>
      <c r="CF75" s="52"/>
      <c r="CG75" s="52"/>
      <c r="CH75" s="52"/>
      <c r="CI75" s="52"/>
      <c r="CJ75" s="52"/>
      <c r="CK75" s="52"/>
      <c r="CL75" s="52"/>
      <c r="CM75" s="52"/>
    </row>
    <row r="76" spans="1:91" x14ac:dyDescent="0.15">
      <c r="A76" s="41">
        <v>74</v>
      </c>
      <c r="B76" s="43">
        <v>1</v>
      </c>
      <c r="C76" s="43">
        <v>1</v>
      </c>
      <c r="D76" s="43">
        <v>1</v>
      </c>
      <c r="E76" s="43">
        <v>1</v>
      </c>
      <c r="F76" s="43">
        <v>1</v>
      </c>
      <c r="G76" s="43">
        <v>1</v>
      </c>
      <c r="H76" s="43">
        <v>1</v>
      </c>
      <c r="I76" s="43">
        <v>1</v>
      </c>
      <c r="J76" s="43">
        <v>1</v>
      </c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2"/>
      <c r="CF76" s="52"/>
      <c r="CG76" s="52"/>
      <c r="CH76" s="52"/>
      <c r="CI76" s="52"/>
      <c r="CJ76" s="52"/>
      <c r="CK76" s="52"/>
      <c r="CL76" s="52"/>
      <c r="CM76" s="52"/>
    </row>
    <row r="77" spans="1:91" x14ac:dyDescent="0.15">
      <c r="A77" s="41">
        <v>75</v>
      </c>
      <c r="B77" s="43">
        <v>1</v>
      </c>
      <c r="C77" s="43">
        <v>1</v>
      </c>
      <c r="D77" s="43">
        <v>1</v>
      </c>
      <c r="E77" s="43">
        <v>1</v>
      </c>
      <c r="F77" s="43">
        <v>1</v>
      </c>
      <c r="G77" s="43">
        <v>1</v>
      </c>
      <c r="H77" s="43">
        <v>1</v>
      </c>
      <c r="I77" s="43">
        <v>1</v>
      </c>
      <c r="J77" s="43">
        <v>1</v>
      </c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2"/>
      <c r="CF77" s="52"/>
      <c r="CG77" s="52"/>
      <c r="CH77" s="52"/>
      <c r="CI77" s="52"/>
      <c r="CJ77" s="52"/>
      <c r="CK77" s="52"/>
      <c r="CL77" s="52"/>
      <c r="CM77" s="52"/>
    </row>
    <row r="78" spans="1:91" x14ac:dyDescent="0.15">
      <c r="A78" s="41">
        <v>76</v>
      </c>
      <c r="B78" s="43">
        <v>1</v>
      </c>
      <c r="C78" s="43">
        <v>1</v>
      </c>
      <c r="D78" s="43">
        <v>1</v>
      </c>
      <c r="E78" s="43">
        <v>1</v>
      </c>
      <c r="F78" s="43">
        <v>1</v>
      </c>
      <c r="G78" s="43">
        <v>1</v>
      </c>
      <c r="H78" s="43">
        <v>1</v>
      </c>
      <c r="I78" s="43">
        <v>1</v>
      </c>
      <c r="J78" s="43">
        <v>1</v>
      </c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2"/>
      <c r="CF78" s="52"/>
      <c r="CG78" s="52"/>
      <c r="CH78" s="52"/>
      <c r="CI78" s="52"/>
      <c r="CJ78" s="52"/>
      <c r="CK78" s="52"/>
      <c r="CL78" s="52"/>
      <c r="CM78" s="52"/>
    </row>
    <row r="79" spans="1:91" x14ac:dyDescent="0.15">
      <c r="A79" s="41">
        <v>77</v>
      </c>
      <c r="B79" s="43">
        <v>1</v>
      </c>
      <c r="C79" s="43">
        <v>1</v>
      </c>
      <c r="D79" s="43">
        <v>1</v>
      </c>
      <c r="E79" s="43">
        <v>1</v>
      </c>
      <c r="F79" s="43">
        <v>1</v>
      </c>
      <c r="G79" s="43">
        <v>1</v>
      </c>
      <c r="H79" s="43">
        <v>1</v>
      </c>
      <c r="I79" s="43">
        <v>1</v>
      </c>
      <c r="J79" s="43">
        <v>1</v>
      </c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2"/>
      <c r="CF79" s="52"/>
      <c r="CG79" s="52"/>
      <c r="CH79" s="52"/>
      <c r="CI79" s="52"/>
      <c r="CJ79" s="52"/>
      <c r="CK79" s="52"/>
      <c r="CL79" s="52"/>
      <c r="CM79" s="52"/>
    </row>
    <row r="80" spans="1:91" x14ac:dyDescent="0.15">
      <c r="A80" s="41">
        <v>78</v>
      </c>
      <c r="B80" s="43">
        <v>1</v>
      </c>
      <c r="C80" s="43">
        <v>1</v>
      </c>
      <c r="D80" s="43">
        <v>1</v>
      </c>
      <c r="E80" s="43">
        <v>1</v>
      </c>
      <c r="F80" s="43">
        <v>1</v>
      </c>
      <c r="G80" s="43">
        <v>1</v>
      </c>
      <c r="H80" s="43">
        <v>1</v>
      </c>
      <c r="I80" s="43">
        <v>1</v>
      </c>
      <c r="J80" s="43">
        <v>1</v>
      </c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2"/>
      <c r="CF80" s="52"/>
      <c r="CG80" s="52"/>
      <c r="CH80" s="52"/>
      <c r="CI80" s="52"/>
      <c r="CJ80" s="52"/>
      <c r="CK80" s="52"/>
      <c r="CL80" s="52"/>
      <c r="CM80" s="52"/>
    </row>
    <row r="81" spans="1:91" x14ac:dyDescent="0.15">
      <c r="A81" s="41">
        <v>79</v>
      </c>
      <c r="B81" s="43">
        <v>1</v>
      </c>
      <c r="C81" s="43">
        <v>1</v>
      </c>
      <c r="D81" s="43">
        <v>1</v>
      </c>
      <c r="E81" s="43">
        <v>1</v>
      </c>
      <c r="F81" s="43">
        <v>1</v>
      </c>
      <c r="G81" s="43">
        <v>1</v>
      </c>
      <c r="H81" s="43">
        <v>1</v>
      </c>
      <c r="I81" s="43">
        <v>1</v>
      </c>
      <c r="J81" s="43">
        <v>1</v>
      </c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2"/>
      <c r="CF81" s="52"/>
      <c r="CG81" s="52"/>
      <c r="CH81" s="52"/>
      <c r="CI81" s="52"/>
      <c r="CJ81" s="52"/>
      <c r="CK81" s="52"/>
      <c r="CL81" s="52"/>
      <c r="CM81" s="52"/>
    </row>
    <row r="82" spans="1:91" x14ac:dyDescent="0.15">
      <c r="A82" s="41">
        <v>80</v>
      </c>
      <c r="B82" s="43">
        <v>1</v>
      </c>
      <c r="C82" s="43">
        <v>1</v>
      </c>
      <c r="D82" s="43">
        <v>1</v>
      </c>
      <c r="E82" s="43">
        <v>1</v>
      </c>
      <c r="F82" s="43">
        <v>1</v>
      </c>
      <c r="G82" s="43">
        <v>1</v>
      </c>
      <c r="H82" s="43">
        <v>1</v>
      </c>
      <c r="I82" s="43">
        <v>1</v>
      </c>
      <c r="J82" s="43">
        <v>1</v>
      </c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2"/>
      <c r="CF82" s="52"/>
      <c r="CG82" s="52"/>
      <c r="CH82" s="52"/>
      <c r="CI82" s="52"/>
      <c r="CJ82" s="52"/>
      <c r="CK82" s="52"/>
      <c r="CL82" s="52"/>
      <c r="CM82" s="52"/>
    </row>
    <row r="83" spans="1:91" x14ac:dyDescent="0.15">
      <c r="A83" s="41">
        <v>81</v>
      </c>
      <c r="B83" s="43">
        <v>1</v>
      </c>
      <c r="C83" s="43">
        <v>1</v>
      </c>
      <c r="D83" s="43">
        <v>1</v>
      </c>
      <c r="E83" s="43">
        <v>1</v>
      </c>
      <c r="F83" s="43">
        <v>1</v>
      </c>
      <c r="G83" s="43">
        <v>1</v>
      </c>
      <c r="H83" s="43">
        <v>1</v>
      </c>
      <c r="I83" s="43">
        <v>1</v>
      </c>
      <c r="J83" s="43">
        <v>1</v>
      </c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2"/>
      <c r="CF83" s="52"/>
      <c r="CG83" s="52"/>
      <c r="CH83" s="52"/>
      <c r="CI83" s="52"/>
      <c r="CJ83" s="52"/>
      <c r="CK83" s="52"/>
      <c r="CL83" s="52"/>
      <c r="CM83" s="52"/>
    </row>
    <row r="84" spans="1:91" x14ac:dyDescent="0.15">
      <c r="A84" s="41">
        <v>82</v>
      </c>
      <c r="B84" s="43">
        <v>1</v>
      </c>
      <c r="C84" s="43">
        <v>1</v>
      </c>
      <c r="D84" s="43">
        <v>1</v>
      </c>
      <c r="E84" s="43">
        <v>1</v>
      </c>
      <c r="F84" s="43">
        <v>1</v>
      </c>
      <c r="G84" s="43">
        <v>1</v>
      </c>
      <c r="H84" s="43">
        <v>1</v>
      </c>
      <c r="I84" s="43">
        <v>1</v>
      </c>
      <c r="J84" s="43">
        <v>1</v>
      </c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2"/>
      <c r="CF84" s="52"/>
      <c r="CG84" s="52"/>
      <c r="CH84" s="52"/>
      <c r="CI84" s="52"/>
      <c r="CJ84" s="52"/>
      <c r="CK84" s="52"/>
      <c r="CL84" s="52"/>
      <c r="CM84" s="52"/>
    </row>
    <row r="85" spans="1:91" x14ac:dyDescent="0.15">
      <c r="A85" s="41">
        <v>83</v>
      </c>
      <c r="B85" s="43">
        <v>1</v>
      </c>
      <c r="C85" s="43">
        <v>1</v>
      </c>
      <c r="D85" s="43">
        <v>1</v>
      </c>
      <c r="E85" s="43">
        <v>1</v>
      </c>
      <c r="F85" s="43">
        <v>1</v>
      </c>
      <c r="G85" s="43">
        <v>1</v>
      </c>
      <c r="H85" s="43">
        <v>1</v>
      </c>
      <c r="I85" s="43">
        <v>1</v>
      </c>
      <c r="J85" s="43">
        <v>1</v>
      </c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2"/>
      <c r="CF85" s="52"/>
      <c r="CG85" s="52"/>
      <c r="CH85" s="52"/>
      <c r="CI85" s="52"/>
      <c r="CJ85" s="52"/>
      <c r="CK85" s="52"/>
      <c r="CL85" s="52"/>
      <c r="CM85" s="52"/>
    </row>
    <row r="86" spans="1:91" x14ac:dyDescent="0.15">
      <c r="A86" s="41">
        <v>84</v>
      </c>
      <c r="B86" s="43">
        <v>1</v>
      </c>
      <c r="C86" s="43">
        <v>1</v>
      </c>
      <c r="D86" s="43">
        <v>1</v>
      </c>
      <c r="E86" s="43">
        <v>1</v>
      </c>
      <c r="F86" s="43">
        <v>1</v>
      </c>
      <c r="G86" s="43">
        <v>1</v>
      </c>
      <c r="H86" s="43">
        <v>1</v>
      </c>
      <c r="I86" s="43">
        <v>1</v>
      </c>
      <c r="J86" s="43">
        <v>1</v>
      </c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2"/>
      <c r="CF86" s="52"/>
      <c r="CG86" s="52"/>
      <c r="CH86" s="52"/>
      <c r="CI86" s="52"/>
      <c r="CJ86" s="52"/>
      <c r="CK86" s="52"/>
      <c r="CL86" s="52"/>
      <c r="CM86" s="52"/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2"/>
      <c r="CF87" s="52"/>
      <c r="CG87" s="52"/>
      <c r="CH87" s="52"/>
      <c r="CI87" s="52"/>
      <c r="CJ87" s="52"/>
      <c r="CK87" s="52"/>
      <c r="CL87" s="52"/>
      <c r="CM87" s="52"/>
    </row>
    <row r="88" spans="1:91" x14ac:dyDescent="0.15">
      <c r="A88" s="41">
        <v>86</v>
      </c>
      <c r="B88" s="43">
        <v>1</v>
      </c>
      <c r="C88" s="43">
        <v>1</v>
      </c>
      <c r="D88" s="43">
        <v>1</v>
      </c>
      <c r="E88" s="43">
        <v>1</v>
      </c>
      <c r="F88" s="43">
        <v>1</v>
      </c>
      <c r="G88" s="43">
        <v>1</v>
      </c>
      <c r="H88" s="43">
        <v>1</v>
      </c>
      <c r="I88" s="43">
        <v>1</v>
      </c>
      <c r="J88" s="43">
        <v>1</v>
      </c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2"/>
      <c r="CF88" s="52"/>
      <c r="CG88" s="52"/>
      <c r="CH88" s="52"/>
      <c r="CI88" s="52"/>
      <c r="CJ88" s="52"/>
      <c r="CK88" s="52"/>
      <c r="CL88" s="52"/>
      <c r="CM88" s="52"/>
    </row>
    <row r="89" spans="1:91" x14ac:dyDescent="0.15">
      <c r="A89" s="41">
        <v>87</v>
      </c>
      <c r="B89" s="43">
        <v>1</v>
      </c>
      <c r="C89" s="43">
        <v>1</v>
      </c>
      <c r="D89" s="43">
        <v>1</v>
      </c>
      <c r="E89" s="43">
        <v>1</v>
      </c>
      <c r="F89" s="43">
        <v>1</v>
      </c>
      <c r="G89" s="43">
        <v>1</v>
      </c>
      <c r="H89" s="43">
        <v>1</v>
      </c>
      <c r="I89" s="43">
        <v>1</v>
      </c>
      <c r="J89" s="43">
        <v>1</v>
      </c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2"/>
      <c r="CF89" s="52"/>
      <c r="CG89" s="52"/>
      <c r="CH89" s="52"/>
      <c r="CI89" s="52"/>
      <c r="CJ89" s="52"/>
      <c r="CK89" s="52"/>
      <c r="CL89" s="52"/>
      <c r="CM89" s="52"/>
    </row>
    <row r="90" spans="1:91" x14ac:dyDescent="0.15">
      <c r="A90" s="41">
        <v>88</v>
      </c>
      <c r="B90" s="43">
        <v>1</v>
      </c>
      <c r="C90" s="43">
        <v>1</v>
      </c>
      <c r="D90" s="43">
        <v>1</v>
      </c>
      <c r="E90" s="43">
        <v>1</v>
      </c>
      <c r="F90" s="43">
        <v>1</v>
      </c>
      <c r="G90" s="43">
        <v>1</v>
      </c>
      <c r="H90" s="43">
        <v>1</v>
      </c>
      <c r="I90" s="43">
        <v>1</v>
      </c>
      <c r="J90" s="43">
        <v>1</v>
      </c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2"/>
      <c r="CF90" s="52"/>
      <c r="CG90" s="52"/>
      <c r="CH90" s="52"/>
      <c r="CI90" s="52"/>
      <c r="CJ90" s="52"/>
      <c r="CK90" s="52"/>
      <c r="CL90" s="52"/>
      <c r="CM90" s="52"/>
    </row>
    <row r="91" spans="1:91" x14ac:dyDescent="0.15">
      <c r="A91" s="41">
        <v>89</v>
      </c>
      <c r="B91" s="43">
        <v>1</v>
      </c>
      <c r="C91" s="43">
        <v>1</v>
      </c>
      <c r="D91" s="43">
        <v>1</v>
      </c>
      <c r="E91" s="43">
        <v>1</v>
      </c>
      <c r="F91" s="43">
        <v>1</v>
      </c>
      <c r="G91" s="43">
        <v>1</v>
      </c>
      <c r="H91" s="43">
        <v>1</v>
      </c>
      <c r="I91" s="43">
        <v>1</v>
      </c>
      <c r="J91" s="43">
        <v>1</v>
      </c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2"/>
      <c r="CF91" s="52"/>
      <c r="CG91" s="52"/>
      <c r="CH91" s="52"/>
      <c r="CI91" s="52"/>
      <c r="CJ91" s="52"/>
      <c r="CK91" s="52"/>
      <c r="CL91" s="52"/>
      <c r="CM91" s="52"/>
    </row>
    <row r="92" spans="1:91" x14ac:dyDescent="0.15">
      <c r="A92" s="41">
        <v>90</v>
      </c>
      <c r="B92" s="43">
        <v>1</v>
      </c>
      <c r="C92" s="43">
        <v>1</v>
      </c>
      <c r="D92" s="43">
        <v>1</v>
      </c>
      <c r="E92" s="43">
        <v>1</v>
      </c>
      <c r="F92" s="43">
        <v>1</v>
      </c>
      <c r="G92" s="43">
        <v>1</v>
      </c>
      <c r="H92" s="43">
        <v>1</v>
      </c>
      <c r="I92" s="43">
        <v>1</v>
      </c>
      <c r="J92" s="43">
        <v>1</v>
      </c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2"/>
      <c r="CF92" s="52"/>
      <c r="CG92" s="52"/>
      <c r="CH92" s="52"/>
      <c r="CI92" s="52"/>
      <c r="CJ92" s="52"/>
      <c r="CK92" s="52"/>
      <c r="CL92" s="52"/>
      <c r="CM92" s="52"/>
    </row>
    <row r="93" spans="1:91" x14ac:dyDescent="0.15">
      <c r="A93" s="41">
        <v>91</v>
      </c>
      <c r="B93" s="43">
        <v>1</v>
      </c>
      <c r="C93" s="43">
        <v>1</v>
      </c>
      <c r="D93" s="43">
        <v>1</v>
      </c>
      <c r="E93" s="43">
        <v>1</v>
      </c>
      <c r="F93" s="43">
        <v>1</v>
      </c>
      <c r="G93" s="43">
        <v>1</v>
      </c>
      <c r="H93" s="43">
        <v>1</v>
      </c>
      <c r="I93" s="43">
        <v>1</v>
      </c>
      <c r="J93" s="43">
        <v>1</v>
      </c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2"/>
      <c r="CF93" s="52"/>
      <c r="CG93" s="52"/>
      <c r="CH93" s="52"/>
      <c r="CI93" s="52"/>
      <c r="CJ93" s="52"/>
      <c r="CK93" s="52"/>
      <c r="CL93" s="52"/>
      <c r="CM93" s="52"/>
    </row>
    <row r="94" spans="1:91" x14ac:dyDescent="0.15">
      <c r="A94" s="41">
        <v>92</v>
      </c>
      <c r="B94" s="43">
        <v>1</v>
      </c>
      <c r="C94" s="43">
        <v>1</v>
      </c>
      <c r="D94" s="43">
        <v>1</v>
      </c>
      <c r="E94" s="43">
        <v>1</v>
      </c>
      <c r="F94" s="43">
        <v>1</v>
      </c>
      <c r="G94" s="43">
        <v>1</v>
      </c>
      <c r="H94" s="43">
        <v>1</v>
      </c>
      <c r="I94" s="43">
        <v>1</v>
      </c>
      <c r="J94" s="43">
        <v>1</v>
      </c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2"/>
      <c r="CF94" s="52"/>
      <c r="CG94" s="52"/>
      <c r="CH94" s="52"/>
      <c r="CI94" s="52"/>
      <c r="CJ94" s="52"/>
      <c r="CK94" s="52"/>
      <c r="CL94" s="52"/>
      <c r="CM94" s="52"/>
    </row>
    <row r="95" spans="1:91" x14ac:dyDescent="0.15">
      <c r="A95" s="41">
        <v>93</v>
      </c>
      <c r="B95" s="43">
        <v>1</v>
      </c>
      <c r="C95" s="43">
        <v>1</v>
      </c>
      <c r="D95" s="43">
        <v>1</v>
      </c>
      <c r="E95" s="43">
        <v>1</v>
      </c>
      <c r="F95" s="43">
        <v>1</v>
      </c>
      <c r="G95" s="43">
        <v>1</v>
      </c>
      <c r="H95" s="43">
        <v>1</v>
      </c>
      <c r="I95" s="43">
        <v>1</v>
      </c>
      <c r="J95" s="43">
        <v>1</v>
      </c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2"/>
      <c r="CF95" s="52"/>
      <c r="CG95" s="52"/>
      <c r="CH95" s="52"/>
      <c r="CI95" s="52"/>
      <c r="CJ95" s="52"/>
      <c r="CK95" s="52"/>
      <c r="CL95" s="52"/>
      <c r="CM95" s="52"/>
    </row>
    <row r="96" spans="1:91" x14ac:dyDescent="0.15">
      <c r="A96" s="41">
        <v>94</v>
      </c>
      <c r="B96" s="43">
        <v>1</v>
      </c>
      <c r="C96" s="43">
        <v>1</v>
      </c>
      <c r="D96" s="43">
        <v>1</v>
      </c>
      <c r="E96" s="43">
        <v>1</v>
      </c>
      <c r="F96" s="43">
        <v>1</v>
      </c>
      <c r="G96" s="43">
        <v>1</v>
      </c>
      <c r="H96" s="43">
        <v>1</v>
      </c>
      <c r="I96" s="43">
        <v>1</v>
      </c>
      <c r="J96" s="43">
        <v>1</v>
      </c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2"/>
      <c r="CF96" s="52"/>
      <c r="CG96" s="52"/>
      <c r="CH96" s="52"/>
      <c r="CI96" s="52"/>
      <c r="CJ96" s="52"/>
      <c r="CK96" s="52"/>
      <c r="CL96" s="52"/>
      <c r="CM96" s="52"/>
    </row>
    <row r="97" spans="1:91" x14ac:dyDescent="0.15">
      <c r="A97" s="41">
        <v>95</v>
      </c>
      <c r="B97" s="43">
        <v>1</v>
      </c>
      <c r="C97" s="43">
        <v>1</v>
      </c>
      <c r="D97" s="43">
        <v>1</v>
      </c>
      <c r="E97" s="43">
        <v>1</v>
      </c>
      <c r="F97" s="43">
        <v>1</v>
      </c>
      <c r="G97" s="43">
        <v>1</v>
      </c>
      <c r="H97" s="43">
        <v>1</v>
      </c>
      <c r="I97" s="43">
        <v>1</v>
      </c>
      <c r="J97" s="43">
        <v>1</v>
      </c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2"/>
      <c r="CF97" s="52"/>
      <c r="CG97" s="52"/>
      <c r="CH97" s="52"/>
      <c r="CI97" s="52"/>
      <c r="CJ97" s="52"/>
      <c r="CK97" s="52"/>
      <c r="CL97" s="52"/>
      <c r="CM97" s="52"/>
    </row>
    <row r="98" spans="1:91" x14ac:dyDescent="0.15">
      <c r="A98" s="41">
        <v>96</v>
      </c>
      <c r="B98" s="43">
        <v>1</v>
      </c>
      <c r="C98" s="43">
        <v>1</v>
      </c>
      <c r="D98" s="43">
        <v>1</v>
      </c>
      <c r="E98" s="43">
        <v>1</v>
      </c>
      <c r="F98" s="43">
        <v>1</v>
      </c>
      <c r="G98" s="43">
        <v>1</v>
      </c>
      <c r="H98" s="43">
        <v>1</v>
      </c>
      <c r="I98" s="43">
        <v>1</v>
      </c>
      <c r="J98" s="43">
        <v>1</v>
      </c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2"/>
      <c r="CF98" s="52"/>
      <c r="CG98" s="52"/>
      <c r="CH98" s="52"/>
      <c r="CI98" s="52"/>
      <c r="CJ98" s="52"/>
      <c r="CK98" s="52"/>
      <c r="CL98" s="52"/>
      <c r="CM98" s="52"/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2"/>
      <c r="CF99" s="52"/>
      <c r="CG99" s="52"/>
      <c r="CH99" s="52"/>
      <c r="CI99" s="52"/>
      <c r="CJ99" s="52"/>
      <c r="CK99" s="52"/>
      <c r="CL99" s="52"/>
      <c r="CM99" s="52"/>
    </row>
    <row r="100" spans="1:91" x14ac:dyDescent="0.15">
      <c r="A100" s="41">
        <v>98</v>
      </c>
      <c r="B100" s="43">
        <v>1</v>
      </c>
      <c r="C100" s="43">
        <v>1</v>
      </c>
      <c r="D100" s="43">
        <v>1</v>
      </c>
      <c r="E100" s="43">
        <v>1</v>
      </c>
      <c r="F100" s="43">
        <v>1</v>
      </c>
      <c r="G100" s="43">
        <v>1</v>
      </c>
      <c r="H100" s="43">
        <v>1</v>
      </c>
      <c r="I100" s="43">
        <v>1</v>
      </c>
      <c r="J100" s="43">
        <v>1</v>
      </c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2"/>
      <c r="CF100" s="52"/>
      <c r="CG100" s="52"/>
      <c r="CH100" s="52"/>
      <c r="CI100" s="52"/>
      <c r="CJ100" s="52"/>
      <c r="CK100" s="52"/>
      <c r="CL100" s="52"/>
      <c r="CM100" s="52"/>
    </row>
    <row r="101" spans="1:91" x14ac:dyDescent="0.15">
      <c r="A101" s="41">
        <v>99</v>
      </c>
      <c r="B101" s="43">
        <v>1</v>
      </c>
      <c r="C101" s="43">
        <v>1</v>
      </c>
      <c r="D101" s="43">
        <v>1</v>
      </c>
      <c r="E101" s="43">
        <v>1</v>
      </c>
      <c r="F101" s="43">
        <v>1</v>
      </c>
      <c r="G101" s="43">
        <v>1</v>
      </c>
      <c r="H101" s="43">
        <v>1</v>
      </c>
      <c r="I101" s="43">
        <v>1</v>
      </c>
      <c r="J101" s="43">
        <v>1</v>
      </c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2"/>
      <c r="CF101" s="52"/>
      <c r="CG101" s="52"/>
      <c r="CH101" s="52"/>
      <c r="CI101" s="52"/>
      <c r="CJ101" s="52"/>
      <c r="CK101" s="52"/>
      <c r="CL101" s="52"/>
      <c r="CM101" s="52"/>
    </row>
    <row r="102" spans="1:91" x14ac:dyDescent="0.15">
      <c r="A102" s="41">
        <v>100</v>
      </c>
      <c r="B102" s="43">
        <v>1</v>
      </c>
      <c r="C102" s="43">
        <v>1</v>
      </c>
      <c r="D102" s="43">
        <v>1</v>
      </c>
      <c r="E102" s="43">
        <v>1</v>
      </c>
      <c r="F102" s="43">
        <v>1</v>
      </c>
      <c r="G102" s="43">
        <v>1</v>
      </c>
      <c r="H102" s="43">
        <v>1</v>
      </c>
      <c r="I102" s="43">
        <v>1</v>
      </c>
      <c r="J102" s="43">
        <v>1</v>
      </c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2"/>
      <c r="CF102" s="52"/>
      <c r="CG102" s="52"/>
      <c r="CH102" s="52"/>
      <c r="CI102" s="52"/>
      <c r="CJ102" s="52"/>
      <c r="CK102" s="52"/>
      <c r="CL102" s="52"/>
      <c r="CM102" s="52"/>
    </row>
    <row r="103" spans="1:91" x14ac:dyDescent="0.15">
      <c r="A103" s="41">
        <v>101</v>
      </c>
      <c r="B103" s="43">
        <v>1</v>
      </c>
      <c r="C103" s="43">
        <v>1</v>
      </c>
      <c r="D103" s="43">
        <v>1</v>
      </c>
      <c r="E103" s="43">
        <v>1</v>
      </c>
      <c r="F103" s="43">
        <v>1</v>
      </c>
      <c r="G103" s="43">
        <v>1</v>
      </c>
      <c r="H103" s="43">
        <v>1</v>
      </c>
      <c r="I103" s="43">
        <v>1</v>
      </c>
      <c r="J103" s="43">
        <v>1</v>
      </c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2"/>
      <c r="CF103" s="52"/>
      <c r="CG103" s="52"/>
      <c r="CH103" s="52"/>
      <c r="CI103" s="52"/>
      <c r="CJ103" s="52"/>
      <c r="CK103" s="52"/>
      <c r="CL103" s="52"/>
      <c r="CM103" s="52"/>
    </row>
    <row r="104" spans="1:91" x14ac:dyDescent="0.15">
      <c r="A104" s="41">
        <v>102</v>
      </c>
      <c r="B104" s="43">
        <v>1</v>
      </c>
      <c r="C104" s="43">
        <v>1</v>
      </c>
      <c r="D104" s="43">
        <v>1</v>
      </c>
      <c r="E104" s="43">
        <v>1</v>
      </c>
      <c r="F104" s="43">
        <v>1</v>
      </c>
      <c r="G104" s="43">
        <v>1</v>
      </c>
      <c r="H104" s="43">
        <v>1</v>
      </c>
      <c r="I104" s="43">
        <v>1</v>
      </c>
      <c r="J104" s="43">
        <v>1</v>
      </c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2"/>
      <c r="CF104" s="52"/>
      <c r="CG104" s="52"/>
      <c r="CH104" s="52"/>
      <c r="CI104" s="52"/>
      <c r="CJ104" s="52"/>
      <c r="CK104" s="52"/>
      <c r="CL104" s="52"/>
      <c r="CM104" s="52"/>
    </row>
    <row r="105" spans="1:91" x14ac:dyDescent="0.15">
      <c r="A105" s="41">
        <v>103</v>
      </c>
      <c r="B105" s="43">
        <v>1</v>
      </c>
      <c r="C105" s="43">
        <v>1</v>
      </c>
      <c r="D105" s="43">
        <v>1</v>
      </c>
      <c r="E105" s="43">
        <v>1</v>
      </c>
      <c r="F105" s="43">
        <v>1</v>
      </c>
      <c r="G105" s="43">
        <v>1</v>
      </c>
      <c r="H105" s="43">
        <v>1</v>
      </c>
      <c r="I105" s="43">
        <v>1</v>
      </c>
      <c r="J105" s="43">
        <v>1</v>
      </c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2"/>
      <c r="CF105" s="52"/>
      <c r="CG105" s="52"/>
      <c r="CH105" s="52"/>
      <c r="CI105" s="52"/>
      <c r="CJ105" s="52"/>
      <c r="CK105" s="52"/>
      <c r="CL105" s="52"/>
      <c r="CM105" s="52"/>
    </row>
    <row r="106" spans="1:91" x14ac:dyDescent="0.15">
      <c r="A106" s="41">
        <v>104</v>
      </c>
      <c r="B106" s="43">
        <v>1</v>
      </c>
      <c r="C106" s="43">
        <v>1</v>
      </c>
      <c r="D106" s="43">
        <v>1</v>
      </c>
      <c r="E106" s="43">
        <v>1</v>
      </c>
      <c r="F106" s="43">
        <v>1</v>
      </c>
      <c r="G106" s="43">
        <v>1</v>
      </c>
      <c r="H106" s="43">
        <v>1</v>
      </c>
      <c r="I106" s="43">
        <v>1</v>
      </c>
      <c r="J106" s="43">
        <v>1</v>
      </c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2"/>
      <c r="CF106" s="52"/>
      <c r="CG106" s="52"/>
      <c r="CH106" s="52"/>
      <c r="CI106" s="52"/>
      <c r="CJ106" s="52"/>
      <c r="CK106" s="52"/>
      <c r="CL106" s="52"/>
      <c r="CM106" s="52"/>
    </row>
    <row r="107" spans="1:91" x14ac:dyDescent="0.15">
      <c r="A107" s="41">
        <v>105</v>
      </c>
      <c r="B107" s="43">
        <v>1</v>
      </c>
      <c r="C107" s="43">
        <v>1</v>
      </c>
      <c r="D107" s="43">
        <v>1</v>
      </c>
      <c r="E107" s="43">
        <v>1</v>
      </c>
      <c r="F107" s="43">
        <v>1</v>
      </c>
      <c r="G107" s="43">
        <v>1</v>
      </c>
      <c r="H107" s="43">
        <v>1</v>
      </c>
      <c r="I107" s="43">
        <v>1</v>
      </c>
      <c r="J107" s="43">
        <v>1</v>
      </c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2"/>
      <c r="CF107" s="52"/>
      <c r="CG107" s="52"/>
      <c r="CH107" s="52"/>
      <c r="CI107" s="52"/>
      <c r="CJ107" s="52"/>
      <c r="CK107" s="52"/>
      <c r="CL107" s="52"/>
      <c r="CM107" s="52"/>
    </row>
    <row r="108" spans="1:91" x14ac:dyDescent="0.15">
      <c r="A108" s="41">
        <v>106</v>
      </c>
      <c r="B108" s="43">
        <v>1</v>
      </c>
      <c r="C108" s="43">
        <v>1</v>
      </c>
      <c r="D108" s="43">
        <v>1</v>
      </c>
      <c r="E108" s="43">
        <v>1</v>
      </c>
      <c r="F108" s="43">
        <v>1</v>
      </c>
      <c r="G108" s="43">
        <v>1</v>
      </c>
      <c r="H108" s="43">
        <v>1</v>
      </c>
      <c r="I108" s="43">
        <v>1</v>
      </c>
      <c r="J108" s="43">
        <v>1</v>
      </c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2"/>
      <c r="CF108" s="52"/>
      <c r="CG108" s="52"/>
      <c r="CH108" s="52"/>
      <c r="CI108" s="52"/>
      <c r="CJ108" s="52"/>
      <c r="CK108" s="52"/>
      <c r="CL108" s="52"/>
      <c r="CM108" s="52"/>
    </row>
    <row r="109" spans="1:91" x14ac:dyDescent="0.15">
      <c r="A109" s="41">
        <v>107</v>
      </c>
      <c r="B109" s="43">
        <v>1</v>
      </c>
      <c r="C109" s="43">
        <v>1</v>
      </c>
      <c r="D109" s="43">
        <v>1</v>
      </c>
      <c r="E109" s="43">
        <v>1</v>
      </c>
      <c r="F109" s="43">
        <v>1</v>
      </c>
      <c r="G109" s="43">
        <v>1</v>
      </c>
      <c r="H109" s="43">
        <v>1</v>
      </c>
      <c r="I109" s="43">
        <v>1</v>
      </c>
      <c r="J109" s="43">
        <v>1</v>
      </c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2"/>
      <c r="CF109" s="52"/>
      <c r="CG109" s="52"/>
      <c r="CH109" s="52"/>
      <c r="CI109" s="52"/>
      <c r="CJ109" s="52"/>
      <c r="CK109" s="52"/>
      <c r="CL109" s="52"/>
      <c r="CM109" s="52"/>
    </row>
    <row r="110" spans="1:91" x14ac:dyDescent="0.15">
      <c r="A110" s="41">
        <v>108</v>
      </c>
      <c r="B110" s="43">
        <v>1</v>
      </c>
      <c r="C110" s="43">
        <v>1</v>
      </c>
      <c r="D110" s="43">
        <v>1</v>
      </c>
      <c r="E110" s="43">
        <v>1</v>
      </c>
      <c r="F110" s="43">
        <v>1</v>
      </c>
      <c r="G110" s="43">
        <v>1</v>
      </c>
      <c r="H110" s="43">
        <v>1</v>
      </c>
      <c r="I110" s="43">
        <v>1</v>
      </c>
      <c r="J110" s="43">
        <v>1</v>
      </c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2"/>
      <c r="CF110" s="52"/>
      <c r="CG110" s="52"/>
      <c r="CH110" s="52"/>
      <c r="CI110" s="52"/>
      <c r="CJ110" s="52"/>
      <c r="CK110" s="52"/>
      <c r="CL110" s="52"/>
      <c r="CM110" s="52"/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2"/>
      <c r="CF111" s="52"/>
      <c r="CG111" s="52"/>
      <c r="CH111" s="52"/>
      <c r="CI111" s="52"/>
      <c r="CJ111" s="52"/>
      <c r="CK111" s="52"/>
      <c r="CL111" s="52"/>
      <c r="CM111" s="52"/>
    </row>
    <row r="112" spans="1:91" x14ac:dyDescent="0.15">
      <c r="A112" s="41">
        <v>110</v>
      </c>
      <c r="B112" s="43">
        <v>1</v>
      </c>
      <c r="C112" s="43">
        <v>1</v>
      </c>
      <c r="D112" s="43">
        <v>1</v>
      </c>
      <c r="E112" s="43">
        <v>1</v>
      </c>
      <c r="F112" s="43">
        <v>1</v>
      </c>
      <c r="G112" s="43">
        <v>1</v>
      </c>
      <c r="H112" s="43">
        <v>1</v>
      </c>
      <c r="I112" s="43">
        <v>1</v>
      </c>
      <c r="J112" s="43">
        <v>1</v>
      </c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2"/>
      <c r="CF112" s="52"/>
      <c r="CG112" s="52"/>
      <c r="CH112" s="52"/>
      <c r="CI112" s="52"/>
      <c r="CJ112" s="52"/>
      <c r="CK112" s="52"/>
      <c r="CL112" s="52"/>
      <c r="CM112" s="52"/>
    </row>
    <row r="113" spans="1:91" x14ac:dyDescent="0.15">
      <c r="A113" s="41">
        <v>111</v>
      </c>
      <c r="B113" s="43">
        <v>1</v>
      </c>
      <c r="C113" s="43">
        <v>1</v>
      </c>
      <c r="D113" s="43">
        <v>1</v>
      </c>
      <c r="E113" s="43">
        <v>1</v>
      </c>
      <c r="F113" s="43">
        <v>1</v>
      </c>
      <c r="G113" s="43">
        <v>1</v>
      </c>
      <c r="H113" s="43">
        <v>1</v>
      </c>
      <c r="I113" s="43">
        <v>1</v>
      </c>
      <c r="J113" s="43">
        <v>1</v>
      </c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2"/>
      <c r="CF113" s="52"/>
      <c r="CG113" s="52"/>
      <c r="CH113" s="52"/>
      <c r="CI113" s="52"/>
      <c r="CJ113" s="52"/>
      <c r="CK113" s="52"/>
      <c r="CL113" s="52"/>
      <c r="CM113" s="52"/>
    </row>
    <row r="114" spans="1:91" x14ac:dyDescent="0.15">
      <c r="A114" s="41">
        <v>112</v>
      </c>
      <c r="B114" s="43">
        <v>1</v>
      </c>
      <c r="C114" s="43">
        <v>1</v>
      </c>
      <c r="D114" s="43">
        <v>1</v>
      </c>
      <c r="E114" s="43">
        <v>1</v>
      </c>
      <c r="F114" s="43">
        <v>1</v>
      </c>
      <c r="G114" s="43">
        <v>1</v>
      </c>
      <c r="H114" s="43">
        <v>1</v>
      </c>
      <c r="I114" s="43">
        <v>1</v>
      </c>
      <c r="J114" s="43">
        <v>1</v>
      </c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2"/>
      <c r="CF114" s="52"/>
      <c r="CG114" s="52"/>
      <c r="CH114" s="52"/>
      <c r="CI114" s="52"/>
      <c r="CJ114" s="52"/>
      <c r="CK114" s="52"/>
      <c r="CL114" s="52"/>
      <c r="CM114" s="52"/>
    </row>
    <row r="115" spans="1:91" x14ac:dyDescent="0.15">
      <c r="A115" s="41">
        <v>113</v>
      </c>
      <c r="B115" s="43">
        <v>1</v>
      </c>
      <c r="C115" s="43">
        <v>1</v>
      </c>
      <c r="D115" s="43">
        <v>1</v>
      </c>
      <c r="E115" s="43">
        <v>1</v>
      </c>
      <c r="F115" s="43">
        <v>1</v>
      </c>
      <c r="G115" s="43">
        <v>1</v>
      </c>
      <c r="H115" s="43">
        <v>1</v>
      </c>
      <c r="I115" s="43">
        <v>1</v>
      </c>
      <c r="J115" s="43">
        <v>1</v>
      </c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2"/>
      <c r="CF115" s="52"/>
      <c r="CG115" s="52"/>
      <c r="CH115" s="52"/>
      <c r="CI115" s="52"/>
      <c r="CJ115" s="52"/>
      <c r="CK115" s="52"/>
      <c r="CL115" s="52"/>
      <c r="CM115" s="52"/>
    </row>
    <row r="116" spans="1:91" x14ac:dyDescent="0.15">
      <c r="A116" s="41">
        <v>114</v>
      </c>
      <c r="B116" s="43">
        <v>1</v>
      </c>
      <c r="C116" s="43">
        <v>1</v>
      </c>
      <c r="D116" s="43">
        <v>1</v>
      </c>
      <c r="E116" s="43">
        <v>1</v>
      </c>
      <c r="F116" s="43">
        <v>1</v>
      </c>
      <c r="G116" s="43">
        <v>1</v>
      </c>
      <c r="H116" s="43">
        <v>1</v>
      </c>
      <c r="I116" s="43">
        <v>1</v>
      </c>
      <c r="J116" s="43">
        <v>1</v>
      </c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2"/>
      <c r="CF116" s="52"/>
      <c r="CG116" s="52"/>
      <c r="CH116" s="52"/>
      <c r="CI116" s="52"/>
      <c r="CJ116" s="52"/>
      <c r="CK116" s="52"/>
      <c r="CL116" s="52"/>
      <c r="CM116" s="52"/>
    </row>
    <row r="117" spans="1:91" x14ac:dyDescent="0.15">
      <c r="A117" s="41">
        <v>115</v>
      </c>
      <c r="B117" s="43">
        <v>1</v>
      </c>
      <c r="C117" s="43">
        <v>1</v>
      </c>
      <c r="D117" s="43">
        <v>1</v>
      </c>
      <c r="E117" s="43">
        <v>1</v>
      </c>
      <c r="F117" s="43">
        <v>1</v>
      </c>
      <c r="G117" s="43">
        <v>1</v>
      </c>
      <c r="H117" s="43">
        <v>1</v>
      </c>
      <c r="I117" s="43">
        <v>1</v>
      </c>
      <c r="J117" s="43">
        <v>1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2"/>
      <c r="CF117" s="52"/>
      <c r="CG117" s="52"/>
      <c r="CH117" s="52"/>
      <c r="CI117" s="52"/>
      <c r="CJ117" s="52"/>
      <c r="CK117" s="52"/>
      <c r="CL117" s="52"/>
      <c r="CM117" s="52"/>
    </row>
    <row r="118" spans="1:91" x14ac:dyDescent="0.15">
      <c r="A118" s="41">
        <v>116</v>
      </c>
      <c r="B118" s="43">
        <v>1</v>
      </c>
      <c r="C118" s="43">
        <v>1</v>
      </c>
      <c r="D118" s="43">
        <v>1</v>
      </c>
      <c r="E118" s="43">
        <v>1</v>
      </c>
      <c r="F118" s="43">
        <v>1</v>
      </c>
      <c r="G118" s="43">
        <v>1</v>
      </c>
      <c r="H118" s="43">
        <v>1</v>
      </c>
      <c r="I118" s="43">
        <v>1</v>
      </c>
      <c r="J118" s="43">
        <v>1</v>
      </c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2"/>
      <c r="CF118" s="52"/>
      <c r="CG118" s="52"/>
      <c r="CH118" s="52"/>
      <c r="CI118" s="52"/>
      <c r="CJ118" s="52"/>
      <c r="CK118" s="52"/>
      <c r="CL118" s="52"/>
      <c r="CM118" s="52"/>
    </row>
    <row r="119" spans="1:91" x14ac:dyDescent="0.15">
      <c r="A119" s="41">
        <v>117</v>
      </c>
      <c r="B119" s="43">
        <v>1</v>
      </c>
      <c r="C119" s="43">
        <v>1</v>
      </c>
      <c r="D119" s="43">
        <v>1</v>
      </c>
      <c r="E119" s="43">
        <v>1</v>
      </c>
      <c r="F119" s="43">
        <v>1</v>
      </c>
      <c r="G119" s="43">
        <v>1</v>
      </c>
      <c r="H119" s="43">
        <v>1</v>
      </c>
      <c r="I119" s="43">
        <v>1</v>
      </c>
      <c r="J119" s="43">
        <v>1</v>
      </c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2"/>
      <c r="CF119" s="52"/>
      <c r="CG119" s="52"/>
      <c r="CH119" s="52"/>
      <c r="CI119" s="52"/>
      <c r="CJ119" s="52"/>
      <c r="CK119" s="52"/>
      <c r="CL119" s="52"/>
      <c r="CM119" s="52"/>
    </row>
    <row r="120" spans="1:91" x14ac:dyDescent="0.15">
      <c r="A120" s="41">
        <v>118</v>
      </c>
      <c r="B120" s="43">
        <v>1</v>
      </c>
      <c r="C120" s="43">
        <v>1</v>
      </c>
      <c r="D120" s="43">
        <v>1</v>
      </c>
      <c r="E120" s="43">
        <v>1</v>
      </c>
      <c r="F120" s="43">
        <v>1</v>
      </c>
      <c r="G120" s="43">
        <v>1</v>
      </c>
      <c r="H120" s="43">
        <v>1</v>
      </c>
      <c r="I120" s="43">
        <v>1</v>
      </c>
      <c r="J120" s="43">
        <v>1</v>
      </c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2"/>
      <c r="CF120" s="52"/>
      <c r="CG120" s="52"/>
      <c r="CH120" s="52"/>
      <c r="CI120" s="52"/>
      <c r="CJ120" s="52"/>
      <c r="CK120" s="52"/>
      <c r="CL120" s="52"/>
      <c r="CM120" s="52"/>
    </row>
    <row r="121" spans="1:91" x14ac:dyDescent="0.15">
      <c r="A121" s="41">
        <v>119</v>
      </c>
      <c r="B121" s="43">
        <v>1</v>
      </c>
      <c r="C121" s="43">
        <v>1</v>
      </c>
      <c r="D121" s="43">
        <v>1</v>
      </c>
      <c r="E121" s="43">
        <v>1</v>
      </c>
      <c r="F121" s="43">
        <v>1</v>
      </c>
      <c r="G121" s="43">
        <v>1</v>
      </c>
      <c r="H121" s="43">
        <v>1</v>
      </c>
      <c r="I121" s="43">
        <v>1</v>
      </c>
      <c r="J121" s="43">
        <v>1</v>
      </c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2"/>
      <c r="CF121" s="52"/>
      <c r="CG121" s="52"/>
      <c r="CH121" s="52"/>
      <c r="CI121" s="52"/>
      <c r="CJ121" s="52"/>
      <c r="CK121" s="52"/>
      <c r="CL121" s="52"/>
      <c r="CM121" s="52"/>
    </row>
    <row r="122" spans="1:91" x14ac:dyDescent="0.15">
      <c r="A122" s="41">
        <v>120</v>
      </c>
      <c r="B122" s="43">
        <v>1</v>
      </c>
      <c r="C122" s="43">
        <v>1</v>
      </c>
      <c r="D122" s="43">
        <v>1</v>
      </c>
      <c r="E122" s="43">
        <v>1</v>
      </c>
      <c r="F122" s="43">
        <v>1</v>
      </c>
      <c r="G122" s="43">
        <v>1</v>
      </c>
      <c r="H122" s="43">
        <v>1</v>
      </c>
      <c r="I122" s="43">
        <v>1</v>
      </c>
      <c r="J122" s="43">
        <v>1</v>
      </c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2"/>
      <c r="CF122" s="52"/>
      <c r="CG122" s="52"/>
      <c r="CH122" s="52"/>
      <c r="CI122" s="52"/>
      <c r="CJ122" s="52"/>
      <c r="CK122" s="52"/>
      <c r="CL122" s="52"/>
      <c r="CM122" s="52"/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2"/>
      <c r="CF123" s="52"/>
      <c r="CG123" s="52"/>
      <c r="CH123" s="52"/>
      <c r="CI123" s="52"/>
      <c r="CJ123" s="52"/>
      <c r="CK123" s="52"/>
      <c r="CL123" s="52"/>
      <c r="CM123" s="52"/>
    </row>
    <row r="124" spans="1:91" x14ac:dyDescent="0.15">
      <c r="A124" s="41">
        <v>122</v>
      </c>
      <c r="B124" s="43">
        <v>1</v>
      </c>
      <c r="C124" s="43">
        <v>1</v>
      </c>
      <c r="D124" s="43">
        <v>1</v>
      </c>
      <c r="E124" s="43">
        <v>1</v>
      </c>
      <c r="F124" s="43">
        <v>1</v>
      </c>
      <c r="G124" s="43">
        <v>1</v>
      </c>
      <c r="H124" s="43">
        <v>1</v>
      </c>
      <c r="I124" s="43">
        <v>1</v>
      </c>
      <c r="J124" s="43">
        <v>1</v>
      </c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2"/>
      <c r="CF124" s="52"/>
      <c r="CG124" s="52"/>
      <c r="CH124" s="52"/>
      <c r="CI124" s="52"/>
      <c r="CJ124" s="52"/>
      <c r="CK124" s="52"/>
      <c r="CL124" s="52"/>
      <c r="CM124" s="52"/>
    </row>
    <row r="125" spans="1:91" x14ac:dyDescent="0.15">
      <c r="A125" s="41">
        <v>123</v>
      </c>
      <c r="B125" s="43">
        <v>1</v>
      </c>
      <c r="C125" s="43">
        <v>1</v>
      </c>
      <c r="D125" s="43">
        <v>1</v>
      </c>
      <c r="E125" s="43">
        <v>1</v>
      </c>
      <c r="F125" s="43">
        <v>1</v>
      </c>
      <c r="G125" s="43">
        <v>1</v>
      </c>
      <c r="H125" s="43">
        <v>1</v>
      </c>
      <c r="I125" s="43">
        <v>1</v>
      </c>
      <c r="J125" s="43">
        <v>1</v>
      </c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2"/>
      <c r="CF125" s="52"/>
      <c r="CG125" s="52"/>
      <c r="CH125" s="52"/>
      <c r="CI125" s="52"/>
      <c r="CJ125" s="52"/>
      <c r="CK125" s="52"/>
      <c r="CL125" s="52"/>
      <c r="CM125" s="52"/>
    </row>
    <row r="126" spans="1:91" x14ac:dyDescent="0.15">
      <c r="A126" s="41">
        <v>124</v>
      </c>
      <c r="B126" s="43">
        <v>1</v>
      </c>
      <c r="C126" s="43">
        <v>1</v>
      </c>
      <c r="D126" s="43">
        <v>1</v>
      </c>
      <c r="E126" s="43">
        <v>1</v>
      </c>
      <c r="F126" s="43">
        <v>1</v>
      </c>
      <c r="G126" s="43">
        <v>1</v>
      </c>
      <c r="H126" s="43">
        <v>1</v>
      </c>
      <c r="I126" s="43">
        <v>1</v>
      </c>
      <c r="J126" s="43">
        <v>1</v>
      </c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2"/>
      <c r="CF126" s="52"/>
      <c r="CG126" s="52"/>
      <c r="CH126" s="52"/>
      <c r="CI126" s="52"/>
      <c r="CJ126" s="52"/>
      <c r="CK126" s="52"/>
      <c r="CL126" s="52"/>
      <c r="CM126" s="52"/>
    </row>
    <row r="127" spans="1:91" x14ac:dyDescent="0.15">
      <c r="A127" s="41">
        <v>125</v>
      </c>
      <c r="B127" s="43">
        <v>1</v>
      </c>
      <c r="C127" s="43">
        <v>1</v>
      </c>
      <c r="D127" s="43">
        <v>1</v>
      </c>
      <c r="E127" s="43">
        <v>1</v>
      </c>
      <c r="F127" s="43">
        <v>1</v>
      </c>
      <c r="G127" s="43">
        <v>1</v>
      </c>
      <c r="H127" s="43">
        <v>1</v>
      </c>
      <c r="I127" s="43">
        <v>1</v>
      </c>
      <c r="J127" s="43">
        <v>1</v>
      </c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2"/>
      <c r="CF127" s="52"/>
      <c r="CG127" s="52"/>
      <c r="CH127" s="52"/>
      <c r="CI127" s="52"/>
      <c r="CJ127" s="52"/>
      <c r="CK127" s="52"/>
      <c r="CL127" s="52"/>
      <c r="CM127" s="52"/>
    </row>
    <row r="128" spans="1:91" x14ac:dyDescent="0.15">
      <c r="A128" s="41">
        <v>126</v>
      </c>
      <c r="B128" s="43">
        <v>1</v>
      </c>
      <c r="C128" s="43">
        <v>1</v>
      </c>
      <c r="D128" s="43">
        <v>1</v>
      </c>
      <c r="E128" s="43">
        <v>1</v>
      </c>
      <c r="F128" s="43">
        <v>1</v>
      </c>
      <c r="G128" s="43">
        <v>1</v>
      </c>
      <c r="H128" s="43">
        <v>1</v>
      </c>
      <c r="I128" s="43">
        <v>1</v>
      </c>
      <c r="J128" s="43">
        <v>1</v>
      </c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2"/>
      <c r="CF128" s="52"/>
      <c r="CG128" s="52"/>
      <c r="CH128" s="52"/>
      <c r="CI128" s="52"/>
      <c r="CJ128" s="52"/>
      <c r="CK128" s="52"/>
      <c r="CL128" s="52"/>
      <c r="CM128" s="52"/>
    </row>
    <row r="129" spans="1:91" x14ac:dyDescent="0.15">
      <c r="A129" s="41">
        <v>127</v>
      </c>
      <c r="B129" s="43">
        <v>1</v>
      </c>
      <c r="C129" s="43">
        <v>1</v>
      </c>
      <c r="D129" s="43">
        <v>1</v>
      </c>
      <c r="E129" s="43">
        <v>1</v>
      </c>
      <c r="F129" s="43">
        <v>1</v>
      </c>
      <c r="G129" s="43">
        <v>1</v>
      </c>
      <c r="H129" s="43">
        <v>1</v>
      </c>
      <c r="I129" s="43">
        <v>1</v>
      </c>
      <c r="J129" s="43">
        <v>1</v>
      </c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2"/>
      <c r="CF129" s="52"/>
      <c r="CG129" s="52"/>
      <c r="CH129" s="52"/>
      <c r="CI129" s="52"/>
      <c r="CJ129" s="52"/>
      <c r="CK129" s="52"/>
      <c r="CL129" s="52"/>
      <c r="CM129" s="52"/>
    </row>
    <row r="130" spans="1:91" x14ac:dyDescent="0.15">
      <c r="A130" s="41">
        <v>128</v>
      </c>
      <c r="B130" s="43">
        <v>1</v>
      </c>
      <c r="C130" s="43">
        <v>1</v>
      </c>
      <c r="D130" s="43">
        <v>1</v>
      </c>
      <c r="E130" s="43">
        <v>1</v>
      </c>
      <c r="F130" s="43">
        <v>1</v>
      </c>
      <c r="G130" s="43">
        <v>1</v>
      </c>
      <c r="H130" s="43">
        <v>1</v>
      </c>
      <c r="I130" s="43">
        <v>1</v>
      </c>
      <c r="J130" s="43">
        <v>1</v>
      </c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2"/>
      <c r="CF130" s="52"/>
      <c r="CG130" s="52"/>
      <c r="CH130" s="52"/>
      <c r="CI130" s="52"/>
      <c r="CJ130" s="52"/>
      <c r="CK130" s="52"/>
      <c r="CL130" s="52"/>
      <c r="CM130" s="52"/>
    </row>
    <row r="131" spans="1:91" x14ac:dyDescent="0.15">
      <c r="A131" s="41">
        <v>129</v>
      </c>
      <c r="B131" s="43">
        <v>1</v>
      </c>
      <c r="C131" s="43">
        <v>1</v>
      </c>
      <c r="D131" s="43">
        <v>1</v>
      </c>
      <c r="E131" s="43">
        <v>1</v>
      </c>
      <c r="F131" s="43">
        <v>1</v>
      </c>
      <c r="G131" s="43">
        <v>1</v>
      </c>
      <c r="H131" s="43">
        <v>1</v>
      </c>
      <c r="I131" s="43">
        <v>1</v>
      </c>
      <c r="J131" s="43">
        <v>1</v>
      </c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2"/>
      <c r="CF131" s="52"/>
      <c r="CG131" s="52"/>
      <c r="CH131" s="52"/>
      <c r="CI131" s="52"/>
      <c r="CJ131" s="52"/>
      <c r="CK131" s="52"/>
      <c r="CL131" s="52"/>
      <c r="CM131" s="52"/>
    </row>
    <row r="132" spans="1:91" x14ac:dyDescent="0.15">
      <c r="A132" s="41">
        <v>130</v>
      </c>
      <c r="B132" s="43">
        <v>1</v>
      </c>
      <c r="C132" s="43">
        <v>1</v>
      </c>
      <c r="D132" s="43">
        <v>1</v>
      </c>
      <c r="E132" s="43">
        <v>1</v>
      </c>
      <c r="F132" s="43">
        <v>1</v>
      </c>
      <c r="G132" s="43">
        <v>1</v>
      </c>
      <c r="H132" s="43">
        <v>1</v>
      </c>
      <c r="I132" s="43">
        <v>1</v>
      </c>
      <c r="J132" s="43">
        <v>1</v>
      </c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2"/>
      <c r="CF132" s="52"/>
      <c r="CG132" s="52"/>
      <c r="CH132" s="52"/>
      <c r="CI132" s="52"/>
      <c r="CJ132" s="52"/>
      <c r="CK132" s="52"/>
      <c r="CL132" s="52"/>
      <c r="CM132" s="52"/>
    </row>
    <row r="133" spans="1:91" x14ac:dyDescent="0.15">
      <c r="A133" s="41">
        <v>131</v>
      </c>
      <c r="B133" s="43">
        <v>1</v>
      </c>
      <c r="C133" s="43">
        <v>1</v>
      </c>
      <c r="D133" s="43">
        <v>1</v>
      </c>
      <c r="E133" s="43">
        <v>1</v>
      </c>
      <c r="F133" s="43">
        <v>1</v>
      </c>
      <c r="G133" s="43">
        <v>1</v>
      </c>
      <c r="H133" s="43">
        <v>1</v>
      </c>
      <c r="I133" s="43">
        <v>1</v>
      </c>
      <c r="J133" s="43">
        <v>1</v>
      </c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2"/>
      <c r="CF133" s="52"/>
      <c r="CG133" s="52"/>
      <c r="CH133" s="52"/>
      <c r="CI133" s="52"/>
      <c r="CJ133" s="52"/>
      <c r="CK133" s="52"/>
      <c r="CL133" s="52"/>
      <c r="CM133" s="52"/>
    </row>
    <row r="134" spans="1:91" x14ac:dyDescent="0.15">
      <c r="A134" s="41">
        <v>132</v>
      </c>
      <c r="B134" s="43">
        <v>1</v>
      </c>
      <c r="C134" s="43">
        <v>1</v>
      </c>
      <c r="D134" s="43">
        <v>1</v>
      </c>
      <c r="E134" s="43">
        <v>1</v>
      </c>
      <c r="F134" s="43">
        <v>1</v>
      </c>
      <c r="G134" s="43">
        <v>1</v>
      </c>
      <c r="H134" s="43">
        <v>1</v>
      </c>
      <c r="I134" s="43">
        <v>1</v>
      </c>
      <c r="J134" s="43">
        <v>1</v>
      </c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2"/>
      <c r="CF134" s="52"/>
      <c r="CG134" s="52"/>
      <c r="CH134" s="52"/>
      <c r="CI134" s="52"/>
      <c r="CJ134" s="52"/>
      <c r="CK134" s="52"/>
      <c r="CL134" s="52"/>
      <c r="CM134" s="52"/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2"/>
      <c r="CF135" s="52"/>
      <c r="CG135" s="52"/>
      <c r="CH135" s="52"/>
      <c r="CI135" s="52"/>
      <c r="CJ135" s="52"/>
      <c r="CK135" s="52"/>
      <c r="CL135" s="52"/>
      <c r="CM135" s="52"/>
    </row>
    <row r="136" spans="1:91" x14ac:dyDescent="0.15">
      <c r="A136" s="41">
        <v>134</v>
      </c>
      <c r="B136" s="43">
        <v>1</v>
      </c>
      <c r="C136" s="43">
        <v>1</v>
      </c>
      <c r="D136" s="43">
        <v>1</v>
      </c>
      <c r="E136" s="43">
        <v>1</v>
      </c>
      <c r="F136" s="43">
        <v>1</v>
      </c>
      <c r="G136" s="43">
        <v>1</v>
      </c>
      <c r="H136" s="43">
        <v>1</v>
      </c>
      <c r="I136" s="43">
        <v>1</v>
      </c>
      <c r="J136" s="43">
        <v>1</v>
      </c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2"/>
      <c r="CF136" s="52"/>
      <c r="CG136" s="52"/>
      <c r="CH136" s="52"/>
      <c r="CI136" s="52"/>
      <c r="CJ136" s="52"/>
      <c r="CK136" s="52"/>
      <c r="CL136" s="52"/>
      <c r="CM136" s="52"/>
    </row>
    <row r="137" spans="1:91" x14ac:dyDescent="0.15">
      <c r="A137" s="41">
        <v>135</v>
      </c>
      <c r="B137" s="43">
        <v>1</v>
      </c>
      <c r="C137" s="43">
        <v>1</v>
      </c>
      <c r="D137" s="43">
        <v>1</v>
      </c>
      <c r="E137" s="43">
        <v>1</v>
      </c>
      <c r="F137" s="43">
        <v>1</v>
      </c>
      <c r="G137" s="43">
        <v>1</v>
      </c>
      <c r="H137" s="43">
        <v>1</v>
      </c>
      <c r="I137" s="43">
        <v>1</v>
      </c>
      <c r="J137" s="43">
        <v>1</v>
      </c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2"/>
      <c r="CF137" s="52"/>
      <c r="CG137" s="52"/>
      <c r="CH137" s="52"/>
      <c r="CI137" s="52"/>
      <c r="CJ137" s="52"/>
      <c r="CK137" s="52"/>
      <c r="CL137" s="52"/>
      <c r="CM137" s="52"/>
    </row>
    <row r="138" spans="1:91" x14ac:dyDescent="0.15">
      <c r="A138" s="41">
        <v>136</v>
      </c>
      <c r="B138" s="43">
        <v>1</v>
      </c>
      <c r="C138" s="43">
        <v>1</v>
      </c>
      <c r="D138" s="43">
        <v>1</v>
      </c>
      <c r="E138" s="43">
        <v>1</v>
      </c>
      <c r="F138" s="43">
        <v>1</v>
      </c>
      <c r="G138" s="43">
        <v>1</v>
      </c>
      <c r="H138" s="43">
        <v>1</v>
      </c>
      <c r="I138" s="43">
        <v>1</v>
      </c>
      <c r="J138" s="43">
        <v>1</v>
      </c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2"/>
      <c r="CF138" s="52"/>
      <c r="CG138" s="52"/>
      <c r="CH138" s="52"/>
      <c r="CI138" s="52"/>
      <c r="CJ138" s="52"/>
      <c r="CK138" s="52"/>
      <c r="CL138" s="52"/>
      <c r="CM138" s="52"/>
    </row>
    <row r="139" spans="1:91" x14ac:dyDescent="0.15">
      <c r="A139" s="41">
        <v>137</v>
      </c>
      <c r="B139" s="43">
        <v>1</v>
      </c>
      <c r="C139" s="43">
        <v>1</v>
      </c>
      <c r="D139" s="43">
        <v>1</v>
      </c>
      <c r="E139" s="43">
        <v>1</v>
      </c>
      <c r="F139" s="43">
        <v>1</v>
      </c>
      <c r="G139" s="43">
        <v>1</v>
      </c>
      <c r="H139" s="43">
        <v>1</v>
      </c>
      <c r="I139" s="43">
        <v>1</v>
      </c>
      <c r="J139" s="43">
        <v>1</v>
      </c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2"/>
      <c r="CF139" s="52"/>
      <c r="CG139" s="52"/>
      <c r="CH139" s="52"/>
      <c r="CI139" s="52"/>
      <c r="CJ139" s="52"/>
      <c r="CK139" s="52"/>
      <c r="CL139" s="52"/>
      <c r="CM139" s="52"/>
    </row>
    <row r="140" spans="1:91" x14ac:dyDescent="0.15">
      <c r="A140" s="41">
        <v>138</v>
      </c>
      <c r="B140" s="43">
        <v>1</v>
      </c>
      <c r="C140" s="43">
        <v>1</v>
      </c>
      <c r="D140" s="43">
        <v>1</v>
      </c>
      <c r="E140" s="43">
        <v>1</v>
      </c>
      <c r="F140" s="43">
        <v>1</v>
      </c>
      <c r="G140" s="43">
        <v>1</v>
      </c>
      <c r="H140" s="43">
        <v>1</v>
      </c>
      <c r="I140" s="43">
        <v>1</v>
      </c>
      <c r="J140" s="43">
        <v>1</v>
      </c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2"/>
      <c r="CF140" s="52"/>
      <c r="CG140" s="52"/>
      <c r="CH140" s="52"/>
      <c r="CI140" s="52"/>
      <c r="CJ140" s="52"/>
      <c r="CK140" s="52"/>
      <c r="CL140" s="52"/>
      <c r="CM140" s="52"/>
    </row>
    <row r="141" spans="1:91" x14ac:dyDescent="0.15">
      <c r="A141" s="41">
        <v>139</v>
      </c>
      <c r="B141" s="43">
        <v>1</v>
      </c>
      <c r="C141" s="43">
        <v>1</v>
      </c>
      <c r="D141" s="43">
        <v>1</v>
      </c>
      <c r="E141" s="43">
        <v>1</v>
      </c>
      <c r="F141" s="43">
        <v>1</v>
      </c>
      <c r="G141" s="43">
        <v>1</v>
      </c>
      <c r="H141" s="43">
        <v>1</v>
      </c>
      <c r="I141" s="43">
        <v>1</v>
      </c>
      <c r="J141" s="43">
        <v>1</v>
      </c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2"/>
      <c r="CF141" s="52"/>
      <c r="CG141" s="52"/>
      <c r="CH141" s="52"/>
      <c r="CI141" s="52"/>
      <c r="CJ141" s="52"/>
      <c r="CK141" s="52"/>
      <c r="CL141" s="52"/>
      <c r="CM141" s="52"/>
    </row>
    <row r="142" spans="1:91" x14ac:dyDescent="0.15">
      <c r="A142" s="41">
        <v>140</v>
      </c>
      <c r="B142" s="43">
        <v>1</v>
      </c>
      <c r="C142" s="43">
        <v>1</v>
      </c>
      <c r="D142" s="43">
        <v>1</v>
      </c>
      <c r="E142" s="43">
        <v>1</v>
      </c>
      <c r="F142" s="43">
        <v>1</v>
      </c>
      <c r="G142" s="43">
        <v>1</v>
      </c>
      <c r="H142" s="43">
        <v>1</v>
      </c>
      <c r="I142" s="43">
        <v>1</v>
      </c>
      <c r="J142" s="43">
        <v>1</v>
      </c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2"/>
      <c r="CF142" s="52"/>
      <c r="CG142" s="52"/>
      <c r="CH142" s="52"/>
      <c r="CI142" s="52"/>
      <c r="CJ142" s="52"/>
      <c r="CK142" s="52"/>
      <c r="CL142" s="52"/>
      <c r="CM142" s="52"/>
    </row>
    <row r="143" spans="1:91" x14ac:dyDescent="0.15">
      <c r="A143" s="41">
        <v>141</v>
      </c>
      <c r="B143" s="43">
        <v>1</v>
      </c>
      <c r="C143" s="43">
        <v>1</v>
      </c>
      <c r="D143" s="43">
        <v>1</v>
      </c>
      <c r="E143" s="43">
        <v>1</v>
      </c>
      <c r="F143" s="43">
        <v>1</v>
      </c>
      <c r="G143" s="43">
        <v>1</v>
      </c>
      <c r="H143" s="43">
        <v>1</v>
      </c>
      <c r="I143" s="43">
        <v>1</v>
      </c>
      <c r="J143" s="43">
        <v>1</v>
      </c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2"/>
      <c r="CF143" s="52"/>
      <c r="CG143" s="52"/>
      <c r="CH143" s="52"/>
      <c r="CI143" s="52"/>
      <c r="CJ143" s="52"/>
      <c r="CK143" s="52"/>
      <c r="CL143" s="52"/>
      <c r="CM143" s="52"/>
    </row>
    <row r="144" spans="1:91" x14ac:dyDescent="0.15">
      <c r="A144" s="41">
        <v>142</v>
      </c>
      <c r="B144" s="43">
        <v>1</v>
      </c>
      <c r="C144" s="43">
        <v>1</v>
      </c>
      <c r="D144" s="43">
        <v>1</v>
      </c>
      <c r="E144" s="43">
        <v>1</v>
      </c>
      <c r="F144" s="43">
        <v>1</v>
      </c>
      <c r="G144" s="43">
        <v>1</v>
      </c>
      <c r="H144" s="43">
        <v>1</v>
      </c>
      <c r="I144" s="43">
        <v>1</v>
      </c>
      <c r="J144" s="43">
        <v>1</v>
      </c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2"/>
      <c r="CF144" s="52"/>
      <c r="CG144" s="52"/>
      <c r="CH144" s="52"/>
      <c r="CI144" s="52"/>
      <c r="CJ144" s="52"/>
      <c r="CK144" s="52"/>
      <c r="CL144" s="52"/>
      <c r="CM144" s="52"/>
    </row>
    <row r="145" spans="1:91" x14ac:dyDescent="0.15">
      <c r="A145" s="41">
        <v>143</v>
      </c>
      <c r="B145" s="43">
        <v>1</v>
      </c>
      <c r="C145" s="43">
        <v>1</v>
      </c>
      <c r="D145" s="43">
        <v>1</v>
      </c>
      <c r="E145" s="43">
        <v>1</v>
      </c>
      <c r="F145" s="43">
        <v>1</v>
      </c>
      <c r="G145" s="43">
        <v>1</v>
      </c>
      <c r="H145" s="43">
        <v>1</v>
      </c>
      <c r="I145" s="43">
        <v>1</v>
      </c>
      <c r="J145" s="43">
        <v>1</v>
      </c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2"/>
      <c r="CF145" s="52"/>
      <c r="CG145" s="52"/>
      <c r="CH145" s="52"/>
      <c r="CI145" s="52"/>
      <c r="CJ145" s="52"/>
      <c r="CK145" s="52"/>
      <c r="CL145" s="52"/>
      <c r="CM145" s="52"/>
    </row>
    <row r="146" spans="1:91" x14ac:dyDescent="0.15">
      <c r="A146" s="41">
        <v>144</v>
      </c>
      <c r="B146" s="43">
        <v>1</v>
      </c>
      <c r="C146" s="43">
        <v>1</v>
      </c>
      <c r="D146" s="43">
        <v>1</v>
      </c>
      <c r="E146" s="43">
        <v>1</v>
      </c>
      <c r="F146" s="43">
        <v>1</v>
      </c>
      <c r="G146" s="43">
        <v>1</v>
      </c>
      <c r="H146" s="43">
        <v>1</v>
      </c>
      <c r="I146" s="43">
        <v>1</v>
      </c>
      <c r="J146" s="43">
        <v>1</v>
      </c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2"/>
      <c r="CF146" s="52"/>
      <c r="CG146" s="52"/>
      <c r="CH146" s="52"/>
      <c r="CI146" s="52"/>
      <c r="CJ146" s="52"/>
      <c r="CK146" s="52"/>
      <c r="CL146" s="52"/>
      <c r="CM146" s="52"/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2"/>
      <c r="CF147" s="52"/>
      <c r="CG147" s="52"/>
      <c r="CH147" s="52"/>
      <c r="CI147" s="52"/>
      <c r="CJ147" s="52"/>
      <c r="CK147" s="52"/>
      <c r="CL147" s="52"/>
      <c r="CM147" s="52"/>
    </row>
    <row r="148" spans="1:91" x14ac:dyDescent="0.15">
      <c r="A148" s="41">
        <v>146</v>
      </c>
      <c r="B148" s="43">
        <v>1</v>
      </c>
      <c r="C148" s="43">
        <v>1</v>
      </c>
      <c r="D148" s="43">
        <v>1</v>
      </c>
      <c r="E148" s="43">
        <v>1</v>
      </c>
      <c r="F148" s="43">
        <v>1</v>
      </c>
      <c r="G148" s="43">
        <v>1</v>
      </c>
      <c r="H148" s="43">
        <v>1</v>
      </c>
      <c r="I148" s="43">
        <v>1</v>
      </c>
      <c r="J148" s="43">
        <v>1</v>
      </c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2"/>
      <c r="CF148" s="52"/>
      <c r="CG148" s="52"/>
      <c r="CH148" s="52"/>
      <c r="CI148" s="52"/>
      <c r="CJ148" s="52"/>
      <c r="CK148" s="52"/>
      <c r="CL148" s="52"/>
      <c r="CM148" s="52"/>
    </row>
    <row r="149" spans="1:91" x14ac:dyDescent="0.15">
      <c r="A149" s="41">
        <v>147</v>
      </c>
      <c r="B149" s="43">
        <v>1</v>
      </c>
      <c r="C149" s="43">
        <v>1</v>
      </c>
      <c r="D149" s="43">
        <v>1</v>
      </c>
      <c r="E149" s="43">
        <v>1</v>
      </c>
      <c r="F149" s="43">
        <v>1</v>
      </c>
      <c r="G149" s="43">
        <v>1</v>
      </c>
      <c r="H149" s="43">
        <v>1</v>
      </c>
      <c r="I149" s="43">
        <v>1</v>
      </c>
      <c r="J149" s="43">
        <v>1</v>
      </c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2"/>
      <c r="CF149" s="52"/>
      <c r="CG149" s="52"/>
      <c r="CH149" s="52"/>
      <c r="CI149" s="52"/>
      <c r="CJ149" s="52"/>
      <c r="CK149" s="52"/>
      <c r="CL149" s="52"/>
      <c r="CM149" s="52"/>
    </row>
    <row r="150" spans="1:91" x14ac:dyDescent="0.15">
      <c r="A150" s="41">
        <v>148</v>
      </c>
      <c r="B150" s="43">
        <v>1</v>
      </c>
      <c r="C150" s="43">
        <v>1</v>
      </c>
      <c r="D150" s="43">
        <v>1</v>
      </c>
      <c r="E150" s="43">
        <v>1</v>
      </c>
      <c r="F150" s="43">
        <v>1</v>
      </c>
      <c r="G150" s="43">
        <v>1</v>
      </c>
      <c r="H150" s="43">
        <v>1</v>
      </c>
      <c r="I150" s="43">
        <v>1</v>
      </c>
      <c r="J150" s="43">
        <v>1</v>
      </c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2"/>
      <c r="CF150" s="52"/>
      <c r="CG150" s="52"/>
      <c r="CH150" s="52"/>
      <c r="CI150" s="52"/>
      <c r="CJ150" s="52"/>
      <c r="CK150" s="52"/>
      <c r="CL150" s="52"/>
      <c r="CM150" s="52"/>
    </row>
    <row r="151" spans="1:91" x14ac:dyDescent="0.15">
      <c r="A151" s="41">
        <v>149</v>
      </c>
      <c r="B151" s="43">
        <v>1</v>
      </c>
      <c r="C151" s="43">
        <v>1</v>
      </c>
      <c r="D151" s="43">
        <v>1</v>
      </c>
      <c r="E151" s="43">
        <v>1</v>
      </c>
      <c r="F151" s="43">
        <v>1</v>
      </c>
      <c r="G151" s="43">
        <v>1</v>
      </c>
      <c r="H151" s="43">
        <v>1</v>
      </c>
      <c r="I151" s="43">
        <v>1</v>
      </c>
      <c r="J151" s="43">
        <v>1</v>
      </c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2"/>
      <c r="CF151" s="52"/>
      <c r="CG151" s="52"/>
      <c r="CH151" s="52"/>
      <c r="CI151" s="52"/>
      <c r="CJ151" s="52"/>
      <c r="CK151" s="52"/>
      <c r="CL151" s="52"/>
      <c r="CM151" s="52"/>
    </row>
    <row r="152" spans="1:91" x14ac:dyDescent="0.15">
      <c r="A152" s="41">
        <v>150</v>
      </c>
      <c r="B152" s="43">
        <v>1</v>
      </c>
      <c r="C152" s="43">
        <v>1</v>
      </c>
      <c r="D152" s="43">
        <v>1</v>
      </c>
      <c r="E152" s="43">
        <v>1</v>
      </c>
      <c r="F152" s="43">
        <v>1</v>
      </c>
      <c r="G152" s="43">
        <v>1</v>
      </c>
      <c r="H152" s="43">
        <v>1</v>
      </c>
      <c r="I152" s="43">
        <v>1</v>
      </c>
      <c r="J152" s="43">
        <v>1</v>
      </c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2"/>
      <c r="CF152" s="52"/>
      <c r="CG152" s="52"/>
      <c r="CH152" s="52"/>
      <c r="CI152" s="52"/>
      <c r="CJ152" s="52"/>
      <c r="CK152" s="52"/>
      <c r="CL152" s="52"/>
      <c r="CM152" s="52"/>
    </row>
    <row r="153" spans="1:91" x14ac:dyDescent="0.15">
      <c r="A153" s="41">
        <v>151</v>
      </c>
      <c r="B153" s="43">
        <v>1</v>
      </c>
      <c r="C153" s="43">
        <v>1</v>
      </c>
      <c r="D153" s="43">
        <v>1</v>
      </c>
      <c r="E153" s="43">
        <v>1</v>
      </c>
      <c r="F153" s="43">
        <v>1</v>
      </c>
      <c r="G153" s="43">
        <v>1</v>
      </c>
      <c r="H153" s="43">
        <v>1</v>
      </c>
      <c r="I153" s="43">
        <v>1</v>
      </c>
      <c r="J153" s="43">
        <v>1</v>
      </c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2"/>
      <c r="CF153" s="52"/>
      <c r="CG153" s="52"/>
      <c r="CH153" s="52"/>
      <c r="CI153" s="52"/>
      <c r="CJ153" s="52"/>
      <c r="CK153" s="52"/>
      <c r="CL153" s="52"/>
      <c r="CM153" s="52"/>
    </row>
    <row r="154" spans="1:91" x14ac:dyDescent="0.15">
      <c r="A154" s="41">
        <v>152</v>
      </c>
      <c r="B154" s="43">
        <v>1</v>
      </c>
      <c r="C154" s="43">
        <v>1</v>
      </c>
      <c r="D154" s="43">
        <v>1</v>
      </c>
      <c r="E154" s="43">
        <v>1</v>
      </c>
      <c r="F154" s="43">
        <v>1</v>
      </c>
      <c r="G154" s="43">
        <v>1</v>
      </c>
      <c r="H154" s="43">
        <v>1</v>
      </c>
      <c r="I154" s="43">
        <v>1</v>
      </c>
      <c r="J154" s="43">
        <v>1</v>
      </c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2"/>
      <c r="CF154" s="52"/>
      <c r="CG154" s="52"/>
      <c r="CH154" s="52"/>
      <c r="CI154" s="52"/>
      <c r="CJ154" s="52"/>
      <c r="CK154" s="52"/>
      <c r="CL154" s="52"/>
      <c r="CM154" s="52"/>
    </row>
    <row r="155" spans="1:91" x14ac:dyDescent="0.15">
      <c r="A155" s="41">
        <v>153</v>
      </c>
      <c r="B155" s="43">
        <v>1</v>
      </c>
      <c r="C155" s="43">
        <v>1</v>
      </c>
      <c r="D155" s="43">
        <v>1</v>
      </c>
      <c r="E155" s="43">
        <v>1</v>
      </c>
      <c r="F155" s="43">
        <v>1</v>
      </c>
      <c r="G155" s="43">
        <v>1</v>
      </c>
      <c r="H155" s="43">
        <v>1</v>
      </c>
      <c r="I155" s="43">
        <v>1</v>
      </c>
      <c r="J155" s="43">
        <v>1</v>
      </c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2"/>
      <c r="CF155" s="52"/>
      <c r="CG155" s="52"/>
      <c r="CH155" s="52"/>
      <c r="CI155" s="52"/>
      <c r="CJ155" s="52"/>
      <c r="CK155" s="52"/>
      <c r="CL155" s="52"/>
      <c r="CM155" s="52"/>
    </row>
    <row r="156" spans="1:91" x14ac:dyDescent="0.15">
      <c r="A156" s="41">
        <v>154</v>
      </c>
      <c r="B156" s="43">
        <v>1</v>
      </c>
      <c r="C156" s="43">
        <v>1</v>
      </c>
      <c r="D156" s="43">
        <v>1</v>
      </c>
      <c r="E156" s="43">
        <v>1</v>
      </c>
      <c r="F156" s="43">
        <v>1</v>
      </c>
      <c r="G156" s="43">
        <v>1</v>
      </c>
      <c r="H156" s="43">
        <v>1</v>
      </c>
      <c r="I156" s="43">
        <v>1</v>
      </c>
      <c r="J156" s="43">
        <v>1</v>
      </c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2"/>
      <c r="CF156" s="52"/>
      <c r="CG156" s="52"/>
      <c r="CH156" s="52"/>
      <c r="CI156" s="52"/>
      <c r="CJ156" s="52"/>
      <c r="CK156" s="52"/>
      <c r="CL156" s="52"/>
      <c r="CM156" s="52"/>
    </row>
    <row r="157" spans="1:91" x14ac:dyDescent="0.15">
      <c r="A157" s="41">
        <v>155</v>
      </c>
      <c r="B157" s="43">
        <v>1</v>
      </c>
      <c r="C157" s="43">
        <v>1</v>
      </c>
      <c r="D157" s="43">
        <v>1</v>
      </c>
      <c r="E157" s="43">
        <v>1</v>
      </c>
      <c r="F157" s="43">
        <v>1</v>
      </c>
      <c r="G157" s="43">
        <v>1</v>
      </c>
      <c r="H157" s="43">
        <v>1</v>
      </c>
      <c r="I157" s="43">
        <v>1</v>
      </c>
      <c r="J157" s="43">
        <v>1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2"/>
      <c r="CF157" s="52"/>
      <c r="CG157" s="52"/>
      <c r="CH157" s="52"/>
      <c r="CI157" s="52"/>
      <c r="CJ157" s="52"/>
      <c r="CK157" s="52"/>
      <c r="CL157" s="52"/>
      <c r="CM157" s="52"/>
    </row>
    <row r="158" spans="1:91" x14ac:dyDescent="0.15">
      <c r="A158" s="41">
        <v>156</v>
      </c>
      <c r="B158" s="43">
        <v>1</v>
      </c>
      <c r="C158" s="43">
        <v>1</v>
      </c>
      <c r="D158" s="43">
        <v>1</v>
      </c>
      <c r="E158" s="43">
        <v>1</v>
      </c>
      <c r="F158" s="43">
        <v>1</v>
      </c>
      <c r="G158" s="43">
        <v>1</v>
      </c>
      <c r="H158" s="43">
        <v>1</v>
      </c>
      <c r="I158" s="43">
        <v>1</v>
      </c>
      <c r="J158" s="43">
        <v>1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2"/>
      <c r="CF158" s="52"/>
      <c r="CG158" s="52"/>
      <c r="CH158" s="52"/>
      <c r="CI158" s="52"/>
      <c r="CJ158" s="52"/>
      <c r="CK158" s="52"/>
      <c r="CL158" s="52"/>
      <c r="CM158" s="52"/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2"/>
      <c r="CF159" s="52"/>
      <c r="CG159" s="52"/>
      <c r="CH159" s="52"/>
      <c r="CI159" s="52"/>
      <c r="CJ159" s="52"/>
      <c r="CK159" s="52"/>
      <c r="CL159" s="52"/>
      <c r="CM159" s="52"/>
    </row>
    <row r="160" spans="1:91" x14ac:dyDescent="0.15">
      <c r="A160" s="41">
        <v>158</v>
      </c>
      <c r="B160" s="43">
        <v>1</v>
      </c>
      <c r="C160" s="43">
        <v>1</v>
      </c>
      <c r="D160" s="43">
        <v>1</v>
      </c>
      <c r="E160" s="43">
        <v>1</v>
      </c>
      <c r="F160" s="43">
        <v>1</v>
      </c>
      <c r="G160" s="43">
        <v>1</v>
      </c>
      <c r="H160" s="43">
        <v>1</v>
      </c>
      <c r="I160" s="43">
        <v>1</v>
      </c>
      <c r="J160" s="43">
        <v>1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2"/>
      <c r="CF160" s="52"/>
      <c r="CG160" s="52"/>
      <c r="CH160" s="52"/>
      <c r="CI160" s="52"/>
      <c r="CJ160" s="52"/>
      <c r="CK160" s="52"/>
      <c r="CL160" s="52"/>
      <c r="CM160" s="52"/>
    </row>
    <row r="161" spans="1:91" x14ac:dyDescent="0.15">
      <c r="A161" s="41">
        <v>159</v>
      </c>
      <c r="B161" s="43">
        <v>1</v>
      </c>
      <c r="C161" s="43">
        <v>1</v>
      </c>
      <c r="D161" s="43">
        <v>1</v>
      </c>
      <c r="E161" s="43">
        <v>1</v>
      </c>
      <c r="F161" s="43">
        <v>1</v>
      </c>
      <c r="G161" s="43">
        <v>1</v>
      </c>
      <c r="H161" s="43">
        <v>1</v>
      </c>
      <c r="I161" s="43">
        <v>1</v>
      </c>
      <c r="J161" s="43">
        <v>1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2"/>
      <c r="CF161" s="52"/>
      <c r="CG161" s="52"/>
      <c r="CH161" s="52"/>
      <c r="CI161" s="52"/>
      <c r="CJ161" s="52"/>
      <c r="CK161" s="52"/>
      <c r="CL161" s="52"/>
      <c r="CM161" s="52"/>
    </row>
    <row r="162" spans="1:91" x14ac:dyDescent="0.15">
      <c r="A162" s="41">
        <v>160</v>
      </c>
      <c r="B162" s="43">
        <v>1</v>
      </c>
      <c r="C162" s="43">
        <v>1</v>
      </c>
      <c r="D162" s="43">
        <v>1</v>
      </c>
      <c r="E162" s="43">
        <v>1</v>
      </c>
      <c r="F162" s="43">
        <v>1</v>
      </c>
      <c r="G162" s="43">
        <v>1</v>
      </c>
      <c r="H162" s="43">
        <v>1</v>
      </c>
      <c r="I162" s="43">
        <v>1</v>
      </c>
      <c r="J162" s="43">
        <v>1</v>
      </c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2"/>
      <c r="CF162" s="52"/>
      <c r="CG162" s="52"/>
      <c r="CH162" s="52"/>
      <c r="CI162" s="52"/>
      <c r="CJ162" s="52"/>
      <c r="CK162" s="52"/>
      <c r="CL162" s="52"/>
      <c r="CM162" s="52"/>
    </row>
    <row r="163" spans="1:91" x14ac:dyDescent="0.15">
      <c r="A163" s="41">
        <v>161</v>
      </c>
      <c r="B163" s="43">
        <v>1</v>
      </c>
      <c r="C163" s="43">
        <v>1</v>
      </c>
      <c r="D163" s="43">
        <v>1</v>
      </c>
      <c r="E163" s="43">
        <v>1</v>
      </c>
      <c r="F163" s="43">
        <v>1</v>
      </c>
      <c r="G163" s="43">
        <v>1</v>
      </c>
      <c r="H163" s="43">
        <v>1</v>
      </c>
      <c r="I163" s="43">
        <v>1</v>
      </c>
      <c r="J163" s="43">
        <v>1</v>
      </c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2"/>
      <c r="CF163" s="52"/>
      <c r="CG163" s="52"/>
      <c r="CH163" s="52"/>
      <c r="CI163" s="52"/>
      <c r="CJ163" s="52"/>
      <c r="CK163" s="52"/>
      <c r="CL163" s="52"/>
      <c r="CM163" s="52"/>
    </row>
    <row r="164" spans="1:91" x14ac:dyDescent="0.15">
      <c r="A164" s="41">
        <v>162</v>
      </c>
      <c r="B164" s="43">
        <v>1</v>
      </c>
      <c r="C164" s="43">
        <v>1</v>
      </c>
      <c r="D164" s="43">
        <v>1</v>
      </c>
      <c r="E164" s="43">
        <v>1</v>
      </c>
      <c r="F164" s="43">
        <v>1</v>
      </c>
      <c r="G164" s="43">
        <v>1</v>
      </c>
      <c r="H164" s="43">
        <v>1</v>
      </c>
      <c r="I164" s="43">
        <v>1</v>
      </c>
      <c r="J164" s="43">
        <v>1</v>
      </c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2"/>
      <c r="CF164" s="52"/>
      <c r="CG164" s="52"/>
      <c r="CH164" s="52"/>
      <c r="CI164" s="52"/>
      <c r="CJ164" s="52"/>
      <c r="CK164" s="52"/>
      <c r="CL164" s="52"/>
      <c r="CM164" s="52"/>
    </row>
    <row r="165" spans="1:91" x14ac:dyDescent="0.15">
      <c r="A165" s="41">
        <v>163</v>
      </c>
      <c r="B165" s="43">
        <v>1</v>
      </c>
      <c r="C165" s="43">
        <v>1</v>
      </c>
      <c r="D165" s="43">
        <v>1</v>
      </c>
      <c r="E165" s="43">
        <v>1</v>
      </c>
      <c r="F165" s="43">
        <v>1</v>
      </c>
      <c r="G165" s="43">
        <v>1</v>
      </c>
      <c r="H165" s="43">
        <v>1</v>
      </c>
      <c r="I165" s="43">
        <v>1</v>
      </c>
      <c r="J165" s="43">
        <v>1</v>
      </c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2"/>
      <c r="CF165" s="52"/>
      <c r="CG165" s="52"/>
      <c r="CH165" s="52"/>
      <c r="CI165" s="52"/>
      <c r="CJ165" s="52"/>
      <c r="CK165" s="52"/>
      <c r="CL165" s="52"/>
      <c r="CM165" s="52"/>
    </row>
    <row r="166" spans="1:91" x14ac:dyDescent="0.15">
      <c r="A166" s="41">
        <v>164</v>
      </c>
      <c r="B166" s="43">
        <v>1</v>
      </c>
      <c r="C166" s="43">
        <v>1</v>
      </c>
      <c r="D166" s="43">
        <v>1</v>
      </c>
      <c r="E166" s="43">
        <v>1</v>
      </c>
      <c r="F166" s="43">
        <v>1</v>
      </c>
      <c r="G166" s="43">
        <v>1</v>
      </c>
      <c r="H166" s="43">
        <v>1</v>
      </c>
      <c r="I166" s="43">
        <v>1</v>
      </c>
      <c r="J166" s="43">
        <v>1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2"/>
      <c r="CF166" s="52"/>
      <c r="CG166" s="52"/>
      <c r="CH166" s="52"/>
      <c r="CI166" s="52"/>
      <c r="CJ166" s="52"/>
      <c r="CK166" s="52"/>
      <c r="CL166" s="52"/>
      <c r="CM166" s="52"/>
    </row>
    <row r="167" spans="1:91" x14ac:dyDescent="0.15">
      <c r="A167" s="41">
        <v>165</v>
      </c>
      <c r="B167" s="43">
        <v>1</v>
      </c>
      <c r="C167" s="43">
        <v>1</v>
      </c>
      <c r="D167" s="43">
        <v>1</v>
      </c>
      <c r="E167" s="43">
        <v>1</v>
      </c>
      <c r="F167" s="43">
        <v>1</v>
      </c>
      <c r="G167" s="43">
        <v>1</v>
      </c>
      <c r="H167" s="43">
        <v>1</v>
      </c>
      <c r="I167" s="43">
        <v>1</v>
      </c>
      <c r="J167" s="43">
        <v>1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2"/>
      <c r="CF167" s="52"/>
      <c r="CG167" s="52"/>
      <c r="CH167" s="52"/>
      <c r="CI167" s="52"/>
      <c r="CJ167" s="52"/>
      <c r="CK167" s="52"/>
      <c r="CL167" s="52"/>
      <c r="CM167" s="52"/>
    </row>
    <row r="168" spans="1:91" x14ac:dyDescent="0.15">
      <c r="A168" s="41">
        <v>166</v>
      </c>
      <c r="B168" s="43">
        <v>1</v>
      </c>
      <c r="C168" s="43">
        <v>1</v>
      </c>
      <c r="D168" s="43">
        <v>1</v>
      </c>
      <c r="E168" s="43">
        <v>1</v>
      </c>
      <c r="F168" s="43">
        <v>1</v>
      </c>
      <c r="G168" s="43">
        <v>1</v>
      </c>
      <c r="H168" s="43">
        <v>1</v>
      </c>
      <c r="I168" s="43">
        <v>1</v>
      </c>
      <c r="J168" s="43">
        <v>1</v>
      </c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2"/>
      <c r="CF168" s="52"/>
      <c r="CG168" s="52"/>
      <c r="CH168" s="52"/>
      <c r="CI168" s="52"/>
      <c r="CJ168" s="52"/>
      <c r="CK168" s="52"/>
      <c r="CL168" s="52"/>
      <c r="CM168" s="52"/>
    </row>
    <row r="169" spans="1:91" x14ac:dyDescent="0.15">
      <c r="A169" s="41">
        <v>167</v>
      </c>
      <c r="B169" s="43">
        <v>1</v>
      </c>
      <c r="C169" s="43">
        <v>1</v>
      </c>
      <c r="D169" s="43">
        <v>1</v>
      </c>
      <c r="E169" s="43">
        <v>1</v>
      </c>
      <c r="F169" s="43">
        <v>1</v>
      </c>
      <c r="G169" s="43">
        <v>1</v>
      </c>
      <c r="H169" s="43">
        <v>1</v>
      </c>
      <c r="I169" s="43">
        <v>1</v>
      </c>
      <c r="J169" s="43">
        <v>1</v>
      </c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2"/>
      <c r="CF169" s="52"/>
      <c r="CG169" s="52"/>
      <c r="CH169" s="52"/>
      <c r="CI169" s="52"/>
      <c r="CJ169" s="52"/>
      <c r="CK169" s="52"/>
      <c r="CL169" s="52"/>
      <c r="CM169" s="52"/>
    </row>
    <row r="170" spans="1:91" x14ac:dyDescent="0.15">
      <c r="A170" s="41">
        <v>168</v>
      </c>
      <c r="B170" s="43">
        <v>1</v>
      </c>
      <c r="C170" s="43">
        <v>1</v>
      </c>
      <c r="D170" s="43">
        <v>1</v>
      </c>
      <c r="E170" s="43">
        <v>1</v>
      </c>
      <c r="F170" s="43">
        <v>1</v>
      </c>
      <c r="G170" s="43">
        <v>1</v>
      </c>
      <c r="H170" s="43">
        <v>1</v>
      </c>
      <c r="I170" s="43">
        <v>1</v>
      </c>
      <c r="J170" s="43">
        <v>1</v>
      </c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2"/>
      <c r="CF170" s="52"/>
      <c r="CG170" s="52"/>
      <c r="CH170" s="52"/>
      <c r="CI170" s="52"/>
      <c r="CJ170" s="52"/>
      <c r="CK170" s="52"/>
      <c r="CL170" s="52"/>
      <c r="CM170" s="52"/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2"/>
      <c r="CF171" s="52"/>
      <c r="CG171" s="52"/>
      <c r="CH171" s="52"/>
      <c r="CI171" s="52"/>
      <c r="CJ171" s="52"/>
      <c r="CK171" s="52"/>
      <c r="CL171" s="52"/>
      <c r="CM171" s="52"/>
    </row>
    <row r="172" spans="1:91" x14ac:dyDescent="0.15">
      <c r="A172" s="41">
        <v>170</v>
      </c>
      <c r="B172" s="43">
        <v>1</v>
      </c>
      <c r="C172" s="43">
        <v>1</v>
      </c>
      <c r="D172" s="43">
        <v>1</v>
      </c>
      <c r="E172" s="43">
        <v>1</v>
      </c>
      <c r="F172" s="43">
        <v>1</v>
      </c>
      <c r="G172" s="43">
        <v>1</v>
      </c>
      <c r="H172" s="43">
        <v>1</v>
      </c>
      <c r="I172" s="43">
        <v>1</v>
      </c>
      <c r="J172" s="43">
        <v>1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2"/>
      <c r="CF172" s="52"/>
      <c r="CG172" s="52"/>
      <c r="CH172" s="52"/>
      <c r="CI172" s="52"/>
      <c r="CJ172" s="52"/>
      <c r="CK172" s="52"/>
      <c r="CL172" s="52"/>
      <c r="CM172" s="52"/>
    </row>
    <row r="173" spans="1:91" x14ac:dyDescent="0.15">
      <c r="A173" s="41">
        <v>171</v>
      </c>
      <c r="B173" s="43">
        <v>1</v>
      </c>
      <c r="C173" s="43">
        <v>1</v>
      </c>
      <c r="D173" s="43">
        <v>1</v>
      </c>
      <c r="E173" s="43">
        <v>1</v>
      </c>
      <c r="F173" s="43">
        <v>1</v>
      </c>
      <c r="G173" s="43">
        <v>1</v>
      </c>
      <c r="H173" s="43">
        <v>1</v>
      </c>
      <c r="I173" s="43">
        <v>1</v>
      </c>
      <c r="J173" s="43">
        <v>1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2"/>
      <c r="CF173" s="52"/>
      <c r="CG173" s="52"/>
      <c r="CH173" s="52"/>
      <c r="CI173" s="52"/>
      <c r="CJ173" s="52"/>
      <c r="CK173" s="52"/>
      <c r="CL173" s="52"/>
      <c r="CM173" s="52"/>
    </row>
    <row r="174" spans="1:91" x14ac:dyDescent="0.15">
      <c r="A174" s="41">
        <v>172</v>
      </c>
      <c r="B174" s="43">
        <v>1</v>
      </c>
      <c r="C174" s="43">
        <v>1</v>
      </c>
      <c r="D174" s="43">
        <v>1</v>
      </c>
      <c r="E174" s="43">
        <v>1</v>
      </c>
      <c r="F174" s="43">
        <v>1</v>
      </c>
      <c r="G174" s="43">
        <v>1</v>
      </c>
      <c r="H174" s="43">
        <v>1</v>
      </c>
      <c r="I174" s="43">
        <v>1</v>
      </c>
      <c r="J174" s="43">
        <v>1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2"/>
      <c r="CF174" s="52"/>
      <c r="CG174" s="52"/>
      <c r="CH174" s="52"/>
      <c r="CI174" s="52"/>
      <c r="CJ174" s="52"/>
      <c r="CK174" s="52"/>
      <c r="CL174" s="52"/>
      <c r="CM174" s="52"/>
    </row>
    <row r="175" spans="1:91" x14ac:dyDescent="0.15">
      <c r="A175" s="41">
        <v>173</v>
      </c>
      <c r="B175" s="43">
        <v>1</v>
      </c>
      <c r="C175" s="43">
        <v>1</v>
      </c>
      <c r="D175" s="43">
        <v>1</v>
      </c>
      <c r="E175" s="43">
        <v>1</v>
      </c>
      <c r="F175" s="43">
        <v>1</v>
      </c>
      <c r="G175" s="43">
        <v>1</v>
      </c>
      <c r="H175" s="43">
        <v>1</v>
      </c>
      <c r="I175" s="43">
        <v>1</v>
      </c>
      <c r="J175" s="43">
        <v>1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2"/>
      <c r="CF175" s="52"/>
      <c r="CG175" s="52"/>
      <c r="CH175" s="52"/>
      <c r="CI175" s="52"/>
      <c r="CJ175" s="52"/>
      <c r="CK175" s="52"/>
      <c r="CL175" s="52"/>
      <c r="CM175" s="52"/>
    </row>
    <row r="176" spans="1:91" x14ac:dyDescent="0.15">
      <c r="A176" s="41">
        <v>174</v>
      </c>
      <c r="B176" s="43">
        <v>1</v>
      </c>
      <c r="C176" s="43">
        <v>1</v>
      </c>
      <c r="D176" s="43">
        <v>1</v>
      </c>
      <c r="E176" s="43">
        <v>1</v>
      </c>
      <c r="F176" s="43">
        <v>1</v>
      </c>
      <c r="G176" s="43">
        <v>1</v>
      </c>
      <c r="H176" s="43">
        <v>1</v>
      </c>
      <c r="I176" s="43">
        <v>1</v>
      </c>
      <c r="J176" s="43">
        <v>1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2"/>
      <c r="CF176" s="52"/>
      <c r="CG176" s="52"/>
      <c r="CH176" s="52"/>
      <c r="CI176" s="52"/>
      <c r="CJ176" s="52"/>
      <c r="CK176" s="52"/>
      <c r="CL176" s="52"/>
      <c r="CM176" s="52"/>
    </row>
    <row r="177" spans="1:91" x14ac:dyDescent="0.15">
      <c r="A177" s="41">
        <v>175</v>
      </c>
      <c r="B177" s="43">
        <v>1</v>
      </c>
      <c r="C177" s="43">
        <v>1</v>
      </c>
      <c r="D177" s="43">
        <v>1</v>
      </c>
      <c r="E177" s="43">
        <v>1</v>
      </c>
      <c r="F177" s="43">
        <v>1</v>
      </c>
      <c r="G177" s="43">
        <v>1</v>
      </c>
      <c r="H177" s="43">
        <v>1</v>
      </c>
      <c r="I177" s="43">
        <v>1</v>
      </c>
      <c r="J177" s="43">
        <v>1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2"/>
      <c r="CF177" s="52"/>
      <c r="CG177" s="52"/>
      <c r="CH177" s="52"/>
      <c r="CI177" s="52"/>
      <c r="CJ177" s="52"/>
      <c r="CK177" s="52"/>
      <c r="CL177" s="52"/>
      <c r="CM177" s="52"/>
    </row>
    <row r="178" spans="1:91" x14ac:dyDescent="0.15">
      <c r="A178" s="41">
        <v>176</v>
      </c>
      <c r="B178" s="43">
        <v>1</v>
      </c>
      <c r="C178" s="43">
        <v>1</v>
      </c>
      <c r="D178" s="43">
        <v>1</v>
      </c>
      <c r="E178" s="43">
        <v>1</v>
      </c>
      <c r="F178" s="43">
        <v>1</v>
      </c>
      <c r="G178" s="43">
        <v>1</v>
      </c>
      <c r="H178" s="43">
        <v>1</v>
      </c>
      <c r="I178" s="43">
        <v>1</v>
      </c>
      <c r="J178" s="43">
        <v>1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2"/>
      <c r="CF178" s="52"/>
      <c r="CG178" s="52"/>
      <c r="CH178" s="52"/>
      <c r="CI178" s="52"/>
      <c r="CJ178" s="52"/>
      <c r="CK178" s="52"/>
      <c r="CL178" s="52"/>
      <c r="CM178" s="52"/>
    </row>
    <row r="179" spans="1:91" x14ac:dyDescent="0.15">
      <c r="A179" s="41">
        <v>177</v>
      </c>
      <c r="B179" s="43">
        <v>1</v>
      </c>
      <c r="C179" s="43">
        <v>1</v>
      </c>
      <c r="D179" s="43">
        <v>1</v>
      </c>
      <c r="E179" s="43">
        <v>1</v>
      </c>
      <c r="F179" s="43">
        <v>1</v>
      </c>
      <c r="G179" s="43">
        <v>1</v>
      </c>
      <c r="H179" s="43">
        <v>1</v>
      </c>
      <c r="I179" s="43">
        <v>1</v>
      </c>
      <c r="J179" s="43">
        <v>1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2"/>
      <c r="CF179" s="52"/>
      <c r="CG179" s="52"/>
      <c r="CH179" s="52"/>
      <c r="CI179" s="52"/>
      <c r="CJ179" s="52"/>
      <c r="CK179" s="52"/>
      <c r="CL179" s="52"/>
      <c r="CM179" s="52"/>
    </row>
    <row r="180" spans="1:91" x14ac:dyDescent="0.15">
      <c r="A180" s="41">
        <v>178</v>
      </c>
      <c r="B180" s="43">
        <v>1</v>
      </c>
      <c r="C180" s="43">
        <v>1</v>
      </c>
      <c r="D180" s="43">
        <v>1</v>
      </c>
      <c r="E180" s="43">
        <v>1</v>
      </c>
      <c r="F180" s="43">
        <v>1</v>
      </c>
      <c r="G180" s="43">
        <v>1</v>
      </c>
      <c r="H180" s="43">
        <v>1</v>
      </c>
      <c r="I180" s="43">
        <v>1</v>
      </c>
      <c r="J180" s="43">
        <v>1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2"/>
      <c r="CF180" s="52"/>
      <c r="CG180" s="52"/>
      <c r="CH180" s="52"/>
      <c r="CI180" s="52"/>
      <c r="CJ180" s="52"/>
      <c r="CK180" s="52"/>
      <c r="CL180" s="52"/>
      <c r="CM180" s="52"/>
    </row>
    <row r="181" spans="1:91" x14ac:dyDescent="0.15">
      <c r="A181" s="41">
        <v>179</v>
      </c>
      <c r="B181" s="43">
        <v>1</v>
      </c>
      <c r="C181" s="43">
        <v>1</v>
      </c>
      <c r="D181" s="43">
        <v>1</v>
      </c>
      <c r="E181" s="43">
        <v>1</v>
      </c>
      <c r="F181" s="43">
        <v>1</v>
      </c>
      <c r="G181" s="43">
        <v>1</v>
      </c>
      <c r="H181" s="43">
        <v>1</v>
      </c>
      <c r="I181" s="43">
        <v>1</v>
      </c>
      <c r="J181" s="43">
        <v>1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2"/>
      <c r="CF181" s="52"/>
      <c r="CG181" s="52"/>
      <c r="CH181" s="52"/>
      <c r="CI181" s="52"/>
      <c r="CJ181" s="52"/>
      <c r="CK181" s="52"/>
      <c r="CL181" s="52"/>
      <c r="CM181" s="52"/>
    </row>
    <row r="182" spans="1:91" x14ac:dyDescent="0.15">
      <c r="A182" s="41">
        <v>180</v>
      </c>
      <c r="B182" s="43">
        <v>1</v>
      </c>
      <c r="C182" s="43">
        <v>1</v>
      </c>
      <c r="D182" s="43">
        <v>1</v>
      </c>
      <c r="E182" s="43">
        <v>1</v>
      </c>
      <c r="F182" s="43">
        <v>1</v>
      </c>
      <c r="G182" s="43">
        <v>1</v>
      </c>
      <c r="H182" s="43">
        <v>1</v>
      </c>
      <c r="I182" s="43">
        <v>1</v>
      </c>
      <c r="J182" s="43">
        <v>1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53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2"/>
      <c r="CF182" s="52"/>
      <c r="CG182" s="52"/>
      <c r="CH182" s="52"/>
      <c r="CI182" s="52"/>
      <c r="CJ182" s="52"/>
      <c r="CK182" s="52"/>
      <c r="CL182" s="52"/>
      <c r="CM182" s="52"/>
    </row>
    <row r="183" spans="1:91" x14ac:dyDescent="0.15">
      <c r="K183" s="61"/>
      <c r="BV183" s="61"/>
    </row>
    <row r="188" spans="1:91" x14ac:dyDescent="0.15">
      <c r="B188" s="144" t="s">
        <v>188</v>
      </c>
      <c r="C188" s="144"/>
      <c r="D188" s="144"/>
      <c r="E188" s="144"/>
      <c r="F188" s="144"/>
      <c r="G188" s="144"/>
      <c r="H188" s="144"/>
      <c r="I188" s="144"/>
      <c r="J188" s="144"/>
      <c r="K188" s="144" t="s">
        <v>197</v>
      </c>
      <c r="L188" s="144"/>
      <c r="M188" s="144"/>
      <c r="N188" s="144"/>
      <c r="O188" s="144"/>
      <c r="P188" s="144"/>
      <c r="Q188" s="144"/>
      <c r="R188" s="144"/>
      <c r="S188" s="144"/>
      <c r="T188" s="144" t="s">
        <v>206</v>
      </c>
      <c r="U188" s="144"/>
      <c r="V188" s="144"/>
      <c r="W188" s="144"/>
      <c r="X188" s="144"/>
      <c r="Y188" s="144"/>
      <c r="Z188" s="144"/>
      <c r="AA188" s="144"/>
      <c r="AB188" s="144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1">T191*rhomax/1000</f>
        <v>36</v>
      </c>
      <c r="U190" s="42">
        <f t="shared" si="1"/>
        <v>72</v>
      </c>
      <c r="V190" s="42">
        <f t="shared" si="1"/>
        <v>36</v>
      </c>
      <c r="W190" s="42">
        <f t="shared" si="1"/>
        <v>108</v>
      </c>
      <c r="X190" s="42">
        <f t="shared" si="1"/>
        <v>45</v>
      </c>
      <c r="Y190" s="42">
        <f t="shared" si="1"/>
        <v>72</v>
      </c>
      <c r="Z190" s="42">
        <f t="shared" si="1"/>
        <v>72</v>
      </c>
      <c r="AA190" s="42">
        <f t="shared" si="1"/>
        <v>36</v>
      </c>
      <c r="AB190" s="42">
        <f t="shared" si="1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44" t="s">
        <v>252</v>
      </c>
      <c r="C192" s="144"/>
      <c r="D192" s="144"/>
      <c r="E192" s="144"/>
      <c r="F192" s="144"/>
      <c r="G192" s="144"/>
      <c r="H192" s="144"/>
      <c r="I192" s="144"/>
      <c r="J192" s="144"/>
      <c r="K192" s="144" t="s">
        <v>301</v>
      </c>
      <c r="L192" s="144"/>
      <c r="M192" s="144"/>
      <c r="N192" s="144"/>
      <c r="O192" s="144"/>
      <c r="P192" s="144"/>
      <c r="Q192" s="144"/>
      <c r="R192" s="144"/>
      <c r="S192" s="144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>
        <v>0</v>
      </c>
      <c r="C194" s="66">
        <v>0</v>
      </c>
      <c r="D194" s="66">
        <v>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42">
        <f>K195*K190</f>
        <v>2000</v>
      </c>
      <c r="L194" s="42">
        <f t="shared" ref="L194:S194" si="2">L195*L190</f>
        <v>4000</v>
      </c>
      <c r="M194" s="42">
        <f t="shared" si="2"/>
        <v>2000</v>
      </c>
      <c r="N194" s="42">
        <f t="shared" si="2"/>
        <v>4000</v>
      </c>
      <c r="O194" s="42">
        <f t="shared" si="2"/>
        <v>2000</v>
      </c>
      <c r="P194" s="42">
        <f t="shared" si="2"/>
        <v>6000</v>
      </c>
      <c r="Q194" s="42">
        <f t="shared" si="2"/>
        <v>2000</v>
      </c>
      <c r="R194" s="42">
        <f t="shared" si="2"/>
        <v>4000</v>
      </c>
      <c r="S194" s="42">
        <f t="shared" si="2"/>
        <v>2000</v>
      </c>
    </row>
    <row r="195" spans="2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7" spans="2:19" x14ac:dyDescent="0.15">
      <c r="B197" s="47" t="s">
        <v>305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306</v>
      </c>
      <c r="C198" s="108">
        <v>0</v>
      </c>
      <c r="D198" s="108">
        <f>queue1*rhomax/1000</f>
        <v>0</v>
      </c>
      <c r="E198" s="108">
        <v>0</v>
      </c>
      <c r="F198" s="108">
        <f>queue2*rhomax/1000</f>
        <v>0</v>
      </c>
      <c r="G198" s="108">
        <f>queue3*rhomax/1000</f>
        <v>0</v>
      </c>
      <c r="H198" s="108">
        <f>queue4*rhomax/1000</f>
        <v>0</v>
      </c>
      <c r="I198" s="108">
        <f>queue5*rhomax/1000</f>
        <v>0</v>
      </c>
      <c r="J198" s="108">
        <f>queue6*rhomax/1000</f>
        <v>0</v>
      </c>
      <c r="K198" s="108">
        <f>queue7*rhomax/1000</f>
        <v>0</v>
      </c>
      <c r="L198" s="108">
        <f>queue8*rhomax/1000</f>
        <v>0</v>
      </c>
      <c r="M198" s="108">
        <v>0</v>
      </c>
      <c r="N198" s="108">
        <f>queue9*rhomax/1000</f>
        <v>0</v>
      </c>
      <c r="O198" s="108">
        <v>0</v>
      </c>
    </row>
    <row r="199" spans="2:19" x14ac:dyDescent="0.15">
      <c r="B199" s="47" t="s">
        <v>442</v>
      </c>
      <c r="C199" s="108">
        <v>0</v>
      </c>
      <c r="D199" s="108">
        <f>T190</f>
        <v>36</v>
      </c>
      <c r="E199" s="108">
        <v>0</v>
      </c>
      <c r="F199" s="108">
        <f t="shared" ref="F199:L199" si="3">U190</f>
        <v>72</v>
      </c>
      <c r="G199" s="108">
        <f t="shared" si="3"/>
        <v>36</v>
      </c>
      <c r="H199" s="108">
        <f t="shared" si="3"/>
        <v>108</v>
      </c>
      <c r="I199" s="108">
        <f t="shared" si="3"/>
        <v>45</v>
      </c>
      <c r="J199" s="108">
        <f t="shared" si="3"/>
        <v>72</v>
      </c>
      <c r="K199" s="108">
        <f t="shared" si="3"/>
        <v>72</v>
      </c>
      <c r="L199" s="108">
        <f t="shared" si="3"/>
        <v>36</v>
      </c>
      <c r="M199" s="108">
        <v>0</v>
      </c>
      <c r="N199" s="108">
        <f>AB190</f>
        <v>36</v>
      </c>
      <c r="O199" s="108">
        <v>0</v>
      </c>
    </row>
    <row r="200" spans="2:19" x14ac:dyDescent="0.15">
      <c r="B200" s="47" t="s">
        <v>449</v>
      </c>
      <c r="C200" s="109">
        <v>0</v>
      </c>
      <c r="D200" s="109">
        <v>100</v>
      </c>
      <c r="E200" s="109">
        <v>0</v>
      </c>
      <c r="F200" s="109">
        <v>164</v>
      </c>
      <c r="G200" s="109">
        <v>20</v>
      </c>
      <c r="H200" s="109">
        <v>28</v>
      </c>
      <c r="I200" s="109">
        <v>124</v>
      </c>
      <c r="J200" s="109">
        <v>564</v>
      </c>
      <c r="K200" s="109">
        <v>36</v>
      </c>
      <c r="L200" s="109">
        <v>32</v>
      </c>
      <c r="M200" s="109">
        <v>0</v>
      </c>
      <c r="N200" s="109">
        <v>0</v>
      </c>
      <c r="O200" s="109">
        <v>0</v>
      </c>
    </row>
    <row r="202" spans="2:19" x14ac:dyDescent="0.15">
      <c r="B202" s="47" t="s">
        <v>453</v>
      </c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</row>
  </sheetData>
  <mergeCells count="16">
    <mergeCell ref="B192:J192"/>
    <mergeCell ref="BV1:CD1"/>
    <mergeCell ref="CE1:CM1"/>
    <mergeCell ref="B188:J188"/>
    <mergeCell ref="K188:S188"/>
    <mergeCell ref="BD1:BL1"/>
    <mergeCell ref="T188:AB188"/>
    <mergeCell ref="K192:S192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6"/>
  <sheetViews>
    <sheetView topLeftCell="A175" zoomScale="70" zoomScaleNormal="70" workbookViewId="0">
      <selection activeCell="B206" sqref="B206"/>
    </sheetView>
  </sheetViews>
  <sheetFormatPr defaultRowHeight="14.25" x14ac:dyDescent="0.15"/>
  <cols>
    <col min="1" max="16384" width="9" style="47"/>
  </cols>
  <sheetData>
    <row r="1" spans="1:28" x14ac:dyDescent="0.15">
      <c r="A1" s="141" t="s">
        <v>185</v>
      </c>
      <c r="B1" s="148" t="s">
        <v>165</v>
      </c>
      <c r="C1" s="149"/>
      <c r="D1" s="149"/>
      <c r="E1" s="149"/>
      <c r="F1" s="149"/>
      <c r="G1" s="149"/>
      <c r="H1" s="149"/>
      <c r="I1" s="149"/>
      <c r="J1" s="149"/>
      <c r="K1" s="150"/>
      <c r="L1" s="144" t="s">
        <v>198</v>
      </c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59"/>
    </row>
    <row r="2" spans="1:28" x14ac:dyDescent="0.15">
      <c r="A2" s="142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227</v>
      </c>
      <c r="W2" s="40" t="s">
        <v>228</v>
      </c>
      <c r="X2" s="40" t="s">
        <v>229</v>
      </c>
      <c r="Y2" s="40" t="s">
        <v>230</v>
      </c>
      <c r="Z2" s="40" t="s">
        <v>231</v>
      </c>
      <c r="AA2" s="40" t="s">
        <v>232</v>
      </c>
      <c r="AB2" s="59"/>
    </row>
    <row r="3" spans="1:28" x14ac:dyDescent="0.15">
      <c r="A3" s="46">
        <v>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48">
        <f>MAX((B195-B194+B196),0)/(A189*Q189)</f>
        <v>0</v>
      </c>
      <c r="M3" s="48">
        <f>MAX((C195-C194+C196),0)/(B189*R189)</f>
        <v>0</v>
      </c>
      <c r="N3" s="48">
        <f>MAX((D195-D194+D196),0)/(C189*S189)</f>
        <v>0</v>
      </c>
      <c r="O3" s="48">
        <f>MAX((E195-E194+E196),0)/(D189*T189)</f>
        <v>0</v>
      </c>
      <c r="P3" s="66"/>
      <c r="Q3" s="66"/>
      <c r="R3" s="48">
        <f t="shared" ref="R3:W3" si="0">MAX((H195-H194+H196),0)/(G189*W189)</f>
        <v>0</v>
      </c>
      <c r="S3" s="48">
        <f t="shared" si="0"/>
        <v>6.5537241537503688</v>
      </c>
      <c r="T3" s="48">
        <f t="shared" si="0"/>
        <v>2.0239883094435247</v>
      </c>
      <c r="U3" s="48">
        <f t="shared" si="0"/>
        <v>0</v>
      </c>
      <c r="V3" s="48">
        <f t="shared" si="0"/>
        <v>0</v>
      </c>
      <c r="W3" s="48">
        <f t="shared" si="0"/>
        <v>0</v>
      </c>
      <c r="X3" s="48">
        <f t="shared" ref="X3:AA3" si="1">MAX((N195-N194+N196),0)/(M189*AC189)</f>
        <v>11.533759313510645</v>
      </c>
      <c r="Y3" s="48">
        <f t="shared" si="1"/>
        <v>6.2635252999445674</v>
      </c>
      <c r="Z3" s="48">
        <f t="shared" si="1"/>
        <v>6.2987761477944844</v>
      </c>
      <c r="AA3" s="48">
        <f t="shared" si="1"/>
        <v>0</v>
      </c>
    </row>
    <row r="4" spans="1:28" x14ac:dyDescent="0.15">
      <c r="A4" s="46">
        <v>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52"/>
      <c r="M4" s="52"/>
      <c r="N4" s="52"/>
      <c r="O4" s="52"/>
      <c r="P4" s="66"/>
      <c r="Q4" s="66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8" x14ac:dyDescent="0.15">
      <c r="A5" s="46">
        <v>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52"/>
      <c r="M5" s="52"/>
      <c r="N5" s="52"/>
      <c r="O5" s="52"/>
      <c r="P5" s="66"/>
      <c r="Q5" s="66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8" x14ac:dyDescent="0.15">
      <c r="A6" s="46">
        <v>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52"/>
      <c r="M6" s="52"/>
      <c r="N6" s="52"/>
      <c r="O6" s="52"/>
      <c r="P6" s="66"/>
      <c r="Q6" s="66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8" x14ac:dyDescent="0.15">
      <c r="A7" s="46">
        <v>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52"/>
      <c r="M7" s="52"/>
      <c r="N7" s="52"/>
      <c r="O7" s="52"/>
      <c r="P7" s="66"/>
      <c r="Q7" s="66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8" x14ac:dyDescent="0.15">
      <c r="A8" s="46">
        <v>6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52"/>
      <c r="M8" s="52"/>
      <c r="N8" s="52"/>
      <c r="O8" s="52"/>
      <c r="P8" s="66"/>
      <c r="Q8" s="66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8" x14ac:dyDescent="0.15">
      <c r="A9" s="46">
        <v>7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52"/>
      <c r="M9" s="52"/>
      <c r="N9" s="52"/>
      <c r="O9" s="52"/>
      <c r="P9" s="66"/>
      <c r="Q9" s="66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8" x14ac:dyDescent="0.15">
      <c r="A10" s="46">
        <v>8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52"/>
      <c r="M10" s="52"/>
      <c r="N10" s="52"/>
      <c r="O10" s="52"/>
      <c r="P10" s="66"/>
      <c r="Q10" s="66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8" x14ac:dyDescent="0.15">
      <c r="A11" s="46">
        <v>9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52"/>
      <c r="M11" s="52"/>
      <c r="N11" s="52"/>
      <c r="O11" s="52"/>
      <c r="P11" s="66"/>
      <c r="Q11" s="66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8" x14ac:dyDescent="0.15">
      <c r="A12" s="46">
        <v>10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52"/>
      <c r="M12" s="52"/>
      <c r="N12" s="52"/>
      <c r="O12" s="52"/>
      <c r="P12" s="66"/>
      <c r="Q12" s="66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8" x14ac:dyDescent="0.15">
      <c r="A13" s="46">
        <v>11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52"/>
      <c r="M13" s="52"/>
      <c r="N13" s="52"/>
      <c r="O13" s="52"/>
      <c r="P13" s="66"/>
      <c r="Q13" s="66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8" x14ac:dyDescent="0.15">
      <c r="A14" s="46">
        <v>12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52"/>
      <c r="M14" s="52"/>
      <c r="N14" s="52"/>
      <c r="O14" s="52"/>
      <c r="P14" s="66"/>
      <c r="Q14" s="66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8" x14ac:dyDescent="0.15">
      <c r="A15" s="46">
        <v>13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52"/>
      <c r="M15" s="52"/>
      <c r="N15" s="52"/>
      <c r="O15" s="52"/>
      <c r="P15" s="66"/>
      <c r="Q15" s="66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8" x14ac:dyDescent="0.15">
      <c r="A16" s="46">
        <v>14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52"/>
      <c r="M16" s="52"/>
      <c r="N16" s="52"/>
      <c r="O16" s="52"/>
      <c r="P16" s="66"/>
      <c r="Q16" s="66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15">
      <c r="A17" s="46">
        <v>15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52"/>
      <c r="M17" s="52"/>
      <c r="N17" s="52"/>
      <c r="O17" s="52"/>
      <c r="P17" s="66"/>
      <c r="Q17" s="66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15">
      <c r="A18" s="46">
        <v>16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52"/>
      <c r="M18" s="52"/>
      <c r="N18" s="52"/>
      <c r="O18" s="52"/>
      <c r="P18" s="66"/>
      <c r="Q18" s="66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15">
      <c r="A19" s="46">
        <v>17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52"/>
      <c r="M19" s="52"/>
      <c r="N19" s="52"/>
      <c r="O19" s="52"/>
      <c r="P19" s="66"/>
      <c r="Q19" s="66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15">
      <c r="A20" s="46">
        <v>18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52"/>
      <c r="M20" s="52"/>
      <c r="N20" s="52"/>
      <c r="O20" s="52"/>
      <c r="P20" s="66"/>
      <c r="Q20" s="66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15">
      <c r="A21" s="46">
        <v>19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52"/>
      <c r="M21" s="52"/>
      <c r="N21" s="52"/>
      <c r="O21" s="52"/>
      <c r="P21" s="66"/>
      <c r="Q21" s="66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15">
      <c r="A22" s="46">
        <v>20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52"/>
      <c r="M22" s="52"/>
      <c r="N22" s="52"/>
      <c r="O22" s="52"/>
      <c r="P22" s="66"/>
      <c r="Q22" s="66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15">
      <c r="A23" s="46">
        <v>21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52"/>
      <c r="M23" s="52"/>
      <c r="N23" s="52"/>
      <c r="O23" s="52"/>
      <c r="P23" s="66"/>
      <c r="Q23" s="66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15">
      <c r="A24" s="46">
        <v>22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52"/>
      <c r="M24" s="52"/>
      <c r="N24" s="52"/>
      <c r="O24" s="52"/>
      <c r="P24" s="66"/>
      <c r="Q24" s="66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15">
      <c r="A25" s="46">
        <v>23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52"/>
      <c r="M25" s="52"/>
      <c r="N25" s="52"/>
      <c r="O25" s="52"/>
      <c r="P25" s="66"/>
      <c r="Q25" s="66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15">
      <c r="A26" s="46">
        <v>24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52"/>
      <c r="M26" s="52"/>
      <c r="N26" s="52"/>
      <c r="O26" s="52"/>
      <c r="P26" s="66"/>
      <c r="Q26" s="66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15">
      <c r="A27" s="46">
        <v>25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52"/>
      <c r="M27" s="52"/>
      <c r="N27" s="52"/>
      <c r="O27" s="52"/>
      <c r="P27" s="66"/>
      <c r="Q27" s="66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15">
      <c r="A28" s="46">
        <v>26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52"/>
      <c r="M28" s="52"/>
      <c r="N28" s="52"/>
      <c r="O28" s="52"/>
      <c r="P28" s="66"/>
      <c r="Q28" s="66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15">
      <c r="A29" s="46">
        <v>27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52"/>
      <c r="M29" s="52"/>
      <c r="N29" s="52"/>
      <c r="O29" s="52"/>
      <c r="P29" s="66"/>
      <c r="Q29" s="66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15">
      <c r="A30" s="46">
        <v>28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52"/>
      <c r="M30" s="52"/>
      <c r="N30" s="52"/>
      <c r="O30" s="52"/>
      <c r="P30" s="66"/>
      <c r="Q30" s="66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15">
      <c r="A31" s="46">
        <v>29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52"/>
      <c r="M31" s="52"/>
      <c r="N31" s="52"/>
      <c r="O31" s="52"/>
      <c r="P31" s="66"/>
      <c r="Q31" s="66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15">
      <c r="A32" s="46">
        <v>30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52"/>
      <c r="M32" s="52"/>
      <c r="N32" s="52"/>
      <c r="O32" s="52"/>
      <c r="P32" s="66"/>
      <c r="Q32" s="66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15">
      <c r="A33" s="46">
        <v>31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52"/>
      <c r="M33" s="52"/>
      <c r="N33" s="52"/>
      <c r="O33" s="52"/>
      <c r="P33" s="66"/>
      <c r="Q33" s="66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15">
      <c r="A34" s="46">
        <v>32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52"/>
      <c r="M34" s="52"/>
      <c r="N34" s="52"/>
      <c r="O34" s="52"/>
      <c r="P34" s="66"/>
      <c r="Q34" s="66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15">
      <c r="A35" s="46">
        <v>33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52"/>
      <c r="M35" s="52"/>
      <c r="N35" s="52"/>
      <c r="O35" s="52"/>
      <c r="P35" s="66"/>
      <c r="Q35" s="66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15">
      <c r="A36" s="46">
        <v>34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52"/>
      <c r="M36" s="52"/>
      <c r="N36" s="52"/>
      <c r="O36" s="52"/>
      <c r="P36" s="66"/>
      <c r="Q36" s="66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15">
      <c r="A37" s="46">
        <v>35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52"/>
      <c r="M37" s="52"/>
      <c r="N37" s="52"/>
      <c r="O37" s="52"/>
      <c r="P37" s="66"/>
      <c r="Q37" s="66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15">
      <c r="A38" s="46">
        <v>36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52"/>
      <c r="M38" s="52"/>
      <c r="N38" s="52"/>
      <c r="O38" s="52"/>
      <c r="P38" s="66"/>
      <c r="Q38" s="66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15">
      <c r="A39" s="46">
        <v>37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52"/>
      <c r="M39" s="52"/>
      <c r="N39" s="52"/>
      <c r="O39" s="52"/>
      <c r="P39" s="66"/>
      <c r="Q39" s="66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15">
      <c r="A40" s="46">
        <v>38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52"/>
      <c r="M40" s="52"/>
      <c r="N40" s="52"/>
      <c r="O40" s="52"/>
      <c r="P40" s="66"/>
      <c r="Q40" s="66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15">
      <c r="A41" s="46">
        <v>39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52"/>
      <c r="M41" s="52"/>
      <c r="N41" s="52"/>
      <c r="O41" s="52"/>
      <c r="P41" s="66"/>
      <c r="Q41" s="66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15">
      <c r="A42" s="46">
        <v>40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52"/>
      <c r="M42" s="52"/>
      <c r="N42" s="52"/>
      <c r="O42" s="52"/>
      <c r="P42" s="66"/>
      <c r="Q42" s="66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15">
      <c r="A43" s="46">
        <v>41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52"/>
      <c r="M43" s="52"/>
      <c r="N43" s="52"/>
      <c r="O43" s="52"/>
      <c r="P43" s="66"/>
      <c r="Q43" s="66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15">
      <c r="A44" s="46">
        <v>42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52"/>
      <c r="M44" s="52"/>
      <c r="N44" s="52"/>
      <c r="O44" s="52"/>
      <c r="P44" s="66"/>
      <c r="Q44" s="66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15">
      <c r="A45" s="46">
        <v>43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52"/>
      <c r="M45" s="52"/>
      <c r="N45" s="52"/>
      <c r="O45" s="52"/>
      <c r="P45" s="66"/>
      <c r="Q45" s="66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15">
      <c r="A46" s="46">
        <v>44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52"/>
      <c r="M46" s="52"/>
      <c r="N46" s="52"/>
      <c r="O46" s="52"/>
      <c r="P46" s="66"/>
      <c r="Q46" s="66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15">
      <c r="A47" s="46">
        <v>45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52"/>
      <c r="M47" s="52"/>
      <c r="N47" s="52"/>
      <c r="O47" s="52"/>
      <c r="P47" s="66"/>
      <c r="Q47" s="66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15">
      <c r="A48" s="46">
        <v>46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52"/>
      <c r="M48" s="52"/>
      <c r="N48" s="52"/>
      <c r="O48" s="52"/>
      <c r="P48" s="66"/>
      <c r="Q48" s="66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15">
      <c r="A49" s="46">
        <v>47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52"/>
      <c r="M49" s="52"/>
      <c r="N49" s="52"/>
      <c r="O49" s="52"/>
      <c r="P49" s="66"/>
      <c r="Q49" s="66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15">
      <c r="A50" s="46">
        <v>48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52"/>
      <c r="M50" s="52"/>
      <c r="N50" s="52"/>
      <c r="O50" s="52"/>
      <c r="P50" s="66"/>
      <c r="Q50" s="66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15">
      <c r="A51" s="46">
        <v>49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52"/>
      <c r="M51" s="52"/>
      <c r="N51" s="52"/>
      <c r="O51" s="52"/>
      <c r="P51" s="66"/>
      <c r="Q51" s="66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15">
      <c r="A52" s="46">
        <v>50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52"/>
      <c r="M52" s="52"/>
      <c r="N52" s="52"/>
      <c r="O52" s="52"/>
      <c r="P52" s="66"/>
      <c r="Q52" s="66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15">
      <c r="A53" s="46">
        <v>51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52"/>
      <c r="M53" s="52"/>
      <c r="N53" s="52"/>
      <c r="O53" s="52"/>
      <c r="P53" s="66"/>
      <c r="Q53" s="66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15">
      <c r="A54" s="46">
        <v>52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52"/>
      <c r="M54" s="52"/>
      <c r="N54" s="52"/>
      <c r="O54" s="52"/>
      <c r="P54" s="66"/>
      <c r="Q54" s="66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15">
      <c r="A55" s="46">
        <v>53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52"/>
      <c r="M55" s="52"/>
      <c r="N55" s="52"/>
      <c r="O55" s="52"/>
      <c r="P55" s="66"/>
      <c r="Q55" s="66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15">
      <c r="A56" s="46">
        <v>54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52"/>
      <c r="M56" s="52"/>
      <c r="N56" s="52"/>
      <c r="O56" s="52"/>
      <c r="P56" s="66"/>
      <c r="Q56" s="66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15">
      <c r="A57" s="46">
        <v>55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52"/>
      <c r="M57" s="52"/>
      <c r="N57" s="52"/>
      <c r="O57" s="52"/>
      <c r="P57" s="66"/>
      <c r="Q57" s="66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15">
      <c r="A58" s="46">
        <v>56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52"/>
      <c r="M58" s="52"/>
      <c r="N58" s="52"/>
      <c r="O58" s="52"/>
      <c r="P58" s="66"/>
      <c r="Q58" s="66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15">
      <c r="A59" s="46">
        <v>57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52"/>
      <c r="M59" s="52"/>
      <c r="N59" s="52"/>
      <c r="O59" s="52"/>
      <c r="P59" s="66"/>
      <c r="Q59" s="66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15">
      <c r="A60" s="46">
        <v>58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52"/>
      <c r="M60" s="52"/>
      <c r="N60" s="52"/>
      <c r="O60" s="52"/>
      <c r="P60" s="66"/>
      <c r="Q60" s="66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15">
      <c r="A61" s="46">
        <v>59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52"/>
      <c r="M61" s="52"/>
      <c r="N61" s="52"/>
      <c r="O61" s="52"/>
      <c r="P61" s="66"/>
      <c r="Q61" s="66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15">
      <c r="A62" s="46">
        <v>60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52"/>
      <c r="M62" s="52"/>
      <c r="N62" s="52"/>
      <c r="O62" s="52"/>
      <c r="P62" s="66"/>
      <c r="Q62" s="66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15">
      <c r="A63" s="46">
        <v>61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52"/>
      <c r="M63" s="52"/>
      <c r="N63" s="52"/>
      <c r="O63" s="52"/>
      <c r="P63" s="66"/>
      <c r="Q63" s="66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15">
      <c r="A64" s="46">
        <v>62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52"/>
      <c r="M64" s="52"/>
      <c r="N64" s="52"/>
      <c r="O64" s="52"/>
      <c r="P64" s="66"/>
      <c r="Q64" s="66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15">
      <c r="A65" s="46">
        <v>63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52"/>
      <c r="M65" s="52"/>
      <c r="N65" s="52"/>
      <c r="O65" s="52"/>
      <c r="P65" s="66"/>
      <c r="Q65" s="66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15">
      <c r="A66" s="46">
        <v>64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52"/>
      <c r="M66" s="52"/>
      <c r="N66" s="52"/>
      <c r="O66" s="52"/>
      <c r="P66" s="66"/>
      <c r="Q66" s="66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15">
      <c r="A67" s="46">
        <v>65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52"/>
      <c r="M67" s="52"/>
      <c r="N67" s="52"/>
      <c r="O67" s="52"/>
      <c r="P67" s="66"/>
      <c r="Q67" s="66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15">
      <c r="A68" s="46">
        <v>66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52"/>
      <c r="M68" s="52"/>
      <c r="N68" s="52"/>
      <c r="O68" s="52"/>
      <c r="P68" s="66"/>
      <c r="Q68" s="66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15">
      <c r="A69" s="46">
        <v>67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52"/>
      <c r="M69" s="52"/>
      <c r="N69" s="52"/>
      <c r="O69" s="52"/>
      <c r="P69" s="66"/>
      <c r="Q69" s="66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15">
      <c r="A70" s="46">
        <v>68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52"/>
      <c r="M70" s="52"/>
      <c r="N70" s="52"/>
      <c r="O70" s="52"/>
      <c r="P70" s="66"/>
      <c r="Q70" s="66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15">
      <c r="A71" s="46">
        <v>69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52"/>
      <c r="M71" s="52"/>
      <c r="N71" s="52"/>
      <c r="O71" s="52"/>
      <c r="P71" s="66"/>
      <c r="Q71" s="66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15">
      <c r="A72" s="46">
        <v>70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52"/>
      <c r="M72" s="52"/>
      <c r="N72" s="52"/>
      <c r="O72" s="52"/>
      <c r="P72" s="66"/>
      <c r="Q72" s="66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15">
      <c r="A73" s="46">
        <v>71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52"/>
      <c r="M73" s="52"/>
      <c r="N73" s="52"/>
      <c r="O73" s="52"/>
      <c r="P73" s="66"/>
      <c r="Q73" s="66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15">
      <c r="A74" s="46">
        <v>72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52"/>
      <c r="M74" s="52"/>
      <c r="N74" s="52"/>
      <c r="O74" s="52"/>
      <c r="P74" s="66"/>
      <c r="Q74" s="66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15">
      <c r="A75" s="46">
        <v>73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52"/>
      <c r="M75" s="52"/>
      <c r="N75" s="52"/>
      <c r="O75" s="52"/>
      <c r="P75" s="66"/>
      <c r="Q75" s="66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15">
      <c r="A76" s="46">
        <v>74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52"/>
      <c r="M76" s="52"/>
      <c r="N76" s="52"/>
      <c r="O76" s="52"/>
      <c r="P76" s="66"/>
      <c r="Q76" s="66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15">
      <c r="A77" s="46">
        <v>75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52"/>
      <c r="M77" s="52"/>
      <c r="N77" s="52"/>
      <c r="O77" s="52"/>
      <c r="P77" s="66"/>
      <c r="Q77" s="66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15">
      <c r="A78" s="46">
        <v>76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52"/>
      <c r="M78" s="52"/>
      <c r="N78" s="52"/>
      <c r="O78" s="52"/>
      <c r="P78" s="66"/>
      <c r="Q78" s="66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15">
      <c r="A79" s="46">
        <v>77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52"/>
      <c r="M79" s="52"/>
      <c r="N79" s="52"/>
      <c r="O79" s="52"/>
      <c r="P79" s="66"/>
      <c r="Q79" s="66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15">
      <c r="A80" s="46">
        <v>78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52"/>
      <c r="M80" s="52"/>
      <c r="N80" s="52"/>
      <c r="O80" s="52"/>
      <c r="P80" s="66"/>
      <c r="Q80" s="66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15">
      <c r="A81" s="46">
        <v>79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52"/>
      <c r="M81" s="52"/>
      <c r="N81" s="52"/>
      <c r="O81" s="52"/>
      <c r="P81" s="66"/>
      <c r="Q81" s="66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15">
      <c r="A82" s="46">
        <v>80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52"/>
      <c r="M82" s="52"/>
      <c r="N82" s="52"/>
      <c r="O82" s="52"/>
      <c r="P82" s="66"/>
      <c r="Q82" s="66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15">
      <c r="A83" s="46">
        <v>81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52"/>
      <c r="M83" s="52"/>
      <c r="N83" s="52"/>
      <c r="O83" s="52"/>
      <c r="P83" s="66"/>
      <c r="Q83" s="66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15">
      <c r="A84" s="46">
        <v>82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52"/>
      <c r="M84" s="52"/>
      <c r="N84" s="52"/>
      <c r="O84" s="52"/>
      <c r="P84" s="66"/>
      <c r="Q84" s="66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15">
      <c r="A85" s="46">
        <v>83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52"/>
      <c r="M85" s="52"/>
      <c r="N85" s="52"/>
      <c r="O85" s="52"/>
      <c r="P85" s="66"/>
      <c r="Q85" s="66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15">
      <c r="A86" s="46">
        <v>84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52"/>
      <c r="M86" s="52"/>
      <c r="N86" s="52"/>
      <c r="O86" s="52"/>
      <c r="P86" s="66"/>
      <c r="Q86" s="66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15">
      <c r="A87" s="46">
        <v>85</v>
      </c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52"/>
      <c r="M87" s="52"/>
      <c r="N87" s="52"/>
      <c r="O87" s="52"/>
      <c r="P87" s="66"/>
      <c r="Q87" s="66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15">
      <c r="A88" s="46">
        <v>86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52"/>
      <c r="M88" s="52"/>
      <c r="N88" s="52"/>
      <c r="O88" s="52"/>
      <c r="P88" s="66"/>
      <c r="Q88" s="66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15">
      <c r="A89" s="46">
        <v>87</v>
      </c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52"/>
      <c r="M89" s="52"/>
      <c r="N89" s="52"/>
      <c r="O89" s="52"/>
      <c r="P89" s="66"/>
      <c r="Q89" s="66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15">
      <c r="A90" s="46">
        <v>88</v>
      </c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52"/>
      <c r="M90" s="52"/>
      <c r="N90" s="52"/>
      <c r="O90" s="52"/>
      <c r="P90" s="66"/>
      <c r="Q90" s="66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15">
      <c r="A91" s="46">
        <v>89</v>
      </c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52"/>
      <c r="M91" s="52"/>
      <c r="N91" s="52"/>
      <c r="O91" s="52"/>
      <c r="P91" s="66"/>
      <c r="Q91" s="66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15">
      <c r="A92" s="46">
        <v>90</v>
      </c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52"/>
      <c r="M92" s="52"/>
      <c r="N92" s="52"/>
      <c r="O92" s="52"/>
      <c r="P92" s="66"/>
      <c r="Q92" s="66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15">
      <c r="A93" s="46">
        <v>91</v>
      </c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52"/>
      <c r="M93" s="52"/>
      <c r="N93" s="52"/>
      <c r="O93" s="52"/>
      <c r="P93" s="66"/>
      <c r="Q93" s="66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15">
      <c r="A94" s="46">
        <v>92</v>
      </c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52"/>
      <c r="M94" s="52"/>
      <c r="N94" s="52"/>
      <c r="O94" s="52"/>
      <c r="P94" s="66"/>
      <c r="Q94" s="66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15">
      <c r="A95" s="46">
        <v>93</v>
      </c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52"/>
      <c r="M95" s="52"/>
      <c r="N95" s="52"/>
      <c r="O95" s="52"/>
      <c r="P95" s="66"/>
      <c r="Q95" s="66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15">
      <c r="A96" s="46">
        <v>94</v>
      </c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52"/>
      <c r="M96" s="52"/>
      <c r="N96" s="52"/>
      <c r="O96" s="52"/>
      <c r="P96" s="66"/>
      <c r="Q96" s="66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15">
      <c r="A97" s="46">
        <v>95</v>
      </c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52"/>
      <c r="M97" s="52"/>
      <c r="N97" s="52"/>
      <c r="O97" s="52"/>
      <c r="P97" s="66"/>
      <c r="Q97" s="66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15">
      <c r="A98" s="46">
        <v>96</v>
      </c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52"/>
      <c r="M98" s="52"/>
      <c r="N98" s="52"/>
      <c r="O98" s="52"/>
      <c r="P98" s="66"/>
      <c r="Q98" s="66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15">
      <c r="A99" s="46">
        <v>97</v>
      </c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52"/>
      <c r="M99" s="52"/>
      <c r="N99" s="52"/>
      <c r="O99" s="52"/>
      <c r="P99" s="66"/>
      <c r="Q99" s="66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15">
      <c r="A100" s="46">
        <v>98</v>
      </c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52"/>
      <c r="M100" s="52"/>
      <c r="N100" s="52"/>
      <c r="O100" s="52"/>
      <c r="P100" s="66"/>
      <c r="Q100" s="66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15">
      <c r="A101" s="46">
        <v>99</v>
      </c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52"/>
      <c r="M101" s="52"/>
      <c r="N101" s="52"/>
      <c r="O101" s="52"/>
      <c r="P101" s="66"/>
      <c r="Q101" s="66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15">
      <c r="A102" s="46">
        <v>100</v>
      </c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52"/>
      <c r="M102" s="52"/>
      <c r="N102" s="52"/>
      <c r="O102" s="52"/>
      <c r="P102" s="66"/>
      <c r="Q102" s="66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15">
      <c r="A103" s="46">
        <v>101</v>
      </c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52"/>
      <c r="M103" s="52"/>
      <c r="N103" s="52"/>
      <c r="O103" s="52"/>
      <c r="P103" s="66"/>
      <c r="Q103" s="66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15">
      <c r="A104" s="46">
        <v>102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52"/>
      <c r="M104" s="52"/>
      <c r="N104" s="52"/>
      <c r="O104" s="52"/>
      <c r="P104" s="66"/>
      <c r="Q104" s="66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15">
      <c r="A105" s="46">
        <v>103</v>
      </c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52"/>
      <c r="M105" s="52"/>
      <c r="N105" s="52"/>
      <c r="O105" s="52"/>
      <c r="P105" s="66"/>
      <c r="Q105" s="66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15">
      <c r="A106" s="46">
        <v>104</v>
      </c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52"/>
      <c r="M106" s="52"/>
      <c r="N106" s="52"/>
      <c r="O106" s="52"/>
      <c r="P106" s="66"/>
      <c r="Q106" s="66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15">
      <c r="A107" s="46">
        <v>105</v>
      </c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52"/>
      <c r="M107" s="52"/>
      <c r="N107" s="52"/>
      <c r="O107" s="52"/>
      <c r="P107" s="66"/>
      <c r="Q107" s="66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15">
      <c r="A108" s="46">
        <v>106</v>
      </c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52"/>
      <c r="M108" s="52"/>
      <c r="N108" s="52"/>
      <c r="O108" s="52"/>
      <c r="P108" s="66"/>
      <c r="Q108" s="66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15">
      <c r="A109" s="46">
        <v>107</v>
      </c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52"/>
      <c r="M109" s="52"/>
      <c r="N109" s="52"/>
      <c r="O109" s="52"/>
      <c r="P109" s="66"/>
      <c r="Q109" s="66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15">
      <c r="A110" s="46">
        <v>108</v>
      </c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52"/>
      <c r="M110" s="52"/>
      <c r="N110" s="52"/>
      <c r="O110" s="52"/>
      <c r="P110" s="66"/>
      <c r="Q110" s="66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15">
      <c r="A111" s="46">
        <v>109</v>
      </c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52"/>
      <c r="M111" s="52"/>
      <c r="N111" s="52"/>
      <c r="O111" s="52"/>
      <c r="P111" s="66"/>
      <c r="Q111" s="66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15">
      <c r="A112" s="46">
        <v>110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52"/>
      <c r="M112" s="52"/>
      <c r="N112" s="52"/>
      <c r="O112" s="52"/>
      <c r="P112" s="66"/>
      <c r="Q112" s="66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15">
      <c r="A113" s="46">
        <v>111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52"/>
      <c r="M113" s="52"/>
      <c r="N113" s="52"/>
      <c r="O113" s="52"/>
      <c r="P113" s="66"/>
      <c r="Q113" s="66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15">
      <c r="A114" s="46">
        <v>112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52"/>
      <c r="M114" s="52"/>
      <c r="N114" s="52"/>
      <c r="O114" s="52"/>
      <c r="P114" s="66"/>
      <c r="Q114" s="66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15">
      <c r="A115" s="46">
        <v>113</v>
      </c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52"/>
      <c r="M115" s="52"/>
      <c r="N115" s="52"/>
      <c r="O115" s="52"/>
      <c r="P115" s="66"/>
      <c r="Q115" s="66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15">
      <c r="A116" s="46">
        <v>114</v>
      </c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52"/>
      <c r="M116" s="52"/>
      <c r="N116" s="52"/>
      <c r="O116" s="52"/>
      <c r="P116" s="66"/>
      <c r="Q116" s="66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15">
      <c r="A117" s="46">
        <v>115</v>
      </c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52"/>
      <c r="M117" s="52"/>
      <c r="N117" s="52"/>
      <c r="O117" s="52"/>
      <c r="P117" s="66"/>
      <c r="Q117" s="66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15">
      <c r="A118" s="46">
        <v>116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52"/>
      <c r="M118" s="52"/>
      <c r="N118" s="52"/>
      <c r="O118" s="52"/>
      <c r="P118" s="66"/>
      <c r="Q118" s="66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15">
      <c r="A119" s="46">
        <v>117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52"/>
      <c r="M119" s="52"/>
      <c r="N119" s="52"/>
      <c r="O119" s="52"/>
      <c r="P119" s="66"/>
      <c r="Q119" s="66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15">
      <c r="A120" s="46">
        <v>118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52"/>
      <c r="M120" s="52"/>
      <c r="N120" s="52"/>
      <c r="O120" s="52"/>
      <c r="P120" s="66"/>
      <c r="Q120" s="66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15">
      <c r="A121" s="46">
        <v>119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52"/>
      <c r="M121" s="52"/>
      <c r="N121" s="52"/>
      <c r="O121" s="52"/>
      <c r="P121" s="66"/>
      <c r="Q121" s="66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15">
      <c r="A122" s="46">
        <v>120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52"/>
      <c r="M122" s="52"/>
      <c r="N122" s="52"/>
      <c r="O122" s="52"/>
      <c r="P122" s="66"/>
      <c r="Q122" s="66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15">
      <c r="A123" s="46">
        <v>121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52"/>
      <c r="M123" s="52"/>
      <c r="N123" s="52"/>
      <c r="O123" s="52"/>
      <c r="P123" s="66"/>
      <c r="Q123" s="66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15">
      <c r="A124" s="46">
        <v>122</v>
      </c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52"/>
      <c r="M124" s="52"/>
      <c r="N124" s="52"/>
      <c r="O124" s="52"/>
      <c r="P124" s="66"/>
      <c r="Q124" s="66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15">
      <c r="A125" s="46">
        <v>123</v>
      </c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52"/>
      <c r="M125" s="52"/>
      <c r="N125" s="52"/>
      <c r="O125" s="52"/>
      <c r="P125" s="66"/>
      <c r="Q125" s="66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15">
      <c r="A126" s="46">
        <v>124</v>
      </c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52"/>
      <c r="M126" s="52"/>
      <c r="N126" s="52"/>
      <c r="O126" s="52"/>
      <c r="P126" s="66"/>
      <c r="Q126" s="66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15">
      <c r="A127" s="46">
        <v>125</v>
      </c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52"/>
      <c r="M127" s="52"/>
      <c r="N127" s="52"/>
      <c r="O127" s="52"/>
      <c r="P127" s="66"/>
      <c r="Q127" s="66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15">
      <c r="A128" s="46">
        <v>126</v>
      </c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52"/>
      <c r="M128" s="52"/>
      <c r="N128" s="52"/>
      <c r="O128" s="52"/>
      <c r="P128" s="66"/>
      <c r="Q128" s="66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15">
      <c r="A129" s="46">
        <v>127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52"/>
      <c r="M129" s="52"/>
      <c r="N129" s="52"/>
      <c r="O129" s="52"/>
      <c r="P129" s="66"/>
      <c r="Q129" s="66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15">
      <c r="A130" s="46">
        <v>128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52"/>
      <c r="M130" s="52"/>
      <c r="N130" s="52"/>
      <c r="O130" s="52"/>
      <c r="P130" s="66"/>
      <c r="Q130" s="66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15">
      <c r="A131" s="46">
        <v>129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52"/>
      <c r="M131" s="52"/>
      <c r="N131" s="52"/>
      <c r="O131" s="52"/>
      <c r="P131" s="66"/>
      <c r="Q131" s="66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15">
      <c r="A132" s="46">
        <v>130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52"/>
      <c r="M132" s="52"/>
      <c r="N132" s="52"/>
      <c r="O132" s="52"/>
      <c r="P132" s="66"/>
      <c r="Q132" s="66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15">
      <c r="A133" s="46">
        <v>131</v>
      </c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52"/>
      <c r="M133" s="52"/>
      <c r="N133" s="52"/>
      <c r="O133" s="52"/>
      <c r="P133" s="66"/>
      <c r="Q133" s="66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15">
      <c r="A134" s="46">
        <v>132</v>
      </c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52"/>
      <c r="M134" s="52"/>
      <c r="N134" s="52"/>
      <c r="O134" s="52"/>
      <c r="P134" s="66"/>
      <c r="Q134" s="66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15">
      <c r="A135" s="46">
        <v>133</v>
      </c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52"/>
      <c r="M135" s="52"/>
      <c r="N135" s="52"/>
      <c r="O135" s="52"/>
      <c r="P135" s="66"/>
      <c r="Q135" s="66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15">
      <c r="A136" s="46">
        <v>134</v>
      </c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52"/>
      <c r="M136" s="52"/>
      <c r="N136" s="52"/>
      <c r="O136" s="52"/>
      <c r="P136" s="66"/>
      <c r="Q136" s="66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15">
      <c r="A137" s="46">
        <v>135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52"/>
      <c r="M137" s="52"/>
      <c r="N137" s="52"/>
      <c r="O137" s="52"/>
      <c r="P137" s="66"/>
      <c r="Q137" s="66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15">
      <c r="A138" s="46">
        <v>136</v>
      </c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52"/>
      <c r="M138" s="52"/>
      <c r="N138" s="52"/>
      <c r="O138" s="52"/>
      <c r="P138" s="66"/>
      <c r="Q138" s="66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15">
      <c r="A139" s="46">
        <v>137</v>
      </c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52"/>
      <c r="M139" s="52"/>
      <c r="N139" s="52"/>
      <c r="O139" s="52"/>
      <c r="P139" s="66"/>
      <c r="Q139" s="66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15">
      <c r="A140" s="46">
        <v>138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52"/>
      <c r="M140" s="52"/>
      <c r="N140" s="52"/>
      <c r="O140" s="52"/>
      <c r="P140" s="66"/>
      <c r="Q140" s="66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15">
      <c r="A141" s="46">
        <v>139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52"/>
      <c r="M141" s="52"/>
      <c r="N141" s="52"/>
      <c r="O141" s="52"/>
      <c r="P141" s="66"/>
      <c r="Q141" s="66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15">
      <c r="A142" s="46">
        <v>140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52"/>
      <c r="M142" s="52"/>
      <c r="N142" s="52"/>
      <c r="O142" s="52"/>
      <c r="P142" s="66"/>
      <c r="Q142" s="66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15">
      <c r="A143" s="46">
        <v>141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52"/>
      <c r="M143" s="52"/>
      <c r="N143" s="52"/>
      <c r="O143" s="52"/>
      <c r="P143" s="66"/>
      <c r="Q143" s="66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15">
      <c r="A144" s="46">
        <v>142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52"/>
      <c r="M144" s="52"/>
      <c r="N144" s="52"/>
      <c r="O144" s="52"/>
      <c r="P144" s="66"/>
      <c r="Q144" s="66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15">
      <c r="A145" s="46">
        <v>143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52"/>
      <c r="M145" s="52"/>
      <c r="N145" s="52"/>
      <c r="O145" s="52"/>
      <c r="P145" s="66"/>
      <c r="Q145" s="66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15">
      <c r="A146" s="46">
        <v>144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52"/>
      <c r="M146" s="52"/>
      <c r="N146" s="52"/>
      <c r="O146" s="52"/>
      <c r="P146" s="66"/>
      <c r="Q146" s="66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15">
      <c r="A147" s="46">
        <v>145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52"/>
      <c r="M147" s="52"/>
      <c r="N147" s="52"/>
      <c r="O147" s="52"/>
      <c r="P147" s="66"/>
      <c r="Q147" s="66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15">
      <c r="A148" s="46">
        <v>146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52"/>
      <c r="M148" s="52"/>
      <c r="N148" s="52"/>
      <c r="O148" s="52"/>
      <c r="P148" s="66"/>
      <c r="Q148" s="66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15">
      <c r="A149" s="46">
        <v>147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52"/>
      <c r="M149" s="52"/>
      <c r="N149" s="52"/>
      <c r="O149" s="52"/>
      <c r="P149" s="66"/>
      <c r="Q149" s="66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15">
      <c r="A150" s="46">
        <v>148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52"/>
      <c r="M150" s="52"/>
      <c r="N150" s="52"/>
      <c r="O150" s="52"/>
      <c r="P150" s="66"/>
      <c r="Q150" s="66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15">
      <c r="A151" s="46">
        <v>149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52"/>
      <c r="M151" s="52"/>
      <c r="N151" s="52"/>
      <c r="O151" s="52"/>
      <c r="P151" s="66"/>
      <c r="Q151" s="66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15">
      <c r="A152" s="46">
        <v>150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52"/>
      <c r="M152" s="52"/>
      <c r="N152" s="52"/>
      <c r="O152" s="52"/>
      <c r="P152" s="66"/>
      <c r="Q152" s="66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15">
      <c r="A153" s="46">
        <v>151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52"/>
      <c r="M153" s="52"/>
      <c r="N153" s="52"/>
      <c r="O153" s="52"/>
      <c r="P153" s="66"/>
      <c r="Q153" s="66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15">
      <c r="A154" s="46">
        <v>152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52"/>
      <c r="M154" s="52"/>
      <c r="N154" s="52"/>
      <c r="O154" s="52"/>
      <c r="P154" s="66"/>
      <c r="Q154" s="66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15">
      <c r="A155" s="46">
        <v>153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52"/>
      <c r="M155" s="52"/>
      <c r="N155" s="52"/>
      <c r="O155" s="52"/>
      <c r="P155" s="66"/>
      <c r="Q155" s="66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15">
      <c r="A156" s="46">
        <v>154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52"/>
      <c r="M156" s="52"/>
      <c r="N156" s="52"/>
      <c r="O156" s="52"/>
      <c r="P156" s="66"/>
      <c r="Q156" s="66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15">
      <c r="A157" s="46">
        <v>155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52"/>
      <c r="M157" s="52"/>
      <c r="N157" s="52"/>
      <c r="O157" s="52"/>
      <c r="P157" s="66"/>
      <c r="Q157" s="66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15">
      <c r="A158" s="46">
        <v>156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52"/>
      <c r="M158" s="52"/>
      <c r="N158" s="52"/>
      <c r="O158" s="52"/>
      <c r="P158" s="66"/>
      <c r="Q158" s="66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15">
      <c r="A159" s="46">
        <v>157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52"/>
      <c r="M159" s="52"/>
      <c r="N159" s="52"/>
      <c r="O159" s="52"/>
      <c r="P159" s="66"/>
      <c r="Q159" s="66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15">
      <c r="A160" s="46">
        <v>158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52"/>
      <c r="M160" s="52"/>
      <c r="N160" s="52"/>
      <c r="O160" s="52"/>
      <c r="P160" s="66"/>
      <c r="Q160" s="66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15">
      <c r="A161" s="46">
        <v>159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52"/>
      <c r="M161" s="52"/>
      <c r="N161" s="52"/>
      <c r="O161" s="52"/>
      <c r="P161" s="66"/>
      <c r="Q161" s="66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15">
      <c r="A162" s="46">
        <v>160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52"/>
      <c r="M162" s="52"/>
      <c r="N162" s="52"/>
      <c r="O162" s="52"/>
      <c r="P162" s="66"/>
      <c r="Q162" s="66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15">
      <c r="A163" s="46">
        <v>161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52"/>
      <c r="M163" s="52"/>
      <c r="N163" s="52"/>
      <c r="O163" s="52"/>
      <c r="P163" s="66"/>
      <c r="Q163" s="66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15">
      <c r="A164" s="46">
        <v>162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52"/>
      <c r="M164" s="52"/>
      <c r="N164" s="52"/>
      <c r="O164" s="52"/>
      <c r="P164" s="66"/>
      <c r="Q164" s="66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15">
      <c r="A165" s="46">
        <v>163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52"/>
      <c r="M165" s="52"/>
      <c r="N165" s="52"/>
      <c r="O165" s="52"/>
      <c r="P165" s="66"/>
      <c r="Q165" s="66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15">
      <c r="A166" s="46">
        <v>164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52"/>
      <c r="M166" s="52"/>
      <c r="N166" s="52"/>
      <c r="O166" s="52"/>
      <c r="P166" s="66"/>
      <c r="Q166" s="66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15">
      <c r="A167" s="46">
        <v>165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52"/>
      <c r="M167" s="52"/>
      <c r="N167" s="52"/>
      <c r="O167" s="52"/>
      <c r="P167" s="66"/>
      <c r="Q167" s="66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15">
      <c r="A168" s="46">
        <v>166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52"/>
      <c r="M168" s="52"/>
      <c r="N168" s="52"/>
      <c r="O168" s="52"/>
      <c r="P168" s="66"/>
      <c r="Q168" s="66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15">
      <c r="A169" s="46">
        <v>167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52"/>
      <c r="M169" s="52"/>
      <c r="N169" s="52"/>
      <c r="O169" s="52"/>
      <c r="P169" s="66"/>
      <c r="Q169" s="66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15">
      <c r="A170" s="46">
        <v>168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52"/>
      <c r="M170" s="52"/>
      <c r="N170" s="52"/>
      <c r="O170" s="52"/>
      <c r="P170" s="66"/>
      <c r="Q170" s="66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15">
      <c r="A171" s="46">
        <v>169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52"/>
      <c r="M171" s="52"/>
      <c r="N171" s="52"/>
      <c r="O171" s="52"/>
      <c r="P171" s="66"/>
      <c r="Q171" s="66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15">
      <c r="A172" s="46">
        <v>170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52"/>
      <c r="M172" s="52"/>
      <c r="N172" s="52"/>
      <c r="O172" s="52"/>
      <c r="P172" s="66"/>
      <c r="Q172" s="66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15">
      <c r="A173" s="46">
        <v>171</v>
      </c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52"/>
      <c r="M173" s="52"/>
      <c r="N173" s="52"/>
      <c r="O173" s="52"/>
      <c r="P173" s="66"/>
      <c r="Q173" s="66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15">
      <c r="A174" s="46">
        <v>172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52"/>
      <c r="M174" s="52"/>
      <c r="N174" s="52"/>
      <c r="O174" s="52"/>
      <c r="P174" s="66"/>
      <c r="Q174" s="66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15">
      <c r="A175" s="46">
        <v>173</v>
      </c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52"/>
      <c r="M175" s="52"/>
      <c r="N175" s="52"/>
      <c r="O175" s="52"/>
      <c r="P175" s="66"/>
      <c r="Q175" s="66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15">
      <c r="A176" s="46">
        <v>174</v>
      </c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52"/>
      <c r="M176" s="52"/>
      <c r="N176" s="52"/>
      <c r="O176" s="52"/>
      <c r="P176" s="66"/>
      <c r="Q176" s="66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32" x14ac:dyDescent="0.15">
      <c r="A177" s="46">
        <v>175</v>
      </c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52"/>
      <c r="M177" s="52"/>
      <c r="N177" s="52"/>
      <c r="O177" s="52"/>
      <c r="P177" s="66"/>
      <c r="Q177" s="66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32" x14ac:dyDescent="0.15">
      <c r="A178" s="46">
        <v>176</v>
      </c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52"/>
      <c r="M178" s="52"/>
      <c r="N178" s="52"/>
      <c r="O178" s="52"/>
      <c r="P178" s="66"/>
      <c r="Q178" s="66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32" x14ac:dyDescent="0.15">
      <c r="A179" s="46">
        <v>177</v>
      </c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52"/>
      <c r="M179" s="52"/>
      <c r="N179" s="52"/>
      <c r="O179" s="52"/>
      <c r="P179" s="66"/>
      <c r="Q179" s="66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32" x14ac:dyDescent="0.15">
      <c r="A180" s="46">
        <v>178</v>
      </c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52"/>
      <c r="M180" s="52"/>
      <c r="N180" s="52"/>
      <c r="O180" s="52"/>
      <c r="P180" s="66"/>
      <c r="Q180" s="66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32" x14ac:dyDescent="0.15">
      <c r="A181" s="46">
        <v>179</v>
      </c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52"/>
      <c r="M181" s="52"/>
      <c r="N181" s="52"/>
      <c r="O181" s="52"/>
      <c r="P181" s="66"/>
      <c r="Q181" s="66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32" x14ac:dyDescent="0.15">
      <c r="A182" s="46">
        <v>180</v>
      </c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52"/>
      <c r="M182" s="52"/>
      <c r="N182" s="52"/>
      <c r="O182" s="52"/>
      <c r="P182" s="66"/>
      <c r="Q182" s="66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7" spans="1:32" x14ac:dyDescent="0.15">
      <c r="A187" s="144" t="s">
        <v>199</v>
      </c>
      <c r="B187" s="144"/>
      <c r="C187" s="144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 t="s">
        <v>200</v>
      </c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  <c r="AC187" s="144"/>
      <c r="AD187" s="144"/>
      <c r="AE187" s="144"/>
      <c r="AF187" s="144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227</v>
      </c>
      <c r="L188" s="40" t="s">
        <v>228</v>
      </c>
      <c r="M188" s="40" t="s">
        <v>229</v>
      </c>
      <c r="N188" s="40" t="s">
        <v>230</v>
      </c>
      <c r="O188" s="40" t="s">
        <v>231</v>
      </c>
      <c r="P188" s="40" t="s">
        <v>232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227</v>
      </c>
      <c r="AB188" s="40" t="s">
        <v>228</v>
      </c>
      <c r="AC188" s="40" t="s">
        <v>229</v>
      </c>
      <c r="AD188" s="40" t="s">
        <v>230</v>
      </c>
      <c r="AE188" s="40" t="s">
        <v>231</v>
      </c>
      <c r="AF188" s="40" t="s">
        <v>232</v>
      </c>
    </row>
    <row r="189" spans="1:32" x14ac:dyDescent="0.15">
      <c r="A189" s="43">
        <f>A190/1000</f>
        <v>0.303595</v>
      </c>
      <c r="B189" s="43">
        <f t="shared" ref="B189:P189" si="2">B190/1000</f>
        <v>0.23738599999999999</v>
      </c>
      <c r="C189" s="43">
        <f t="shared" si="2"/>
        <v>0.251973</v>
      </c>
      <c r="D189" s="43">
        <f t="shared" si="2"/>
        <v>0.14541900000000002</v>
      </c>
      <c r="E189" s="43">
        <f t="shared" si="2"/>
        <v>0</v>
      </c>
      <c r="F189" s="43">
        <f t="shared" si="2"/>
        <v>0</v>
      </c>
      <c r="G189" s="43">
        <f t="shared" si="2"/>
        <v>0.23363399999999998</v>
      </c>
      <c r="H189" s="43">
        <f t="shared" si="2"/>
        <v>0.152585</v>
      </c>
      <c r="I189" s="43">
        <f t="shared" si="2"/>
        <v>0.24703700000000001</v>
      </c>
      <c r="J189" s="43">
        <f t="shared" si="2"/>
        <v>0.53750100000000001</v>
      </c>
      <c r="K189" s="43">
        <f t="shared" si="2"/>
        <v>0.7013339999999999</v>
      </c>
      <c r="L189" s="43">
        <f t="shared" si="2"/>
        <v>0.36566699999999996</v>
      </c>
      <c r="M189" s="43">
        <f t="shared" si="2"/>
        <v>0.173404</v>
      </c>
      <c r="N189" s="43">
        <f t="shared" si="2"/>
        <v>0.31930900000000001</v>
      </c>
      <c r="O189" s="43">
        <f t="shared" si="2"/>
        <v>0.15876099999999999</v>
      </c>
      <c r="P189" s="43">
        <f t="shared" si="2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45" t="s">
        <v>185</v>
      </c>
      <c r="B192" s="146" t="s">
        <v>224</v>
      </c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</row>
    <row r="193" spans="1:19" x14ac:dyDescent="0.15">
      <c r="A193" s="145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227</v>
      </c>
      <c r="M193" s="40" t="s">
        <v>228</v>
      </c>
      <c r="N193" s="40" t="s">
        <v>229</v>
      </c>
      <c r="O193" s="40" t="s">
        <v>230</v>
      </c>
      <c r="P193" s="40" t="s">
        <v>231</v>
      </c>
      <c r="Q193" s="40" t="s">
        <v>232</v>
      </c>
    </row>
    <row r="194" spans="1:19" x14ac:dyDescent="0.15">
      <c r="A194" s="46" t="s">
        <v>225</v>
      </c>
      <c r="B194" s="42">
        <v>0</v>
      </c>
      <c r="C194" s="42">
        <v>5</v>
      </c>
      <c r="D194" s="42">
        <v>6</v>
      </c>
      <c r="E194" s="42">
        <v>9</v>
      </c>
      <c r="F194" s="66"/>
      <c r="G194" s="66"/>
      <c r="H194" s="42">
        <v>1</v>
      </c>
      <c r="I194" s="42">
        <v>3</v>
      </c>
      <c r="J194" s="42">
        <v>4</v>
      </c>
      <c r="K194" s="42">
        <v>1</v>
      </c>
      <c r="L194" s="42">
        <v>10</v>
      </c>
      <c r="M194" s="42">
        <v>0</v>
      </c>
      <c r="N194" s="42">
        <v>1</v>
      </c>
      <c r="O194" s="42">
        <v>5</v>
      </c>
      <c r="P194" s="42">
        <v>2</v>
      </c>
      <c r="Q194" s="42">
        <v>1</v>
      </c>
    </row>
    <row r="195" spans="1:19" x14ac:dyDescent="0.15">
      <c r="A195" s="46" t="s">
        <v>226</v>
      </c>
      <c r="B195" s="42">
        <v>0</v>
      </c>
      <c r="C195" s="42">
        <v>5</v>
      </c>
      <c r="D195" s="42">
        <v>6</v>
      </c>
      <c r="E195" s="42">
        <v>7</v>
      </c>
      <c r="F195" s="66"/>
      <c r="G195" s="66"/>
      <c r="H195" s="42">
        <v>0</v>
      </c>
      <c r="I195" s="42">
        <v>3</v>
      </c>
      <c r="J195" s="42">
        <v>4</v>
      </c>
      <c r="K195" s="42">
        <v>0</v>
      </c>
      <c r="L195" s="42">
        <v>8</v>
      </c>
      <c r="M195" s="42">
        <v>0</v>
      </c>
      <c r="N195" s="42">
        <v>2</v>
      </c>
      <c r="O195" s="42">
        <v>6</v>
      </c>
      <c r="P195" s="42">
        <v>2</v>
      </c>
      <c r="Q195" s="42">
        <v>1</v>
      </c>
    </row>
    <row r="196" spans="1:19" x14ac:dyDescent="0.15">
      <c r="A196" s="46">
        <v>0</v>
      </c>
      <c r="B196" s="43">
        <v>0</v>
      </c>
      <c r="C196" s="43">
        <v>0</v>
      </c>
      <c r="D196" s="43">
        <v>0</v>
      </c>
      <c r="E196" s="43">
        <v>1</v>
      </c>
      <c r="F196" s="66">
        <v>0</v>
      </c>
      <c r="G196" s="66">
        <v>0</v>
      </c>
      <c r="H196" s="43">
        <v>0</v>
      </c>
      <c r="I196" s="43">
        <v>1</v>
      </c>
      <c r="J196" s="43">
        <v>1</v>
      </c>
      <c r="K196" s="43">
        <v>0</v>
      </c>
      <c r="L196" s="43">
        <v>2</v>
      </c>
      <c r="M196" s="43">
        <v>0</v>
      </c>
      <c r="N196" s="43">
        <v>1</v>
      </c>
      <c r="O196" s="43">
        <v>1</v>
      </c>
      <c r="P196" s="43">
        <v>1</v>
      </c>
      <c r="Q196" s="43">
        <v>0</v>
      </c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302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303</v>
      </c>
      <c r="B202" s="65">
        <f>A189</f>
        <v>0.303595</v>
      </c>
      <c r="C202" s="65">
        <f t="shared" ref="C202:D202" si="3">B189</f>
        <v>0.23738599999999999</v>
      </c>
      <c r="D202" s="65">
        <f t="shared" si="3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4">H189</f>
        <v>0.152585</v>
      </c>
      <c r="H202" s="65">
        <f t="shared" si="4"/>
        <v>0.24703700000000001</v>
      </c>
      <c r="I202" s="65">
        <f t="shared" si="4"/>
        <v>0.53750100000000001</v>
      </c>
      <c r="J202" s="65">
        <f t="shared" si="4"/>
        <v>0.7013339999999999</v>
      </c>
      <c r="K202" s="65">
        <f t="shared" si="4"/>
        <v>0.36566699999999996</v>
      </c>
      <c r="L202" s="65">
        <f t="shared" si="4"/>
        <v>0.173404</v>
      </c>
      <c r="M202" s="65">
        <f t="shared" si="4"/>
        <v>0.31930900000000001</v>
      </c>
      <c r="N202" s="65">
        <f t="shared" si="4"/>
        <v>0.15876099999999999</v>
      </c>
      <c r="O202" s="65">
        <f t="shared" si="4"/>
        <v>0.16373199999999999</v>
      </c>
      <c r="P202" s="65"/>
      <c r="Q202" s="65"/>
      <c r="R202" s="65"/>
      <c r="S202" s="65"/>
    </row>
    <row r="203" spans="1:19" x14ac:dyDescent="0.15">
      <c r="A203" s="65" t="s">
        <v>304</v>
      </c>
      <c r="B203" s="65">
        <f>Q189</f>
        <v>1</v>
      </c>
      <c r="C203" s="65">
        <f t="shared" ref="C203:E203" si="5">R189</f>
        <v>1</v>
      </c>
      <c r="D203" s="65">
        <f t="shared" si="5"/>
        <v>1</v>
      </c>
      <c r="E203" s="65">
        <f t="shared" si="5"/>
        <v>1</v>
      </c>
      <c r="F203" s="65">
        <f>W189</f>
        <v>2</v>
      </c>
      <c r="G203" s="65">
        <f t="shared" ref="G203:O203" si="6">X189</f>
        <v>1</v>
      </c>
      <c r="H203" s="65">
        <f t="shared" si="6"/>
        <v>2</v>
      </c>
      <c r="I203" s="65">
        <f t="shared" si="6"/>
        <v>1</v>
      </c>
      <c r="J203" s="65">
        <f t="shared" si="6"/>
        <v>2</v>
      </c>
      <c r="K203" s="65">
        <f t="shared" si="6"/>
        <v>1</v>
      </c>
      <c r="L203" s="65">
        <f t="shared" si="6"/>
        <v>1</v>
      </c>
      <c r="M203" s="65">
        <f t="shared" si="6"/>
        <v>1</v>
      </c>
      <c r="N203" s="65">
        <f t="shared" si="6"/>
        <v>1</v>
      </c>
      <c r="O203" s="65">
        <f t="shared" si="6"/>
        <v>1</v>
      </c>
      <c r="P203" s="65"/>
      <c r="Q203" s="65"/>
      <c r="R203" s="65"/>
      <c r="S203" s="65"/>
    </row>
    <row r="204" spans="1:19" x14ac:dyDescent="0.15">
      <c r="A204" s="47" t="s">
        <v>198</v>
      </c>
      <c r="B204" s="47">
        <f>L3</f>
        <v>0</v>
      </c>
      <c r="C204" s="47">
        <f t="shared" ref="C204:E204" si="7">M3</f>
        <v>0</v>
      </c>
      <c r="D204" s="47">
        <f t="shared" si="7"/>
        <v>0</v>
      </c>
      <c r="E204" s="47">
        <f t="shared" si="7"/>
        <v>0</v>
      </c>
      <c r="F204" s="47">
        <f>R3</f>
        <v>0</v>
      </c>
      <c r="G204" s="47">
        <f t="shared" ref="G204:O204" si="8">S3</f>
        <v>6.5537241537503688</v>
      </c>
      <c r="H204" s="47">
        <f t="shared" si="8"/>
        <v>2.0239883094435247</v>
      </c>
      <c r="I204" s="47">
        <f t="shared" si="8"/>
        <v>0</v>
      </c>
      <c r="J204" s="47">
        <f t="shared" si="8"/>
        <v>0</v>
      </c>
      <c r="K204" s="47">
        <f t="shared" si="8"/>
        <v>0</v>
      </c>
      <c r="L204" s="47">
        <f t="shared" si="8"/>
        <v>11.533759313510645</v>
      </c>
      <c r="M204" s="47">
        <f t="shared" si="8"/>
        <v>6.2635252999445674</v>
      </c>
      <c r="N204" s="47">
        <f t="shared" si="8"/>
        <v>6.2987761477944844</v>
      </c>
      <c r="O204" s="47">
        <f t="shared" si="8"/>
        <v>0</v>
      </c>
    </row>
    <row r="205" spans="1:19" x14ac:dyDescent="0.15">
      <c r="A205" s="47" t="s">
        <v>446</v>
      </c>
      <c r="B205" s="47">
        <v>0</v>
      </c>
      <c r="C205" s="47">
        <v>117.49025860503507</v>
      </c>
      <c r="D205" s="47">
        <v>115.55746111782469</v>
      </c>
      <c r="E205" s="47">
        <v>108.87337072000068</v>
      </c>
      <c r="F205" s="47">
        <v>0</v>
      </c>
      <c r="G205" s="47">
        <v>99.426499428761872</v>
      </c>
      <c r="H205" s="47">
        <v>110.16779873299203</v>
      </c>
      <c r="I205" s="47">
        <v>0</v>
      </c>
      <c r="J205" s="47">
        <v>109.66074600324383</v>
      </c>
      <c r="K205" s="47">
        <v>0</v>
      </c>
      <c r="L205" s="47">
        <v>120.74012141777993</v>
      </c>
      <c r="M205" s="47">
        <v>121.11648666707349</v>
      </c>
      <c r="N205" s="47">
        <v>111.6075576564434</v>
      </c>
      <c r="O205" s="47">
        <v>113.06361668108978</v>
      </c>
    </row>
    <row r="206" spans="1:19" x14ac:dyDescent="0.15">
      <c r="A206" s="47" t="s">
        <v>448</v>
      </c>
      <c r="B206" s="47">
        <f>B203*B204*B205</f>
        <v>0</v>
      </c>
      <c r="C206" s="47">
        <f t="shared" ref="C206:O206" si="9">C203*C204*C205</f>
        <v>0</v>
      </c>
      <c r="D206" s="47">
        <f t="shared" si="9"/>
        <v>0</v>
      </c>
      <c r="E206" s="47">
        <f t="shared" si="9"/>
        <v>0</v>
      </c>
      <c r="F206" s="47">
        <f t="shared" si="9"/>
        <v>0</v>
      </c>
      <c r="G206" s="47">
        <f t="shared" si="9"/>
        <v>651.61385082912398</v>
      </c>
      <c r="H206" s="47">
        <f t="shared" si="9"/>
        <v>445.95667342540605</v>
      </c>
      <c r="I206" s="47">
        <f t="shared" si="9"/>
        <v>0</v>
      </c>
      <c r="J206" s="47">
        <f t="shared" si="9"/>
        <v>0</v>
      </c>
      <c r="K206" s="47">
        <f t="shared" si="9"/>
        <v>0</v>
      </c>
      <c r="L206" s="47">
        <f t="shared" si="9"/>
        <v>1392.5874999167254</v>
      </c>
      <c r="M206" s="47">
        <f t="shared" si="9"/>
        <v>758.61617847961372</v>
      </c>
      <c r="N206" s="47">
        <f t="shared" si="9"/>
        <v>702.9910220800034</v>
      </c>
      <c r="O206" s="47">
        <f t="shared" si="9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topLeftCell="A7" zoomScale="85" zoomScaleNormal="85" workbookViewId="0">
      <selection activeCell="F20" sqref="F20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169</v>
      </c>
      <c r="B1" s="76" t="s">
        <v>279</v>
      </c>
      <c r="C1" s="76" t="s">
        <v>280</v>
      </c>
      <c r="D1" s="76" t="s">
        <v>281</v>
      </c>
      <c r="E1" s="76" t="s">
        <v>282</v>
      </c>
      <c r="F1" s="76" t="s">
        <v>276</v>
      </c>
      <c r="G1" s="76" t="s">
        <v>283</v>
      </c>
      <c r="H1" s="76" t="s">
        <v>278</v>
      </c>
      <c r="I1" s="76" t="s">
        <v>284</v>
      </c>
      <c r="J1" s="76" t="s">
        <v>277</v>
      </c>
      <c r="K1" s="76" t="s">
        <v>285</v>
      </c>
      <c r="L1" s="76" t="s">
        <v>286</v>
      </c>
      <c r="M1" s="79" t="s">
        <v>295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279</v>
      </c>
      <c r="B2" s="80">
        <v>0</v>
      </c>
      <c r="C2" s="85">
        <v>5</v>
      </c>
      <c r="D2" s="82">
        <v>0</v>
      </c>
      <c r="E2" s="85">
        <v>31</v>
      </c>
      <c r="F2" s="82">
        <v>0</v>
      </c>
      <c r="G2" s="85">
        <v>20</v>
      </c>
      <c r="H2" s="85">
        <v>11</v>
      </c>
      <c r="I2" s="85">
        <v>134</v>
      </c>
      <c r="J2" s="85">
        <v>5</v>
      </c>
      <c r="K2" s="85">
        <v>11</v>
      </c>
      <c r="L2" s="85">
        <v>11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280</v>
      </c>
      <c r="B3" s="83">
        <v>0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287</v>
      </c>
      <c r="B4" s="83">
        <v>0</v>
      </c>
      <c r="C4" s="84">
        <v>0</v>
      </c>
      <c r="D4" s="84">
        <v>0</v>
      </c>
      <c r="E4" s="86">
        <v>5</v>
      </c>
      <c r="F4" s="84">
        <v>0</v>
      </c>
      <c r="G4" s="86">
        <v>2</v>
      </c>
      <c r="H4" s="86">
        <v>0</v>
      </c>
      <c r="I4" s="86">
        <v>6</v>
      </c>
      <c r="J4" s="86">
        <v>2</v>
      </c>
      <c r="K4" s="86">
        <v>0</v>
      </c>
      <c r="L4" s="86">
        <v>10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282</v>
      </c>
      <c r="B5" s="87">
        <v>0</v>
      </c>
      <c r="C5" s="84">
        <v>0</v>
      </c>
      <c r="D5" s="86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288</v>
      </c>
      <c r="B6" s="83">
        <v>0</v>
      </c>
      <c r="C6" s="84">
        <v>0</v>
      </c>
      <c r="D6" s="84">
        <v>0</v>
      </c>
      <c r="E6" s="84">
        <v>0</v>
      </c>
      <c r="F6" s="84">
        <v>0</v>
      </c>
      <c r="G6" s="86">
        <v>4</v>
      </c>
      <c r="H6" s="86">
        <v>3</v>
      </c>
      <c r="I6" s="86">
        <v>28</v>
      </c>
      <c r="J6" s="86">
        <v>0</v>
      </c>
      <c r="K6" s="86">
        <v>0</v>
      </c>
      <c r="L6" s="86">
        <v>6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289</v>
      </c>
      <c r="B7" s="87">
        <v>5</v>
      </c>
      <c r="C7" s="84">
        <v>0</v>
      </c>
      <c r="D7" s="86">
        <v>1</v>
      </c>
      <c r="E7" s="84">
        <v>0</v>
      </c>
      <c r="F7" s="86">
        <v>2</v>
      </c>
      <c r="G7" s="84">
        <v>0</v>
      </c>
      <c r="H7" s="86">
        <v>1</v>
      </c>
      <c r="I7" s="86">
        <v>0</v>
      </c>
      <c r="J7" s="86">
        <v>0</v>
      </c>
      <c r="K7" s="86">
        <v>2</v>
      </c>
      <c r="L7" s="86">
        <v>2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290</v>
      </c>
      <c r="B8" s="87">
        <v>4</v>
      </c>
      <c r="C8" s="84">
        <v>0</v>
      </c>
      <c r="D8" s="86">
        <v>1</v>
      </c>
      <c r="E8" s="84">
        <v>0</v>
      </c>
      <c r="F8" s="86">
        <v>4</v>
      </c>
      <c r="G8" s="86">
        <v>0</v>
      </c>
      <c r="H8" s="84">
        <v>0</v>
      </c>
      <c r="I8" s="86">
        <v>0</v>
      </c>
      <c r="J8" s="86">
        <v>1</v>
      </c>
      <c r="K8" s="86">
        <v>0</v>
      </c>
      <c r="L8" s="86">
        <v>6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291</v>
      </c>
      <c r="B9" s="87">
        <v>101</v>
      </c>
      <c r="C9" s="84">
        <v>0</v>
      </c>
      <c r="D9" s="86">
        <v>22</v>
      </c>
      <c r="E9" s="84">
        <v>0</v>
      </c>
      <c r="F9" s="86">
        <v>29</v>
      </c>
      <c r="G9" s="86">
        <v>14</v>
      </c>
      <c r="H9" s="86">
        <v>0</v>
      </c>
      <c r="I9" s="84">
        <v>0</v>
      </c>
      <c r="J9" s="86">
        <v>25</v>
      </c>
      <c r="K9" s="86">
        <v>6</v>
      </c>
      <c r="L9" s="86">
        <v>0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277</v>
      </c>
      <c r="B10" s="87">
        <v>1</v>
      </c>
      <c r="C10" s="84">
        <v>0</v>
      </c>
      <c r="D10" s="86">
        <v>2</v>
      </c>
      <c r="E10" s="84">
        <v>0</v>
      </c>
      <c r="F10" s="86">
        <v>1</v>
      </c>
      <c r="G10" s="86">
        <v>0</v>
      </c>
      <c r="H10" s="86">
        <v>0</v>
      </c>
      <c r="I10" s="86">
        <v>4</v>
      </c>
      <c r="J10" s="84">
        <v>0</v>
      </c>
      <c r="K10" s="84">
        <v>0</v>
      </c>
      <c r="L10" s="84">
        <v>0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292</v>
      </c>
      <c r="B11" s="87">
        <v>11</v>
      </c>
      <c r="C11" s="84">
        <v>0</v>
      </c>
      <c r="D11" s="86">
        <v>7</v>
      </c>
      <c r="E11" s="84">
        <v>0</v>
      </c>
      <c r="F11" s="86">
        <v>3</v>
      </c>
      <c r="G11" s="86">
        <v>1</v>
      </c>
      <c r="H11" s="86">
        <v>0</v>
      </c>
      <c r="I11" s="86">
        <v>5</v>
      </c>
      <c r="J11" s="84">
        <v>0</v>
      </c>
      <c r="K11" s="84">
        <v>0</v>
      </c>
      <c r="L11" s="84">
        <v>0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286</v>
      </c>
      <c r="B12" s="87">
        <v>90</v>
      </c>
      <c r="C12" s="84">
        <v>0</v>
      </c>
      <c r="D12" s="86">
        <v>14</v>
      </c>
      <c r="E12" s="84">
        <v>0</v>
      </c>
      <c r="F12" s="86">
        <v>6</v>
      </c>
      <c r="G12" s="86">
        <v>3</v>
      </c>
      <c r="H12" s="86">
        <v>2</v>
      </c>
      <c r="I12" s="86">
        <v>49</v>
      </c>
      <c r="J12" s="84">
        <v>0</v>
      </c>
      <c r="K12" s="84">
        <v>0</v>
      </c>
      <c r="L12" s="84">
        <v>0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294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293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192</v>
      </c>
      <c r="B18" s="81">
        <f>C2/SUM(C2,E2,G2:L2)</f>
        <v>2.1929824561403508E-2</v>
      </c>
      <c r="C18" s="84">
        <v>0</v>
      </c>
      <c r="D18" s="81">
        <f>SUM(E2,E4)/SUM(E2,G2:L2,E4,G4:L4)</f>
        <v>0.14516129032258066</v>
      </c>
      <c r="E18" s="84">
        <v>0</v>
      </c>
      <c r="F18" s="81">
        <f>SUM(G2,G4,G6)/SUM(G2:L2,G4:L4,G6:L6,H7:L7)</f>
        <v>0.10077519379844961</v>
      </c>
      <c r="G18" s="81">
        <f>SUM(H2,H4,H6,H7)/SUM(H2:L2,H4:L4,H6:L6,H7:L7,I8:L8)</f>
        <v>6.2761506276150625E-2</v>
      </c>
      <c r="H18" s="81">
        <f>SUM(J2:L2,J4:L4,J6:L6,J7:L7,J8:L8)/SUM(I2:L2,I4:L4,I6:L6,I7:L7,I8:L8,I10:I12)</f>
        <v>0.19858156028368795</v>
      </c>
      <c r="I18" s="81">
        <f>SUM(J9:L9)/SUM(B9,D9,F9:H9,B10:B12,D10:D12,F10:H12)</f>
        <v>0.10097719869706841</v>
      </c>
      <c r="J18" s="81">
        <f>SUM(H9:H12)/SUM(B9:B12,D9:D12,F9:H12,B8,D8,F8:G8)</f>
        <v>6.3291139240506328E-3</v>
      </c>
      <c r="K18" s="81">
        <f>SUM(G8:G12)/SUM(B8:B12,D8:D12,F8:G12,B7,D7,F7)</f>
        <v>5.5900621118012424E-2</v>
      </c>
      <c r="L18" s="81">
        <f>SUM(F7:F12)/SUM(B7:B12,D7:D12,F7:F12)</f>
        <v>0.14802631578947367</v>
      </c>
      <c r="M18" s="84">
        <v>0</v>
      </c>
      <c r="N18" s="81">
        <f>SUM(D7:D12)/SUM(B7:B12,D7:D12)</f>
        <v>0.18146718146718147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169</v>
      </c>
      <c r="B19" s="84">
        <v>0</v>
      </c>
      <c r="C19" s="81">
        <f>SUM(E4,G4:L4)*4</f>
        <v>100</v>
      </c>
      <c r="D19" s="84">
        <v>0</v>
      </c>
      <c r="E19" s="81">
        <f>SUM(G6:L6)*4</f>
        <v>164</v>
      </c>
      <c r="F19" s="81">
        <f>SUM(H7:L7)*4</f>
        <v>20</v>
      </c>
      <c r="G19" s="81">
        <f>SUM(I8:L8)*4</f>
        <v>28</v>
      </c>
      <c r="H19" s="81">
        <f>SUM(J9:L9)*4</f>
        <v>124</v>
      </c>
      <c r="I19" s="81">
        <f>SUM(B10:B12,D10:D12,F10:H12)*4</f>
        <v>564</v>
      </c>
      <c r="J19" s="81">
        <f>SUM(B8,D8,F8:G8)*4</f>
        <v>36</v>
      </c>
      <c r="K19" s="81">
        <f>SUM(B7,D7,F7)*4</f>
        <v>32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296</v>
      </c>
      <c r="B20" s="81">
        <f>C2/SUM(C2,E2,G2:L2)</f>
        <v>2.1929824561403508E-2</v>
      </c>
      <c r="C20" s="84">
        <v>0</v>
      </c>
      <c r="D20" s="81">
        <f>SUM(E2,E4,SUM(D21:D26))/SUM(E2,G2:L2,E4,G4:L4)</f>
        <v>0.14516129032258066</v>
      </c>
      <c r="E20" s="84">
        <v>0</v>
      </c>
      <c r="F20" s="81">
        <f>SUM(G2,G4,G6,SUM(F22:F26))/SUM(G2:L2,G4:L4,G6:L6,H7:L7)</f>
        <v>0.10077519379844961</v>
      </c>
      <c r="G20" s="81">
        <f>SUM(H2,H4,H6,H7,SUM(G23:G26))/SUM(H2:L2,H4:L4,H6:L6,H7:L7,I8:L8)</f>
        <v>6.2761506276150625E-2</v>
      </c>
      <c r="H20" s="81">
        <f>SUM(J2:L2,J4:L4,J6:L6,J7:L7,J8:L8,H26)/SUM(I2:L2,I4:L4,I6:L6,I7:L7,I8:L8,I10:I12)</f>
        <v>0.19858156028368795</v>
      </c>
      <c r="I20" s="81">
        <f>SUM(J9:L9,B9*R9,D9*T9,SUM(I21:I25))/SUM(B9,D9,F9:H9,B10:B12,D10:D12,F10:H12)</f>
        <v>0.13517915309446255</v>
      </c>
      <c r="J20" s="81">
        <f>SUM(H9:H12,SUM(J22:J25))/SUM(B9:B12,D9:D12,F9:H12,B8,D8,F8:G8)</f>
        <v>6.3291139240506328E-3</v>
      </c>
      <c r="K20" s="81">
        <f>SUM(G8:G12,SUM(K23:K25))/SUM(B8:B12,D8:D12,F8:G12,B7,D7,F7)</f>
        <v>5.5900621118012424E-2</v>
      </c>
      <c r="L20" s="81">
        <f>SUM(F7:F12,SUM(L24:L25))/SUM(B7:B12,D7:D12,F7:F12)</f>
        <v>0.14802631578947367</v>
      </c>
      <c r="M20" s="84">
        <v>0</v>
      </c>
      <c r="N20" s="81">
        <f>SUM(D7:D12,N25)/SUM(B7:B12,D7:D12)</f>
        <v>0.18146718146718147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0</v>
      </c>
      <c r="I21" s="47">
        <f>SUM(H9,H12)*PRD_Conf!T23</f>
        <v>0</v>
      </c>
      <c r="O21" s="47">
        <v>7</v>
      </c>
    </row>
    <row r="22" spans="1:29" x14ac:dyDescent="0.15">
      <c r="A22" s="47">
        <v>7</v>
      </c>
      <c r="D22" s="47">
        <f>SUM(H2,H4)*PRD_Conf!T7</f>
        <v>0</v>
      </c>
      <c r="F22" s="47">
        <f>SUM(H2,H4,H6)*PRD_Conf!T13</f>
        <v>0</v>
      </c>
      <c r="I22" s="47">
        <f>SUM(G12,G9)*PRD_Conf!T22</f>
        <v>0</v>
      </c>
      <c r="J22" s="47">
        <f>SUM(G9:G12)*PRD_Conf!T27</f>
        <v>0</v>
      </c>
      <c r="O22" s="47">
        <v>6</v>
      </c>
    </row>
    <row r="23" spans="1:29" x14ac:dyDescent="0.15">
      <c r="A23" s="47">
        <v>8</v>
      </c>
      <c r="D23" s="47">
        <f>(J2+J4)*PRD_Conf!T6</f>
        <v>0</v>
      </c>
      <c r="F23" s="47">
        <f>SUM(J2,J4,J6)*PRD_Conf!T12</f>
        <v>0</v>
      </c>
      <c r="G23" s="47">
        <f>SUM(J2,J4,J6:J7)*PRD_Conf!T17</f>
        <v>0</v>
      </c>
      <c r="I23" s="47">
        <f>SUM(F12,F9)*PRD_Conf!T21</f>
        <v>10.5</v>
      </c>
      <c r="J23" s="47">
        <f>SUM(F9:F12)*PRD_Conf!T26</f>
        <v>0</v>
      </c>
      <c r="K23" s="47">
        <f>SUM(F8:F12)*PRD_Conf!T30</f>
        <v>0</v>
      </c>
      <c r="O23" s="47">
        <v>4</v>
      </c>
    </row>
    <row r="24" spans="1:29" x14ac:dyDescent="0.15">
      <c r="A24" s="47">
        <v>9</v>
      </c>
      <c r="D24" s="47">
        <f>(K2+K4)*PRD_Conf!T5</f>
        <v>0</v>
      </c>
      <c r="F24" s="47">
        <f>SUM(K2,K4,K6)*PRD_Conf!T11</f>
        <v>0</v>
      </c>
      <c r="G24" s="47">
        <f>SUM(K2,K4,K6:K7)*PRD_Conf!T16</f>
        <v>0</v>
      </c>
      <c r="I24" s="47">
        <f>SUM(D9,D12)*PRD_Conf!T20</f>
        <v>0</v>
      </c>
      <c r="J24" s="47">
        <f>SUM(D9:D12)*PRD_Conf!T25</f>
        <v>0</v>
      </c>
      <c r="K24" s="47">
        <f>SUM(D8:D12)*PRD_Conf!T29</f>
        <v>0</v>
      </c>
      <c r="L24" s="47">
        <f>SUM(D7:D12)*PRD_Conf!T32</f>
        <v>0</v>
      </c>
      <c r="O24" s="47">
        <v>2</v>
      </c>
    </row>
    <row r="25" spans="1:29" x14ac:dyDescent="0.15">
      <c r="A25" s="47">
        <v>11</v>
      </c>
      <c r="D25" s="47">
        <f>(L2+L4)*PRD_Conf!T4</f>
        <v>0</v>
      </c>
      <c r="F25" s="47">
        <f>SUM(L2,L4,L6)*PRD_Conf!T10</f>
        <v>0</v>
      </c>
      <c r="G25" s="47">
        <f>SUM(L2,L4,L6:L7)*PRD_Conf!T15</f>
        <v>0</v>
      </c>
      <c r="I25" s="47">
        <f>SUM(B12,B9)*PRD_Conf!T19</f>
        <v>0</v>
      </c>
      <c r="J25" s="47">
        <f>SUM(B9:B12)*PRD_Conf!T24</f>
        <v>0</v>
      </c>
      <c r="K25" s="47">
        <f>SUM(B8:B12)*PRD_Conf!T28</f>
        <v>0</v>
      </c>
      <c r="L25" s="47">
        <f>SUM(B7:B12)*PRD_Conf!T31</f>
        <v>0</v>
      </c>
      <c r="N25" s="47">
        <f>SUM(B5,B7:B12)*PRD_Conf!T33</f>
        <v>0</v>
      </c>
      <c r="O25" s="47">
        <v>1</v>
      </c>
    </row>
    <row r="26" spans="1:29" x14ac:dyDescent="0.15">
      <c r="A26" s="47">
        <v>10</v>
      </c>
      <c r="D26" s="47">
        <f>(I2+I4)*PRD_Conf!T3</f>
        <v>0</v>
      </c>
      <c r="F26" s="47">
        <f>SUM(I2,I4,I6)*PRD_Conf!T9</f>
        <v>0</v>
      </c>
      <c r="G26" s="47">
        <f>SUM(I2,I4,I6:I7)*PRD_Conf!T14</f>
        <v>0</v>
      </c>
      <c r="H26" s="47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O28" sqref="O28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24" t="s">
        <v>163</v>
      </c>
      <c r="B1" s="124" t="s">
        <v>164</v>
      </c>
      <c r="C1" s="152" t="s">
        <v>157</v>
      </c>
      <c r="D1" s="124" t="s">
        <v>162</v>
      </c>
      <c r="E1" s="124"/>
      <c r="F1" s="124"/>
      <c r="G1" s="124"/>
      <c r="H1" s="124"/>
      <c r="I1" s="124"/>
      <c r="J1" s="124"/>
      <c r="K1" s="124"/>
      <c r="L1" s="124" t="s">
        <v>253</v>
      </c>
      <c r="M1" s="124"/>
      <c r="N1" s="124"/>
      <c r="O1" s="124"/>
      <c r="P1" s="124"/>
      <c r="Q1" s="124"/>
      <c r="R1" s="124"/>
      <c r="S1" s="124"/>
      <c r="T1" s="151" t="s">
        <v>297</v>
      </c>
    </row>
    <row r="2" spans="1:20" ht="15" x14ac:dyDescent="0.15">
      <c r="A2" s="124"/>
      <c r="B2" s="124"/>
      <c r="C2" s="124"/>
      <c r="D2" s="35" t="s">
        <v>160</v>
      </c>
      <c r="E2" s="36">
        <v>4</v>
      </c>
      <c r="F2" s="36">
        <v>6</v>
      </c>
      <c r="G2" s="36">
        <v>7</v>
      </c>
      <c r="H2" s="36">
        <v>11</v>
      </c>
      <c r="I2" s="37" t="s">
        <v>158</v>
      </c>
      <c r="J2" s="37" t="s">
        <v>159</v>
      </c>
      <c r="K2" s="38" t="s">
        <v>161</v>
      </c>
      <c r="L2" s="35" t="s">
        <v>160</v>
      </c>
      <c r="M2" s="36">
        <v>4</v>
      </c>
      <c r="N2" s="36">
        <v>6</v>
      </c>
      <c r="O2" s="36">
        <v>7</v>
      </c>
      <c r="P2" s="36">
        <v>11</v>
      </c>
      <c r="Q2" s="37" t="s">
        <v>158</v>
      </c>
      <c r="R2" s="37" t="s">
        <v>159</v>
      </c>
      <c r="S2" s="38" t="s">
        <v>161</v>
      </c>
      <c r="T2" s="151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v>0.3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v>0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v>0</v>
      </c>
    </row>
    <row r="34" spans="1:21" x14ac:dyDescent="0.15">
      <c r="T34" s="110">
        <f>IF(SUM(T3:T33)&gt;0,1,0)</f>
        <v>1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topLeftCell="A88" zoomScale="85" zoomScaleNormal="85" workbookViewId="0">
      <selection activeCell="B3" sqref="B3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254</v>
      </c>
      <c r="B1" s="92" t="s">
        <v>255</v>
      </c>
      <c r="C1" s="153" t="s">
        <v>298</v>
      </c>
      <c r="D1" s="153"/>
      <c r="E1" s="153"/>
      <c r="F1" s="153"/>
      <c r="G1" s="153"/>
      <c r="H1" s="153"/>
      <c r="I1" s="153"/>
      <c r="J1" s="153"/>
      <c r="K1" s="153"/>
      <c r="L1" s="153"/>
    </row>
    <row r="2" spans="1:12" x14ac:dyDescent="0.15">
      <c r="A2" s="89">
        <v>1</v>
      </c>
      <c r="B2" s="90">
        <v>0.19512323910516832</v>
      </c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>
        <v>0.21625977622770076</v>
      </c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>
        <v>0.21674612180642483</v>
      </c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>
        <v>0.33078015378804793</v>
      </c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>
        <v>0.35493362932566908</v>
      </c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>
        <v>0.33049999999999996</v>
      </c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>
        <v>0.44135627644616593</v>
      </c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>
        <v>0.14235627644616586</v>
      </c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>
        <v>0.1634928135686983</v>
      </c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>
        <v>0.16397915914742237</v>
      </c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>
        <v>0.27801319112904549</v>
      </c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>
        <v>0.30216666666666664</v>
      </c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>
        <v>0.14235627644616586</v>
      </c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>
        <v>0.1634928135686983</v>
      </c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>
        <v>0.16397915914742237</v>
      </c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>
        <v>0.27801319112904549</v>
      </c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>
        <v>0.30216666666666664</v>
      </c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>
        <v>0.14235627644616586</v>
      </c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>
        <v>0.1634928135686983</v>
      </c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>
        <v>0.16397915914742237</v>
      </c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>
        <v>0.27801319112904549</v>
      </c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>
        <v>0.30216666666666664</v>
      </c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>
        <v>0.10450975198378705</v>
      </c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>
        <v>0.12564628910631948</v>
      </c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>
        <v>0.12613263468504354</v>
      </c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>
        <v>0.24016666666666667</v>
      </c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>
        <v>4.6043783965410187E-2</v>
      </c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>
        <v>6.7180321087942599E-2</v>
      </c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>
        <v>6.7666666666666667E-2</v>
      </c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>
        <v>0.15050296491615467</v>
      </c>
      <c r="C31" s="89">
        <v>6</v>
      </c>
      <c r="D31" s="89">
        <v>7</v>
      </c>
      <c r="E31" s="89">
        <v>8</v>
      </c>
      <c r="F31" s="89">
        <v>9</v>
      </c>
      <c r="G31" s="89">
        <v>10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>
        <v>0.31178015378804791</v>
      </c>
      <c r="C32" s="89">
        <f>-(1.46+9.16+2.65)</f>
        <v>-13.270000000000001</v>
      </c>
      <c r="D32" s="89">
        <v>9</v>
      </c>
      <c r="E32" s="89">
        <v>10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>
        <v>0.33593362932566906</v>
      </c>
      <c r="C33" s="89">
        <f>-(1.46+9.16+4.47+1.9)</f>
        <v>-16.989999999999998</v>
      </c>
      <c r="D33" s="89">
        <v>10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>
        <v>0.3115</v>
      </c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>
        <v>0.39673600225715222</v>
      </c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>
        <v>9.7736002257152205E-2</v>
      </c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>
        <v>0.25901319112904547</v>
      </c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>
        <v>0.28316666666666662</v>
      </c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>
        <v>9.7736002257152205E-2</v>
      </c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>
        <v>0.25901319112904547</v>
      </c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>
        <v>0.28316666666666662</v>
      </c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>
        <v>9.7736002257152205E-2</v>
      </c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>
        <v>0.25901319112904547</v>
      </c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>
        <v>0.28316666666666662</v>
      </c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>
        <v>5.9889477794773383E-2</v>
      </c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>
        <v>0.22116666666666668</v>
      </c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>
        <v>9.0370224803222793E-2</v>
      </c>
      <c r="C47" s="32">
        <v>9</v>
      </c>
      <c r="D47" s="32">
        <v>10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>
        <v>0.11476696265900245</v>
      </c>
      <c r="C48" s="32">
        <f>2.65-4.47-1.9</f>
        <v>-3.7199999999999998</v>
      </c>
      <c r="D48" s="32">
        <v>10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>
        <v>0.17866666666666664</v>
      </c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>
        <v>0.38937022480322281</v>
      </c>
      <c r="C50" s="32">
        <v>9</v>
      </c>
      <c r="D50" s="32">
        <v>10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>
        <v>3.7603262144220342E-2</v>
      </c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>
        <v>0.15033333333333332</v>
      </c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>
        <v>3.7603262144220342E-2</v>
      </c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>
        <v>0.15033333333333332</v>
      </c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>
        <v>3.7603262144220342E-2</v>
      </c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>
        <v>0.15033333333333332</v>
      </c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>
        <v>5.2691971361416595E-2</v>
      </c>
      <c r="C57" s="32">
        <v>10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>
        <v>9.166666666666666E-2</v>
      </c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>
        <v>0.29900000000000004</v>
      </c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>
        <v>0.18860975461330265</v>
      </c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>
        <v>0.29826923930569682</v>
      </c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>
        <v>0.36604911901428377</v>
      </c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>
        <v>0.34156274384565644</v>
      </c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>
        <v>0.42316666666666669</v>
      </c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>
        <v>0.48354656031724308</v>
      </c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>
        <v>0.1516154744825938</v>
      </c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>
        <v>0.26127495917498794</v>
      </c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>
        <v>0.3290548388835749</v>
      </c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>
        <v>0.36316666666666664</v>
      </c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>
        <v>0.4465522801865342</v>
      </c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>
        <v>0.13027531449909152</v>
      </c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>
        <v>0.23993479919148569</v>
      </c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>
        <v>0.3514718051146774</v>
      </c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>
        <v>0.30216666666666664</v>
      </c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>
        <v>0.42521212020303195</v>
      </c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>
        <v>0.1057273022656855</v>
      </c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>
        <v>0.21538678695807967</v>
      </c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>
        <v>0.28316666666666662</v>
      </c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>
        <v>0.40066410796962593</v>
      </c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>
        <v>2.2706670844130757E-2</v>
      </c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>
        <v>0.15033333333333332</v>
      </c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>
        <v>0.31958260983907238</v>
      </c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>
        <v>0.15015279534440326</v>
      </c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>
        <v>0.30404911901428383</v>
      </c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>
        <v>0.27956274384565644</v>
      </c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>
        <v>0.1131585152136944</v>
      </c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>
        <v>0.26705483888357495</v>
      </c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>
        <v>0.24256846371494759</v>
      </c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>
        <v>0.30116666666666669</v>
      </c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>
        <v>9.1818355230192134E-2</v>
      </c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>
        <v>0.24571467890007267</v>
      </c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>
        <v>0.24016666666666667</v>
      </c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>
        <v>6.7270342996786123E-2</v>
      </c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>
        <v>0.22116666666666665</v>
      </c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>
        <v>8.4433340004196611E-2</v>
      </c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>
        <v>0.10039607717898978</v>
      </c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>
        <v>0.121</v>
      </c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>
        <v>4.7439059873487753E-2</v>
      </c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>
        <v>8.4901797048280908E-2</v>
      </c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>
        <v>0.10250000000000001</v>
      </c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>
        <v>2.6098899889985486E-2</v>
      </c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>
        <v>6.7666666666666667E-2</v>
      </c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>
        <v>5.971733278304607E-2</v>
      </c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>
        <v>8.0396077178989778E-2</v>
      </c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>
        <v>0.121</v>
      </c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>
        <v>2.2723052652337206E-2</v>
      </c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>
        <v>6.1000000000000006E-2</v>
      </c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>
        <v>3.8386672191153826E-2</v>
      </c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>
        <v>6.0000000000000005E-2</v>
      </c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H25" sqref="H25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27</v>
      </c>
      <c r="M2" t="s">
        <v>27</v>
      </c>
      <c r="N2" t="s">
        <v>28</v>
      </c>
      <c r="O2" t="s">
        <v>29</v>
      </c>
      <c r="P2" t="s">
        <v>28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45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44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43</v>
      </c>
      <c r="K12" s="5" t="s">
        <v>26</v>
      </c>
      <c r="L12" s="5" t="s">
        <v>26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56</v>
      </c>
      <c r="B1" s="154" t="s">
        <v>46</v>
      </c>
      <c r="C1" s="155"/>
      <c r="D1" s="156"/>
      <c r="E1" s="154" t="s">
        <v>47</v>
      </c>
      <c r="F1" s="155"/>
      <c r="G1" s="155"/>
      <c r="H1" s="155"/>
      <c r="I1" s="155"/>
      <c r="J1" s="155"/>
      <c r="K1" s="155"/>
      <c r="L1" s="156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48</v>
      </c>
      <c r="B1" s="11" t="s">
        <v>57</v>
      </c>
      <c r="C1" s="154" t="s">
        <v>49</v>
      </c>
      <c r="D1" s="155"/>
      <c r="E1" s="155"/>
      <c r="F1" s="155"/>
      <c r="G1" s="155"/>
      <c r="H1" s="155"/>
      <c r="I1" s="155"/>
      <c r="J1" s="156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58</v>
      </c>
      <c r="B1" t="s">
        <v>65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D8" sqref="D8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79</v>
      </c>
      <c r="B1" t="s">
        <v>80</v>
      </c>
      <c r="C1" t="s">
        <v>81</v>
      </c>
      <c r="D1" t="s">
        <v>82</v>
      </c>
      <c r="E1" t="s">
        <v>83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116</v>
      </c>
      <c r="B1" s="1" t="s">
        <v>90</v>
      </c>
      <c r="C1" s="1" t="s">
        <v>91</v>
      </c>
    </row>
    <row r="2" spans="1:4" ht="14.25" x14ac:dyDescent="0.15">
      <c r="A2" s="21" t="s">
        <v>117</v>
      </c>
      <c r="B2" s="21" t="s">
        <v>1</v>
      </c>
      <c r="C2" s="21" t="s">
        <v>122</v>
      </c>
      <c r="D2" s="20" t="s">
        <v>121</v>
      </c>
    </row>
    <row r="3" spans="1:4" ht="14.25" x14ac:dyDescent="0.15">
      <c r="A3" s="21" t="s">
        <v>118</v>
      </c>
      <c r="B3" s="21" t="s">
        <v>107</v>
      </c>
      <c r="C3" s="21" t="s">
        <v>123</v>
      </c>
      <c r="D3" s="20" t="s">
        <v>121</v>
      </c>
    </row>
    <row r="4" spans="1:4" ht="14.25" x14ac:dyDescent="0.15">
      <c r="A4" s="21" t="s">
        <v>125</v>
      </c>
      <c r="B4" s="21" t="s">
        <v>126</v>
      </c>
      <c r="C4" s="21" t="s">
        <v>127</v>
      </c>
      <c r="D4" s="20" t="s">
        <v>111</v>
      </c>
    </row>
    <row r="5" spans="1:4" ht="14.25" x14ac:dyDescent="0.15">
      <c r="A5" s="21" t="s">
        <v>119</v>
      </c>
      <c r="B5" s="21" t="s">
        <v>120</v>
      </c>
      <c r="C5" s="21" t="s">
        <v>92</v>
      </c>
    </row>
    <row r="6" spans="1:4" ht="14.25" x14ac:dyDescent="0.15">
      <c r="A6" s="21" t="s">
        <v>240</v>
      </c>
      <c r="B6" s="21" t="s">
        <v>238</v>
      </c>
      <c r="C6" s="21" t="s">
        <v>239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99</v>
      </c>
      <c r="B1" s="1" t="s">
        <v>105</v>
      </c>
      <c r="C1" s="19"/>
      <c r="F1" s="1" t="s">
        <v>114</v>
      </c>
      <c r="G1" s="21">
        <v>5</v>
      </c>
      <c r="H1" s="1" t="s">
        <v>115</v>
      </c>
      <c r="I1" s="21">
        <v>500</v>
      </c>
    </row>
    <row r="2" spans="1:9" ht="14.25" x14ac:dyDescent="0.15">
      <c r="A2" s="21" t="s">
        <v>100</v>
      </c>
      <c r="B2" s="21" t="s">
        <v>106</v>
      </c>
      <c r="C2" s="20" t="s">
        <v>111</v>
      </c>
      <c r="G2" s="21">
        <v>6</v>
      </c>
    </row>
    <row r="3" spans="1:9" ht="14.25" x14ac:dyDescent="0.15">
      <c r="A3" s="21" t="s">
        <v>101</v>
      </c>
      <c r="B3" s="21" t="s">
        <v>107</v>
      </c>
      <c r="C3" s="20" t="s">
        <v>111</v>
      </c>
      <c r="G3" s="21">
        <v>13</v>
      </c>
    </row>
    <row r="4" spans="1:9" ht="14.25" x14ac:dyDescent="0.15">
      <c r="A4" s="21" t="s">
        <v>102</v>
      </c>
      <c r="B4" s="21" t="s">
        <v>108</v>
      </c>
      <c r="C4" s="19"/>
      <c r="G4" s="21">
        <v>17</v>
      </c>
    </row>
    <row r="5" spans="1:9" ht="14.25" x14ac:dyDescent="0.15">
      <c r="A5" s="21" t="s">
        <v>103</v>
      </c>
      <c r="B5" s="21" t="s">
        <v>109</v>
      </c>
      <c r="C5" s="19"/>
      <c r="G5" s="21">
        <v>22</v>
      </c>
    </row>
    <row r="6" spans="1:9" ht="14.25" x14ac:dyDescent="0.15">
      <c r="A6" s="21" t="s">
        <v>104</v>
      </c>
      <c r="B6" s="21" t="s">
        <v>110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E4" sqref="E4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142</v>
      </c>
      <c r="B1" s="124" t="s">
        <v>143</v>
      </c>
      <c r="C1" s="124"/>
      <c r="D1" s="124"/>
      <c r="E1" s="124"/>
      <c r="F1" s="75" t="s">
        <v>237</v>
      </c>
      <c r="G1" s="75" t="s">
        <v>236</v>
      </c>
      <c r="I1" s="68" t="s">
        <v>235</v>
      </c>
      <c r="J1" s="24" t="s">
        <v>275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v>122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v>123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v>124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v>125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v>126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v>127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v>128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v>129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v>130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v>131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v>132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v>133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v>134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v>135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v>136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v>137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v>138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v>139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v>140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v>141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G11" sqref="G11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144</v>
      </c>
      <c r="B1" s="27" t="s">
        <v>145</v>
      </c>
      <c r="C1" s="27" t="s">
        <v>146</v>
      </c>
      <c r="D1" s="75" t="s">
        <v>271</v>
      </c>
      <c r="E1" s="75" t="s">
        <v>272</v>
      </c>
      <c r="F1" s="75" t="s">
        <v>273</v>
      </c>
      <c r="G1" s="75" t="s">
        <v>274</v>
      </c>
    </row>
    <row r="2" spans="1:7" ht="15" x14ac:dyDescent="0.15">
      <c r="A2" s="28">
        <v>1</v>
      </c>
      <c r="B2" s="26">
        <v>1</v>
      </c>
      <c r="C2" s="26" t="s">
        <v>147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148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149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150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151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152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153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154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155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235</v>
      </c>
      <c r="B18" s="24" t="s">
        <v>246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141</vt:i4>
      </vt:variant>
    </vt:vector>
  </HeadingPairs>
  <TitlesOfParts>
    <vt:vector size="163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gamma_indicator</vt:lpstr>
      <vt:lpstr>kappa</vt:lpstr>
      <vt:lpstr>lambdal</vt:lpstr>
      <vt:lpstr>lambdaoff</vt:lpstr>
      <vt:lpstr>link_conf</vt:lpstr>
      <vt:lpstr>Ll</vt:lpstr>
      <vt:lpstr>Loff</vt:lpstr>
      <vt:lpstr>Nc</vt:lpstr>
      <vt:lpstr>nodes_conf</vt:lpstr>
      <vt:lpstr>Np</vt:lpstr>
      <vt:lpstr>off_ramps_conf</vt:lpstr>
      <vt:lpstr>on_ramps_conf</vt:lpstr>
      <vt:lpstr>phib</vt:lpstr>
      <vt:lpstr>phir</vt:lpstr>
      <vt:lpstr>phiw</vt:lpstr>
      <vt:lpstr>Qc</vt:lpstr>
      <vt:lpstr>ql</vt:lpstr>
      <vt:lpstr>qoff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voff</vt:lpstr>
      <vt:lpstr>von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  <vt:lpstr>wmax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2018-05-17T02:56:50Z</dcterms:modified>
</cp:coreProperties>
</file>